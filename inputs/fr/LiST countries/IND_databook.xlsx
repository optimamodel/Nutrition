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13C4557-D5AA-450A-9CDE-A30864F9A70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31" i="2"/>
  <c r="A36" i="2"/>
  <c r="A37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<sst xmlns="http://schemas.openxmlformats.org/spreadsheetml/2006/main" count="2169" uniqueCount="369">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</sst>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113100739.5</v>
      </c>
    </row>
    <row r="8" spans="1:3" ht="15" customHeight="1" x14ac:dyDescent="0.25">
      <c r="B8" s="5" t="s">
        <v>37</v>
      </c>
      <c r="C8" s="44">
        <v>0.21199999999999999</v>
      </c>
    </row>
    <row r="9" spans="1:3" ht="15" customHeight="1" x14ac:dyDescent="0.25">
      <c r="B9" s="5" t="s">
        <v>38</v>
      </c>
      <c r="C9" s="45">
        <v>0.1323</v>
      </c>
    </row>
    <row r="10" spans="1:3" ht="15" customHeight="1" x14ac:dyDescent="0.25">
      <c r="B10" s="5" t="s">
        <v>39</v>
      </c>
      <c r="C10" s="45">
        <v>0.62193199157714796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</v>
      </c>
    </row>
    <row r="24" spans="1:3" ht="15" customHeight="1" x14ac:dyDescent="0.25">
      <c r="B24" s="15" t="s">
        <v>51</v>
      </c>
      <c r="C24" s="45">
        <v>0.6835</v>
      </c>
    </row>
    <row r="25" spans="1:3" ht="15" customHeight="1" x14ac:dyDescent="0.25">
      <c r="B25" s="15" t="s">
        <v>52</v>
      </c>
      <c r="C25" s="45">
        <v>0.1807</v>
      </c>
    </row>
    <row r="26" spans="1:3" ht="15" customHeight="1" x14ac:dyDescent="0.25">
      <c r="B26" s="15" t="s">
        <v>53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0.39483629874449699</v>
      </c>
    </row>
    <row r="30" spans="1:3" ht="14.25" customHeight="1" x14ac:dyDescent="0.25">
      <c r="B30" s="25" t="s">
        <v>56</v>
      </c>
      <c r="C30" s="97">
        <v>6.4915878276872702E-2</v>
      </c>
    </row>
    <row r="31" spans="1:3" ht="14.25" customHeight="1" x14ac:dyDescent="0.25">
      <c r="B31" s="25" t="s">
        <v>57</v>
      </c>
      <c r="C31" s="97">
        <v>0.100475847605401</v>
      </c>
    </row>
    <row r="32" spans="1:3" ht="14.25" customHeight="1" x14ac:dyDescent="0.25">
      <c r="B32" s="25" t="s">
        <v>58</v>
      </c>
      <c r="C32" s="97">
        <v>0.43977197537322998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19.11843</v>
      </c>
    </row>
    <row r="38" spans="1:5" ht="15" customHeight="1" x14ac:dyDescent="0.25">
      <c r="B38" s="11" t="s">
        <v>63</v>
      </c>
      <c r="C38" s="43">
        <v>25.487660000000002</v>
      </c>
      <c r="D38" s="12"/>
      <c r="E38" s="13"/>
    </row>
    <row r="39" spans="1:5" ht="15" customHeight="1" x14ac:dyDescent="0.25">
      <c r="B39" s="11" t="s">
        <v>64</v>
      </c>
      <c r="C39" s="43">
        <v>30.619209999999999</v>
      </c>
      <c r="D39" s="12"/>
      <c r="E39" s="12"/>
    </row>
    <row r="40" spans="1:5" ht="15" customHeight="1" x14ac:dyDescent="0.25">
      <c r="B40" s="11" t="s">
        <v>65</v>
      </c>
      <c r="C40" s="98">
        <v>1.03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1.8195699999999999E-2</v>
      </c>
      <c r="D45" s="12"/>
    </row>
    <row r="46" spans="1:5" ht="15.75" customHeight="1" x14ac:dyDescent="0.25">
      <c r="B46" s="11" t="s">
        <v>70</v>
      </c>
      <c r="C46" s="45">
        <v>0.1121805</v>
      </c>
      <c r="D46" s="12"/>
    </row>
    <row r="47" spans="1:5" ht="15.75" customHeight="1" x14ac:dyDescent="0.25">
      <c r="B47" s="11" t="s">
        <v>71</v>
      </c>
      <c r="C47" s="45">
        <v>0.40419500000000003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2.08</v>
      </c>
      <c r="D51" s="12"/>
    </row>
    <row r="52" spans="1:4" ht="15" customHeight="1" x14ac:dyDescent="0.25">
      <c r="B52" s="11" t="s">
        <v>75</v>
      </c>
      <c r="C52" s="98">
        <v>2.08</v>
      </c>
    </row>
    <row r="53" spans="1:4" ht="15.75" customHeight="1" x14ac:dyDescent="0.25">
      <c r="B53" s="11" t="s">
        <v>76</v>
      </c>
      <c r="C53" s="98">
        <v>3.3279999999999998</v>
      </c>
    </row>
    <row r="54" spans="1:4" ht="15.75" customHeight="1" x14ac:dyDescent="0.25">
      <c r="B54" s="11" t="s">
        <v>77</v>
      </c>
      <c r="C54" s="98">
        <v>2.6</v>
      </c>
    </row>
    <row r="55" spans="1:4" ht="15.75" customHeight="1" x14ac:dyDescent="0.25">
      <c r="B55" s="11" t="s">
        <v>78</v>
      </c>
      <c r="C55" s="98">
        <v>1.412666666666667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0.45378299999999999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BJXrLiLjKb05B0O7xyIibrEs/nAogtIaE1kEWwMBJOiT0S3MGzmEw92V2/Q7yi/60rMfx0qc9TZwdCQ4IBPeeA==" saltValue="9ShUgOSVJAwUzCLNvhpc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Fqmwa1IuuJtFp5hw6t0yWX+CZoRn8MieqGGm1QxgZiFlj/QpyGYNTk5WHpMEKqLrXSGEyzX2RzpwfHJck42vg==" saltValue="NWfPfy2aqRjczstC7kHf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1.1802901180290121E-2</v>
      </c>
    </row>
    <row r="4" spans="1:8" ht="15.75" customHeight="1" x14ac:dyDescent="0.25">
      <c r="B4" s="19" t="s">
        <v>97</v>
      </c>
      <c r="C4" s="99">
        <v>4.7839204783920453E-2</v>
      </c>
    </row>
    <row r="5" spans="1:8" ht="15.75" customHeight="1" x14ac:dyDescent="0.25">
      <c r="B5" s="19" t="s">
        <v>98</v>
      </c>
      <c r="C5" s="99">
        <v>6.8903006890300683E-2</v>
      </c>
    </row>
    <row r="6" spans="1:8" ht="15.75" customHeight="1" x14ac:dyDescent="0.25">
      <c r="B6" s="19" t="s">
        <v>99</v>
      </c>
      <c r="C6" s="99">
        <v>0.2147846214784627</v>
      </c>
    </row>
    <row r="7" spans="1:8" ht="15.75" customHeight="1" x14ac:dyDescent="0.25">
      <c r="B7" s="19" t="s">
        <v>100</v>
      </c>
      <c r="C7" s="99">
        <v>0.3863576386357635</v>
      </c>
    </row>
    <row r="8" spans="1:8" ht="15.75" customHeight="1" x14ac:dyDescent="0.25">
      <c r="B8" s="19" t="s">
        <v>101</v>
      </c>
      <c r="C8" s="99">
        <v>1.4752001475200141E-3</v>
      </c>
    </row>
    <row r="9" spans="1:8" ht="15.75" customHeight="1" x14ac:dyDescent="0.25">
      <c r="B9" s="19" t="s">
        <v>102</v>
      </c>
      <c r="C9" s="99">
        <v>8.9832408983240783E-2</v>
      </c>
    </row>
    <row r="10" spans="1:8" ht="15.75" customHeight="1" x14ac:dyDescent="0.25">
      <c r="B10" s="19" t="s">
        <v>103</v>
      </c>
      <c r="C10" s="99">
        <v>0.17900501790050191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106</v>
      </c>
      <c r="C15" s="99">
        <v>0.230872333632888</v>
      </c>
      <c r="D15" s="99">
        <v>0.230872333632888</v>
      </c>
      <c r="E15" s="99">
        <v>0.230872333632888</v>
      </c>
      <c r="F15" s="99">
        <v>0.230872333632888</v>
      </c>
    </row>
    <row r="16" spans="1:8" ht="15.75" customHeight="1" x14ac:dyDescent="0.25">
      <c r="B16" s="19" t="s">
        <v>107</v>
      </c>
      <c r="C16" s="99">
        <v>3.8348142011340389E-2</v>
      </c>
      <c r="D16" s="99">
        <v>3.8348142011340389E-2</v>
      </c>
      <c r="E16" s="99">
        <v>3.8348142011340389E-2</v>
      </c>
      <c r="F16" s="99">
        <v>3.8348142011340389E-2</v>
      </c>
    </row>
    <row r="17" spans="1:8" ht="15.75" customHeight="1" x14ac:dyDescent="0.25">
      <c r="B17" s="19" t="s">
        <v>108</v>
      </c>
      <c r="C17" s="99">
        <v>3.5408397605315653E-2</v>
      </c>
      <c r="D17" s="99">
        <v>3.5408397605315653E-2</v>
      </c>
      <c r="E17" s="99">
        <v>3.5408397605315653E-2</v>
      </c>
      <c r="F17" s="99">
        <v>3.5408397605315653E-2</v>
      </c>
    </row>
    <row r="18" spans="1:8" ht="15.75" customHeight="1" x14ac:dyDescent="0.25">
      <c r="B18" s="19" t="s">
        <v>109</v>
      </c>
      <c r="C18" s="99">
        <v>7.1410678096298971E-3</v>
      </c>
      <c r="D18" s="99">
        <v>7.1410678096298971E-3</v>
      </c>
      <c r="E18" s="99">
        <v>7.1410678096298971E-3</v>
      </c>
      <c r="F18" s="99">
        <v>7.1410678096298971E-3</v>
      </c>
    </row>
    <row r="19" spans="1:8" ht="15.75" customHeight="1" x14ac:dyDescent="0.25">
      <c r="B19" s="19" t="s">
        <v>110</v>
      </c>
      <c r="C19" s="99">
        <v>2.6687220192693512E-2</v>
      </c>
      <c r="D19" s="99">
        <v>2.6687220192693512E-2</v>
      </c>
      <c r="E19" s="99">
        <v>2.6687220192693512E-2</v>
      </c>
      <c r="F19" s="99">
        <v>2.6687220192693512E-2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0.14546560647395049</v>
      </c>
      <c r="D21" s="99">
        <v>0.14546560647395049</v>
      </c>
      <c r="E21" s="99">
        <v>0.14546560647395049</v>
      </c>
      <c r="F21" s="99">
        <v>0.14546560647395049</v>
      </c>
    </row>
    <row r="22" spans="1:8" ht="15.75" customHeight="1" x14ac:dyDescent="0.25">
      <c r="B22" s="19" t="s">
        <v>113</v>
      </c>
      <c r="C22" s="99">
        <v>0.32471813177277092</v>
      </c>
      <c r="D22" s="99">
        <v>0.32471813177277092</v>
      </c>
      <c r="E22" s="99">
        <v>0.32471813177277092</v>
      </c>
      <c r="F22" s="99">
        <v>0.32471813177277092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3.4359752E-2</v>
      </c>
    </row>
    <row r="27" spans="1:8" ht="15.75" customHeight="1" x14ac:dyDescent="0.25">
      <c r="B27" s="19" t="s">
        <v>120</v>
      </c>
      <c r="C27" s="99">
        <v>1.0551130000000001E-3</v>
      </c>
    </row>
    <row r="28" spans="1:8" ht="15.75" customHeight="1" x14ac:dyDescent="0.25">
      <c r="B28" s="19" t="s">
        <v>121</v>
      </c>
      <c r="C28" s="99">
        <v>0.250608724</v>
      </c>
    </row>
    <row r="29" spans="1:8" ht="15.75" customHeight="1" x14ac:dyDescent="0.25">
      <c r="B29" s="19" t="s">
        <v>122</v>
      </c>
      <c r="C29" s="99">
        <v>9.0697442000000003E-2</v>
      </c>
    </row>
    <row r="30" spans="1:8" ht="15.75" customHeight="1" x14ac:dyDescent="0.25">
      <c r="B30" s="19" t="s">
        <v>2</v>
      </c>
      <c r="C30" s="99">
        <v>0.16739261999999999</v>
      </c>
    </row>
    <row r="31" spans="1:8" ht="15.75" customHeight="1" x14ac:dyDescent="0.25">
      <c r="B31" s="19" t="s">
        <v>123</v>
      </c>
      <c r="C31" s="99">
        <v>6.9589346999999982E-2</v>
      </c>
    </row>
    <row r="32" spans="1:8" ht="15.75" customHeight="1" x14ac:dyDescent="0.25">
      <c r="B32" s="19" t="s">
        <v>124</v>
      </c>
      <c r="C32" s="99">
        <v>1.8007848999999999E-2</v>
      </c>
    </row>
    <row r="33" spans="2:3" ht="15.75" customHeight="1" x14ac:dyDescent="0.25">
      <c r="B33" s="19" t="s">
        <v>125</v>
      </c>
      <c r="C33" s="99">
        <v>4.5114976999999987E-2</v>
      </c>
    </row>
    <row r="34" spans="2:3" ht="15.75" customHeight="1" x14ac:dyDescent="0.25">
      <c r="B34" s="19" t="s">
        <v>126</v>
      </c>
      <c r="C34" s="99">
        <v>0.32317417500000001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+4/nW8RQVPdu9e4H8XhroVKPvXk+UdHTmNOXFBJWKF1LMCDrGuRscWARs3AQPaaEDlgM/aMcgia+A3pKO3sh3w==" saltValue="IeVLNlmC1LzbVrqTZaU5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132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133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137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138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fRVAiRgcKZQf7mmvvwIsApYXXua6WpOR4FeBT6+a46ZESmYVnnNZv8qnsQ9kwiv3aAz4aWqWYnBRepe+Gv4xg==" saltValue="JSlS15uocrBPeG71F3aq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ajkB1uklO4V9QxgIO4bNL97aefR4bWjqqh5YHbtfWdk6ELnDhXUsuQmPVv8A6gGJDDPGP6Ru4mPlGNpM3Y/8Kw==" saltValue="OX+Jn0t3HDKhvwVFi9io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BRfzkLkcilHdf4CmfLNs+i4KgR/lj5F+FAJmcb0FviKIWIpPwo42sVRHJKVIFO43KzyosEezCCyc1dojMrnkw==" saltValue="gE5ckH1xAW1Z+uMRnAZ0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2410.8880207068901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0.56893000000000005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0.29924000000000001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2.3635785231880653E-2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96616.471839999998</v>
      </c>
      <c r="C22" s="107">
        <v>96347.135309999998</v>
      </c>
      <c r="D22" s="107">
        <v>96086.182459999996</v>
      </c>
      <c r="E22" s="107">
        <v>95684.075379999995</v>
      </c>
      <c r="F22" s="107">
        <v>95063.562330000001</v>
      </c>
      <c r="G22" s="107">
        <v>94353.994089999993</v>
      </c>
      <c r="H22" s="107">
        <v>93458.443530000004</v>
      </c>
      <c r="I22" s="107">
        <v>92275.410969999997</v>
      </c>
      <c r="J22" s="107">
        <v>90738.570909999995</v>
      </c>
      <c r="K22" s="107">
        <v>88590.875839999993</v>
      </c>
      <c r="L22" s="107">
        <v>85203.152830000006</v>
      </c>
      <c r="M22" s="107">
        <v>80325.686430000002</v>
      </c>
      <c r="N22" s="107">
        <v>73568.673049999998</v>
      </c>
      <c r="O22" s="107">
        <v>64391.779889999998</v>
      </c>
    </row>
  </sheetData>
  <sheetProtection algorithmName="SHA-512" hashValue="G1x7hEM085/5CiTElCFlB3RZGBPQpQnkpx1PytJRXjUSJB404chXepZIGUC67gYjrGtHhKoZ1WAhtprkN3Pntw==" saltValue="7CSnzbbz75V88za1IF4o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3RH5Ez2pJseJKrGKt0HM78hcWyGyHefCtt3UMMwplyjOn7bv2PORLP+BmNWVUvx2Rv4qPsW3ec/4U8BWp5CMg==" saltValue="IEMdwu8mYYBlC7/GRyl+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XxioBC7WzuOU0hRY9Y11cQQrrRV0HQ+7v9XAiSFFb+Kkn6c1qXOm0sRx72McAqzrSxuIQr1ihFO3ph9pxFdLg==" saltValue="06ZHXT9gH1NDW7AQ3a0S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14.302968270214945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14.302968270214945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1.5426821704772209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8.3433981576253854E-2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0.52523580000000003</v>
      </c>
      <c r="C10" s="96">
        <v>0.95</v>
      </c>
      <c r="D10" s="56">
        <v>12.664388720547789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12.664388720547789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12.664388720547789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12.664388720547789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0.52523580000000003</v>
      </c>
      <c r="C14" s="96">
        <v>0.95</v>
      </c>
      <c r="D14" s="56">
        <v>12.664388720547789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12.664388720547789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0.17549090000000001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2.6852323958333302E-3</v>
      </c>
      <c r="C17" s="96">
        <v>0.95</v>
      </c>
      <c r="D17" s="56">
        <v>5.9595701125895607E-2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0.56000000000000005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0.60997190000000001</v>
      </c>
      <c r="C19" s="96">
        <v>0.95</v>
      </c>
      <c r="D19" s="56">
        <v>4.0144932296368099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0.25387939999999998</v>
      </c>
      <c r="C23" s="96">
        <v>0.95</v>
      </c>
      <c r="D23" s="56">
        <v>4.0619684601961064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0.63353828607887197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21.89376196990424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0.60628720000000003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0.23551420000000001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127.53480040941659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0.54</v>
      </c>
      <c r="C32" s="96">
        <v>0.95</v>
      </c>
      <c r="D32" s="56">
        <v>8.3433981576253854E-2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0.76264790000000005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0.36646840000000003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6.6521999999999998E-2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0.44826470000000002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0.23499999999999999</v>
      </c>
      <c r="C38" s="96">
        <v>0.95</v>
      </c>
      <c r="D38" s="56">
        <v>0.7628249744114638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i3cb6H7piZIcD34qRsaU9dJFfWaPZSIeUQJ9rc2eo88I5WOASMnAZqFQOc+pe5v/ob7lto9PDUl8Nxo4x0hf0A==" saltValue="EXidk7A4gkr6PngNfxUf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/rpVGp+Ox1b9zZkoZ6rtTUAFUqkCu/OISCtZNxbYyTBzVkf4HDmQG/8uihLiDj1+a/UH/HtXNWMkXnWqgwDfg==" saltValue="WwO+NHMBGidH0Tmabv7a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KursuPNSBxinbyK0bXIhqETElL0xQv/waEGCX4yzJJt1WlkEnyVEGIivhz5kIwcPaWZg2O9EigRAMGahe3hQg==" saltValue="FiJlagz0tXesMoukGQc0X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2.08</v>
      </c>
      <c r="C2" s="21">
        <f>'Données pop de l''année de ref'!C52</f>
        <v>2.08</v>
      </c>
      <c r="D2" s="21">
        <f>'Données pop de l''année de ref'!C53</f>
        <v>3.3279999999999998</v>
      </c>
      <c r="E2" s="21">
        <f>'Données pop de l''année de ref'!C54</f>
        <v>2.6</v>
      </c>
      <c r="F2" s="21">
        <f>'Données pop de l''année de ref'!C55</f>
        <v>1.412666666666667</v>
      </c>
    </row>
    <row r="3" spans="1:6" ht="15.75" customHeight="1" x14ac:dyDescent="0.25">
      <c r="A3" s="3" t="s">
        <v>238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237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dNPYpzHkDLO77DA7+FSqS4EV2vhOuhgrjAS3OTdHx6fXYKxZumJlFXbj83Ms0SGxO2293Xh21oixVThuD5RbaQ==" saltValue="JmMvMaNgcW1noI0DKE1+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iMdFwkCrwe+htbk3o45Gx4GGPWyn6Xh/P+5EJPsXK70iuGAHDS0AasC+FnRevmOonn9+hzRQpvneAteWGKXww==" saltValue="X+DyWQ3pHodnLATqYFb9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7rc+4XDJvOVsYMFjzoeuZHs4uLr2WZg5AfopUmv1QaoHD0hrtk6V4YHvve+jEy7oB1y5ni9KRlxxsi0jseT1A==" saltValue="gRdiprGqqdyCFYUV7CYl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WP2W3IJQu3Mw22Bs2qEPN/LIkPRMPzrN/E72b4dEs6IUje4LkFEQ7mif6XKGwWsaF/z2kOkje0+K90Rr+0hcA==" saltValue="v/3eGlkJNYUmfnJYQ/bE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92+ZORbSTq9ocJv+na4DI4dg5gxlBiJNdXrvEYAjunwmnJZwtm54HaiGhzJHxZYz4T/TA1vwSSdMZrymibZ6Q==" saltValue="j4U1dhgV2Qj+5hSIYN4v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F2UoJZFmWwTmo7QHWKkdpC/jolCH/x1FBsst8bZCbA/da97xNrYiMuBe/rQ7aqLuvqOY/kAgHv7AFz9hR9ksOg==" saltValue="0ioynDC+qrsqoDRS6XUI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1yYpDPZ5UqNnbQi7o7zhU3JisFCN3jCpSMgO8No9HGa1B4x9/eYQg6aNtKDwwqPjoAfKr2985T1dDvdkPlySAw==" saltValue="izyVCEHHLGQ/HnB4uodB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SOghA1kq9c+88UQoz9sHj6Bl2+V3Ebc2Gm+yhJgmW7kwEso7JFeHiQ6FgqgLsDIjtemYAGOSa6HlTp7mJKLUQ==" saltValue="EcF/UE+7Bt6H+HpKmLPeE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zZcAw6+dhzbwZDEg3z12r3w/PbP7pufUnRafdVb+fCIGzQ479PVP7QqvbUInUTf1q/vmrXnZHTG60G5j4fqlw==" saltValue="oFdLgCO1oNlzZEIdMV+W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EUyGE7u+R9qILTdFBUW3Wnj8lYrV2n4+rv0YGfSRzVKCcjpE5g1XP1aXzWWbf/ZwyPbQNj0TN/xly/rhMIGZw==" saltValue="tG2q9hIjdMAu1pLcveWS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I9RnDt9XXL+YYS1rUpkISaTJHPoYtk/FW3nC+jPt1/EcmZ1lPfYZuxQz7YvUxfMPbEkqjS2lRe4HpXh8r6f8g==" saltValue="NBHbg3bHJpEDKQMW/TSV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mok8CfF44sU3ffMkQNLADsf+njODea86sqegFhubIXvkl5q9DrY8e2xb2Msjta6uhh6dYyuVCWjPAlvklyX7g==" saltValue="UoWwA/lGOk3aMxYZfM20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hRnNHc1gyJ0ZfyWPiv+/JqIRrmSNUWi67aeChLpVYGsmVgGx4OvjnBlBGryGin5XfCz1nQQKCOzc7VkMvo/Nw==" saltValue="dKeVll0OSx3yf1sPCDeh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TGjFmAajxZnMKpZ+Zi/fmUvkIdvE8kNG35zQjZ5wuL5WkIPu4oEvz+4gGj7z3zvIKJpmlcSneS7Xp5fONzylA==" saltValue="Y8Cy6WUwYwB1J1lMAbUz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gDMI6MRvrniWzreQTcOqCuUWj8Bi7Mvu0LY3sBbAv+j9kLxqCLQVIImxfb8dF9pfThI+/TADC9LLumBA+m4dw==" saltValue="FPK2tsaJHMgW3tr40TRz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K4V/YnEFi8pA7egpQtTqM8YcDVKB9nzviT6M7wJvoS9HOhkXmB14mA/ltNZI5i6LMIdXmuaCXdr4/GgbfXh8w==" saltValue="YBwoWi2SZdBtixssFwEf4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