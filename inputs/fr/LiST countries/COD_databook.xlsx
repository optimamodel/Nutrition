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24DD1B9-A4D6-4F06-BD84-8B5BDEB3088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5" i="2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I9" i="2"/>
  <c r="A24" i="2"/>
  <c r="A40" i="2"/>
  <c r="A25" i="2"/>
  <c r="I11" i="2"/>
  <c r="A34" i="2"/>
  <c r="I6" i="2"/>
  <c r="I12" i="2"/>
  <c r="I2" i="2"/>
  <c r="I8" i="2"/>
  <c r="A19" i="2"/>
  <c r="I39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<sst xmlns="http://schemas.openxmlformats.org/spreadsheetml/2006/main" count="2169" uniqueCount="369">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</sst>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19199094</v>
      </c>
    </row>
    <row r="8" spans="1:3" ht="15" customHeight="1" x14ac:dyDescent="0.25">
      <c r="B8" s="5" t="s">
        <v>37</v>
      </c>
      <c r="C8" s="44">
        <v>0.7659999999999999</v>
      </c>
    </row>
    <row r="9" spans="1:3" ht="15" customHeight="1" x14ac:dyDescent="0.25">
      <c r="B9" s="5" t="s">
        <v>38</v>
      </c>
      <c r="C9" s="45">
        <v>0.85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0.10349999999999999</v>
      </c>
    </row>
    <row r="24" spans="1:3" ht="15" customHeight="1" x14ac:dyDescent="0.25">
      <c r="B24" s="15" t="s">
        <v>51</v>
      </c>
      <c r="C24" s="45">
        <v>0.45150000000000001</v>
      </c>
    </row>
    <row r="25" spans="1:3" ht="15" customHeight="1" x14ac:dyDescent="0.25">
      <c r="B25" s="15" t="s">
        <v>52</v>
      </c>
      <c r="C25" s="45">
        <v>0.35449999999999998</v>
      </c>
    </row>
    <row r="26" spans="1:3" ht="15" customHeight="1" x14ac:dyDescent="0.25">
      <c r="B26" s="15" t="s">
        <v>53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0.194032291097986</v>
      </c>
    </row>
    <row r="30" spans="1:3" ht="14.25" customHeight="1" x14ac:dyDescent="0.25">
      <c r="B30" s="25" t="s">
        <v>56</v>
      </c>
      <c r="C30" s="97">
        <v>8.3858999788103697E-2</v>
      </c>
    </row>
    <row r="31" spans="1:3" ht="14.25" customHeight="1" x14ac:dyDescent="0.25">
      <c r="B31" s="25" t="s">
        <v>57</v>
      </c>
      <c r="C31" s="97">
        <v>0.13473133352303801</v>
      </c>
    </row>
    <row r="32" spans="1:3" ht="14.25" customHeight="1" x14ac:dyDescent="0.25">
      <c r="B32" s="25" t="s">
        <v>58</v>
      </c>
      <c r="C32" s="97">
        <v>0.587377375590873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26.48049</v>
      </c>
    </row>
    <row r="38" spans="1:5" ht="15" customHeight="1" x14ac:dyDescent="0.25">
      <c r="B38" s="11" t="s">
        <v>63</v>
      </c>
      <c r="C38" s="43">
        <v>62.369660000000003</v>
      </c>
      <c r="D38" s="12"/>
      <c r="E38" s="13"/>
    </row>
    <row r="39" spans="1:5" ht="15" customHeight="1" x14ac:dyDescent="0.25">
      <c r="B39" s="11" t="s">
        <v>64</v>
      </c>
      <c r="C39" s="43">
        <v>78.960539999999995</v>
      </c>
      <c r="D39" s="12"/>
      <c r="E39" s="12"/>
    </row>
    <row r="40" spans="1:5" ht="15" customHeight="1" x14ac:dyDescent="0.25">
      <c r="B40" s="11" t="s">
        <v>65</v>
      </c>
      <c r="C40" s="98">
        <v>5.47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1.05615E-2</v>
      </c>
      <c r="D45" s="12"/>
    </row>
    <row r="46" spans="1:5" ht="15.75" customHeight="1" x14ac:dyDescent="0.25">
      <c r="B46" s="11" t="s">
        <v>70</v>
      </c>
      <c r="C46" s="45">
        <v>0.1134815</v>
      </c>
      <c r="D46" s="12"/>
    </row>
    <row r="47" spans="1:5" ht="15.75" customHeight="1" x14ac:dyDescent="0.25">
      <c r="B47" s="11" t="s">
        <v>71</v>
      </c>
      <c r="C47" s="45">
        <v>7.0955900000000002E-2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2.6</v>
      </c>
      <c r="D51" s="12"/>
    </row>
    <row r="52" spans="1:4" ht="15" customHeight="1" x14ac:dyDescent="0.25">
      <c r="B52" s="11" t="s">
        <v>75</v>
      </c>
      <c r="C52" s="98">
        <v>2.6</v>
      </c>
    </row>
    <row r="53" spans="1:4" ht="15.75" customHeight="1" x14ac:dyDescent="0.25">
      <c r="B53" s="11" t="s">
        <v>76</v>
      </c>
      <c r="C53" s="98">
        <v>8.4500000000000011</v>
      </c>
    </row>
    <row r="54" spans="1:4" ht="15.75" customHeight="1" x14ac:dyDescent="0.25">
      <c r="B54" s="11" t="s">
        <v>77</v>
      </c>
      <c r="C54" s="98">
        <v>7.331999999999999</v>
      </c>
    </row>
    <row r="55" spans="1:4" ht="15.75" customHeight="1" x14ac:dyDescent="0.25">
      <c r="B55" s="11" t="s">
        <v>78</v>
      </c>
      <c r="C55" s="98">
        <v>2.9119999999999999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0.43530600000000003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bUlhP0XmwVPeUf94cPpPO/r9zhOWjrA2CsyWYD6/Y4Cs9FnU1m4+S9WFQ5YK8VBggPkRs3wZ42XNrXO3Kcym5g==" saltValue="YrXyRs+SCEOxrdaJV1KI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4467740</v>
      </c>
      <c r="C2" s="49">
        <v>5707427.5</v>
      </c>
      <c r="D2" s="49">
        <v>8798562.5</v>
      </c>
      <c r="E2" s="49">
        <v>6012901.5</v>
      </c>
      <c r="F2" s="49">
        <v>3867363</v>
      </c>
      <c r="G2" s="17">
        <f t="shared" ref="G2:G13" si="0">C2+D2+E2+F2</f>
        <v>24386254.5</v>
      </c>
      <c r="H2" s="17">
        <f t="shared" ref="H2:H13" si="1">(B2 + stillbirth*B2/(1000-stillbirth))/(1-abortion)</f>
        <v>5221489.943580579</v>
      </c>
      <c r="I2" s="17">
        <f t="shared" ref="I2:I13" si="2">G2-H2</f>
        <v>19164764.556419421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4559718</v>
      </c>
      <c r="C3" s="50">
        <v>5926746.5</v>
      </c>
      <c r="D3" s="50">
        <v>9049485.4999999981</v>
      </c>
      <c r="E3" s="50">
        <v>6256656.9999999991</v>
      </c>
      <c r="F3" s="50">
        <v>4013996</v>
      </c>
      <c r="G3" s="17">
        <f t="shared" si="0"/>
        <v>25246884.999999996</v>
      </c>
      <c r="H3" s="17">
        <f t="shared" si="1"/>
        <v>5328985.5010728808</v>
      </c>
      <c r="I3" s="17">
        <f t="shared" si="2"/>
        <v>19917899.498927116</v>
      </c>
    </row>
    <row r="4" spans="1:9" ht="15.75" customHeight="1" x14ac:dyDescent="0.25">
      <c r="A4" s="5">
        <f t="shared" si="3"/>
        <v>2026</v>
      </c>
      <c r="B4" s="49">
        <v>4634979</v>
      </c>
      <c r="C4" s="50">
        <v>6153007</v>
      </c>
      <c r="D4" s="50">
        <v>9304810.5</v>
      </c>
      <c r="E4" s="50">
        <v>6513274</v>
      </c>
      <c r="F4" s="50">
        <v>4175585</v>
      </c>
      <c r="G4" s="17">
        <f t="shared" si="0"/>
        <v>26146676.5</v>
      </c>
      <c r="H4" s="17">
        <f t="shared" si="1"/>
        <v>5416943.7427440202</v>
      </c>
      <c r="I4" s="17">
        <f t="shared" si="2"/>
        <v>20729732.757255979</v>
      </c>
    </row>
    <row r="5" spans="1:9" ht="15.75" customHeight="1" x14ac:dyDescent="0.25">
      <c r="A5" s="5">
        <f t="shared" si="3"/>
        <v>2027</v>
      </c>
      <c r="B5" s="49">
        <v>4715179</v>
      </c>
      <c r="C5" s="50">
        <v>6387147</v>
      </c>
      <c r="D5" s="50">
        <v>9591976.5</v>
      </c>
      <c r="E5" s="50">
        <v>6759084.9999999991</v>
      </c>
      <c r="F5" s="50">
        <v>4349830</v>
      </c>
      <c r="G5" s="17">
        <f t="shared" si="0"/>
        <v>27088038.5</v>
      </c>
      <c r="H5" s="17">
        <f t="shared" si="1"/>
        <v>5510674.2403726112</v>
      </c>
      <c r="I5" s="17">
        <f t="shared" si="2"/>
        <v>21577364.259627387</v>
      </c>
    </row>
    <row r="6" spans="1:9" ht="15.75" customHeight="1" x14ac:dyDescent="0.25">
      <c r="A6" s="5">
        <f t="shared" si="3"/>
        <v>2028</v>
      </c>
      <c r="B6" s="49">
        <v>4802947</v>
      </c>
      <c r="C6" s="50">
        <v>6626634.5</v>
      </c>
      <c r="D6" s="50">
        <v>9913193</v>
      </c>
      <c r="E6" s="50">
        <v>6992201.5</v>
      </c>
      <c r="F6" s="50">
        <v>4534990</v>
      </c>
      <c r="G6" s="17">
        <f t="shared" si="0"/>
        <v>28067019</v>
      </c>
      <c r="H6" s="17">
        <f t="shared" si="1"/>
        <v>5613249.5310941348</v>
      </c>
      <c r="I6" s="17">
        <f t="shared" si="2"/>
        <v>22453769.468905866</v>
      </c>
    </row>
    <row r="7" spans="1:9" ht="15.75" customHeight="1" x14ac:dyDescent="0.25">
      <c r="A7" s="5">
        <f t="shared" si="3"/>
        <v>2029</v>
      </c>
      <c r="B7" s="49">
        <v>4875684</v>
      </c>
      <c r="C7" s="50">
        <v>6867822</v>
      </c>
      <c r="D7" s="50">
        <v>10255639.5</v>
      </c>
      <c r="E7" s="50">
        <v>7228785.5</v>
      </c>
      <c r="F7" s="50">
        <v>4725643.5</v>
      </c>
      <c r="G7" s="17">
        <f t="shared" si="0"/>
        <v>29077890.5</v>
      </c>
      <c r="H7" s="17">
        <f t="shared" si="1"/>
        <v>5698257.9501217017</v>
      </c>
      <c r="I7" s="17">
        <f t="shared" si="2"/>
        <v>23379632.549878299</v>
      </c>
    </row>
    <row r="8" spans="1:9" ht="15.75" customHeight="1" x14ac:dyDescent="0.25">
      <c r="A8" s="5">
        <f t="shared" si="3"/>
        <v>2030</v>
      </c>
      <c r="B8" s="49">
        <v>4954791</v>
      </c>
      <c r="C8" s="50">
        <v>7111088</v>
      </c>
      <c r="D8" s="50">
        <v>10608311</v>
      </c>
      <c r="E8" s="50">
        <v>7479335.5</v>
      </c>
      <c r="F8" s="50">
        <v>4918201.9999999991</v>
      </c>
      <c r="G8" s="17">
        <f t="shared" si="0"/>
        <v>30116936.5</v>
      </c>
      <c r="H8" s="17">
        <f t="shared" si="1"/>
        <v>5790711.0483250059</v>
      </c>
      <c r="I8" s="17">
        <f t="shared" si="2"/>
        <v>24326225.451674994</v>
      </c>
    </row>
    <row r="9" spans="1:9" ht="15.75" customHeight="1" x14ac:dyDescent="0.25">
      <c r="A9" s="5">
        <f t="shared" si="3"/>
        <v>2031</v>
      </c>
      <c r="B9" s="49">
        <v>5028912</v>
      </c>
      <c r="C9" s="50">
        <v>7353354</v>
      </c>
      <c r="D9" s="50">
        <v>10978867.5</v>
      </c>
      <c r="E9" s="50">
        <v>7736087.5000000009</v>
      </c>
      <c r="F9" s="50">
        <v>5116893.5</v>
      </c>
      <c r="G9" s="17">
        <f t="shared" si="0"/>
        <v>31185202.5</v>
      </c>
      <c r="H9" s="17">
        <f t="shared" si="1"/>
        <v>5877336.9612268619</v>
      </c>
      <c r="I9" s="17">
        <f t="shared" si="2"/>
        <v>25307865.538773138</v>
      </c>
    </row>
    <row r="10" spans="1:9" ht="15.75" customHeight="1" x14ac:dyDescent="0.25">
      <c r="A10" s="5">
        <f t="shared" si="3"/>
        <v>2032</v>
      </c>
      <c r="B10" s="49">
        <v>5084138</v>
      </c>
      <c r="C10" s="50">
        <v>7601006</v>
      </c>
      <c r="D10" s="50">
        <v>11374679</v>
      </c>
      <c r="E10" s="50">
        <v>7994606.5</v>
      </c>
      <c r="F10" s="50">
        <v>5322073</v>
      </c>
      <c r="G10" s="17">
        <f t="shared" si="0"/>
        <v>32292364.5</v>
      </c>
      <c r="H10" s="17">
        <f t="shared" si="1"/>
        <v>5941880.1091325544</v>
      </c>
      <c r="I10" s="17">
        <f t="shared" si="2"/>
        <v>26350484.390867446</v>
      </c>
    </row>
    <row r="11" spans="1:9" ht="15.75" customHeight="1" x14ac:dyDescent="0.25">
      <c r="A11" s="5">
        <f t="shared" si="3"/>
        <v>2033</v>
      </c>
      <c r="B11" s="49">
        <v>5153883</v>
      </c>
      <c r="C11" s="50">
        <v>7861221</v>
      </c>
      <c r="D11" s="50">
        <v>11793474.5</v>
      </c>
      <c r="E11" s="50">
        <v>8252710.4999999991</v>
      </c>
      <c r="F11" s="50">
        <v>5533688</v>
      </c>
      <c r="G11" s="17">
        <f t="shared" si="0"/>
        <v>33441094</v>
      </c>
      <c r="H11" s="17">
        <f t="shared" si="1"/>
        <v>6023391.7494954746</v>
      </c>
      <c r="I11" s="17">
        <f t="shared" si="2"/>
        <v>27417702.250504524</v>
      </c>
    </row>
    <row r="12" spans="1:9" ht="15.75" customHeight="1" x14ac:dyDescent="0.25">
      <c r="A12" s="5">
        <f t="shared" si="3"/>
        <v>2034</v>
      </c>
      <c r="B12" s="49">
        <v>5219842</v>
      </c>
      <c r="C12" s="50">
        <v>8125729.5</v>
      </c>
      <c r="D12" s="50">
        <v>12232980</v>
      </c>
      <c r="E12" s="50">
        <v>8508896.5</v>
      </c>
      <c r="F12" s="50">
        <v>5752367</v>
      </c>
      <c r="G12" s="17">
        <f t="shared" si="0"/>
        <v>34619973</v>
      </c>
      <c r="H12" s="17">
        <f t="shared" si="1"/>
        <v>6100478.6558930324</v>
      </c>
      <c r="I12" s="17">
        <f t="shared" si="2"/>
        <v>28519494.344106968</v>
      </c>
    </row>
    <row r="13" spans="1:9" ht="15.75" customHeight="1" x14ac:dyDescent="0.25">
      <c r="A13" s="5">
        <f t="shared" si="3"/>
        <v>2035</v>
      </c>
      <c r="B13" s="49">
        <v>5266778</v>
      </c>
      <c r="C13" s="50">
        <v>8390195</v>
      </c>
      <c r="D13" s="50">
        <v>12688079.5</v>
      </c>
      <c r="E13" s="50">
        <v>8756132.5</v>
      </c>
      <c r="F13" s="50">
        <v>5988797.5000000009</v>
      </c>
      <c r="G13" s="17">
        <f t="shared" si="0"/>
        <v>35823204.5</v>
      </c>
      <c r="H13" s="17">
        <f t="shared" si="1"/>
        <v>6155333.2024852466</v>
      </c>
      <c r="I13" s="17">
        <f t="shared" si="2"/>
        <v>29667871.297514752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OfONoUjefUY04WT+A3fc3JF4ZNHqyKwbDOCHBITACS/uPeo9d+ockpFdt9WnorwOHD2bNxWhQR0ymneAvdyjQ==" saltValue="eIYCi+ElEneQd7S8kqSSv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1.0924097815180431E-2</v>
      </c>
    </row>
    <row r="4" spans="1:8" ht="15.75" customHeight="1" x14ac:dyDescent="0.25">
      <c r="B4" s="19" t="s">
        <v>97</v>
      </c>
      <c r="C4" s="99">
        <v>5.9342188131562293E-2</v>
      </c>
    </row>
    <row r="5" spans="1:8" ht="15.75" customHeight="1" x14ac:dyDescent="0.25">
      <c r="B5" s="19" t="s">
        <v>98</v>
      </c>
      <c r="C5" s="99">
        <v>7.3863785227242837E-2</v>
      </c>
    </row>
    <row r="6" spans="1:8" ht="15.75" customHeight="1" x14ac:dyDescent="0.25">
      <c r="B6" s="19" t="s">
        <v>99</v>
      </c>
      <c r="C6" s="99">
        <v>0.24698675060264991</v>
      </c>
    </row>
    <row r="7" spans="1:8" ht="15.75" customHeight="1" x14ac:dyDescent="0.25">
      <c r="B7" s="19" t="s">
        <v>100</v>
      </c>
      <c r="C7" s="99">
        <v>0.41603591679281682</v>
      </c>
    </row>
    <row r="8" spans="1:8" ht="15.75" customHeight="1" x14ac:dyDescent="0.25">
      <c r="B8" s="19" t="s">
        <v>101</v>
      </c>
      <c r="C8" s="99">
        <v>2.3167995366400931E-3</v>
      </c>
    </row>
    <row r="9" spans="1:8" ht="15.75" customHeight="1" x14ac:dyDescent="0.25">
      <c r="B9" s="19" t="s">
        <v>102</v>
      </c>
      <c r="C9" s="99">
        <v>7.6129484774103029E-2</v>
      </c>
    </row>
    <row r="10" spans="1:8" ht="15.75" customHeight="1" x14ac:dyDescent="0.25">
      <c r="B10" s="19" t="s">
        <v>103</v>
      </c>
      <c r="C10" s="99">
        <v>0.1144009771198046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106</v>
      </c>
      <c r="C15" s="99">
        <v>0.1384019313505874</v>
      </c>
      <c r="D15" s="99">
        <v>0.1384019313505874</v>
      </c>
      <c r="E15" s="99">
        <v>0.1384019313505874</v>
      </c>
      <c r="F15" s="99">
        <v>0.1384019313505874</v>
      </c>
    </row>
    <row r="16" spans="1:8" ht="15.75" customHeight="1" x14ac:dyDescent="0.25">
      <c r="B16" s="19" t="s">
        <v>107</v>
      </c>
      <c r="C16" s="99">
        <v>1.8396651510170978E-2</v>
      </c>
      <c r="D16" s="99">
        <v>1.8396651510170978E-2</v>
      </c>
      <c r="E16" s="99">
        <v>1.8396651510170978E-2</v>
      </c>
      <c r="F16" s="99">
        <v>1.8396651510170978E-2</v>
      </c>
    </row>
    <row r="17" spans="1:8" ht="15.75" customHeight="1" x14ac:dyDescent="0.25">
      <c r="B17" s="19" t="s">
        <v>108</v>
      </c>
      <c r="C17" s="99">
        <v>0.300625285196292</v>
      </c>
      <c r="D17" s="99">
        <v>0.300625285196292</v>
      </c>
      <c r="E17" s="99">
        <v>0.300625285196292</v>
      </c>
      <c r="F17" s="99">
        <v>0.300625285196292</v>
      </c>
    </row>
    <row r="18" spans="1:8" ht="15.75" customHeight="1" x14ac:dyDescent="0.25">
      <c r="B18" s="19" t="s">
        <v>109</v>
      </c>
      <c r="C18" s="99">
        <v>0.25865494885136592</v>
      </c>
      <c r="D18" s="99">
        <v>0.25865494885136592</v>
      </c>
      <c r="E18" s="99">
        <v>0.25865494885136592</v>
      </c>
      <c r="F18" s="99">
        <v>0.25865494885136592</v>
      </c>
    </row>
    <row r="19" spans="1:8" ht="15.75" customHeight="1" x14ac:dyDescent="0.25">
      <c r="B19" s="19" t="s">
        <v>110</v>
      </c>
      <c r="C19" s="99">
        <v>7.9643186956897555E-3</v>
      </c>
      <c r="D19" s="99">
        <v>7.9643186956897555E-3</v>
      </c>
      <c r="E19" s="99">
        <v>7.9643186956897555E-3</v>
      </c>
      <c r="F19" s="99">
        <v>7.9643186956897555E-3</v>
      </c>
    </row>
    <row r="20" spans="1:8" ht="15.75" customHeight="1" x14ac:dyDescent="0.25">
      <c r="B20" s="19" t="s">
        <v>111</v>
      </c>
      <c r="C20" s="99">
        <v>2.050462173124637E-2</v>
      </c>
      <c r="D20" s="99">
        <v>2.050462173124637E-2</v>
      </c>
      <c r="E20" s="99">
        <v>2.050462173124637E-2</v>
      </c>
      <c r="F20" s="99">
        <v>2.050462173124637E-2</v>
      </c>
    </row>
    <row r="21" spans="1:8" ht="15.75" customHeight="1" x14ac:dyDescent="0.25">
      <c r="B21" s="19" t="s">
        <v>112</v>
      </c>
      <c r="C21" s="99">
        <v>5.0702694385967979E-2</v>
      </c>
      <c r="D21" s="99">
        <v>5.0702694385967979E-2</v>
      </c>
      <c r="E21" s="99">
        <v>5.0702694385967979E-2</v>
      </c>
      <c r="F21" s="99">
        <v>5.0702694385967979E-2</v>
      </c>
    </row>
    <row r="22" spans="1:8" ht="15.75" customHeight="1" x14ac:dyDescent="0.25">
      <c r="B22" s="19" t="s">
        <v>113</v>
      </c>
      <c r="C22" s="99">
        <v>9.6511859903689087E-2</v>
      </c>
      <c r="D22" s="99">
        <v>9.6511859903689087E-2</v>
      </c>
      <c r="E22" s="99">
        <v>9.6511859903689087E-2</v>
      </c>
      <c r="F22" s="99">
        <v>9.6511859903689087E-2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8.8863841000000013E-2</v>
      </c>
    </row>
    <row r="27" spans="1:8" ht="15.75" customHeight="1" x14ac:dyDescent="0.25">
      <c r="B27" s="19" t="s">
        <v>120</v>
      </c>
      <c r="C27" s="99">
        <v>8.6695709999999992E-3</v>
      </c>
    </row>
    <row r="28" spans="1:8" ht="15.75" customHeight="1" x14ac:dyDescent="0.25">
      <c r="B28" s="19" t="s">
        <v>121</v>
      </c>
      <c r="C28" s="99">
        <v>0.15751688699999999</v>
      </c>
    </row>
    <row r="29" spans="1:8" ht="15.75" customHeight="1" x14ac:dyDescent="0.25">
      <c r="B29" s="19" t="s">
        <v>122</v>
      </c>
      <c r="C29" s="99">
        <v>0.169742745</v>
      </c>
    </row>
    <row r="30" spans="1:8" ht="15.75" customHeight="1" x14ac:dyDescent="0.25">
      <c r="B30" s="19" t="s">
        <v>2</v>
      </c>
      <c r="C30" s="99">
        <v>0.104932133</v>
      </c>
    </row>
    <row r="31" spans="1:8" ht="15.75" customHeight="1" x14ac:dyDescent="0.25">
      <c r="B31" s="19" t="s">
        <v>123</v>
      </c>
      <c r="C31" s="99">
        <v>0.108637312</v>
      </c>
    </row>
    <row r="32" spans="1:8" ht="15.75" customHeight="1" x14ac:dyDescent="0.25">
      <c r="B32" s="19" t="s">
        <v>124</v>
      </c>
      <c r="C32" s="99">
        <v>1.8842111000000002E-2</v>
      </c>
    </row>
    <row r="33" spans="2:3" ht="15.75" customHeight="1" x14ac:dyDescent="0.25">
      <c r="B33" s="19" t="s">
        <v>125</v>
      </c>
      <c r="C33" s="99">
        <v>8.5849647000000001E-2</v>
      </c>
    </row>
    <row r="34" spans="2:3" ht="15.75" customHeight="1" x14ac:dyDescent="0.25">
      <c r="B34" s="19" t="s">
        <v>126</v>
      </c>
      <c r="C34" s="99">
        <v>0.256945753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uppIHNaJc2FKVhRvDcP7gqyrcvwW1yT7PV70E3PywfGhAujlrC6BcsaCBTsKsdIz65doS8iz96mS3RHufAj1QA==" saltValue="QQ7qmcq/HIU2PPgzvUtt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132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133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137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138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+Hre8guBe1H3FRZAfYe6Oe0Ful9twInAdi8zQP6puVMe/GPGMWeTa05WyuwZqXNduYh+qJ40MSVlxbiAZpWBg==" saltValue="K6YlicB3EN2wNKSCAEYs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3pLCuaQTmkBiYnoDA0eHebPwGXvoPBEPkALZY9uGWoawoaVJ0Y99rvQzzE42PIxrPynapbcSUyqZ0iyBg2cPjA==" saltValue="LaM2IXv1jqfs/Cj/Hupe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N6HFPXPG7dO0aX11b9vQyLWdH6aCkkPcbPY/pSWp3bm31mpEk5tKqJszbF2rDQMH1Sw2wR84TBk+4QcUx5KMw==" saltValue="zr/K+dengoXVcEa2lMyMn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653.65622306935404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0.38831000000000004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0.63511000000000006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1.8264712518805733E-2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91499.898220000003</v>
      </c>
      <c r="C22" s="107">
        <v>90358.383560000002</v>
      </c>
      <c r="D22" s="107">
        <v>89469.407489999998</v>
      </c>
      <c r="E22" s="107">
        <v>88881.245850000007</v>
      </c>
      <c r="F22" s="107">
        <v>88041.803199999995</v>
      </c>
      <c r="G22" s="107">
        <v>87058.656400000007</v>
      </c>
      <c r="H22" s="107">
        <v>85830.51096</v>
      </c>
      <c r="I22" s="107">
        <v>84178.660080000001</v>
      </c>
      <c r="J22" s="107">
        <v>81808.071880000003</v>
      </c>
      <c r="K22" s="107">
        <v>78588.600930000001</v>
      </c>
      <c r="L22" s="107">
        <v>74068.732969999997</v>
      </c>
      <c r="M22" s="107">
        <v>67986.659400000004</v>
      </c>
      <c r="N22" s="107">
        <v>59774.141159999999</v>
      </c>
      <c r="O22" s="107">
        <v>49765.920109999999</v>
      </c>
    </row>
  </sheetData>
  <sheetProtection algorithmName="SHA-512" hashValue="wvcyJEZxToke5w1Achh8+S45fZixQ9WV5+yhms/gpFzNfIFnKo8eYrYVH51GaiDBwFEgJOJJi289iPKjGzpCUQ==" saltValue="HS9vnaGgKiGmKVShiy4r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IhXuKT9V8zsIkZJ63BCm86kEgLjTRQY4jjhXOYSu4RhxdLMI6Eql3ttHds9o0ccM9FIR9EPx3Fdp/vG6s/LzA==" saltValue="l7qhnm7HP9nOEwYZzC/K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bGqCBW6siy2SEr9n3h02SivtDw/l9pZlEChPzf6kh0hii5mJXC6JzRBz/Eajq/12VIUoj84oMvW4Ue177ZVAEA==" saltValue="K5EI2orKMNsHbp+nuT45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6.43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0.25711131554737809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4.7419200000000002E-2</v>
      </c>
      <c r="C10" s="96">
        <v>0.95</v>
      </c>
      <c r="D10" s="56">
        <v>17.31420994224495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17.31420994224495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17.31420994224495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17.31420994224495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2.5711131554737809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17.31420994224495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0.53109870000000003</v>
      </c>
      <c r="C16" s="96">
        <v>0.95</v>
      </c>
      <c r="D16" s="56">
        <v>2.5983725690890487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6.4277828886844524E-2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0.29899999999999999</v>
      </c>
      <c r="C18" s="96">
        <v>0.95</v>
      </c>
      <c r="D18" s="56">
        <v>6.4277828886844528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0.51534999999999997</v>
      </c>
      <c r="C19" s="96">
        <v>0.95</v>
      </c>
      <c r="D19" s="56">
        <v>1.1471640149207829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6.43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0.64157470000000005</v>
      </c>
      <c r="C23" s="96">
        <v>0.95</v>
      </c>
      <c r="D23" s="56">
        <v>5.6296372188471304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0.16775714976716499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4.5508702851885925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0.24051800000000001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0.1522435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0.11210000000000001</v>
      </c>
      <c r="C31" s="96">
        <v>0.95</v>
      </c>
      <c r="D31" s="56">
        <v>208.26016559337626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0.70399999999999996</v>
      </c>
      <c r="C32" s="96">
        <v>0.95</v>
      </c>
      <c r="D32" s="56">
        <v>0.70705611775528987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0.19352469999999999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0.59762630000000005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3.0879000000000002E-3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0.35729519999999998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1.6E-2</v>
      </c>
      <c r="C38" s="96">
        <v>0.95</v>
      </c>
      <c r="D38" s="56">
        <v>1.1827120515179392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ASRzUxDnaXshNARiuB90G4HriN/kTeeyKApGt8Fxr9HH4Db3RyfVUCx08+PwbP2H6HTCeJijtdSaptLmXVLvog==" saltValue="POyREZtscCYMioJWQMsU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u7lT5iYWEpnwPAUy9R6D/+K58osiv3smLr+0QUGrB4Y7J8NXjgV+G4F9X+uq/Cf/sEusLb/WsqnxoXngFC/ag==" saltValue="dEYgh3O77jMZ+H6HU2WT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/tNbam94cj1s5q1vEHgXb+yTyw1IsKdpRRlNewaJKELzMa4KbbEj+xCNbn0A8XPuXinQw4mQadpASEAojUm/RQ==" saltValue="pPlvLJKOrxuOcognAWhq/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2.6</v>
      </c>
      <c r="C2" s="21">
        <f>'Données pop de l''année de ref'!C52</f>
        <v>2.6</v>
      </c>
      <c r="D2" s="21">
        <f>'Données pop de l''année de ref'!C53</f>
        <v>8.4500000000000011</v>
      </c>
      <c r="E2" s="21">
        <f>'Données pop de l''année de ref'!C54</f>
        <v>7.331999999999999</v>
      </c>
      <c r="F2" s="21">
        <f>'Données pop de l''année de ref'!C55</f>
        <v>2.9119999999999999</v>
      </c>
    </row>
    <row r="3" spans="1:6" ht="15.75" customHeight="1" x14ac:dyDescent="0.25">
      <c r="A3" s="3" t="s">
        <v>238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237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VA3ZytbpqqNpS8cnXu141C46lnWPqcF8ZxxwnrBm+dYnV3q3Wfq1sYcBiAPautBHzu0LIJBCvEoPoI2zeRLSxg==" saltValue="mqhHGlbs7h7sVNxftuQH7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aWgSQNT3Wpv8/EcnTBBD5KDDZdrDuNj6AFCui9ZsxfILfGBClX/gAbUllkN5tiLiKCc+cLqw4MDKb0JJKHxMA==" saltValue="Mi6Yw6T+cGoXrLG70/Y1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JbmnmE32f+uZ3cc4Ts//jO64gn2SnEm0I1merNSwf1Cq2giLFRvmQvBGgxum2IYtnr3PqiVINSakUw0/RS3xA==" saltValue="NzW6/9FN1PoK5bk+trqQ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bBgOtxC7ru7wrU3+zebHGWoEj0zS4JIWQZwqZV4ldPx0TMTLgUl5GKY6gEorhGyJX8RKV/SyUty0XP85DSk9A==" saltValue="ajOoZxn9oGGghOf6Hr4z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EmpcdDcy9gcnvC6ZuRebvVM8Sb72F4pblD+HWv77nlTcjCvvKD45myQbYBeptifyCghISHcEanXNWepgRv7bA==" saltValue="FPtlTM1dg4WIo/EQ4bpg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nhT9NVUMus//kKh3xHqGfGXo/M/tea+Gm+6jlVSPoUj8Y6m3LeD23ObPltjg+clG10SxpmS0HzQVHTnqUy/0A==" saltValue="5/fCC/sH8kD2/jr8TXtPk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6vbc133JvZirdoLn9T/oecgH1Y+Ls6TuEd7DZq4dhpuJbQpd+O9hP9vEJnQjNqicQ1G3zRM9CmkAxQTs14mz/w==" saltValue="rvSlpTmrXPSClAIhJvT/2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CfLNGDkZ+IKEw7hFIaTpARe+HDKOpHEzE8G4S4f3E4FmAR3QHKipUKeyvu+Oh8sMqhSMJDADFsgjQupNVNEBQ==" saltValue="pKJQoz2oankIbXbL4qvga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Qra0KNRAlDZ3tTMKdyh6RlSszOdcWxxUwTZ0uXeJuN7lP5jUiTA4zTVNUe47C9hT7XyKSRkb8B3FwgRo9x0cg==" saltValue="2IEOCN3tzHY7GdAvrYtx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jfOHvR3iTOyfZn1+2xKp+hCzKQvtinANiyzB7lqc5FMUUXl1H1+DTDOmgt7SoPDYB1hT0LHtMKEKOIA96t+qA==" saltValue="lavo8arwCV8XNAubiBQk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jr4erB6W/os4wdguir0xGj47X8HegwkYf3lVcbh8Ri4a9Mp9fFTuS7pf14EDBHSFygZ618QweaYfkHwjd+Lcw==" saltValue="PWtt+dQcYZsHgdA1dq98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1Y8vMrmC5HW97a1CUu00XajPjaQBQczmm9pxYZEwUOjh8FMrwx64skxK8mvaOWkRAGfhcj5JhuY5+Mxfg+k7w==" saltValue="bD2YkMOetGfoZs9vzKQh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6i48O7sVwvUqjByhD1DcvfjrwS83qOuejIWt72Vyry/8K8LDgxzJ9261gTGNC2VBdoX+blXHm6Q775ldR+bfw==" saltValue="tLlZYDF5SDigUtMRtD/T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8YOiLJOHv/H64TqP/ZTazIszH7ucdx7kt9p8zGuEi49zfCZfc5GhB+NHZDZlasrRcNNdgYH/E9RJYxjaTs/ag==" saltValue="4keQH5B2al382E/le86t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JRE+vLjUedX++jOV7zMwwFyHUIjntiy6ZTPeP1oClALa7zmfbBWOixcd7FCWPrjfJCIc68/Hv5QjoCfr1ym7w==" saltValue="9hZndfr+1Nf6H4uq1XXa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9cdWhrrC4PCYtb0dbnc2QYtsa62O9Pk9zErOTFFM/FUuoY34ydBNGWpnFmoh4kTWgDPbGHQO8PZ4QEg/zEi+Ng==" saltValue="fo+YH4ljpt8D8Y0yRvfk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