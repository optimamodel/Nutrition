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46DBC5B-E4DF-428D-B51D-97EBBA2B3826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I39" i="2"/>
  <c r="H39" i="2"/>
  <c r="G39" i="2"/>
  <c r="H38" i="2"/>
  <c r="I38" i="2" s="1"/>
  <c r="G38" i="2"/>
  <c r="A17" i="2"/>
  <c r="I13" i="2"/>
  <c r="H13" i="2"/>
  <c r="G13" i="2"/>
  <c r="H12" i="2"/>
  <c r="I12" i="2" s="1"/>
  <c r="G12" i="2"/>
  <c r="H11" i="2"/>
  <c r="I11" i="2" s="1"/>
  <c r="G11" i="2"/>
  <c r="H10" i="2"/>
  <c r="I10" i="2" s="1"/>
  <c r="G10" i="2"/>
  <c r="I9" i="2"/>
  <c r="H9" i="2"/>
  <c r="G9" i="2"/>
  <c r="H8" i="2"/>
  <c r="I8" i="2" s="1"/>
  <c r="G8" i="2"/>
  <c r="H7" i="2"/>
  <c r="I7" i="2" s="1"/>
  <c r="G7" i="2"/>
  <c r="H6" i="2"/>
  <c r="I6" i="2" s="1"/>
  <c r="G6" i="2"/>
  <c r="I5" i="2"/>
  <c r="H5" i="2"/>
  <c r="G5" i="2"/>
  <c r="H4" i="2"/>
  <c r="I4" i="2" s="1"/>
  <c r="G4" i="2"/>
  <c r="H3" i="2"/>
  <c r="I3" i="2" s="1"/>
  <c r="G3" i="2"/>
  <c r="H2" i="2"/>
  <c r="I2" i="2" s="1"/>
  <c r="G2" i="2"/>
  <c r="A2" i="2"/>
  <c r="A22" i="2" s="1"/>
  <c r="C33" i="1"/>
  <c r="C20" i="1"/>
  <c r="A21" i="2" l="1"/>
  <c r="A25" i="2"/>
  <c r="A37" i="2"/>
  <c r="A29" i="2"/>
  <c r="A33" i="2"/>
  <c r="A40" i="2"/>
  <c r="A15" i="2"/>
  <c r="A23" i="2"/>
  <c r="A31" i="2"/>
  <c r="A14" i="2"/>
  <c r="A30" i="2"/>
  <c r="A38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39" i="2"/>
  <c r="A26" i="2"/>
  <c r="A19" i="2"/>
  <c r="A27" i="2"/>
  <c r="A35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<sst xmlns="http://schemas.openxmlformats.org/spreadsheetml/2006/main" count="2101" uniqueCount="337">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</sst>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19464602.25</v>
      </c>
    </row>
    <row r="8" spans="1:3" ht="15" customHeight="1" x14ac:dyDescent="0.25">
      <c r="B8" s="5" t="s">
        <v>19</v>
      </c>
      <c r="C8" s="44">
        <v>0.7659999999999999</v>
      </c>
    </row>
    <row r="9" spans="1:3" ht="15" customHeight="1" x14ac:dyDescent="0.25">
      <c r="B9" s="5" t="s">
        <v>20</v>
      </c>
      <c r="C9" s="45">
        <v>0.85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0.10349999999999999</v>
      </c>
    </row>
    <row r="24" spans="1:3" ht="15" customHeight="1" x14ac:dyDescent="0.25">
      <c r="B24" s="15" t="s">
        <v>33</v>
      </c>
      <c r="C24" s="45">
        <v>0.45150000000000001</v>
      </c>
    </row>
    <row r="25" spans="1:3" ht="15" customHeight="1" x14ac:dyDescent="0.25">
      <c r="B25" s="15" t="s">
        <v>34</v>
      </c>
      <c r="C25" s="45">
        <v>0.35449999999999998</v>
      </c>
    </row>
    <row r="26" spans="1:3" ht="15" customHeight="1" x14ac:dyDescent="0.25">
      <c r="B26" s="15" t="s">
        <v>35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0.194032291097986</v>
      </c>
    </row>
    <row r="30" spans="1:3" ht="14.25" customHeight="1" x14ac:dyDescent="0.25">
      <c r="B30" s="25" t="s">
        <v>38</v>
      </c>
      <c r="C30" s="99">
        <v>8.3858999788103697E-2</v>
      </c>
    </row>
    <row r="31" spans="1:3" ht="14.25" customHeight="1" x14ac:dyDescent="0.25">
      <c r="B31" s="25" t="s">
        <v>39</v>
      </c>
      <c r="C31" s="99">
        <v>0.13473133352303801</v>
      </c>
    </row>
    <row r="32" spans="1:3" ht="14.25" customHeight="1" x14ac:dyDescent="0.25">
      <c r="B32" s="25" t="s">
        <v>40</v>
      </c>
      <c r="C32" s="99">
        <v>0.587377375590873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26.48049</v>
      </c>
    </row>
    <row r="38" spans="1:5" ht="15" customHeight="1" x14ac:dyDescent="0.25">
      <c r="B38" s="11" t="s">
        <v>45</v>
      </c>
      <c r="C38" s="43">
        <v>62.369660000000003</v>
      </c>
      <c r="D38" s="12"/>
      <c r="E38" s="13"/>
    </row>
    <row r="39" spans="1:5" ht="15" customHeight="1" x14ac:dyDescent="0.25">
      <c r="B39" s="11" t="s">
        <v>46</v>
      </c>
      <c r="C39" s="43">
        <v>78.960539999999995</v>
      </c>
      <c r="D39" s="12"/>
      <c r="E39" s="12"/>
    </row>
    <row r="40" spans="1:5" ht="15" customHeight="1" x14ac:dyDescent="0.25">
      <c r="B40" s="11" t="s">
        <v>47</v>
      </c>
      <c r="C40" s="100">
        <v>5.47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1.05615E-2</v>
      </c>
      <c r="D45" s="12"/>
    </row>
    <row r="46" spans="1:5" ht="15.75" customHeight="1" x14ac:dyDescent="0.25">
      <c r="B46" s="11" t="s">
        <v>52</v>
      </c>
      <c r="C46" s="45">
        <v>0.1134815</v>
      </c>
      <c r="D46" s="12"/>
    </row>
    <row r="47" spans="1:5" ht="15.75" customHeight="1" x14ac:dyDescent="0.25">
      <c r="B47" s="11" t="s">
        <v>53</v>
      </c>
      <c r="C47" s="45">
        <v>7.0955900000000002E-2</v>
      </c>
      <c r="D47" s="12"/>
      <c r="E47" s="13"/>
    </row>
    <row r="48" spans="1:5" ht="15" customHeight="1" x14ac:dyDescent="0.25">
      <c r="B48" s="11" t="s">
        <v>54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0.43530600000000003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0.10843405</v>
      </c>
    </row>
    <row r="63" spans="1:4" ht="15.75" customHeight="1" x14ac:dyDescent="0.3">
      <c r="A63" s="4"/>
    </row>
  </sheetData>
  <sheetProtection algorithmName="SHA-512" hashValue="0Rpst7g1R8VwIBkyAlWU0q+NCaBdSBPI2O7AnqLeWrHnj4dHCJ3DHgBSn8Q0N4gFexgr2hLJnuucbEwIr1IuwA==" saltValue="dkZvzjYHFNfFJtnpLfOl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4341379</v>
      </c>
      <c r="C2" s="49">
        <v>6820836.4999999991</v>
      </c>
      <c r="D2" s="49">
        <v>8454121</v>
      </c>
      <c r="E2" s="49">
        <v>5826167</v>
      </c>
      <c r="F2" s="49">
        <v>3285238.5</v>
      </c>
      <c r="G2" s="17">
        <f t="shared" ref="G2:G13" si="0">C2+D2+E2+F2</f>
        <v>24386363</v>
      </c>
      <c r="H2" s="17">
        <f t="shared" ref="H2:H13" si="1">(B2 + stillbirth*B2/(1000-stillbirth))/(1-abortion)</f>
        <v>5073810.649180999</v>
      </c>
      <c r="I2" s="17">
        <f t="shared" ref="I2:I13" si="2">G2-H2</f>
        <v>19312552.350818999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4442689</v>
      </c>
      <c r="C3" s="50">
        <v>7096296.4999999991</v>
      </c>
      <c r="D3" s="50">
        <v>8714259</v>
      </c>
      <c r="E3" s="50">
        <v>6046929</v>
      </c>
      <c r="F3" s="50">
        <v>3410383</v>
      </c>
      <c r="G3" s="17">
        <f t="shared" si="0"/>
        <v>25267867.5</v>
      </c>
      <c r="H3" s="17">
        <f t="shared" si="1"/>
        <v>5192212.6032302827</v>
      </c>
      <c r="I3" s="17">
        <f t="shared" si="2"/>
        <v>20075654.896769717</v>
      </c>
    </row>
    <row r="4" spans="1:9" ht="15.75" customHeight="1" x14ac:dyDescent="0.25">
      <c r="A4" s="5">
        <f t="shared" si="3"/>
        <v>2026</v>
      </c>
      <c r="B4" s="49">
        <v>4548537</v>
      </c>
      <c r="C4" s="50">
        <v>7382062.5</v>
      </c>
      <c r="D4" s="50">
        <v>8978398</v>
      </c>
      <c r="E4" s="50">
        <v>6281811</v>
      </c>
      <c r="F4" s="50">
        <v>3549497</v>
      </c>
      <c r="G4" s="17">
        <f t="shared" si="0"/>
        <v>26191768.5</v>
      </c>
      <c r="H4" s="17">
        <f t="shared" si="1"/>
        <v>5315918.1607488748</v>
      </c>
      <c r="I4" s="17">
        <f t="shared" si="2"/>
        <v>20875850.339251123</v>
      </c>
    </row>
    <row r="5" spans="1:9" ht="15.75" customHeight="1" x14ac:dyDescent="0.25">
      <c r="A5" s="5">
        <f t="shared" si="3"/>
        <v>2027</v>
      </c>
      <c r="B5" s="49">
        <v>4653894</v>
      </c>
      <c r="C5" s="50">
        <v>7668421.5</v>
      </c>
      <c r="D5" s="50">
        <v>9275282</v>
      </c>
      <c r="E5" s="50">
        <v>6506117</v>
      </c>
      <c r="F5" s="50">
        <v>3702172</v>
      </c>
      <c r="G5" s="17">
        <f t="shared" si="0"/>
        <v>27151992.5</v>
      </c>
      <c r="H5" s="17">
        <f t="shared" si="1"/>
        <v>5439049.8819291182</v>
      </c>
      <c r="I5" s="17">
        <f t="shared" si="2"/>
        <v>21712942.618070882</v>
      </c>
    </row>
    <row r="6" spans="1:9" ht="15.75" customHeight="1" x14ac:dyDescent="0.25">
      <c r="A6" s="5">
        <f t="shared" si="3"/>
        <v>2028</v>
      </c>
      <c r="B6" s="49">
        <v>4757732</v>
      </c>
      <c r="C6" s="50">
        <v>7954271.0000000009</v>
      </c>
      <c r="D6" s="50">
        <v>9609095</v>
      </c>
      <c r="E6" s="50">
        <v>6717621.5</v>
      </c>
      <c r="F6" s="50">
        <v>3865803.5</v>
      </c>
      <c r="G6" s="17">
        <f t="shared" si="0"/>
        <v>28146791</v>
      </c>
      <c r="H6" s="17">
        <f t="shared" si="1"/>
        <v>5560406.3334597619</v>
      </c>
      <c r="I6" s="17">
        <f t="shared" si="2"/>
        <v>22586384.666540239</v>
      </c>
    </row>
    <row r="7" spans="1:9" ht="15.75" customHeight="1" x14ac:dyDescent="0.25">
      <c r="A7" s="5">
        <f t="shared" si="3"/>
        <v>2029</v>
      </c>
      <c r="B7" s="49">
        <v>4861293</v>
      </c>
      <c r="C7" s="50">
        <v>8238213</v>
      </c>
      <c r="D7" s="50">
        <v>9971364</v>
      </c>
      <c r="E7" s="50">
        <v>6929901.5</v>
      </c>
      <c r="F7" s="50">
        <v>4033419</v>
      </c>
      <c r="G7" s="17">
        <f t="shared" si="0"/>
        <v>29172897.5</v>
      </c>
      <c r="H7" s="17">
        <f t="shared" si="1"/>
        <v>5681439.0524736596</v>
      </c>
      <c r="I7" s="17">
        <f t="shared" si="2"/>
        <v>23491458.447526339</v>
      </c>
    </row>
    <row r="8" spans="1:9" ht="15.75" customHeight="1" x14ac:dyDescent="0.25">
      <c r="A8" s="5">
        <f t="shared" si="3"/>
        <v>2030</v>
      </c>
      <c r="B8" s="49">
        <v>4953376</v>
      </c>
      <c r="C8" s="50">
        <v>8520808</v>
      </c>
      <c r="D8" s="50">
        <v>10351962.5</v>
      </c>
      <c r="E8" s="50">
        <v>7152723</v>
      </c>
      <c r="F8" s="50">
        <v>4200074.5</v>
      </c>
      <c r="G8" s="17">
        <f t="shared" si="0"/>
        <v>30225568</v>
      </c>
      <c r="H8" s="17">
        <f t="shared" si="1"/>
        <v>5789057.324457868</v>
      </c>
      <c r="I8" s="17">
        <f t="shared" si="2"/>
        <v>24436510.675542131</v>
      </c>
    </row>
    <row r="9" spans="1:9" ht="15.75" customHeight="1" x14ac:dyDescent="0.25">
      <c r="A9" s="5">
        <f t="shared" si="3"/>
        <v>2031</v>
      </c>
      <c r="B9" s="49">
        <v>5051689</v>
      </c>
      <c r="C9" s="50">
        <v>8804670</v>
      </c>
      <c r="D9" s="50">
        <v>10752747.5</v>
      </c>
      <c r="E9" s="50">
        <v>7384110.5</v>
      </c>
      <c r="F9" s="50">
        <v>4367232.5</v>
      </c>
      <c r="G9" s="17">
        <f t="shared" si="0"/>
        <v>31308760.5</v>
      </c>
      <c r="H9" s="17">
        <f t="shared" si="1"/>
        <v>5903956.6562952707</v>
      </c>
      <c r="I9" s="17">
        <f t="shared" si="2"/>
        <v>25404803.84370473</v>
      </c>
    </row>
    <row r="10" spans="1:9" ht="15.75" customHeight="1" x14ac:dyDescent="0.25">
      <c r="A10" s="5">
        <f t="shared" si="3"/>
        <v>2032</v>
      </c>
      <c r="B10" s="49">
        <v>5141617</v>
      </c>
      <c r="C10" s="50">
        <v>9087791.0000000019</v>
      </c>
      <c r="D10" s="50">
        <v>11174441</v>
      </c>
      <c r="E10" s="50">
        <v>7624677</v>
      </c>
      <c r="F10" s="50">
        <v>4538119</v>
      </c>
      <c r="G10" s="17">
        <f t="shared" si="0"/>
        <v>32425028</v>
      </c>
      <c r="H10" s="17">
        <f t="shared" si="1"/>
        <v>6009056.3594217543</v>
      </c>
      <c r="I10" s="17">
        <f t="shared" si="2"/>
        <v>26415971.640578248</v>
      </c>
    </row>
    <row r="11" spans="1:9" ht="15.75" customHeight="1" x14ac:dyDescent="0.25">
      <c r="A11" s="5">
        <f t="shared" si="3"/>
        <v>2033</v>
      </c>
      <c r="B11" s="49">
        <v>5236252</v>
      </c>
      <c r="C11" s="50">
        <v>9373587</v>
      </c>
      <c r="D11" s="50">
        <v>11607351</v>
      </c>
      <c r="E11" s="50">
        <v>7879043.5</v>
      </c>
      <c r="F11" s="50">
        <v>4711961.5</v>
      </c>
      <c r="G11" s="17">
        <f t="shared" si="0"/>
        <v>33571943</v>
      </c>
      <c r="H11" s="17">
        <f t="shared" si="1"/>
        <v>6119657.1779140448</v>
      </c>
      <c r="I11" s="17">
        <f t="shared" si="2"/>
        <v>27452285.822085954</v>
      </c>
    </row>
    <row r="12" spans="1:9" ht="15.75" customHeight="1" x14ac:dyDescent="0.25">
      <c r="A12" s="5">
        <f t="shared" si="3"/>
        <v>2034</v>
      </c>
      <c r="B12" s="49">
        <v>5331018</v>
      </c>
      <c r="C12" s="50">
        <v>9661111</v>
      </c>
      <c r="D12" s="50">
        <v>12051770</v>
      </c>
      <c r="E12" s="50">
        <v>8141680.5</v>
      </c>
      <c r="F12" s="50">
        <v>4884369.5000000009</v>
      </c>
      <c r="G12" s="17">
        <f t="shared" si="0"/>
        <v>34738931</v>
      </c>
      <c r="H12" s="17">
        <f t="shared" si="1"/>
        <v>6230411.0973438593</v>
      </c>
      <c r="I12" s="17">
        <f t="shared" si="2"/>
        <v>28508519.902656142</v>
      </c>
    </row>
    <row r="13" spans="1:9" ht="15.75" customHeight="1" x14ac:dyDescent="0.25">
      <c r="A13" s="5">
        <f t="shared" si="3"/>
        <v>2035</v>
      </c>
      <c r="B13" s="49">
        <v>5426637</v>
      </c>
      <c r="C13" s="50">
        <v>9950593</v>
      </c>
      <c r="D13" s="50">
        <v>12507735</v>
      </c>
      <c r="E13" s="50">
        <v>8396915</v>
      </c>
      <c r="F13" s="50">
        <v>5057720.5</v>
      </c>
      <c r="G13" s="17">
        <f t="shared" si="0"/>
        <v>35912963.5</v>
      </c>
      <c r="H13" s="17">
        <f t="shared" si="1"/>
        <v>6342161.9259317424</v>
      </c>
      <c r="I13" s="17">
        <f t="shared" si="2"/>
        <v>29570801.574068256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qqaA/4iIdXfXpxLfweKHsRs7uL58hTtyRqfIRpc5lGyjv5SurEnluQj+JsI+utH6XsF1Su+B7HlNYwlCSoYIg==" saltValue="3WuhXwRWEm4fDaFUsfHD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1.0924097815180431E-2</v>
      </c>
    </row>
    <row r="4" spans="1:8" ht="15.75" customHeight="1" x14ac:dyDescent="0.25">
      <c r="B4" s="19" t="s">
        <v>79</v>
      </c>
      <c r="C4" s="101">
        <v>5.9342188131562293E-2</v>
      </c>
    </row>
    <row r="5" spans="1:8" ht="15.75" customHeight="1" x14ac:dyDescent="0.25">
      <c r="B5" s="19" t="s">
        <v>80</v>
      </c>
      <c r="C5" s="101">
        <v>7.3863785227242837E-2</v>
      </c>
    </row>
    <row r="6" spans="1:8" ht="15.75" customHeight="1" x14ac:dyDescent="0.25">
      <c r="B6" s="19" t="s">
        <v>81</v>
      </c>
      <c r="C6" s="101">
        <v>0.24698675060264991</v>
      </c>
    </row>
    <row r="7" spans="1:8" ht="15.75" customHeight="1" x14ac:dyDescent="0.25">
      <c r="B7" s="19" t="s">
        <v>82</v>
      </c>
      <c r="C7" s="101">
        <v>0.41603591679281682</v>
      </c>
    </row>
    <row r="8" spans="1:8" ht="15.75" customHeight="1" x14ac:dyDescent="0.25">
      <c r="B8" s="19" t="s">
        <v>83</v>
      </c>
      <c r="C8" s="101">
        <v>2.3167995366400931E-3</v>
      </c>
    </row>
    <row r="9" spans="1:8" ht="15.75" customHeight="1" x14ac:dyDescent="0.25">
      <c r="B9" s="19" t="s">
        <v>84</v>
      </c>
      <c r="C9" s="101">
        <v>7.6129484774103029E-2</v>
      </c>
    </row>
    <row r="10" spans="1:8" ht="15.75" customHeight="1" x14ac:dyDescent="0.25">
      <c r="B10" s="19" t="s">
        <v>85</v>
      </c>
      <c r="C10" s="101">
        <v>0.1144009771198046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88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89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90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91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92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93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94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95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8.8863841000000013E-2</v>
      </c>
    </row>
    <row r="27" spans="1:8" ht="15.75" customHeight="1" x14ac:dyDescent="0.25">
      <c r="B27" s="19" t="s">
        <v>102</v>
      </c>
      <c r="C27" s="101">
        <v>8.6695709999999992E-3</v>
      </c>
    </row>
    <row r="28" spans="1:8" ht="15.75" customHeight="1" x14ac:dyDescent="0.25">
      <c r="B28" s="19" t="s">
        <v>103</v>
      </c>
      <c r="C28" s="101">
        <v>0.15751688699999999</v>
      </c>
    </row>
    <row r="29" spans="1:8" ht="15.75" customHeight="1" x14ac:dyDescent="0.25">
      <c r="B29" s="19" t="s">
        <v>104</v>
      </c>
      <c r="C29" s="101">
        <v>0.169742745</v>
      </c>
    </row>
    <row r="30" spans="1:8" ht="15.75" customHeight="1" x14ac:dyDescent="0.25">
      <c r="B30" s="19" t="s">
        <v>2</v>
      </c>
      <c r="C30" s="101">
        <v>0.104932133</v>
      </c>
    </row>
    <row r="31" spans="1:8" ht="15.75" customHeight="1" x14ac:dyDescent="0.25">
      <c r="B31" s="19" t="s">
        <v>105</v>
      </c>
      <c r="C31" s="101">
        <v>0.108637312</v>
      </c>
    </row>
    <row r="32" spans="1:8" ht="15.75" customHeight="1" x14ac:dyDescent="0.25">
      <c r="B32" s="19" t="s">
        <v>106</v>
      </c>
      <c r="C32" s="101">
        <v>1.8842111000000002E-2</v>
      </c>
    </row>
    <row r="33" spans="2:3" ht="15.75" customHeight="1" x14ac:dyDescent="0.25">
      <c r="B33" s="19" t="s">
        <v>107</v>
      </c>
      <c r="C33" s="101">
        <v>8.5849647000000001E-2</v>
      </c>
    </row>
    <row r="34" spans="2:3" ht="15.75" customHeight="1" x14ac:dyDescent="0.25">
      <c r="B34" s="19" t="s">
        <v>108</v>
      </c>
      <c r="C34" s="101">
        <v>0.256945753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wfjz5HjoinaF5L9IM8wpDlFGiTrojwP9xAn6a9ZTFlqI5gDB6FOyrMNsCEcq5AGWZ64MT8V606S6gyC0fWBpoQ==" saltValue="8T4PZNtKStNDIN2rddgm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114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115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119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120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w8xmusrBFYglzlOrBSJ/Iljzcq4Z5huy2ca1w9+ikZxU7tFD8smAMSa4jXGPXV8/pBLWUnrC8TJ+qAnHsUSpA==" saltValue="Ht6E/M/O1CFsuyhypOv7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132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07oYSMdF+NXCk5hi5u/XdAiWr/zcS4K+ioWd2nOGNF6qr1NeqjBZ0inJmacJirPeBsPzTI+a2p5axRsPLtjgmw==" saltValue="Dq2WftQYDZ4d1reqjM4d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PKPvEHs1k5KpHEAygSlkflwmywnzqA4UoJU3NOEVAKRvvIEMPEmF6FKn6eJb7eWlr2WVI6hj2Upgo2fsaDZFw==" saltValue="AJV9CkiNENdEITORBXuK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XCXW/QPQ1cJHPIAhUwrg8/yBA2iTBJPmP92UVm1QkTVuCzjPGsMc2qqQz1n/DsZu062lFyLHHAAQsHzuZ+P+YQ==" saltValue="CDumCSS+L3Mwq14bzVJt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UGrCg9O5KxZjkifqMiBV/4RGqFuyIhID4rbulvu0f6dAjkNf5TJetN467R7KUg0GTa3zqmOySfTKkzMJgFJwg==" saltValue="4TZmCFubvcsh0J9CY1fr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tIk6BQBczJeOlDy46NR5cHRjfT8FxDsFgas1b7E+QHqKGzSZyD4KOSIXNkE/16p2hxMcKY5y9GK9QTEi1NgLg==" saltValue="YJa9UcERn0nC5FTqX71I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6.4278423769884219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0.32947323511308713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0.16283867355037329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4.7419200000000002E-2</v>
      </c>
      <c r="C10" s="98">
        <v>0.95</v>
      </c>
      <c r="D10" s="56">
        <v>17.31420994224495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17.31420994224495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17.31420994224495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17.31420994224495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4.7419200000000002E-2</v>
      </c>
      <c r="C14" s="98">
        <v>0.95</v>
      </c>
      <c r="D14" s="56">
        <v>17.31420994224495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17.31420994224495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0.53109870000000003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0.29899999999999999</v>
      </c>
      <c r="C18" s="98">
        <v>0.95</v>
      </c>
      <c r="D18" s="56">
        <v>6.4278423769884219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0.51534999999999997</v>
      </c>
      <c r="C19" s="98">
        <v>0.95</v>
      </c>
      <c r="D19" s="56">
        <v>6.4278423769884219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29.48122630124664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0.64157470000000005</v>
      </c>
      <c r="C23" s="98">
        <v>0.95</v>
      </c>
      <c r="D23" s="56">
        <v>5.6296372188471304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0.16775714976716499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4.7419200000000002E-2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0.24051800000000001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0.1522435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0.11210000000000001</v>
      </c>
      <c r="C31" s="98">
        <v>0.95</v>
      </c>
      <c r="D31" s="56">
        <v>208.26209301442489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0.56000000000000005</v>
      </c>
      <c r="C32" s="98">
        <v>0.95</v>
      </c>
      <c r="D32" s="56">
        <v>0.70706266146872643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0.19352469999999999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0.59762630000000005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3.0879000000000002E-3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0.35729519999999998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1.6E-2</v>
      </c>
      <c r="C38" s="98">
        <v>0.95</v>
      </c>
      <c r="D38" s="56">
        <v>1.1827229973658699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S0yeR3/D0bGUJkC3FTu/D6Ove2uKJRnTZ6qZFyWauhcM+zI84m64mIiMcfPYqiNheiDFRj2IKHdJ/rg3wJ8PvA==" saltValue="UfZCTNsOsbp6cetY+bI8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tCo3fw3Eg32A43ephrsrRvXOK5Xg4VGWpiQVES4uAt67JfjRM5bu2NlhjT4WEC6GIQN6AgbUmdftO1D2J0g7w==" saltValue="kRyL9msei5/ZQ1A/NWO7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kADy6Vnlop27uKkEf96dD4OBrclFQuROMY8Ey0R+OjjaVMZ8fhkTdd3VKLfnlBZlzN++5cMyeTQEA+RxDOVVLA==" saltValue="g9FIzICvOycaEW891T9i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208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6QMX34HNFy5wnnJnUavRuKLuJ9RhSCkzwxcAisGZdg1mqcXgY/7+moHHxnj3EA+OS0+TkjETaeEIqlAnv3VgRw==" saltValue="S/7kcxL49oGAKaQ7OCDO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ceX/JGJro5vWGk84zqj61A9iVnXQsyFFr4O3MduT2/cw3lC5Xtu4SAO3XMOnmOg4DYwMkTozmjfgvc5ua0rPw==" saltValue="ZWkViv4zTTPzzUCKjwc+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6X9XSgeEJrCgcobx50J1Ajr58bhmARfJPGNMLNdak2doF2s1XFH6S7jallJGYIYSKcBbmj3sLBVmV1fxIKbOVg==" saltValue="iTL7aq4Ei0TPg7GIYq+/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PjkDVguKkmYuqhRgWsr0Vox8SCPw3o+0xk29jiwHFc30F7YaJAhFlSruO360MGfiVAgZkXxUOKWVDvcxzjLvg==" saltValue="ZQgBtAdAbzb/kFsMf4Cx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RiC6G2oRMUHss1RXr0jiywg9n9iWVzYzmYFYTgX0/MAq+AbqSAPtf5TVbSqtLdm9fVmVZbhmW8+FDg7aIIDWg==" saltValue="Cxq+5CuvncYYEyGgh5p6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9MzCcOE/Zs+CNINP//K+ACDkCE1c67hXQXtnLUtPmq05fcceQ9EIFVsL1qMCB9px/nI9wjwYUUDi6Uj4xqdGQ==" saltValue="GuEiyy7KM4u2YpvZUgrsl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BXr4yvgRCMm2m2bIVqUXB5OF+j1N9swYvNt0K3NiPYdY8uV5b3UWqQxlA7RTBidh0D9aFg8tGZY9Jp/0uxmJQ==" saltValue="rValxltRZvd52O/EGuOg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pljT6pbuk4cPp3yMEu75zdjL6pIEdjO3BVO9y3+5nKOS45bTmkYQhEYVMcOMMSOcc6dgv4e883U4TX2wsHdew==" saltValue="6N89I5S8Howe3yvy/N3b3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5SXtacSd4T3tOeCICjWCoFOmShxf2VHGDO8gIfw4/9nd9pqmz/g4oKUA4LoT6i+jcvQ/dWOspPpn2eyRwyAfA==" saltValue="DqtYgvXxVtCcoXWsmCWs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51KvJAZM0scjlNe+E9bYXmDBVb25AFjGwB1ZAmphPQ5sPyzVqoh84icUaEEca0oGyA5ukNJ8/dtSDSfVMBAMA==" saltValue="ghC0B+5unKcjnmPbINgE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EBPxS3Y9OphjBvUSz3VRSqmKyelfbA+wIYhgJZmi6H2vaejkO3B/9LscbMUzrYk/ipvq+gYll0216ynNj/xXg==" saltValue="Ao9mX3o+8c9FkdciHcW9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SCXhGk7QnfFIXv6cyNhGl3J4dRGX9fyaZMMVtzrEVZMc23FhQ8rqjDV7UUrIGKEHOkrbUYp7D60mWYBI7POrQ==" saltValue="9rUNP/0fwOljIs+svdq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MPG79Q+5y328BZAhnKLHgITomTGxGlGq4ceg0PtDMoFdAcRfr6KlY1wUBjYp1s2JkOnQjRE25Dt1EvTItPzWA==" saltValue="NAMyec3i8YJEkmC8YMm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HVs0pcTV5oecGFm6cxTTWE2Y9WUyCXKnKx/ByngAX5VbmHJzJGwd20T0JMOQA5UnnTaRoK3fWQ0EHg0+pqS0w==" saltValue="u8euSzHha9E/NvcmmEQF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0.10644386460884026</v>
      </c>
      <c r="G18" s="90">
        <f>MIN(MAX(1-0.89/(1-frac_sam_12_23months+(frac_sam_12_23months*0.89)),0),1)</f>
        <v>0.10756973031988604</v>
      </c>
      <c r="H18" s="90">
        <f>MIN(MAX(1-0.89/(1-frac_sam_24_59months+(frac_sam_24_59months*0.89)),0),1)</f>
        <v>0.10851155931007439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0.10364702117623037</v>
      </c>
      <c r="G20" s="90">
        <f>MIN(MAX(1-0.89/(1-frac_mam_12_23months+(frac_mam_12_23months*0.89)),0),1)</f>
        <v>0.10416657911740324</v>
      </c>
      <c r="H20" s="90">
        <f>MIN(MAX(1-0.89/(1-frac_mam_24_59months+(frac_mam_24_59months*0.89)),0),1)</f>
        <v>0.10635417166664851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9.6416923257167664E-3</v>
      </c>
      <c r="G73" s="90">
        <f>MIN(MAX(1-0.99/(1-frac_sam_12_23months+(frac_sam_12_23months*0.99)),0),1)</f>
        <v>9.7548509499205682E-3</v>
      </c>
      <c r="H73" s="90">
        <f>MIN(MAX(1-0.99/(1-frac_sam_24_59months+(frac_sam_24_59months*0.99)),0),1)</f>
        <v>9.8497120188394405E-3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9.3617059905740652E-3</v>
      </c>
      <c r="G75" s="90">
        <f>MIN(MAX(1-0.99/(1-frac_mam_12_23months+(frac_mam_12_23months*0.99)),0),1)</f>
        <v>9.4135976144477107E-3</v>
      </c>
      <c r="H75" s="90">
        <f>MIN(MAX(1-0.99/(1-frac_mam_24_59months+(frac_mam_24_59months*0.99)),0),1)</f>
        <v>9.6326886100823739E-3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0.19416907187052934</v>
      </c>
      <c r="G128" s="90">
        <f>MIN(MAX(1-0.8/(1-frac_sam_12_23months+(frac_sam_12_23months*0.8)),0),1)</f>
        <v>0.19601926627271071</v>
      </c>
      <c r="H128" s="90">
        <f>MIN(MAX(1-0.8/(1-frac_sam_24_59months+(frac_sam_24_59months*0.8)),0),1)</f>
        <v>0.19756407736710013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0.18955619975932259</v>
      </c>
      <c r="G130" s="90">
        <f>MIN(MAX(1-0.8/(1-frac_mam_12_23months+(frac_mam_12_23months*0.8)),0),1)</f>
        <v>0.19041491741473171</v>
      </c>
      <c r="H130" s="90">
        <f>MIN(MAX(1-0.8/(1-frac_mam_24_59months+(frac_mam_24_59months*0.8)),0),1)</f>
        <v>0.19402150947036811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6E3X/emMqS5xfPWw4WMUmrSJ+s6g8hapE/jdOXPq8f9kCqpu2uENiHqKiLfyjFBgkHGWQCKGx9R2atZO1ONwg==" saltValue="ieZo54ilNSwxvLw4+2eO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TgcGPvHnfGvl/lijlwo4D/NnTSNZWSF+9WM9+eCXsxb6TO3ROaHzcm2rcC/tWJAka3GLfnCzCM3lS1XfCwYRw==" saltValue="Q6VO+jAyQ+LvCpRZJ3OW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2024-08-06T08:53:46Z</dcterms:modified>
</cp:coreProperties>
</file>