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039E4DEB-84A8-483D-9D88-35F0F586467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36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<sst xmlns="http://schemas.openxmlformats.org/spreadsheetml/2006/main" count="2169" uniqueCount="369">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</sst>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19199094</v>
      </c>
    </row>
    <row r="8" spans="1:3" ht="15" customHeight="1" x14ac:dyDescent="0.25">
      <c r="B8" s="5" t="s">
        <v>37</v>
      </c>
      <c r="C8" s="44">
        <v>0.7659999999999999</v>
      </c>
    </row>
    <row r="9" spans="1:3" ht="15" customHeight="1" x14ac:dyDescent="0.25">
      <c r="B9" s="5" t="s">
        <v>38</v>
      </c>
      <c r="C9" s="45">
        <v>0.85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0.287459262528731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0.10349999999999999</v>
      </c>
    </row>
    <row r="24" spans="1:3" ht="15" customHeight="1" x14ac:dyDescent="0.25">
      <c r="B24" s="15" t="s">
        <v>51</v>
      </c>
      <c r="C24" s="45">
        <v>0.45150000000000001</v>
      </c>
    </row>
    <row r="25" spans="1:3" ht="15" customHeight="1" x14ac:dyDescent="0.25">
      <c r="B25" s="15" t="s">
        <v>52</v>
      </c>
      <c r="C25" s="45">
        <v>0.35449999999999998</v>
      </c>
    </row>
    <row r="26" spans="1:3" ht="15" customHeight="1" x14ac:dyDescent="0.25">
      <c r="B26" s="15" t="s">
        <v>53</v>
      </c>
      <c r="C26" s="45">
        <v>9.0500000000000011E-2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0.194032291097986</v>
      </c>
    </row>
    <row r="30" spans="1:3" ht="14.25" customHeight="1" x14ac:dyDescent="0.25">
      <c r="B30" s="25" t="s">
        <v>56</v>
      </c>
      <c r="C30" s="97">
        <v>8.3858999788103697E-2</v>
      </c>
    </row>
    <row r="31" spans="1:3" ht="14.25" customHeight="1" x14ac:dyDescent="0.25">
      <c r="B31" s="25" t="s">
        <v>57</v>
      </c>
      <c r="C31" s="97">
        <v>0.13473133352303801</v>
      </c>
    </row>
    <row r="32" spans="1:3" ht="14.25" customHeight="1" x14ac:dyDescent="0.25">
      <c r="B32" s="25" t="s">
        <v>58</v>
      </c>
      <c r="C32" s="97">
        <v>0.587377375590873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26.48049</v>
      </c>
    </row>
    <row r="38" spans="1:5" ht="15" customHeight="1" x14ac:dyDescent="0.25">
      <c r="B38" s="11" t="s">
        <v>63</v>
      </c>
      <c r="C38" s="43">
        <v>62.369660000000003</v>
      </c>
      <c r="D38" s="12"/>
      <c r="E38" s="13"/>
    </row>
    <row r="39" spans="1:5" ht="15" customHeight="1" x14ac:dyDescent="0.25">
      <c r="B39" s="11" t="s">
        <v>64</v>
      </c>
      <c r="C39" s="43">
        <v>78.960539999999995</v>
      </c>
      <c r="D39" s="12"/>
      <c r="E39" s="12"/>
    </row>
    <row r="40" spans="1:5" ht="15" customHeight="1" x14ac:dyDescent="0.25">
      <c r="B40" s="11" t="s">
        <v>65</v>
      </c>
      <c r="C40" s="98">
        <v>5.47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27.67652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1.05615E-2</v>
      </c>
      <c r="D45" s="12"/>
    </row>
    <row r="46" spans="1:5" ht="15.75" customHeight="1" x14ac:dyDescent="0.25">
      <c r="B46" s="11" t="s">
        <v>70</v>
      </c>
      <c r="C46" s="45">
        <v>0.1134815</v>
      </c>
      <c r="D46" s="12"/>
    </row>
    <row r="47" spans="1:5" ht="15.75" customHeight="1" x14ac:dyDescent="0.25">
      <c r="B47" s="11" t="s">
        <v>71</v>
      </c>
      <c r="C47" s="45">
        <v>7.0955900000000002E-2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2.6</v>
      </c>
      <c r="D51" s="12"/>
    </row>
    <row r="52" spans="1:4" ht="15" customHeight="1" x14ac:dyDescent="0.25">
      <c r="B52" s="11" t="s">
        <v>75</v>
      </c>
      <c r="C52" s="98">
        <v>2.6</v>
      </c>
    </row>
    <row r="53" spans="1:4" ht="15.75" customHeight="1" x14ac:dyDescent="0.25">
      <c r="B53" s="11" t="s">
        <v>76</v>
      </c>
      <c r="C53" s="98">
        <v>8.4500000000000011</v>
      </c>
    </row>
    <row r="54" spans="1:4" ht="15.75" customHeight="1" x14ac:dyDescent="0.25">
      <c r="B54" s="11" t="s">
        <v>77</v>
      </c>
      <c r="C54" s="98">
        <v>7.331999999999999</v>
      </c>
    </row>
    <row r="55" spans="1:4" ht="15.75" customHeight="1" x14ac:dyDescent="0.25">
      <c r="B55" s="11" t="s">
        <v>78</v>
      </c>
      <c r="C55" s="98">
        <v>2.9119999999999999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0.43530600000000003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0.10156995019999999</v>
      </c>
    </row>
    <row r="63" spans="1:4" ht="15.75" customHeight="1" x14ac:dyDescent="0.3">
      <c r="A63" s="4"/>
    </row>
  </sheetData>
  <sheetProtection algorithmName="SHA-512" hashValue="CobfxVg5oJYd3K/QamXTmhaY6JkkmF3cssl/VEOzeCEXJRP9VAHRokwevvG0gw7Jg1lucx+BkXP251qu+4aDFA==" saltValue="X7EjC9SpNVREJtvuM4YV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20302046.5</v>
      </c>
      <c r="C2" s="49">
        <v>5266778</v>
      </c>
      <c r="D2" s="49">
        <v>8390195</v>
      </c>
      <c r="E2" s="49">
        <v>12688079.5</v>
      </c>
      <c r="F2" s="49">
        <v>8756132.5</v>
      </c>
      <c r="G2" s="17">
        <f t="shared" ref="G2:G13" si="0">C2+D2+E2+F2</f>
        <v>35101185</v>
      </c>
      <c r="H2" s="17">
        <f t="shared" ref="H2:H13" si="1">(B2 + stillbirth*B2/(1000-stillbirth))/(1-abortion)</f>
        <v>23727193.532715712</v>
      </c>
      <c r="I2" s="17">
        <f t="shared" ref="I2:I13" si="2">G2-H2</f>
        <v>11373991.467284288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4467740</v>
      </c>
      <c r="C3" s="50">
        <v>5707427.5</v>
      </c>
      <c r="D3" s="50">
        <v>8798562.5</v>
      </c>
      <c r="E3" s="50">
        <v>6012901.5</v>
      </c>
      <c r="F3" s="50">
        <v>3867363</v>
      </c>
      <c r="G3" s="17">
        <f t="shared" si="0"/>
        <v>24386254.5</v>
      </c>
      <c r="H3" s="17">
        <f t="shared" si="1"/>
        <v>5221489.943580579</v>
      </c>
      <c r="I3" s="17">
        <f t="shared" si="2"/>
        <v>19164764.556419421</v>
      </c>
    </row>
    <row r="4" spans="1:9" ht="15.75" customHeight="1" x14ac:dyDescent="0.25">
      <c r="A4" s="5">
        <f t="shared" si="3"/>
        <v>2026</v>
      </c>
      <c r="B4" s="49">
        <v>4559718</v>
      </c>
      <c r="C4" s="50">
        <v>5926746.5</v>
      </c>
      <c r="D4" s="50">
        <v>9049485.4999999981</v>
      </c>
      <c r="E4" s="50">
        <v>6256656.9999999991</v>
      </c>
      <c r="F4" s="50">
        <v>4013996</v>
      </c>
      <c r="G4" s="17">
        <f t="shared" si="0"/>
        <v>25246884.999999996</v>
      </c>
      <c r="H4" s="17">
        <f t="shared" si="1"/>
        <v>5328985.5010728808</v>
      </c>
      <c r="I4" s="17">
        <f t="shared" si="2"/>
        <v>19917899.498927116</v>
      </c>
    </row>
    <row r="5" spans="1:9" ht="15.75" customHeight="1" x14ac:dyDescent="0.25">
      <c r="A5" s="5">
        <f t="shared" si="3"/>
        <v>2027</v>
      </c>
      <c r="B5" s="49">
        <v>4634979</v>
      </c>
      <c r="C5" s="50">
        <v>6153007</v>
      </c>
      <c r="D5" s="50">
        <v>9304810.5</v>
      </c>
      <c r="E5" s="50">
        <v>6513274</v>
      </c>
      <c r="F5" s="50">
        <v>4175585</v>
      </c>
      <c r="G5" s="17">
        <f t="shared" si="0"/>
        <v>26146676.5</v>
      </c>
      <c r="H5" s="17">
        <f t="shared" si="1"/>
        <v>5416943.7427440202</v>
      </c>
      <c r="I5" s="17">
        <f t="shared" si="2"/>
        <v>20729732.757255979</v>
      </c>
    </row>
    <row r="6" spans="1:9" ht="15.75" customHeight="1" x14ac:dyDescent="0.25">
      <c r="A6" s="5">
        <f t="shared" si="3"/>
        <v>2028</v>
      </c>
      <c r="B6" s="49">
        <v>4715179</v>
      </c>
      <c r="C6" s="50">
        <v>6387147</v>
      </c>
      <c r="D6" s="50">
        <v>9591976.5</v>
      </c>
      <c r="E6" s="50">
        <v>6759084.9999999991</v>
      </c>
      <c r="F6" s="50">
        <v>4349830</v>
      </c>
      <c r="G6" s="17">
        <f t="shared" si="0"/>
        <v>27088038.5</v>
      </c>
      <c r="H6" s="17">
        <f t="shared" si="1"/>
        <v>5510674.2403726112</v>
      </c>
      <c r="I6" s="17">
        <f t="shared" si="2"/>
        <v>21577364.259627387</v>
      </c>
    </row>
    <row r="7" spans="1:9" ht="15.75" customHeight="1" x14ac:dyDescent="0.25">
      <c r="A7" s="5">
        <f t="shared" si="3"/>
        <v>2029</v>
      </c>
      <c r="B7" s="49">
        <v>4802947</v>
      </c>
      <c r="C7" s="50">
        <v>6626634.5</v>
      </c>
      <c r="D7" s="50">
        <v>9913193</v>
      </c>
      <c r="E7" s="50">
        <v>6992201.5</v>
      </c>
      <c r="F7" s="50">
        <v>4534990</v>
      </c>
      <c r="G7" s="17">
        <f t="shared" si="0"/>
        <v>28067019</v>
      </c>
      <c r="H7" s="17">
        <f t="shared" si="1"/>
        <v>5613249.5310941348</v>
      </c>
      <c r="I7" s="17">
        <f t="shared" si="2"/>
        <v>22453769.468905866</v>
      </c>
    </row>
    <row r="8" spans="1:9" ht="15.75" customHeight="1" x14ac:dyDescent="0.25">
      <c r="A8" s="5">
        <f t="shared" si="3"/>
        <v>2030</v>
      </c>
      <c r="B8" s="49">
        <v>4875684</v>
      </c>
      <c r="C8" s="50">
        <v>6867822</v>
      </c>
      <c r="D8" s="50">
        <v>10255639.500000002</v>
      </c>
      <c r="E8" s="50">
        <v>7228785.5</v>
      </c>
      <c r="F8" s="50">
        <v>4725643.5</v>
      </c>
      <c r="G8" s="17">
        <f t="shared" si="0"/>
        <v>29077890.5</v>
      </c>
      <c r="H8" s="17">
        <f t="shared" si="1"/>
        <v>5698257.9501217017</v>
      </c>
      <c r="I8" s="17">
        <f t="shared" si="2"/>
        <v>23379632.549878299</v>
      </c>
    </row>
    <row r="9" spans="1:9" ht="15.75" customHeight="1" x14ac:dyDescent="0.25">
      <c r="A9" s="5">
        <f t="shared" si="3"/>
        <v>2031</v>
      </c>
      <c r="B9" s="49">
        <v>4954791</v>
      </c>
      <c r="C9" s="50">
        <v>7111088</v>
      </c>
      <c r="D9" s="50">
        <v>10608311</v>
      </c>
      <c r="E9" s="50">
        <v>7479335.5</v>
      </c>
      <c r="F9" s="50">
        <v>4918201.9999999991</v>
      </c>
      <c r="G9" s="17">
        <f t="shared" si="0"/>
        <v>30116936.5</v>
      </c>
      <c r="H9" s="17">
        <f t="shared" si="1"/>
        <v>5790711.0483250059</v>
      </c>
      <c r="I9" s="17">
        <f t="shared" si="2"/>
        <v>24326225.451674994</v>
      </c>
    </row>
    <row r="10" spans="1:9" ht="15.75" customHeight="1" x14ac:dyDescent="0.25">
      <c r="A10" s="5">
        <f t="shared" si="3"/>
        <v>2032</v>
      </c>
      <c r="B10" s="49">
        <v>5028912</v>
      </c>
      <c r="C10" s="50">
        <v>7353354</v>
      </c>
      <c r="D10" s="50">
        <v>10978867.5</v>
      </c>
      <c r="E10" s="50">
        <v>7736087.5000000009</v>
      </c>
      <c r="F10" s="50">
        <v>5116893.5</v>
      </c>
      <c r="G10" s="17">
        <f t="shared" si="0"/>
        <v>31185202.5</v>
      </c>
      <c r="H10" s="17">
        <f t="shared" si="1"/>
        <v>5877336.9612268619</v>
      </c>
      <c r="I10" s="17">
        <f t="shared" si="2"/>
        <v>25307865.538773138</v>
      </c>
    </row>
    <row r="11" spans="1:9" ht="15.75" customHeight="1" x14ac:dyDescent="0.25">
      <c r="A11" s="5">
        <f t="shared" si="3"/>
        <v>2033</v>
      </c>
      <c r="B11" s="49">
        <v>5084138</v>
      </c>
      <c r="C11" s="50">
        <v>7601006</v>
      </c>
      <c r="D11" s="50">
        <v>11374679</v>
      </c>
      <c r="E11" s="50">
        <v>7994606.5</v>
      </c>
      <c r="F11" s="50">
        <v>5322073</v>
      </c>
      <c r="G11" s="17">
        <f t="shared" si="0"/>
        <v>32292364.5</v>
      </c>
      <c r="H11" s="17">
        <f t="shared" si="1"/>
        <v>5941880.1091325544</v>
      </c>
      <c r="I11" s="17">
        <f t="shared" si="2"/>
        <v>26350484.390867446</v>
      </c>
    </row>
    <row r="12" spans="1:9" ht="15.75" customHeight="1" x14ac:dyDescent="0.25">
      <c r="A12" s="5">
        <f t="shared" si="3"/>
        <v>2034</v>
      </c>
      <c r="B12" s="49">
        <v>5153883</v>
      </c>
      <c r="C12" s="50">
        <v>7861221</v>
      </c>
      <c r="D12" s="50">
        <v>11793474.5</v>
      </c>
      <c r="E12" s="50">
        <v>8252710.4999999991</v>
      </c>
      <c r="F12" s="50">
        <v>5533688</v>
      </c>
      <c r="G12" s="17">
        <f t="shared" si="0"/>
        <v>33441094</v>
      </c>
      <c r="H12" s="17">
        <f t="shared" si="1"/>
        <v>6023391.7494954746</v>
      </c>
      <c r="I12" s="17">
        <f t="shared" si="2"/>
        <v>27417702.250504524</v>
      </c>
    </row>
    <row r="13" spans="1:9" ht="15.75" customHeight="1" x14ac:dyDescent="0.25">
      <c r="A13" s="5">
        <f t="shared" si="3"/>
        <v>2035</v>
      </c>
      <c r="B13" s="49">
        <v>5219842</v>
      </c>
      <c r="C13" s="50">
        <v>8125729.5</v>
      </c>
      <c r="D13" s="50">
        <v>12232980</v>
      </c>
      <c r="E13" s="50">
        <v>8508896.5</v>
      </c>
      <c r="F13" s="50">
        <v>5752367</v>
      </c>
      <c r="G13" s="17">
        <f t="shared" si="0"/>
        <v>34619973</v>
      </c>
      <c r="H13" s="17">
        <f t="shared" si="1"/>
        <v>6100478.6558930324</v>
      </c>
      <c r="I13" s="17">
        <f t="shared" si="2"/>
        <v>28519494.344106968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2aIvx8VpUWUkZzQgwrn9zZlsKXCY7OpDMovVG8n1vbgePnUw+EL5GHKunMIk5aglkMfALhzl8ISKJydTColrQ==" saltValue="rvKVAOtlgSoSkYTeEplN/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1.0924097815180431E-2</v>
      </c>
    </row>
    <row r="4" spans="1:8" ht="15.75" customHeight="1" x14ac:dyDescent="0.25">
      <c r="B4" s="19" t="s">
        <v>97</v>
      </c>
      <c r="C4" s="99">
        <v>5.9342188131562293E-2</v>
      </c>
    </row>
    <row r="5" spans="1:8" ht="15.75" customHeight="1" x14ac:dyDescent="0.25">
      <c r="B5" s="19" t="s">
        <v>98</v>
      </c>
      <c r="C5" s="99">
        <v>7.3863785227242837E-2</v>
      </c>
    </row>
    <row r="6" spans="1:8" ht="15.75" customHeight="1" x14ac:dyDescent="0.25">
      <c r="B6" s="19" t="s">
        <v>99</v>
      </c>
      <c r="C6" s="99">
        <v>0.24698675060264991</v>
      </c>
    </row>
    <row r="7" spans="1:8" ht="15.75" customHeight="1" x14ac:dyDescent="0.25">
      <c r="B7" s="19" t="s">
        <v>100</v>
      </c>
      <c r="C7" s="99">
        <v>0.41603591679281682</v>
      </c>
    </row>
    <row r="8" spans="1:8" ht="15.75" customHeight="1" x14ac:dyDescent="0.25">
      <c r="B8" s="19" t="s">
        <v>101</v>
      </c>
      <c r="C8" s="99">
        <v>2.3167995366400931E-3</v>
      </c>
    </row>
    <row r="9" spans="1:8" ht="15.75" customHeight="1" x14ac:dyDescent="0.25">
      <c r="B9" s="19" t="s">
        <v>102</v>
      </c>
      <c r="C9" s="99">
        <v>7.6129484774103029E-2</v>
      </c>
    </row>
    <row r="10" spans="1:8" ht="15.75" customHeight="1" x14ac:dyDescent="0.25">
      <c r="B10" s="19" t="s">
        <v>103</v>
      </c>
      <c r="C10" s="99">
        <v>0.1144009771198046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0.1082376883749905</v>
      </c>
      <c r="D14" s="55">
        <v>0.1082376883749905</v>
      </c>
      <c r="E14" s="55">
        <v>0.1082376883749905</v>
      </c>
      <c r="F14" s="55">
        <v>0.1082376883749905</v>
      </c>
    </row>
    <row r="15" spans="1:8" ht="15.75" customHeight="1" x14ac:dyDescent="0.25">
      <c r="B15" s="19" t="s">
        <v>106</v>
      </c>
      <c r="C15" s="99">
        <v>0.1384019313505874</v>
      </c>
      <c r="D15" s="99">
        <v>0.1384019313505874</v>
      </c>
      <c r="E15" s="99">
        <v>0.1384019313505874</v>
      </c>
      <c r="F15" s="99">
        <v>0.1384019313505874</v>
      </c>
    </row>
    <row r="16" spans="1:8" ht="15.75" customHeight="1" x14ac:dyDescent="0.25">
      <c r="B16" s="19" t="s">
        <v>107</v>
      </c>
      <c r="C16" s="99">
        <v>1.8396651510170978E-2</v>
      </c>
      <c r="D16" s="99">
        <v>1.8396651510170978E-2</v>
      </c>
      <c r="E16" s="99">
        <v>1.8396651510170978E-2</v>
      </c>
      <c r="F16" s="99">
        <v>1.8396651510170978E-2</v>
      </c>
    </row>
    <row r="17" spans="1:8" ht="15.75" customHeight="1" x14ac:dyDescent="0.25">
      <c r="B17" s="19" t="s">
        <v>108</v>
      </c>
      <c r="C17" s="99">
        <v>0.300625285196292</v>
      </c>
      <c r="D17" s="99">
        <v>0.300625285196292</v>
      </c>
      <c r="E17" s="99">
        <v>0.300625285196292</v>
      </c>
      <c r="F17" s="99">
        <v>0.300625285196292</v>
      </c>
    </row>
    <row r="18" spans="1:8" ht="15.75" customHeight="1" x14ac:dyDescent="0.25">
      <c r="B18" s="19" t="s">
        <v>109</v>
      </c>
      <c r="C18" s="99">
        <v>0.25865494885136592</v>
      </c>
      <c r="D18" s="99">
        <v>0.25865494885136592</v>
      </c>
      <c r="E18" s="99">
        <v>0.25865494885136592</v>
      </c>
      <c r="F18" s="99">
        <v>0.25865494885136592</v>
      </c>
    </row>
    <row r="19" spans="1:8" ht="15.75" customHeight="1" x14ac:dyDescent="0.25">
      <c r="B19" s="19" t="s">
        <v>110</v>
      </c>
      <c r="C19" s="99">
        <v>7.9643186956897555E-3</v>
      </c>
      <c r="D19" s="99">
        <v>7.9643186956897555E-3</v>
      </c>
      <c r="E19" s="99">
        <v>7.9643186956897555E-3</v>
      </c>
      <c r="F19" s="99">
        <v>7.9643186956897555E-3</v>
      </c>
    </row>
    <row r="20" spans="1:8" ht="15.75" customHeight="1" x14ac:dyDescent="0.25">
      <c r="B20" s="19" t="s">
        <v>111</v>
      </c>
      <c r="C20" s="99">
        <v>2.050462173124637E-2</v>
      </c>
      <c r="D20" s="99">
        <v>2.050462173124637E-2</v>
      </c>
      <c r="E20" s="99">
        <v>2.050462173124637E-2</v>
      </c>
      <c r="F20" s="99">
        <v>2.050462173124637E-2</v>
      </c>
    </row>
    <row r="21" spans="1:8" ht="15.75" customHeight="1" x14ac:dyDescent="0.25">
      <c r="B21" s="19" t="s">
        <v>112</v>
      </c>
      <c r="C21" s="99">
        <v>5.0702694385967979E-2</v>
      </c>
      <c r="D21" s="99">
        <v>5.0702694385967979E-2</v>
      </c>
      <c r="E21" s="99">
        <v>5.0702694385967979E-2</v>
      </c>
      <c r="F21" s="99">
        <v>5.0702694385967979E-2</v>
      </c>
    </row>
    <row r="22" spans="1:8" ht="15.75" customHeight="1" x14ac:dyDescent="0.25">
      <c r="B22" s="19" t="s">
        <v>113</v>
      </c>
      <c r="C22" s="99">
        <v>9.6511859903689087E-2</v>
      </c>
      <c r="D22" s="99">
        <v>9.6511859903689087E-2</v>
      </c>
      <c r="E22" s="99">
        <v>9.6511859903689087E-2</v>
      </c>
      <c r="F22" s="99">
        <v>9.6511859903689087E-2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8.8863841000000013E-2</v>
      </c>
    </row>
    <row r="27" spans="1:8" ht="15.75" customHeight="1" x14ac:dyDescent="0.25">
      <c r="B27" s="19" t="s">
        <v>120</v>
      </c>
      <c r="C27" s="99">
        <v>8.6695709999999992E-3</v>
      </c>
    </row>
    <row r="28" spans="1:8" ht="15.75" customHeight="1" x14ac:dyDescent="0.25">
      <c r="B28" s="19" t="s">
        <v>121</v>
      </c>
      <c r="C28" s="99">
        <v>0.15751688699999999</v>
      </c>
    </row>
    <row r="29" spans="1:8" ht="15.75" customHeight="1" x14ac:dyDescent="0.25">
      <c r="B29" s="19" t="s">
        <v>122</v>
      </c>
      <c r="C29" s="99">
        <v>0.169742745</v>
      </c>
    </row>
    <row r="30" spans="1:8" ht="15.75" customHeight="1" x14ac:dyDescent="0.25">
      <c r="B30" s="19" t="s">
        <v>2</v>
      </c>
      <c r="C30" s="99">
        <v>0.104932133</v>
      </c>
    </row>
    <row r="31" spans="1:8" ht="15.75" customHeight="1" x14ac:dyDescent="0.25">
      <c r="B31" s="19" t="s">
        <v>123</v>
      </c>
      <c r="C31" s="99">
        <v>0.108637312</v>
      </c>
    </row>
    <row r="32" spans="1:8" ht="15.75" customHeight="1" x14ac:dyDescent="0.25">
      <c r="B32" s="19" t="s">
        <v>124</v>
      </c>
      <c r="C32" s="99">
        <v>1.8842111000000002E-2</v>
      </c>
    </row>
    <row r="33" spans="2:3" ht="15.75" customHeight="1" x14ac:dyDescent="0.25">
      <c r="B33" s="19" t="s">
        <v>125</v>
      </c>
      <c r="C33" s="99">
        <v>8.5849647000000001E-2</v>
      </c>
    </row>
    <row r="34" spans="2:3" ht="15.75" customHeight="1" x14ac:dyDescent="0.25">
      <c r="B34" s="19" t="s">
        <v>126</v>
      </c>
      <c r="C34" s="99">
        <v>0.256945753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jSjDbYuTu84q9rTJ5FCvZLDGOXY217WMYj8rEVuwbGhgHc086TIYhy1RQ509a/Q2Ptn5rql/hzV4QTSVb5PO7g==" saltValue="cccycDnkeOM0n/pO9Pgig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0.44512474563191162</v>
      </c>
      <c r="D2" s="52">
        <f>IFERROR(1-_xlfn.NORM.DIST(_xlfn.NORM.INV(SUM(D4:D5), 0, 1) + 1, 0, 1, TRUE), "")</f>
        <v>0.44512474563191162</v>
      </c>
      <c r="E2" s="52">
        <f>IFERROR(1-_xlfn.NORM.DIST(_xlfn.NORM.INV(SUM(E4:E5), 0, 1) + 1, 0, 1, TRUE), "")</f>
        <v>0.33236646927786206</v>
      </c>
      <c r="F2" s="52">
        <f>IFERROR(1-_xlfn.NORM.DIST(_xlfn.NORM.INV(SUM(F4:F5), 0, 1) + 1, 0, 1, TRUE), "")</f>
        <v>0.2132214123672026</v>
      </c>
      <c r="G2" s="52">
        <f>IFERROR(1-_xlfn.NORM.DIST(_xlfn.NORM.INV(SUM(G4:G5), 0, 1) + 1, 0, 1, TRUE), "")</f>
        <v>0.17354529737694879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0.3605346543680884</v>
      </c>
      <c r="D3" s="52">
        <f>IFERROR(_xlfn.NORM.DIST(_xlfn.NORM.INV(SUM(D4:D5), 0, 1) + 1, 0, 1, TRUE) - SUM(D4:D5), "")</f>
        <v>0.3605346543680884</v>
      </c>
      <c r="E3" s="52">
        <f>IFERROR(_xlfn.NORM.DIST(_xlfn.NORM.INV(SUM(E4:E5), 0, 1) + 1, 0, 1, TRUE) - SUM(E4:E5), "")</f>
        <v>0.38214463072213795</v>
      </c>
      <c r="F3" s="52">
        <f>IFERROR(_xlfn.NORM.DIST(_xlfn.NORM.INV(SUM(F4:F5), 0, 1) + 1, 0, 1, TRUE) - SUM(F4:F5), "")</f>
        <v>0.36787788763279738</v>
      </c>
      <c r="G3" s="52">
        <f>IFERROR(_xlfn.NORM.DIST(_xlfn.NORM.INV(SUM(G4:G5), 0, 1) + 1, 0, 1, TRUE) - SUM(G4:G5), "")</f>
        <v>0.35027830262305121</v>
      </c>
    </row>
    <row r="4" spans="1:15" ht="15.75" customHeight="1" x14ac:dyDescent="0.25">
      <c r="B4" s="5" t="s">
        <v>132</v>
      </c>
      <c r="C4" s="45">
        <v>0.1269026</v>
      </c>
      <c r="D4" s="53">
        <v>0.1269026</v>
      </c>
      <c r="E4" s="53">
        <v>0.1599622</v>
      </c>
      <c r="F4" s="53">
        <v>0.21259690000000001</v>
      </c>
      <c r="G4" s="53">
        <v>0.22975139999999999</v>
      </c>
    </row>
    <row r="5" spans="1:15" ht="15.75" customHeight="1" x14ac:dyDescent="0.25">
      <c r="B5" s="5" t="s">
        <v>133</v>
      </c>
      <c r="C5" s="45">
        <v>6.7437999999999998E-2</v>
      </c>
      <c r="D5" s="53">
        <v>6.7437999999999998E-2</v>
      </c>
      <c r="E5" s="53">
        <v>0.12552669999999999</v>
      </c>
      <c r="F5" s="53">
        <v>0.20630380000000001</v>
      </c>
      <c r="G5" s="53">
        <v>0.24642500000000001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0.71159285669895278</v>
      </c>
      <c r="D8" s="52">
        <f>IFERROR(1-_xlfn.NORM.DIST(_xlfn.NORM.INV(SUM(D10:D11), 0, 1) + 1, 0, 1, TRUE), "")</f>
        <v>0.71159285669895278</v>
      </c>
      <c r="E8" s="52">
        <f>IFERROR(1-_xlfn.NORM.DIST(_xlfn.NORM.INV(SUM(E10:E11), 0, 1) + 1, 0, 1, TRUE), "")</f>
        <v>0.60952106410548623</v>
      </c>
      <c r="F8" s="52">
        <f>IFERROR(1-_xlfn.NORM.DIST(_xlfn.NORM.INV(SUM(F10:F11), 0, 1) + 1, 0, 1, TRUE), "")</f>
        <v>0.64764035770840334</v>
      </c>
      <c r="G8" s="52">
        <f>IFERROR(1-_xlfn.NORM.DIST(_xlfn.NORM.INV(SUM(G10:G11), 0, 1) + 1, 0, 1, TRUE), "")</f>
        <v>0.73344383159248705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0.22879574330104721</v>
      </c>
      <c r="D9" s="52">
        <f>IFERROR(_xlfn.NORM.DIST(_xlfn.NORM.INV(SUM(D10:D11), 0, 1) + 1, 0, 1, TRUE) - SUM(D10:D11), "")</f>
        <v>0.22879574330104721</v>
      </c>
      <c r="E9" s="52">
        <f>IFERROR(_xlfn.NORM.DIST(_xlfn.NORM.INV(SUM(E10:E11), 0, 1) + 1, 0, 1, TRUE) - SUM(E10:E11), "")</f>
        <v>0.28986673589451373</v>
      </c>
      <c r="F9" s="52">
        <f>IFERROR(_xlfn.NORM.DIST(_xlfn.NORM.INV(SUM(F10:F11), 0, 1) + 1, 0, 1, TRUE) - SUM(F10:F11), "")</f>
        <v>0.26840574229159675</v>
      </c>
      <c r="G9" s="52">
        <f>IFERROR(_xlfn.NORM.DIST(_xlfn.NORM.INV(SUM(G10:G11), 0, 1) + 1, 0, 1, TRUE) - SUM(G10:G11), "")</f>
        <v>0.21428946840751295</v>
      </c>
    </row>
    <row r="10" spans="1:15" ht="15.75" customHeight="1" x14ac:dyDescent="0.25">
      <c r="B10" s="5" t="s">
        <v>137</v>
      </c>
      <c r="C10" s="45">
        <v>3.2572400000000001E-2</v>
      </c>
      <c r="D10" s="53">
        <v>3.2572400000000001E-2</v>
      </c>
      <c r="E10" s="53">
        <v>6.4432600000000007E-2</v>
      </c>
      <c r="F10" s="53">
        <v>5.9197499999999993E-2</v>
      </c>
      <c r="G10" s="53">
        <v>3.7088400000000001E-2</v>
      </c>
    </row>
    <row r="11" spans="1:15" ht="15.75" customHeight="1" x14ac:dyDescent="0.25">
      <c r="B11" s="5" t="s">
        <v>138</v>
      </c>
      <c r="C11" s="45">
        <v>2.7039000000000001E-2</v>
      </c>
      <c r="D11" s="53">
        <v>2.7039000000000001E-2</v>
      </c>
      <c r="E11" s="53">
        <v>3.6179599999999999E-2</v>
      </c>
      <c r="F11" s="53">
        <v>2.4756400000000001E-2</v>
      </c>
      <c r="G11" s="53">
        <v>1.51783E-2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0.80000777049999994</v>
      </c>
      <c r="D14" s="54">
        <v>0.78970271365300004</v>
      </c>
      <c r="E14" s="54">
        <v>0.78970271365300004</v>
      </c>
      <c r="F14" s="54">
        <v>0.51407809026899998</v>
      </c>
      <c r="G14" s="54">
        <v>0.51407809026899998</v>
      </c>
      <c r="H14" s="45">
        <v>0.441</v>
      </c>
      <c r="I14" s="55">
        <v>0.441</v>
      </c>
      <c r="J14" s="55">
        <v>0.441</v>
      </c>
      <c r="K14" s="55">
        <v>0.441</v>
      </c>
      <c r="L14" s="45">
        <v>0.40600000000000003</v>
      </c>
      <c r="M14" s="55">
        <v>0.40600000000000003</v>
      </c>
      <c r="N14" s="55">
        <v>0.40600000000000003</v>
      </c>
      <c r="O14" s="55">
        <v>0.40600000000000003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0.34824818254527301</v>
      </c>
      <c r="D15" s="52">
        <f t="shared" si="0"/>
        <v>0.34376232946943286</v>
      </c>
      <c r="E15" s="52">
        <f t="shared" si="0"/>
        <v>0.34376232946943286</v>
      </c>
      <c r="F15" s="52">
        <f t="shared" si="0"/>
        <v>0.22378127716263732</v>
      </c>
      <c r="G15" s="52">
        <f t="shared" si="0"/>
        <v>0.22378127716263732</v>
      </c>
      <c r="H15" s="52">
        <f t="shared" si="0"/>
        <v>0.191969946</v>
      </c>
      <c r="I15" s="52">
        <f t="shared" si="0"/>
        <v>0.191969946</v>
      </c>
      <c r="J15" s="52">
        <f t="shared" si="0"/>
        <v>0.191969946</v>
      </c>
      <c r="K15" s="52">
        <f t="shared" si="0"/>
        <v>0.191969946</v>
      </c>
      <c r="L15" s="52">
        <f t="shared" si="0"/>
        <v>0.17673423600000002</v>
      </c>
      <c r="M15" s="52">
        <f t="shared" si="0"/>
        <v>0.17673423600000002</v>
      </c>
      <c r="N15" s="52">
        <f t="shared" si="0"/>
        <v>0.17673423600000002</v>
      </c>
      <c r="O15" s="52">
        <f t="shared" si="0"/>
        <v>0.17673423600000002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p+JerMNdhGndeMWSUma/keWGBf+MXemkyKY63zeshy60QoDe/3tEOz4uETqikml9Y2EfoSlcAN8fgmRo5d+OA==" saltValue="Wg6hA4+vK938LNAj8xa2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0.79330060000000002</v>
      </c>
      <c r="D2" s="53">
        <v>0.51534999999999997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9.4853000000000007E-2</v>
      </c>
      <c r="D3" s="53">
        <v>0.1855917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9.3632199999999999E-2</v>
      </c>
      <c r="D4" s="53">
        <v>0.27594150000000001</v>
      </c>
      <c r="E4" s="53">
        <v>0.96874369999999999</v>
      </c>
      <c r="F4" s="53">
        <v>0.69749250000000007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1.8214200000000069E-2</v>
      </c>
      <c r="D5" s="52">
        <f t="shared" si="0"/>
        <v>2.3116799999999937E-2</v>
      </c>
      <c r="E5" s="52">
        <f>1-SUM(E2:E4)</f>
        <v>3.1256300000000015E-2</v>
      </c>
      <c r="F5" s="52">
        <f>1-SUM(F2:F4)</f>
        <v>0.30250749999999993</v>
      </c>
      <c r="G5" s="52">
        <f>1-SUM(G2:G4)</f>
        <v>1</v>
      </c>
    </row>
  </sheetData>
  <sheetProtection algorithmName="SHA-512" hashValue="ZJzkxzxlSTslYtQb1AIUXW2yGo0U5c+CCaV1jxG8UFSzhP3w/RH3u2TgCNr81f9YEp6UtlkKcleIy11h0STKRA==" saltValue="wcE2uKGQos8IwIuM9ajLC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0nDB/fhUQQ4Yh8oa6dGNJpTiT0W3IXbiTtRF0+Oe9qX3j4jjZVZn06B3D4y/K5w6aRSSBBjmDLRNrCgwVvR2NA==" saltValue="muiY7SSoQrqtkjPaN8ouT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653.65622306935404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0.38831000000000004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0.63511000000000006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1.8264712518805733E-2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91499.898220000003</v>
      </c>
      <c r="C22" s="107">
        <v>90358.383560000002</v>
      </c>
      <c r="D22" s="107">
        <v>89469.407489999998</v>
      </c>
      <c r="E22" s="107">
        <v>88881.245850000007</v>
      </c>
      <c r="F22" s="107">
        <v>88041.803199999995</v>
      </c>
      <c r="G22" s="107">
        <v>87058.656400000007</v>
      </c>
      <c r="H22" s="107">
        <v>85830.51096</v>
      </c>
      <c r="I22" s="107">
        <v>84178.660080000001</v>
      </c>
      <c r="J22" s="107">
        <v>81808.071880000003</v>
      </c>
      <c r="K22" s="107">
        <v>78588.600930000001</v>
      </c>
      <c r="L22" s="107">
        <v>74068.732969999997</v>
      </c>
      <c r="M22" s="107">
        <v>67986.659400000004</v>
      </c>
      <c r="N22" s="107">
        <v>59774.141159999999</v>
      </c>
      <c r="O22" s="107">
        <v>49765.920109999999</v>
      </c>
    </row>
  </sheetData>
  <sheetProtection algorithmName="SHA-512" hashValue="TtNvvqft4WF56TBchgv8d3hsKwxC/oW/kszpFQz/BqL0QZn4Jnnwb2FEdpP1aWjJRXOTGpFbDTwSgL0GRMu8Tg==" saltValue="KbHUM6K3Gm5r3qOKqr4iX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psiS6k5aYCEwt+xY10Npv5MCpJ+ERFEELdmiJf3GNAdQsJa2qmKpdep46Dv7BqSHyG4lS41q56m34MIH8W++A==" saltValue="WDvG9N7VN2NJqPhe9+/nw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MTcpHyL+bxQeHjbC7EAEahbPaj0SS9EU4+p6Iyv4u2oTI0hpAOKhXE0+rW2+q5ksASP44y7+AcwisI8Rz0/wg==" saltValue="Q4BUK6EGp9Z0eYInNzxzH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6.43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0.25711131554737809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4.7419200000000002E-2</v>
      </c>
      <c r="C10" s="96">
        <v>0.95</v>
      </c>
      <c r="D10" s="56">
        <v>17.31420994224495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17.31420994224495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17.31420994224495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17.31420994224495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2.5711131554737809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17.31420994224495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0.53109870000000003</v>
      </c>
      <c r="C16" s="96">
        <v>0.95</v>
      </c>
      <c r="D16" s="56">
        <v>2.5983725690890487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6.4277828886844524E-2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0.29899999999999999</v>
      </c>
      <c r="C18" s="96">
        <v>0.95</v>
      </c>
      <c r="D18" s="56">
        <v>6.4277828886844528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0.51534999999999997</v>
      </c>
      <c r="C19" s="96">
        <v>0.95</v>
      </c>
      <c r="D19" s="56">
        <v>1.1471640149207829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6.43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0.64157470000000005</v>
      </c>
      <c r="C23" s="96">
        <v>0.95</v>
      </c>
      <c r="D23" s="56">
        <v>5.6296372188471304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0.16775714976716499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4.5508702851885925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0.24051800000000001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0.1522435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0.11210000000000001</v>
      </c>
      <c r="C31" s="96">
        <v>0.95</v>
      </c>
      <c r="D31" s="56">
        <v>208.26016559337626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0.70399999999999996</v>
      </c>
      <c r="C32" s="96">
        <v>0.95</v>
      </c>
      <c r="D32" s="56">
        <v>0.70705611775528987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0.19352469999999999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0.59762630000000005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3.0879000000000002E-3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0.35729519999999998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1.6E-2</v>
      </c>
      <c r="C38" s="96">
        <v>0.95</v>
      </c>
      <c r="D38" s="56">
        <v>1.1827120515179392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Evt5OJwL+jslyskPuri7fzIuiU4/S8ETQZXM+fYJ35o8U2+/WdLrYWfnVwFgDWHNPAUiIXL928JJUgKZ+S04Xw==" saltValue="v6NbnuU2P7A+gGq8MNuE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WuzRkCUwbDJcrz+1enXVQFeDWTdy/rySgD3tWHt5Uvn1sq3n19SAP6vdDMwrfjqBd2Lnv9LMJimMOBxC4dXOw==" saltValue="Iro5za+1VGV5UXGPlnTl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+WNkLGHuwQmIizyVS+SQSjUcHZX5BjsroPt81h9xaYhh9QUMpPhvcXj6nMv9mGiNSoNs7XHYiBrHfY/ag1gkw==" saltValue="fTSChXBc3aNXNBqezLKm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2.6</v>
      </c>
      <c r="C2" s="21">
        <f>'Données pop de l''année de ref'!C52</f>
        <v>2.6</v>
      </c>
      <c r="D2" s="21">
        <f>'Données pop de l''année de ref'!C53</f>
        <v>8.4500000000000011</v>
      </c>
      <c r="E2" s="21">
        <f>'Données pop de l''année de ref'!C54</f>
        <v>7.331999999999999</v>
      </c>
      <c r="F2" s="21">
        <f>'Données pop de l''année de ref'!C55</f>
        <v>2.9119999999999999</v>
      </c>
    </row>
    <row r="3" spans="1:6" ht="15.75" customHeight="1" x14ac:dyDescent="0.25">
      <c r="A3" s="3" t="s">
        <v>238</v>
      </c>
      <c r="B3" s="21">
        <f>frac_mam_1month * 2.6</f>
        <v>8.4688240000000012E-2</v>
      </c>
      <c r="C3" s="21">
        <f>frac_mam_1_5months * 2.6</f>
        <v>8.4688240000000012E-2</v>
      </c>
      <c r="D3" s="21">
        <f>frac_mam_6_11months * 2.6</f>
        <v>0.16752476000000002</v>
      </c>
      <c r="E3" s="21">
        <f>frac_mam_12_23months * 2.6</f>
        <v>0.15391349999999998</v>
      </c>
      <c r="F3" s="21">
        <f>frac_mam_24_59months * 2.6</f>
        <v>9.6429840000000003E-2</v>
      </c>
    </row>
    <row r="4" spans="1:6" ht="15.75" customHeight="1" x14ac:dyDescent="0.25">
      <c r="A4" s="3" t="s">
        <v>237</v>
      </c>
      <c r="B4" s="21">
        <f>frac_sam_1month * 2.6</f>
        <v>7.03014E-2</v>
      </c>
      <c r="C4" s="21">
        <f>frac_sam_1_5months * 2.6</f>
        <v>7.03014E-2</v>
      </c>
      <c r="D4" s="21">
        <f>frac_sam_6_11months * 2.6</f>
        <v>9.4066960000000005E-2</v>
      </c>
      <c r="E4" s="21">
        <f>frac_sam_12_23months * 2.6</f>
        <v>6.4366640000000003E-2</v>
      </c>
      <c r="F4" s="21">
        <f>frac_sam_24_59months * 2.6</f>
        <v>3.9463580000000005E-2</v>
      </c>
    </row>
  </sheetData>
  <sheetProtection algorithmName="SHA-512" hashValue="4TZWx5ojnJFN5ISo2ztghaX63uZ2EC39hVpcIvvBh40Il8RSa0Tu0Ga8vliqZ7OKB3/GJAE8PzmRDMTNgSs71A==" saltValue="vep2jEKRkkw8dVHH2RJI7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0.7659999999999999</v>
      </c>
      <c r="F2" s="60">
        <f>food_insecure</f>
        <v>0.7659999999999999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0.7659999999999999</v>
      </c>
      <c r="F5" s="60">
        <f>food_insecure</f>
        <v>0.7659999999999999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5.672727272727273E-2</v>
      </c>
      <c r="D7" s="60">
        <f>diarrhoea_1_5mo*frac_diarrhea_severe</f>
        <v>5.672727272727273E-2</v>
      </c>
      <c r="E7" s="60">
        <f>diarrhoea_6_11mo*frac_diarrhea_severe</f>
        <v>0.1843636363636364</v>
      </c>
      <c r="F7" s="60">
        <f>diarrhoea_12_23mo*frac_diarrhea_severe</f>
        <v>0.15997090909090908</v>
      </c>
      <c r="G7" s="60">
        <f>diarrhoea_24_59mo*frac_diarrhea_severe</f>
        <v>6.3534545454545455E-2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0.7659999999999999</v>
      </c>
      <c r="F8" s="60">
        <f>food_insecure</f>
        <v>0.7659999999999999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0.7659999999999999</v>
      </c>
      <c r="F9" s="60">
        <f>food_insecure</f>
        <v>0.7659999999999999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5.672727272727273E-2</v>
      </c>
      <c r="D12" s="60">
        <f>diarrhoea_1_5mo*frac_diarrhea_severe</f>
        <v>5.672727272727273E-2</v>
      </c>
      <c r="E12" s="60">
        <f>diarrhoea_6_11mo*frac_diarrhea_severe</f>
        <v>0.1843636363636364</v>
      </c>
      <c r="F12" s="60">
        <f>diarrhoea_12_23mo*frac_diarrhea_severe</f>
        <v>0.15997090909090908</v>
      </c>
      <c r="G12" s="60">
        <f>diarrhoea_24_59mo*frac_diarrhea_severe</f>
        <v>6.3534545454545455E-2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0.7659999999999999</v>
      </c>
      <c r="I15" s="60">
        <f t="shared" si="0"/>
        <v>0.7659999999999999</v>
      </c>
      <c r="J15" s="60">
        <f t="shared" si="0"/>
        <v>0.7659999999999999</v>
      </c>
      <c r="K15" s="60">
        <f t="shared" si="0"/>
        <v>0.7659999999999999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0.7659999999999999</v>
      </c>
      <c r="I16" s="60">
        <f t="shared" si="0"/>
        <v>0.7659999999999999</v>
      </c>
      <c r="J16" s="60">
        <f t="shared" si="0"/>
        <v>0.7659999999999999</v>
      </c>
      <c r="K16" s="60">
        <f t="shared" si="0"/>
        <v>0.7659999999999999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0.85</v>
      </c>
      <c r="I19" s="60">
        <f>frac_malaria_risk</f>
        <v>0.85</v>
      </c>
      <c r="J19" s="60">
        <f>frac_malaria_risk</f>
        <v>0.85</v>
      </c>
      <c r="K19" s="60">
        <f>frac_malaria_risk</f>
        <v>0.85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0.287459262528731</v>
      </c>
      <c r="M24" s="60">
        <f>famplan_unmet_need</f>
        <v>0.287459262528731</v>
      </c>
      <c r="N24" s="60">
        <f>famplan_unmet_need</f>
        <v>0.287459262528731</v>
      </c>
      <c r="O24" s="60">
        <f>famplan_unmet_need</f>
        <v>0.287459262528731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0.43865802441871204</v>
      </c>
      <c r="M25" s="60">
        <f>(1-food_insecure)*(0.49)+food_insecure*(0.7)</f>
        <v>0.65085999999999999</v>
      </c>
      <c r="N25" s="60">
        <f>(1-food_insecure)*(0.49)+food_insecure*(0.7)</f>
        <v>0.65085999999999999</v>
      </c>
      <c r="O25" s="60">
        <f>(1-food_insecure)*(0.49)+food_insecure*(0.7)</f>
        <v>0.65085999999999999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0.18799629617944799</v>
      </c>
      <c r="M26" s="60">
        <f>(1-food_insecure)*(0.21)+food_insecure*(0.3)</f>
        <v>0.27893999999999997</v>
      </c>
      <c r="N26" s="60">
        <f>(1-food_insecure)*(0.21)+food_insecure*(0.3)</f>
        <v>0.27893999999999997</v>
      </c>
      <c r="O26" s="60">
        <f>(1-food_insecure)*(0.21)+food_insecure*(0.3)</f>
        <v>0.27893999999999997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4.7312468601840026E-2</v>
      </c>
      <c r="M27" s="60">
        <f>(1-food_insecure)*(0.3)</f>
        <v>7.0200000000000026E-2</v>
      </c>
      <c r="N27" s="60">
        <f>(1-food_insecure)*(0.3)</f>
        <v>7.0200000000000026E-2</v>
      </c>
      <c r="O27" s="60">
        <f>(1-food_insecure)*(0.3)</f>
        <v>7.0200000000000026E-2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0.85</v>
      </c>
      <c r="D34" s="60">
        <f t="shared" si="4"/>
        <v>0.85</v>
      </c>
      <c r="E34" s="60">
        <f t="shared" si="4"/>
        <v>0.85</v>
      </c>
      <c r="F34" s="60">
        <f t="shared" si="4"/>
        <v>0.85</v>
      </c>
      <c r="G34" s="60">
        <f t="shared" si="4"/>
        <v>0.85</v>
      </c>
      <c r="H34" s="60">
        <f t="shared" si="4"/>
        <v>0.85</v>
      </c>
      <c r="I34" s="60">
        <f t="shared" si="4"/>
        <v>0.85</v>
      </c>
      <c r="J34" s="60">
        <f t="shared" si="4"/>
        <v>0.85</v>
      </c>
      <c r="K34" s="60">
        <f t="shared" si="4"/>
        <v>0.85</v>
      </c>
      <c r="L34" s="60">
        <f t="shared" si="4"/>
        <v>0.85</v>
      </c>
      <c r="M34" s="60">
        <f t="shared" si="4"/>
        <v>0.85</v>
      </c>
      <c r="N34" s="60">
        <f t="shared" si="4"/>
        <v>0.85</v>
      </c>
      <c r="O34" s="60">
        <f t="shared" si="4"/>
        <v>0.85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zGflZgC+ORKlHzxOYBr8NoMTRfvjzBVpdNmLBnHMgEdLZ14FK7uQljN7kF+sshxKG2RLju5maQkRolxLxPO3w==" saltValue="9UYFNQfbEis/N8eT0mL2L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/taVJSshc6fEop0kDLWpk67CdxToIgjcddM0X5LHYCXdDgWBBYV+L9qnYsQL6Rn0LefjF9ecZn5BYJDy5Hfdew==" saltValue="hGCid/Od84vHuGOgaydY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1mtaLAFdfCtjMw7VcCNIp81wcwEUMsqT5X+qXKv2WeMd0H4T7C2bzJ/1gEBURwoY7/HPKWmlT5hI0lpIO5m2Q==" saltValue="2lUIAsz/3bCBscwXMzoo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lP8cC4xH5dkiPC3mpft+gH60EG7wxZEKIrenu1sec+mh5hs9tgpfF9mOYUPD6Q5jSWXzkMPEK3hurD3kMpVgA==" saltValue="JykYxeObMx5/mmbCX4XV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RDZ02Ycrhe6phw0Y0Nox3n0mVdcvshU7vpR4phgtXAUNbjoSyrQ24BcdCz/lonfBUL8qtBk8sJaYuULhGLm/EA==" saltValue="XiOWHBSZ5PsSfgFCh0cl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PDOhyuJ+GG1j763ohpdL2ItKkZsCZY9c0HlM0WAhqDVmgN5gkN13Du8IF2opZdnmGOvXonkMLubdh2exTDYI/w==" saltValue="Vmp4nflflPyUF6Rq1v59x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aqFkqMkVFAXNIBjPB/qjn2BWZV3NfvxPPR96/WnFeXQReF4Ck1YC/glj/z164yX+hX2y2lXp+4XudU4DQqB0w==" saltValue="pyIc3yoj/kvB8quPevoGI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h96Qo0yBZVcxmsF5VgcgZVZD+Q5sNlDQ3y91KMBq7Hm00Sa/Lrgchn/+N2P5vfkbAPJ+CJpvGTMFI8C136LjPw==" saltValue="080rJ7nZKOuzIuAnkKEP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GjfjK1EI10G2O+NHsZjzhgMr1gjWgIqPOCO7aW07pJ43zXN9e4ktqBs6V1jr/vJzv1UZ1OYpTLClS3bYktzHw==" saltValue="P79jqTy+DqFcLgPfMeRo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FU0hIPZLnl3O4P3MZdudlMVLl1UV15Z4E/hoCTPF1eHqBJPanEbnyP+5j0hld2p85c5cWsbkyp88jRFhZ2ZiA==" saltValue="bbbDjrkcR0ouW1dDTn1t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ID6RCZLi8vPXqE/dZSbgraTxfg7vdjpzjcit0bFC0cTsnPTbtwlo4KfZYKKzHJ3USsiDHsLSX/1VKv+6UK3pg==" saltValue="g2v6CRf+4Je4ySEzG+mq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2W58y3PAQHCdY8PSKbSVRzWAgccDDjUXfyTBgCD1drZ+Z3Blg81U3EHdDEybBL27YS4Zfc92LrYUO/CAn4yHQ==" saltValue="YVZa6EnyzuE1lTwGwSCd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mZ8jPHG4Q5SgScHfq9jEuYzfeBlwEmBbCv+8jbbP363/uYXjS/bytcZbATYnAsYZ3CmjAqWlIhb5KU6greFXQ==" saltValue="fsivZ7ornIEemRRi4tUd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AGIlIqhZvH7+FOiPL0JiR1eKysookEwO/Qd3mlKQ5ZI/+iHP+ht72c45W/v2bQN+a9SeQfI+lj+ghmr/EMrmg==" saltValue="062ik8g/qRx47OdHZjbx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UF8zg2tnjXNDMNZ/uxY+tp05thiB/BckDCk0VrROCAwtMGpA9x8yNNmYtb/nBoDPKyNVZcmiEEDgVlksfaBKqg==" saltValue="FldOCD9M1NqDB0Tf/FAnt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