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750E7FCB-E5F7-4D9C-A3D7-E021855F7143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<sst xmlns="http://schemas.openxmlformats.org/spreadsheetml/2006/main" count="2102" uniqueCount="337">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</sst>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309928.00390625</v>
      </c>
    </row>
    <row r="8" spans="1:3" ht="15" customHeight="1" x14ac:dyDescent="0.25">
      <c r="B8" s="5" t="s">
        <v>19</v>
      </c>
      <c r="C8" s="44">
        <v>3.4000000000000002E-2</v>
      </c>
    </row>
    <row r="9" spans="1:3" ht="15" customHeight="1" x14ac:dyDescent="0.25">
      <c r="B9" s="5" t="s">
        <v>20</v>
      </c>
      <c r="C9" s="45">
        <v>0.96</v>
      </c>
    </row>
    <row r="10" spans="1:3" ht="15" customHeight="1" x14ac:dyDescent="0.25">
      <c r="B10" s="5" t="s">
        <v>21</v>
      </c>
      <c r="C10" s="45">
        <v>0.32603321079999997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0.66299999999999992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0.13100000000000001</v>
      </c>
    </row>
    <row r="24" spans="1:3" ht="15" customHeight="1" x14ac:dyDescent="0.25">
      <c r="B24" s="15" t="s">
        <v>33</v>
      </c>
      <c r="C24" s="45">
        <v>0.434</v>
      </c>
    </row>
    <row r="25" spans="1:3" ht="15" customHeight="1" x14ac:dyDescent="0.25">
      <c r="B25" s="15" t="s">
        <v>34</v>
      </c>
      <c r="C25" s="45">
        <v>0.35249999999999998</v>
      </c>
    </row>
    <row r="26" spans="1:3" ht="15" customHeight="1" x14ac:dyDescent="0.25">
      <c r="B26" s="15" t="s">
        <v>35</v>
      </c>
      <c r="C26" s="45">
        <v>8.2500000000000004E-2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0.267409234355309</v>
      </c>
    </row>
    <row r="30" spans="1:3" ht="14.25" customHeight="1" x14ac:dyDescent="0.25">
      <c r="B30" s="25" t="s">
        <v>38</v>
      </c>
      <c r="C30" s="99">
        <v>6.2316367797226199E-2</v>
      </c>
    </row>
    <row r="31" spans="1:3" ht="14.25" customHeight="1" x14ac:dyDescent="0.25">
      <c r="B31" s="25" t="s">
        <v>39</v>
      </c>
      <c r="C31" s="99">
        <v>9.3002675244955299E-2</v>
      </c>
    </row>
    <row r="32" spans="1:3" ht="14.25" customHeight="1" x14ac:dyDescent="0.25">
      <c r="B32" s="25" t="s">
        <v>40</v>
      </c>
      <c r="C32" s="99">
        <v>0.57727172260250903</v>
      </c>
    </row>
    <row r="33" spans="1:5" ht="13" customHeight="1" x14ac:dyDescent="0.25">
      <c r="B33" s="27" t="s">
        <v>41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18.94415</v>
      </c>
    </row>
    <row r="38" spans="1:5" ht="15" customHeight="1" x14ac:dyDescent="0.25">
      <c r="B38" s="11" t="s">
        <v>45</v>
      </c>
      <c r="C38" s="43">
        <v>29.356670000000001</v>
      </c>
      <c r="D38" s="12"/>
      <c r="E38" s="13"/>
    </row>
    <row r="39" spans="1:5" ht="15" customHeight="1" x14ac:dyDescent="0.25">
      <c r="B39" s="11" t="s">
        <v>46</v>
      </c>
      <c r="C39" s="43">
        <v>39.74532</v>
      </c>
      <c r="D39" s="12"/>
      <c r="E39" s="12"/>
    </row>
    <row r="40" spans="1:5" ht="15" customHeight="1" x14ac:dyDescent="0.25">
      <c r="B40" s="11" t="s">
        <v>47</v>
      </c>
      <c r="C40" s="100">
        <v>2.27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14.095359999999999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5.8306E-3</v>
      </c>
      <c r="D45" s="12"/>
    </row>
    <row r="46" spans="1:5" ht="15.75" customHeight="1" x14ac:dyDescent="0.25">
      <c r="B46" s="11" t="s">
        <v>52</v>
      </c>
      <c r="C46" s="45">
        <v>6.2648999999999996E-2</v>
      </c>
      <c r="D46" s="12"/>
    </row>
    <row r="47" spans="1:5" ht="15.75" customHeight="1" x14ac:dyDescent="0.25">
      <c r="B47" s="11" t="s">
        <v>53</v>
      </c>
      <c r="C47" s="45">
        <v>7.5456700000000002E-2</v>
      </c>
      <c r="D47" s="12"/>
      <c r="E47" s="13"/>
    </row>
    <row r="48" spans="1:5" ht="15" customHeight="1" x14ac:dyDescent="0.25">
      <c r="B48" s="11" t="s">
        <v>54</v>
      </c>
      <c r="C48" s="46">
        <v>0.85606369999999998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3.3</v>
      </c>
      <c r="D51" s="12"/>
    </row>
    <row r="52" spans="1:4" ht="15" customHeight="1" x14ac:dyDescent="0.25">
      <c r="B52" s="11" t="s">
        <v>57</v>
      </c>
      <c r="C52" s="100">
        <v>3.3</v>
      </c>
    </row>
    <row r="53" spans="1:4" ht="15.75" customHeight="1" x14ac:dyDescent="0.25">
      <c r="B53" s="11" t="s">
        <v>58</v>
      </c>
      <c r="C53" s="100">
        <v>3.3</v>
      </c>
    </row>
    <row r="54" spans="1:4" ht="15.75" customHeight="1" x14ac:dyDescent="0.25">
      <c r="B54" s="11" t="s">
        <v>59</v>
      </c>
      <c r="C54" s="100">
        <v>3.3</v>
      </c>
    </row>
    <row r="55" spans="1:4" ht="15.75" customHeight="1" x14ac:dyDescent="0.25">
      <c r="B55" s="11" t="s">
        <v>60</v>
      </c>
      <c r="C55" s="100">
        <v>3.3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2.181818181818182E-2</v>
      </c>
    </row>
    <row r="59" spans="1:4" ht="15.75" customHeight="1" x14ac:dyDescent="0.25">
      <c r="B59" s="11" t="s">
        <v>63</v>
      </c>
      <c r="C59" s="45">
        <v>0.40570099999999998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0.1421289</v>
      </c>
    </row>
    <row r="63" spans="1:4" ht="15.75" customHeight="1" x14ac:dyDescent="0.3">
      <c r="A63" s="4"/>
    </row>
  </sheetData>
  <sheetProtection algorithmName="SHA-512" hashValue="bnvtXpP7MaI7hz/OPDAfkid9vdL0JI/GzW63CDQsDcZ2fup4VgPXvSm617OwoMZnZ4uESqlMHEx5a4eEwCZcIg==" saltValue="sQW1KonLYfcqmWmOwS1jN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63677</v>
      </c>
      <c r="C2" s="49">
        <v>143313</v>
      </c>
      <c r="D2" s="49">
        <v>195755</v>
      </c>
      <c r="E2" s="49">
        <v>177202</v>
      </c>
      <c r="F2" s="49">
        <v>115180.5</v>
      </c>
      <c r="G2" s="17">
        <f t="shared" ref="G2:G13" si="0">C2+D2+E2+F2</f>
        <v>631450.5</v>
      </c>
      <c r="H2" s="17">
        <f t="shared" ref="H2:H13" si="1">(B2 + stillbirth*B2/(1000-stillbirth))/(1-abortion)</f>
        <v>73394.752734632901</v>
      </c>
      <c r="I2" s="17">
        <f t="shared" ref="I2:I13" si="2">G2-H2</f>
        <v>558055.74726536707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63807</v>
      </c>
      <c r="C3" s="50">
        <v>148548</v>
      </c>
      <c r="D3" s="50">
        <v>198936.5</v>
      </c>
      <c r="E3" s="50">
        <v>179286</v>
      </c>
      <c r="F3" s="50">
        <v>119733</v>
      </c>
      <c r="G3" s="17">
        <f t="shared" si="0"/>
        <v>646503.5</v>
      </c>
      <c r="H3" s="17">
        <f t="shared" si="1"/>
        <v>73544.592046401711</v>
      </c>
      <c r="I3" s="17">
        <f t="shared" si="2"/>
        <v>572958.9079535983</v>
      </c>
    </row>
    <row r="4" spans="1:9" ht="15.75" customHeight="1" x14ac:dyDescent="0.25">
      <c r="A4" s="5">
        <f t="shared" si="3"/>
        <v>2026</v>
      </c>
      <c r="B4" s="49">
        <v>64339</v>
      </c>
      <c r="C4" s="50">
        <v>153899</v>
      </c>
      <c r="D4" s="50">
        <v>202834</v>
      </c>
      <c r="E4" s="50">
        <v>180908.5</v>
      </c>
      <c r="F4" s="50">
        <v>124231.5</v>
      </c>
      <c r="G4" s="17">
        <f t="shared" si="0"/>
        <v>661873</v>
      </c>
      <c r="H4" s="17">
        <f t="shared" si="1"/>
        <v>74157.780614563293</v>
      </c>
      <c r="I4" s="17">
        <f t="shared" si="2"/>
        <v>587715.21938543674</v>
      </c>
    </row>
    <row r="5" spans="1:9" ht="15.75" customHeight="1" x14ac:dyDescent="0.25">
      <c r="A5" s="5">
        <f t="shared" si="3"/>
        <v>2027</v>
      </c>
      <c r="B5" s="49">
        <v>64433.000000000007</v>
      </c>
      <c r="C5" s="50">
        <v>159067</v>
      </c>
      <c r="D5" s="50">
        <v>207370.5</v>
      </c>
      <c r="E5" s="50">
        <v>182203</v>
      </c>
      <c r="F5" s="50">
        <v>128641.5</v>
      </c>
      <c r="G5" s="17">
        <f t="shared" si="0"/>
        <v>677282</v>
      </c>
      <c r="H5" s="17">
        <f t="shared" si="1"/>
        <v>74266.125963073049</v>
      </c>
      <c r="I5" s="17">
        <f t="shared" si="2"/>
        <v>603015.87403692701</v>
      </c>
    </row>
    <row r="6" spans="1:9" ht="15.75" customHeight="1" x14ac:dyDescent="0.25">
      <c r="A6" s="5">
        <f t="shared" si="3"/>
        <v>2028</v>
      </c>
      <c r="B6" s="49">
        <v>64745.999999999993</v>
      </c>
      <c r="C6" s="50">
        <v>163956.5</v>
      </c>
      <c r="D6" s="50">
        <v>212478</v>
      </c>
      <c r="E6" s="50">
        <v>183318.5</v>
      </c>
      <c r="F6" s="50">
        <v>132948</v>
      </c>
      <c r="G6" s="17">
        <f t="shared" si="0"/>
        <v>692701</v>
      </c>
      <c r="H6" s="17">
        <f t="shared" si="1"/>
        <v>74626.892921408697</v>
      </c>
      <c r="I6" s="17">
        <f t="shared" si="2"/>
        <v>618074.10707859136</v>
      </c>
    </row>
    <row r="7" spans="1:9" ht="15.75" customHeight="1" x14ac:dyDescent="0.25">
      <c r="A7" s="5">
        <f t="shared" si="3"/>
        <v>2029</v>
      </c>
      <c r="B7" s="49">
        <v>65259</v>
      </c>
      <c r="C7" s="50">
        <v>168345</v>
      </c>
      <c r="D7" s="50">
        <v>218276</v>
      </c>
      <c r="E7" s="50">
        <v>184393</v>
      </c>
      <c r="F7" s="50">
        <v>137131</v>
      </c>
      <c r="G7" s="17">
        <f t="shared" si="0"/>
        <v>708145</v>
      </c>
      <c r="H7" s="17">
        <f t="shared" si="1"/>
        <v>75218.181897850227</v>
      </c>
      <c r="I7" s="17">
        <f t="shared" si="2"/>
        <v>632926.81810214976</v>
      </c>
    </row>
    <row r="8" spans="1:9" ht="15.75" customHeight="1" x14ac:dyDescent="0.25">
      <c r="A8" s="5">
        <f t="shared" si="3"/>
        <v>2030</v>
      </c>
      <c r="B8" s="49">
        <v>65815</v>
      </c>
      <c r="C8" s="50">
        <v>171968.5</v>
      </c>
      <c r="D8" s="50">
        <v>224812</v>
      </c>
      <c r="E8" s="50">
        <v>185599.5</v>
      </c>
      <c r="F8" s="50">
        <v>141077</v>
      </c>
      <c r="G8" s="17">
        <f t="shared" si="0"/>
        <v>723457</v>
      </c>
      <c r="H8" s="17">
        <f t="shared" si="1"/>
        <v>75859.033108184507</v>
      </c>
      <c r="I8" s="17">
        <f t="shared" si="2"/>
        <v>647597.96689181554</v>
      </c>
    </row>
    <row r="9" spans="1:9" ht="15.75" customHeight="1" x14ac:dyDescent="0.25">
      <c r="A9" s="5">
        <f t="shared" si="3"/>
        <v>2031</v>
      </c>
      <c r="B9" s="49">
        <v>66644</v>
      </c>
      <c r="C9" s="50">
        <v>174749</v>
      </c>
      <c r="D9" s="50">
        <v>231981.5</v>
      </c>
      <c r="E9" s="50">
        <v>187032.5</v>
      </c>
      <c r="F9" s="50">
        <v>144672</v>
      </c>
      <c r="G9" s="17">
        <f t="shared" si="0"/>
        <v>738435</v>
      </c>
      <c r="H9" s="17">
        <f t="shared" si="1"/>
        <v>76814.546873233281</v>
      </c>
      <c r="I9" s="17">
        <f t="shared" si="2"/>
        <v>661620.45312676672</v>
      </c>
    </row>
    <row r="10" spans="1:9" ht="15.75" customHeight="1" x14ac:dyDescent="0.25">
      <c r="A10" s="5">
        <f t="shared" si="3"/>
        <v>2032</v>
      </c>
      <c r="B10" s="49">
        <v>67107</v>
      </c>
      <c r="C10" s="50">
        <v>176838</v>
      </c>
      <c r="D10" s="50">
        <v>239525.5</v>
      </c>
      <c r="E10" s="50">
        <v>188715</v>
      </c>
      <c r="F10" s="50">
        <v>147918</v>
      </c>
      <c r="G10" s="17">
        <f t="shared" si="0"/>
        <v>752996.5</v>
      </c>
      <c r="H10" s="17">
        <f t="shared" si="1"/>
        <v>77348.205345148337</v>
      </c>
      <c r="I10" s="17">
        <f t="shared" si="2"/>
        <v>675648.29465485166</v>
      </c>
    </row>
    <row r="11" spans="1:9" ht="15.75" customHeight="1" x14ac:dyDescent="0.25">
      <c r="A11" s="5">
        <f t="shared" si="3"/>
        <v>2033</v>
      </c>
      <c r="B11" s="49">
        <v>67819</v>
      </c>
      <c r="C11" s="50">
        <v>178408.5</v>
      </c>
      <c r="D11" s="50">
        <v>247172</v>
      </c>
      <c r="E11" s="50">
        <v>190716.5</v>
      </c>
      <c r="F11" s="50">
        <v>150830.5</v>
      </c>
      <c r="G11" s="17">
        <f t="shared" si="0"/>
        <v>767127.5</v>
      </c>
      <c r="H11" s="17">
        <f t="shared" si="1"/>
        <v>78168.863729605189</v>
      </c>
      <c r="I11" s="17">
        <f t="shared" si="2"/>
        <v>688958.63627039478</v>
      </c>
    </row>
    <row r="12" spans="1:9" ht="15.75" customHeight="1" x14ac:dyDescent="0.25">
      <c r="A12" s="5">
        <f t="shared" si="3"/>
        <v>2034</v>
      </c>
      <c r="B12" s="49">
        <v>68127</v>
      </c>
      <c r="C12" s="50">
        <v>179486</v>
      </c>
      <c r="D12" s="50">
        <v>254813.5</v>
      </c>
      <c r="E12" s="50">
        <v>193218</v>
      </c>
      <c r="F12" s="50">
        <v>153410.5</v>
      </c>
      <c r="G12" s="17">
        <f t="shared" si="0"/>
        <v>780928</v>
      </c>
      <c r="H12" s="17">
        <f t="shared" si="1"/>
        <v>78523.867637488205</v>
      </c>
      <c r="I12" s="17">
        <f t="shared" si="2"/>
        <v>702404.13236251182</v>
      </c>
    </row>
    <row r="13" spans="1:9" ht="15.75" customHeight="1" x14ac:dyDescent="0.25">
      <c r="A13" s="5">
        <f t="shared" si="3"/>
        <v>2035</v>
      </c>
      <c r="B13" s="49">
        <v>68999</v>
      </c>
      <c r="C13" s="50">
        <v>180144.5</v>
      </c>
      <c r="D13" s="50">
        <v>262289</v>
      </c>
      <c r="E13" s="50">
        <v>196403</v>
      </c>
      <c r="F13" s="50">
        <v>155577</v>
      </c>
      <c r="G13" s="17">
        <f t="shared" si="0"/>
        <v>794413.5</v>
      </c>
      <c r="H13" s="17">
        <f t="shared" si="1"/>
        <v>79528.943636429743</v>
      </c>
      <c r="I13" s="17">
        <f t="shared" si="2"/>
        <v>714884.55636357027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9nkSQGOJ1Ra5KkQf8sO7HFdJWAj9ABUdmUxEMqYHEM3GbRTQkD3TzWQVgoSS90l+oMEVmflxkYyjY1h4C3gHmA==" saltValue="rMEBZ5NzUFzdLfojWkN4w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7.9603999999999977E-3</v>
      </c>
    </row>
    <row r="4" spans="1:8" ht="15.75" customHeight="1" x14ac:dyDescent="0.25">
      <c r="B4" s="19" t="s">
        <v>79</v>
      </c>
      <c r="C4" s="101">
        <v>5.4278499999999973E-2</v>
      </c>
    </row>
    <row r="5" spans="1:8" ht="15.75" customHeight="1" x14ac:dyDescent="0.25">
      <c r="B5" s="19" t="s">
        <v>80</v>
      </c>
      <c r="C5" s="101">
        <v>6.8896700000000047E-2</v>
      </c>
    </row>
    <row r="6" spans="1:8" ht="15.75" customHeight="1" x14ac:dyDescent="0.25">
      <c r="B6" s="19" t="s">
        <v>81</v>
      </c>
      <c r="C6" s="101">
        <v>0.2405291000000005</v>
      </c>
    </row>
    <row r="7" spans="1:8" ht="15.75" customHeight="1" x14ac:dyDescent="0.25">
      <c r="B7" s="19" t="s">
        <v>82</v>
      </c>
      <c r="C7" s="101">
        <v>0.42675559999999951</v>
      </c>
    </row>
    <row r="8" spans="1:8" ht="15.75" customHeight="1" x14ac:dyDescent="0.25">
      <c r="B8" s="19" t="s">
        <v>83</v>
      </c>
      <c r="C8" s="101">
        <v>1.9896999999999992E-3</v>
      </c>
    </row>
    <row r="9" spans="1:8" ht="15.75" customHeight="1" x14ac:dyDescent="0.25">
      <c r="B9" s="19" t="s">
        <v>84</v>
      </c>
      <c r="C9" s="101">
        <v>8.7416600000000025E-2</v>
      </c>
    </row>
    <row r="10" spans="1:8" ht="15.75" customHeight="1" x14ac:dyDescent="0.25">
      <c r="B10" s="19" t="s">
        <v>85</v>
      </c>
      <c r="C10" s="101">
        <v>0.11217340000000001</v>
      </c>
    </row>
    <row r="11" spans="1:8" ht="15.75" customHeight="1" x14ac:dyDescent="0.25">
      <c r="B11" s="27" t="s">
        <v>41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0.1586850795979258</v>
      </c>
      <c r="D14" s="55">
        <v>0.1586850795979258</v>
      </c>
      <c r="E14" s="55">
        <v>0.1586850795979258</v>
      </c>
      <c r="F14" s="55">
        <v>0.1586850795979258</v>
      </c>
    </row>
    <row r="15" spans="1:8" ht="15.75" customHeight="1" x14ac:dyDescent="0.25">
      <c r="B15" s="19" t="s">
        <v>88</v>
      </c>
      <c r="C15" s="101">
        <v>0.1457257056059359</v>
      </c>
      <c r="D15" s="101">
        <v>0.1457257056059359</v>
      </c>
      <c r="E15" s="101">
        <v>0.1457257056059359</v>
      </c>
      <c r="F15" s="101">
        <v>0.1457257056059359</v>
      </c>
    </row>
    <row r="16" spans="1:8" ht="15.75" customHeight="1" x14ac:dyDescent="0.25">
      <c r="B16" s="19" t="s">
        <v>89</v>
      </c>
      <c r="C16" s="101">
        <v>3.6673544337957442E-2</v>
      </c>
      <c r="D16" s="101">
        <v>3.6673544337957442E-2</v>
      </c>
      <c r="E16" s="101">
        <v>3.6673544337957442E-2</v>
      </c>
      <c r="F16" s="101">
        <v>3.6673544337957442E-2</v>
      </c>
    </row>
    <row r="17" spans="1:8" ht="15.75" customHeight="1" x14ac:dyDescent="0.25">
      <c r="B17" s="19" t="s">
        <v>90</v>
      </c>
      <c r="C17" s="101">
        <v>9.8008104921843586E-2</v>
      </c>
      <c r="D17" s="101">
        <v>9.8008104921843586E-2</v>
      </c>
      <c r="E17" s="101">
        <v>9.8008104921843586E-2</v>
      </c>
      <c r="F17" s="101">
        <v>9.8008104921843586E-2</v>
      </c>
    </row>
    <row r="18" spans="1:8" ht="15.75" customHeight="1" x14ac:dyDescent="0.25">
      <c r="B18" s="19" t="s">
        <v>91</v>
      </c>
      <c r="C18" s="101">
        <v>0.135975881764268</v>
      </c>
      <c r="D18" s="101">
        <v>0.135975881764268</v>
      </c>
      <c r="E18" s="101">
        <v>0.135975881764268</v>
      </c>
      <c r="F18" s="101">
        <v>0.135975881764268</v>
      </c>
    </row>
    <row r="19" spans="1:8" ht="15.75" customHeight="1" x14ac:dyDescent="0.25">
      <c r="B19" s="19" t="s">
        <v>92</v>
      </c>
      <c r="C19" s="101">
        <v>6.2473064113144711E-2</v>
      </c>
      <c r="D19" s="101">
        <v>6.2473064113144711E-2</v>
      </c>
      <c r="E19" s="101">
        <v>6.2473064113144711E-2</v>
      </c>
      <c r="F19" s="101">
        <v>6.2473064113144711E-2</v>
      </c>
    </row>
    <row r="20" spans="1:8" ht="15.75" customHeight="1" x14ac:dyDescent="0.25">
      <c r="B20" s="19" t="s">
        <v>93</v>
      </c>
      <c r="C20" s="101">
        <v>8.6546694608013008E-2</v>
      </c>
      <c r="D20" s="101">
        <v>8.6546694608013008E-2</v>
      </c>
      <c r="E20" s="101">
        <v>8.6546694608013008E-2</v>
      </c>
      <c r="F20" s="101">
        <v>8.6546694608013008E-2</v>
      </c>
    </row>
    <row r="21" spans="1:8" ht="15.75" customHeight="1" x14ac:dyDescent="0.25">
      <c r="B21" s="19" t="s">
        <v>94</v>
      </c>
      <c r="C21" s="101">
        <v>8.7176531093682147E-2</v>
      </c>
      <c r="D21" s="101">
        <v>8.7176531093682147E-2</v>
      </c>
      <c r="E21" s="101">
        <v>8.7176531093682147E-2</v>
      </c>
      <c r="F21" s="101">
        <v>8.7176531093682147E-2</v>
      </c>
    </row>
    <row r="22" spans="1:8" ht="15.75" customHeight="1" x14ac:dyDescent="0.25">
      <c r="B22" s="19" t="s">
        <v>95</v>
      </c>
      <c r="C22" s="101">
        <v>0.1887353939572296</v>
      </c>
      <c r="D22" s="101">
        <v>0.1887353939572296</v>
      </c>
      <c r="E22" s="101">
        <v>0.1887353939572296</v>
      </c>
      <c r="F22" s="101">
        <v>0.1887353939572296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9.5711987999999998E-2</v>
      </c>
    </row>
    <row r="27" spans="1:8" ht="15.75" customHeight="1" x14ac:dyDescent="0.25">
      <c r="B27" s="19" t="s">
        <v>102</v>
      </c>
      <c r="C27" s="101">
        <v>4.2970438999999999E-2</v>
      </c>
    </row>
    <row r="28" spans="1:8" ht="15.75" customHeight="1" x14ac:dyDescent="0.25">
      <c r="B28" s="19" t="s">
        <v>103</v>
      </c>
      <c r="C28" s="101">
        <v>0.19642078600000001</v>
      </c>
    </row>
    <row r="29" spans="1:8" ht="15.75" customHeight="1" x14ac:dyDescent="0.25">
      <c r="B29" s="19" t="s">
        <v>104</v>
      </c>
      <c r="C29" s="101">
        <v>0.206894785</v>
      </c>
    </row>
    <row r="30" spans="1:8" ht="15.75" customHeight="1" x14ac:dyDescent="0.25">
      <c r="B30" s="19" t="s">
        <v>2</v>
      </c>
      <c r="C30" s="101">
        <v>2.7698743000000001E-2</v>
      </c>
    </row>
    <row r="31" spans="1:8" ht="15.75" customHeight="1" x14ac:dyDescent="0.25">
      <c r="B31" s="19" t="s">
        <v>105</v>
      </c>
      <c r="C31" s="101">
        <v>0.20935653800000001</v>
      </c>
    </row>
    <row r="32" spans="1:8" ht="15.75" customHeight="1" x14ac:dyDescent="0.25">
      <c r="B32" s="19" t="s">
        <v>106</v>
      </c>
      <c r="C32" s="101">
        <v>1.2451637999999999E-2</v>
      </c>
    </row>
    <row r="33" spans="2:3" ht="15.75" customHeight="1" x14ac:dyDescent="0.25">
      <c r="B33" s="19" t="s">
        <v>107</v>
      </c>
      <c r="C33" s="101">
        <v>5.1474696E-2</v>
      </c>
    </row>
    <row r="34" spans="2:3" ht="15.75" customHeight="1" x14ac:dyDescent="0.25">
      <c r="B34" s="19" t="s">
        <v>108</v>
      </c>
      <c r="C34" s="101">
        <v>0.15702038800000001</v>
      </c>
    </row>
    <row r="35" spans="2:3" ht="15.75" customHeight="1" x14ac:dyDescent="0.25">
      <c r="B35" s="27" t="s">
        <v>41</v>
      </c>
      <c r="C35" s="48">
        <f>SUM(C26:C34)</f>
        <v>1.0000000010000001</v>
      </c>
    </row>
  </sheetData>
  <sheetProtection algorithmName="SHA-512" hashValue="O6hU3Xec0Evu+t49CBxFzSQfP9BsjxJpbH6miIIMvHYvRXltywhSs4mQQV6McN5XhMX+/1EJRrUkhSBpglinzA==" saltValue="+fJcrupZmi1rxxQJTkBL4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0.51029382434732007</v>
      </c>
      <c r="D2" s="52">
        <f>IFERROR(1-_xlfn.NORM.DIST(_xlfn.NORM.INV(SUM(D4:D5), 0, 1) + 1, 0, 1, TRUE), "")</f>
        <v>0.51029382434732007</v>
      </c>
      <c r="E2" s="52">
        <f>IFERROR(1-_xlfn.NORM.DIST(_xlfn.NORM.INV(SUM(E4:E5), 0, 1) + 1, 0, 1, TRUE), "")</f>
        <v>0.6443379975681347</v>
      </c>
      <c r="F2" s="52">
        <f>IFERROR(1-_xlfn.NORM.DIST(_xlfn.NORM.INV(SUM(F4:F5), 0, 1) + 1, 0, 1, TRUE), "")</f>
        <v>0.42295980173304104</v>
      </c>
      <c r="G2" s="52">
        <f>IFERROR(1-_xlfn.NORM.DIST(_xlfn.NORM.INV(SUM(G4:G5), 0, 1) + 1, 0, 1, TRUE), "")</f>
        <v>0.5531086877320488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0.33721457565267998</v>
      </c>
      <c r="D3" s="52">
        <f>IFERROR(_xlfn.NORM.DIST(_xlfn.NORM.INV(SUM(D4:D5), 0, 1) + 1, 0, 1, TRUE) - SUM(D4:D5), "")</f>
        <v>0.33721457565267998</v>
      </c>
      <c r="E3" s="52">
        <f>IFERROR(_xlfn.NORM.DIST(_xlfn.NORM.INV(SUM(E4:E5), 0, 1) + 1, 0, 1, TRUE) - SUM(E4:E5), "")</f>
        <v>0.2703308024318653</v>
      </c>
      <c r="F3" s="52">
        <f>IFERROR(_xlfn.NORM.DIST(_xlfn.NORM.INV(SUM(F4:F5), 0, 1) + 1, 0, 1, TRUE) - SUM(F4:F5), "")</f>
        <v>0.36682439826695895</v>
      </c>
      <c r="G3" s="52">
        <f>IFERROR(_xlfn.NORM.DIST(_xlfn.NORM.INV(SUM(G4:G5), 0, 1) + 1, 0, 1, TRUE) - SUM(G4:G5), "")</f>
        <v>0.3183932122679512</v>
      </c>
    </row>
    <row r="4" spans="1:15" ht="15.75" customHeight="1" x14ac:dyDescent="0.25">
      <c r="B4" s="5" t="s">
        <v>114</v>
      </c>
      <c r="C4" s="45">
        <v>0.1042593</v>
      </c>
      <c r="D4" s="53">
        <v>0.1042593</v>
      </c>
      <c r="E4" s="53">
        <v>6.4421300000000001E-2</v>
      </c>
      <c r="F4" s="53">
        <v>0.1396512</v>
      </c>
      <c r="G4" s="53">
        <v>8.9111200000000002E-2</v>
      </c>
    </row>
    <row r="5" spans="1:15" ht="15.75" customHeight="1" x14ac:dyDescent="0.25">
      <c r="B5" s="5" t="s">
        <v>115</v>
      </c>
      <c r="C5" s="45">
        <v>4.8232299999999999E-2</v>
      </c>
      <c r="D5" s="53">
        <v>4.8232299999999999E-2</v>
      </c>
      <c r="E5" s="53">
        <v>2.0909899999999999E-2</v>
      </c>
      <c r="F5" s="53">
        <v>7.0564600000000005E-2</v>
      </c>
      <c r="G5" s="53">
        <v>3.9386900000000002E-2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0.70894537084830733</v>
      </c>
      <c r="D8" s="52">
        <f>IFERROR(1-_xlfn.NORM.DIST(_xlfn.NORM.INV(SUM(D10:D11), 0, 1) + 1, 0, 1, TRUE), "")</f>
        <v>0.70894537084830733</v>
      </c>
      <c r="E8" s="52">
        <f>IFERROR(1-_xlfn.NORM.DIST(_xlfn.NORM.INV(SUM(E10:E11), 0, 1) + 1, 0, 1, TRUE), "")</f>
        <v>0.78287691391414294</v>
      </c>
      <c r="F8" s="52">
        <f>IFERROR(1-_xlfn.NORM.DIST(_xlfn.NORM.INV(SUM(F10:F11), 0, 1) + 1, 0, 1, TRUE), "")</f>
        <v>0.75225865586967744</v>
      </c>
      <c r="G8" s="52">
        <f>IFERROR(1-_xlfn.NORM.DIST(_xlfn.NORM.INV(SUM(G10:G11), 0, 1) + 1, 0, 1, TRUE), "")</f>
        <v>0.8317317240301163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0.23052062915169269</v>
      </c>
      <c r="D9" s="52">
        <f>IFERROR(_xlfn.NORM.DIST(_xlfn.NORM.INV(SUM(D10:D11), 0, 1) + 1, 0, 1, TRUE) - SUM(D10:D11), "")</f>
        <v>0.23052062915169269</v>
      </c>
      <c r="E9" s="52">
        <f>IFERROR(_xlfn.NORM.DIST(_xlfn.NORM.INV(SUM(E10:E11), 0, 1) + 1, 0, 1, TRUE) - SUM(E10:E11), "")</f>
        <v>0.1797440860858571</v>
      </c>
      <c r="F9" s="52">
        <f>IFERROR(_xlfn.NORM.DIST(_xlfn.NORM.INV(SUM(F10:F11), 0, 1) + 1, 0, 1, TRUE) - SUM(F10:F11), "")</f>
        <v>0.20141954413032256</v>
      </c>
      <c r="G9" s="52">
        <f>IFERROR(_xlfn.NORM.DIST(_xlfn.NORM.INV(SUM(G10:G11), 0, 1) + 1, 0, 1, TRUE) - SUM(G10:G11), "")</f>
        <v>0.14333057596988374</v>
      </c>
    </row>
    <row r="10" spans="1:15" ht="15.75" customHeight="1" x14ac:dyDescent="0.25">
      <c r="B10" s="5" t="s">
        <v>119</v>
      </c>
      <c r="C10" s="45">
        <v>3.2665799999999988E-2</v>
      </c>
      <c r="D10" s="53">
        <v>3.2665799999999988E-2</v>
      </c>
      <c r="E10" s="53">
        <v>3.3006899999999999E-2</v>
      </c>
      <c r="F10" s="53">
        <v>2.9760200000000001E-2</v>
      </c>
      <c r="G10" s="53">
        <v>2.0562400000000002E-2</v>
      </c>
    </row>
    <row r="11" spans="1:15" ht="15.75" customHeight="1" x14ac:dyDescent="0.25">
      <c r="B11" s="5" t="s">
        <v>120</v>
      </c>
      <c r="C11" s="45">
        <v>2.7868199999999999E-2</v>
      </c>
      <c r="D11" s="53">
        <v>2.7868199999999999E-2</v>
      </c>
      <c r="E11" s="53">
        <v>4.3721000000000003E-3</v>
      </c>
      <c r="F11" s="53">
        <v>1.6561599999999999E-2</v>
      </c>
      <c r="G11" s="53">
        <v>4.3753000000000004E-3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0.77009803950000011</v>
      </c>
      <c r="D14" s="54">
        <v>0.75845489217399997</v>
      </c>
      <c r="E14" s="54">
        <v>0.75845489217399997</v>
      </c>
      <c r="F14" s="54">
        <v>0.60551019102899994</v>
      </c>
      <c r="G14" s="54">
        <v>0.60551019102899994</v>
      </c>
      <c r="H14" s="45">
        <v>0.60599999999999998</v>
      </c>
      <c r="I14" s="55">
        <v>0.60599999999999998</v>
      </c>
      <c r="J14" s="55">
        <v>0.60599999999999998</v>
      </c>
      <c r="K14" s="55">
        <v>0.60599999999999998</v>
      </c>
      <c r="L14" s="45">
        <v>0.58899999999999997</v>
      </c>
      <c r="M14" s="55">
        <v>0.58899999999999997</v>
      </c>
      <c r="N14" s="55">
        <v>0.58899999999999997</v>
      </c>
      <c r="O14" s="55">
        <v>0.58899999999999997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0.31242954472318951</v>
      </c>
      <c r="D15" s="52">
        <f t="shared" si="0"/>
        <v>0.30770590820988397</v>
      </c>
      <c r="E15" s="52">
        <f t="shared" si="0"/>
        <v>0.30770590820988397</v>
      </c>
      <c r="F15" s="52">
        <f t="shared" si="0"/>
        <v>0.2456560900106563</v>
      </c>
      <c r="G15" s="52">
        <f t="shared" si="0"/>
        <v>0.2456560900106563</v>
      </c>
      <c r="H15" s="52">
        <f t="shared" si="0"/>
        <v>0.24585480599999998</v>
      </c>
      <c r="I15" s="52">
        <f t="shared" si="0"/>
        <v>0.24585480599999998</v>
      </c>
      <c r="J15" s="52">
        <f t="shared" si="0"/>
        <v>0.24585480599999998</v>
      </c>
      <c r="K15" s="52">
        <f t="shared" si="0"/>
        <v>0.24585480599999998</v>
      </c>
      <c r="L15" s="52">
        <f t="shared" si="0"/>
        <v>0.23895788899999998</v>
      </c>
      <c r="M15" s="52">
        <f t="shared" si="0"/>
        <v>0.23895788899999998</v>
      </c>
      <c r="N15" s="52">
        <f t="shared" si="0"/>
        <v>0.23895788899999998</v>
      </c>
      <c r="O15" s="52">
        <f t="shared" si="0"/>
        <v>0.23895788899999998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FpkUVIp9TZZc7vNJ665t2zQNPqc6CtMcTmWHBqRtD1kIAHM3ubQZSvTQojaJu9T/4SOXKHdKbCMxS4jqJfz37Q==" saltValue="ZV5MCykCi1ZO6tQStVqS/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0.33484629999999999</v>
      </c>
      <c r="D2" s="53">
        <v>0.1464792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0.10618130000000001</v>
      </c>
      <c r="D3" s="53">
        <v>0.1315151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0.51469330000000002</v>
      </c>
      <c r="D4" s="53">
        <v>0.61570049999999998</v>
      </c>
      <c r="E4" s="53">
        <v>0.72258</v>
      </c>
      <c r="F4" s="53">
        <v>0.1682478</v>
      </c>
      <c r="G4" s="53">
        <v>0</v>
      </c>
    </row>
    <row r="5" spans="1:7" x14ac:dyDescent="0.25">
      <c r="B5" s="3" t="s">
        <v>132</v>
      </c>
      <c r="C5" s="52">
        <v>4.4279099999999988E-2</v>
      </c>
      <c r="D5" s="52">
        <v>0.1063051</v>
      </c>
      <c r="E5" s="52">
        <f>1-SUM(E2:E4)</f>
        <v>0.27742</v>
      </c>
      <c r="F5" s="52">
        <f>1-SUM(F2:F4)</f>
        <v>0.83175219999999994</v>
      </c>
      <c r="G5" s="52">
        <f>1-SUM(G2:G4)</f>
        <v>1</v>
      </c>
    </row>
  </sheetData>
  <sheetProtection algorithmName="SHA-512" hashValue="DhW9/kfSzwEAwV0w4TpSCGCwaFohUlvDC2L/bTbheyOVbCFRtTMzcqe9sS6wlFa+d9SgM2ieSdLnc7ZTQMU3UQ==" saltValue="jBGIk7JreamajYbXPJbaM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bQdvfILSa5MsKKaLo1RsMrkz7wtvRIBk0uv1fB6IMHn81wNh4dZ9Gns7Z1Uj8LTvMK5GEPW2dmQvUzlBiH9cLw==" saltValue="bB2lGUglZN3isDj1eLTc8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fzhCmi6MMVuZ32couKxj+a+t3JawNd3VjQuRODmLqf5STW1WvLnnB1cKfQxhEmWK7CHCBFr3zo1pWd68YxLC1w==" saltValue="1lNpcDMen+h73EdwwTVJX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/SevE+kBnoNMDAwZFU2/p1jXHlVtykQotTa4ndQDaa2tUcbRO6QslL8CVaCsVvLtXdg1G1oF6rPK0CvsEiREaQ==" saltValue="5sQ3AVcmrMB3z8ccuBnPc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+8JqVqJqeLbV0toAAjG9k5khFGZnCcg0f6cgioBwz7nTwDx1rhLwupfDQn9tDcE89bfQVsXoNqBpO01jxv95NQ==" saltValue="zcyjmYVsfWcpVTtWJTvP5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77.390193053910821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0.51482233818000001</v>
      </c>
      <c r="C3" s="98">
        <v>0.95</v>
      </c>
      <c r="D3" s="56">
        <v>40.314078775655148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717.93406611531384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1.953366982272418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0.3935863</v>
      </c>
      <c r="C10" s="98">
        <v>0.95</v>
      </c>
      <c r="D10" s="56">
        <v>13.446378219451059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0.3935863</v>
      </c>
      <c r="C11" s="98">
        <v>0.95</v>
      </c>
      <c r="D11" s="56">
        <v>13.446378219451059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0.3935863</v>
      </c>
      <c r="C12" s="98">
        <v>0.95</v>
      </c>
      <c r="D12" s="56">
        <v>13.446378219451059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0.3935863</v>
      </c>
      <c r="C13" s="98">
        <v>0.95</v>
      </c>
      <c r="D13" s="56">
        <v>13.446378219451059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0.3935863</v>
      </c>
      <c r="C14" s="98">
        <v>0.95</v>
      </c>
      <c r="D14" s="56">
        <v>13.446378219451059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0.3935863</v>
      </c>
      <c r="C15" s="98">
        <v>0.95</v>
      </c>
      <c r="D15" s="56">
        <v>13.446378219451059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0.83</v>
      </c>
      <c r="C16" s="98">
        <v>0.95</v>
      </c>
      <c r="D16" s="56">
        <v>1.1530314605155489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0.20358792550999999</v>
      </c>
      <c r="C18" s="98">
        <v>0.95</v>
      </c>
      <c r="D18" s="56">
        <v>16.459595752364979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0.49896239999999997</v>
      </c>
      <c r="C19" s="98">
        <v>0.95</v>
      </c>
      <c r="D19" s="56">
        <v>16.459595752364979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0.88436610000000004</v>
      </c>
      <c r="C21" s="98">
        <v>0.95</v>
      </c>
      <c r="D21" s="56">
        <v>15.053841697970229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23.431813824225639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4.5507118970106513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0.92389554679604402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0.3935863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19.019954364099402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0.75406460082703308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157.83610683338631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0.93338364466171397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2.5205892106452601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0.26319480000000001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0.199735</v>
      </c>
      <c r="C38" s="98">
        <v>0.95</v>
      </c>
      <c r="D38" s="56">
        <v>6.6808099719985172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J8cOUoj6jRJyIGVXOL3lNh649PVVCfbNMcZNPSyMW0KIYy+YJJdSKEHS2XY8LAbkKI9YRdDw09SYus6eSECOww==" saltValue="n21JUyTPXEIWK7mkGhk2d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NvdQ3M2wU1Gan6gTakTsRZqg32K57m7L33RKE+nJTkUD6/jenf5FdERrSNXmlczOzf5IEwdqAFuqpoQeIEtbPg==" saltValue="PDABW6x9x7QGTTFgSvtWp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dLr9dJ0+6ejr7xCV+HePgU3xpMjqzO1rMTehNtDNm97p3kzzwqDjFvwp52QfmOtiCxCSMGhL+lueqF8yQ9L6/g==" saltValue="XxWlcEqHc2lkYvSrShc1e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209</v>
      </c>
      <c r="B3" s="21">
        <f>frac_mam_1month * 2.6</f>
        <v>8.4931079999999978E-2</v>
      </c>
      <c r="C3" s="21">
        <f>frac_mam_1_5months * 2.6</f>
        <v>8.4931079999999978E-2</v>
      </c>
      <c r="D3" s="21">
        <f>frac_mam_6_11months * 2.6</f>
        <v>8.5817939999999995E-2</v>
      </c>
      <c r="E3" s="21">
        <f>frac_mam_12_23months * 2.6</f>
        <v>7.7376520000000004E-2</v>
      </c>
      <c r="F3" s="21">
        <f>frac_mam_24_59months * 2.6</f>
        <v>5.3462240000000008E-2</v>
      </c>
    </row>
    <row r="4" spans="1:6" ht="15.75" customHeight="1" x14ac:dyDescent="0.25">
      <c r="A4" s="3" t="s">
        <v>208</v>
      </c>
      <c r="B4" s="21">
        <f>frac_sam_1month * 2.6</f>
        <v>7.2457320000000006E-2</v>
      </c>
      <c r="C4" s="21">
        <f>frac_sam_1_5months * 2.6</f>
        <v>7.2457320000000006E-2</v>
      </c>
      <c r="D4" s="21">
        <f>frac_sam_6_11months * 2.6</f>
        <v>1.1367460000000001E-2</v>
      </c>
      <c r="E4" s="21">
        <f>frac_sam_12_23months * 2.6</f>
        <v>4.306016E-2</v>
      </c>
      <c r="F4" s="21">
        <f>frac_sam_24_59months * 2.6</f>
        <v>1.1375780000000002E-2</v>
      </c>
    </row>
  </sheetData>
  <sheetProtection algorithmName="SHA-512" hashValue="oXj0a5ilDmyainmH8LFQearyLnoRWkkFhQCLlA1I4f1doWZt+LX8EakiGPx6iRBA7E/9wkhWI5m6DqUzosw4Sg==" saltValue="uBm3eIV+PVbmbefTt3Igg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3.4000000000000002E-2</v>
      </c>
      <c r="E2" s="60">
        <f>food_insecure</f>
        <v>3.4000000000000002E-2</v>
      </c>
      <c r="F2" s="60">
        <f>food_insecure</f>
        <v>3.4000000000000002E-2</v>
      </c>
      <c r="G2" s="60">
        <f>food_insecure</f>
        <v>3.4000000000000002E-2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3.4000000000000002E-2</v>
      </c>
      <c r="F5" s="60">
        <f>food_insecure</f>
        <v>3.4000000000000002E-2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3.4000000000000002E-2</v>
      </c>
      <c r="F8" s="60">
        <f>food_insecure</f>
        <v>3.4000000000000002E-2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3.4000000000000002E-2</v>
      </c>
      <c r="F9" s="60">
        <f>food_insecure</f>
        <v>3.4000000000000002E-2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3.4000000000000002E-2</v>
      </c>
      <c r="I15" s="60">
        <f>food_insecure</f>
        <v>3.4000000000000002E-2</v>
      </c>
      <c r="J15" s="60">
        <f>food_insecure</f>
        <v>3.4000000000000002E-2</v>
      </c>
      <c r="K15" s="60">
        <f>food_insecure</f>
        <v>3.4000000000000002E-2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0.96</v>
      </c>
      <c r="I19" s="60">
        <f>frac_malaria_risk</f>
        <v>0.96</v>
      </c>
      <c r="J19" s="60">
        <f>frac_malaria_risk</f>
        <v>0.96</v>
      </c>
      <c r="K19" s="60">
        <f>frac_malaria_risk</f>
        <v>0.96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0.66299999999999992</v>
      </c>
      <c r="M24" s="60">
        <f>famplan_unmet_need</f>
        <v>0.66299999999999992</v>
      </c>
      <c r="N24" s="60">
        <f>famplan_unmet_need</f>
        <v>0.66299999999999992</v>
      </c>
      <c r="O24" s="60">
        <f>famplan_unmet_need</f>
        <v>0.66299999999999992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0.33505584958288803</v>
      </c>
      <c r="M25" s="60">
        <f>(1-food_insecure)*(0.49)+food_insecure*(0.7)</f>
        <v>0.49713999999999997</v>
      </c>
      <c r="N25" s="60">
        <f>(1-food_insecure)*(0.49)+food_insecure*(0.7)</f>
        <v>0.49713999999999997</v>
      </c>
      <c r="O25" s="60">
        <f>(1-food_insecure)*(0.49)+food_insecure*(0.7)</f>
        <v>0.49713999999999997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0.14359536410695201</v>
      </c>
      <c r="M26" s="60">
        <f>(1-food_insecure)*(0.21)+food_insecure*(0.3)</f>
        <v>0.21305999999999997</v>
      </c>
      <c r="N26" s="60">
        <f>(1-food_insecure)*(0.21)+food_insecure*(0.3)</f>
        <v>0.21305999999999997</v>
      </c>
      <c r="O26" s="60">
        <f>(1-food_insecure)*(0.21)+food_insecure*(0.3)</f>
        <v>0.21305999999999997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0.19531557551016002</v>
      </c>
      <c r="M27" s="60">
        <f>(1-food_insecure)*(0.3)</f>
        <v>0.2898</v>
      </c>
      <c r="N27" s="60">
        <f>(1-food_insecure)*(0.3)</f>
        <v>0.2898</v>
      </c>
      <c r="O27" s="60">
        <f>(1-food_insecure)*(0.3)</f>
        <v>0.2898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0.96</v>
      </c>
      <c r="D34" s="60">
        <f t="shared" si="3"/>
        <v>0.96</v>
      </c>
      <c r="E34" s="60">
        <f t="shared" si="3"/>
        <v>0.96</v>
      </c>
      <c r="F34" s="60">
        <f t="shared" si="3"/>
        <v>0.96</v>
      </c>
      <c r="G34" s="60">
        <f t="shared" si="3"/>
        <v>0.96</v>
      </c>
      <c r="H34" s="60">
        <f t="shared" si="3"/>
        <v>0.96</v>
      </c>
      <c r="I34" s="60">
        <f t="shared" si="3"/>
        <v>0.96</v>
      </c>
      <c r="J34" s="60">
        <f t="shared" si="3"/>
        <v>0.96</v>
      </c>
      <c r="K34" s="60">
        <f t="shared" si="3"/>
        <v>0.96</v>
      </c>
      <c r="L34" s="60">
        <f t="shared" si="3"/>
        <v>0.96</v>
      </c>
      <c r="M34" s="60">
        <f t="shared" si="3"/>
        <v>0.96</v>
      </c>
      <c r="N34" s="60">
        <f t="shared" si="3"/>
        <v>0.96</v>
      </c>
      <c r="O34" s="60">
        <f t="shared" si="3"/>
        <v>0.96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kjdS1gWu4TXMeSW55QxpG4mbjxLGQeXIKFlBdxnZgi7Y1N7qjIHyA7/rdz2uHv/oBT0JztEEb9pHGUVnfkCkjQ==" saltValue="VvA8oHAu8ssJY7YXeDXz2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BWftFh10VU846EXnnVG9smDks8cIIhsTJBF2lmDKdCb6b5ksH1HW7cNyF5O5tadke4/n+bF7EB0Xmo001SxDIw==" saltValue="IZGweokPdKpkWrFnvxsdV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WIfbtYCsHO5ePMFxaLvEOsqdSK2O23QjsyNH0NCjgDxeJycbZucoRiiCIqH++GJo5MxUoecIG6DnFFTgHR6AbA==" saltValue="zpDWZYGg9IF3xMFJDVb1z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YxovzqExlm8my+WniU+c4tU0KsvQqvJWeqa0c5x9+9TFvmjazHCuiu0VqUCDWzzc2DppOYb83qAWAN3Y1dinGw==" saltValue="lTxHZKRcyYQdjnk350PTD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+2LbukOSKLa4xlePts5EVXmgvtfdN7u0efsjcruMa9Ekzl1HnEi/bhIS9XM3+6jN4p72+tOMe32tgvFGcBBlfA==" saltValue="Nma5npqjzg/mKHa1XY/1s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YrmxfT4uZ6hE0dByYt4/3oemg2T+KdG9TcgdIUJTG3F4SDm7oZUn6QG9s3KXbhpqAXWB9+7qukKn+xeO9RPO6A==" saltValue="2yR/GlpK9l5LO01Z2dqHj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Caet5Jq1TVP5MwXxfvONNpxP02VxHzDcM/lda2VALZic6r04uXrccv+Z+lVe252o2TpyuWCw+Xz1NHH7N6GVVA==" saltValue="DUSM2UR5n6E9B1CzOyqBhA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Ee5ZSrjeClc25hSDrDHQkcv5k0e602R0tfm7FQIN3Wu0cmggmQNkMKGOV2X9O7zzEwCxof54GQHnpcAmk8JRgQ==" saltValue="ut+uXk6YrZljohssfmvcc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3S+EUB6raQozdt2as8lRwZJ52GDZ03Y7+P24uZmQMyq12JuN5uYb35HS9lvnHiUe5ZTNs61t4xTJ+xn+E6lLGw==" saltValue="KsZ3rvwFZDrBdv9P6j5hF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cMlJwG0pTi5NwIqNcQwXwZsPENENx/eMm3qeJPHMGXg0AEtwdB8kF2mWHJxbVMbsXmBj7tqj89cOTlAzga/L8w==" saltValue="6CqUjta5pzegnSVfvIJoX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1+QKbt+nmVckzGdzFMdNGe6cBks0n2lF+gx1LMWJpQ4VrVMYIhAzj02As7eDs1PRuq3WiUdiG1fcy5wgmnDo0Q==" saltValue="E3Oln8nPV7TRzU+SBNeZP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V+w2mA90bxo2aA23VEMcEJdMJOWi3rBkIBIligexuM6HdBgdWQU8YX7vIjLuwsPe0tTjk5IF5j0VYDeRjcgF1Q==" saltValue="r8E8mFiE7/vX1eP4tZIfe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JefJzeMXIP6ZWAuiISCTO3dMFHSH4a7YTWNhcbwW/HNIoc6ynsO4nTVqZuT1JM3EDdGNYY0T4cthbegFBsV8iA==" saltValue="CMaZZLxDljtWJSzx0XaQg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ucMwnXkdiyfy/0XSfWeBbPxyI2y1rfvUgFmaclVdML+/oFgiIVvuP/x5AfLwHoqypqRUucEGtTq6VrMk7nfo9g==" saltValue="YW/PLCVJuZEzcgGmQy4NI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iePA0Zde4SEANvUP49TEKlk2Zd7PoB20MBOfvr/gqXxZq92SjylzV9lIdC0TxTIYsRyS96LhLg3MMwqW+gEZqA==" saltValue="o3d4kXbtrKdP94G5Fhe1JA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2024-05-17T00:25:23Z</dcterms:modified>
</cp:coreProperties>
</file>