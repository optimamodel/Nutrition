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E1A801F-8AD6-4D9E-B7E7-EA595758193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9" i="2" l="1"/>
  <c r="A35" i="2"/>
  <c r="A36" i="2"/>
  <c r="I4" i="2"/>
  <c r="I8" i="2"/>
  <c r="I12" i="2"/>
  <c r="A25" i="2"/>
  <c r="I6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<sst xmlns="http://schemas.openxmlformats.org/spreadsheetml/2006/main" count="2159" uniqueCount="368">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</sst>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332418</v>
      </c>
    </row>
    <row r="8" spans="1:3" ht="15" customHeight="1" x14ac:dyDescent="0.25">
      <c r="B8" s="5" t="s">
        <v>37</v>
      </c>
      <c r="C8" s="44">
        <v>3.4000000000000002E-2</v>
      </c>
    </row>
    <row r="9" spans="1:3" ht="15" customHeight="1" x14ac:dyDescent="0.25">
      <c r="B9" s="5" t="s">
        <v>38</v>
      </c>
      <c r="C9" s="45">
        <v>0.96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0.13100000000000001</v>
      </c>
    </row>
    <row r="24" spans="1:3" ht="15" customHeight="1" x14ac:dyDescent="0.25">
      <c r="B24" s="15" t="s">
        <v>51</v>
      </c>
      <c r="C24" s="45">
        <v>0.434</v>
      </c>
    </row>
    <row r="25" spans="1:3" ht="15" customHeight="1" x14ac:dyDescent="0.25">
      <c r="B25" s="15" t="s">
        <v>52</v>
      </c>
      <c r="C25" s="45">
        <v>0.35249999999999998</v>
      </c>
    </row>
    <row r="26" spans="1:3" ht="15" customHeight="1" x14ac:dyDescent="0.25">
      <c r="B26" s="15" t="s">
        <v>53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0.267409234355309</v>
      </c>
    </row>
    <row r="30" spans="1:3" ht="14.25" customHeight="1" x14ac:dyDescent="0.25">
      <c r="B30" s="25" t="s">
        <v>56</v>
      </c>
      <c r="C30" s="99">
        <v>6.2316367797226199E-2</v>
      </c>
    </row>
    <row r="31" spans="1:3" ht="14.25" customHeight="1" x14ac:dyDescent="0.25">
      <c r="B31" s="25" t="s">
        <v>57</v>
      </c>
      <c r="C31" s="99">
        <v>9.3002675244955299E-2</v>
      </c>
    </row>
    <row r="32" spans="1:3" ht="14.25" customHeight="1" x14ac:dyDescent="0.25">
      <c r="B32" s="25" t="s">
        <v>58</v>
      </c>
      <c r="C32" s="99">
        <v>0.57727172260250903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18.94415</v>
      </c>
    </row>
    <row r="38" spans="1:5" ht="15" customHeight="1" x14ac:dyDescent="0.25">
      <c r="B38" s="11" t="s">
        <v>63</v>
      </c>
      <c r="C38" s="43">
        <v>29.356670000000001</v>
      </c>
      <c r="D38" s="12"/>
      <c r="E38" s="13"/>
    </row>
    <row r="39" spans="1:5" ht="15" customHeight="1" x14ac:dyDescent="0.25">
      <c r="B39" s="11" t="s">
        <v>64</v>
      </c>
      <c r="C39" s="43">
        <v>39.74532</v>
      </c>
      <c r="D39" s="12"/>
      <c r="E39" s="12"/>
    </row>
    <row r="40" spans="1:5" ht="15" customHeight="1" x14ac:dyDescent="0.25">
      <c r="B40" s="11" t="s">
        <v>65</v>
      </c>
      <c r="C40" s="100">
        <v>2.27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71</v>
      </c>
      <c r="C47" s="45">
        <v>7.5456700000000002E-2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2.9119999999999999</v>
      </c>
      <c r="D51" s="12"/>
    </row>
    <row r="52" spans="1:4" ht="15" customHeight="1" x14ac:dyDescent="0.25">
      <c r="B52" s="11" t="s">
        <v>75</v>
      </c>
      <c r="C52" s="100">
        <v>2.9119999999999999</v>
      </c>
    </row>
    <row r="53" spans="1:4" ht="15.75" customHeight="1" x14ac:dyDescent="0.25">
      <c r="B53" s="11" t="s">
        <v>76</v>
      </c>
      <c r="C53" s="100">
        <v>5.7720000000000002</v>
      </c>
    </row>
    <row r="54" spans="1:4" ht="15.75" customHeight="1" x14ac:dyDescent="0.25">
      <c r="B54" s="11" t="s">
        <v>77</v>
      </c>
      <c r="C54" s="100">
        <v>6.0060000000000002</v>
      </c>
    </row>
    <row r="55" spans="1:4" ht="15.75" customHeight="1" x14ac:dyDescent="0.25">
      <c r="B55" s="11" t="s">
        <v>78</v>
      </c>
      <c r="C55" s="100">
        <v>3.631333333333334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0.40570099999999998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0.1421289</v>
      </c>
    </row>
    <row r="63" spans="1:4" ht="15.75" customHeight="1" x14ac:dyDescent="0.3">
      <c r="A63" s="4"/>
    </row>
  </sheetData>
  <sheetProtection algorithmName="SHA-512" hashValue="jd18KH0UkP/9C9mz8B6K2lhfZNU2mQgpPR8mBWX/Q3I5M8o74vo5e1WSFOuG9qCNc64vPasXmSmsB0px3CYanw==" saltValue="SEJNSx2O3ffflg1fdz1w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68875</v>
      </c>
      <c r="C2" s="49">
        <v>118035</v>
      </c>
      <c r="D2" s="49">
        <v>196519.99999999997</v>
      </c>
      <c r="E2" s="49">
        <v>177429.5</v>
      </c>
      <c r="F2" s="49">
        <v>131877</v>
      </c>
      <c r="G2" s="17">
        <f t="shared" ref="G2:G13" si="0">C2+D2+E2+F2</f>
        <v>623861.5</v>
      </c>
      <c r="H2" s="17">
        <f t="shared" ref="H2:H13" si="1">(B2 + stillbirth*B2/(1000-stillbirth))/(1-abortion)</f>
        <v>79386.019985204111</v>
      </c>
      <c r="I2" s="17">
        <f t="shared" ref="I2:I13" si="2">G2-H2</f>
        <v>544475.4800147959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69096</v>
      </c>
      <c r="C3" s="50">
        <v>122614</v>
      </c>
      <c r="D3" s="50">
        <v>200607</v>
      </c>
      <c r="E3" s="50">
        <v>178797.5</v>
      </c>
      <c r="F3" s="50">
        <v>136702.5</v>
      </c>
      <c r="G3" s="17">
        <f t="shared" si="0"/>
        <v>638721</v>
      </c>
      <c r="H3" s="17">
        <f t="shared" si="1"/>
        <v>79640.746815211081</v>
      </c>
      <c r="I3" s="17">
        <f t="shared" si="2"/>
        <v>559080.25318478886</v>
      </c>
    </row>
    <row r="4" spans="1:9" ht="15.75" customHeight="1" x14ac:dyDescent="0.25">
      <c r="A4" s="5">
        <f t="shared" si="3"/>
        <v>2026</v>
      </c>
      <c r="B4" s="49">
        <v>69484</v>
      </c>
      <c r="C4" s="50">
        <v>127376</v>
      </c>
      <c r="D4" s="50">
        <v>205693.5</v>
      </c>
      <c r="E4" s="50">
        <v>179646.00000000003</v>
      </c>
      <c r="F4" s="50">
        <v>141421.49999999997</v>
      </c>
      <c r="G4" s="17">
        <f t="shared" si="0"/>
        <v>654137</v>
      </c>
      <c r="H4" s="17">
        <f t="shared" si="1"/>
        <v>80087.959530336433</v>
      </c>
      <c r="I4" s="17">
        <f t="shared" si="2"/>
        <v>574049.04046966357</v>
      </c>
    </row>
    <row r="5" spans="1:9" ht="15.75" customHeight="1" x14ac:dyDescent="0.25">
      <c r="A5" s="5">
        <f t="shared" si="3"/>
        <v>2027</v>
      </c>
      <c r="B5" s="49">
        <v>69719</v>
      </c>
      <c r="C5" s="50">
        <v>132085</v>
      </c>
      <c r="D5" s="50">
        <v>211630</v>
      </c>
      <c r="E5" s="50">
        <v>180146.00000000003</v>
      </c>
      <c r="F5" s="50">
        <v>146015.5</v>
      </c>
      <c r="G5" s="17">
        <f t="shared" si="0"/>
        <v>669876.5</v>
      </c>
      <c r="H5" s="17">
        <f t="shared" si="1"/>
        <v>80358.822901610823</v>
      </c>
      <c r="I5" s="17">
        <f t="shared" si="2"/>
        <v>589517.67709838913</v>
      </c>
    </row>
    <row r="6" spans="1:9" ht="15.75" customHeight="1" x14ac:dyDescent="0.25">
      <c r="A6" s="5">
        <f t="shared" si="3"/>
        <v>2028</v>
      </c>
      <c r="B6" s="49">
        <v>70157</v>
      </c>
      <c r="C6" s="50">
        <v>136483</v>
      </c>
      <c r="D6" s="50">
        <v>218287</v>
      </c>
      <c r="E6" s="50">
        <v>180485.5</v>
      </c>
      <c r="F6" s="50">
        <v>150433</v>
      </c>
      <c r="G6" s="17">
        <f t="shared" si="0"/>
        <v>685688.5</v>
      </c>
      <c r="H6" s="17">
        <f t="shared" si="1"/>
        <v>80863.66612126265</v>
      </c>
      <c r="I6" s="17">
        <f t="shared" si="2"/>
        <v>604824.83387873741</v>
      </c>
    </row>
    <row r="7" spans="1:9" ht="15.75" customHeight="1" x14ac:dyDescent="0.25">
      <c r="A7" s="5">
        <f t="shared" si="3"/>
        <v>2029</v>
      </c>
      <c r="B7" s="49">
        <v>70838</v>
      </c>
      <c r="C7" s="50">
        <v>140393.5</v>
      </c>
      <c r="D7" s="50">
        <v>225685.5</v>
      </c>
      <c r="E7" s="50">
        <v>180846.99999999997</v>
      </c>
      <c r="F7" s="50">
        <v>154560.99999999997</v>
      </c>
      <c r="G7" s="17">
        <f t="shared" si="0"/>
        <v>701487</v>
      </c>
      <c r="H7" s="17">
        <f t="shared" si="1"/>
        <v>81648.593592913079</v>
      </c>
      <c r="I7" s="17">
        <f t="shared" si="2"/>
        <v>619838.40640708688</v>
      </c>
    </row>
    <row r="8" spans="1:9" ht="15.75" customHeight="1" x14ac:dyDescent="0.25">
      <c r="A8" s="5">
        <f t="shared" si="3"/>
        <v>2030</v>
      </c>
      <c r="B8" s="49">
        <v>71554</v>
      </c>
      <c r="C8" s="50">
        <v>143788</v>
      </c>
      <c r="D8" s="50">
        <v>233794.5</v>
      </c>
      <c r="E8" s="50">
        <v>181452.99999999997</v>
      </c>
      <c r="F8" s="50">
        <v>158311.5</v>
      </c>
      <c r="G8" s="17">
        <f t="shared" si="0"/>
        <v>717347</v>
      </c>
      <c r="H8" s="17">
        <f t="shared" si="1"/>
        <v>82473.862417732031</v>
      </c>
      <c r="I8" s="17">
        <f t="shared" si="2"/>
        <v>634873.13758226798</v>
      </c>
    </row>
    <row r="9" spans="1:9" ht="15.75" customHeight="1" x14ac:dyDescent="0.25">
      <c r="A9" s="5">
        <f t="shared" si="3"/>
        <v>2031</v>
      </c>
      <c r="B9" s="49">
        <v>72211</v>
      </c>
      <c r="C9" s="50">
        <v>146869</v>
      </c>
      <c r="D9" s="50">
        <v>242452.5</v>
      </c>
      <c r="E9" s="50">
        <v>182471.5</v>
      </c>
      <c r="F9" s="50">
        <v>161618</v>
      </c>
      <c r="G9" s="17">
        <f t="shared" si="0"/>
        <v>733411</v>
      </c>
      <c r="H9" s="17">
        <f t="shared" si="1"/>
        <v>83231.127247209763</v>
      </c>
      <c r="I9" s="17">
        <f t="shared" si="2"/>
        <v>650179.87275279022</v>
      </c>
    </row>
    <row r="10" spans="1:9" ht="15.75" customHeight="1" x14ac:dyDescent="0.25">
      <c r="A10" s="5">
        <f t="shared" si="3"/>
        <v>2032</v>
      </c>
      <c r="B10" s="49">
        <v>73025</v>
      </c>
      <c r="C10" s="50">
        <v>149884</v>
      </c>
      <c r="D10" s="50">
        <v>251315</v>
      </c>
      <c r="E10" s="50">
        <v>184020.5</v>
      </c>
      <c r="F10" s="50">
        <v>164476.5</v>
      </c>
      <c r="G10" s="17">
        <f t="shared" si="0"/>
        <v>749696</v>
      </c>
      <c r="H10" s="17">
        <f t="shared" si="1"/>
        <v>84169.351860900613</v>
      </c>
      <c r="I10" s="17">
        <f t="shared" si="2"/>
        <v>665526.64813909936</v>
      </c>
    </row>
    <row r="11" spans="1:9" ht="15.75" customHeight="1" x14ac:dyDescent="0.25">
      <c r="A11" s="5">
        <f t="shared" si="3"/>
        <v>2033</v>
      </c>
      <c r="B11" s="49">
        <v>73941</v>
      </c>
      <c r="C11" s="50">
        <v>152981.5</v>
      </c>
      <c r="D11" s="50">
        <v>260052.5</v>
      </c>
      <c r="E11" s="50">
        <v>186225</v>
      </c>
      <c r="F11" s="50">
        <v>166897</v>
      </c>
      <c r="G11" s="17">
        <f t="shared" si="0"/>
        <v>766156</v>
      </c>
      <c r="H11" s="17">
        <f t="shared" si="1"/>
        <v>85225.142703825419</v>
      </c>
      <c r="I11" s="17">
        <f t="shared" si="2"/>
        <v>680930.85729617462</v>
      </c>
    </row>
    <row r="12" spans="1:9" ht="15.75" customHeight="1" x14ac:dyDescent="0.25">
      <c r="A12" s="5">
        <f t="shared" si="3"/>
        <v>2034</v>
      </c>
      <c r="B12" s="49">
        <v>74893</v>
      </c>
      <c r="C12" s="50">
        <v>156105.5</v>
      </c>
      <c r="D12" s="50">
        <v>268537.5</v>
      </c>
      <c r="E12" s="50">
        <v>189271.00000000003</v>
      </c>
      <c r="F12" s="50">
        <v>168808</v>
      </c>
      <c r="G12" s="17">
        <f t="shared" si="0"/>
        <v>782722</v>
      </c>
      <c r="H12" s="17">
        <f t="shared" si="1"/>
        <v>86322.427510009307</v>
      </c>
      <c r="I12" s="17">
        <f t="shared" si="2"/>
        <v>696399.57248999074</v>
      </c>
    </row>
    <row r="13" spans="1:9" ht="15.75" customHeight="1" x14ac:dyDescent="0.25">
      <c r="A13" s="5">
        <f t="shared" si="3"/>
        <v>2035</v>
      </c>
      <c r="B13" s="49">
        <v>75866</v>
      </c>
      <c r="C13" s="50">
        <v>158978.5</v>
      </c>
      <c r="D13" s="50">
        <v>276775.5</v>
      </c>
      <c r="E13" s="50">
        <v>193341</v>
      </c>
      <c r="F13" s="50">
        <v>170156.99999999997</v>
      </c>
      <c r="G13" s="17">
        <f t="shared" si="0"/>
        <v>799252</v>
      </c>
      <c r="H13" s="17">
        <f t="shared" si="1"/>
        <v>87443.917128094283</v>
      </c>
      <c r="I13" s="17">
        <f t="shared" si="2"/>
        <v>711808.08287190576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2uzQxAQQDKhfD8KZgLsyXWBal1d5zXPTvwPSB15+p4sTM+O/sedtbBLRhDH+fJ4mRPnA0KpchT/HUX92rXiqg==" saltValue="u+1khvqBMgLy6V7+B6VP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7.9603999999999977E-3</v>
      </c>
    </row>
    <row r="4" spans="1:8" ht="15.75" customHeight="1" x14ac:dyDescent="0.25">
      <c r="B4" s="19" t="s">
        <v>97</v>
      </c>
      <c r="C4" s="101">
        <v>5.4278499999999973E-2</v>
      </c>
    </row>
    <row r="5" spans="1:8" ht="15.75" customHeight="1" x14ac:dyDescent="0.25">
      <c r="B5" s="19" t="s">
        <v>98</v>
      </c>
      <c r="C5" s="101">
        <v>6.8896700000000047E-2</v>
      </c>
    </row>
    <row r="6" spans="1:8" ht="15.75" customHeight="1" x14ac:dyDescent="0.25">
      <c r="B6" s="19" t="s">
        <v>99</v>
      </c>
      <c r="C6" s="101">
        <v>0.2405291000000005</v>
      </c>
    </row>
    <row r="7" spans="1:8" ht="15.75" customHeight="1" x14ac:dyDescent="0.25">
      <c r="B7" s="19" t="s">
        <v>100</v>
      </c>
      <c r="C7" s="101">
        <v>0.42675559999999951</v>
      </c>
    </row>
    <row r="8" spans="1:8" ht="15.75" customHeight="1" x14ac:dyDescent="0.25">
      <c r="B8" s="19" t="s">
        <v>101</v>
      </c>
      <c r="C8" s="101">
        <v>1.9896999999999992E-3</v>
      </c>
    </row>
    <row r="9" spans="1:8" ht="15.75" customHeight="1" x14ac:dyDescent="0.25">
      <c r="B9" s="19" t="s">
        <v>102</v>
      </c>
      <c r="C9" s="101">
        <v>8.7416600000000025E-2</v>
      </c>
    </row>
    <row r="10" spans="1:8" ht="15.75" customHeight="1" x14ac:dyDescent="0.25">
      <c r="B10" s="19" t="s">
        <v>103</v>
      </c>
      <c r="C10" s="101">
        <v>0.11217340000000001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106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107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108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109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110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111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112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113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9.5711987999999998E-2</v>
      </c>
    </row>
    <row r="27" spans="1:8" ht="15.75" customHeight="1" x14ac:dyDescent="0.25">
      <c r="B27" s="19" t="s">
        <v>120</v>
      </c>
      <c r="C27" s="101">
        <v>4.2970438999999999E-2</v>
      </c>
    </row>
    <row r="28" spans="1:8" ht="15.75" customHeight="1" x14ac:dyDescent="0.25">
      <c r="B28" s="19" t="s">
        <v>121</v>
      </c>
      <c r="C28" s="101">
        <v>0.19642078600000001</v>
      </c>
    </row>
    <row r="29" spans="1:8" ht="15.75" customHeight="1" x14ac:dyDescent="0.25">
      <c r="B29" s="19" t="s">
        <v>122</v>
      </c>
      <c r="C29" s="101">
        <v>0.206894785</v>
      </c>
    </row>
    <row r="30" spans="1:8" ht="15.75" customHeight="1" x14ac:dyDescent="0.25">
      <c r="B30" s="19" t="s">
        <v>2</v>
      </c>
      <c r="C30" s="101">
        <v>2.7698743000000001E-2</v>
      </c>
    </row>
    <row r="31" spans="1:8" ht="15.75" customHeight="1" x14ac:dyDescent="0.25">
      <c r="B31" s="19" t="s">
        <v>123</v>
      </c>
      <c r="C31" s="101">
        <v>0.20935653800000001</v>
      </c>
    </row>
    <row r="32" spans="1:8" ht="15.75" customHeight="1" x14ac:dyDescent="0.25">
      <c r="B32" s="19" t="s">
        <v>124</v>
      </c>
      <c r="C32" s="101">
        <v>1.2451637999999999E-2</v>
      </c>
    </row>
    <row r="33" spans="2:3" ht="15.75" customHeight="1" x14ac:dyDescent="0.25">
      <c r="B33" s="19" t="s">
        <v>125</v>
      </c>
      <c r="C33" s="101">
        <v>5.1474696E-2</v>
      </c>
    </row>
    <row r="34" spans="2:3" ht="15.75" customHeight="1" x14ac:dyDescent="0.25">
      <c r="B34" s="19" t="s">
        <v>126</v>
      </c>
      <c r="C34" s="101">
        <v>0.15702038800000001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hE+NRNhxBVraUVIXeXoyD3jOl99mbAk9PKqdPpf1OIlK2uRiFHMXl7Ks9CsxNsCj2JVaPb8Z+6GRoXXi1w859w==" saltValue="u9i5Z8ND4/La0syeM2LC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132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133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137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cK3wxO5jINtTbtkRbiX/fXPWbhtGA54161tyRyYpvWGGn7OQVGkp28TGuA9HJ916cERQOpYGc9wlZU+JcwpAg==" saltValue="/wncnwOBF1lQpG1kmnJx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MyY1OoL16/l9x39vsTMSVBnonwz2BL/8n1N19d2fHuzhsTEWLJ0OODI/coZ3FrtmK+go/Dfi24aTwHVkHia63g==" saltValue="NbFP8xbAIvymhBpF2VC3j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7j1TW7Dr0vhuM5zhmjUT5W10dBOTjHIaGL9nDVtRxNoWGTI6XWqNWU/cCzdUzRP6iaAOQwlkRxIj5qpXwbQDQ==" saltValue="w/rz/z+LToT16PCHkVaAr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8820.3473368231607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0.26804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0.41104000000000002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7.7445127724982193E-3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95775.478449999995</v>
      </c>
      <c r="C22" s="109">
        <v>95268.875050000002</v>
      </c>
      <c r="D22" s="109">
        <v>94620.67052</v>
      </c>
      <c r="E22" s="109">
        <v>94092.716570000004</v>
      </c>
      <c r="F22" s="109">
        <v>93341.483800000002</v>
      </c>
      <c r="G22" s="109">
        <v>92423.458759999994</v>
      </c>
      <c r="H22" s="109">
        <v>91171.408689999997</v>
      </c>
      <c r="I22" s="109">
        <v>89390.063110000003</v>
      </c>
      <c r="J22" s="109">
        <v>86861.316219999993</v>
      </c>
      <c r="K22" s="109">
        <v>83394.796040000001</v>
      </c>
      <c r="L22" s="109">
        <v>78691.335470000005</v>
      </c>
      <c r="M22" s="109">
        <v>72628.909270000004</v>
      </c>
      <c r="N22" s="109">
        <v>64639.227319999998</v>
      </c>
      <c r="O22" s="109">
        <v>54570.89415</v>
      </c>
    </row>
  </sheetData>
  <sheetProtection algorithmName="SHA-512" hashValue="z8nC0Eq5MKbWRx7VZ1vlq/nNSsVCbBRZjUBWHFIuOvy+mmMetg8uuXRk184vAfRgv0sBfuQTmsOOFhPpJ9F5zQ==" saltValue="h0njalndVh2ycm9G1OEy7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qLUc6UlBIIhwY2aKsgRrc/trkR3Y2xbyWBqNpq3vFGx/krxTsov4mrkVB+jmIIeSK7f4zpSfiTx5ahvZpZojOQ==" saltValue="Fmk9Kv6338JpdDcH2OJuz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qk1Ryr340Mc1CCQpG3X2is/+Wvqzr12YiCFKE9UxuQATB6UgwK+tb8Oby9p1W0Ea0Qm0BYLY7A4kICfVbOdrXQ==" saltValue="X95AaUM6jiz2LGzuBh8W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0.70706266146872643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0.19283348666053357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0.3935863</v>
      </c>
      <c r="C10" s="98">
        <v>0.95</v>
      </c>
      <c r="D10" s="56">
        <v>13.446378219451059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13.446378219451059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13.446378219451059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13.446378219451059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0.3935863</v>
      </c>
      <c r="C14" s="98">
        <v>0.95</v>
      </c>
      <c r="D14" s="56">
        <v>13.446378219451059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13.446378219451059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0.50625290000000001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0.33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0.1464792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0.18503539999999999</v>
      </c>
      <c r="C23" s="98">
        <v>0.95</v>
      </c>
      <c r="D23" s="56">
        <v>4.5507118970106513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0.87473390287197805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0.3935863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0.199735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0.26319480000000001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0.2726925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0.1465804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0.88436610000000004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3.5000000000000003E-2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Et1ctpaxpsjeUgBqwjjx161LLDPKQwnmM/oCRQ3z2pM2Gg9iAT4V+EC3TRU/Q1BuOAJKW12BNHjp2MY+0KORyQ==" saltValue="nOylEYBPYLOAwNp8YNoE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ObNioIG2jPQfT/CAGfBgW5YnhaCCzM2BC6vIVPm5vHYhgbnB1YuiCjsJyNiNgAJH1Ymvcx3pWbgoz5fqmNbyg==" saltValue="fmVZdH4rMs+6u05LBd+F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11L8Oq0UBszicf3nmRWZxBzknP85Ic2isXnp21cqtp5qgkgIXMFVF7d+P+/vqhSs/4RfbFXtKaV4yTc7LAe9g==" saltValue="ZVE042+mwd6N2+VDw8DXt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2.9119999999999999</v>
      </c>
      <c r="C2" s="21">
        <f>'Données pop de l''année de ref'!C52</f>
        <v>2.9119999999999999</v>
      </c>
      <c r="D2" s="21">
        <f>'Données pop de l''année de ref'!C53</f>
        <v>5.7720000000000002</v>
      </c>
      <c r="E2" s="21">
        <f>'Données pop de l''année de ref'!C54</f>
        <v>6.0060000000000002</v>
      </c>
      <c r="F2" s="21">
        <f>'Données pop de l''année de ref'!C55</f>
        <v>3.631333333333334</v>
      </c>
    </row>
    <row r="3" spans="1:6" ht="15.75" customHeight="1" x14ac:dyDescent="0.25">
      <c r="A3" s="3" t="s">
        <v>238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237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lafqlVvX2AR8gSioFO3GCe3iZNbQux4rbLOZFWnLnxCEZu0z0uFnC1Fh9u9CqizTytn1av7MP2H/KixpfpfdOg==" saltValue="7akrzHfM/6f/jApMiTsZ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3.4000000000000002E-2</v>
      </c>
      <c r="F2" s="60">
        <f>food_insecure</f>
        <v>3.4000000000000002E-2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6.3534545454545455E-2</v>
      </c>
      <c r="D7" s="60">
        <f>diarrhoea_1_5mo*frac_diarrhea_severe</f>
        <v>6.3534545454545455E-2</v>
      </c>
      <c r="E7" s="60">
        <f>diarrhoea_6_11mo*frac_diarrhea_severe</f>
        <v>0.12593454545454547</v>
      </c>
      <c r="F7" s="60">
        <f>diarrhoea_12_23mo*frac_diarrhea_severe</f>
        <v>0.13104000000000002</v>
      </c>
      <c r="G7" s="60">
        <f>diarrhoea_24_59mo*frac_diarrhea_severe</f>
        <v>7.922909090909093E-2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6.3534545454545455E-2</v>
      </c>
      <c r="D12" s="60">
        <f>diarrhoea_1_5mo*frac_diarrhea_severe</f>
        <v>6.3534545454545455E-2</v>
      </c>
      <c r="E12" s="60">
        <f>diarrhoea_6_11mo*frac_diarrhea_severe</f>
        <v>0.12593454545454547</v>
      </c>
      <c r="F12" s="60">
        <f>diarrhoea_12_23mo*frac_diarrhea_severe</f>
        <v>0.13104000000000002</v>
      </c>
      <c r="G12" s="60">
        <f>diarrhoea_24_59mo*frac_diarrhea_severe</f>
        <v>7.922909090909093E-2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3.4000000000000002E-2</v>
      </c>
      <c r="I15" s="60">
        <f t="shared" si="0"/>
        <v>3.4000000000000002E-2</v>
      </c>
      <c r="J15" s="60">
        <f t="shared" si="0"/>
        <v>3.4000000000000002E-2</v>
      </c>
      <c r="K15" s="60">
        <f t="shared" si="0"/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3.4000000000000002E-2</v>
      </c>
      <c r="I16" s="60">
        <f t="shared" si="0"/>
        <v>3.4000000000000002E-2</v>
      </c>
      <c r="J16" s="60">
        <f t="shared" si="0"/>
        <v>3.4000000000000002E-2</v>
      </c>
      <c r="K16" s="60">
        <f t="shared" si="0"/>
        <v>3.4000000000000002E-2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VGUGwfKnVHmam5lv4CJ0gvJGA7HAnVa0YrlKGTSuZE13aRraR3eRKzuKZzoNJQuECXX0gKNEpebjNc1lMkScA==" saltValue="cic/HRsxmMpi3ky71Co3g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8YFsmpaWDJXZ87f6mrsC0jbI6SJTRA7LtksT9ZqU8W8cbe68uCeYkapymYgQH+uJU3anbNxlku/yvzX8lFXsRA==" saltValue="/K3qWG7XuYHyUhC9reNm0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sZvtcfVR3iFIpB0h1Ab7dw66gcjEoa1MRXYgSCJIpc3KypGwNAJU6MZX2XARxC+M08nvsH15YNfHNBtOSevYQ==" saltValue="UBhhvt1bD8SgLME1JxrD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bjW7splP6KkLwuarcx691MDdr7ZDHL7gakqtu/64N7+n0N8q0wM9l5rnmRar1N8/+ef4CgVrgNluXCWGSbYNQ==" saltValue="VloPhU8AV3sfHhd/yjnSm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mIbR38bbloRiuqqEiTZdlkqYIsGtvYgvno4tu3jmUlvTsA3UhAddXBtSpHIi2MCbZk4QAwYc6Qgzc033dQ3oLQ==" saltValue="X6dsoo6d6GbEMuZslFXSb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IJU2c1aTWWrgsxWQW7ba4vi+pYUz7zQTw6jhhbiVZB9OJ0hGg3AY1V0kTdvP8pjBsxQKLRqWnFuhEujiqdgdlQ==" saltValue="zQm9oRMuDX0CEcTd9aG7g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YUYdWjmS4AkD02HJhEkyC7tW6uOrQnN4Sec2dwYHmUeQ4mukEc4ES0Bt35+8Gw9y52TsDo+eaC0tZAcWBk4fQ==" saltValue="UmeO6CD1nZpz6ZDNQD8sU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uOHIElntgBq6QTblWen++R0qB2nfObdi/tChSKryumV21gNuMTT+ltbGVoobTnFPtP6JLZfYJppDKOepv3bZvQ==" saltValue="khV9lKn+ipvtM1bqzAvK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3A8vw5VDSYJjS67midlTlv5hzuqFNh5GRtI7HjES2f7rGXhPNFldqjJnC4Lt+1S0wKl2XnTWFmQD/OSKtAhmw==" saltValue="brlyYUU/lfFqD1iBq2dL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H7RuqUUymoK4lxgKgdpsfqeaOQD+swIFpdamnpJ2hlWI8Ik/FBkIYZzw3ullmTiORqfKDWudxSOitDKl0COug==" saltValue="B5pJF2lfIZn48lvqCbB9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IwrUXHs3+c22Al01TfW8vC9w7qgPVsp1EuHYZKuDZhs5L3JgZob3R/hHevuR3aBwa74I8rZJOSvjGt4JzmA9w==" saltValue="qqMIjcAau7rKxTgY39wE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gkJTtcfjK61a9Vk0dsPRsfBSndAUQvSsJZdi2/ck7TpWR2+VqY2FJdKKYln7+U3UUuGLnK+kfvMYNAO94cdVg==" saltValue="Xrl3v4VUTZJEys+PyIRc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0R3bs6Gpg+SLRN9qYDA+sh6ekmStAfpyxN5y7dVA6DQ95280R3yAkcLZuoK7AnyZdhp5UyrYG43EVqEICPjgw==" saltValue="Uf5pw6WbIjwFHjoqXkNl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9yCJYvMAn1w1X9cw+bURxFgkHf1e3LEVL5zeOEgmvzjKFZyhHNSBUtvzXP1A6XOWYc+qfblpTjwDUrDUKLv8Q==" saltValue="QM6OaP7J51fadTmMrWSK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fiKUxPmukfNX7ogWNgnalJl5Q2R6e4528ozU0MMbKcARKC0bz+4PTaKxDPElHojYREwE80b0TPpDU1CypP9ug==" saltValue="qgNprsmh/DqWjQX3qbIj5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