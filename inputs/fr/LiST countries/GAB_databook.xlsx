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4591C7C-45AA-4C35-9627-66A7D216783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4" i="2"/>
  <c r="A23" i="2"/>
  <c r="H13" i="2"/>
  <c r="I13" i="2" s="1"/>
  <c r="G13" i="2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6" i="2" l="1"/>
  <c r="A39" i="2"/>
  <c r="A15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32" i="2"/>
  <c r="I3" i="2"/>
  <c r="I7" i="2"/>
  <c r="I11" i="2"/>
  <c r="A18" i="2"/>
  <c r="A34" i="2"/>
  <c r="A28" i="2"/>
  <c r="A20" i="2"/>
  <c r="A36" i="2"/>
  <c r="A17" i="2"/>
  <c r="A25" i="2"/>
  <c r="A33" i="2"/>
  <c r="A19" i="2"/>
  <c r="A27" i="2"/>
  <c r="A35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<sst xmlns="http://schemas.openxmlformats.org/spreadsheetml/2006/main" count="2101" uniqueCount="337">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</sst>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309928.00390625</v>
      </c>
    </row>
    <row r="8" spans="1:3" ht="15" customHeight="1" x14ac:dyDescent="0.25">
      <c r="B8" s="5" t="s">
        <v>19</v>
      </c>
      <c r="C8" s="44">
        <v>3.4000000000000002E-2</v>
      </c>
    </row>
    <row r="9" spans="1:3" ht="15" customHeight="1" x14ac:dyDescent="0.25">
      <c r="B9" s="5" t="s">
        <v>20</v>
      </c>
      <c r="C9" s="45">
        <v>0.96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0.13100000000000001</v>
      </c>
    </row>
    <row r="24" spans="1:3" ht="15" customHeight="1" x14ac:dyDescent="0.25">
      <c r="B24" s="15" t="s">
        <v>33</v>
      </c>
      <c r="C24" s="45">
        <v>0.434</v>
      </c>
    </row>
    <row r="25" spans="1:3" ht="15" customHeight="1" x14ac:dyDescent="0.25">
      <c r="B25" s="15" t="s">
        <v>34</v>
      </c>
      <c r="C25" s="45">
        <v>0.35249999999999998</v>
      </c>
    </row>
    <row r="26" spans="1:3" ht="15" customHeight="1" x14ac:dyDescent="0.25">
      <c r="B26" s="15" t="s">
        <v>35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0.267409234355309</v>
      </c>
    </row>
    <row r="30" spans="1:3" ht="14.25" customHeight="1" x14ac:dyDescent="0.25">
      <c r="B30" s="25" t="s">
        <v>38</v>
      </c>
      <c r="C30" s="99">
        <v>6.2316367797226199E-2</v>
      </c>
    </row>
    <row r="31" spans="1:3" ht="14.25" customHeight="1" x14ac:dyDescent="0.25">
      <c r="B31" s="25" t="s">
        <v>39</v>
      </c>
      <c r="C31" s="99">
        <v>9.3002675244955299E-2</v>
      </c>
    </row>
    <row r="32" spans="1:3" ht="14.25" customHeight="1" x14ac:dyDescent="0.25">
      <c r="B32" s="25" t="s">
        <v>40</v>
      </c>
      <c r="C32" s="99">
        <v>0.57727172260250903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18.94415</v>
      </c>
    </row>
    <row r="38" spans="1:5" ht="15" customHeight="1" x14ac:dyDescent="0.25">
      <c r="B38" s="11" t="s">
        <v>45</v>
      </c>
      <c r="C38" s="43">
        <v>29.356670000000001</v>
      </c>
      <c r="D38" s="12"/>
      <c r="E38" s="13"/>
    </row>
    <row r="39" spans="1:5" ht="15" customHeight="1" x14ac:dyDescent="0.25">
      <c r="B39" s="11" t="s">
        <v>46</v>
      </c>
      <c r="C39" s="43">
        <v>39.74532</v>
      </c>
      <c r="D39" s="12"/>
      <c r="E39" s="12"/>
    </row>
    <row r="40" spans="1:5" ht="15" customHeight="1" x14ac:dyDescent="0.25">
      <c r="B40" s="11" t="s">
        <v>47</v>
      </c>
      <c r="C40" s="100">
        <v>2.27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5.8306E-3</v>
      </c>
      <c r="D45" s="12"/>
    </row>
    <row r="46" spans="1:5" ht="15.75" customHeight="1" x14ac:dyDescent="0.25">
      <c r="B46" s="11" t="s">
        <v>52</v>
      </c>
      <c r="C46" s="45">
        <v>6.2648999999999996E-2</v>
      </c>
      <c r="D46" s="12"/>
    </row>
    <row r="47" spans="1:5" ht="15.75" customHeight="1" x14ac:dyDescent="0.25">
      <c r="B47" s="11" t="s">
        <v>53</v>
      </c>
      <c r="C47" s="45">
        <v>7.5456700000000002E-2</v>
      </c>
      <c r="D47" s="12"/>
      <c r="E47" s="13"/>
    </row>
    <row r="48" spans="1:5" ht="15" customHeight="1" x14ac:dyDescent="0.25">
      <c r="B48" s="11" t="s">
        <v>54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0.40570099999999998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0.1421289</v>
      </c>
    </row>
    <row r="63" spans="1:4" ht="15.75" customHeight="1" x14ac:dyDescent="0.3">
      <c r="A63" s="4"/>
    </row>
  </sheetData>
  <sheetProtection algorithmName="SHA-512" hashValue="H+oWNNXB3AYuATi0MVIAmYMgaasn2oJyJV42vN+nRN3Q1lHBjJtxPF33JGLpEOI+Y+JsJjug+Pa2HBK3lbP3mw==" saltValue="jivOG0TVMIirgdTO/jop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63677</v>
      </c>
      <c r="C2" s="49">
        <v>143313</v>
      </c>
      <c r="D2" s="49">
        <v>195755</v>
      </c>
      <c r="E2" s="49">
        <v>177202</v>
      </c>
      <c r="F2" s="49">
        <v>115180.5</v>
      </c>
      <c r="G2" s="17">
        <f t="shared" ref="G2:G13" si="0">C2+D2+E2+F2</f>
        <v>631450.5</v>
      </c>
      <c r="H2" s="17">
        <f t="shared" ref="H2:H13" si="1">(B2 + stillbirth*B2/(1000-stillbirth))/(1-abortion)</f>
        <v>73394.752734632901</v>
      </c>
      <c r="I2" s="17">
        <f t="shared" ref="I2:I13" si="2">G2-H2</f>
        <v>558055.74726536707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63807</v>
      </c>
      <c r="C3" s="50">
        <v>148548</v>
      </c>
      <c r="D3" s="50">
        <v>198936.5</v>
      </c>
      <c r="E3" s="50">
        <v>179286</v>
      </c>
      <c r="F3" s="50">
        <v>119733</v>
      </c>
      <c r="G3" s="17">
        <f t="shared" si="0"/>
        <v>646503.5</v>
      </c>
      <c r="H3" s="17">
        <f t="shared" si="1"/>
        <v>73544.592046401711</v>
      </c>
      <c r="I3" s="17">
        <f t="shared" si="2"/>
        <v>572958.9079535983</v>
      </c>
    </row>
    <row r="4" spans="1:9" ht="15.75" customHeight="1" x14ac:dyDescent="0.25">
      <c r="A4" s="5">
        <f t="shared" si="3"/>
        <v>2026</v>
      </c>
      <c r="B4" s="49">
        <v>64339</v>
      </c>
      <c r="C4" s="50">
        <v>153899</v>
      </c>
      <c r="D4" s="50">
        <v>202834</v>
      </c>
      <c r="E4" s="50">
        <v>180908.5</v>
      </c>
      <c r="F4" s="50">
        <v>124231.5</v>
      </c>
      <c r="G4" s="17">
        <f t="shared" si="0"/>
        <v>661873</v>
      </c>
      <c r="H4" s="17">
        <f t="shared" si="1"/>
        <v>74157.780614563293</v>
      </c>
      <c r="I4" s="17">
        <f t="shared" si="2"/>
        <v>587715.21938543674</v>
      </c>
    </row>
    <row r="5" spans="1:9" ht="15.75" customHeight="1" x14ac:dyDescent="0.25">
      <c r="A5" s="5">
        <f t="shared" si="3"/>
        <v>2027</v>
      </c>
      <c r="B5" s="49">
        <v>64433.000000000007</v>
      </c>
      <c r="C5" s="50">
        <v>159067</v>
      </c>
      <c r="D5" s="50">
        <v>207370.5</v>
      </c>
      <c r="E5" s="50">
        <v>182203</v>
      </c>
      <c r="F5" s="50">
        <v>128641.5</v>
      </c>
      <c r="G5" s="17">
        <f t="shared" si="0"/>
        <v>677282</v>
      </c>
      <c r="H5" s="17">
        <f t="shared" si="1"/>
        <v>74266.125963073049</v>
      </c>
      <c r="I5" s="17">
        <f t="shared" si="2"/>
        <v>603015.87403692701</v>
      </c>
    </row>
    <row r="6" spans="1:9" ht="15.75" customHeight="1" x14ac:dyDescent="0.25">
      <c r="A6" s="5">
        <f t="shared" si="3"/>
        <v>2028</v>
      </c>
      <c r="B6" s="49">
        <v>64745.999999999993</v>
      </c>
      <c r="C6" s="50">
        <v>163956.5</v>
      </c>
      <c r="D6" s="50">
        <v>212478</v>
      </c>
      <c r="E6" s="50">
        <v>183318.5</v>
      </c>
      <c r="F6" s="50">
        <v>132948</v>
      </c>
      <c r="G6" s="17">
        <f t="shared" si="0"/>
        <v>692701</v>
      </c>
      <c r="H6" s="17">
        <f t="shared" si="1"/>
        <v>74626.892921408697</v>
      </c>
      <c r="I6" s="17">
        <f t="shared" si="2"/>
        <v>618074.10707859136</v>
      </c>
    </row>
    <row r="7" spans="1:9" ht="15.75" customHeight="1" x14ac:dyDescent="0.25">
      <c r="A7" s="5">
        <f t="shared" si="3"/>
        <v>2029</v>
      </c>
      <c r="B7" s="49">
        <v>65259</v>
      </c>
      <c r="C7" s="50">
        <v>168345</v>
      </c>
      <c r="D7" s="50">
        <v>218276</v>
      </c>
      <c r="E7" s="50">
        <v>184393</v>
      </c>
      <c r="F7" s="50">
        <v>137131</v>
      </c>
      <c r="G7" s="17">
        <f t="shared" si="0"/>
        <v>708145</v>
      </c>
      <c r="H7" s="17">
        <f t="shared" si="1"/>
        <v>75218.181897850227</v>
      </c>
      <c r="I7" s="17">
        <f t="shared" si="2"/>
        <v>632926.81810214976</v>
      </c>
    </row>
    <row r="8" spans="1:9" ht="15.75" customHeight="1" x14ac:dyDescent="0.25">
      <c r="A8" s="5">
        <f t="shared" si="3"/>
        <v>2030</v>
      </c>
      <c r="B8" s="49">
        <v>65815</v>
      </c>
      <c r="C8" s="50">
        <v>171968.5</v>
      </c>
      <c r="D8" s="50">
        <v>224812</v>
      </c>
      <c r="E8" s="50">
        <v>185599.5</v>
      </c>
      <c r="F8" s="50">
        <v>141077</v>
      </c>
      <c r="G8" s="17">
        <f t="shared" si="0"/>
        <v>723457</v>
      </c>
      <c r="H8" s="17">
        <f t="shared" si="1"/>
        <v>75859.033108184507</v>
      </c>
      <c r="I8" s="17">
        <f t="shared" si="2"/>
        <v>647597.96689181554</v>
      </c>
    </row>
    <row r="9" spans="1:9" ht="15.75" customHeight="1" x14ac:dyDescent="0.25">
      <c r="A9" s="5">
        <f t="shared" si="3"/>
        <v>2031</v>
      </c>
      <c r="B9" s="49">
        <v>66644</v>
      </c>
      <c r="C9" s="50">
        <v>174749</v>
      </c>
      <c r="D9" s="50">
        <v>231981.5</v>
      </c>
      <c r="E9" s="50">
        <v>187032.5</v>
      </c>
      <c r="F9" s="50">
        <v>144672</v>
      </c>
      <c r="G9" s="17">
        <f t="shared" si="0"/>
        <v>738435</v>
      </c>
      <c r="H9" s="17">
        <f t="shared" si="1"/>
        <v>76814.546873233281</v>
      </c>
      <c r="I9" s="17">
        <f t="shared" si="2"/>
        <v>661620.45312676672</v>
      </c>
    </row>
    <row r="10" spans="1:9" ht="15.75" customHeight="1" x14ac:dyDescent="0.25">
      <c r="A10" s="5">
        <f t="shared" si="3"/>
        <v>2032</v>
      </c>
      <c r="B10" s="49">
        <v>67107</v>
      </c>
      <c r="C10" s="50">
        <v>176838</v>
      </c>
      <c r="D10" s="50">
        <v>239525.5</v>
      </c>
      <c r="E10" s="50">
        <v>188715</v>
      </c>
      <c r="F10" s="50">
        <v>147918</v>
      </c>
      <c r="G10" s="17">
        <f t="shared" si="0"/>
        <v>752996.5</v>
      </c>
      <c r="H10" s="17">
        <f t="shared" si="1"/>
        <v>77348.205345148337</v>
      </c>
      <c r="I10" s="17">
        <f t="shared" si="2"/>
        <v>675648.29465485166</v>
      </c>
    </row>
    <row r="11" spans="1:9" ht="15.75" customHeight="1" x14ac:dyDescent="0.25">
      <c r="A11" s="5">
        <f t="shared" si="3"/>
        <v>2033</v>
      </c>
      <c r="B11" s="49">
        <v>67819</v>
      </c>
      <c r="C11" s="50">
        <v>178408.5</v>
      </c>
      <c r="D11" s="50">
        <v>247172</v>
      </c>
      <c r="E11" s="50">
        <v>190716.5</v>
      </c>
      <c r="F11" s="50">
        <v>150830.5</v>
      </c>
      <c r="G11" s="17">
        <f t="shared" si="0"/>
        <v>767127.5</v>
      </c>
      <c r="H11" s="17">
        <f t="shared" si="1"/>
        <v>78168.863729605189</v>
      </c>
      <c r="I11" s="17">
        <f t="shared" si="2"/>
        <v>688958.63627039478</v>
      </c>
    </row>
    <row r="12" spans="1:9" ht="15.75" customHeight="1" x14ac:dyDescent="0.25">
      <c r="A12" s="5">
        <f t="shared" si="3"/>
        <v>2034</v>
      </c>
      <c r="B12" s="49">
        <v>68127</v>
      </c>
      <c r="C12" s="50">
        <v>179486</v>
      </c>
      <c r="D12" s="50">
        <v>254813.5</v>
      </c>
      <c r="E12" s="50">
        <v>193218</v>
      </c>
      <c r="F12" s="50">
        <v>153410.5</v>
      </c>
      <c r="G12" s="17">
        <f t="shared" si="0"/>
        <v>780928</v>
      </c>
      <c r="H12" s="17">
        <f t="shared" si="1"/>
        <v>78523.867637488205</v>
      </c>
      <c r="I12" s="17">
        <f t="shared" si="2"/>
        <v>702404.13236251182</v>
      </c>
    </row>
    <row r="13" spans="1:9" ht="15.75" customHeight="1" x14ac:dyDescent="0.25">
      <c r="A13" s="5">
        <f t="shared" si="3"/>
        <v>2035</v>
      </c>
      <c r="B13" s="49">
        <v>68999</v>
      </c>
      <c r="C13" s="50">
        <v>180144.5</v>
      </c>
      <c r="D13" s="50">
        <v>262289</v>
      </c>
      <c r="E13" s="50">
        <v>196403</v>
      </c>
      <c r="F13" s="50">
        <v>155577</v>
      </c>
      <c r="G13" s="17">
        <f t="shared" si="0"/>
        <v>794413.5</v>
      </c>
      <c r="H13" s="17">
        <f t="shared" si="1"/>
        <v>79528.943636429743</v>
      </c>
      <c r="I13" s="17">
        <f t="shared" si="2"/>
        <v>714884.55636357027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ykd2w5MB23xcVjSb74KXVTsofMOsJWQ2fBqwzbB3aJmBA3K5qgPEiWjBqNxjGPveuSXoYDXDFZBQ4LgWcqDYQ==" saltValue="ZUwHDgfWCIsiPSK6HN16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7.9603999999999977E-3</v>
      </c>
    </row>
    <row r="4" spans="1:8" ht="15.75" customHeight="1" x14ac:dyDescent="0.25">
      <c r="B4" s="19" t="s">
        <v>79</v>
      </c>
      <c r="C4" s="101">
        <v>5.4278499999999973E-2</v>
      </c>
    </row>
    <row r="5" spans="1:8" ht="15.75" customHeight="1" x14ac:dyDescent="0.25">
      <c r="B5" s="19" t="s">
        <v>80</v>
      </c>
      <c r="C5" s="101">
        <v>6.8896700000000047E-2</v>
      </c>
    </row>
    <row r="6" spans="1:8" ht="15.75" customHeight="1" x14ac:dyDescent="0.25">
      <c r="B6" s="19" t="s">
        <v>81</v>
      </c>
      <c r="C6" s="101">
        <v>0.2405291000000005</v>
      </c>
    </row>
    <row r="7" spans="1:8" ht="15.75" customHeight="1" x14ac:dyDescent="0.25">
      <c r="B7" s="19" t="s">
        <v>82</v>
      </c>
      <c r="C7" s="101">
        <v>0.42675559999999951</v>
      </c>
    </row>
    <row r="8" spans="1:8" ht="15.75" customHeight="1" x14ac:dyDescent="0.25">
      <c r="B8" s="19" t="s">
        <v>83</v>
      </c>
      <c r="C8" s="101">
        <v>1.9896999999999992E-3</v>
      </c>
    </row>
    <row r="9" spans="1:8" ht="15.75" customHeight="1" x14ac:dyDescent="0.25">
      <c r="B9" s="19" t="s">
        <v>84</v>
      </c>
      <c r="C9" s="101">
        <v>8.7416600000000025E-2</v>
      </c>
    </row>
    <row r="10" spans="1:8" ht="15.75" customHeight="1" x14ac:dyDescent="0.25">
      <c r="B10" s="19" t="s">
        <v>85</v>
      </c>
      <c r="C10" s="101">
        <v>0.11217340000000001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88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89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90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91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92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93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94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95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9.5711987999999998E-2</v>
      </c>
    </row>
    <row r="27" spans="1:8" ht="15.75" customHeight="1" x14ac:dyDescent="0.25">
      <c r="B27" s="19" t="s">
        <v>102</v>
      </c>
      <c r="C27" s="101">
        <v>4.2970438999999999E-2</v>
      </c>
    </row>
    <row r="28" spans="1:8" ht="15.75" customHeight="1" x14ac:dyDescent="0.25">
      <c r="B28" s="19" t="s">
        <v>103</v>
      </c>
      <c r="C28" s="101">
        <v>0.19642078600000001</v>
      </c>
    </row>
    <row r="29" spans="1:8" ht="15.75" customHeight="1" x14ac:dyDescent="0.25">
      <c r="B29" s="19" t="s">
        <v>104</v>
      </c>
      <c r="C29" s="101">
        <v>0.206894785</v>
      </c>
    </row>
    <row r="30" spans="1:8" ht="15.75" customHeight="1" x14ac:dyDescent="0.25">
      <c r="B30" s="19" t="s">
        <v>2</v>
      </c>
      <c r="C30" s="101">
        <v>2.7698743000000001E-2</v>
      </c>
    </row>
    <row r="31" spans="1:8" ht="15.75" customHeight="1" x14ac:dyDescent="0.25">
      <c r="B31" s="19" t="s">
        <v>105</v>
      </c>
      <c r="C31" s="101">
        <v>0.20935653800000001</v>
      </c>
    </row>
    <row r="32" spans="1:8" ht="15.75" customHeight="1" x14ac:dyDescent="0.25">
      <c r="B32" s="19" t="s">
        <v>106</v>
      </c>
      <c r="C32" s="101">
        <v>1.2451637999999999E-2</v>
      </c>
    </row>
    <row r="33" spans="2:3" ht="15.75" customHeight="1" x14ac:dyDescent="0.25">
      <c r="B33" s="19" t="s">
        <v>107</v>
      </c>
      <c r="C33" s="101">
        <v>5.1474696E-2</v>
      </c>
    </row>
    <row r="34" spans="2:3" ht="15.75" customHeight="1" x14ac:dyDescent="0.25">
      <c r="B34" s="19" t="s">
        <v>108</v>
      </c>
      <c r="C34" s="101">
        <v>0.15702038800000001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Isl8XDcoZ5RENk+GSXLU+MJs0XRntJLMQ8caTtoeULzkKPKPNno7cTIohjLQ76RO7M9eWGV0xx+R7Ad8fUHGew==" saltValue="DyyU1exawMOXIuxdpJXc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114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115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119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120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V5cEtM+T94xyHFA+cL09ajlEn6ja9Qq6JDpIjTsHL5WmV3q5PQCv1cKdoCCFApBYPZMRUlVpYMbb/YY2VVlyQ==" saltValue="BkBx+6zspIMiHZWinS8Z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132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tEW1ZQion8qz2WDK9WMzngmAET1qYjYp8p6D+Wm95/MzS9Gp268XxEFSKYFkmV12uQNZYEcG1I5uvuSKnuVDgQ==" saltValue="elkdklxfyVPlFO3l+rdp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uuWYAtceLmHW7p1SQOf1pZ0eMIf/AVvSou4EVsRT4P+tqz7vewKBkO69UeKUaEK/RNo+4MHBqR22dRT+QVc8A==" saltValue="XhkBmWBJ+ksE0qpVmt93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K6fih8NkSrNJyKe5xjUCKchzX96JB4yCapAvDBc18HLRP28WdDj+B+SSSHrYP4oR4M5p1KOs3+ZmcN8RBB6+sw==" saltValue="Y5uB5B2zadRwVLcx3BuM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lNuybvTaf4dAybnQ71ml1XKqRiNyBnkD7Lk1mTK7Vnr8PDZ/LW+GHdVxdK3u45HNwBtgBWLIdJeASNafFeRKg==" saltValue="+xzaw68Xh9g14cKA8ZI4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2MbE1AGLJQobk49QJSjQbavEDgPkSAUg50blBFUg4dUhT3Id8Hnp871J+y4ugkvmYN/9oIHh1UG2YSzHA9pZrw==" saltValue="8gWiUd2tWQLyKClMlE+P3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1.953366982272418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0.70706266146872643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0.36424440136267727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0.3935863</v>
      </c>
      <c r="C10" s="98">
        <v>0.95</v>
      </c>
      <c r="D10" s="56">
        <v>13.446378219451059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13.446378219451059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13.446378219451059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13.446378219451059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0.3935863</v>
      </c>
      <c r="C14" s="98">
        <v>0.95</v>
      </c>
      <c r="D14" s="56">
        <v>13.446378219451059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13.446378219451059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0.50625290000000001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0.33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0.1464792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23.431813824225639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0.18503539999999999</v>
      </c>
      <c r="C23" s="98">
        <v>0.95</v>
      </c>
      <c r="D23" s="56">
        <v>4.5507118970106513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0.87473390287197805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0.3935863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0.199735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0.26319480000000001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0.2726925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0.1465804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0.88436610000000004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3.5000000000000003E-2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tdsoG23kKeG1uYuGQkKgLaQ02cBZClJvbzX5PkvwmpRwK7CCHhxwbDMqKmrqQatesqfngUudJTqGJ3vHrcCwSg==" saltValue="+qQ+y0698dgaa4XS2+1u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s0Su+CU1JQoCMpsIKnfo2QlrOt35gyBjDG3yQul049LmvkWOovnjF3ARhWrWVTZsKCybVfFoFn9ZQZBr34a/vw==" saltValue="iCE8L2fJQ4Y9BCPi9Jyo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eeN7+e0BQJRAMPU3lNHrnWIIKQ1r8t57gFK4UlU24kmkavEDAQsPjOBqf9xTWB1RIsLYLjalqubF1JoK6vDsKg==" saltValue="AO6LHo6Yc3291YwgMFzZ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36+KLMHv3tpUKV1F8/CtlIBfcOrn4EGerQxe8tecRxFanNlhU1sTYVUVMsTajb5WnUqTVkd0KDZq9R9hC008bA==" saltValue="wN77zhFxTWOP/NrD8fKg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TXJM3Ip9IMuOwUQ3xOdQqJbrQD1Uw5FHH16dNjPis+khtPa/xzzzHDXbKJ+LjZEnlJ7ozfqef9GtY+c6S82Jw==" saltValue="O8GEqgxNkLqhPmkunVSP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AGwSTD0EHYiHfeNOS2WnN1De3zFGO+JDLuSwzp+HJElb3nbTVIc6w8SshkUQ00iRIaaCvDqinyXQXJdS1hPFvw==" saltValue="pgnelH6dLfYmpuARQGKq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efdkhjEhFC8jZAQVSMGSME5RBVreGi7nU6JpoQ2QjnpVibGgH9zllXG0AG9Mf9mTFFtElmBGYYlhUP8594pSw==" saltValue="uT316YXJmZnak6wkKzEJ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8uYCw11RktPSMqjlbTqstcQFU5ce2k2dj0Qt46MQqQTrV633iexj/wyCb2gQCHbCiahWP88V8zKnvBgin3K7g==" saltValue="Kvtcrqxp9PG3b5NGFuuHI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Qm7IzETtFXnEpM6TMQ2U0BaX1hOEXVOeTQZsXgz3RNiq6eajKSU7MeP914KTWhDWMGI8oVgyNRoppOieR121g==" saltValue="TloblWVKt7JhbIsRIYA4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ZNqqcUbDFBzsNjJYInz6JgoSAcT5Z/jnIQ/2ZdLhc/MrurVHXO3bEu2GE3Zz/+fui0x4G3yrt86ZV8FQ3GKRQ==" saltValue="QNgfSH2D/JDlr0nQ8tced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fCgFD4AF94mUYg2WJ07lszivweOJMThJxjgw+ZpSwX3nMy32/dNogSqTMmxPFxY13fWDPPh/heFatL/bQdbIQ==" saltValue="Sojr80GFo2bWcb762ryc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U97HH00dBxuMw/Ec4824XSstf1A8FcfrBNRC7hFRnbD/KG/7ZPq65Iaykz4oGmtnIHP0VFzkbxnG3deYuzmjw==" saltValue="xoJknbgUXXJMAU0+QWIq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NOv/gATSjswi4gOhXkVeshUOLr1CwJMpfouUKceDe5g6T3PhNQHsYJtKb0yFMNkVhK2GdSGgbbpdk/dCNedHg==" saltValue="MSlrElcn4QokCry+5JGz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+UbpHW9KzJhQWbyF5+gEQxdz+lol+FmIWVoXkGS5h8389mxpil6oPlZXjcvTT16O5QJf/nBd15BClgUSKUgpw==" saltValue="YQ2IZ5MxyzrWVbfI52X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rtKg7s4aePyZYSSCbtPt6HAB7xZKUt403eGNbeASx9sGxfvHJt0Mq2hOWMHhCYOLM84pLW4495pEuP6/hDebw==" saltValue="eDW/6336oQbsTgfdjAjZ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KdaFLS2ctFCxs3eBWuadGOjZyCbA5bqfI5sH7B2CVAMmwRlCON7y0LPPIMRA5Js7i6YQSq1rMfPkhaoL8tN1g==" saltValue="SOo4JwauffnQmlLVVl1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PJTVGQejnvXiIM5eGTmzP/POvPH0jNO7W+MLzwWWFXnEbHZK75mbxWytZRsHWBczc/psQvZ2f3HZXllX/rYZQ==" saltValue="y7C11yMfCETVDvhvPY39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sOiOzdYDcsW2QSG8XDK58+4Bq7p75tF3Eivh9EP1qmeL6DsOG3E5nvL0MyNhqCw0af0wwED7fa/5rDi0O9vqQ==" saltValue="pprw0z3jIgTJQY7HPrMZ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8VxGQgYAxuTd3tKIfMUNZ0PrknGfM1BG22mDLA290YV470uy/dQK8mp/Mt75XG3Uw58hcRdSSFVj1wMB5gX4w==" saltValue="v+TfybJLhcOkvYnQv6Fqx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2024-08-06T09:03:07Z</dcterms:modified>
</cp:coreProperties>
</file>