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703812D-1768-4F3D-B716-FE50D6B67C5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6" i="2" l="1"/>
  <c r="A37" i="2"/>
  <c r="A35" i="2"/>
  <c r="I7" i="2"/>
  <c r="I13" i="2"/>
  <c r="A24" i="2"/>
  <c r="A40" i="2"/>
  <c r="A25" i="2"/>
  <c r="I8" i="2"/>
  <c r="A19" i="2"/>
  <c r="A22" i="2"/>
  <c r="I3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<sst xmlns="http://schemas.openxmlformats.org/spreadsheetml/2006/main" count="2169" uniqueCount="369">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</sst>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332418</v>
      </c>
    </row>
    <row r="8" spans="1:3" ht="15" customHeight="1" x14ac:dyDescent="0.25">
      <c r="B8" s="5" t="s">
        <v>37</v>
      </c>
      <c r="C8" s="44">
        <v>3.4000000000000002E-2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0.13100000000000001</v>
      </c>
    </row>
    <row r="24" spans="1:3" ht="15" customHeight="1" x14ac:dyDescent="0.25">
      <c r="B24" s="15" t="s">
        <v>51</v>
      </c>
      <c r="C24" s="45">
        <v>0.434</v>
      </c>
    </row>
    <row r="25" spans="1:3" ht="15" customHeight="1" x14ac:dyDescent="0.25">
      <c r="B25" s="15" t="s">
        <v>52</v>
      </c>
      <c r="C25" s="45">
        <v>0.35249999999999998</v>
      </c>
    </row>
    <row r="26" spans="1:3" ht="15" customHeight="1" x14ac:dyDescent="0.25">
      <c r="B26" s="15" t="s">
        <v>53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0.267409234355309</v>
      </c>
    </row>
    <row r="30" spans="1:3" ht="14.25" customHeight="1" x14ac:dyDescent="0.25">
      <c r="B30" s="25" t="s">
        <v>56</v>
      </c>
      <c r="C30" s="97">
        <v>6.2316367797226199E-2</v>
      </c>
    </row>
    <row r="31" spans="1:3" ht="14.25" customHeight="1" x14ac:dyDescent="0.25">
      <c r="B31" s="25" t="s">
        <v>57</v>
      </c>
      <c r="C31" s="97">
        <v>9.3002675244955299E-2</v>
      </c>
    </row>
    <row r="32" spans="1:3" ht="14.25" customHeight="1" x14ac:dyDescent="0.25">
      <c r="B32" s="25" t="s">
        <v>58</v>
      </c>
      <c r="C32" s="97">
        <v>0.57727172260250903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18.94415</v>
      </c>
    </row>
    <row r="38" spans="1:5" ht="15" customHeight="1" x14ac:dyDescent="0.25">
      <c r="B38" s="11" t="s">
        <v>63</v>
      </c>
      <c r="C38" s="43">
        <v>29.356670000000001</v>
      </c>
      <c r="D38" s="12"/>
      <c r="E38" s="13"/>
    </row>
    <row r="39" spans="1:5" ht="15" customHeight="1" x14ac:dyDescent="0.25">
      <c r="B39" s="11" t="s">
        <v>64</v>
      </c>
      <c r="C39" s="43">
        <v>39.74532</v>
      </c>
      <c r="D39" s="12"/>
      <c r="E39" s="12"/>
    </row>
    <row r="40" spans="1:5" ht="15" customHeight="1" x14ac:dyDescent="0.25">
      <c r="B40" s="11" t="s">
        <v>65</v>
      </c>
      <c r="C40" s="98">
        <v>2.27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71</v>
      </c>
      <c r="C47" s="45">
        <v>7.5456700000000002E-2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2.9119999999999999</v>
      </c>
      <c r="D51" s="12"/>
    </row>
    <row r="52" spans="1:4" ht="15" customHeight="1" x14ac:dyDescent="0.25">
      <c r="B52" s="11" t="s">
        <v>75</v>
      </c>
      <c r="C52" s="98">
        <v>2.9119999999999999</v>
      </c>
    </row>
    <row r="53" spans="1:4" ht="15.75" customHeight="1" x14ac:dyDescent="0.25">
      <c r="B53" s="11" t="s">
        <v>76</v>
      </c>
      <c r="C53" s="98">
        <v>5.7720000000000002</v>
      </c>
    </row>
    <row r="54" spans="1:4" ht="15.75" customHeight="1" x14ac:dyDescent="0.25">
      <c r="B54" s="11" t="s">
        <v>77</v>
      </c>
      <c r="C54" s="98">
        <v>6.0060000000000002</v>
      </c>
    </row>
    <row r="55" spans="1:4" ht="15.75" customHeight="1" x14ac:dyDescent="0.25">
      <c r="B55" s="11" t="s">
        <v>78</v>
      </c>
      <c r="C55" s="98">
        <v>3.631333333333334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0.40570099999999998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0.1421289</v>
      </c>
    </row>
    <row r="63" spans="1:4" ht="15.75" customHeight="1" x14ac:dyDescent="0.3">
      <c r="A63" s="4"/>
    </row>
  </sheetData>
  <sheetProtection algorithmName="SHA-512" hashValue="pxYw3fjOiZSSH3KnhyDZJCmDHWkSVonWWt8X5JImQy41K+bp8x3uykelbh29twTuGFy/AKSH6vNIKgRuGlb5SQ==" saltValue="ZOyR+dKCo0/uuZdXZ6g5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xK4iHGkhWqajZu++jmU2Fg02OSc9FuBu8uDLgcCIn8vzv5LmTh3pYnbNBUmqtFljPWCx0dJXbynh4RXs4h7JQ==" saltValue="LgqS69Se5SvDO7WJp3Pj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7.9603999999999977E-3</v>
      </c>
    </row>
    <row r="4" spans="1:8" ht="15.75" customHeight="1" x14ac:dyDescent="0.25">
      <c r="B4" s="19" t="s">
        <v>97</v>
      </c>
      <c r="C4" s="99">
        <v>5.4278499999999973E-2</v>
      </c>
    </row>
    <row r="5" spans="1:8" ht="15.75" customHeight="1" x14ac:dyDescent="0.25">
      <c r="B5" s="19" t="s">
        <v>98</v>
      </c>
      <c r="C5" s="99">
        <v>6.8896700000000047E-2</v>
      </c>
    </row>
    <row r="6" spans="1:8" ht="15.75" customHeight="1" x14ac:dyDescent="0.25">
      <c r="B6" s="19" t="s">
        <v>99</v>
      </c>
      <c r="C6" s="99">
        <v>0.2405291000000005</v>
      </c>
    </row>
    <row r="7" spans="1:8" ht="15.75" customHeight="1" x14ac:dyDescent="0.25">
      <c r="B7" s="19" t="s">
        <v>100</v>
      </c>
      <c r="C7" s="99">
        <v>0.42675559999999951</v>
      </c>
    </row>
    <row r="8" spans="1:8" ht="15.75" customHeight="1" x14ac:dyDescent="0.25">
      <c r="B8" s="19" t="s">
        <v>101</v>
      </c>
      <c r="C8" s="99">
        <v>1.9896999999999992E-3</v>
      </c>
    </row>
    <row r="9" spans="1:8" ht="15.75" customHeight="1" x14ac:dyDescent="0.25">
      <c r="B9" s="19" t="s">
        <v>102</v>
      </c>
      <c r="C9" s="99">
        <v>8.7416600000000025E-2</v>
      </c>
    </row>
    <row r="10" spans="1:8" ht="15.75" customHeight="1" x14ac:dyDescent="0.25">
      <c r="B10" s="19" t="s">
        <v>103</v>
      </c>
      <c r="C10" s="99">
        <v>0.11217340000000001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106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107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108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109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110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111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112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113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9.5711987999999998E-2</v>
      </c>
    </row>
    <row r="27" spans="1:8" ht="15.75" customHeight="1" x14ac:dyDescent="0.25">
      <c r="B27" s="19" t="s">
        <v>120</v>
      </c>
      <c r="C27" s="99">
        <v>4.2970438999999999E-2</v>
      </c>
    </row>
    <row r="28" spans="1:8" ht="15.75" customHeight="1" x14ac:dyDescent="0.25">
      <c r="B28" s="19" t="s">
        <v>121</v>
      </c>
      <c r="C28" s="99">
        <v>0.19642078600000001</v>
      </c>
    </row>
    <row r="29" spans="1:8" ht="15.75" customHeight="1" x14ac:dyDescent="0.25">
      <c r="B29" s="19" t="s">
        <v>122</v>
      </c>
      <c r="C29" s="99">
        <v>0.206894785</v>
      </c>
    </row>
    <row r="30" spans="1:8" ht="15.75" customHeight="1" x14ac:dyDescent="0.25">
      <c r="B30" s="19" t="s">
        <v>2</v>
      </c>
      <c r="C30" s="99">
        <v>2.7698743000000001E-2</v>
      </c>
    </row>
    <row r="31" spans="1:8" ht="15.75" customHeight="1" x14ac:dyDescent="0.25">
      <c r="B31" s="19" t="s">
        <v>123</v>
      </c>
      <c r="C31" s="99">
        <v>0.20935653800000001</v>
      </c>
    </row>
    <row r="32" spans="1:8" ht="15.75" customHeight="1" x14ac:dyDescent="0.25">
      <c r="B32" s="19" t="s">
        <v>124</v>
      </c>
      <c r="C32" s="99">
        <v>1.2451637999999999E-2</v>
      </c>
    </row>
    <row r="33" spans="2:3" ht="15.75" customHeight="1" x14ac:dyDescent="0.25">
      <c r="B33" s="19" t="s">
        <v>125</v>
      </c>
      <c r="C33" s="99">
        <v>5.1474696E-2</v>
      </c>
    </row>
    <row r="34" spans="2:3" ht="15.75" customHeight="1" x14ac:dyDescent="0.25">
      <c r="B34" s="19" t="s">
        <v>126</v>
      </c>
      <c r="C34" s="99">
        <v>0.15702038800000001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6CKxn+LpvgnE/lyhTVqjl05jHEyt32OD6Qbbvx0A0SbCSgZRduvbv9CPBkzkHYW6QY8dZkqP9er1cWlxAuGopA==" saltValue="pAEDoPFMQzy0SkjKF+Ge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132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133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137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oK6HxLmOFw3aXbihzgb+crjvCY3RX6m6n1v8e/90HvWr/9kvc81WXjaK+v4GZgjFGkXCDgVEjyvEYALtVLHuA==" saltValue="FjDgkJh2TJrSL95rkCE4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BqhSB7fKkT1DY81ZGmA/EsDDcS2kNMYStf+nNIuodq7F29sZBg2lxHCTQpnp3IsMRN9EC7LyLPnNj3DC3NbgxQ==" saltValue="sU8BpNONmMjArK+r3/R1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fspp2ELxbzly8XwSf0YZ1g/NSwSZnG98IMR/WryRvRXGbYEnZArIRvbIDjPCVbo33VjI5B3lQ72Bn4bLYO/1g==" saltValue="sqQo4BJmuEbKkShfcBvd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algorithmName="SHA-512" hashValue="sN7AkYVFi2TrklGOZEoLjuzYXTjaLrg12vjw295ut5VsvxXQ9+W/0JABWDrwZzRH7dybsWJ4hPrYfaetxaAUsQ==" saltValue="gUF6K5N6kGfUTkiM6/+J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zkOkXu714nP1GBI20Y1J9gu57K1Ic47mGACZRBTRc8ex8mOL/tx0JwuZpxa5qxgNt0jls/5TY/nRJZsfCDXLw==" saltValue="DAspfi10jwje+W/wdCyD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QKnIgTVNZHFfA/LSWk0y1dNKOx2XijwPoxlJUoeGXliGgCx6nnZZCSpzRcTQ7Nxh6kjJIwbf2PMaKM4ZhTLvw==" saltValue="qaEk2xcBpkwUViyroLAp6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0.19283348666053357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0.3935863</v>
      </c>
      <c r="C10" s="96">
        <v>0.95</v>
      </c>
      <c r="D10" s="56">
        <v>13.446378219451059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13.446378219451059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13.446378219451059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13.446378219451059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0.3935863</v>
      </c>
      <c r="C14" s="96">
        <v>0.95</v>
      </c>
      <c r="D14" s="56">
        <v>13.446378219451059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13.446378219451059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0.50625290000000001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0.33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0.1464792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0.18503539999999999</v>
      </c>
      <c r="C23" s="96">
        <v>0.95</v>
      </c>
      <c r="D23" s="56">
        <v>4.5507118970106513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0.87473390287197805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0.3935863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0.199735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0.26319480000000001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0.2726925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0.1465804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0.88436610000000004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3.5000000000000003E-2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S3zi1MsVGCGSCUb1hXjaGnBqZyuCRAmcN2AT3uTOsf6jfng5xfGgLiiTcxiBkHsFjuYgPwq4B8yD+HN4ceoksg==" saltValue="B+fbm1/81v2b7XIwPQFG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tZy6gl4tTYvJYxQswvBjXva7ESLou/Pfeu1G2rBZRfxu6ZUaJt0smRD48iNAX1UwdQc6vgDueFQJalWrofB+g==" saltValue="DZKYmeofuqEjejcOhkbE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QH90kLz7AnnTZnrrwQuvjIjECqq7+fGWlckzPma77RGU5Zed7XAzRyXH2Q/PIXSy3Vk2l4vUEpLQ1mir97jlQ==" saltValue="r55rV8sz2pvmUj9P8K0s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2.9119999999999999</v>
      </c>
      <c r="C2" s="21">
        <f>'Données pop de l''année de ref'!C52</f>
        <v>2.9119999999999999</v>
      </c>
      <c r="D2" s="21">
        <f>'Données pop de l''année de ref'!C53</f>
        <v>5.7720000000000002</v>
      </c>
      <c r="E2" s="21">
        <f>'Données pop de l''année de ref'!C54</f>
        <v>6.0060000000000002</v>
      </c>
      <c r="F2" s="21">
        <f>'Données pop de l''année de ref'!C55</f>
        <v>3.631333333333334</v>
      </c>
    </row>
    <row r="3" spans="1:6" ht="15.75" customHeight="1" x14ac:dyDescent="0.25">
      <c r="A3" s="3" t="s">
        <v>238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O+DYYOJhgcFieLAqDpvoZ3HfRa9fbyGHaVG/voyz5UE0ulaaBmmahaQmzqPOobIEbZNw6oH7bW3uWdqMzeGfZA==" saltValue="fOE3UXcWiNgxINhMPVX1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P1mHDiQlH8veVddX0JzlunTP9F5ttHIzujM4yRCCMP4WoeotkKIWTl083zKNdoy4a9XYerPg0JwconCID+8Mw==" saltValue="N/KDcFfjM5upvE4momV7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VMAy2uYBVmdNxnG1jS6yujuIaVi24BIrsC0vueUGNIaA0KmA7ZjgD5m2S2vneAK8ru1JEYmeVjL8gtGDt6y+w==" saltValue="V81+1KvYjTkIuuP689KW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kf6tzh/9HjaexCZDER0oRYB8vL25GmOTgi4DyrPIVSRy7rR8oCtmn0yNtteNjCSdtU14DIO769U+nUvsapakQ==" saltValue="d1S2u5+OoSLwNME/tbZY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kchuq4twz6Tv5FULzOYcqf8cJovq0vpDnFfhx5XrvIcSeQDY5VDr9AeMHphSsaka4Ib8KVrJoK+5AW2l1TREw==" saltValue="YBEaSW1WMQs8pMeOCvTY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n5nsaZvO2pVGIQjiVdQWdC2B4ZkanlIKPtQoh+qL6ZihTDWpRgS+XCxghvFHMA0M3iULaKeCYIbO2Wm0dAMxg==" saltValue="IMJduNikbtXhZQgMbQDf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jVrfKxj3UCGu83Ia/ACKVaN7919bZViIG7b+MjdhBq5VOAAkASQ/6Sas64z3YpyBWjD69LaEhLeG2VF9sXaJg==" saltValue="F6q2lyCx8GBz7PTTFvTW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oNfO25eGoYKXz4b43itZU621NVYo0glI8VNYUH3YVz9K9EyaAAEwcbtZe2mt9r1DV1xf09VplIxDJ54L6jZIQ==" saltValue="gU/lT0k6k+s2S/1B3F5S6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/OI/xh0Ur848OemP5G7KEyU7M3+qTS7jL0qL2BRlbSmNZ/UC2dyr/aO+VY4cMEHlzFZhS372AQiQpQht2lfrQ==" saltValue="oXtFdQ1Y20THarnypnR6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L+X2hACNcrnqrMDz7tjCFK+Ge1Rc8rmuLKVf41D6TI7AzXbG41kgDbkeUw76kHZw52EofrwpeVhqKy7IYAPDg==" saltValue="/i0HBVWy3FHQFL4ttHgl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F2d0CS9M2iUtqs7APbyM+7eqMzm57PknQS8+tY/Yvu2K81BGUWmO79HzH9+RV42/TGaolzcmZYOcX0dnkYMXA==" saltValue="HsFDWQyuoKuQy3lE5XOp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p1mTFAvJSFCUHAYuwlJ8nKhkG5szdo+qHdzGuI0qSDCBwlQg5rmSHC/M3e6dH67UFlNO2ddTAFxjE269H/oFw==" saltValue="JYHSacLg/NkAJ+yOoqNc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kYykNIZTBhgl6cgnegV8FWsDYmNlf4yOVkPq44ehrwpCwmLnhaIoXd8jUnL9G1PgUkrctq6d9skFOh9bM0eCw==" saltValue="5pDl7X+a0I4i2UFVxAXW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KhcdizBedTDWNVDNMxVh5edWgySvGYXaJSCdZ9sHa+w8DSQFRUN1yX14zufP9eRFO+FRjIjS7ZSIYLR4vD8PA==" saltValue="yPf0L0EXGx2TmCtW/lm5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P8t12q/06QDS9Yh48ky/q0ykBBfO9PKIcA06chujVe4g4zhs42aAV1qcxgr5jrnggQn+i+ndBw3I9RH6RlDXA==" saltValue="olnXFIHk+a7uK1O2gtip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9/bqltuR7SUVfbQpd4F0xtadmaWPkrOsYh4BFdI12jkXojlOxXHH1pB08TRrYT+CALnEDG6TZDL16vZFUl7JA==" saltValue="xu7vGqt2IUf3YGts1Lsy2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