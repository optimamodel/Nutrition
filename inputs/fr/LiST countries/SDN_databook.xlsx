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3377132A-5E85-4164-8403-CCC48B10E26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7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19" i="2" l="1"/>
  <c r="A22" i="2"/>
  <c r="A23" i="2"/>
  <c r="A26" i="2"/>
  <c r="A35" i="2"/>
  <c r="A36" i="2"/>
  <c r="I4" i="2"/>
  <c r="I8" i="2"/>
  <c r="I12" i="2"/>
  <c r="A25" i="2"/>
  <c r="I9" i="2"/>
  <c r="I13" i="2"/>
  <c r="A31" i="2"/>
  <c r="A34" i="2"/>
  <c r="A40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<sst xmlns="http://schemas.openxmlformats.org/spreadsheetml/2006/main" count="2159" uniqueCount="368">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</sst>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7373054.5</v>
      </c>
    </row>
    <row r="8" spans="1:3" ht="15" customHeight="1" x14ac:dyDescent="0.25">
      <c r="B8" s="5" t="s">
        <v>37</v>
      </c>
      <c r="C8" s="44">
        <v>0.127</v>
      </c>
    </row>
    <row r="9" spans="1:3" ht="15" customHeight="1" x14ac:dyDescent="0.25">
      <c r="B9" s="5" t="s">
        <v>38</v>
      </c>
      <c r="C9" s="45">
        <v>0.1</v>
      </c>
    </row>
    <row r="10" spans="1:3" ht="15" customHeight="1" x14ac:dyDescent="0.25">
      <c r="B10" s="5" t="s">
        <v>39</v>
      </c>
      <c r="C10" s="45">
        <v>0.30839620590209998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0.26579260830000001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7.4299999999999991E-2</v>
      </c>
    </row>
    <row r="24" spans="1:3" ht="15" customHeight="1" x14ac:dyDescent="0.25">
      <c r="B24" s="15" t="s">
        <v>51</v>
      </c>
      <c r="C24" s="45">
        <v>0.44829999999999998</v>
      </c>
    </row>
    <row r="25" spans="1:3" ht="15" customHeight="1" x14ac:dyDescent="0.25">
      <c r="B25" s="15" t="s">
        <v>52</v>
      </c>
      <c r="C25" s="45">
        <v>0.39019999999999999</v>
      </c>
    </row>
    <row r="26" spans="1:3" ht="15" customHeight="1" x14ac:dyDescent="0.25">
      <c r="B26" s="15" t="s">
        <v>53</v>
      </c>
      <c r="C26" s="45">
        <v>8.72E-2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0.18136659999999999</v>
      </c>
    </row>
    <row r="30" spans="1:3" ht="14.25" customHeight="1" x14ac:dyDescent="0.25">
      <c r="B30" s="25" t="s">
        <v>56</v>
      </c>
      <c r="C30" s="99">
        <v>0.1032511</v>
      </c>
    </row>
    <row r="31" spans="1:3" ht="14.25" customHeight="1" x14ac:dyDescent="0.25">
      <c r="B31" s="25" t="s">
        <v>57</v>
      </c>
      <c r="C31" s="99">
        <v>0.13079470000000001</v>
      </c>
    </row>
    <row r="32" spans="1:3" ht="14.25" customHeight="1" x14ac:dyDescent="0.25">
      <c r="B32" s="25" t="s">
        <v>58</v>
      </c>
      <c r="C32" s="99">
        <v>0.58458759999999999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26.66048</v>
      </c>
    </row>
    <row r="38" spans="1:5" ht="15" customHeight="1" x14ac:dyDescent="0.25">
      <c r="B38" s="11" t="s">
        <v>63</v>
      </c>
      <c r="C38" s="43">
        <v>38.948050000000002</v>
      </c>
      <c r="D38" s="12"/>
      <c r="E38" s="13"/>
    </row>
    <row r="39" spans="1:5" ht="15" customHeight="1" x14ac:dyDescent="0.25">
      <c r="B39" s="11" t="s">
        <v>64</v>
      </c>
      <c r="C39" s="43">
        <v>54.895539999999997</v>
      </c>
      <c r="D39" s="12"/>
      <c r="E39" s="12"/>
    </row>
    <row r="40" spans="1:5" ht="15" customHeight="1" x14ac:dyDescent="0.25">
      <c r="B40" s="11" t="s">
        <v>65</v>
      </c>
      <c r="C40" s="100">
        <v>2.7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21.990459999999999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7.4790999999999998E-3</v>
      </c>
      <c r="D45" s="12"/>
    </row>
    <row r="46" spans="1:5" ht="15.75" customHeight="1" x14ac:dyDescent="0.25">
      <c r="B46" s="11" t="s">
        <v>70</v>
      </c>
      <c r="C46" s="45">
        <v>8.0361700000000008E-2</v>
      </c>
      <c r="D46" s="12"/>
    </row>
    <row r="47" spans="1:5" ht="15.75" customHeight="1" x14ac:dyDescent="0.25">
      <c r="B47" s="11" t="s">
        <v>71</v>
      </c>
      <c r="C47" s="45">
        <v>7.3888400000000007E-2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2.9</v>
      </c>
      <c r="D51" s="12"/>
    </row>
    <row r="52" spans="1:4" ht="15" customHeight="1" x14ac:dyDescent="0.25">
      <c r="B52" s="11" t="s">
        <v>75</v>
      </c>
      <c r="C52" s="100">
        <v>2.9</v>
      </c>
    </row>
    <row r="53" spans="1:4" ht="15.75" customHeight="1" x14ac:dyDescent="0.25">
      <c r="B53" s="11" t="s">
        <v>76</v>
      </c>
      <c r="C53" s="100">
        <v>2.9</v>
      </c>
    </row>
    <row r="54" spans="1:4" ht="15.75" customHeight="1" x14ac:dyDescent="0.25">
      <c r="B54" s="11" t="s">
        <v>77</v>
      </c>
      <c r="C54" s="100">
        <v>2.9</v>
      </c>
    </row>
    <row r="55" spans="1:4" ht="15.75" customHeight="1" x14ac:dyDescent="0.25">
      <c r="B55" s="11" t="s">
        <v>78</v>
      </c>
      <c r="C55" s="100">
        <v>2.9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2.0689655172413789E-2</v>
      </c>
    </row>
    <row r="59" spans="1:4" ht="15.75" customHeight="1" x14ac:dyDescent="0.25">
      <c r="B59" s="11" t="s">
        <v>81</v>
      </c>
      <c r="C59" s="45">
        <v>0.52577700000000005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/h7sp882ti/E2q6gxEEZeHb1u/l88qeJDMQNJ0e9jrR8B9AARKjybKIDgmJb9Kkv7kkdn8hZTJ696pFid3dqXQ==" saltValue="8KW/ZUPgqVpvzRUUDmbI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7731508</v>
      </c>
      <c r="C2" s="49">
        <v>1797020</v>
      </c>
      <c r="D2" s="49">
        <v>3363398</v>
      </c>
      <c r="E2" s="49">
        <v>5342887.5000000009</v>
      </c>
      <c r="F2" s="49">
        <v>4559808.4999999991</v>
      </c>
      <c r="G2" s="17">
        <f t="shared" ref="G2:G13" si="0">C2+D2+E2+F2</f>
        <v>15063114</v>
      </c>
      <c r="H2" s="17">
        <f t="shared" ref="H2:H13" si="1">(B2 + stillbirth*B2/(1000-stillbirth))/(1-abortion)</f>
        <v>8983352.6015038099</v>
      </c>
      <c r="I2" s="17">
        <f t="shared" ref="I2:I13" si="2">G2-H2</f>
        <v>6079761.3984961901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1664612</v>
      </c>
      <c r="C3" s="50">
        <v>2695345</v>
      </c>
      <c r="D3" s="50">
        <v>4475205</v>
      </c>
      <c r="E3" s="50">
        <v>3182024.9999999995</v>
      </c>
      <c r="F3" s="50">
        <v>2171777</v>
      </c>
      <c r="G3" s="17">
        <f t="shared" si="0"/>
        <v>12524352</v>
      </c>
      <c r="H3" s="17">
        <f t="shared" si="1"/>
        <v>1934137.1102111596</v>
      </c>
      <c r="I3" s="17">
        <f t="shared" si="2"/>
        <v>10590214.88978884</v>
      </c>
    </row>
    <row r="4" spans="1:9" ht="15.75" customHeight="1" x14ac:dyDescent="0.25">
      <c r="A4" s="5">
        <f t="shared" si="3"/>
        <v>2026</v>
      </c>
      <c r="B4" s="49">
        <v>1656421</v>
      </c>
      <c r="C4" s="50">
        <v>2742180</v>
      </c>
      <c r="D4" s="50">
        <v>4553865</v>
      </c>
      <c r="E4" s="50">
        <v>3305404.5</v>
      </c>
      <c r="F4" s="50">
        <v>2248363.5000000005</v>
      </c>
      <c r="G4" s="17">
        <f t="shared" si="0"/>
        <v>12849813</v>
      </c>
      <c r="H4" s="17">
        <f t="shared" si="1"/>
        <v>1924619.8671120233</v>
      </c>
      <c r="I4" s="17">
        <f t="shared" si="2"/>
        <v>10925193.132887976</v>
      </c>
    </row>
    <row r="5" spans="1:9" ht="15.75" customHeight="1" x14ac:dyDescent="0.25">
      <c r="A5" s="5">
        <f t="shared" si="3"/>
        <v>2027</v>
      </c>
      <c r="B5" s="49">
        <v>1694024</v>
      </c>
      <c r="C5" s="50">
        <v>2804231.5</v>
      </c>
      <c r="D5" s="50">
        <v>4689747.4999999991</v>
      </c>
      <c r="E5" s="50">
        <v>3471060.9999999995</v>
      </c>
      <c r="F5" s="50">
        <v>2347397</v>
      </c>
      <c r="G5" s="17">
        <f t="shared" si="0"/>
        <v>13312436.999999998</v>
      </c>
      <c r="H5" s="17">
        <f t="shared" si="1"/>
        <v>1968311.3446186555</v>
      </c>
      <c r="I5" s="17">
        <f t="shared" si="2"/>
        <v>11344125.655381342</v>
      </c>
    </row>
    <row r="6" spans="1:9" ht="15.75" customHeight="1" x14ac:dyDescent="0.25">
      <c r="A6" s="5">
        <f t="shared" si="3"/>
        <v>2028</v>
      </c>
      <c r="B6" s="49">
        <v>1724552</v>
      </c>
      <c r="C6" s="50">
        <v>2854180.5</v>
      </c>
      <c r="D6" s="50">
        <v>4787850</v>
      </c>
      <c r="E6" s="50">
        <v>3620423</v>
      </c>
      <c r="F6" s="50">
        <v>2441147</v>
      </c>
      <c r="G6" s="17">
        <f t="shared" si="0"/>
        <v>13703600.5</v>
      </c>
      <c r="H6" s="17">
        <f t="shared" si="1"/>
        <v>2003782.2758029352</v>
      </c>
      <c r="I6" s="17">
        <f t="shared" si="2"/>
        <v>11699818.224197065</v>
      </c>
    </row>
    <row r="7" spans="1:9" ht="15.75" customHeight="1" x14ac:dyDescent="0.25">
      <c r="A7" s="5">
        <f t="shared" si="3"/>
        <v>2029</v>
      </c>
      <c r="B7" s="49">
        <v>1736764</v>
      </c>
      <c r="C7" s="50">
        <v>2894906.5</v>
      </c>
      <c r="D7" s="50">
        <v>4853130</v>
      </c>
      <c r="E7" s="50">
        <v>3753353.5</v>
      </c>
      <c r="F7" s="50">
        <v>2529502</v>
      </c>
      <c r="G7" s="17">
        <f t="shared" si="0"/>
        <v>14030892</v>
      </c>
      <c r="H7" s="17">
        <f t="shared" si="1"/>
        <v>2017971.5778083869</v>
      </c>
      <c r="I7" s="17">
        <f t="shared" si="2"/>
        <v>12012920.422191612</v>
      </c>
    </row>
    <row r="8" spans="1:9" ht="15.75" customHeight="1" x14ac:dyDescent="0.25">
      <c r="A8" s="5">
        <f t="shared" si="3"/>
        <v>2030</v>
      </c>
      <c r="B8" s="49">
        <v>1749542</v>
      </c>
      <c r="C8" s="50">
        <v>2934944.5</v>
      </c>
      <c r="D8" s="50">
        <v>4917271.5</v>
      </c>
      <c r="E8" s="50">
        <v>3886923.5</v>
      </c>
      <c r="F8" s="50">
        <v>2620463.5</v>
      </c>
      <c r="G8" s="17">
        <f t="shared" si="0"/>
        <v>14359603</v>
      </c>
      <c r="H8" s="17">
        <f t="shared" si="1"/>
        <v>2032818.5235196264</v>
      </c>
      <c r="I8" s="17">
        <f t="shared" si="2"/>
        <v>12326784.476480374</v>
      </c>
    </row>
    <row r="9" spans="1:9" ht="15.75" customHeight="1" x14ac:dyDescent="0.25">
      <c r="A9" s="5">
        <f t="shared" si="3"/>
        <v>2031</v>
      </c>
      <c r="B9" s="49">
        <v>1756395</v>
      </c>
      <c r="C9" s="50">
        <v>2979851</v>
      </c>
      <c r="D9" s="50">
        <v>4984100</v>
      </c>
      <c r="E9" s="50">
        <v>4020388.5</v>
      </c>
      <c r="F9" s="50">
        <v>2714078</v>
      </c>
      <c r="G9" s="17">
        <f t="shared" si="0"/>
        <v>14698417.5</v>
      </c>
      <c r="H9" s="17">
        <f t="shared" si="1"/>
        <v>2040781.1247842317</v>
      </c>
      <c r="I9" s="17">
        <f t="shared" si="2"/>
        <v>12657636.375215769</v>
      </c>
    </row>
    <row r="10" spans="1:9" ht="15.75" customHeight="1" x14ac:dyDescent="0.25">
      <c r="A10" s="5">
        <f t="shared" si="3"/>
        <v>2032</v>
      </c>
      <c r="B10" s="49">
        <v>1761601</v>
      </c>
      <c r="C10" s="50">
        <v>3035593</v>
      </c>
      <c r="D10" s="50">
        <v>5050871.5</v>
      </c>
      <c r="E10" s="50">
        <v>4148968.5</v>
      </c>
      <c r="F10" s="50">
        <v>2812759</v>
      </c>
      <c r="G10" s="17">
        <f t="shared" si="0"/>
        <v>15048192</v>
      </c>
      <c r="H10" s="17">
        <f t="shared" si="1"/>
        <v>2046830.0525798737</v>
      </c>
      <c r="I10" s="17">
        <f t="shared" si="2"/>
        <v>13001361.947420126</v>
      </c>
    </row>
    <row r="11" spans="1:9" ht="15.75" customHeight="1" x14ac:dyDescent="0.25">
      <c r="A11" s="5">
        <f t="shared" si="3"/>
        <v>2033</v>
      </c>
      <c r="B11" s="49">
        <v>1772840</v>
      </c>
      <c r="C11" s="50">
        <v>3102759.5</v>
      </c>
      <c r="D11" s="50">
        <v>5115271.0000000009</v>
      </c>
      <c r="E11" s="50">
        <v>4267712</v>
      </c>
      <c r="F11" s="50">
        <v>2922108</v>
      </c>
      <c r="G11" s="17">
        <f t="shared" si="0"/>
        <v>15407850.5</v>
      </c>
      <c r="H11" s="17">
        <f t="shared" si="1"/>
        <v>2059888.8116070004</v>
      </c>
      <c r="I11" s="17">
        <f t="shared" si="2"/>
        <v>13347961.688393001</v>
      </c>
    </row>
    <row r="12" spans="1:9" ht="15.75" customHeight="1" x14ac:dyDescent="0.25">
      <c r="A12" s="5">
        <f t="shared" si="3"/>
        <v>2034</v>
      </c>
      <c r="B12" s="49">
        <v>1777543</v>
      </c>
      <c r="C12" s="50">
        <v>3183593.5</v>
      </c>
      <c r="D12" s="50">
        <v>5182938</v>
      </c>
      <c r="E12" s="50">
        <v>4375026.5</v>
      </c>
      <c r="F12" s="50">
        <v>3043719.5</v>
      </c>
      <c r="G12" s="17">
        <f t="shared" si="0"/>
        <v>15785277.5</v>
      </c>
      <c r="H12" s="17">
        <f t="shared" si="1"/>
        <v>2065353.2963213499</v>
      </c>
      <c r="I12" s="17">
        <f t="shared" si="2"/>
        <v>13719924.203678651</v>
      </c>
    </row>
    <row r="13" spans="1:9" ht="15.75" customHeight="1" x14ac:dyDescent="0.25">
      <c r="A13" s="5">
        <f t="shared" si="3"/>
        <v>2035</v>
      </c>
      <c r="B13" s="49">
        <v>1792919</v>
      </c>
      <c r="C13" s="50">
        <v>3275140.5</v>
      </c>
      <c r="D13" s="50">
        <v>5256943</v>
      </c>
      <c r="E13" s="50">
        <v>4471682.0000000009</v>
      </c>
      <c r="F13" s="50">
        <v>3172314.5</v>
      </c>
      <c r="G13" s="17">
        <f t="shared" si="0"/>
        <v>16176080</v>
      </c>
      <c r="H13" s="17">
        <f t="shared" si="1"/>
        <v>2083218.8963570381</v>
      </c>
      <c r="I13" s="17">
        <f t="shared" si="2"/>
        <v>14092861.103642963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6xr+b6X0FgFPMu8qmdiXHgS593+FdiNb1CzMt9+YC6IARE1kr0qWw67kb4B5mHZcAnBW9Y3SidG2RBROrPz4hw==" saltValue="JgoMmpEGSQfQFDn5/xGh7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1.2673685844453639E-2</v>
      </c>
    </row>
    <row r="4" spans="1:8" ht="15.75" customHeight="1" x14ac:dyDescent="0.25">
      <c r="B4" s="19" t="s">
        <v>97</v>
      </c>
      <c r="C4" s="101">
        <v>5.3770801095202957E-2</v>
      </c>
    </row>
    <row r="5" spans="1:8" ht="15.75" customHeight="1" x14ac:dyDescent="0.25">
      <c r="B5" s="19" t="s">
        <v>98</v>
      </c>
      <c r="C5" s="101">
        <v>7.0625709105514814E-2</v>
      </c>
    </row>
    <row r="6" spans="1:8" ht="15.75" customHeight="1" x14ac:dyDescent="0.25">
      <c r="B6" s="19" t="s">
        <v>99</v>
      </c>
      <c r="C6" s="101">
        <v>0.23263621626898029</v>
      </c>
    </row>
    <row r="7" spans="1:8" ht="15.75" customHeight="1" x14ac:dyDescent="0.25">
      <c r="B7" s="19" t="s">
        <v>100</v>
      </c>
      <c r="C7" s="101">
        <v>0.4193640013634034</v>
      </c>
    </row>
    <row r="8" spans="1:8" ht="15.75" customHeight="1" x14ac:dyDescent="0.25">
      <c r="B8" s="19" t="s">
        <v>101</v>
      </c>
      <c r="C8" s="101">
        <v>1.7560613019217261E-3</v>
      </c>
    </row>
    <row r="9" spans="1:8" ht="15.75" customHeight="1" x14ac:dyDescent="0.25">
      <c r="B9" s="19" t="s">
        <v>102</v>
      </c>
      <c r="C9" s="101">
        <v>9.6119102522455382E-2</v>
      </c>
    </row>
    <row r="10" spans="1:8" ht="15.75" customHeight="1" x14ac:dyDescent="0.25">
      <c r="B10" s="19" t="s">
        <v>103</v>
      </c>
      <c r="C10" s="101">
        <v>0.1130544224980677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0.17452488325062651</v>
      </c>
      <c r="D14" s="55">
        <v>0.17452488325062651</v>
      </c>
      <c r="E14" s="55">
        <v>0.17452488325062651</v>
      </c>
      <c r="F14" s="55">
        <v>0.17452488325062651</v>
      </c>
    </row>
    <row r="15" spans="1:8" ht="15.75" customHeight="1" x14ac:dyDescent="0.25">
      <c r="B15" s="19" t="s">
        <v>106</v>
      </c>
      <c r="C15" s="101">
        <v>0.237643577182027</v>
      </c>
      <c r="D15" s="101">
        <v>0.237643577182027</v>
      </c>
      <c r="E15" s="101">
        <v>0.237643577182027</v>
      </c>
      <c r="F15" s="101">
        <v>0.237643577182027</v>
      </c>
    </row>
    <row r="16" spans="1:8" ht="15.75" customHeight="1" x14ac:dyDescent="0.25">
      <c r="B16" s="19" t="s">
        <v>107</v>
      </c>
      <c r="C16" s="101">
        <v>2.112581045049176E-2</v>
      </c>
      <c r="D16" s="101">
        <v>2.112581045049176E-2</v>
      </c>
      <c r="E16" s="101">
        <v>2.112581045049176E-2</v>
      </c>
      <c r="F16" s="101">
        <v>2.112581045049176E-2</v>
      </c>
    </row>
    <row r="17" spans="1:8" ht="15.75" customHeight="1" x14ac:dyDescent="0.25">
      <c r="B17" s="19" t="s">
        <v>108</v>
      </c>
      <c r="C17" s="101">
        <v>0.17447843039335451</v>
      </c>
      <c r="D17" s="101">
        <v>0.17447843039335451</v>
      </c>
      <c r="E17" s="101">
        <v>0.17447843039335451</v>
      </c>
      <c r="F17" s="101">
        <v>0.17447843039335451</v>
      </c>
    </row>
    <row r="18" spans="1:8" ht="15.75" customHeight="1" x14ac:dyDescent="0.25">
      <c r="B18" s="19" t="s">
        <v>109</v>
      </c>
      <c r="C18" s="101">
        <v>4.9477412798970923E-2</v>
      </c>
      <c r="D18" s="101">
        <v>4.9477412798970923E-2</v>
      </c>
      <c r="E18" s="101">
        <v>4.9477412798970923E-2</v>
      </c>
      <c r="F18" s="101">
        <v>4.9477412798970923E-2</v>
      </c>
    </row>
    <row r="19" spans="1:8" ht="15.75" customHeight="1" x14ac:dyDescent="0.25">
      <c r="B19" s="19" t="s">
        <v>110</v>
      </c>
      <c r="C19" s="101">
        <v>2.5739877859644749E-2</v>
      </c>
      <c r="D19" s="101">
        <v>2.5739877859644749E-2</v>
      </c>
      <c r="E19" s="101">
        <v>2.5739877859644749E-2</v>
      </c>
      <c r="F19" s="101">
        <v>2.5739877859644749E-2</v>
      </c>
    </row>
    <row r="20" spans="1:8" ht="15.75" customHeight="1" x14ac:dyDescent="0.25">
      <c r="B20" s="19" t="s">
        <v>111</v>
      </c>
      <c r="C20" s="101">
        <v>1.3433343141782111E-2</v>
      </c>
      <c r="D20" s="101">
        <v>1.3433343141782111E-2</v>
      </c>
      <c r="E20" s="101">
        <v>1.3433343141782111E-2</v>
      </c>
      <c r="F20" s="101">
        <v>1.3433343141782111E-2</v>
      </c>
    </row>
    <row r="21" spans="1:8" ht="15.75" customHeight="1" x14ac:dyDescent="0.25">
      <c r="B21" s="19" t="s">
        <v>112</v>
      </c>
      <c r="C21" s="101">
        <v>0.1269383015398666</v>
      </c>
      <c r="D21" s="101">
        <v>0.1269383015398666</v>
      </c>
      <c r="E21" s="101">
        <v>0.1269383015398666</v>
      </c>
      <c r="F21" s="101">
        <v>0.1269383015398666</v>
      </c>
    </row>
    <row r="22" spans="1:8" ht="15.75" customHeight="1" x14ac:dyDescent="0.25">
      <c r="B22" s="19" t="s">
        <v>113</v>
      </c>
      <c r="C22" s="101">
        <v>0.17663836338323571</v>
      </c>
      <c r="D22" s="101">
        <v>0.17663836338323571</v>
      </c>
      <c r="E22" s="101">
        <v>0.17663836338323571</v>
      </c>
      <c r="F22" s="101">
        <v>0.17663836338323571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4.6824316999999997E-2</v>
      </c>
    </row>
    <row r="27" spans="1:8" ht="15.75" customHeight="1" x14ac:dyDescent="0.25">
      <c r="B27" s="19" t="s">
        <v>120</v>
      </c>
      <c r="C27" s="101">
        <v>2.7708330999999999E-2</v>
      </c>
    </row>
    <row r="28" spans="1:8" ht="15.75" customHeight="1" x14ac:dyDescent="0.25">
      <c r="B28" s="19" t="s">
        <v>121</v>
      </c>
      <c r="C28" s="101">
        <v>0.192682248</v>
      </c>
    </row>
    <row r="29" spans="1:8" ht="15.75" customHeight="1" x14ac:dyDescent="0.25">
      <c r="B29" s="19" t="s">
        <v>122</v>
      </c>
      <c r="C29" s="101">
        <v>0.15047112300000001</v>
      </c>
    </row>
    <row r="30" spans="1:8" ht="15.75" customHeight="1" x14ac:dyDescent="0.25">
      <c r="B30" s="19" t="s">
        <v>2</v>
      </c>
      <c r="C30" s="101">
        <v>4.9998465000000013E-2</v>
      </c>
    </row>
    <row r="31" spans="1:8" ht="15.75" customHeight="1" x14ac:dyDescent="0.25">
      <c r="B31" s="19" t="s">
        <v>123</v>
      </c>
      <c r="C31" s="101">
        <v>3.0442113E-2</v>
      </c>
    </row>
    <row r="32" spans="1:8" ht="15.75" customHeight="1" x14ac:dyDescent="0.25">
      <c r="B32" s="19" t="s">
        <v>124</v>
      </c>
      <c r="C32" s="101">
        <v>8.5598303000000001E-2</v>
      </c>
    </row>
    <row r="33" spans="2:3" ht="15.75" customHeight="1" x14ac:dyDescent="0.25">
      <c r="B33" s="19" t="s">
        <v>125</v>
      </c>
      <c r="C33" s="101">
        <v>0.16741062000000001</v>
      </c>
    </row>
    <row r="34" spans="2:3" ht="15.75" customHeight="1" x14ac:dyDescent="0.25">
      <c r="B34" s="19" t="s">
        <v>126</v>
      </c>
      <c r="C34" s="101">
        <v>0.24886448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irk7ZoAdRiaWj33+bcfxm92iuwM9ItrmzTv73DJui6blE2IxIEs7x7TQ+m7vY+6+MRU35UgV3dOQhdMEyf77UQ==" saltValue="LCuzBFKY2qMQzllJdcs3m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0.55915255852645362</v>
      </c>
      <c r="D2" s="52">
        <f>IFERROR(1-_xlfn.NORM.DIST(_xlfn.NORM.INV(SUM(D4:D5), 0, 1) + 1, 0, 1, TRUE), "")</f>
        <v>0.55915255852645362</v>
      </c>
      <c r="E2" s="52">
        <f>IFERROR(1-_xlfn.NORM.DIST(_xlfn.NORM.INV(SUM(E4:E5), 0, 1) + 1, 0, 1, TRUE), "")</f>
        <v>0.44621302685484876</v>
      </c>
      <c r="F2" s="52">
        <f>IFERROR(1-_xlfn.NORM.DIST(_xlfn.NORM.INV(SUM(F4:F5), 0, 1) + 1, 0, 1, TRUE), "")</f>
        <v>0.2222411794478788</v>
      </c>
      <c r="G2" s="52">
        <f>IFERROR(1-_xlfn.NORM.DIST(_xlfn.NORM.INV(SUM(G4:G5), 0, 1) + 1, 0, 1, TRUE), "")</f>
        <v>0.18165386916106796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0.31553254147354631</v>
      </c>
      <c r="D3" s="52">
        <f>IFERROR(_xlfn.NORM.DIST(_xlfn.NORM.INV(SUM(D4:D5), 0, 1) + 1, 0, 1, TRUE) - SUM(D4:D5), "")</f>
        <v>0.31553254147354631</v>
      </c>
      <c r="E3" s="52">
        <f>IFERROR(_xlfn.NORM.DIST(_xlfn.NORM.INV(SUM(E4:E5), 0, 1) + 1, 0, 1, TRUE) - SUM(E4:E5), "")</f>
        <v>0.36020307314515121</v>
      </c>
      <c r="F3" s="52">
        <f>IFERROR(_xlfn.NORM.DIST(_xlfn.NORM.INV(SUM(F4:F5), 0, 1) + 1, 0, 1, TRUE) - SUM(F4:F5), "")</f>
        <v>0.37079182055212123</v>
      </c>
      <c r="G3" s="52">
        <f>IFERROR(_xlfn.NORM.DIST(_xlfn.NORM.INV(SUM(G4:G5), 0, 1) + 1, 0, 1, TRUE) - SUM(G4:G5), "")</f>
        <v>0.35456793083893201</v>
      </c>
    </row>
    <row r="4" spans="1:15" ht="15.75" customHeight="1" x14ac:dyDescent="0.25">
      <c r="B4" s="5" t="s">
        <v>132</v>
      </c>
      <c r="C4" s="45">
        <v>6.6612999999999992E-2</v>
      </c>
      <c r="D4" s="53">
        <v>6.6612999999999992E-2</v>
      </c>
      <c r="E4" s="53">
        <v>0.12343270000000001</v>
      </c>
      <c r="F4" s="53">
        <v>0.2137937</v>
      </c>
      <c r="G4" s="53">
        <v>0.22974459999999999</v>
      </c>
    </row>
    <row r="5" spans="1:15" ht="15.75" customHeight="1" x14ac:dyDescent="0.25">
      <c r="B5" s="5" t="s">
        <v>133</v>
      </c>
      <c r="C5" s="45">
        <v>5.8701900000000001E-2</v>
      </c>
      <c r="D5" s="53">
        <v>5.8701900000000001E-2</v>
      </c>
      <c r="E5" s="53">
        <v>7.0151199999999997E-2</v>
      </c>
      <c r="F5" s="53">
        <v>0.19317329999999999</v>
      </c>
      <c r="G5" s="53">
        <v>0.23403360000000001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0.56607127859384077</v>
      </c>
      <c r="D8" s="52">
        <f>IFERROR(1-_xlfn.NORM.DIST(_xlfn.NORM.INV(SUM(D10:D11), 0, 1) + 1, 0, 1, TRUE), "")</f>
        <v>0.56607127859384077</v>
      </c>
      <c r="E8" s="52">
        <f>IFERROR(1-_xlfn.NORM.DIST(_xlfn.NORM.INV(SUM(E10:E11), 0, 1) + 1, 0, 1, TRUE), "")</f>
        <v>0.4624566273923908</v>
      </c>
      <c r="F8" s="52">
        <f>IFERROR(1-_xlfn.NORM.DIST(_xlfn.NORM.INV(SUM(F10:F11), 0, 1) + 1, 0, 1, TRUE), "")</f>
        <v>0.41987329142113172</v>
      </c>
      <c r="G8" s="52">
        <f>IFERROR(1-_xlfn.NORM.DIST(_xlfn.NORM.INV(SUM(G10:G11), 0, 1) + 1, 0, 1, TRUE), "")</f>
        <v>0.51423145958061589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0.31219842140615922</v>
      </c>
      <c r="D9" s="52">
        <f>IFERROR(_xlfn.NORM.DIST(_xlfn.NORM.INV(SUM(D10:D11), 0, 1) + 1, 0, 1, TRUE) - SUM(D10:D11), "")</f>
        <v>0.31219842140615922</v>
      </c>
      <c r="E9" s="52">
        <f>IFERROR(_xlfn.NORM.DIST(_xlfn.NORM.INV(SUM(E10:E11), 0, 1) + 1, 0, 1, TRUE) - SUM(E10:E11), "")</f>
        <v>0.3550101726076092</v>
      </c>
      <c r="F9" s="52">
        <f>IFERROR(_xlfn.NORM.DIST(_xlfn.NORM.INV(SUM(F10:F11), 0, 1) + 1, 0, 1, TRUE) - SUM(F10:F11), "")</f>
        <v>0.3676283085788683</v>
      </c>
      <c r="G9" s="52">
        <f>IFERROR(_xlfn.NORM.DIST(_xlfn.NORM.INV(SUM(G10:G11), 0, 1) + 1, 0, 1, TRUE) - SUM(G10:G11), "")</f>
        <v>0.33559294041938409</v>
      </c>
    </row>
    <row r="10" spans="1:15" ht="15.75" customHeight="1" x14ac:dyDescent="0.25">
      <c r="B10" s="5" t="s">
        <v>137</v>
      </c>
      <c r="C10" s="45">
        <v>8.03088E-2</v>
      </c>
      <c r="D10" s="53">
        <v>8.03088E-2</v>
      </c>
      <c r="E10" s="53">
        <v>0.12146990000000001</v>
      </c>
      <c r="F10" s="53">
        <v>0.1527878</v>
      </c>
      <c r="G10" s="53">
        <v>0.1125285</v>
      </c>
    </row>
    <row r="11" spans="1:15" ht="15.75" customHeight="1" x14ac:dyDescent="0.25">
      <c r="B11" s="5" t="s">
        <v>138</v>
      </c>
      <c r="C11" s="45">
        <v>4.14215E-2</v>
      </c>
      <c r="D11" s="53">
        <v>4.14215E-2</v>
      </c>
      <c r="E11" s="53">
        <v>6.1063300000000001E-2</v>
      </c>
      <c r="F11" s="53">
        <v>5.9710600000000003E-2</v>
      </c>
      <c r="G11" s="53">
        <v>3.7647100000000003E-2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0.58450609649999996</v>
      </c>
      <c r="D14" s="54">
        <v>0.57874480719300003</v>
      </c>
      <c r="E14" s="54">
        <v>0.57874480719300003</v>
      </c>
      <c r="F14" s="54">
        <v>0.56689632875700002</v>
      </c>
      <c r="G14" s="54">
        <v>0.56689632875700002</v>
      </c>
      <c r="H14" s="45">
        <v>0.34100000000000003</v>
      </c>
      <c r="I14" s="55">
        <v>0.34100000000000003</v>
      </c>
      <c r="J14" s="55">
        <v>0.34100000000000003</v>
      </c>
      <c r="K14" s="55">
        <v>0.34100000000000003</v>
      </c>
      <c r="L14" s="45">
        <v>0.30399999999999999</v>
      </c>
      <c r="M14" s="55">
        <v>0.30399999999999999</v>
      </c>
      <c r="N14" s="55">
        <v>0.30399999999999999</v>
      </c>
      <c r="O14" s="55">
        <v>0.30399999999999999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0.30731986189948052</v>
      </c>
      <c r="D15" s="52">
        <f t="shared" si="0"/>
        <v>0.30429070849151402</v>
      </c>
      <c r="E15" s="52">
        <f t="shared" si="0"/>
        <v>0.30429070849151402</v>
      </c>
      <c r="F15" s="52">
        <f t="shared" si="0"/>
        <v>0.29806105104486924</v>
      </c>
      <c r="G15" s="52">
        <f t="shared" si="0"/>
        <v>0.29806105104486924</v>
      </c>
      <c r="H15" s="52">
        <f t="shared" si="0"/>
        <v>0.17928995700000003</v>
      </c>
      <c r="I15" s="52">
        <f t="shared" si="0"/>
        <v>0.17928995700000003</v>
      </c>
      <c r="J15" s="52">
        <f t="shared" si="0"/>
        <v>0.17928995700000003</v>
      </c>
      <c r="K15" s="52">
        <f t="shared" si="0"/>
        <v>0.17928995700000003</v>
      </c>
      <c r="L15" s="52">
        <f t="shared" si="0"/>
        <v>0.15983620800000001</v>
      </c>
      <c r="M15" s="52">
        <f t="shared" si="0"/>
        <v>0.15983620800000001</v>
      </c>
      <c r="N15" s="52">
        <f t="shared" si="0"/>
        <v>0.15983620800000001</v>
      </c>
      <c r="O15" s="52">
        <f t="shared" si="0"/>
        <v>0.15983620800000001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LT46sh+PVVOasYrHekOv/GkQ2PR/8HGlxWNM0Ae21HJq4hn+f5dg160kBQnA8Mt6kDDZayy628ag0tMKyNBmpg==" saltValue="u7wmqjVU8Vbap9vxyLx/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0.76390500000000006</v>
      </c>
      <c r="D2" s="53">
        <v>0.53045450000000005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0.12635540000000001</v>
      </c>
      <c r="D3" s="53">
        <v>0.26860529999999999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8.7546100000000002E-2</v>
      </c>
      <c r="D4" s="53">
        <v>0.18029980000000001</v>
      </c>
      <c r="E4" s="53">
        <v>0.95787929999999999</v>
      </c>
      <c r="F4" s="53">
        <v>0.72524289999999991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2.2193499999999977E-2</v>
      </c>
      <c r="D5" s="52">
        <f t="shared" si="0"/>
        <v>2.0640400000000003E-2</v>
      </c>
      <c r="E5" s="52">
        <f>1-SUM(E2:E4)</f>
        <v>4.2120700000000011E-2</v>
      </c>
      <c r="F5" s="52">
        <f>1-SUM(F2:F4)</f>
        <v>0.27475710000000009</v>
      </c>
      <c r="G5" s="52">
        <f>1-SUM(G2:G4)</f>
        <v>1</v>
      </c>
    </row>
  </sheetData>
  <sheetProtection algorithmName="SHA-512" hashValue="ALFj7QTHGVxP+keKBIzX8h9s0tIoLXNOuDgMCdcbwu81Kb54MwLP7iDjsy0qJ3580ykaiUW3pLHn4KxB1kuagA==" saltValue="sDrPu1pybJmHOyD+R6RPM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4L2Q+Sj+hTrXJaShHOIbuOQ5qYHv+op0J9L6tmD3bZb+3sQXBinG4KaceBioYNyXE0g16ApRWCFZ6uHSet6M8g==" saltValue="iQvvan+gjud8altVvh5k/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1102.146484375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0.37470999999999999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0.29842999999999997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1.4415690056630329E-2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94163.123760000002</v>
      </c>
      <c r="C22" s="109">
        <v>93653.046489999993</v>
      </c>
      <c r="D22" s="109">
        <v>93383.457240000003</v>
      </c>
      <c r="E22" s="109">
        <v>93016.656539999996</v>
      </c>
      <c r="F22" s="109">
        <v>92514.947839999993</v>
      </c>
      <c r="G22" s="109">
        <v>91911.989600000001</v>
      </c>
      <c r="H22" s="109">
        <v>91139.916620000004</v>
      </c>
      <c r="I22" s="109">
        <v>90124.339940000005</v>
      </c>
      <c r="J22" s="109">
        <v>88700.336049999998</v>
      </c>
      <c r="K22" s="109">
        <v>86692.228560000003</v>
      </c>
      <c r="L22" s="109">
        <v>83711.116200000004</v>
      </c>
      <c r="M22" s="109">
        <v>79390.338369999998</v>
      </c>
      <c r="N22" s="109">
        <v>72846.033169999995</v>
      </c>
      <c r="O22" s="109">
        <v>63814.850120000003</v>
      </c>
    </row>
  </sheetData>
  <sheetProtection algorithmName="SHA-512" hashValue="t4ZQhHsWhXBKjP1rmFinwuhmTCsEFdkhp96YpCJoLkXoAObTtvRxkKye/MekUnL7tIPrxOOfjYN3EJlN/HzVKg==" saltValue="7a3Cg8KkyQzi9OJ/vSL5C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z7i1TZqomQ0V3XMhQ8Wjcc9JiF3XaIK8kfQ9HIAN3yFW7CbnIkxRoMHisQHmN1AbAx+0YbvAwNevpiE3+VDG9g==" saltValue="fxWte6Q22gYQTAby0xmt+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hYZ0N0o58G9ROc4lk8SAtEXeeNSFsDGJkGeHkfTpMU2uhAaHjDUwdo+mqk+gBxx/oqXdq1cTqwYsQGiz8Kcqrg==" saltValue="OgINvUOuR4kGHHepG/dnH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6.8747382117628364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2.1291837256908908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0.78848199824391296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0.25</v>
      </c>
      <c r="C9" s="98">
        <v>0.95</v>
      </c>
      <c r="D9" s="56">
        <v>0.22197642864885933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12.76524374254179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12.76524374254179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12.76524374254179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12.76524374254179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0.31330000000000002</v>
      </c>
      <c r="C14" s="98">
        <v>0.95</v>
      </c>
      <c r="D14" s="56">
        <v>2.7509100930955666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12.76524374254179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3.6484599999999999E-2</v>
      </c>
      <c r="C16" s="98">
        <v>0.95</v>
      </c>
      <c r="D16" s="56">
        <v>2.1562548532894295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4.938E-2</v>
      </c>
      <c r="C17" s="98">
        <v>0.95</v>
      </c>
      <c r="D17" s="56">
        <v>0.58636119533868591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0.53045450000000005</v>
      </c>
      <c r="C18" s="98">
        <v>0.95</v>
      </c>
      <c r="D18" s="56">
        <v>6.8747382117628364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0.53045450000000005</v>
      </c>
      <c r="C19" s="98">
        <v>0.95</v>
      </c>
      <c r="D19" s="56">
        <v>5.6195673264216497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7.2638561333206297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6.8747382117628364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0.2500193</v>
      </c>
      <c r="C23" s="98">
        <v>0.95</v>
      </c>
      <c r="D23" s="56">
        <v>4.1250028489423594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0.19827547772213999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4.4432147531692987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8.8360724993186164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0.19644320000000001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0.23971219999999999</v>
      </c>
      <c r="C29" s="98">
        <v>0.95</v>
      </c>
      <c r="D29" s="56">
        <v>88.005851455993124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57.448392612859095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125.66324080233395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0.39</v>
      </c>
      <c r="C32" s="98">
        <v>0.95</v>
      </c>
      <c r="D32" s="56">
        <v>0.65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0.10762579999999999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0.53042900000000004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7.5948000000000014E-3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0.59316859999999993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0.15218699999999999</v>
      </c>
      <c r="C38" s="98">
        <v>0.95</v>
      </c>
      <c r="D38" s="56">
        <v>2.2145073762257557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5.8497136845734818</v>
      </c>
      <c r="E39" s="56" t="s">
        <v>230</v>
      </c>
      <c r="F39" s="98">
        <v>1</v>
      </c>
      <c r="G39" s="98">
        <v>1</v>
      </c>
    </row>
  </sheetData>
  <sheetProtection algorithmName="SHA-512" hashValue="DUV/oGmoIynI3b7qxyEHv7TVdueZNCwn4IQEfSTsfos7y6eKwl64vFSM3aRBkaXqO0JCOsOmldluZIseBeBtuw==" saltValue="jF3fLT8m18eGJzwos5bi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B6gemsZFULy6qVlGicaHmt5/t5BlilJ0gqmtZvDX60NrN5ifviIAszdv+w6f2emzaVF33HVQU6iD6Fzp9LHHA==" saltValue="KxM/8VAXepcN5/AuW5xcp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H1xORa4WqLODWIaRhChoVINPqRAhsdZkBHQz2nsAMclEGcjoCn2HqlnJEvxwJhNDQvZXBOFow2Tj64aLkTo7Q==" saltValue="dv8VS6eDjyViLCCsx2RIT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</v>
      </c>
      <c r="C2" s="21">
        <f>'Données pop de l''année de ref'!C52</f>
        <v>2.9</v>
      </c>
      <c r="D2" s="21">
        <f>'Données pop de l''année de ref'!C53</f>
        <v>2.9</v>
      </c>
      <c r="E2" s="21">
        <f>'Données pop de l''année de ref'!C54</f>
        <v>2.9</v>
      </c>
      <c r="F2" s="21">
        <f>'Données pop de l''année de ref'!C55</f>
        <v>2.9</v>
      </c>
    </row>
    <row r="3" spans="1:6" ht="15.75" customHeight="1" x14ac:dyDescent="0.25">
      <c r="A3" s="3" t="s">
        <v>238</v>
      </c>
      <c r="B3" s="21">
        <f>frac_mam_1month * 2.6</f>
        <v>0.20880288</v>
      </c>
      <c r="C3" s="21">
        <f>frac_mam_1_5months * 2.6</f>
        <v>0.20880288</v>
      </c>
      <c r="D3" s="21">
        <f>frac_mam_6_11months * 2.6</f>
        <v>0.31582174000000002</v>
      </c>
      <c r="E3" s="21">
        <f>frac_mam_12_23months * 2.6</f>
        <v>0.39724828000000001</v>
      </c>
      <c r="F3" s="21">
        <f>frac_mam_24_59months * 2.6</f>
        <v>0.2925741</v>
      </c>
    </row>
    <row r="4" spans="1:6" ht="15.75" customHeight="1" x14ac:dyDescent="0.25">
      <c r="A4" s="3" t="s">
        <v>237</v>
      </c>
      <c r="B4" s="21">
        <f>frac_sam_1month * 2.6</f>
        <v>0.1076959</v>
      </c>
      <c r="C4" s="21">
        <f>frac_sam_1_5months * 2.6</f>
        <v>0.1076959</v>
      </c>
      <c r="D4" s="21">
        <f>frac_sam_6_11months * 2.6</f>
        <v>0.15876458000000002</v>
      </c>
      <c r="E4" s="21">
        <f>frac_sam_12_23months * 2.6</f>
        <v>0.15524756000000001</v>
      </c>
      <c r="F4" s="21">
        <f>frac_sam_24_59months * 2.6</f>
        <v>9.7882460000000004E-2</v>
      </c>
    </row>
  </sheetData>
  <sheetProtection algorithmName="SHA-512" hashValue="d5i661RxRMsEI9d/PCmobttCjgX6NXMmdi38wxsv87+E7c0GCVBt9bNCwmhc++IRw1JvyV/0WgrAl+uukLFvDg==" saltValue="TL8nxDwiXaBTOoArdqXo7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0.127</v>
      </c>
      <c r="F2" s="60">
        <f>food_insecure</f>
        <v>0.127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0.127</v>
      </c>
      <c r="F5" s="60">
        <f>food_insecure</f>
        <v>0.127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0.127</v>
      </c>
      <c r="F8" s="60">
        <f>food_insecure</f>
        <v>0.127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0.127</v>
      </c>
      <c r="F9" s="60">
        <f>food_insecure</f>
        <v>0.127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0.127</v>
      </c>
      <c r="I15" s="60">
        <f t="shared" si="0"/>
        <v>0.127</v>
      </c>
      <c r="J15" s="60">
        <f t="shared" si="0"/>
        <v>0.127</v>
      </c>
      <c r="K15" s="60">
        <f t="shared" si="0"/>
        <v>0.127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0.127</v>
      </c>
      <c r="I16" s="60">
        <f t="shared" si="0"/>
        <v>0.127</v>
      </c>
      <c r="J16" s="60">
        <f t="shared" si="0"/>
        <v>0.127</v>
      </c>
      <c r="K16" s="60">
        <f t="shared" si="0"/>
        <v>0.127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</v>
      </c>
      <c r="I19" s="60">
        <f>frac_malaria_risk</f>
        <v>0.1</v>
      </c>
      <c r="J19" s="60">
        <f>frac_malaria_risk</f>
        <v>0.1</v>
      </c>
      <c r="K19" s="60">
        <f>frac_malaria_risk</f>
        <v>0.1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0.26579260830000001</v>
      </c>
      <c r="M24" s="60">
        <f>famplan_unmet_need</f>
        <v>0.26579260830000001</v>
      </c>
      <c r="N24" s="60">
        <f>famplan_unmet_need</f>
        <v>0.26579260830000001</v>
      </c>
      <c r="O24" s="60">
        <f>famplan_unmet_need</f>
        <v>0.26579260830000001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0.35733093229656199</v>
      </c>
      <c r="M25" s="60">
        <f>(1-food_insecure)*(0.49)+food_insecure*(0.7)</f>
        <v>0.51666999999999996</v>
      </c>
      <c r="N25" s="60">
        <f>(1-food_insecure)*(0.49)+food_insecure*(0.7)</f>
        <v>0.51666999999999996</v>
      </c>
      <c r="O25" s="60">
        <f>(1-food_insecure)*(0.49)+food_insecure*(0.7)</f>
        <v>0.51666999999999996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0.15314182812709801</v>
      </c>
      <c r="M26" s="60">
        <f>(1-food_insecure)*(0.21)+food_insecure*(0.3)</f>
        <v>0.22142999999999999</v>
      </c>
      <c r="N26" s="60">
        <f>(1-food_insecure)*(0.21)+food_insecure*(0.3)</f>
        <v>0.22142999999999999</v>
      </c>
      <c r="O26" s="60">
        <f>(1-food_insecure)*(0.21)+food_insecure*(0.3)</f>
        <v>0.22142999999999999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0.18113103367423999</v>
      </c>
      <c r="M27" s="60">
        <f>(1-food_insecure)*(0.3)</f>
        <v>0.26189999999999997</v>
      </c>
      <c r="N27" s="60">
        <f>(1-food_insecure)*(0.3)</f>
        <v>0.26189999999999997</v>
      </c>
      <c r="O27" s="60">
        <f>(1-food_insecure)*(0.3)</f>
        <v>0.26189999999999997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0.30839620590209993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0.1</v>
      </c>
      <c r="D34" s="60">
        <f t="shared" si="4"/>
        <v>0.1</v>
      </c>
      <c r="E34" s="60">
        <f t="shared" si="4"/>
        <v>0.1</v>
      </c>
      <c r="F34" s="60">
        <f t="shared" si="4"/>
        <v>0.1</v>
      </c>
      <c r="G34" s="60">
        <f t="shared" si="4"/>
        <v>0.1</v>
      </c>
      <c r="H34" s="60">
        <f t="shared" si="4"/>
        <v>0.1</v>
      </c>
      <c r="I34" s="60">
        <f t="shared" si="4"/>
        <v>0.1</v>
      </c>
      <c r="J34" s="60">
        <f t="shared" si="4"/>
        <v>0.1</v>
      </c>
      <c r="K34" s="60">
        <f t="shared" si="4"/>
        <v>0.1</v>
      </c>
      <c r="L34" s="60">
        <f t="shared" si="4"/>
        <v>0.1</v>
      </c>
      <c r="M34" s="60">
        <f t="shared" si="4"/>
        <v>0.1</v>
      </c>
      <c r="N34" s="60">
        <f t="shared" si="4"/>
        <v>0.1</v>
      </c>
      <c r="O34" s="60">
        <f t="shared" si="4"/>
        <v>0.1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qRYrBVbezxVJ2hcJWxQwvOWQEeG1Jemj8Egk43f2xDicKuY3qZ4iDeZ+hmn34E/zeJMnm+4S51qlbAQPTv4RA==" saltValue="may13u4NoxM8vLvsHz5bL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6umC0lPlmiW63/NAiJ8sUCM14a9FxtEl4pxsFVesRSC5sZ1KyC11qpLkVCg71ANmE14ziN+9evm0Q2W8qmXE2g==" saltValue="Yok5yY3wbHq8MG0pG7A/l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Ow4aSSgy63qmrNyk0pJx/+EN+EvXudrb7zDM0e5SazREjhwNtDZ6TS7X5hOcK4R18z/udBrLj4yPPOq4ff1sg==" saltValue="EHDzwNH1dBKEP+jJGjUn5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b62xDjagKeFcdt/qZX0poScMhH0tBLtEEbYs68LK8/HYXGrzVJu3moOB+IVIxAuTdeQC6SXAkXxhoIS9+KPFA==" saltValue="LtBZm84LQ+1kHRMIR6d+8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pd8judKUo3LLhZAjmSUqIVmM1guBubi0IL1BiNzJ/kn32bxQrsS6e1NZcNb/jZ7HJmlJls5Id6EgbE9vqe9weQ==" saltValue="h6aSE5ZQ4QOgCOoV7OLSZ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FB5vVAcyoFEDmbYCQwXh+FIZ4da3/ITxGkvHZHdC2uM17hck+d4VLGh0zYQydBOFkSPe6Vfm+Sl97MXWlZYclQ==" saltValue="sk9W5ip4PdxvWdwXumWmO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NHGIS1x1OOGaLPvQFmTa3xKR6e4sa0wSTxqr9XmqX15kadqxDaYeCNl/UtA5IKCpynR8HvPTSo5UvGZWzWchQ==" saltValue="afEIPBrYywA+yy1XM3fOp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an2LHqG0Kp1N0W3cFbMNxw20U1iITpiI/ib+gXz/dK5TBsDWWrkUz61icXLPCnLYCuNEBBqEQW/aIhcMkb2nDQ==" saltValue="k29n8XRoc8beixtZT4Zf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Oaguk3MyI6MFThRs2TV8Wds0R4N1DQWPR5z/u8D8CzclGFtJ6YJDVT5RE5fQxc6G/EYe2Tzytc+hHe9dF8nNQA==" saltValue="WAyduWjDe3mYfF2fnmGn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rdImH/3W2GLYQeQ2ERySQjeeFObiEbI7eYuDdpuIqXNiW7XEBw8QGISGsaFattRLIN2IchFg70EWjcu+5w03A==" saltValue="yQz9uzOTHmHhdbob5NLl5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ExZNklYiGEYhguenjxwbF1Wa0r06Mlwom46C3aYDyoJXA/xZ6ux8RlxFIYjlvPpRIexup5fX4I3/CNSjDSxv4A==" saltValue="05c0wOhS1v4glqgI029d6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5at5KlveYSK3byvxfjOHj1c1K923KAgFO8t+/nCw/62Vgl2nKGsTk1J+CAVgFABMjF6ODedOUzBcrzfGZRUZvA==" saltValue="Nv5NPT6ONJeXl379WCR7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6qzShXdnYH+0HdebP3Pqqhd5ghdXlN6+TDiHejhuhEU9dibzgtSilOtiFTVomk75uqIlEUunQMzeE9uz+Bt6A==" saltValue="JU6+lrrM6pQxL0WZxpsz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RcBKtN1MrOy50VrDgbWpboRVSb1h7Vgz7ZWQZ7WjtmIw5zcA3852z/pQvi70FYJMEvsxuG4wKo4d2rFLhFwYBg==" saltValue="+Efc1FjDTYQkeT7mRsoQ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9vRI7VNHxdHwKyGHNFy9QAhqF+avEYlJ/1c80PRJ/WgZ6eia28Is5bEJVJz+42dBljtTuEVO49uYdfIXlljOtg==" saltValue="puDD7zoOz2ZFSkk0iNWPq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