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DDD5DC4-AAD0-4413-A8E4-2CE1554F7FF4}" xr6:coauthVersionLast="47" xr6:coauthVersionMax="47" xr10:uidLastSave="{00000000-0000-0000-0000-000000000000}"/>
  <bookViews>
    <workbookView xWindow="20" yWindow="38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34" i="2"/>
  <c r="A33" i="2"/>
  <c r="A24" i="2"/>
  <c r="A23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36" i="2" l="1"/>
  <c r="A16" i="2"/>
  <c r="A26" i="2"/>
  <c r="A37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I12" i="2"/>
  <c r="A18" i="2"/>
  <c r="A29" i="2"/>
  <c r="A15" i="2"/>
  <c r="A25" i="2"/>
  <c r="A17" i="2"/>
  <c r="A28" i="2"/>
  <c r="A20" i="2"/>
  <c r="A31" i="2"/>
  <c r="A39" i="2"/>
  <c r="A21" i="2"/>
  <c r="A32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<sst xmlns="http://schemas.openxmlformats.org/spreadsheetml/2006/main" count="2101" uniqueCount="337">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</sst>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7399744.875</v>
      </c>
    </row>
    <row r="8" spans="1:3" ht="15" customHeight="1" x14ac:dyDescent="0.25">
      <c r="B8" s="5" t="s">
        <v>19</v>
      </c>
      <c r="C8" s="44">
        <v>0.127</v>
      </c>
    </row>
    <row r="9" spans="1:3" ht="15" customHeight="1" x14ac:dyDescent="0.25">
      <c r="B9" s="5" t="s">
        <v>20</v>
      </c>
      <c r="C9" s="45">
        <v>0.1</v>
      </c>
    </row>
    <row r="10" spans="1:3" ht="15" customHeight="1" x14ac:dyDescent="0.25">
      <c r="B10" s="5" t="s">
        <v>21</v>
      </c>
      <c r="C10" s="45">
        <v>0.30839620590209998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7.4299999999999991E-2</v>
      </c>
    </row>
    <row r="24" spans="1:3" ht="15" customHeight="1" x14ac:dyDescent="0.25">
      <c r="B24" s="15" t="s">
        <v>33</v>
      </c>
      <c r="C24" s="45">
        <v>0.44829999999999998</v>
      </c>
    </row>
    <row r="25" spans="1:3" ht="15" customHeight="1" x14ac:dyDescent="0.25">
      <c r="B25" s="15" t="s">
        <v>34</v>
      </c>
      <c r="C25" s="45">
        <v>0.39019999999999999</v>
      </c>
    </row>
    <row r="26" spans="1:3" ht="15" customHeight="1" x14ac:dyDescent="0.25">
      <c r="B26" s="15" t="s">
        <v>35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0.18136659999999999</v>
      </c>
    </row>
    <row r="30" spans="1:3" ht="14.25" customHeight="1" x14ac:dyDescent="0.25">
      <c r="B30" s="25" t="s">
        <v>38</v>
      </c>
      <c r="C30" s="99">
        <v>0.1032511</v>
      </c>
    </row>
    <row r="31" spans="1:3" ht="14.25" customHeight="1" x14ac:dyDescent="0.25">
      <c r="B31" s="25" t="s">
        <v>39</v>
      </c>
      <c r="C31" s="99">
        <v>0.13079470000000001</v>
      </c>
    </row>
    <row r="32" spans="1:3" ht="14.25" customHeight="1" x14ac:dyDescent="0.25">
      <c r="B32" s="25" t="s">
        <v>40</v>
      </c>
      <c r="C32" s="99">
        <v>0.58458759999999999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26.66048</v>
      </c>
    </row>
    <row r="38" spans="1:5" ht="15" customHeight="1" x14ac:dyDescent="0.25">
      <c r="B38" s="11" t="s">
        <v>45</v>
      </c>
      <c r="C38" s="43">
        <v>38.948050000000002</v>
      </c>
      <c r="D38" s="12"/>
      <c r="E38" s="13"/>
    </row>
    <row r="39" spans="1:5" ht="15" customHeight="1" x14ac:dyDescent="0.25">
      <c r="B39" s="11" t="s">
        <v>46</v>
      </c>
      <c r="C39" s="43">
        <v>54.895539999999997</v>
      </c>
      <c r="D39" s="12"/>
      <c r="E39" s="12"/>
    </row>
    <row r="40" spans="1:5" ht="15" customHeight="1" x14ac:dyDescent="0.25">
      <c r="B40" s="11" t="s">
        <v>47</v>
      </c>
      <c r="C40" s="100">
        <v>2.7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7.4790999999999998E-3</v>
      </c>
      <c r="D45" s="12"/>
    </row>
    <row r="46" spans="1:5" ht="15.75" customHeight="1" x14ac:dyDescent="0.25">
      <c r="B46" s="11" t="s">
        <v>52</v>
      </c>
      <c r="C46" s="45">
        <v>8.0361700000000008E-2</v>
      </c>
      <c r="D46" s="12"/>
    </row>
    <row r="47" spans="1:5" ht="15.75" customHeight="1" x14ac:dyDescent="0.25">
      <c r="B47" s="11" t="s">
        <v>53</v>
      </c>
      <c r="C47" s="45">
        <v>7.3888400000000007E-2</v>
      </c>
      <c r="D47" s="12"/>
      <c r="E47" s="13"/>
    </row>
    <row r="48" spans="1:5" ht="15" customHeight="1" x14ac:dyDescent="0.25">
      <c r="B48" s="11" t="s">
        <v>54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2.9</v>
      </c>
      <c r="D51" s="12"/>
    </row>
    <row r="52" spans="1:4" ht="15" customHeight="1" x14ac:dyDescent="0.25">
      <c r="B52" s="11" t="s">
        <v>57</v>
      </c>
      <c r="C52" s="100">
        <v>2.9</v>
      </c>
    </row>
    <row r="53" spans="1:4" ht="15.75" customHeight="1" x14ac:dyDescent="0.25">
      <c r="B53" s="11" t="s">
        <v>58</v>
      </c>
      <c r="C53" s="100">
        <v>2.9</v>
      </c>
    </row>
    <row r="54" spans="1:4" ht="15.75" customHeight="1" x14ac:dyDescent="0.25">
      <c r="B54" s="11" t="s">
        <v>59</v>
      </c>
      <c r="C54" s="100">
        <v>2.9</v>
      </c>
    </row>
    <row r="55" spans="1:4" ht="15.75" customHeight="1" x14ac:dyDescent="0.25">
      <c r="B55" s="11" t="s">
        <v>60</v>
      </c>
      <c r="C55" s="100">
        <v>2.9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2.0689655172413789E-2</v>
      </c>
    </row>
    <row r="59" spans="1:4" ht="15.75" customHeight="1" x14ac:dyDescent="0.25">
      <c r="B59" s="11" t="s">
        <v>63</v>
      </c>
      <c r="C59" s="45">
        <v>0.52577700000000005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VrQkHnKEn0mcfpTpuwUpwy2WNdZYGUYzPYIUmV5OKhlHZNbpYZ61YUG3V9DPhMSR+7CPcoqx1ryjf32V4IotYw==" saltValue="Zzo5C/5Vkuj76VQpEE8v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NTciMwQ0Ti4BTqZTQCVn4aCSqjC8tlzKDjhoe+WjqUfNpxD3OWRSCJxj9WWh5IOEHRNT4vcdCwzsPt+qX3MhQ==" saltValue="PzYAHlMmPWB9pos57PMmO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1.2673685844453639E-2</v>
      </c>
    </row>
    <row r="4" spans="1:8" ht="15.75" customHeight="1" x14ac:dyDescent="0.25">
      <c r="B4" s="19" t="s">
        <v>79</v>
      </c>
      <c r="C4" s="101">
        <v>5.3770801095202957E-2</v>
      </c>
    </row>
    <row r="5" spans="1:8" ht="15.75" customHeight="1" x14ac:dyDescent="0.25">
      <c r="B5" s="19" t="s">
        <v>80</v>
      </c>
      <c r="C5" s="101">
        <v>7.0625709105514814E-2</v>
      </c>
    </row>
    <row r="6" spans="1:8" ht="15.75" customHeight="1" x14ac:dyDescent="0.25">
      <c r="B6" s="19" t="s">
        <v>81</v>
      </c>
      <c r="C6" s="101">
        <v>0.23263621626898029</v>
      </c>
    </row>
    <row r="7" spans="1:8" ht="15.75" customHeight="1" x14ac:dyDescent="0.25">
      <c r="B7" s="19" t="s">
        <v>82</v>
      </c>
      <c r="C7" s="101">
        <v>0.4193640013634034</v>
      </c>
    </row>
    <row r="8" spans="1:8" ht="15.75" customHeight="1" x14ac:dyDescent="0.25">
      <c r="B8" s="19" t="s">
        <v>83</v>
      </c>
      <c r="C8" s="101">
        <v>1.7560613019217261E-3</v>
      </c>
    </row>
    <row r="9" spans="1:8" ht="15.75" customHeight="1" x14ac:dyDescent="0.25">
      <c r="B9" s="19" t="s">
        <v>84</v>
      </c>
      <c r="C9" s="101">
        <v>9.6119102522455382E-2</v>
      </c>
    </row>
    <row r="10" spans="1:8" ht="15.75" customHeight="1" x14ac:dyDescent="0.25">
      <c r="B10" s="19" t="s">
        <v>85</v>
      </c>
      <c r="C10" s="101">
        <v>0.1130544224980677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88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89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90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91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92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93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94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95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4.6824316999999997E-2</v>
      </c>
    </row>
    <row r="27" spans="1:8" ht="15.75" customHeight="1" x14ac:dyDescent="0.25">
      <c r="B27" s="19" t="s">
        <v>102</v>
      </c>
      <c r="C27" s="101">
        <v>2.7708330999999999E-2</v>
      </c>
    </row>
    <row r="28" spans="1:8" ht="15.75" customHeight="1" x14ac:dyDescent="0.25">
      <c r="B28" s="19" t="s">
        <v>103</v>
      </c>
      <c r="C28" s="101">
        <v>0.192682248</v>
      </c>
    </row>
    <row r="29" spans="1:8" ht="15.75" customHeight="1" x14ac:dyDescent="0.25">
      <c r="B29" s="19" t="s">
        <v>104</v>
      </c>
      <c r="C29" s="101">
        <v>0.15047112300000001</v>
      </c>
    </row>
    <row r="30" spans="1:8" ht="15.75" customHeight="1" x14ac:dyDescent="0.25">
      <c r="B30" s="19" t="s">
        <v>2</v>
      </c>
      <c r="C30" s="101">
        <v>4.9998465000000013E-2</v>
      </c>
    </row>
    <row r="31" spans="1:8" ht="15.75" customHeight="1" x14ac:dyDescent="0.25">
      <c r="B31" s="19" t="s">
        <v>105</v>
      </c>
      <c r="C31" s="101">
        <v>3.0442113E-2</v>
      </c>
    </row>
    <row r="32" spans="1:8" ht="15.75" customHeight="1" x14ac:dyDescent="0.25">
      <c r="B32" s="19" t="s">
        <v>106</v>
      </c>
      <c r="C32" s="101">
        <v>8.5598303000000001E-2</v>
      </c>
    </row>
    <row r="33" spans="2:3" ht="15.75" customHeight="1" x14ac:dyDescent="0.25">
      <c r="B33" s="19" t="s">
        <v>107</v>
      </c>
      <c r="C33" s="101">
        <v>0.16741062000000001</v>
      </c>
    </row>
    <row r="34" spans="2:3" ht="15.75" customHeight="1" x14ac:dyDescent="0.25">
      <c r="B34" s="19" t="s">
        <v>108</v>
      </c>
      <c r="C34" s="101">
        <v>0.24886448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vOYL4e353gi3Sje9sl/+tStOH7bPi+g5F9ZEA7vtnNquhysfwl7O7VeJERacS2WvuLVL7onPYGRYYILclgFHEA==" saltValue="Zj2j4WLYWc3buoJklwWS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114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115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119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120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freFIk6Jo/8VgGJSTW15fzHksAHxHYnYa9q8GJ93BUgTBbSpuru5srCtewim+OFIoZLU9pj933a+nZZIIQ+QA==" saltValue="pIPM3vDkmtJHl3P+RsrU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132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vOdiaLpRpGDlk9eSaCaC1CwihsHo/oAYzVMGGj7F0QWJ5Bhy+ygp3a+awEd9VrlMrgJPKWaGlcdO0OxGXFfRjA==" saltValue="Fwdb/pri6Yipz/QKw6+Nm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vcb1s8LSYIT7KrpBvlf4tGBeVhCndzHw/1LuFkZIGClv7I2FXuEacWWBu6WRtgkeBogUcKT6KmZg036aaCwDQ==" saltValue="3IQRkDRHFsgSp+2QMVlV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J8FO4ITckHe+ljWR4i+dtyBBWrslykZkU72wKi1qRnFPhEUtNMeZq1Z4m/Wc3HsHzyYh7vsLZpOCAk+XzbWoeA==" saltValue="J/JKyt0xbwM+8QyjZzMu6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5GbftsjJTLJGTnstDQoQXETTQDJaS7ClFC5UaalA7oZSJWsSUBInNJZsQQLzgxI+iIwhGuYmlbMSurL/iZ8yA==" saltValue="Gq1UZ4hKV+xZxzFYiCi6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OoKt+UVa8I7NiNGXnzQK6UTwutyJmUkOQRwIQJ17e/V71yYESku3ZR4OeDW8CE0TDQdDZkVb/0FuoouerWy21w==" saltValue="9R2YnozUzupS8wHUM5sk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7.2861200073283072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0.67443872600644006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0.19283527130965261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0.25</v>
      </c>
      <c r="C9" s="98">
        <v>0.95</v>
      </c>
      <c r="D9" s="56">
        <v>0.41709554979569308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12.76524374254179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12.76524374254179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12.76524374254179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12.76524374254179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12.76524374254179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12.76524374254179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3.6484599999999999E-2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4.938E-2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0.53045450000000005</v>
      </c>
      <c r="C18" s="98">
        <v>0.95</v>
      </c>
      <c r="D18" s="56">
        <v>7.2861200073283072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0.53045450000000005</v>
      </c>
      <c r="C19" s="98">
        <v>0.95</v>
      </c>
      <c r="D19" s="56">
        <v>7.2861200073283072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21.899261251179791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0.2500193</v>
      </c>
      <c r="C23" s="98">
        <v>0.95</v>
      </c>
      <c r="D23" s="56">
        <v>4.1250028489423594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0.19827547772213999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3.4665816434934871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0.19644320000000001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0.23971219999999999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180.94215297303569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0.39</v>
      </c>
      <c r="C32" s="98">
        <v>0.95</v>
      </c>
      <c r="D32" s="56">
        <v>0.65266805708153031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0.10762579999999999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0.53042900000000004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7.5948000000000014E-3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0.59316859999999993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0.15218699999999999</v>
      </c>
      <c r="C38" s="98">
        <v>0.95</v>
      </c>
      <c r="D38" s="56">
        <v>2.4488574538288082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Zi2PJ4JT4Nk9g5CqOGlWm0M9IT4vAt5+dNGAcC3tBZxberryEFICir7ppKztWv38hmXlWEnmdQy0/uNnzeCzHQ==" saltValue="ParUchGpiZbWGZwUUQaE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JMp4AWJ2KeUNV+DpDf+ir3vspTIMiAbrpURw7Reo21k29AUdty81RTByD9Vg272T7i3dQouU7stbsm9OBB4S7w==" saltValue="GdJqgjFoe3PbelY7Bgkh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2eYzxt5VvZP60BREWyPRzBqALIGDkCvG7A0PE4bchss8LrWl9FuzwVEeUT5QgqRczjGeXKRH79V1gVW72vG4gw==" saltValue="l91gokmFytL1TEEvwIJ5T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2.9</v>
      </c>
      <c r="C2" s="21">
        <f>'Données pop de l''année de ref'!C52</f>
        <v>2.9</v>
      </c>
      <c r="D2" s="21">
        <f>'Données pop de l''année de ref'!C53</f>
        <v>2.9</v>
      </c>
      <c r="E2" s="21">
        <f>'Données pop de l''année de ref'!C54</f>
        <v>2.9</v>
      </c>
      <c r="F2" s="21">
        <f>'Données pop de l''année de ref'!C55</f>
        <v>2.9</v>
      </c>
    </row>
    <row r="3" spans="1:6" ht="15.75" customHeight="1" x14ac:dyDescent="0.25">
      <c r="A3" s="3" t="s">
        <v>209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208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eDxW+Wnqw9Zf2px0Rmpb/pEx9mrwfccUR1qaQ6mV3ah6ltyN4aYc4U70vu68/zPNC8NAYCghsHdAKNAatycSLA==" saltValue="xM3GP44UcMpzVWagUjbK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9vELdTRv/wiDNgrQkg4DI+BMO17fkaUS995qnUt5JXL99bpuo8tR6BBV4nhOWWeCZ6NOXMCxBFhF6gO6ZWBBw==" saltValue="bTVHFp0JeVLHMTs7SWGx8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MOlTFM9Yah7xZB+d4CaBcMsaZZ1HzU4zwRG2tKySeopo4dNPJ5VX74CukfLAi3Ob7HycV5QYJJPss3M2u+bwg==" saltValue="1sSoC1zk4iyGIk9cp6AJ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Tm1rfKbFNUfzZt+fhejKban/24fxYDfddbUvYLEZUZSUtJ+XBn2qkVG52cjnxhhbFAWEwmFzi3KYR4+nE16LuQ==" saltValue="YjJIKWy+2T7U+QS7Mkhf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vIBt3RnuCUpywCE+X+UKxapRMAvp2q48Qv2uDifiUAf/BAsIqFOJ07jZeDlnvUQFX3Z2h4Q+o+Qfnt21aAKgA==" saltValue="m6JrWhd2CSuN6n1FC5t1h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cgye2CYVJzezpzI75xc+w5JNEAovZ5iJDZVtU4TKGmOnSuw2yxbLjR+gRE9n4ITU8AT0IcD6AExcsrGqgj5cvw==" saltValue="ouDP84kEtJBixJAnCdxgz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+uJVFsG/oLWJcl7vBXGP2OazsL5MJIShrxuZIWgDXuH+wySiqZEKkAER5Gp/usGINKSvPYTxInCGtYuGMOifw==" saltValue="8AzX+kj3ANPRSVhflr7Kh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VsbA0wktPsi6GCcAPWJPDE739bkYT6idSzD3cnuc1TXjYEKdEXSRlWET3fVLMsPMB5d1VMj1RDbyss/GZsN0g==" saltValue="t0hTrU5t50QUWIGUxqy0f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JkEBAxBtGrefuStihyZFswj1chZEBfDdzoeS833Lhj+dSIi8H0IuR/veoaFxRTjxq+zspWh/knP9uZ4QJtYfw==" saltValue="x6oJOuFDuslLgKMtJZ8k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IgIyAdag/2HCKYEeh7zpEpgSZ9IHlnGKcQgNqbVK0q5bfJM+gP0yOqB9qhPBF3GVuSw7YeIF3t6D2+YOSqPRw==" saltValue="ZIehq+HwlkUxWM0HeggR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q76dSoi6wwnT6BnLQkj72qFl4JdYojTfCatS2JA3f4lHUCGBae9eUA51ckHRjXsP8Z2rXOWJLYlBDdIK7FpNsg==" saltValue="SP3AVzOjTPe8/piOTBZf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0v+gqC3nkGWkaHxlFgcEZCMo1V0zYust6oOhvv5Q22qd/v8gUZRm16JLbPE1aw03bdZtWdvsxuY6HlvoGMBlVQ==" saltValue="Ch42xrNaSh69NkpLBA5X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iPDo8HRyYG5gS/Ym4BlVr3h6npo5sbIRwHEv+JxPYAKNvfurveumYbLEKAIOCb6Jy40qQqxh7Z5/DSjb+CnUg==" saltValue="xAFZOfZc3T7Li72zycwa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Op3Vjvmhjy+pZzQmA1Dk2Ex6phMXrILppEBYiJkvT5pTGFMM7yfxB9P1CXeKu32HsSvj/zunUH9+2tTwoJpQw==" saltValue="RUDHh+lsd4UFK/UoI6Nk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0.10398147673189351</v>
      </c>
      <c r="G18" s="90">
        <f>MIN(MAX(1-0.89/(1-frac_sam_12_23months+(frac_sam_12_23months*0.89)),0),1)</f>
        <v>0.10411568308973673</v>
      </c>
      <c r="H18" s="90">
        <f>MIN(MAX(1-0.89/(1-frac_sam_24_59months+(frac_sam_24_59months*0.89)),0),1)</f>
        <v>0.10629902249226353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9.7947049007303333E-2</v>
      </c>
      <c r="G20" s="90">
        <f>MIN(MAX(1-0.89/(1-frac_mam_12_23months+(frac_mam_12_23months*0.89)),0),1)</f>
        <v>9.4786384344738517E-2</v>
      </c>
      <c r="H20" s="90">
        <f>MIN(MAX(1-0.89/(1-frac_mam_24_59months+(frac_mam_24_59months*0.89)),0),1)</f>
        <v>9.8845386538703228E-2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9.395103960516682E-3</v>
      </c>
      <c r="G73" s="90">
        <f>MIN(MAX(1-0.99/(1-frac_sam_12_23months+(frac_sam_12_23months*0.99)),0),1)</f>
        <v>9.4085118788939104E-3</v>
      </c>
      <c r="H73" s="90">
        <f>MIN(MAX(1-0.99/(1-frac_sam_24_59months+(frac_sam_24_59months*0.99)),0),1)</f>
        <v>9.6271533440465129E-3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8.7959854747601263E-3</v>
      </c>
      <c r="G75" s="90">
        <f>MIN(MAX(1-0.99/(1-frac_mam_12_23months+(frac_mam_12_23months*0.99)),0),1)</f>
        <v>8.4850861764971253E-3</v>
      </c>
      <c r="H75" s="90">
        <f>MIN(MAX(1-0.99/(1-frac_mam_24_59months+(frac_mam_24_59months*0.99)),0),1)</f>
        <v>8.8847128340814319E-3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0.19010907752674766</v>
      </c>
      <c r="G128" s="90">
        <f>MIN(MAX(1-0.8/(1-frac_sam_12_23months+(frac_sam_12_23months*0.8)),0),1)</f>
        <v>0.19033083365521042</v>
      </c>
      <c r="H128" s="90">
        <f>MIN(MAX(1-0.8/(1-frac_sam_24_59months+(frac_sam_24_59months*0.8)),0),1)</f>
        <v>0.19393076618956295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0.18008090182737613</v>
      </c>
      <c r="G130" s="90">
        <f>MIN(MAX(1-0.8/(1-frac_mam_12_23months+(frac_mam_12_23months*0.8)),0),1)</f>
        <v>0.17478339405070809</v>
      </c>
      <c r="H130" s="90">
        <f>MIN(MAX(1-0.8/(1-frac_mam_24_59months+(frac_mam_24_59months*0.8)),0),1)</f>
        <v>0.18158090538226157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HYfPN4UB9ywZ1UhMHZe7ZMVluIhclp8Z1FmAvkPVhThvQt5KeCllZM24n+FrhIQX/aoxBLfI+pDgnUzNzULNQ==" saltValue="rxltU9J1VIx0z/eDwsob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Iql4/4nQjPlJctolXJA529zPW8HFMtpZXF/njrFrZm4qkQ80tIHvhIa+hK6fdK9s5Zv+vYIb2KgnVNIaNnfsQ==" saltValue="ma05YTSZk3MMLEmfxWn38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2024-08-06T09:41:08Z</dcterms:modified>
</cp:coreProperties>
</file>