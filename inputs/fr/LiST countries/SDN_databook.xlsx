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6A88089-DF39-40CC-A1EA-B932AE3A310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6" i="2"/>
  <c r="A37" i="2"/>
  <c r="A31" i="2"/>
  <c r="A34" i="2"/>
  <c r="A40" i="2"/>
  <c r="I2" i="2"/>
  <c r="I6" i="2"/>
  <c r="A19" i="2"/>
  <c r="A35" i="2"/>
  <c r="A22" i="2"/>
  <c r="A36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<sst xmlns="http://schemas.openxmlformats.org/spreadsheetml/2006/main" count="2169" uniqueCount="369">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</sst>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7373054.5</v>
      </c>
    </row>
    <row r="8" spans="1:3" ht="15" customHeight="1" x14ac:dyDescent="0.25">
      <c r="B8" s="5" t="s">
        <v>37</v>
      </c>
      <c r="C8" s="44">
        <v>0.127</v>
      </c>
    </row>
    <row r="9" spans="1:3" ht="15" customHeight="1" x14ac:dyDescent="0.25">
      <c r="B9" s="5" t="s">
        <v>38</v>
      </c>
      <c r="C9" s="45">
        <v>0.1</v>
      </c>
    </row>
    <row r="10" spans="1:3" ht="15" customHeight="1" x14ac:dyDescent="0.25">
      <c r="B10" s="5" t="s">
        <v>39</v>
      </c>
      <c r="C10" s="45">
        <v>0.30839620590209998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0.26579260830000001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7.4299999999999991E-2</v>
      </c>
    </row>
    <row r="24" spans="1:3" ht="15" customHeight="1" x14ac:dyDescent="0.25">
      <c r="B24" s="15" t="s">
        <v>51</v>
      </c>
      <c r="C24" s="45">
        <v>0.44829999999999998</v>
      </c>
    </row>
    <row r="25" spans="1:3" ht="15" customHeight="1" x14ac:dyDescent="0.25">
      <c r="B25" s="15" t="s">
        <v>52</v>
      </c>
      <c r="C25" s="45">
        <v>0.39019999999999999</v>
      </c>
    </row>
    <row r="26" spans="1:3" ht="15" customHeight="1" x14ac:dyDescent="0.25">
      <c r="B26" s="15" t="s">
        <v>53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0.18136659999999999</v>
      </c>
    </row>
    <row r="30" spans="1:3" ht="14.25" customHeight="1" x14ac:dyDescent="0.25">
      <c r="B30" s="25" t="s">
        <v>56</v>
      </c>
      <c r="C30" s="97">
        <v>0.1032511</v>
      </c>
    </row>
    <row r="31" spans="1:3" ht="14.25" customHeight="1" x14ac:dyDescent="0.25">
      <c r="B31" s="25" t="s">
        <v>57</v>
      </c>
      <c r="C31" s="97">
        <v>0.13079470000000001</v>
      </c>
    </row>
    <row r="32" spans="1:3" ht="14.25" customHeight="1" x14ac:dyDescent="0.25">
      <c r="B32" s="25" t="s">
        <v>58</v>
      </c>
      <c r="C32" s="97">
        <v>0.58458759999999999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26.66048</v>
      </c>
    </row>
    <row r="38" spans="1:5" ht="15" customHeight="1" x14ac:dyDescent="0.25">
      <c r="B38" s="11" t="s">
        <v>63</v>
      </c>
      <c r="C38" s="43">
        <v>38.948050000000002</v>
      </c>
      <c r="D38" s="12"/>
      <c r="E38" s="13"/>
    </row>
    <row r="39" spans="1:5" ht="15" customHeight="1" x14ac:dyDescent="0.25">
      <c r="B39" s="11" t="s">
        <v>64</v>
      </c>
      <c r="C39" s="43">
        <v>54.895539999999997</v>
      </c>
      <c r="D39" s="12"/>
      <c r="E39" s="12"/>
    </row>
    <row r="40" spans="1:5" ht="15" customHeight="1" x14ac:dyDescent="0.25">
      <c r="B40" s="11" t="s">
        <v>65</v>
      </c>
      <c r="C40" s="98">
        <v>2.7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7.4790999999999998E-3</v>
      </c>
      <c r="D45" s="12"/>
    </row>
    <row r="46" spans="1:5" ht="15.75" customHeight="1" x14ac:dyDescent="0.25">
      <c r="B46" s="11" t="s">
        <v>70</v>
      </c>
      <c r="C46" s="45">
        <v>8.0361700000000008E-2</v>
      </c>
      <c r="D46" s="12"/>
    </row>
    <row r="47" spans="1:5" ht="15.75" customHeight="1" x14ac:dyDescent="0.25">
      <c r="B47" s="11" t="s">
        <v>71</v>
      </c>
      <c r="C47" s="45">
        <v>7.3888400000000007E-2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0.52577700000000005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n2f3M0wOJibeq/mOm5GMirA8M1bxZUAZ3RScMUinEW/xPdDio/hd2k57dLV+UvYMQMUAOsB1jkGGIlSq3+P9Lg==" saltValue="sn4WFKZCIUrs0m/ELwtl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7731508</v>
      </c>
      <c r="C2" s="49">
        <v>1797020</v>
      </c>
      <c r="D2" s="49">
        <v>3363398</v>
      </c>
      <c r="E2" s="49">
        <v>5342887.5000000009</v>
      </c>
      <c r="F2" s="49">
        <v>4559808.4999999991</v>
      </c>
      <c r="G2" s="17">
        <f t="shared" ref="G2:G13" si="0">C2+D2+E2+F2</f>
        <v>15063114</v>
      </c>
      <c r="H2" s="17">
        <f t="shared" ref="H2:H13" si="1">(B2 + stillbirth*B2/(1000-stillbirth))/(1-abortion)</f>
        <v>8983352.6015038099</v>
      </c>
      <c r="I2" s="17">
        <f t="shared" ref="I2:I13" si="2">G2-H2</f>
        <v>6079761.3984961901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1664612</v>
      </c>
      <c r="C3" s="50">
        <v>2695345</v>
      </c>
      <c r="D3" s="50">
        <v>4475205</v>
      </c>
      <c r="E3" s="50">
        <v>3182024.9999999995</v>
      </c>
      <c r="F3" s="50">
        <v>2171777</v>
      </c>
      <c r="G3" s="17">
        <f t="shared" si="0"/>
        <v>12524352</v>
      </c>
      <c r="H3" s="17">
        <f t="shared" si="1"/>
        <v>1934137.1102111596</v>
      </c>
      <c r="I3" s="17">
        <f t="shared" si="2"/>
        <v>10590214.88978884</v>
      </c>
    </row>
    <row r="4" spans="1:9" ht="15.75" customHeight="1" x14ac:dyDescent="0.25">
      <c r="A4" s="5">
        <f t="shared" si="3"/>
        <v>2026</v>
      </c>
      <c r="B4" s="49">
        <v>1656421</v>
      </c>
      <c r="C4" s="50">
        <v>2742180</v>
      </c>
      <c r="D4" s="50">
        <v>4553865</v>
      </c>
      <c r="E4" s="50">
        <v>3305404.5</v>
      </c>
      <c r="F4" s="50">
        <v>2248363.5000000005</v>
      </c>
      <c r="G4" s="17">
        <f t="shared" si="0"/>
        <v>12849813</v>
      </c>
      <c r="H4" s="17">
        <f t="shared" si="1"/>
        <v>1924619.8671120233</v>
      </c>
      <c r="I4" s="17">
        <f t="shared" si="2"/>
        <v>10925193.132887976</v>
      </c>
    </row>
    <row r="5" spans="1:9" ht="15.75" customHeight="1" x14ac:dyDescent="0.25">
      <c r="A5" s="5">
        <f t="shared" si="3"/>
        <v>2027</v>
      </c>
      <c r="B5" s="49">
        <v>1694024</v>
      </c>
      <c r="C5" s="50">
        <v>2804231.5</v>
      </c>
      <c r="D5" s="50">
        <v>4689747.4999999991</v>
      </c>
      <c r="E5" s="50">
        <v>3471060.9999999995</v>
      </c>
      <c r="F5" s="50">
        <v>2347397</v>
      </c>
      <c r="G5" s="17">
        <f t="shared" si="0"/>
        <v>13312436.999999998</v>
      </c>
      <c r="H5" s="17">
        <f t="shared" si="1"/>
        <v>1968311.3446186555</v>
      </c>
      <c r="I5" s="17">
        <f t="shared" si="2"/>
        <v>11344125.655381342</v>
      </c>
    </row>
    <row r="6" spans="1:9" ht="15.75" customHeight="1" x14ac:dyDescent="0.25">
      <c r="A6" s="5">
        <f t="shared" si="3"/>
        <v>2028</v>
      </c>
      <c r="B6" s="49">
        <v>1724552</v>
      </c>
      <c r="C6" s="50">
        <v>2854180.5</v>
      </c>
      <c r="D6" s="50">
        <v>4787850</v>
      </c>
      <c r="E6" s="50">
        <v>3620423</v>
      </c>
      <c r="F6" s="50">
        <v>2441147</v>
      </c>
      <c r="G6" s="17">
        <f t="shared" si="0"/>
        <v>13703600.5</v>
      </c>
      <c r="H6" s="17">
        <f t="shared" si="1"/>
        <v>2003782.2758029352</v>
      </c>
      <c r="I6" s="17">
        <f t="shared" si="2"/>
        <v>11699818.224197065</v>
      </c>
    </row>
    <row r="7" spans="1:9" ht="15.75" customHeight="1" x14ac:dyDescent="0.25">
      <c r="A7" s="5">
        <f t="shared" si="3"/>
        <v>2029</v>
      </c>
      <c r="B7" s="49">
        <v>1736764</v>
      </c>
      <c r="C7" s="50">
        <v>2894906.5</v>
      </c>
      <c r="D7" s="50">
        <v>4853130</v>
      </c>
      <c r="E7" s="50">
        <v>3753353.5</v>
      </c>
      <c r="F7" s="50">
        <v>2529502</v>
      </c>
      <c r="G7" s="17">
        <f t="shared" si="0"/>
        <v>14030892</v>
      </c>
      <c r="H7" s="17">
        <f t="shared" si="1"/>
        <v>2017971.5778083869</v>
      </c>
      <c r="I7" s="17">
        <f t="shared" si="2"/>
        <v>12012920.422191612</v>
      </c>
    </row>
    <row r="8" spans="1:9" ht="15.75" customHeight="1" x14ac:dyDescent="0.25">
      <c r="A8" s="5">
        <f t="shared" si="3"/>
        <v>2030</v>
      </c>
      <c r="B8" s="49">
        <v>1749542</v>
      </c>
      <c r="C8" s="50">
        <v>2934944.5</v>
      </c>
      <c r="D8" s="50">
        <v>4917271.5</v>
      </c>
      <c r="E8" s="50">
        <v>3886923.5</v>
      </c>
      <c r="F8" s="50">
        <v>2620463.5</v>
      </c>
      <c r="G8" s="17">
        <f t="shared" si="0"/>
        <v>14359603</v>
      </c>
      <c r="H8" s="17">
        <f t="shared" si="1"/>
        <v>2032818.5235196264</v>
      </c>
      <c r="I8" s="17">
        <f t="shared" si="2"/>
        <v>12326784.476480374</v>
      </c>
    </row>
    <row r="9" spans="1:9" ht="15.75" customHeight="1" x14ac:dyDescent="0.25">
      <c r="A9" s="5">
        <f t="shared" si="3"/>
        <v>2031</v>
      </c>
      <c r="B9" s="49">
        <v>1756395</v>
      </c>
      <c r="C9" s="50">
        <v>2979851</v>
      </c>
      <c r="D9" s="50">
        <v>4984100</v>
      </c>
      <c r="E9" s="50">
        <v>4020388.5</v>
      </c>
      <c r="F9" s="50">
        <v>2714078</v>
      </c>
      <c r="G9" s="17">
        <f t="shared" si="0"/>
        <v>14698417.5</v>
      </c>
      <c r="H9" s="17">
        <f t="shared" si="1"/>
        <v>2040781.1247842317</v>
      </c>
      <c r="I9" s="17">
        <f t="shared" si="2"/>
        <v>12657636.375215769</v>
      </c>
    </row>
    <row r="10" spans="1:9" ht="15.75" customHeight="1" x14ac:dyDescent="0.25">
      <c r="A10" s="5">
        <f t="shared" si="3"/>
        <v>2032</v>
      </c>
      <c r="B10" s="49">
        <v>1761601</v>
      </c>
      <c r="C10" s="50">
        <v>3035593</v>
      </c>
      <c r="D10" s="50">
        <v>5050871.5</v>
      </c>
      <c r="E10" s="50">
        <v>4148968.5</v>
      </c>
      <c r="F10" s="50">
        <v>2812759</v>
      </c>
      <c r="G10" s="17">
        <f t="shared" si="0"/>
        <v>15048192</v>
      </c>
      <c r="H10" s="17">
        <f t="shared" si="1"/>
        <v>2046830.0525798737</v>
      </c>
      <c r="I10" s="17">
        <f t="shared" si="2"/>
        <v>13001361.947420126</v>
      </c>
    </row>
    <row r="11" spans="1:9" ht="15.75" customHeight="1" x14ac:dyDescent="0.25">
      <c r="A11" s="5">
        <f t="shared" si="3"/>
        <v>2033</v>
      </c>
      <c r="B11" s="49">
        <v>1772840</v>
      </c>
      <c r="C11" s="50">
        <v>3102759.5</v>
      </c>
      <c r="D11" s="50">
        <v>5115271.0000000009</v>
      </c>
      <c r="E11" s="50">
        <v>4267712</v>
      </c>
      <c r="F11" s="50">
        <v>2922108</v>
      </c>
      <c r="G11" s="17">
        <f t="shared" si="0"/>
        <v>15407850.5</v>
      </c>
      <c r="H11" s="17">
        <f t="shared" si="1"/>
        <v>2059888.8116070004</v>
      </c>
      <c r="I11" s="17">
        <f t="shared" si="2"/>
        <v>13347961.688393001</v>
      </c>
    </row>
    <row r="12" spans="1:9" ht="15.75" customHeight="1" x14ac:dyDescent="0.25">
      <c r="A12" s="5">
        <f t="shared" si="3"/>
        <v>2034</v>
      </c>
      <c r="B12" s="49">
        <v>1777543</v>
      </c>
      <c r="C12" s="50">
        <v>3183593.5</v>
      </c>
      <c r="D12" s="50">
        <v>5182938</v>
      </c>
      <c r="E12" s="50">
        <v>4375026.5</v>
      </c>
      <c r="F12" s="50">
        <v>3043719.5</v>
      </c>
      <c r="G12" s="17">
        <f t="shared" si="0"/>
        <v>15785277.5</v>
      </c>
      <c r="H12" s="17">
        <f t="shared" si="1"/>
        <v>2065353.2963213499</v>
      </c>
      <c r="I12" s="17">
        <f t="shared" si="2"/>
        <v>13719924.203678651</v>
      </c>
    </row>
    <row r="13" spans="1:9" ht="15.75" customHeight="1" x14ac:dyDescent="0.25">
      <c r="A13" s="5">
        <f t="shared" si="3"/>
        <v>2035</v>
      </c>
      <c r="B13" s="49">
        <v>1792919</v>
      </c>
      <c r="C13" s="50">
        <v>3275140.5</v>
      </c>
      <c r="D13" s="50">
        <v>5256943</v>
      </c>
      <c r="E13" s="50">
        <v>4471682.0000000009</v>
      </c>
      <c r="F13" s="50">
        <v>3172314.5</v>
      </c>
      <c r="G13" s="17">
        <f t="shared" si="0"/>
        <v>16176080</v>
      </c>
      <c r="H13" s="17">
        <f t="shared" si="1"/>
        <v>2083218.8963570381</v>
      </c>
      <c r="I13" s="17">
        <f t="shared" si="2"/>
        <v>14092861.103642963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PNptZFiAqmQkXcz3MSEIovjVcsiDUB3/W2xsfqNLas7HyYC4OFFrXIHaOi3rQLYVW4TDvOGMXiIe3DePxuE6Q==" saltValue="4UCfnGuEhy4WuTjREKRsy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1.2673685844453639E-2</v>
      </c>
    </row>
    <row r="4" spans="1:8" ht="15.75" customHeight="1" x14ac:dyDescent="0.25">
      <c r="B4" s="19" t="s">
        <v>97</v>
      </c>
      <c r="C4" s="99">
        <v>5.3770801095202957E-2</v>
      </c>
    </row>
    <row r="5" spans="1:8" ht="15.75" customHeight="1" x14ac:dyDescent="0.25">
      <c r="B5" s="19" t="s">
        <v>98</v>
      </c>
      <c r="C5" s="99">
        <v>7.0625709105514814E-2</v>
      </c>
    </row>
    <row r="6" spans="1:8" ht="15.75" customHeight="1" x14ac:dyDescent="0.25">
      <c r="B6" s="19" t="s">
        <v>99</v>
      </c>
      <c r="C6" s="99">
        <v>0.23263621626898029</v>
      </c>
    </row>
    <row r="7" spans="1:8" ht="15.75" customHeight="1" x14ac:dyDescent="0.25">
      <c r="B7" s="19" t="s">
        <v>100</v>
      </c>
      <c r="C7" s="99">
        <v>0.4193640013634034</v>
      </c>
    </row>
    <row r="8" spans="1:8" ht="15.75" customHeight="1" x14ac:dyDescent="0.25">
      <c r="B8" s="19" t="s">
        <v>101</v>
      </c>
      <c r="C8" s="99">
        <v>1.7560613019217261E-3</v>
      </c>
    </row>
    <row r="9" spans="1:8" ht="15.75" customHeight="1" x14ac:dyDescent="0.25">
      <c r="B9" s="19" t="s">
        <v>102</v>
      </c>
      <c r="C9" s="99">
        <v>9.6119102522455382E-2</v>
      </c>
    </row>
    <row r="10" spans="1:8" ht="15.75" customHeight="1" x14ac:dyDescent="0.25">
      <c r="B10" s="19" t="s">
        <v>103</v>
      </c>
      <c r="C10" s="99">
        <v>0.1130544224980677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106</v>
      </c>
      <c r="C15" s="99">
        <v>0.237643577182027</v>
      </c>
      <c r="D15" s="99">
        <v>0.237643577182027</v>
      </c>
      <c r="E15" s="99">
        <v>0.237643577182027</v>
      </c>
      <c r="F15" s="99">
        <v>0.237643577182027</v>
      </c>
    </row>
    <row r="16" spans="1:8" ht="15.75" customHeight="1" x14ac:dyDescent="0.25">
      <c r="B16" s="19" t="s">
        <v>107</v>
      </c>
      <c r="C16" s="99">
        <v>2.112581045049176E-2</v>
      </c>
      <c r="D16" s="99">
        <v>2.112581045049176E-2</v>
      </c>
      <c r="E16" s="99">
        <v>2.112581045049176E-2</v>
      </c>
      <c r="F16" s="99">
        <v>2.112581045049176E-2</v>
      </c>
    </row>
    <row r="17" spans="1:8" ht="15.75" customHeight="1" x14ac:dyDescent="0.25">
      <c r="B17" s="19" t="s">
        <v>108</v>
      </c>
      <c r="C17" s="99">
        <v>0.17447843039335451</v>
      </c>
      <c r="D17" s="99">
        <v>0.17447843039335451</v>
      </c>
      <c r="E17" s="99">
        <v>0.17447843039335451</v>
      </c>
      <c r="F17" s="99">
        <v>0.17447843039335451</v>
      </c>
    </row>
    <row r="18" spans="1:8" ht="15.75" customHeight="1" x14ac:dyDescent="0.25">
      <c r="B18" s="19" t="s">
        <v>109</v>
      </c>
      <c r="C18" s="99">
        <v>4.9477412798970923E-2</v>
      </c>
      <c r="D18" s="99">
        <v>4.9477412798970923E-2</v>
      </c>
      <c r="E18" s="99">
        <v>4.9477412798970923E-2</v>
      </c>
      <c r="F18" s="99">
        <v>4.9477412798970923E-2</v>
      </c>
    </row>
    <row r="19" spans="1:8" ht="15.75" customHeight="1" x14ac:dyDescent="0.25">
      <c r="B19" s="19" t="s">
        <v>110</v>
      </c>
      <c r="C19" s="99">
        <v>2.5739877859644749E-2</v>
      </c>
      <c r="D19" s="99">
        <v>2.5739877859644749E-2</v>
      </c>
      <c r="E19" s="99">
        <v>2.5739877859644749E-2</v>
      </c>
      <c r="F19" s="99">
        <v>2.5739877859644749E-2</v>
      </c>
    </row>
    <row r="20" spans="1:8" ht="15.75" customHeight="1" x14ac:dyDescent="0.25">
      <c r="B20" s="19" t="s">
        <v>111</v>
      </c>
      <c r="C20" s="99">
        <v>1.3433343141782111E-2</v>
      </c>
      <c r="D20" s="99">
        <v>1.3433343141782111E-2</v>
      </c>
      <c r="E20" s="99">
        <v>1.3433343141782111E-2</v>
      </c>
      <c r="F20" s="99">
        <v>1.3433343141782111E-2</v>
      </c>
    </row>
    <row r="21" spans="1:8" ht="15.75" customHeight="1" x14ac:dyDescent="0.25">
      <c r="B21" s="19" t="s">
        <v>112</v>
      </c>
      <c r="C21" s="99">
        <v>0.1269383015398666</v>
      </c>
      <c r="D21" s="99">
        <v>0.1269383015398666</v>
      </c>
      <c r="E21" s="99">
        <v>0.1269383015398666</v>
      </c>
      <c r="F21" s="99">
        <v>0.1269383015398666</v>
      </c>
    </row>
    <row r="22" spans="1:8" ht="15.75" customHeight="1" x14ac:dyDescent="0.25">
      <c r="B22" s="19" t="s">
        <v>113</v>
      </c>
      <c r="C22" s="99">
        <v>0.17663836338323571</v>
      </c>
      <c r="D22" s="99">
        <v>0.17663836338323571</v>
      </c>
      <c r="E22" s="99">
        <v>0.17663836338323571</v>
      </c>
      <c r="F22" s="99">
        <v>0.17663836338323571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4.6824316999999997E-2</v>
      </c>
    </row>
    <row r="27" spans="1:8" ht="15.75" customHeight="1" x14ac:dyDescent="0.25">
      <c r="B27" s="19" t="s">
        <v>120</v>
      </c>
      <c r="C27" s="99">
        <v>2.7708330999999999E-2</v>
      </c>
    </row>
    <row r="28" spans="1:8" ht="15.75" customHeight="1" x14ac:dyDescent="0.25">
      <c r="B28" s="19" t="s">
        <v>121</v>
      </c>
      <c r="C28" s="99">
        <v>0.192682248</v>
      </c>
    </row>
    <row r="29" spans="1:8" ht="15.75" customHeight="1" x14ac:dyDescent="0.25">
      <c r="B29" s="19" t="s">
        <v>122</v>
      </c>
      <c r="C29" s="99">
        <v>0.15047112300000001</v>
      </c>
    </row>
    <row r="30" spans="1:8" ht="15.75" customHeight="1" x14ac:dyDescent="0.25">
      <c r="B30" s="19" t="s">
        <v>2</v>
      </c>
      <c r="C30" s="99">
        <v>4.9998465000000013E-2</v>
      </c>
    </row>
    <row r="31" spans="1:8" ht="15.75" customHeight="1" x14ac:dyDescent="0.25">
      <c r="B31" s="19" t="s">
        <v>123</v>
      </c>
      <c r="C31" s="99">
        <v>3.0442113E-2</v>
      </c>
    </row>
    <row r="32" spans="1:8" ht="15.75" customHeight="1" x14ac:dyDescent="0.25">
      <c r="B32" s="19" t="s">
        <v>124</v>
      </c>
      <c r="C32" s="99">
        <v>8.5598303000000001E-2</v>
      </c>
    </row>
    <row r="33" spans="2:3" ht="15.75" customHeight="1" x14ac:dyDescent="0.25">
      <c r="B33" s="19" t="s">
        <v>125</v>
      </c>
      <c r="C33" s="99">
        <v>0.16741062000000001</v>
      </c>
    </row>
    <row r="34" spans="2:3" ht="15.75" customHeight="1" x14ac:dyDescent="0.25">
      <c r="B34" s="19" t="s">
        <v>126</v>
      </c>
      <c r="C34" s="99">
        <v>0.24886448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LPBYdujG5k/X/mknmIkSjVt7dn/LMKieR0eKSr0ydsViX0UgOMLiv9jwANwKVQeEue8zTziTQgafRpVcx3ozcg==" saltValue="i42HpFJDchU5nf9y2XMD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132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133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137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138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PcitsXzFYO5eAZ6M04veDl22Q3PG6uFTyRtHDwvfc0cDoGMCuYOIJcu6or4tG/C2gdl06/aLrl53LQIBLgJjw==" saltValue="67DPdowP+fWvsP+uUFby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2.2193499999999977E-2</v>
      </c>
      <c r="D5" s="52">
        <f t="shared" si="0"/>
        <v>2.0640400000000003E-2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vj+fw7kHnR6232WhychpjFZn+dU2mVISfmuGq/9r5QRCPABNzuVFrjegEpUA6ejnAwf5YYlHxyOtr4E/PuOtPg==" saltValue="g4sC2/y4t28NQm+m+UiKD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TDjHdtXxRCKRsB2yQ/xrMnYul3iN2+acNdiWcTNSTCpMXBepg8Dhy2+BcKeiwa4TpAmubUsbtQuJojacwa7Yg==" saltValue="8nZbr2O9kdNF0KkI6XEJ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1102.146484375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0.37470999999999999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0.29842999999999997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1.4415690056630329E-2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94163.123760000002</v>
      </c>
      <c r="C22" s="107">
        <v>93653.046489999993</v>
      </c>
      <c r="D22" s="107">
        <v>93383.457240000003</v>
      </c>
      <c r="E22" s="107">
        <v>93016.656539999996</v>
      </c>
      <c r="F22" s="107">
        <v>92514.947839999993</v>
      </c>
      <c r="G22" s="107">
        <v>91911.989600000001</v>
      </c>
      <c r="H22" s="107">
        <v>91139.916620000004</v>
      </c>
      <c r="I22" s="107">
        <v>90124.339940000005</v>
      </c>
      <c r="J22" s="107">
        <v>88700.336049999998</v>
      </c>
      <c r="K22" s="107">
        <v>86692.228560000003</v>
      </c>
      <c r="L22" s="107">
        <v>83711.116200000004</v>
      </c>
      <c r="M22" s="107">
        <v>79390.338369999998</v>
      </c>
      <c r="N22" s="107">
        <v>72846.033169999995</v>
      </c>
      <c r="O22" s="107">
        <v>63814.850120000003</v>
      </c>
    </row>
  </sheetData>
  <sheetProtection algorithmName="SHA-512" hashValue="WTZcxgHJnUFDswkbMUajmAGF2htaXhtZGSVJcEGQ20gUL3lJQqKH/iGDrmfsXc45AKn26rGdmaKK2KhvTdzsxQ==" saltValue="169TSMOjSqDlmmGciwuOv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SQB1hMB8g1Zy1G5TnrV0fZlQ+nwsFE25SJpnFSQwM9MLIimueZUny6OMz88NXY4YXrO34itpj/cApoJJ0xzXKg==" saltValue="OsNvoZSUmux/uN2n+OUt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eWJhxPO2D+hyJVoERm+c7cDkWZrcBQ5ejx7KJ3x7VoJMOruUSq2Lxwoly3qyjsfgqRpMV7D0BOlNFtJanEutg==" saltValue="IiVXF9hqqHQ22vkAiMhi8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12.76524374254179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12.76524374254179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12.76524374254179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12.76524374254179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12.76524374254179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3.6484599999999999E-2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4.938E-2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0.53045450000000005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0.53045450000000005</v>
      </c>
      <c r="C19" s="96">
        <v>0.95</v>
      </c>
      <c r="D19" s="56">
        <v>5.6195673264216497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0.2500193</v>
      </c>
      <c r="C23" s="96">
        <v>0.95</v>
      </c>
      <c r="D23" s="56">
        <v>4.1250028489423594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0.19827547772213999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0.19644320000000001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0.23971219999999999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0.39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0.10762579999999999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0.53042900000000004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7.5948000000000014E-3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0.59316859999999993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0.15218699999999999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edAQmXk5MmMdhSE1Ay5tQ+42RGl0kmlSQgLWkwMapIcbQFV6YsXU/4fCrz1No2ltsj277QenqvdAJU7TiIjqaQ==" saltValue="SsxqMnZeL/38AAD5ydgN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Axk5Ep9gVxKHDrUBoUggGZW7ivrHj/T9CzwmB1V6BXPF5ScqPKPdY8O8FU7A7LalJFXmv2HRDKfEgqrk9Rtrg==" saltValue="a7aF7TEJOQBeLkArHdlC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q8NIr+txtEASmGHmjy4BjuGPU6Yv2PmxntkS01D0m/yIEXYHMiGjm3Z/NjpJirj2X/DpAKJKjWDUafyrpC4Jg==" saltValue="L98CAS3yLe+k0vXTHesK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237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sheetProtection algorithmName="SHA-512" hashValue="33B4UkYe+zKOvJkFSKpW8mb3MLX5QsJH0UR50/t2c8GkUM60/1qgRcdwIxIE6k1QfovcervRcmcUAx4m/23eJg==" saltValue="EC0q584fhy/wpwTL/dGp/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0.127</v>
      </c>
      <c r="F2" s="60">
        <f>food_insecure</f>
        <v>0.127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0.127</v>
      </c>
      <c r="I15" s="60">
        <f t="shared" si="0"/>
        <v>0.127</v>
      </c>
      <c r="J15" s="60">
        <f t="shared" si="0"/>
        <v>0.127</v>
      </c>
      <c r="K15" s="60">
        <f t="shared" si="0"/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0.127</v>
      </c>
      <c r="I16" s="60">
        <f t="shared" si="0"/>
        <v>0.127</v>
      </c>
      <c r="J16" s="60">
        <f t="shared" si="0"/>
        <v>0.127</v>
      </c>
      <c r="K16" s="60">
        <f t="shared" si="0"/>
        <v>0.127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0.26579260830000001</v>
      </c>
      <c r="M24" s="60">
        <f>famplan_unmet_need</f>
        <v>0.26579260830000001</v>
      </c>
      <c r="N24" s="60">
        <f>famplan_unmet_need</f>
        <v>0.26579260830000001</v>
      </c>
      <c r="O24" s="60">
        <f>famplan_unmet_need</f>
        <v>0.26579260830000001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</v>
      </c>
      <c r="D34" s="60">
        <f t="shared" si="4"/>
        <v>0.1</v>
      </c>
      <c r="E34" s="60">
        <f t="shared" si="4"/>
        <v>0.1</v>
      </c>
      <c r="F34" s="60">
        <f t="shared" si="4"/>
        <v>0.1</v>
      </c>
      <c r="G34" s="60">
        <f t="shared" si="4"/>
        <v>0.1</v>
      </c>
      <c r="H34" s="60">
        <f t="shared" si="4"/>
        <v>0.1</v>
      </c>
      <c r="I34" s="60">
        <f t="shared" si="4"/>
        <v>0.1</v>
      </c>
      <c r="J34" s="60">
        <f t="shared" si="4"/>
        <v>0.1</v>
      </c>
      <c r="K34" s="60">
        <f t="shared" si="4"/>
        <v>0.1</v>
      </c>
      <c r="L34" s="60">
        <f t="shared" si="4"/>
        <v>0.1</v>
      </c>
      <c r="M34" s="60">
        <f t="shared" si="4"/>
        <v>0.1</v>
      </c>
      <c r="N34" s="60">
        <f t="shared" si="4"/>
        <v>0.1</v>
      </c>
      <c r="O34" s="60">
        <f t="shared" si="4"/>
        <v>0.1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cGyYhHbmT17+eyD6PKjFLK8QRPZ9lFR4hzn6rN07C3+s2oImZLaQWmDZyz9qpE58c9uFyx3MVArw88J+YBWkA==" saltValue="O8/CrzS4ZFWV8mWErYEWP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DM1E1vVPfUQJ0dhLN4g7Nc0OSdDl0RUuzqK5lmB0S1QBRmDLZKQ3QEEm6IBH9O5nfLXx6hJwgeGnjDCfc4ANoA==" saltValue="dVJztT1XGVFpxC7Bh/fb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yo0mVpurMgafxR1s674U0ux6Y1QnHE2X+K0YgQPCGAbPhMrNJevzYd9XylklQwqHxySfjQm5tGreD3DjvJCBw==" saltValue="IGoLbWgB5XPWEblDOXAt9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p39Nw7XZLNjaLV/f9F9YvmPEKDqTNGxEJ0azvqHiPyvOEfZBEPwU8hdEJgG9nrCnWpf6oLwYvCSV31UGA6R1g==" saltValue="OWLPrTAVq4S+9BNPzR61F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xVWJTDCYtHS2U/i2wK+nmFg1aH0lBjnqBcRqYMjYduTZMXSD8vRi/C9ozEQ/jF38tNnm1vM8tw4IQOPtzxtl+A==" saltValue="uNCAnqOP62sgVzaBbKJk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Tl6fo+SkUNOlhRGf7LWiT7chCSAVlEFNHFtYDjoolT9GzYM5+a/TOtfApQV6DwAi94wXA6j4sHroG8MnvikVrw==" saltValue="WlO8inIXoqpKj/J5EtdwY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kUVRTLLxbSznqwDRlABdiWIGbLM57Tl4PTaq02CpjC9xhzNjT4uOOC4Rrd74vVjfpU3+KmCm8M/4eTtJ0LyYA==" saltValue="U5ae+zWsPRbI4XOnMV5BD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OZ2Gua1aSTR9PoPOK8wY4fr1Lz2uv3UrXQkiZz1Pv3D27nlDQSHatS8WkJtS0ESnw4x2Nek5QxHwmvEfUPzfA==" saltValue="pr/tUdsucN2XWmlCVBMS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2RAQP2+YJiqrePb/lR6m3xbZzcP8wWB8nvTVLcVP/0jV6EAGoNvgNCyn3u9S/Q8NK0fiVxXyaNDQQD5P1soqQ==" saltValue="6ua4McDubm+4dnrt8goG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sdz8+fr6VBt1GEl/mOE9KmWf07YK6lvnn7dgztSeqMTmR7a/hnCSTjzpSrgIuicS52JFsYI9vmYQQrPaTwoJQ==" saltValue="LqcNHTfr2Z8jcGa9+SLf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1ONrRPf/xTNnJbH86qXFHIAJAL7ZRFIFOHP7tzKupn8r+juV2kheDnFBetVLcqLyu07ltAUllSviYXPB9qfWA==" saltValue="19DBi0YEsgAVZVFvCOfo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uzuer+EQI2UOZ6c/zENP4OoETdKtjpDLNWtwdHiGdT++LGLUnHi7TbKCjVtHj54xtwfgb9+W6tpgpm8aMx4UQ==" saltValue="jfcccu+/TPRrI7bjawcL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6ag6N8ZfWiVEZF919cEl6xRVfxHMqw/2MV/kZlp3cgnmV5iPIwPvQDAfGBb43kQ0ZCtXqHOvSj4na7SIS5vJw==" saltValue="Fy1WMQTWr9dT3A84z/A7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QDSH8Eml7nEfM284aYfxAUvJPITYTVo1r9qXdQY2TslQSxVgPEJBamRPgFTmDa+m3EPHSqAV+WqFRXD+F3+gA==" saltValue="gkkOdgbuyAI/i1VBi+Yi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hig7GDCBsLPHcpHNON8riaEBtVmDRpOdOOcavDw1Evvl4kSeLLS0MNYZwdwgorJn9QER3XU33cXE65TD/fmkg==" saltValue="WjQrFgD885YCMkigGyxDK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2025-07-30T03:20:36Z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