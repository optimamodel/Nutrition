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C145B8EF-DECE-4505-938D-4461F86C79A3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A31" i="2"/>
  <c r="A27" i="2"/>
  <c r="A25" i="2"/>
  <c r="A23" i="2"/>
  <c r="A19" i="2"/>
  <c r="A17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33" i="2" l="1"/>
  <c r="A16" i="2"/>
  <c r="A24" i="2"/>
  <c r="A3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35" i="2"/>
  <c r="A20" i="2"/>
  <c r="A28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<sst xmlns="http://schemas.openxmlformats.org/spreadsheetml/2006/main" count="2101" uniqueCount="337">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</sst>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36442523.5</v>
      </c>
    </row>
    <row r="8" spans="1:3" ht="15" customHeight="1" x14ac:dyDescent="0.25">
      <c r="B8" s="5" t="s">
        <v>19</v>
      </c>
      <c r="C8" s="44">
        <v>0.53500000000000003</v>
      </c>
    </row>
    <row r="9" spans="1:3" ht="15" customHeight="1" x14ac:dyDescent="0.25">
      <c r="B9" s="5" t="s">
        <v>20</v>
      </c>
      <c r="C9" s="45">
        <v>0.99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0.73699999999999999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9.9700000000000011E-2</v>
      </c>
    </row>
    <row r="24" spans="1:3" ht="15" customHeight="1" x14ac:dyDescent="0.25">
      <c r="B24" s="15" t="s">
        <v>33</v>
      </c>
      <c r="C24" s="45">
        <v>0.43430000000000002</v>
      </c>
    </row>
    <row r="25" spans="1:3" ht="15" customHeight="1" x14ac:dyDescent="0.25">
      <c r="B25" s="15" t="s">
        <v>34</v>
      </c>
      <c r="C25" s="45">
        <v>0.35899999999999999</v>
      </c>
    </row>
    <row r="26" spans="1:3" ht="15" customHeight="1" x14ac:dyDescent="0.25">
      <c r="B26" s="15" t="s">
        <v>35</v>
      </c>
      <c r="C26" s="45">
        <v>0.107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0.19573648727283799</v>
      </c>
    </row>
    <row r="30" spans="1:3" ht="14.25" customHeight="1" x14ac:dyDescent="0.25">
      <c r="B30" s="25" t="s">
        <v>38</v>
      </c>
      <c r="C30" s="99">
        <v>6.6216535073416599E-2</v>
      </c>
    </row>
    <row r="31" spans="1:3" ht="14.25" customHeight="1" x14ac:dyDescent="0.25">
      <c r="B31" s="25" t="s">
        <v>39</v>
      </c>
      <c r="C31" s="99">
        <v>0.13435462918095001</v>
      </c>
    </row>
    <row r="32" spans="1:3" ht="14.25" customHeight="1" x14ac:dyDescent="0.25">
      <c r="B32" s="25" t="s">
        <v>40</v>
      </c>
      <c r="C32" s="99">
        <v>0.60369234847279496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34.921909999999997</v>
      </c>
    </row>
    <row r="38" spans="1:5" ht="15" customHeight="1" x14ac:dyDescent="0.25">
      <c r="B38" s="11" t="s">
        <v>45</v>
      </c>
      <c r="C38" s="43">
        <v>70.588530000000006</v>
      </c>
      <c r="D38" s="12"/>
      <c r="E38" s="13"/>
    </row>
    <row r="39" spans="1:5" ht="15" customHeight="1" x14ac:dyDescent="0.25">
      <c r="B39" s="11" t="s">
        <v>46</v>
      </c>
      <c r="C39" s="43">
        <v>110.81927</v>
      </c>
      <c r="D39" s="12"/>
      <c r="E39" s="12"/>
    </row>
    <row r="40" spans="1:5" ht="15" customHeight="1" x14ac:dyDescent="0.25">
      <c r="B40" s="11" t="s">
        <v>47</v>
      </c>
      <c r="C40" s="100">
        <v>10.47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8.4424999999999986E-3</v>
      </c>
      <c r="D45" s="12"/>
    </row>
    <row r="46" spans="1:5" ht="15.75" customHeight="1" x14ac:dyDescent="0.25">
      <c r="B46" s="11" t="s">
        <v>52</v>
      </c>
      <c r="C46" s="45">
        <v>9.0714000000000003E-2</v>
      </c>
      <c r="D46" s="12"/>
    </row>
    <row r="47" spans="1:5" ht="15.75" customHeight="1" x14ac:dyDescent="0.25">
      <c r="B47" s="11" t="s">
        <v>53</v>
      </c>
      <c r="C47" s="45">
        <v>7.29717E-2</v>
      </c>
      <c r="D47" s="12"/>
      <c r="E47" s="13"/>
    </row>
    <row r="48" spans="1:5" ht="15" customHeight="1" x14ac:dyDescent="0.25">
      <c r="B48" s="11" t="s">
        <v>54</v>
      </c>
      <c r="C48" s="46">
        <v>0.82787180000000005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0.419354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DRPYpjE31AgJ/s3hKMSSej9WFDYwqUVJKMuLk3hdi+gmzxSfTdFSS1O5MYtjMA09qKIjatarDSalD9degIMTAw==" saltValue="QZCxsJUfbqWFXm4bwYlr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8234397.9999999991</v>
      </c>
      <c r="C2" s="49">
        <v>14978313.5</v>
      </c>
      <c r="D2" s="49">
        <v>18655701.5</v>
      </c>
      <c r="E2" s="49">
        <v>13034960</v>
      </c>
      <c r="F2" s="49">
        <v>8529826</v>
      </c>
      <c r="G2" s="17">
        <f t="shared" ref="G2:G13" si="0">C2+D2+E2+F2</f>
        <v>55198801</v>
      </c>
      <c r="H2" s="17">
        <f t="shared" ref="H2:H13" si="1">(B2 + stillbirth*B2/(1000-stillbirth))/(1-abortion)</f>
        <v>9572571.5649967138</v>
      </c>
      <c r="I2" s="17">
        <f t="shared" ref="I2:I13" si="2">G2-H2</f>
        <v>45626229.435003288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8321052</v>
      </c>
      <c r="C3" s="50">
        <v>15386867</v>
      </c>
      <c r="D3" s="50">
        <v>19253617</v>
      </c>
      <c r="E3" s="50">
        <v>13344852.5</v>
      </c>
      <c r="F3" s="50">
        <v>8768933</v>
      </c>
      <c r="G3" s="17">
        <f t="shared" si="0"/>
        <v>56754269.5</v>
      </c>
      <c r="H3" s="17">
        <f t="shared" si="1"/>
        <v>9673307.7228060924</v>
      </c>
      <c r="I3" s="17">
        <f t="shared" si="2"/>
        <v>47080961.777193904</v>
      </c>
    </row>
    <row r="4" spans="1:9" ht="15.75" customHeight="1" x14ac:dyDescent="0.25">
      <c r="A4" s="5">
        <f t="shared" si="3"/>
        <v>2026</v>
      </c>
      <c r="B4" s="49">
        <v>8417807</v>
      </c>
      <c r="C4" s="50">
        <v>15781795</v>
      </c>
      <c r="D4" s="50">
        <v>19874560</v>
      </c>
      <c r="E4" s="50">
        <v>13684189.5</v>
      </c>
      <c r="F4" s="50">
        <v>8989945</v>
      </c>
      <c r="G4" s="17">
        <f t="shared" si="0"/>
        <v>58330489.5</v>
      </c>
      <c r="H4" s="17">
        <f t="shared" si="1"/>
        <v>9785786.3960219435</v>
      </c>
      <c r="I4" s="17">
        <f t="shared" si="2"/>
        <v>48544703.103978053</v>
      </c>
    </row>
    <row r="5" spans="1:9" ht="15.75" customHeight="1" x14ac:dyDescent="0.25">
      <c r="A5" s="5">
        <f t="shared" si="3"/>
        <v>2027</v>
      </c>
      <c r="B5" s="49">
        <v>8515800</v>
      </c>
      <c r="C5" s="50">
        <v>16153285</v>
      </c>
      <c r="D5" s="50">
        <v>20521104.5</v>
      </c>
      <c r="E5" s="50">
        <v>14047495.5</v>
      </c>
      <c r="F5" s="50">
        <v>9192538.5</v>
      </c>
      <c r="G5" s="17">
        <f t="shared" si="0"/>
        <v>59914423.5</v>
      </c>
      <c r="H5" s="17">
        <f t="shared" si="1"/>
        <v>9899704.2568502314</v>
      </c>
      <c r="I5" s="17">
        <f t="shared" si="2"/>
        <v>50014719.243149772</v>
      </c>
    </row>
    <row r="6" spans="1:9" ht="15.75" customHeight="1" x14ac:dyDescent="0.25">
      <c r="A6" s="5">
        <f t="shared" si="3"/>
        <v>2028</v>
      </c>
      <c r="B6" s="49">
        <v>8600296</v>
      </c>
      <c r="C6" s="50">
        <v>16495382.5</v>
      </c>
      <c r="D6" s="50">
        <v>21197440</v>
      </c>
      <c r="E6" s="50">
        <v>14429657</v>
      </c>
      <c r="F6" s="50">
        <v>9375763</v>
      </c>
      <c r="G6" s="17">
        <f t="shared" si="0"/>
        <v>61498242.5</v>
      </c>
      <c r="H6" s="17">
        <f t="shared" si="1"/>
        <v>9997931.7176744435</v>
      </c>
      <c r="I6" s="17">
        <f t="shared" si="2"/>
        <v>51500310.782325558</v>
      </c>
    </row>
    <row r="7" spans="1:9" ht="15.75" customHeight="1" x14ac:dyDescent="0.25">
      <c r="A7" s="5">
        <f t="shared" si="3"/>
        <v>2029</v>
      </c>
      <c r="B7" s="49">
        <v>8708649</v>
      </c>
      <c r="C7" s="50">
        <v>16811426</v>
      </c>
      <c r="D7" s="50">
        <v>21882994.5</v>
      </c>
      <c r="E7" s="50">
        <v>14838431</v>
      </c>
      <c r="F7" s="50">
        <v>9548712.5</v>
      </c>
      <c r="G7" s="17">
        <f t="shared" si="0"/>
        <v>63081564</v>
      </c>
      <c r="H7" s="17">
        <f t="shared" si="1"/>
        <v>10123893.184047829</v>
      </c>
      <c r="I7" s="17">
        <f t="shared" si="2"/>
        <v>52957670.815952167</v>
      </c>
    </row>
    <row r="8" spans="1:9" ht="15.75" customHeight="1" x14ac:dyDescent="0.25">
      <c r="A8" s="5">
        <f t="shared" si="3"/>
        <v>2030</v>
      </c>
      <c r="B8" s="49">
        <v>8765211</v>
      </c>
      <c r="C8" s="50">
        <v>17113219</v>
      </c>
      <c r="D8" s="50">
        <v>22556637.5</v>
      </c>
      <c r="E8" s="50">
        <v>15285517</v>
      </c>
      <c r="F8" s="50">
        <v>9726224</v>
      </c>
      <c r="G8" s="17">
        <f t="shared" si="0"/>
        <v>64681597.5</v>
      </c>
      <c r="H8" s="17">
        <f t="shared" si="1"/>
        <v>10189647.085287403</v>
      </c>
      <c r="I8" s="17">
        <f t="shared" si="2"/>
        <v>54491950.414712593</v>
      </c>
    </row>
    <row r="9" spans="1:9" ht="15.75" customHeight="1" x14ac:dyDescent="0.25">
      <c r="A9" s="5">
        <f t="shared" si="3"/>
        <v>2031</v>
      </c>
      <c r="B9" s="49">
        <v>8852283</v>
      </c>
      <c r="C9" s="50">
        <v>17405159.5</v>
      </c>
      <c r="D9" s="50">
        <v>23222364</v>
      </c>
      <c r="E9" s="50">
        <v>15769332</v>
      </c>
      <c r="F9" s="50">
        <v>9912239</v>
      </c>
      <c r="G9" s="17">
        <f t="shared" si="0"/>
        <v>66309094.5</v>
      </c>
      <c r="H9" s="17">
        <f t="shared" si="1"/>
        <v>10290869.172355263</v>
      </c>
      <c r="I9" s="17">
        <f t="shared" si="2"/>
        <v>56018225.327644736</v>
      </c>
    </row>
    <row r="10" spans="1:9" ht="15.75" customHeight="1" x14ac:dyDescent="0.25">
      <c r="A10" s="5">
        <f t="shared" si="3"/>
        <v>2032</v>
      </c>
      <c r="B10" s="49">
        <v>8901896</v>
      </c>
      <c r="C10" s="50">
        <v>17693876.5</v>
      </c>
      <c r="D10" s="50">
        <v>23874275</v>
      </c>
      <c r="E10" s="50">
        <v>16284928</v>
      </c>
      <c r="F10" s="50">
        <v>10106002.5</v>
      </c>
      <c r="G10" s="17">
        <f t="shared" si="0"/>
        <v>67959082</v>
      </c>
      <c r="H10" s="17">
        <f t="shared" si="1"/>
        <v>10348544.790300153</v>
      </c>
      <c r="I10" s="17">
        <f t="shared" si="2"/>
        <v>57610537.209699847</v>
      </c>
    </row>
    <row r="11" spans="1:9" ht="15.75" customHeight="1" x14ac:dyDescent="0.25">
      <c r="A11" s="5">
        <f t="shared" si="3"/>
        <v>2033</v>
      </c>
      <c r="B11" s="49">
        <v>8959175</v>
      </c>
      <c r="C11" s="50">
        <v>17992212.5</v>
      </c>
      <c r="D11" s="50">
        <v>24503200.5</v>
      </c>
      <c r="E11" s="50">
        <v>16825695.5</v>
      </c>
      <c r="F11" s="50">
        <v>10310051.5</v>
      </c>
      <c r="G11" s="17">
        <f t="shared" si="0"/>
        <v>69631160</v>
      </c>
      <c r="H11" s="17">
        <f t="shared" si="1"/>
        <v>10415132.211344345</v>
      </c>
      <c r="I11" s="17">
        <f t="shared" si="2"/>
        <v>59216027.788655654</v>
      </c>
    </row>
    <row r="12" spans="1:9" ht="15.75" customHeight="1" x14ac:dyDescent="0.25">
      <c r="A12" s="5">
        <f t="shared" si="3"/>
        <v>2034</v>
      </c>
      <c r="B12" s="49">
        <v>9019452</v>
      </c>
      <c r="C12" s="50">
        <v>18302434.5</v>
      </c>
      <c r="D12" s="50">
        <v>25113137.5</v>
      </c>
      <c r="E12" s="50">
        <v>17382502</v>
      </c>
      <c r="F12" s="50">
        <v>10533418</v>
      </c>
      <c r="G12" s="17">
        <f t="shared" si="0"/>
        <v>71331492</v>
      </c>
      <c r="H12" s="17">
        <f t="shared" si="1"/>
        <v>10485204.837931413</v>
      </c>
      <c r="I12" s="17">
        <f t="shared" si="2"/>
        <v>60846287.162068591</v>
      </c>
    </row>
    <row r="13" spans="1:9" ht="15.75" customHeight="1" x14ac:dyDescent="0.25">
      <c r="A13" s="5">
        <f t="shared" si="3"/>
        <v>2035</v>
      </c>
      <c r="B13" s="49">
        <v>9035342</v>
      </c>
      <c r="C13" s="50">
        <v>18625777</v>
      </c>
      <c r="D13" s="50">
        <v>25701163.5</v>
      </c>
      <c r="E13" s="50">
        <v>17957641</v>
      </c>
      <c r="F13" s="50">
        <v>10785678.5</v>
      </c>
      <c r="G13" s="17">
        <f t="shared" si="0"/>
        <v>73070260</v>
      </c>
      <c r="H13" s="17">
        <f t="shared" si="1"/>
        <v>10503677.124814779</v>
      </c>
      <c r="I13" s="17">
        <f t="shared" si="2"/>
        <v>62566582.875185221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eIC2GN8R8nY8VKA1vPnK/w41XquG6qWDrOGlkabTXuYq8FAG46kcl3HBycaV5rataRslo+gmGgNKN3l5l23/A==" saltValue="AZf6LdKWwBhy8JpbvWr3I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2.3730299999999999E-2</v>
      </c>
    </row>
    <row r="4" spans="1:8" ht="15.75" customHeight="1" x14ac:dyDescent="0.25">
      <c r="B4" s="19" t="s">
        <v>79</v>
      </c>
      <c r="C4" s="101">
        <v>0.15361009999999989</v>
      </c>
    </row>
    <row r="5" spans="1:8" ht="15.75" customHeight="1" x14ac:dyDescent="0.25">
      <c r="B5" s="19" t="s">
        <v>80</v>
      </c>
      <c r="C5" s="101">
        <v>0.18025830000000001</v>
      </c>
    </row>
    <row r="6" spans="1:8" ht="15.75" customHeight="1" x14ac:dyDescent="0.25">
      <c r="B6" s="19" t="s">
        <v>81</v>
      </c>
      <c r="C6" s="101">
        <v>0.28443859999999987</v>
      </c>
    </row>
    <row r="7" spans="1:8" ht="15.75" customHeight="1" x14ac:dyDescent="0.25">
      <c r="B7" s="19" t="s">
        <v>82</v>
      </c>
      <c r="C7" s="101">
        <v>0.18089420000000009</v>
      </c>
    </row>
    <row r="8" spans="1:8" ht="15.75" customHeight="1" x14ac:dyDescent="0.25">
      <c r="B8" s="19" t="s">
        <v>83</v>
      </c>
      <c r="C8" s="101">
        <v>7.6880999999999998E-3</v>
      </c>
    </row>
    <row r="9" spans="1:8" ht="15.75" customHeight="1" x14ac:dyDescent="0.25">
      <c r="B9" s="19" t="s">
        <v>84</v>
      </c>
      <c r="C9" s="101">
        <v>4.4153200000000038E-2</v>
      </c>
    </row>
    <row r="10" spans="1:8" ht="15.75" customHeight="1" x14ac:dyDescent="0.25">
      <c r="B10" s="19" t="s">
        <v>85</v>
      </c>
      <c r="C10" s="101">
        <v>0.12522720000000001</v>
      </c>
    </row>
    <row r="11" spans="1:8" ht="15.75" customHeight="1" x14ac:dyDescent="0.25">
      <c r="B11" s="27" t="s">
        <v>41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88</v>
      </c>
      <c r="C15" s="101">
        <v>0.19525974369423979</v>
      </c>
      <c r="D15" s="101">
        <v>0.19525974369423979</v>
      </c>
      <c r="E15" s="101">
        <v>0.19525974369423979</v>
      </c>
      <c r="F15" s="101">
        <v>0.19525974369423979</v>
      </c>
    </row>
    <row r="16" spans="1:8" ht="15.75" customHeight="1" x14ac:dyDescent="0.25">
      <c r="B16" s="19" t="s">
        <v>89</v>
      </c>
      <c r="C16" s="101">
        <v>2.722073044841733E-2</v>
      </c>
      <c r="D16" s="101">
        <v>2.722073044841733E-2</v>
      </c>
      <c r="E16" s="101">
        <v>2.722073044841733E-2</v>
      </c>
      <c r="F16" s="101">
        <v>2.722073044841733E-2</v>
      </c>
    </row>
    <row r="17" spans="1:8" ht="15.75" customHeight="1" x14ac:dyDescent="0.25">
      <c r="B17" s="19" t="s">
        <v>90</v>
      </c>
      <c r="C17" s="101">
        <v>4.6405501980126163E-2</v>
      </c>
      <c r="D17" s="101">
        <v>4.6405501980126163E-2</v>
      </c>
      <c r="E17" s="101">
        <v>4.6405501980126163E-2</v>
      </c>
      <c r="F17" s="101">
        <v>4.6405501980126163E-2</v>
      </c>
    </row>
    <row r="18" spans="1:8" ht="15.75" customHeight="1" x14ac:dyDescent="0.25">
      <c r="B18" s="19" t="s">
        <v>91</v>
      </c>
      <c r="C18" s="101">
        <v>0.30288838111377808</v>
      </c>
      <c r="D18" s="101">
        <v>0.30288838111377808</v>
      </c>
      <c r="E18" s="101">
        <v>0.30288838111377808</v>
      </c>
      <c r="F18" s="101">
        <v>0.30288838111377808</v>
      </c>
    </row>
    <row r="19" spans="1:8" ht="15.75" customHeight="1" x14ac:dyDescent="0.25">
      <c r="B19" s="19" t="s">
        <v>92</v>
      </c>
      <c r="C19" s="101">
        <v>1.283837375823718E-2</v>
      </c>
      <c r="D19" s="101">
        <v>1.283837375823718E-2</v>
      </c>
      <c r="E19" s="101">
        <v>1.283837375823718E-2</v>
      </c>
      <c r="F19" s="101">
        <v>1.283837375823718E-2</v>
      </c>
    </row>
    <row r="20" spans="1:8" ht="15.75" customHeight="1" x14ac:dyDescent="0.25">
      <c r="B20" s="19" t="s">
        <v>93</v>
      </c>
      <c r="C20" s="101">
        <v>2.0584470768969271E-2</v>
      </c>
      <c r="D20" s="101">
        <v>2.0584470768969271E-2</v>
      </c>
      <c r="E20" s="101">
        <v>2.0584470768969271E-2</v>
      </c>
      <c r="F20" s="101">
        <v>2.0584470768969271E-2</v>
      </c>
    </row>
    <row r="21" spans="1:8" ht="15.75" customHeight="1" x14ac:dyDescent="0.25">
      <c r="B21" s="19" t="s">
        <v>94</v>
      </c>
      <c r="C21" s="101">
        <v>4.3581722040455448E-2</v>
      </c>
      <c r="D21" s="101">
        <v>4.3581722040455448E-2</v>
      </c>
      <c r="E21" s="101">
        <v>4.3581722040455448E-2</v>
      </c>
      <c r="F21" s="101">
        <v>4.3581722040455448E-2</v>
      </c>
    </row>
    <row r="22" spans="1:8" ht="15.75" customHeight="1" x14ac:dyDescent="0.25">
      <c r="B22" s="19" t="s">
        <v>95</v>
      </c>
      <c r="C22" s="101">
        <v>9.0741460776234198E-2</v>
      </c>
      <c r="D22" s="101">
        <v>9.0741460776234198E-2</v>
      </c>
      <c r="E22" s="101">
        <v>9.0741460776234198E-2</v>
      </c>
      <c r="F22" s="101">
        <v>9.0741460776234198E-2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8.6847340999999995E-2</v>
      </c>
    </row>
    <row r="27" spans="1:8" ht="15.75" customHeight="1" x14ac:dyDescent="0.25">
      <c r="B27" s="19" t="s">
        <v>102</v>
      </c>
      <c r="C27" s="101">
        <v>8.4805239999999997E-3</v>
      </c>
    </row>
    <row r="28" spans="1:8" ht="15.75" customHeight="1" x14ac:dyDescent="0.25">
      <c r="B28" s="19" t="s">
        <v>103</v>
      </c>
      <c r="C28" s="101">
        <v>0.15529126400000001</v>
      </c>
    </row>
    <row r="29" spans="1:8" ht="15.75" customHeight="1" x14ac:dyDescent="0.25">
      <c r="B29" s="19" t="s">
        <v>104</v>
      </c>
      <c r="C29" s="101">
        <v>0.168382743</v>
      </c>
    </row>
    <row r="30" spans="1:8" ht="15.75" customHeight="1" x14ac:dyDescent="0.25">
      <c r="B30" s="19" t="s">
        <v>2</v>
      </c>
      <c r="C30" s="101">
        <v>0.105182391</v>
      </c>
    </row>
    <row r="31" spans="1:8" ht="15.75" customHeight="1" x14ac:dyDescent="0.25">
      <c r="B31" s="19" t="s">
        <v>105</v>
      </c>
      <c r="C31" s="101">
        <v>0.10869061100000001</v>
      </c>
    </row>
    <row r="32" spans="1:8" ht="15.75" customHeight="1" x14ac:dyDescent="0.25">
      <c r="B32" s="19" t="s">
        <v>106</v>
      </c>
      <c r="C32" s="101">
        <v>1.8206013E-2</v>
      </c>
    </row>
    <row r="33" spans="2:3" ht="15.75" customHeight="1" x14ac:dyDescent="0.25">
      <c r="B33" s="19" t="s">
        <v>107</v>
      </c>
      <c r="C33" s="101">
        <v>8.4055170999999984E-2</v>
      </c>
    </row>
    <row r="34" spans="2:3" ht="15.75" customHeight="1" x14ac:dyDescent="0.25">
      <c r="B34" s="19" t="s">
        <v>108</v>
      </c>
      <c r="C34" s="101">
        <v>0.26486394200000002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JCCDiPagHB6ylCP3l1ww9qFS1Eb0ixh7BrXt5IXIxkp16Sfd7DpNKVfkPqj+eKPGY3LtVVT23htOnaRfSR2XWA==" saltValue="lqZ3z3rHRxSfwOufFmJCa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114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115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119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120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0.83953369649999998</v>
      </c>
      <c r="D14" s="54">
        <v>0.82410223475900002</v>
      </c>
      <c r="E14" s="54">
        <v>0.82410223475900002</v>
      </c>
      <c r="F14" s="54">
        <v>0.68824316440900002</v>
      </c>
      <c r="G14" s="54">
        <v>0.68824316440900002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0.35206181376206097</v>
      </c>
      <c r="D15" s="52">
        <f t="shared" si="0"/>
        <v>0.34559056855512571</v>
      </c>
      <c r="E15" s="52">
        <f t="shared" si="0"/>
        <v>0.34559056855512571</v>
      </c>
      <c r="F15" s="52">
        <f t="shared" si="0"/>
        <v>0.28861752396757179</v>
      </c>
      <c r="G15" s="52">
        <f t="shared" si="0"/>
        <v>0.28861752396757179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GsOZae0UwAe4sxiqC2nUTZp0CPnszIyi8dkPvYphr4J0q/AewUSy+U47hDU6sf4gVTF5dtTRPNDHwNUASMLiA==" saltValue="1TNrfnjNpDk10TcpMGZR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132</v>
      </c>
      <c r="C5" s="52">
        <v>3.0626E-2</v>
      </c>
      <c r="D5" s="52">
        <v>2.07975E-2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FWkhlNMEwL7Ap4Cn0L1qtUicGQxBbksIHTDxa9OC6jgs0+1rsIOC3SwbjvkdymXX3Ott7EekVZSaZoD37vYWHQ==" saltValue="pnUFXwEx05N2DAaGKepvj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NU8hRDP8jXQL8RnTEWx0kXInteuKFow7khZ0LrXwY8HVkU4sox5hcpGPNtdymdPqcOBTXMau35WSM0UkQu/jA==" saltValue="0uH6al9j3Z5YeuvCUs68S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8oCP5B9Gn8ezxBgDwmcQDSr9X74t3nuuhNo1GJJzhqBDizReLpT6JmMaMdr9AJzHfaewMxlAezn+KxBADTCIkw==" saltValue="zcrugudrWD4L6mKwCbzEs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NXbW8BhY78ihdm0lC+Lj+V1s+nbtLTmbD5RCNvlwZKG0hyJBhNyHAM7v3ZEFOCO4pWip9spqKarHbvXemb4n1g==" saltValue="V8+seDSDjUydqBwBLofMW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lDVgfAF8lcvZn3h/NAANg8Ye+ytLoTbs1Fw9UEzQlCKAdd3gTe1nrzVPVo0U7DnGta1qjpV3ZXvr5WaknRA8hw==" saltValue="yWl3VGXKCHjZUd8hlNbd+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27.851616818804018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6.4278423769884219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0.72655106276493753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0.10284547803181469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0.1242716192884428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0.30538290000000001</v>
      </c>
      <c r="C10" s="98">
        <v>0.95</v>
      </c>
      <c r="D10" s="56">
        <v>13.708520680846441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13.708520680846441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13.708520680846441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13.708520680846441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0.30538290000000001</v>
      </c>
      <c r="C14" s="98">
        <v>0.95</v>
      </c>
      <c r="D14" s="56">
        <v>13.708520680846441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13.708520680846441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0.51234469999999999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0.143035555555556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0.21</v>
      </c>
      <c r="C18" s="98">
        <v>0.95</v>
      </c>
      <c r="D18" s="56">
        <v>6.4278423769884219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0.34070879999999998</v>
      </c>
      <c r="C19" s="98">
        <v>0.95</v>
      </c>
      <c r="D19" s="56">
        <v>6.4278423769884219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23.484675418466331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0.5148045</v>
      </c>
      <c r="C23" s="98">
        <v>0.95</v>
      </c>
      <c r="D23" s="56">
        <v>4.5665474093235741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0.35049825564319997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0.30538290000000001</v>
      </c>
      <c r="C26" s="98">
        <v>0.95</v>
      </c>
      <c r="D26" s="56">
        <v>4.633536630440215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0.45741510000000002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0.31096489999999999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5.8200000000000002E-2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0.56999999999999995</v>
      </c>
      <c r="C32" s="98">
        <v>0.95</v>
      </c>
      <c r="D32" s="56">
        <v>0.56565012917498114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0.31078830000000002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0.54565930000000007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8.4545999999999996E-3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0.12378939999999999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0.40255580000000002</v>
      </c>
      <c r="C38" s="98">
        <v>0.95</v>
      </c>
      <c r="D38" s="56">
        <v>1.1069004172718291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tnmWApX7NSEahnH4WKuHHiqD3NSog1qtLV3IU096L+3rsRxgDZiHkdO7ENwbSGaed8HltfiGgcZ00tg4XbS9Kg==" saltValue="gtm3ulkBptmWINCoYNVt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djDBs2cptjTy8HIPXZ2oSg+D4Cmg27eXrOGTZJzNXd+Z8jyy58GbIGja9ZT2kT7SR7jZOh7V0C8vWguyQcsbjw==" saltValue="tBMeOPh8EayJSdkKpdqOQ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pIHz3KewXTh3LMXwcbLoQVo7MgyZUacrArjx59Rj9/RhREPSJtW2XV2pjFNZ4wp6WmLND2eBFzb5FfkPWIGO7g==" saltValue="5IpAcUEBU/uXNGmB3PoSs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208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sheetProtection algorithmName="SHA-512" hashValue="mC8n3+4/ZI2lxakxHj//B9B1vSkEMyxVX1nb6KZfloNnmICqGxr0A9LMRCansUiRmYw+dGKdzJxMrES2mTA3aw==" saltValue="bROSnoDzIV32bWoUNP4d/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0.53500000000000003</v>
      </c>
      <c r="E2" s="60">
        <f>food_insecure</f>
        <v>0.53500000000000003</v>
      </c>
      <c r="F2" s="60">
        <f>food_insecure</f>
        <v>0.53500000000000003</v>
      </c>
      <c r="G2" s="60">
        <f>food_insecure</f>
        <v>0.53500000000000003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0.53500000000000003</v>
      </c>
      <c r="F5" s="60">
        <f>food_insecure</f>
        <v>0.53500000000000003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0.53500000000000003</v>
      </c>
      <c r="F8" s="60">
        <f>food_insecure</f>
        <v>0.53500000000000003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0.53500000000000003</v>
      </c>
      <c r="F9" s="60">
        <f>food_insecure</f>
        <v>0.53500000000000003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0.53500000000000003</v>
      </c>
      <c r="I15" s="60">
        <f>food_insecure</f>
        <v>0.53500000000000003</v>
      </c>
      <c r="J15" s="60">
        <f>food_insecure</f>
        <v>0.53500000000000003</v>
      </c>
      <c r="K15" s="60">
        <f>food_insecure</f>
        <v>0.53500000000000003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0.73699999999999999</v>
      </c>
      <c r="M24" s="60">
        <f>famplan_unmet_need</f>
        <v>0.73699999999999999</v>
      </c>
      <c r="N24" s="60">
        <f>famplan_unmet_need</f>
        <v>0.73699999999999999</v>
      </c>
      <c r="O24" s="60">
        <f>famplan_unmet_need</f>
        <v>0.73699999999999999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0.40596389547462008</v>
      </c>
      <c r="M25" s="60">
        <f>(1-food_insecure)*(0.49)+food_insecure*(0.7)</f>
        <v>0.60234999999999994</v>
      </c>
      <c r="N25" s="60">
        <f>(1-food_insecure)*(0.49)+food_insecure*(0.7)</f>
        <v>0.60234999999999994</v>
      </c>
      <c r="O25" s="60">
        <f>(1-food_insecure)*(0.49)+food_insecure*(0.7)</f>
        <v>0.60234999999999994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0.17398452663198</v>
      </c>
      <c r="M26" s="60">
        <f>(1-food_insecure)*(0.21)+food_insecure*(0.3)</f>
        <v>0.25814999999999999</v>
      </c>
      <c r="N26" s="60">
        <f>(1-food_insecure)*(0.21)+food_insecure*(0.3)</f>
        <v>0.25814999999999999</v>
      </c>
      <c r="O26" s="60">
        <f>(1-food_insecure)*(0.21)+food_insecure*(0.3)</f>
        <v>0.25814999999999999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9.4018367093400002E-2</v>
      </c>
      <c r="M27" s="60">
        <f>(1-food_insecure)*(0.3)</f>
        <v>0.13949999999999999</v>
      </c>
      <c r="N27" s="60">
        <f>(1-food_insecure)*(0.3)</f>
        <v>0.13949999999999999</v>
      </c>
      <c r="O27" s="60">
        <f>(1-food_insecure)*(0.3)</f>
        <v>0.13949999999999999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0.99</v>
      </c>
      <c r="D34" s="60">
        <f t="shared" si="3"/>
        <v>0.99</v>
      </c>
      <c r="E34" s="60">
        <f t="shared" si="3"/>
        <v>0.99</v>
      </c>
      <c r="F34" s="60">
        <f t="shared" si="3"/>
        <v>0.99</v>
      </c>
      <c r="G34" s="60">
        <f t="shared" si="3"/>
        <v>0.99</v>
      </c>
      <c r="H34" s="60">
        <f t="shared" si="3"/>
        <v>0.99</v>
      </c>
      <c r="I34" s="60">
        <f t="shared" si="3"/>
        <v>0.99</v>
      </c>
      <c r="J34" s="60">
        <f t="shared" si="3"/>
        <v>0.99</v>
      </c>
      <c r="K34" s="60">
        <f t="shared" si="3"/>
        <v>0.99</v>
      </c>
      <c r="L34" s="60">
        <f t="shared" si="3"/>
        <v>0.99</v>
      </c>
      <c r="M34" s="60">
        <f t="shared" si="3"/>
        <v>0.99</v>
      </c>
      <c r="N34" s="60">
        <f t="shared" si="3"/>
        <v>0.99</v>
      </c>
      <c r="O34" s="60">
        <f t="shared" si="3"/>
        <v>0.99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UWjPRsDPPVZ46x5Cnk9axIJXBgM8E7HrI8CQJAGhbiZlRZP6OEar8icKtyXeCyrMLd/WpHssXme/NsvGyI0b0g==" saltValue="TX+kk2wpAY0hIhKBZt+ge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bug6gnvmHfWxBr+Tob/QPdjtqPXYMdJfE99DdQ1onKFsHH0brFG/0s/I3BkIvi+z7CmpBs7d29xICdOZzlLOSQ==" saltValue="3Ee/QIjB5IL+2IOXOl2CY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G5HhRPx9ZRc51zYNZDbF9A1q1+t2xHUhEg7REd2puueVVf80oM+cjvcE9fCFMTUs/hOScIfUMRu9rYn5cLQsA==" saltValue="a6YGzfqzfyuqiA+WD3nHF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DmmpvFo/8fu+2KoJpKhrwqOYkYNSEyzTl+yrnDN0s2g3E/r8n2tVZWr5ZJpTXObZ2Z3FGp0qCg7pfXxCpdriQ==" saltValue="HPAoOrSuToi2zmzcKurwd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zWwqiIaHDnFGLUu4CB5kvKO8VQPByPOFe5hdaFzOf5Ki442ZAYQDtGBSm8N6KG6riDsVoFVMNTP6nfyC8DqZg==" saltValue="XCPfvsZ5c6hQVQ/sUoAj5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eCllxpkJzuWzex320zCKxlUWhnOI74AWGNHKys844MDJv0vIWyQU0L11TEB1sUoVHxSn2cscuv/gk7ZOCVAXkw==" saltValue="PUMrnJ1TvxTTJe7Uw9/AM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+39NhkbkYEjJA3pv5mAHpwkLELBrFIhdJg3WAjC5SbTHO03Mpq/sZlQzV1M0wbVTL79fKmzdBlJBbtvCSleqg==" saltValue="jWkY04aGjN3AhEx33WCkH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U8zYI5aaK2wc4gYi6fUyNx2NpaGfQo2f45Crz/PxRsLmgXOoULxv7VKSINju1tR78T728cGSaVL1qPNfVRnzA==" saltValue="sfrQU+Cb6gieMuhf9ZeP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yNZmebrFC3LNzeLVDVSAozEv+Jypw5w3ecFqic1yUp46b0VrLdKSd0VLoZolYrhRynodONxYKXOiHVwh4OHvA==" saltValue="TjE2TvUK4yhszB9sCwaF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hT7ggjYVJaehoBoxqZIUOuZZ1TIbl0q4pdjPFRAoP9RUG+M/l1ZFzP6QoJP6gf/P1cYe7oieIWshgFRBJtUthw==" saltValue="pAAB5k/6VQl3/IaBvsZR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Fd4hjPCUY5hpf4It/Qf3rSXBcYmms7i4HsJdRkvacjO7VuUbtuW8MuoamBdAbKO8wjz7MnoIsz01vS7LMAeF8Q==" saltValue="gvSB3QYx9t4QlH+KY9h/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wl8KWa18lCtUoqmYDCBSJmlaxE3mNNQkY9vVxRCR4UHxBgO1+MYHKADO+RMKMauFNdr8cSVONcjzBxi3WW1Og==" saltValue="qWYehLlcFuDWRSPsaE8l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+lA5kqyfkMyiOP1SG8JjtwiXuW1wxZOAoiE8w22kRoi9hCPSxHpseHjWqypzM8cwluMrSewiDwFXgoAqI+R7Q==" saltValue="h4dII439K2pmivYe0yDAS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0.10674295435124692</v>
      </c>
      <c r="G18" s="90">
        <f>MIN(MAX(1-0.89/(1-frac_sam_12_23months+(frac_sam_12_23months*0.89)),0),1)</f>
        <v>0.1068127999205325</v>
      </c>
      <c r="H18" s="90">
        <f>MIN(MAX(1-0.89/(1-frac_sam_24_59months+(frac_sam_24_59months*0.89)),0),1)</f>
        <v>0.10913050424518733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9.9852159921025807E-2</v>
      </c>
      <c r="G20" s="90">
        <f>MIN(MAX(1-0.89/(1-frac_mam_12_23months+(frac_mam_12_23months*0.89)),0),1)</f>
        <v>0.10224015079799287</v>
      </c>
      <c r="H20" s="90">
        <f>MIN(MAX(1-0.89/(1-frac_mam_24_59months+(frac_mam_24_59months*0.89)),0),1)</f>
        <v>0.10687404755580798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9.6717279650424537E-3</v>
      </c>
      <c r="G73" s="90">
        <f>MIN(MAX(1-0.99/(1-frac_sam_12_23months+(frac_sam_12_23months*0.99)),0),1)</f>
        <v>9.6787447363988477E-3</v>
      </c>
      <c r="H73" s="90">
        <f>MIN(MAX(1-0.99/(1-frac_sam_24_59months+(frac_sam_24_59months*0.99)),0),1)</f>
        <v>9.912151485376941E-3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8.9843417463882913E-3</v>
      </c>
      <c r="G75" s="90">
        <f>MIN(MAX(1-0.99/(1-frac_mam_12_23months+(frac_mam_12_23months*0.99)),0),1)</f>
        <v>9.2214670351454808E-3</v>
      </c>
      <c r="H75" s="90">
        <f>MIN(MAX(1-0.99/(1-frac_mam_24_59months+(frac_mam_24_59months*0.99)),0),1)</f>
        <v>9.6848985700818124E-3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0.19466095649071258</v>
      </c>
      <c r="G128" s="90">
        <f>MIN(MAX(1-0.8/(1-frac_sam_12_23months+(frac_sam_12_23months*0.8)),0),1)</f>
        <v>0.19477578582082689</v>
      </c>
      <c r="H128" s="90">
        <f>MIN(MAX(1-0.8/(1-frac_sam_24_59months+(frac_sam_24_59months*0.8)),0),1)</f>
        <v>0.1985778282709364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0.18325899833168391</v>
      </c>
      <c r="G130" s="90">
        <f>MIN(MAX(1-0.8/(1-frac_mam_12_23months+(frac_mam_12_23months*0.8)),0),1)</f>
        <v>0.18722679771767592</v>
      </c>
      <c r="H130" s="90">
        <f>MIN(MAX(1-0.8/(1-frac_mam_24_59months+(frac_mam_24_59months*0.8)),0),1)</f>
        <v>0.19487646758169086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lcvrwKUYDc7LU9v01/6jgrxnbVy3XWJghPfOnMgzeVhjvfwDfu3RE5Qv16/RlFDsaFrz660h8Eaqf2PbgkAk4A==" saltValue="oEJLcYGIhl6VHX8Oi1xu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+M+VGIucsafNBtIUU2kbOOpr1pf/x4R6gATbvem7ORLIYLRJy092tTUjSFWsEW7fOKOubrOPcYL06TJLqXpPpw==" saltValue="lgdlxn17zwqAG2a3V/aGS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2024-08-06T09:33:13Z</dcterms:modified>
</cp:coreProperties>
</file>