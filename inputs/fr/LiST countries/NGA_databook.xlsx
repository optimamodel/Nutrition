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8A98A78-23E0-4E4C-9AE0-937057B53A8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1" i="2" l="1"/>
  <c r="A36" i="2"/>
  <c r="I2" i="2"/>
  <c r="I6" i="2"/>
  <c r="A19" i="2"/>
  <c r="A37" i="2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<sst xmlns="http://schemas.openxmlformats.org/spreadsheetml/2006/main" count="2159" uniqueCount="368">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</sst>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33829090</v>
      </c>
    </row>
    <row r="8" spans="1:3" ht="15" customHeight="1" x14ac:dyDescent="0.25">
      <c r="B8" s="5" t="s">
        <v>37</v>
      </c>
      <c r="C8" s="44">
        <v>0.34699999999999998</v>
      </c>
    </row>
    <row r="9" spans="1:3" ht="15" customHeight="1" x14ac:dyDescent="0.25">
      <c r="B9" s="5" t="s">
        <v>38</v>
      </c>
      <c r="C9" s="45">
        <v>0.99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9.9700000000000011E-2</v>
      </c>
    </row>
    <row r="24" spans="1:3" ht="15" customHeight="1" x14ac:dyDescent="0.25">
      <c r="B24" s="15" t="s">
        <v>51</v>
      </c>
      <c r="C24" s="45">
        <v>0.43430000000000002</v>
      </c>
    </row>
    <row r="25" spans="1:3" ht="15" customHeight="1" x14ac:dyDescent="0.25">
      <c r="B25" s="15" t="s">
        <v>52</v>
      </c>
      <c r="C25" s="45">
        <v>0.35899999999999999</v>
      </c>
    </row>
    <row r="26" spans="1:3" ht="15" customHeight="1" x14ac:dyDescent="0.25">
      <c r="B26" s="15" t="s">
        <v>53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0.19573648727283799</v>
      </c>
    </row>
    <row r="30" spans="1:3" ht="14.25" customHeight="1" x14ac:dyDescent="0.25">
      <c r="B30" s="25" t="s">
        <v>56</v>
      </c>
      <c r="C30" s="99">
        <v>6.6216535073416599E-2</v>
      </c>
    </row>
    <row r="31" spans="1:3" ht="14.25" customHeight="1" x14ac:dyDescent="0.25">
      <c r="B31" s="25" t="s">
        <v>57</v>
      </c>
      <c r="C31" s="99">
        <v>0.13435462918095001</v>
      </c>
    </row>
    <row r="32" spans="1:3" ht="14.25" customHeight="1" x14ac:dyDescent="0.25">
      <c r="B32" s="25" t="s">
        <v>58</v>
      </c>
      <c r="C32" s="99">
        <v>0.60369234847279496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34.921909999999997</v>
      </c>
    </row>
    <row r="38" spans="1:5" ht="15" customHeight="1" x14ac:dyDescent="0.25">
      <c r="B38" s="11" t="s">
        <v>63</v>
      </c>
      <c r="C38" s="43">
        <v>70.588530000000006</v>
      </c>
      <c r="D38" s="12"/>
      <c r="E38" s="13"/>
    </row>
    <row r="39" spans="1:5" ht="15" customHeight="1" x14ac:dyDescent="0.25">
      <c r="B39" s="11" t="s">
        <v>64</v>
      </c>
      <c r="C39" s="43">
        <v>110.81927</v>
      </c>
      <c r="D39" s="12"/>
      <c r="E39" s="12"/>
    </row>
    <row r="40" spans="1:5" ht="15" customHeight="1" x14ac:dyDescent="0.25">
      <c r="B40" s="11" t="s">
        <v>65</v>
      </c>
      <c r="C40" s="100">
        <v>10.47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8.4424999999999986E-3</v>
      </c>
      <c r="D45" s="12"/>
    </row>
    <row r="46" spans="1:5" ht="15.75" customHeight="1" x14ac:dyDescent="0.25">
      <c r="B46" s="11" t="s">
        <v>70</v>
      </c>
      <c r="C46" s="45">
        <v>9.0714000000000003E-2</v>
      </c>
      <c r="D46" s="12"/>
    </row>
    <row r="47" spans="1:5" ht="15.75" customHeight="1" x14ac:dyDescent="0.25">
      <c r="B47" s="11" t="s">
        <v>71</v>
      </c>
      <c r="C47" s="45">
        <v>7.29717E-2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2.496</v>
      </c>
      <c r="D51" s="12"/>
    </row>
    <row r="52" spans="1:4" ht="15" customHeight="1" x14ac:dyDescent="0.25">
      <c r="B52" s="11" t="s">
        <v>75</v>
      </c>
      <c r="C52" s="100">
        <v>2.496</v>
      </c>
    </row>
    <row r="53" spans="1:4" ht="15.75" customHeight="1" x14ac:dyDescent="0.25">
      <c r="B53" s="11" t="s">
        <v>76</v>
      </c>
      <c r="C53" s="100">
        <v>5.226</v>
      </c>
    </row>
    <row r="54" spans="1:4" ht="15.75" customHeight="1" x14ac:dyDescent="0.25">
      <c r="B54" s="11" t="s">
        <v>77</v>
      </c>
      <c r="C54" s="100">
        <v>5.2519999999999998</v>
      </c>
    </row>
    <row r="55" spans="1:4" ht="15.75" customHeight="1" x14ac:dyDescent="0.25">
      <c r="B55" s="11" t="s">
        <v>78</v>
      </c>
      <c r="C55" s="100">
        <v>2.5219999999999998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0.419354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bwbFPeqUtkB2JWlH9CjkFrsDXPI124ABD7piGdg7FE8fiXk+vD5yaWr5JQk9P2/h11qlyB5a34eFcbl/R/dFg==" saltValue="rDIUOu2EVYf0oq0cb0iJ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7560407</v>
      </c>
      <c r="C2" s="49">
        <v>12786667.5</v>
      </c>
      <c r="D2" s="49">
        <v>19447106</v>
      </c>
      <c r="E2" s="49">
        <v>13560861.5</v>
      </c>
      <c r="F2" s="49">
        <v>10024914.499999998</v>
      </c>
      <c r="G2" s="17">
        <f t="shared" ref="G2:G13" si="0">C2+D2+E2+F2</f>
        <v>55819549.5</v>
      </c>
      <c r="H2" s="17">
        <f t="shared" ref="H2:H13" si="1">(B2 + stillbirth*B2/(1000-stillbirth))/(1-abortion)</f>
        <v>8789050.1610442102</v>
      </c>
      <c r="I2" s="17">
        <f t="shared" ref="I2:I13" si="2">G2-H2</f>
        <v>47030499.33895579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7640590</v>
      </c>
      <c r="C3" s="50">
        <v>13173224.5</v>
      </c>
      <c r="D3" s="50">
        <v>20156327.5</v>
      </c>
      <c r="E3" s="50">
        <v>13805212</v>
      </c>
      <c r="F3" s="50">
        <v>10258789</v>
      </c>
      <c r="G3" s="17">
        <f t="shared" si="0"/>
        <v>57393553</v>
      </c>
      <c r="H3" s="17">
        <f t="shared" si="1"/>
        <v>8882263.7154286522</v>
      </c>
      <c r="I3" s="17">
        <f t="shared" si="2"/>
        <v>48511289.28457135</v>
      </c>
    </row>
    <row r="4" spans="1:9" ht="15.75" customHeight="1" x14ac:dyDescent="0.25">
      <c r="A4" s="5">
        <f t="shared" si="3"/>
        <v>2026</v>
      </c>
      <c r="B4" s="49">
        <v>7711752</v>
      </c>
      <c r="C4" s="50">
        <v>13536584</v>
      </c>
      <c r="D4" s="50">
        <v>20915518</v>
      </c>
      <c r="E4" s="50">
        <v>14076758.5</v>
      </c>
      <c r="F4" s="50">
        <v>10471924</v>
      </c>
      <c r="G4" s="17">
        <f t="shared" si="0"/>
        <v>59000784.5</v>
      </c>
      <c r="H4" s="17">
        <f t="shared" si="1"/>
        <v>8964990.2654093895</v>
      </c>
      <c r="I4" s="17">
        <f t="shared" si="2"/>
        <v>50035794.234590612</v>
      </c>
    </row>
    <row r="5" spans="1:9" ht="15.75" customHeight="1" x14ac:dyDescent="0.25">
      <c r="A5" s="5">
        <f t="shared" si="3"/>
        <v>2027</v>
      </c>
      <c r="B5" s="49">
        <v>7764061</v>
      </c>
      <c r="C5" s="50">
        <v>13874760</v>
      </c>
      <c r="D5" s="50">
        <v>21719749.499999996</v>
      </c>
      <c r="E5" s="50">
        <v>14368672</v>
      </c>
      <c r="F5" s="50">
        <v>10666364</v>
      </c>
      <c r="G5" s="17">
        <f t="shared" si="0"/>
        <v>60629545.5</v>
      </c>
      <c r="H5" s="17">
        <f t="shared" si="1"/>
        <v>9025800.0108204596</v>
      </c>
      <c r="I5" s="17">
        <f t="shared" si="2"/>
        <v>51603745.489179537</v>
      </c>
    </row>
    <row r="6" spans="1:9" ht="15.75" customHeight="1" x14ac:dyDescent="0.25">
      <c r="A6" s="5">
        <f t="shared" si="3"/>
        <v>2028</v>
      </c>
      <c r="B6" s="49">
        <v>7824729</v>
      </c>
      <c r="C6" s="50">
        <v>14177107.5</v>
      </c>
      <c r="D6" s="50">
        <v>22563907.5</v>
      </c>
      <c r="E6" s="50">
        <v>14677411</v>
      </c>
      <c r="F6" s="50">
        <v>10846338.5</v>
      </c>
      <c r="G6" s="17">
        <f t="shared" si="0"/>
        <v>62264764.5</v>
      </c>
      <c r="H6" s="17">
        <f t="shared" si="1"/>
        <v>9096327.1788909379</v>
      </c>
      <c r="I6" s="17">
        <f t="shared" si="2"/>
        <v>53168437.321109064</v>
      </c>
    </row>
    <row r="7" spans="1:9" ht="15.75" customHeight="1" x14ac:dyDescent="0.25">
      <c r="A7" s="5">
        <f t="shared" si="3"/>
        <v>2029</v>
      </c>
      <c r="B7" s="49">
        <v>7899761</v>
      </c>
      <c r="C7" s="50">
        <v>14449540.5</v>
      </c>
      <c r="D7" s="50">
        <v>23424257.5</v>
      </c>
      <c r="E7" s="50">
        <v>15013034</v>
      </c>
      <c r="F7" s="50">
        <v>11025058.5</v>
      </c>
      <c r="G7" s="17">
        <f t="shared" si="0"/>
        <v>63911890.5</v>
      </c>
      <c r="H7" s="17">
        <f t="shared" si="1"/>
        <v>9183552.6432982739</v>
      </c>
      <c r="I7" s="17">
        <f t="shared" si="2"/>
        <v>54728337.856701724</v>
      </c>
    </row>
    <row r="8" spans="1:9" ht="15.75" customHeight="1" x14ac:dyDescent="0.25">
      <c r="A8" s="5">
        <f t="shared" si="3"/>
        <v>2030</v>
      </c>
      <c r="B8" s="49">
        <v>7944601</v>
      </c>
      <c r="C8" s="50">
        <v>14685770</v>
      </c>
      <c r="D8" s="50">
        <v>24267506.999999996</v>
      </c>
      <c r="E8" s="50">
        <v>15401889.500000002</v>
      </c>
      <c r="F8" s="50">
        <v>11207670.999999998</v>
      </c>
      <c r="G8" s="17">
        <f t="shared" si="0"/>
        <v>65562837.5</v>
      </c>
      <c r="H8" s="17">
        <f t="shared" si="1"/>
        <v>9235679.6001170296</v>
      </c>
      <c r="I8" s="17">
        <f t="shared" si="2"/>
        <v>56327157.899882972</v>
      </c>
    </row>
    <row r="9" spans="1:9" ht="15.75" customHeight="1" x14ac:dyDescent="0.25">
      <c r="A9" s="5">
        <f t="shared" si="3"/>
        <v>2031</v>
      </c>
      <c r="B9" s="49">
        <v>8000667</v>
      </c>
      <c r="C9" s="50">
        <v>14859321</v>
      </c>
      <c r="D9" s="50">
        <v>25086841.500000004</v>
      </c>
      <c r="E9" s="50">
        <v>15853957.999999998</v>
      </c>
      <c r="F9" s="50">
        <v>11391457.999999998</v>
      </c>
      <c r="G9" s="17">
        <f t="shared" si="0"/>
        <v>67191578.5</v>
      </c>
      <c r="H9" s="17">
        <f t="shared" si="1"/>
        <v>9300856.8963034805</v>
      </c>
      <c r="I9" s="17">
        <f t="shared" si="2"/>
        <v>57890721.603696518</v>
      </c>
    </row>
    <row r="10" spans="1:9" ht="15.75" customHeight="1" x14ac:dyDescent="0.25">
      <c r="A10" s="5">
        <f t="shared" si="3"/>
        <v>2032</v>
      </c>
      <c r="B10" s="49">
        <v>8059354</v>
      </c>
      <c r="C10" s="50">
        <v>14972949.5</v>
      </c>
      <c r="D10" s="50">
        <v>25874383.5</v>
      </c>
      <c r="E10" s="50">
        <v>16363680</v>
      </c>
      <c r="F10" s="50">
        <v>11578630.5</v>
      </c>
      <c r="G10" s="17">
        <f t="shared" si="0"/>
        <v>68789643.5</v>
      </c>
      <c r="H10" s="17">
        <f t="shared" si="1"/>
        <v>9369081.1316920239</v>
      </c>
      <c r="I10" s="17">
        <f t="shared" si="2"/>
        <v>59420562.368307978</v>
      </c>
    </row>
    <row r="11" spans="1:9" ht="15.75" customHeight="1" x14ac:dyDescent="0.25">
      <c r="A11" s="5">
        <f t="shared" si="3"/>
        <v>2033</v>
      </c>
      <c r="B11" s="49">
        <v>8088355</v>
      </c>
      <c r="C11" s="50">
        <v>15041661.5</v>
      </c>
      <c r="D11" s="50">
        <v>26614744</v>
      </c>
      <c r="E11" s="50">
        <v>16931519</v>
      </c>
      <c r="F11" s="50">
        <v>11769827</v>
      </c>
      <c r="G11" s="17">
        <f t="shared" si="0"/>
        <v>70357751.5</v>
      </c>
      <c r="H11" s="17">
        <f t="shared" si="1"/>
        <v>9402795.0896469913</v>
      </c>
      <c r="I11" s="17">
        <f t="shared" si="2"/>
        <v>60954956.410353005</v>
      </c>
    </row>
    <row r="12" spans="1:9" ht="15.75" customHeight="1" x14ac:dyDescent="0.25">
      <c r="A12" s="5">
        <f t="shared" si="3"/>
        <v>2034</v>
      </c>
      <c r="B12" s="49">
        <v>8128869</v>
      </c>
      <c r="C12" s="50">
        <v>15062273.5</v>
      </c>
      <c r="D12" s="50">
        <v>27308305.5</v>
      </c>
      <c r="E12" s="50">
        <v>17555166.5</v>
      </c>
      <c r="F12" s="50">
        <v>11973506.5</v>
      </c>
      <c r="G12" s="17">
        <f t="shared" si="0"/>
        <v>71899252</v>
      </c>
      <c r="H12" s="17">
        <f t="shared" si="1"/>
        <v>9449893.0273935366</v>
      </c>
      <c r="I12" s="17">
        <f t="shared" si="2"/>
        <v>62449358.972606465</v>
      </c>
    </row>
    <row r="13" spans="1:9" ht="15.75" customHeight="1" x14ac:dyDescent="0.25">
      <c r="A13" s="5">
        <f t="shared" si="3"/>
        <v>2035</v>
      </c>
      <c r="B13" s="49">
        <v>8162901</v>
      </c>
      <c r="C13" s="50">
        <v>15045921</v>
      </c>
      <c r="D13" s="50">
        <v>27941372.499999996</v>
      </c>
      <c r="E13" s="50">
        <v>18228059.999999996</v>
      </c>
      <c r="F13" s="50">
        <v>12201910</v>
      </c>
      <c r="G13" s="17">
        <f t="shared" si="0"/>
        <v>73417263.5</v>
      </c>
      <c r="H13" s="17">
        <f t="shared" si="1"/>
        <v>9489455.5741030797</v>
      </c>
      <c r="I13" s="17">
        <f t="shared" si="2"/>
        <v>63927807.92589692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+50ODl6CurLjdFGWid7rAZtOsAj6Yt84V7m3vBTez0po9NPHjywyWBRRFxQs1jca/Nz+D3vIJjTxbuJT5e+uA==" saltValue="qAh1Ob3F0B1LAnxgZxyzb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2.3730299999999999E-2</v>
      </c>
    </row>
    <row r="4" spans="1:8" ht="15.75" customHeight="1" x14ac:dyDescent="0.25">
      <c r="B4" s="19" t="s">
        <v>97</v>
      </c>
      <c r="C4" s="101">
        <v>0.15361009999999989</v>
      </c>
    </row>
    <row r="5" spans="1:8" ht="15.75" customHeight="1" x14ac:dyDescent="0.25">
      <c r="B5" s="19" t="s">
        <v>98</v>
      </c>
      <c r="C5" s="101">
        <v>0.18025830000000001</v>
      </c>
    </row>
    <row r="6" spans="1:8" ht="15.75" customHeight="1" x14ac:dyDescent="0.25">
      <c r="B6" s="19" t="s">
        <v>99</v>
      </c>
      <c r="C6" s="101">
        <v>0.28443859999999987</v>
      </c>
    </row>
    <row r="7" spans="1:8" ht="15.75" customHeight="1" x14ac:dyDescent="0.25">
      <c r="B7" s="19" t="s">
        <v>100</v>
      </c>
      <c r="C7" s="101">
        <v>0.18089420000000009</v>
      </c>
    </row>
    <row r="8" spans="1:8" ht="15.75" customHeight="1" x14ac:dyDescent="0.25">
      <c r="B8" s="19" t="s">
        <v>101</v>
      </c>
      <c r="C8" s="101">
        <v>7.6880999999999998E-3</v>
      </c>
    </row>
    <row r="9" spans="1:8" ht="15.75" customHeight="1" x14ac:dyDescent="0.25">
      <c r="B9" s="19" t="s">
        <v>102</v>
      </c>
      <c r="C9" s="101">
        <v>4.4153200000000038E-2</v>
      </c>
    </row>
    <row r="10" spans="1:8" ht="15.75" customHeight="1" x14ac:dyDescent="0.25">
      <c r="B10" s="19" t="s">
        <v>103</v>
      </c>
      <c r="C10" s="101">
        <v>0.12522720000000001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106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107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108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109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110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111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112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113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8.6847340999999995E-2</v>
      </c>
    </row>
    <row r="27" spans="1:8" ht="15.75" customHeight="1" x14ac:dyDescent="0.25">
      <c r="B27" s="19" t="s">
        <v>120</v>
      </c>
      <c r="C27" s="101">
        <v>8.4805239999999997E-3</v>
      </c>
    </row>
    <row r="28" spans="1:8" ht="15.75" customHeight="1" x14ac:dyDescent="0.25">
      <c r="B28" s="19" t="s">
        <v>121</v>
      </c>
      <c r="C28" s="101">
        <v>0.15529126400000001</v>
      </c>
    </row>
    <row r="29" spans="1:8" ht="15.75" customHeight="1" x14ac:dyDescent="0.25">
      <c r="B29" s="19" t="s">
        <v>122</v>
      </c>
      <c r="C29" s="101">
        <v>0.168382743</v>
      </c>
    </row>
    <row r="30" spans="1:8" ht="15.75" customHeight="1" x14ac:dyDescent="0.25">
      <c r="B30" s="19" t="s">
        <v>2</v>
      </c>
      <c r="C30" s="101">
        <v>0.105182391</v>
      </c>
    </row>
    <row r="31" spans="1:8" ht="15.75" customHeight="1" x14ac:dyDescent="0.25">
      <c r="B31" s="19" t="s">
        <v>123</v>
      </c>
      <c r="C31" s="101">
        <v>0.10869061100000001</v>
      </c>
    </row>
    <row r="32" spans="1:8" ht="15.75" customHeight="1" x14ac:dyDescent="0.25">
      <c r="B32" s="19" t="s">
        <v>124</v>
      </c>
      <c r="C32" s="101">
        <v>1.8206013E-2</v>
      </c>
    </row>
    <row r="33" spans="2:3" ht="15.75" customHeight="1" x14ac:dyDescent="0.25">
      <c r="B33" s="19" t="s">
        <v>125</v>
      </c>
      <c r="C33" s="101">
        <v>8.4055170999999984E-2</v>
      </c>
    </row>
    <row r="34" spans="2:3" ht="15.75" customHeight="1" x14ac:dyDescent="0.25">
      <c r="B34" s="19" t="s">
        <v>126</v>
      </c>
      <c r="C34" s="101">
        <v>0.26486394200000002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YSfwTygBHtpNJmrPzudnofekfpqNWeqWt1pgGSZ9YgyL6KqUEPA1qOHA5AsLSABt5rVS2Vd7SYAhJ4VUGnXUng==" saltValue="cifNEIwLLoKpZHUZMKcd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132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133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137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138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5Zxga9MAvfO1kB0Uil0+zi2etgqPnLHyDjUDwf3BN25PsD7AVgCdrtWkP5pQyc89I05Z364j2faVCLpUBFImw==" saltValue="tIjWlg5QK8Fm0a/Pxv51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3.0626000000000042E-2</v>
      </c>
      <c r="D5" s="52">
        <f t="shared" si="0"/>
        <v>2.0797500000000024E-2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3FKSUt78urYd2bTe7e6zCcRvIc+pKo8hgdC55FV+Lk+nvQfYwnXZA0tYRtXmGrhAccxwys4khxqd0Q6X+mQbsA==" saltValue="Mi9je0S6/tvGmoXP5xok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ITdaxTRgF/9XxTvEcdBwqicqFi76FKuyhYj2vAwtbPRyQZAwA1dAXyeqciKVivtQwpTvwrTNulKNxezbkOo8A==" saltValue="PGU+W2jNGL+teOD/FGa8P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2162.6337342857701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0.73170000000000002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0.52051999999999998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3.3912386411708711E-2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88422.538709999993</v>
      </c>
      <c r="C22" s="109">
        <v>87226.787559999997</v>
      </c>
      <c r="D22" s="109">
        <v>86538.226389999996</v>
      </c>
      <c r="E22" s="109">
        <v>86111.950809999995</v>
      </c>
      <c r="F22" s="109">
        <v>85538.345270000005</v>
      </c>
      <c r="G22" s="109">
        <v>84749.25851</v>
      </c>
      <c r="H22" s="109">
        <v>83658.288230000006</v>
      </c>
      <c r="I22" s="109">
        <v>82150.630879999997</v>
      </c>
      <c r="J22" s="109">
        <v>80168.866670000003</v>
      </c>
      <c r="K22" s="109">
        <v>77606.609169999996</v>
      </c>
      <c r="L22" s="109">
        <v>74211.917189999993</v>
      </c>
      <c r="M22" s="109">
        <v>69716.573009999993</v>
      </c>
      <c r="N22" s="109">
        <v>63368.950949999999</v>
      </c>
      <c r="O22" s="109">
        <v>54954.193579999999</v>
      </c>
    </row>
  </sheetData>
  <sheetProtection algorithmName="SHA-512" hashValue="cFH4bXhcZcBhJgU17E36aqRQhSXP2CARBYmGURJPknuW4oO02R2CBp5KOUi3XVS7tO5Tf+v+f5WYXqSvQlK8AQ==" saltValue="wSll0vzGcVo7EKtDbN359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QimJUkNO7LhNVjxTqapqwwhHKOA2EdJa4qoqtfhvopNWIdUTHkiyE9pLv94RrAe1MEcLJkWU1AnkQOofzwjkg==" saltValue="fMpSmWtAp+i4rGVf7mrv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bxqZ+t9jRD09ciG7u89xqLUyLAspG7gAY99ixmbQubN75WIZmsbR+xj6MDf+Vn0sv90zbYJ9CWl3JlPl4GdBA==" saltValue="MlSlojsDerUKO8M/nTfeB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12.4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12.4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1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0.5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7.0000000000000007E-2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0.30538290000000001</v>
      </c>
      <c r="C10" s="98">
        <v>0.95</v>
      </c>
      <c r="D10" s="56">
        <v>13.708520680846441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13.708520680846441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13.708520680846441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13.708520680846441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0.30538290000000001</v>
      </c>
      <c r="C14" s="98">
        <v>0.95</v>
      </c>
      <c r="D14" s="56">
        <v>13.708520680846441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13.708520680846441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0.51234469999999999</v>
      </c>
      <c r="C16" s="98">
        <v>0.95</v>
      </c>
      <c r="D16" s="56">
        <v>0.89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0.143035555555556</v>
      </c>
      <c r="C17" s="98">
        <v>0.95</v>
      </c>
      <c r="D17" s="56">
        <v>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0.21</v>
      </c>
      <c r="C18" s="98">
        <v>0.95</v>
      </c>
      <c r="D18" s="56">
        <v>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0.34070879999999998</v>
      </c>
      <c r="C19" s="98">
        <v>0.95</v>
      </c>
      <c r="D19" s="56">
        <v>6.4278423769884219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1.23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0.5148045</v>
      </c>
      <c r="C23" s="98">
        <v>0.95</v>
      </c>
      <c r="D23" s="56">
        <v>4.5665474093235741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0.35049825564319997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0.30538290000000001</v>
      </c>
      <c r="C26" s="98">
        <v>0.95</v>
      </c>
      <c r="D26" s="56">
        <v>6.4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3.99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0.45741510000000002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0.31096489999999999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44.58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5.8200000000000002E-2</v>
      </c>
      <c r="C31" s="98">
        <v>0.95</v>
      </c>
      <c r="D31" s="56">
        <v>105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0.67</v>
      </c>
      <c r="C32" s="98">
        <v>0.95</v>
      </c>
      <c r="D32" s="56">
        <v>0.38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0.31078828685069099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0.54565930000000007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8.4545999999999996E-3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0.12378939999999999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0.40255580000000002</v>
      </c>
      <c r="C38" s="98">
        <v>0.95</v>
      </c>
      <c r="D38" s="56">
        <v>1.3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0.55000000000000004</v>
      </c>
      <c r="E39" s="56" t="s">
        <v>230</v>
      </c>
      <c r="F39" s="98">
        <v>1</v>
      </c>
      <c r="G39" s="98">
        <v>1</v>
      </c>
    </row>
  </sheetData>
  <sheetProtection algorithmName="SHA-512" hashValue="wO6xRpJsLNkGMNnc+x/9vheOrY7cFtHHgHJkb2cbiA5jPY8BDwAfksmwdzjF/AuJsF82WoVZEsp6m2rDZzkzKg==" saltValue="XpzF4d0YwNWj1fZv2rt3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GPN6rPbT1cTt7dXaavmSMlYgvYr2PCLrkrGr7w8vrZLLZbISk7Avlb6lIqHmT5DzpTDFvXSDhPVPyUB8MMYQw==" saltValue="WYc8Y3PlG4zCaRGRx2Sp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sITn56TWbne7/jsxOOHktxddZGfYz+9w4Sda24FB3LFbpxAJACR9LHSqdKaV7EnDcDydC90zfBGOXA45eEe2g==" saltValue="yuOm6HwxwEEDswDQlQoCX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2.496</v>
      </c>
      <c r="C2" s="21">
        <f>'Données pop de l''année de ref'!C52</f>
        <v>2.496</v>
      </c>
      <c r="D2" s="21">
        <f>'Données pop de l''année de ref'!C53</f>
        <v>5.226</v>
      </c>
      <c r="E2" s="21">
        <f>'Données pop de l''année de ref'!C54</f>
        <v>5.2519999999999998</v>
      </c>
      <c r="F2" s="21">
        <f>'Données pop de l''année de ref'!C55</f>
        <v>2.5219999999999998</v>
      </c>
    </row>
    <row r="3" spans="1:6" ht="15.75" customHeight="1" x14ac:dyDescent="0.25">
      <c r="A3" s="3" t="s">
        <v>238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237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YjA4hUmsklJBaD2jdCE3mIsH+ow4h3KnEoqrfg7R+Xgpx6DU+NvmIKy+3sUPNLe9qJTI8uEaAc4G+M5uAACPtg==" saltValue="P0vw/qFvs1aduHMQKlyRn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0.34699999999999998</v>
      </c>
      <c r="F2" s="60">
        <f>food_insecure</f>
        <v>0.34699999999999998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0.34699999999999998</v>
      </c>
      <c r="F5" s="60">
        <f>food_insecure</f>
        <v>0.34699999999999998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5.4458181818181822E-2</v>
      </c>
      <c r="D7" s="60">
        <f>diarrhoea_1_5mo*frac_diarrhea_severe</f>
        <v>5.4458181818181822E-2</v>
      </c>
      <c r="E7" s="60">
        <f>diarrhoea_6_11mo*frac_diarrhea_severe</f>
        <v>0.1140218181818182</v>
      </c>
      <c r="F7" s="60">
        <f>diarrhoea_12_23mo*frac_diarrhea_severe</f>
        <v>0.11458909090909092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0.34699999999999998</v>
      </c>
      <c r="F8" s="60">
        <f>food_insecure</f>
        <v>0.34699999999999998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0.34699999999999998</v>
      </c>
      <c r="F9" s="60">
        <f>food_insecure</f>
        <v>0.34699999999999998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5.4458181818181822E-2</v>
      </c>
      <c r="D12" s="60">
        <f>diarrhoea_1_5mo*frac_diarrhea_severe</f>
        <v>5.4458181818181822E-2</v>
      </c>
      <c r="E12" s="60">
        <f>diarrhoea_6_11mo*frac_diarrhea_severe</f>
        <v>0.1140218181818182</v>
      </c>
      <c r="F12" s="60">
        <f>diarrhoea_12_23mo*frac_diarrhea_severe</f>
        <v>0.11458909090909092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0.34699999999999998</v>
      </c>
      <c r="I15" s="60">
        <f t="shared" si="0"/>
        <v>0.34699999999999998</v>
      </c>
      <c r="J15" s="60">
        <f t="shared" si="0"/>
        <v>0.34699999999999998</v>
      </c>
      <c r="K15" s="60">
        <f t="shared" si="0"/>
        <v>0.34699999999999998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0.34699999999999998</v>
      </c>
      <c r="I16" s="60">
        <f t="shared" si="0"/>
        <v>0.34699999999999998</v>
      </c>
      <c r="J16" s="60">
        <f t="shared" si="0"/>
        <v>0.34699999999999998</v>
      </c>
      <c r="K16" s="60">
        <f t="shared" si="0"/>
        <v>0.34699999999999998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0.37935568663700403</v>
      </c>
      <c r="M25" s="60">
        <f>(1-food_insecure)*(0.49)+food_insecure*(0.7)</f>
        <v>0.56286999999999998</v>
      </c>
      <c r="N25" s="60">
        <f>(1-food_insecure)*(0.49)+food_insecure*(0.7)</f>
        <v>0.56286999999999998</v>
      </c>
      <c r="O25" s="60">
        <f>(1-food_insecure)*(0.49)+food_insecure*(0.7)</f>
        <v>0.56286999999999998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0.16258100855871602</v>
      </c>
      <c r="M26" s="60">
        <f>(1-food_insecure)*(0.21)+food_insecure*(0.3)</f>
        <v>0.24123</v>
      </c>
      <c r="N26" s="60">
        <f>(1-food_insecure)*(0.21)+food_insecure*(0.3)</f>
        <v>0.24123</v>
      </c>
      <c r="O26" s="60">
        <f>(1-food_insecure)*(0.21)+food_insecure*(0.3)</f>
        <v>0.24123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0.13203009400428001</v>
      </c>
      <c r="M27" s="60">
        <f>(1-food_insecure)*(0.3)</f>
        <v>0.19589999999999999</v>
      </c>
      <c r="N27" s="60">
        <f>(1-food_insecure)*(0.3)</f>
        <v>0.19589999999999999</v>
      </c>
      <c r="O27" s="60">
        <f>(1-food_insecure)*(0.3)</f>
        <v>0.19589999999999999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AWT5CAafLY9jo9RGmk6VuT0kBaI5o0W/dLWf/8Kf2hQrQ8IFURsMJqpHSjsswG8QLv2VWqDjS0lW27ccmZTTA==" saltValue="qy2xsaarHq/IYoGHpRlj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+dpUgGtemDrwN+Up6Qo7Z2XbtQM8rKvdwp3yGUpdNTZRD58x1z5UUriLFl9Y9+b954mDsvluJrI5Cm65PFGng==" saltValue="DZpa+Wfjzxy6USmvkEIu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JYehOp707QvTEwKkTwCWBenGSsSzPxKDYg8lg4tJfGpDUk3ZGSCjbsTIBFDA/JN0+jwzlK1bgM5tVUa7bvoFw==" saltValue="Dd/sFtUSCbpMEmodtP7ox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6/Vl4Mwae+P3+d7kjBaVJ0MRuWRWU1euqU3b5AMwxvak2kZpDto7Nk+AkrULAkGnf7xxKc11xHMLuhU5m5sMQ==" saltValue="Rrx+omCy+JNMmuVCbK/r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2Sd7FyAto4xy6rWDs+cfIUEA5CmIXluKYnxKaz3dz99bBqzKROsXlqEjE1y8ivCP6F3iy6D58t8fSQ9L9CQtFQ==" saltValue="yTj4grrgj939WW3Nhith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NmXXgWlGUThbf9anSF2sUWyiw443Q3JGaVBllzoVQxXjzFWRJfYSH8DikLkgbxDYJGUpYsinvkx2DQwlxuxrHA==" saltValue="gEPiD9E+aQ37Eqk41Wx2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KacxWsCYAUNVTkfrnq23ZymvOdMyef3CEILH/3jUP4kv9HvVDIKICopUPcWL69Y2hBUyulSNQMbZmI7KCO3tw==" saltValue="Y8ofjbFPOKM8aP6rkhwv+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yOMx+2It0HlcIHXDQJtgSEqnV/G89F0U89qxI9Z/vh1zjEssRY9qJWAxwAg4cRrb70fmmo4NS/Z3Uc5rIfcENg==" saltValue="o4wBJHyQrYgnKqD9X+QK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4tTopqWTSPlSyas+AkO0bgTwFe5cY9rhLwwX+Zexd/b2BHsbOfp9Zpsqh7LAov58e4BM2KWOKieRzE0G9262A==" saltValue="elhwLEXDH98apBnjNE3Y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omWbIwZRvldy3IgQxlGUyCHBQdEDTfHhGrREyzdaISdCb7vrVui/TL8fykuh+ZgADBde8WYvYFOuYywKRSssg==" saltValue="0ug6o3nqxH1dHh4/9oWy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Ib/ynKS7qsGqlJz1yOsOjhuwQSw26w74mG+zt299RIxEx+EXg+w+RnXjkd/3CkxyRmC2K/fQbAnzi1RhxE5Gw==" saltValue="73verAjwksqFEtVNqKCo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NgD6xb/TU12t1fICWXi/uymn9Hg2xiI6GCBzf+5FWD6gtebfxddoD6/S1567ggBU/2Mjt70j8ImGzcT7XNH7A==" saltValue="Zv5+UPRKqKhoaedf3ptk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nurvAQ+VXPKgp8o31stRW4KyzJL9N5onWZCNwOhmMu+ex49AZT+TnUr6bX3kNn/3JNLVgTh3w/WgWZaqeeGDA==" saltValue="dtnPU13OjGEX6gbaJ59x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WmEpyDZ8j4fg52z1ivLRqiUhTZuhmlGK7WlNdFdWoRR+2a1rZUGjv8cLp+YArLQyH5gZNYfeidgd31wueDoPw==" saltValue="eekfNjyYGIo3dQVw7wTC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4GzMNabY7mwrVKUapljnM+o7CVn3iHfEhWMV7kNik5pbYdXmtcEBWsQ5Rvp3xbN6Kr7+J5gcHBksU5+BZvyvA==" saltValue="oO8hka0kToHaXQrc8YGYK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