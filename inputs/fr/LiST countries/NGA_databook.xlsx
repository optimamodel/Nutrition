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B01FCBF-8FBD-4F86-A1FF-4F6B6B15410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4" i="2"/>
  <c r="A25" i="2"/>
  <c r="A36" i="2"/>
  <c r="A37" i="2"/>
  <c r="I9" i="2"/>
  <c r="I13" i="2"/>
  <c r="I38" i="2"/>
  <c r="A26" i="2"/>
  <c r="I39" i="2"/>
  <c r="A31" i="2"/>
  <c r="A34" i="2"/>
  <c r="A40" i="2"/>
  <c r="I11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<sst xmlns="http://schemas.openxmlformats.org/spreadsheetml/2006/main" count="2169" uniqueCount="369">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</sst>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33829090</v>
      </c>
    </row>
    <row r="8" spans="1:3" ht="15" customHeight="1" x14ac:dyDescent="0.25">
      <c r="B8" s="5" t="s">
        <v>37</v>
      </c>
      <c r="C8" s="44">
        <v>0.34699999999999998</v>
      </c>
    </row>
    <row r="9" spans="1:3" ht="15" customHeight="1" x14ac:dyDescent="0.25">
      <c r="B9" s="5" t="s">
        <v>38</v>
      </c>
      <c r="C9" s="45">
        <v>0.99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9.9700000000000011E-2</v>
      </c>
    </row>
    <row r="24" spans="1:3" ht="15" customHeight="1" x14ac:dyDescent="0.25">
      <c r="B24" s="15" t="s">
        <v>51</v>
      </c>
      <c r="C24" s="45">
        <v>0.43430000000000002</v>
      </c>
    </row>
    <row r="25" spans="1:3" ht="15" customHeight="1" x14ac:dyDescent="0.25">
      <c r="B25" s="15" t="s">
        <v>52</v>
      </c>
      <c r="C25" s="45">
        <v>0.35899999999999999</v>
      </c>
    </row>
    <row r="26" spans="1:3" ht="15" customHeight="1" x14ac:dyDescent="0.25">
      <c r="B26" s="15" t="s">
        <v>53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0.19573648727283799</v>
      </c>
    </row>
    <row r="30" spans="1:3" ht="14.25" customHeight="1" x14ac:dyDescent="0.25">
      <c r="B30" s="25" t="s">
        <v>56</v>
      </c>
      <c r="C30" s="97">
        <v>6.6216535073416599E-2</v>
      </c>
    </row>
    <row r="31" spans="1:3" ht="14.25" customHeight="1" x14ac:dyDescent="0.25">
      <c r="B31" s="25" t="s">
        <v>57</v>
      </c>
      <c r="C31" s="97">
        <v>0.13435462918095001</v>
      </c>
    </row>
    <row r="32" spans="1:3" ht="14.25" customHeight="1" x14ac:dyDescent="0.25">
      <c r="B32" s="25" t="s">
        <v>58</v>
      </c>
      <c r="C32" s="97">
        <v>0.60369234847279496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34.921909999999997</v>
      </c>
    </row>
    <row r="38" spans="1:5" ht="15" customHeight="1" x14ac:dyDescent="0.25">
      <c r="B38" s="11" t="s">
        <v>63</v>
      </c>
      <c r="C38" s="43">
        <v>70.588530000000006</v>
      </c>
      <c r="D38" s="12"/>
      <c r="E38" s="13"/>
    </row>
    <row r="39" spans="1:5" ht="15" customHeight="1" x14ac:dyDescent="0.25">
      <c r="B39" s="11" t="s">
        <v>64</v>
      </c>
      <c r="C39" s="43">
        <v>110.81927</v>
      </c>
      <c r="D39" s="12"/>
      <c r="E39" s="12"/>
    </row>
    <row r="40" spans="1:5" ht="15" customHeight="1" x14ac:dyDescent="0.25">
      <c r="B40" s="11" t="s">
        <v>65</v>
      </c>
      <c r="C40" s="98">
        <v>10.47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8.4424999999999986E-3</v>
      </c>
      <c r="D45" s="12"/>
    </row>
    <row r="46" spans="1:5" ht="15.75" customHeight="1" x14ac:dyDescent="0.25">
      <c r="B46" s="11" t="s">
        <v>70</v>
      </c>
      <c r="C46" s="45">
        <v>9.0714000000000003E-2</v>
      </c>
      <c r="D46" s="12"/>
    </row>
    <row r="47" spans="1:5" ht="15.75" customHeight="1" x14ac:dyDescent="0.25">
      <c r="B47" s="11" t="s">
        <v>71</v>
      </c>
      <c r="C47" s="45">
        <v>7.29717E-2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2.496</v>
      </c>
      <c r="D51" s="12"/>
    </row>
    <row r="52" spans="1:4" ht="15" customHeight="1" x14ac:dyDescent="0.25">
      <c r="B52" s="11" t="s">
        <v>75</v>
      </c>
      <c r="C52" s="98">
        <v>2.496</v>
      </c>
    </row>
    <row r="53" spans="1:4" ht="15.75" customHeight="1" x14ac:dyDescent="0.25">
      <c r="B53" s="11" t="s">
        <v>76</v>
      </c>
      <c r="C53" s="98">
        <v>5.226</v>
      </c>
    </row>
    <row r="54" spans="1:4" ht="15.75" customHeight="1" x14ac:dyDescent="0.25">
      <c r="B54" s="11" t="s">
        <v>77</v>
      </c>
      <c r="C54" s="98">
        <v>5.2519999999999998</v>
      </c>
    </row>
    <row r="55" spans="1:4" ht="15.75" customHeight="1" x14ac:dyDescent="0.25">
      <c r="B55" s="11" t="s">
        <v>78</v>
      </c>
      <c r="C55" s="98">
        <v>2.5219999999999998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0.419354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XNdwkfA1merqjBaXEtO6QNuIgnaWnlIUdQuy+7ck0hi0s1P8BD2lC+nK0aKVx1cMWWZU+VmJJIr1O/6HVaVUA==" saltValue="WLYiFykRirrRuzxSc7wF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7oVlhuzr3KjFBIjtvrmrAUi6VBKiVHl1ANW2RfKdmpyOa4HNS0xA+P164LhoTHb7JSBg/IgMmieF/6+MuLLCg==" saltValue="Voa36vASmBsosglMWT29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2.3730299999999999E-2</v>
      </c>
    </row>
    <row r="4" spans="1:8" ht="15.75" customHeight="1" x14ac:dyDescent="0.25">
      <c r="B4" s="19" t="s">
        <v>97</v>
      </c>
      <c r="C4" s="99">
        <v>0.15361009999999989</v>
      </c>
    </row>
    <row r="5" spans="1:8" ht="15.75" customHeight="1" x14ac:dyDescent="0.25">
      <c r="B5" s="19" t="s">
        <v>98</v>
      </c>
      <c r="C5" s="99">
        <v>0.18025830000000001</v>
      </c>
    </row>
    <row r="6" spans="1:8" ht="15.75" customHeight="1" x14ac:dyDescent="0.25">
      <c r="B6" s="19" t="s">
        <v>99</v>
      </c>
      <c r="C6" s="99">
        <v>0.28443859999999987</v>
      </c>
    </row>
    <row r="7" spans="1:8" ht="15.75" customHeight="1" x14ac:dyDescent="0.25">
      <c r="B7" s="19" t="s">
        <v>100</v>
      </c>
      <c r="C7" s="99">
        <v>0.18089420000000009</v>
      </c>
    </row>
    <row r="8" spans="1:8" ht="15.75" customHeight="1" x14ac:dyDescent="0.25">
      <c r="B8" s="19" t="s">
        <v>101</v>
      </c>
      <c r="C8" s="99">
        <v>7.6880999999999998E-3</v>
      </c>
    </row>
    <row r="9" spans="1:8" ht="15.75" customHeight="1" x14ac:dyDescent="0.25">
      <c r="B9" s="19" t="s">
        <v>102</v>
      </c>
      <c r="C9" s="99">
        <v>4.4153200000000038E-2</v>
      </c>
    </row>
    <row r="10" spans="1:8" ht="15.75" customHeight="1" x14ac:dyDescent="0.25">
      <c r="B10" s="19" t="s">
        <v>103</v>
      </c>
      <c r="C10" s="99">
        <v>0.12522720000000001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106</v>
      </c>
      <c r="C15" s="99">
        <v>0.19525974369423979</v>
      </c>
      <c r="D15" s="99">
        <v>0.19525974369423979</v>
      </c>
      <c r="E15" s="99">
        <v>0.19525974369423979</v>
      </c>
      <c r="F15" s="99">
        <v>0.19525974369423979</v>
      </c>
    </row>
    <row r="16" spans="1:8" ht="15.75" customHeight="1" x14ac:dyDescent="0.25">
      <c r="B16" s="19" t="s">
        <v>107</v>
      </c>
      <c r="C16" s="99">
        <v>2.722073044841733E-2</v>
      </c>
      <c r="D16" s="99">
        <v>2.722073044841733E-2</v>
      </c>
      <c r="E16" s="99">
        <v>2.722073044841733E-2</v>
      </c>
      <c r="F16" s="99">
        <v>2.722073044841733E-2</v>
      </c>
    </row>
    <row r="17" spans="1:8" ht="15.75" customHeight="1" x14ac:dyDescent="0.25">
      <c r="B17" s="19" t="s">
        <v>108</v>
      </c>
      <c r="C17" s="99">
        <v>4.6405501980126163E-2</v>
      </c>
      <c r="D17" s="99">
        <v>4.6405501980126163E-2</v>
      </c>
      <c r="E17" s="99">
        <v>4.6405501980126163E-2</v>
      </c>
      <c r="F17" s="99">
        <v>4.6405501980126163E-2</v>
      </c>
    </row>
    <row r="18" spans="1:8" ht="15.75" customHeight="1" x14ac:dyDescent="0.25">
      <c r="B18" s="19" t="s">
        <v>109</v>
      </c>
      <c r="C18" s="99">
        <v>0.30288838111377808</v>
      </c>
      <c r="D18" s="99">
        <v>0.30288838111377808</v>
      </c>
      <c r="E18" s="99">
        <v>0.30288838111377808</v>
      </c>
      <c r="F18" s="99">
        <v>0.30288838111377808</v>
      </c>
    </row>
    <row r="19" spans="1:8" ht="15.75" customHeight="1" x14ac:dyDescent="0.25">
      <c r="B19" s="19" t="s">
        <v>110</v>
      </c>
      <c r="C19" s="99">
        <v>1.283837375823718E-2</v>
      </c>
      <c r="D19" s="99">
        <v>1.283837375823718E-2</v>
      </c>
      <c r="E19" s="99">
        <v>1.283837375823718E-2</v>
      </c>
      <c r="F19" s="99">
        <v>1.283837375823718E-2</v>
      </c>
    </row>
    <row r="20" spans="1:8" ht="15.75" customHeight="1" x14ac:dyDescent="0.25">
      <c r="B20" s="19" t="s">
        <v>111</v>
      </c>
      <c r="C20" s="99">
        <v>2.0584470768969271E-2</v>
      </c>
      <c r="D20" s="99">
        <v>2.0584470768969271E-2</v>
      </c>
      <c r="E20" s="99">
        <v>2.0584470768969271E-2</v>
      </c>
      <c r="F20" s="99">
        <v>2.0584470768969271E-2</v>
      </c>
    </row>
    <row r="21" spans="1:8" ht="15.75" customHeight="1" x14ac:dyDescent="0.25">
      <c r="B21" s="19" t="s">
        <v>112</v>
      </c>
      <c r="C21" s="99">
        <v>4.3581722040455448E-2</v>
      </c>
      <c r="D21" s="99">
        <v>4.3581722040455448E-2</v>
      </c>
      <c r="E21" s="99">
        <v>4.3581722040455448E-2</v>
      </c>
      <c r="F21" s="99">
        <v>4.3581722040455448E-2</v>
      </c>
    </row>
    <row r="22" spans="1:8" ht="15.75" customHeight="1" x14ac:dyDescent="0.25">
      <c r="B22" s="19" t="s">
        <v>113</v>
      </c>
      <c r="C22" s="99">
        <v>9.0741460776234198E-2</v>
      </c>
      <c r="D22" s="99">
        <v>9.0741460776234198E-2</v>
      </c>
      <c r="E22" s="99">
        <v>9.0741460776234198E-2</v>
      </c>
      <c r="F22" s="99">
        <v>9.0741460776234198E-2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8.6847340999999995E-2</v>
      </c>
    </row>
    <row r="27" spans="1:8" ht="15.75" customHeight="1" x14ac:dyDescent="0.25">
      <c r="B27" s="19" t="s">
        <v>120</v>
      </c>
      <c r="C27" s="99">
        <v>8.4805239999999997E-3</v>
      </c>
    </row>
    <row r="28" spans="1:8" ht="15.75" customHeight="1" x14ac:dyDescent="0.25">
      <c r="B28" s="19" t="s">
        <v>121</v>
      </c>
      <c r="C28" s="99">
        <v>0.15529126400000001</v>
      </c>
    </row>
    <row r="29" spans="1:8" ht="15.75" customHeight="1" x14ac:dyDescent="0.25">
      <c r="B29" s="19" t="s">
        <v>122</v>
      </c>
      <c r="C29" s="99">
        <v>0.168382743</v>
      </c>
    </row>
    <row r="30" spans="1:8" ht="15.75" customHeight="1" x14ac:dyDescent="0.25">
      <c r="B30" s="19" t="s">
        <v>2</v>
      </c>
      <c r="C30" s="99">
        <v>0.105182391</v>
      </c>
    </row>
    <row r="31" spans="1:8" ht="15.75" customHeight="1" x14ac:dyDescent="0.25">
      <c r="B31" s="19" t="s">
        <v>123</v>
      </c>
      <c r="C31" s="99">
        <v>0.10869061100000001</v>
      </c>
    </row>
    <row r="32" spans="1:8" ht="15.75" customHeight="1" x14ac:dyDescent="0.25">
      <c r="B32" s="19" t="s">
        <v>124</v>
      </c>
      <c r="C32" s="99">
        <v>1.8206013E-2</v>
      </c>
    </row>
    <row r="33" spans="2:3" ht="15.75" customHeight="1" x14ac:dyDescent="0.25">
      <c r="B33" s="19" t="s">
        <v>125</v>
      </c>
      <c r="C33" s="99">
        <v>8.4055170999999984E-2</v>
      </c>
    </row>
    <row r="34" spans="2:3" ht="15.75" customHeight="1" x14ac:dyDescent="0.25">
      <c r="B34" s="19" t="s">
        <v>126</v>
      </c>
      <c r="C34" s="99">
        <v>0.26486394200000002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Za851wYEbM1E+uGCM3zthn5PobkGHxr67xwG3nQiZcbOYiXcQadbkxF2CcroqWsSxlg5TcT1GkuR3XTvmxAKw==" saltValue="6ot4v6lKELIqdSyL7CMP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132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133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137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138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dY0dmgm2C1paxGBVV+hV/Scnb5Cw8gdi5VdES3dJ6ctjhBfzWdvLs6Os4Ev2r8ezr0Kcrg80xOzHC/z5acsqg==" saltValue="1UKKF7pJ3bYXij3YPmmV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6z+2xb20PS4dc2c2bDKF3LirkZnxWcjiDMLLcac5N9a2ZIb0v2SLFd5Ws+eWgunRX0BdJxNGsVxyMni95scJFg==" saltValue="sZLA4g1u5gqcBCb0fiWB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qhRXYMoasqOBulB+uquKaNgSmQtNkP6Fy3cXLYqcO2+CCmLeUuUe3OUxE0z3PcKjlvcXDDqFA2Mbrpwu0PSFQ==" saltValue="DxZrEYpS+Qg3xCAPx7Mc4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2162.6337342857701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0.73170000000000002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0.52051999999999998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3.3912386411708711E-2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88422.538709999993</v>
      </c>
      <c r="C22" s="107">
        <v>87226.787559999997</v>
      </c>
      <c r="D22" s="107">
        <v>86538.226389999996</v>
      </c>
      <c r="E22" s="107">
        <v>86111.950809999995</v>
      </c>
      <c r="F22" s="107">
        <v>85538.345270000005</v>
      </c>
      <c r="G22" s="107">
        <v>84749.25851</v>
      </c>
      <c r="H22" s="107">
        <v>83658.288230000006</v>
      </c>
      <c r="I22" s="107">
        <v>82150.630879999997</v>
      </c>
      <c r="J22" s="107">
        <v>80168.866670000003</v>
      </c>
      <c r="K22" s="107">
        <v>77606.609169999996</v>
      </c>
      <c r="L22" s="107">
        <v>74211.917189999993</v>
      </c>
      <c r="M22" s="107">
        <v>69716.573009999993</v>
      </c>
      <c r="N22" s="107">
        <v>63368.950949999999</v>
      </c>
      <c r="O22" s="107">
        <v>54954.193579999999</v>
      </c>
    </row>
  </sheetData>
  <sheetProtection algorithmName="SHA-512" hashValue="64Vw6IEXJwE/+b6ubnr6pgZT6His2SE9BL0OPtwoVYC9JplmCusOQj4wlBxqr/qrDY0LrI49N7AkvcbgM69DjA==" saltValue="LT1tYTgBleDmFrVgUTAY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OpGkWwtvYSxZ3zYrWlpUXchAi169vzljkBxq0Ec7wxQKYgevZ0RaMUaA4uO2gCYMcf5zaE5YRlEPDOAoVwMeA==" saltValue="Y5mel4QECl2BWlb6FQJk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oci4dYM5HCreuBtyrNCbTUu1UbC28D0ItCaFPv9j9E/WtMfZFRHh1JM0uUuuWrOl1VznDK1t/UWa1iZra0kWg==" saltValue="RejYtBmSHxiaKxxPB1+L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0.5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7.0000000000000007E-2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0.30538290000000001</v>
      </c>
      <c r="C10" s="96">
        <v>0.95</v>
      </c>
      <c r="D10" s="56">
        <v>13.708520680846441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13.708520680846441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13.708520680846441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13.708520680846441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0.30538290000000001</v>
      </c>
      <c r="C14" s="96">
        <v>0.95</v>
      </c>
      <c r="D14" s="56">
        <v>13.708520680846441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13.708520680846441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0.51234469999999999</v>
      </c>
      <c r="C16" s="96">
        <v>0.95</v>
      </c>
      <c r="D16" s="56">
        <v>0.89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0.143035555555556</v>
      </c>
      <c r="C17" s="96">
        <v>0.95</v>
      </c>
      <c r="D17" s="56">
        <v>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0.21</v>
      </c>
      <c r="C18" s="96">
        <v>0.95</v>
      </c>
      <c r="D18" s="56">
        <v>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0.34070879999999998</v>
      </c>
      <c r="C19" s="96">
        <v>0.95</v>
      </c>
      <c r="D19" s="56">
        <v>6.4278423769884219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1.23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0.5148045</v>
      </c>
      <c r="C23" s="96">
        <v>0.95</v>
      </c>
      <c r="D23" s="56">
        <v>4.5665474093235741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0.35049825564319997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0.30538290000000001</v>
      </c>
      <c r="C26" s="96">
        <v>0.95</v>
      </c>
      <c r="D26" s="56">
        <v>6.4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3.99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0.45741510000000002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0.31096489999999999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44.58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5.8200000000000002E-2</v>
      </c>
      <c r="C31" s="96">
        <v>0.95</v>
      </c>
      <c r="D31" s="56">
        <v>105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0.67</v>
      </c>
      <c r="C32" s="96">
        <v>0.95</v>
      </c>
      <c r="D32" s="56">
        <v>0.38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0.31078828685069099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0.54565930000000007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8.4545999999999996E-3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0.12378939999999999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0.40255580000000002</v>
      </c>
      <c r="C38" s="96">
        <v>0.95</v>
      </c>
      <c r="D38" s="56">
        <v>1.3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0.55000000000000004</v>
      </c>
      <c r="E39" s="56" t="s">
        <v>230</v>
      </c>
      <c r="F39" s="96">
        <v>1</v>
      </c>
      <c r="G39" s="96">
        <v>1</v>
      </c>
    </row>
  </sheetData>
  <sheetProtection algorithmName="SHA-512" hashValue="AXlAC3LD7SrjEov9TRcAVy4yXsOBkrHyrUg2HXuN9T7aWerQe64urvTHNGwTlV0/fnowd7v9AdukWpUfenK4zA==" saltValue="aKZoJ0fOFRFipf3grJJa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kqXA18ZFlvvgszqbwupcAuvGojSMjlT5Jv6RAY2EMtTxL/GvdTuh58ZMPv/HTqqIfUxqZXaCIIGnoFuemZpoA==" saltValue="uMSYZrgS4OYquMY31aac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orXDfWPjve96qKOBzUUA14RNwxumK3/ZN3wr2XvjhWev1Cdenl4XN8L5w8crfQp92+GdqDCtJ0DhXqMw942Gw==" saltValue="Re6Z5Lp/LQepn+LR6smD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2.496</v>
      </c>
      <c r="C2" s="21">
        <f>'Données pop de l''année de ref'!C52</f>
        <v>2.496</v>
      </c>
      <c r="D2" s="21">
        <f>'Données pop de l''année de ref'!C53</f>
        <v>5.226</v>
      </c>
      <c r="E2" s="21">
        <f>'Données pop de l''année de ref'!C54</f>
        <v>5.2519999999999998</v>
      </c>
      <c r="F2" s="21">
        <f>'Données pop de l''année de ref'!C55</f>
        <v>2.5219999999999998</v>
      </c>
    </row>
    <row r="3" spans="1:6" ht="15.75" customHeight="1" x14ac:dyDescent="0.25">
      <c r="A3" s="3" t="s">
        <v>238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237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H34RavrxH3Xgdxrbbe8OjO4Bgvtu1qcCH3a4Ca0zGA7MjvKFmDy5jl3NptUXHP8VjMIQHRGBvyi2oYSBA/KW2A==" saltValue="ImnRj3Xg2N/FQDUt33jz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dYkWRAY44AEJuMNfzxPAj4LwGy1AwPn8d0xB9KHCdv6Q/2CaQ9fL2PhRvQE8eHfNd+6KuJiZElgA0fqUmq5tA==" saltValue="AB+QvaEBXJaz7WdXp0P1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RRhmzfKAU0E+x6OkZ4lQv7M71ju3Vbx24nhGj4ZkSq9KHKXJjO2CLkbsspFfdUu04ZuK3KhzgdlR1agSLVGCg==" saltValue="sz/AoO4PtZucr0kl62cx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TuEzsecPgi7ICg6U+GE2HZrXSwK69DcSHxbfdUYafslsDPRkB7sXiOau5j2wSp+PBZtpw99tv/nucG9KWPOvw==" saltValue="SdD1S8FekC3/wk95FTUs9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azAWMrAk33DUwomI7PiSZ7cUV60ndW6Sygh6WfIBHYoDJRiEYf6gVCb++yfu62kvjIqcZxKXRJX4bFJTNQqkw==" saltValue="rf2bW061sWSo2NqtiVqI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/1+Z9/4dKtjVM5pnsbp/PWhq3fzUPODrAWNUtWjuaZXQ5ijAEhHm70nJAaCV1B45SmjZYVhyE6vCbBHI8fjJNA==" saltValue="KL4BRKOGk8Hu11+J31Tr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i0/0rbtuhTsiSsJwRMBtvgQjoRLpw6PUluhNmdAvTWhzI9M02AyKhBomf2kf4e+4Yu6h9NvKoUZdIi1jN/bgxA==" saltValue="/aB+MTKbJFpDc43eoLrN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GXYVGPfG6jiJQzHE9sccDc7pAAfOQtdg1jOLaIdoKKYqGF+gnMg1zNEbPet02w7W2gkixtmuezfLoN+OEw9Yw==" saltValue="e/TQLXHlVZDiNFn/3ok47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6l4ST+kMa1n9nNjKHG0unNkwPLfgr3gC95sYFPM67oEoTb0SUhqbjF7Vc6sYzfU2UvvAuMyohgD4rKXG2pDAA==" saltValue="KOZV8ORcRRxOL5WMeh2A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efws+ZgxRmjQh9HrWqx8tM8VKB/XLwaH/NtfhvVktp1aDji3EpW/uKoOIS2PGiqEZVcJwt0FEB0T220isIYqg==" saltValue="yJwIVKV2rSacDh7gH/gQ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RIx8c802OXxmPFNE9QrU7Qb26MNWrf1HRiF1ZqyAHc5dU+9sMYCvmbh2z3u5JbcIhqQ3yiCe6NqqdbI7hGNxQ==" saltValue="AAWDnVzgGIECUaS85brW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iwXkAqKHkbndASvnYmxsH5vfdbwTgA3xKBDXQn8CiRQHAnIa5smzYejdM+ung1HQONsfpK7JrNeWuppJNdQbg==" saltValue="9qFX/5BKYg8Tk4Al0biZ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15KaUizIoHjtxfO5ZwltBkpGhNp4ZFVyRIbK3746Bm/+Q4eBKiAo20OBeerj0RlL7z/JoeDvKoQumI3kDp8tg==" saltValue="mSNyu7MdfphccCJott8R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ui8AMEKiYJ9TEnLFnrzsLo9Im5jBpJ6hu8le01nj9knlFTvFgC7TdsX6x1fXgOCTswDfZloImaFHWO9uKNMDQ==" saltValue="yk/OXf5KfSi98nUwY5SE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2xHq3nJuppnlWMXU5jqgJJs8kowfZmwRiT2GzSlwoJggOKQp0T0yqpN50t5pujBrSr8o7lRA1y4VceJZTXmdQ==" saltValue="VPYwPRl5SKf6rcUSl3YQ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1pAPP54YsJlKY2avUV73oS1sgXlE715DpgfHxGLsmM0557qohHFCucqIewDdbz10Gp8QGWqvGUYcz+xtx+E+rQ==" saltValue="69Q78du6mBoRFDGJ0nX6G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