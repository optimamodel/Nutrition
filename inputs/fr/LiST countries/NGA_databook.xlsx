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E5C50B19-C4A1-4E57-97CE-3656560B981C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<sst xmlns="http://schemas.openxmlformats.org/spreadsheetml/2006/main" count="2102" uniqueCount="337">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</sst>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36442523.5</v>
      </c>
    </row>
    <row r="8" spans="1:3" ht="15" customHeight="1" x14ac:dyDescent="0.25">
      <c r="B8" s="5" t="s">
        <v>19</v>
      </c>
      <c r="C8" s="44">
        <v>0.53500000000000003</v>
      </c>
    </row>
    <row r="9" spans="1:3" ht="15" customHeight="1" x14ac:dyDescent="0.25">
      <c r="B9" s="5" t="s">
        <v>20</v>
      </c>
      <c r="C9" s="45">
        <v>0.99</v>
      </c>
    </row>
    <row r="10" spans="1:3" ht="15" customHeight="1" x14ac:dyDescent="0.25">
      <c r="B10" s="5" t="s">
        <v>21</v>
      </c>
      <c r="C10" s="45">
        <v>0.32603321079999997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0.73699999999999999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9.9700000000000011E-2</v>
      </c>
    </row>
    <row r="24" spans="1:3" ht="15" customHeight="1" x14ac:dyDescent="0.25">
      <c r="B24" s="15" t="s">
        <v>33</v>
      </c>
      <c r="C24" s="45">
        <v>0.43430000000000002</v>
      </c>
    </row>
    <row r="25" spans="1:3" ht="15" customHeight="1" x14ac:dyDescent="0.25">
      <c r="B25" s="15" t="s">
        <v>34</v>
      </c>
      <c r="C25" s="45">
        <v>0.35899999999999999</v>
      </c>
    </row>
    <row r="26" spans="1:3" ht="15" customHeight="1" x14ac:dyDescent="0.25">
      <c r="B26" s="15" t="s">
        <v>35</v>
      </c>
      <c r="C26" s="45">
        <v>0.107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0.19573648727283799</v>
      </c>
    </row>
    <row r="30" spans="1:3" ht="14.25" customHeight="1" x14ac:dyDescent="0.25">
      <c r="B30" s="25" t="s">
        <v>38</v>
      </c>
      <c r="C30" s="99">
        <v>6.6216535073416599E-2</v>
      </c>
    </row>
    <row r="31" spans="1:3" ht="14.25" customHeight="1" x14ac:dyDescent="0.25">
      <c r="B31" s="25" t="s">
        <v>39</v>
      </c>
      <c r="C31" s="99">
        <v>0.13435462918095001</v>
      </c>
    </row>
    <row r="32" spans="1:3" ht="14.25" customHeight="1" x14ac:dyDescent="0.25">
      <c r="B32" s="25" t="s">
        <v>40</v>
      </c>
      <c r="C32" s="99">
        <v>0.60369234847279496</v>
      </c>
    </row>
    <row r="33" spans="1:5" ht="13" customHeight="1" x14ac:dyDescent="0.25">
      <c r="B33" s="27" t="s">
        <v>41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34.921909999999997</v>
      </c>
    </row>
    <row r="38" spans="1:5" ht="15" customHeight="1" x14ac:dyDescent="0.25">
      <c r="B38" s="11" t="s">
        <v>45</v>
      </c>
      <c r="C38" s="43">
        <v>70.588530000000006</v>
      </c>
      <c r="D38" s="12"/>
      <c r="E38" s="13"/>
    </row>
    <row r="39" spans="1:5" ht="15" customHeight="1" x14ac:dyDescent="0.25">
      <c r="B39" s="11" t="s">
        <v>46</v>
      </c>
      <c r="C39" s="43">
        <v>110.81927</v>
      </c>
      <c r="D39" s="12"/>
      <c r="E39" s="12"/>
    </row>
    <row r="40" spans="1:5" ht="15" customHeight="1" x14ac:dyDescent="0.25">
      <c r="B40" s="11" t="s">
        <v>47</v>
      </c>
      <c r="C40" s="100">
        <v>10.47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22.49146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8.4424999999999986E-3</v>
      </c>
      <c r="D45" s="12"/>
    </row>
    <row r="46" spans="1:5" ht="15.75" customHeight="1" x14ac:dyDescent="0.25">
      <c r="B46" s="11" t="s">
        <v>52</v>
      </c>
      <c r="C46" s="45">
        <v>9.0714000000000003E-2</v>
      </c>
      <c r="D46" s="12"/>
    </row>
    <row r="47" spans="1:5" ht="15.75" customHeight="1" x14ac:dyDescent="0.25">
      <c r="B47" s="11" t="s">
        <v>53</v>
      </c>
      <c r="C47" s="45">
        <v>7.29717E-2</v>
      </c>
      <c r="D47" s="12"/>
      <c r="E47" s="13"/>
    </row>
    <row r="48" spans="1:5" ht="15" customHeight="1" x14ac:dyDescent="0.25">
      <c r="B48" s="11" t="s">
        <v>54</v>
      </c>
      <c r="C48" s="46">
        <v>0.82787180000000005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0.419354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JSooXNTu4eKCLOxPWVg6EVSpJvh6iMylanrxSg6u3f9nti69l4aY3m10bjO0/j7ANCFM+b7Xtwzh7uh6+3mkSw==" saltValue="rnZCX2d/uXbS3jZLmL+h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8234397.9999999991</v>
      </c>
      <c r="C2" s="49">
        <v>14978313.5</v>
      </c>
      <c r="D2" s="49">
        <v>18655701.5</v>
      </c>
      <c r="E2" s="49">
        <v>13034960</v>
      </c>
      <c r="F2" s="49">
        <v>8529826</v>
      </c>
      <c r="G2" s="17">
        <f t="shared" ref="G2:G13" si="0">C2+D2+E2+F2</f>
        <v>55198801</v>
      </c>
      <c r="H2" s="17">
        <f t="shared" ref="H2:H13" si="1">(B2 + stillbirth*B2/(1000-stillbirth))/(1-abortion)</f>
        <v>9572571.5649967138</v>
      </c>
      <c r="I2" s="17">
        <f t="shared" ref="I2:I13" si="2">G2-H2</f>
        <v>45626229.435003288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8321052</v>
      </c>
      <c r="C3" s="50">
        <v>15386867</v>
      </c>
      <c r="D3" s="50">
        <v>19253617</v>
      </c>
      <c r="E3" s="50">
        <v>13344852.5</v>
      </c>
      <c r="F3" s="50">
        <v>8768933</v>
      </c>
      <c r="G3" s="17">
        <f t="shared" si="0"/>
        <v>56754269.5</v>
      </c>
      <c r="H3" s="17">
        <f t="shared" si="1"/>
        <v>9673307.7228060924</v>
      </c>
      <c r="I3" s="17">
        <f t="shared" si="2"/>
        <v>47080961.777193904</v>
      </c>
    </row>
    <row r="4" spans="1:9" ht="15.75" customHeight="1" x14ac:dyDescent="0.25">
      <c r="A4" s="5">
        <f t="shared" si="3"/>
        <v>2026</v>
      </c>
      <c r="B4" s="49">
        <v>8417807</v>
      </c>
      <c r="C4" s="50">
        <v>15781795</v>
      </c>
      <c r="D4" s="50">
        <v>19874560</v>
      </c>
      <c r="E4" s="50">
        <v>13684189.5</v>
      </c>
      <c r="F4" s="50">
        <v>8989945</v>
      </c>
      <c r="G4" s="17">
        <f t="shared" si="0"/>
        <v>58330489.5</v>
      </c>
      <c r="H4" s="17">
        <f t="shared" si="1"/>
        <v>9785786.3960219435</v>
      </c>
      <c r="I4" s="17">
        <f t="shared" si="2"/>
        <v>48544703.103978053</v>
      </c>
    </row>
    <row r="5" spans="1:9" ht="15.75" customHeight="1" x14ac:dyDescent="0.25">
      <c r="A5" s="5">
        <f t="shared" si="3"/>
        <v>2027</v>
      </c>
      <c r="B5" s="49">
        <v>8515800</v>
      </c>
      <c r="C5" s="50">
        <v>16153285</v>
      </c>
      <c r="D5" s="50">
        <v>20521104.5</v>
      </c>
      <c r="E5" s="50">
        <v>14047495.5</v>
      </c>
      <c r="F5" s="50">
        <v>9192538.5</v>
      </c>
      <c r="G5" s="17">
        <f t="shared" si="0"/>
        <v>59914423.5</v>
      </c>
      <c r="H5" s="17">
        <f t="shared" si="1"/>
        <v>9899704.2568502314</v>
      </c>
      <c r="I5" s="17">
        <f t="shared" si="2"/>
        <v>50014719.243149772</v>
      </c>
    </row>
    <row r="6" spans="1:9" ht="15.75" customHeight="1" x14ac:dyDescent="0.25">
      <c r="A6" s="5">
        <f t="shared" si="3"/>
        <v>2028</v>
      </c>
      <c r="B6" s="49">
        <v>8600296</v>
      </c>
      <c r="C6" s="50">
        <v>16495382.5</v>
      </c>
      <c r="D6" s="50">
        <v>21197440</v>
      </c>
      <c r="E6" s="50">
        <v>14429657</v>
      </c>
      <c r="F6" s="50">
        <v>9375763</v>
      </c>
      <c r="G6" s="17">
        <f t="shared" si="0"/>
        <v>61498242.5</v>
      </c>
      <c r="H6" s="17">
        <f t="shared" si="1"/>
        <v>9997931.7176744435</v>
      </c>
      <c r="I6" s="17">
        <f t="shared" si="2"/>
        <v>51500310.782325558</v>
      </c>
    </row>
    <row r="7" spans="1:9" ht="15.75" customHeight="1" x14ac:dyDescent="0.25">
      <c r="A7" s="5">
        <f t="shared" si="3"/>
        <v>2029</v>
      </c>
      <c r="B7" s="49">
        <v>8708649</v>
      </c>
      <c r="C7" s="50">
        <v>16811426</v>
      </c>
      <c r="D7" s="50">
        <v>21882994.5</v>
      </c>
      <c r="E7" s="50">
        <v>14838431</v>
      </c>
      <c r="F7" s="50">
        <v>9548712.5</v>
      </c>
      <c r="G7" s="17">
        <f t="shared" si="0"/>
        <v>63081564</v>
      </c>
      <c r="H7" s="17">
        <f t="shared" si="1"/>
        <v>10123893.184047829</v>
      </c>
      <c r="I7" s="17">
        <f t="shared" si="2"/>
        <v>52957670.815952167</v>
      </c>
    </row>
    <row r="8" spans="1:9" ht="15.75" customHeight="1" x14ac:dyDescent="0.25">
      <c r="A8" s="5">
        <f t="shared" si="3"/>
        <v>2030</v>
      </c>
      <c r="B8" s="49">
        <v>8765211</v>
      </c>
      <c r="C8" s="50">
        <v>17113219</v>
      </c>
      <c r="D8" s="50">
        <v>22556637.5</v>
      </c>
      <c r="E8" s="50">
        <v>15285517</v>
      </c>
      <c r="F8" s="50">
        <v>9726224</v>
      </c>
      <c r="G8" s="17">
        <f t="shared" si="0"/>
        <v>64681597.5</v>
      </c>
      <c r="H8" s="17">
        <f t="shared" si="1"/>
        <v>10189647.085287403</v>
      </c>
      <c r="I8" s="17">
        <f t="shared" si="2"/>
        <v>54491950.414712593</v>
      </c>
    </row>
    <row r="9" spans="1:9" ht="15.75" customHeight="1" x14ac:dyDescent="0.25">
      <c r="A9" s="5">
        <f t="shared" si="3"/>
        <v>2031</v>
      </c>
      <c r="B9" s="49">
        <v>8852283</v>
      </c>
      <c r="C9" s="50">
        <v>17405159.5</v>
      </c>
      <c r="D9" s="50">
        <v>23222364</v>
      </c>
      <c r="E9" s="50">
        <v>15769332</v>
      </c>
      <c r="F9" s="50">
        <v>9912239</v>
      </c>
      <c r="G9" s="17">
        <f t="shared" si="0"/>
        <v>66309094.5</v>
      </c>
      <c r="H9" s="17">
        <f t="shared" si="1"/>
        <v>10290869.172355263</v>
      </c>
      <c r="I9" s="17">
        <f t="shared" si="2"/>
        <v>56018225.327644736</v>
      </c>
    </row>
    <row r="10" spans="1:9" ht="15.75" customHeight="1" x14ac:dyDescent="0.25">
      <c r="A10" s="5">
        <f t="shared" si="3"/>
        <v>2032</v>
      </c>
      <c r="B10" s="49">
        <v>8901896</v>
      </c>
      <c r="C10" s="50">
        <v>17693876.5</v>
      </c>
      <c r="D10" s="50">
        <v>23874275</v>
      </c>
      <c r="E10" s="50">
        <v>16284928</v>
      </c>
      <c r="F10" s="50">
        <v>10106002.5</v>
      </c>
      <c r="G10" s="17">
        <f t="shared" si="0"/>
        <v>67959082</v>
      </c>
      <c r="H10" s="17">
        <f t="shared" si="1"/>
        <v>10348544.790300153</v>
      </c>
      <c r="I10" s="17">
        <f t="shared" si="2"/>
        <v>57610537.209699847</v>
      </c>
    </row>
    <row r="11" spans="1:9" ht="15.75" customHeight="1" x14ac:dyDescent="0.25">
      <c r="A11" s="5">
        <f t="shared" si="3"/>
        <v>2033</v>
      </c>
      <c r="B11" s="49">
        <v>8959175</v>
      </c>
      <c r="C11" s="50">
        <v>17992212.5</v>
      </c>
      <c r="D11" s="50">
        <v>24503200.5</v>
      </c>
      <c r="E11" s="50">
        <v>16825695.5</v>
      </c>
      <c r="F11" s="50">
        <v>10310051.5</v>
      </c>
      <c r="G11" s="17">
        <f t="shared" si="0"/>
        <v>69631160</v>
      </c>
      <c r="H11" s="17">
        <f t="shared" si="1"/>
        <v>10415132.211344345</v>
      </c>
      <c r="I11" s="17">
        <f t="shared" si="2"/>
        <v>59216027.788655654</v>
      </c>
    </row>
    <row r="12" spans="1:9" ht="15.75" customHeight="1" x14ac:dyDescent="0.25">
      <c r="A12" s="5">
        <f t="shared" si="3"/>
        <v>2034</v>
      </c>
      <c r="B12" s="49">
        <v>9019452</v>
      </c>
      <c r="C12" s="50">
        <v>18302434.5</v>
      </c>
      <c r="D12" s="50">
        <v>25113137.5</v>
      </c>
      <c r="E12" s="50">
        <v>17382502</v>
      </c>
      <c r="F12" s="50">
        <v>10533418</v>
      </c>
      <c r="G12" s="17">
        <f t="shared" si="0"/>
        <v>71331492</v>
      </c>
      <c r="H12" s="17">
        <f t="shared" si="1"/>
        <v>10485204.837931413</v>
      </c>
      <c r="I12" s="17">
        <f t="shared" si="2"/>
        <v>60846287.162068591</v>
      </c>
    </row>
    <row r="13" spans="1:9" ht="15.75" customHeight="1" x14ac:dyDescent="0.25">
      <c r="A13" s="5">
        <f t="shared" si="3"/>
        <v>2035</v>
      </c>
      <c r="B13" s="49">
        <v>9035342</v>
      </c>
      <c r="C13" s="50">
        <v>18625777</v>
      </c>
      <c r="D13" s="50">
        <v>25701163.5</v>
      </c>
      <c r="E13" s="50">
        <v>17957641</v>
      </c>
      <c r="F13" s="50">
        <v>10785678.5</v>
      </c>
      <c r="G13" s="17">
        <f t="shared" si="0"/>
        <v>73070260</v>
      </c>
      <c r="H13" s="17">
        <f t="shared" si="1"/>
        <v>10503677.124814779</v>
      </c>
      <c r="I13" s="17">
        <f t="shared" si="2"/>
        <v>62566582.875185221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/x9c1x+NSQ/cDzVUskOTbbucOowyCAVOdohfZcZZse1Pjn9b4Qldq9QSk1O7ldSb7IP0Gvu65rp2KUaQfti9A==" saltValue="J4i02Iqzbp820K5k3KpB7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2.3730299999999999E-2</v>
      </c>
    </row>
    <row r="4" spans="1:8" ht="15.75" customHeight="1" x14ac:dyDescent="0.25">
      <c r="B4" s="19" t="s">
        <v>79</v>
      </c>
      <c r="C4" s="101">
        <v>0.15361009999999989</v>
      </c>
    </row>
    <row r="5" spans="1:8" ht="15.75" customHeight="1" x14ac:dyDescent="0.25">
      <c r="B5" s="19" t="s">
        <v>80</v>
      </c>
      <c r="C5" s="101">
        <v>0.18025830000000001</v>
      </c>
    </row>
    <row r="6" spans="1:8" ht="15.75" customHeight="1" x14ac:dyDescent="0.25">
      <c r="B6" s="19" t="s">
        <v>81</v>
      </c>
      <c r="C6" s="101">
        <v>0.28443859999999987</v>
      </c>
    </row>
    <row r="7" spans="1:8" ht="15.75" customHeight="1" x14ac:dyDescent="0.25">
      <c r="B7" s="19" t="s">
        <v>82</v>
      </c>
      <c r="C7" s="101">
        <v>0.18089420000000009</v>
      </c>
    </row>
    <row r="8" spans="1:8" ht="15.75" customHeight="1" x14ac:dyDescent="0.25">
      <c r="B8" s="19" t="s">
        <v>83</v>
      </c>
      <c r="C8" s="101">
        <v>7.6880999999999998E-3</v>
      </c>
    </row>
    <row r="9" spans="1:8" ht="15.75" customHeight="1" x14ac:dyDescent="0.25">
      <c r="B9" s="19" t="s">
        <v>84</v>
      </c>
      <c r="C9" s="101">
        <v>4.4153200000000038E-2</v>
      </c>
    </row>
    <row r="10" spans="1:8" ht="15.75" customHeight="1" x14ac:dyDescent="0.25">
      <c r="B10" s="19" t="s">
        <v>85</v>
      </c>
      <c r="C10" s="101">
        <v>0.12522720000000001</v>
      </c>
    </row>
    <row r="11" spans="1:8" ht="15.75" customHeight="1" x14ac:dyDescent="0.25">
      <c r="B11" s="27" t="s">
        <v>41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0.2604796154195424</v>
      </c>
      <c r="D14" s="55">
        <v>0.2604796154195424</v>
      </c>
      <c r="E14" s="55">
        <v>0.2604796154195424</v>
      </c>
      <c r="F14" s="55">
        <v>0.2604796154195424</v>
      </c>
    </row>
    <row r="15" spans="1:8" ht="15.75" customHeight="1" x14ac:dyDescent="0.25">
      <c r="B15" s="19" t="s">
        <v>88</v>
      </c>
      <c r="C15" s="101">
        <v>0.19525974369423979</v>
      </c>
      <c r="D15" s="101">
        <v>0.19525974369423979</v>
      </c>
      <c r="E15" s="101">
        <v>0.19525974369423979</v>
      </c>
      <c r="F15" s="101">
        <v>0.19525974369423979</v>
      </c>
    </row>
    <row r="16" spans="1:8" ht="15.75" customHeight="1" x14ac:dyDescent="0.25">
      <c r="B16" s="19" t="s">
        <v>89</v>
      </c>
      <c r="C16" s="101">
        <v>2.722073044841733E-2</v>
      </c>
      <c r="D16" s="101">
        <v>2.722073044841733E-2</v>
      </c>
      <c r="E16" s="101">
        <v>2.722073044841733E-2</v>
      </c>
      <c r="F16" s="101">
        <v>2.722073044841733E-2</v>
      </c>
    </row>
    <row r="17" spans="1:8" ht="15.75" customHeight="1" x14ac:dyDescent="0.25">
      <c r="B17" s="19" t="s">
        <v>90</v>
      </c>
      <c r="C17" s="101">
        <v>4.6405501980126163E-2</v>
      </c>
      <c r="D17" s="101">
        <v>4.6405501980126163E-2</v>
      </c>
      <c r="E17" s="101">
        <v>4.6405501980126163E-2</v>
      </c>
      <c r="F17" s="101">
        <v>4.6405501980126163E-2</v>
      </c>
    </row>
    <row r="18" spans="1:8" ht="15.75" customHeight="1" x14ac:dyDescent="0.25">
      <c r="B18" s="19" t="s">
        <v>91</v>
      </c>
      <c r="C18" s="101">
        <v>0.30288838111377808</v>
      </c>
      <c r="D18" s="101">
        <v>0.30288838111377808</v>
      </c>
      <c r="E18" s="101">
        <v>0.30288838111377808</v>
      </c>
      <c r="F18" s="101">
        <v>0.30288838111377808</v>
      </c>
    </row>
    <row r="19" spans="1:8" ht="15.75" customHeight="1" x14ac:dyDescent="0.25">
      <c r="B19" s="19" t="s">
        <v>92</v>
      </c>
      <c r="C19" s="101">
        <v>1.283837375823718E-2</v>
      </c>
      <c r="D19" s="101">
        <v>1.283837375823718E-2</v>
      </c>
      <c r="E19" s="101">
        <v>1.283837375823718E-2</v>
      </c>
      <c r="F19" s="101">
        <v>1.283837375823718E-2</v>
      </c>
    </row>
    <row r="20" spans="1:8" ht="15.75" customHeight="1" x14ac:dyDescent="0.25">
      <c r="B20" s="19" t="s">
        <v>93</v>
      </c>
      <c r="C20" s="101">
        <v>2.0584470768969271E-2</v>
      </c>
      <c r="D20" s="101">
        <v>2.0584470768969271E-2</v>
      </c>
      <c r="E20" s="101">
        <v>2.0584470768969271E-2</v>
      </c>
      <c r="F20" s="101">
        <v>2.0584470768969271E-2</v>
      </c>
    </row>
    <row r="21" spans="1:8" ht="15.75" customHeight="1" x14ac:dyDescent="0.25">
      <c r="B21" s="19" t="s">
        <v>94</v>
      </c>
      <c r="C21" s="101">
        <v>4.3581722040455448E-2</v>
      </c>
      <c r="D21" s="101">
        <v>4.3581722040455448E-2</v>
      </c>
      <c r="E21" s="101">
        <v>4.3581722040455448E-2</v>
      </c>
      <c r="F21" s="101">
        <v>4.3581722040455448E-2</v>
      </c>
    </row>
    <row r="22" spans="1:8" ht="15.75" customHeight="1" x14ac:dyDescent="0.25">
      <c r="B22" s="19" t="s">
        <v>95</v>
      </c>
      <c r="C22" s="101">
        <v>9.0741460776234198E-2</v>
      </c>
      <c r="D22" s="101">
        <v>9.0741460776234198E-2</v>
      </c>
      <c r="E22" s="101">
        <v>9.0741460776234198E-2</v>
      </c>
      <c r="F22" s="101">
        <v>9.0741460776234198E-2</v>
      </c>
    </row>
    <row r="23" spans="1:8" ht="15.75" customHeight="1" x14ac:dyDescent="0.25">
      <c r="B23" s="27" t="s">
        <v>41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8.6847340999999995E-2</v>
      </c>
    </row>
    <row r="27" spans="1:8" ht="15.75" customHeight="1" x14ac:dyDescent="0.25">
      <c r="B27" s="19" t="s">
        <v>102</v>
      </c>
      <c r="C27" s="101">
        <v>8.4805239999999997E-3</v>
      </c>
    </row>
    <row r="28" spans="1:8" ht="15.75" customHeight="1" x14ac:dyDescent="0.25">
      <c r="B28" s="19" t="s">
        <v>103</v>
      </c>
      <c r="C28" s="101">
        <v>0.15529126400000001</v>
      </c>
    </row>
    <row r="29" spans="1:8" ht="15.75" customHeight="1" x14ac:dyDescent="0.25">
      <c r="B29" s="19" t="s">
        <v>104</v>
      </c>
      <c r="C29" s="101">
        <v>0.168382743</v>
      </c>
    </row>
    <row r="30" spans="1:8" ht="15.75" customHeight="1" x14ac:dyDescent="0.25">
      <c r="B30" s="19" t="s">
        <v>2</v>
      </c>
      <c r="C30" s="101">
        <v>0.105182391</v>
      </c>
    </row>
    <row r="31" spans="1:8" ht="15.75" customHeight="1" x14ac:dyDescent="0.25">
      <c r="B31" s="19" t="s">
        <v>105</v>
      </c>
      <c r="C31" s="101">
        <v>0.10869061100000001</v>
      </c>
    </row>
    <row r="32" spans="1:8" ht="15.75" customHeight="1" x14ac:dyDescent="0.25">
      <c r="B32" s="19" t="s">
        <v>106</v>
      </c>
      <c r="C32" s="101">
        <v>1.8206013E-2</v>
      </c>
    </row>
    <row r="33" spans="2:3" ht="15.75" customHeight="1" x14ac:dyDescent="0.25">
      <c r="B33" s="19" t="s">
        <v>107</v>
      </c>
      <c r="C33" s="101">
        <v>8.4055170999999984E-2</v>
      </c>
    </row>
    <row r="34" spans="2:3" ht="15.75" customHeight="1" x14ac:dyDescent="0.25">
      <c r="B34" s="19" t="s">
        <v>108</v>
      </c>
      <c r="C34" s="101">
        <v>0.26486394200000002</v>
      </c>
    </row>
    <row r="35" spans="2:3" ht="15.75" customHeight="1" x14ac:dyDescent="0.25">
      <c r="B35" s="27" t="s">
        <v>41</v>
      </c>
      <c r="C35" s="48">
        <f>SUM(C26:C34)</f>
        <v>1</v>
      </c>
    </row>
  </sheetData>
  <sheetProtection algorithmName="SHA-512" hashValue="IRdxbitOx3N+DitjF3O6c6b6LqXxuA9ZhJp+2ncqbZW04hSnO8AItLvwSXy7aa1K7KYoD9MKzjYVmXe/FS6JNA==" saltValue="I+dmn9VeohKgeAId8nADi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0.45761689286760021</v>
      </c>
      <c r="D2" s="52">
        <f>IFERROR(1-_xlfn.NORM.DIST(_xlfn.NORM.INV(SUM(D4:D5), 0, 1) + 1, 0, 1, TRUE), "")</f>
        <v>0.45761689286760021</v>
      </c>
      <c r="E2" s="52">
        <f>IFERROR(1-_xlfn.NORM.DIST(_xlfn.NORM.INV(SUM(E4:E5), 0, 1) + 1, 0, 1, TRUE), "")</f>
        <v>0.39142740442980484</v>
      </c>
      <c r="F2" s="52">
        <f>IFERROR(1-_xlfn.NORM.DIST(_xlfn.NORM.INV(SUM(F4:F5), 0, 1) + 1, 0, 1, TRUE), "")</f>
        <v>0.2378010811852066</v>
      </c>
      <c r="G2" s="52">
        <f>IFERROR(1-_xlfn.NORM.DIST(_xlfn.NORM.INV(SUM(G4:G5), 0, 1) + 1, 0, 1, TRUE), "")</f>
        <v>0.216654585652856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0.35660460713239978</v>
      </c>
      <c r="D3" s="52">
        <f>IFERROR(_xlfn.NORM.DIST(_xlfn.NORM.INV(SUM(D4:D5), 0, 1) + 1, 0, 1, TRUE) - SUM(D4:D5), "")</f>
        <v>0.35660460713239978</v>
      </c>
      <c r="E3" s="52">
        <f>IFERROR(_xlfn.NORM.DIST(_xlfn.NORM.INV(SUM(E4:E5), 0, 1) + 1, 0, 1, TRUE) - SUM(E4:E5), "")</f>
        <v>0.37416229557019515</v>
      </c>
      <c r="F3" s="52">
        <f>IFERROR(_xlfn.NORM.DIST(_xlfn.NORM.INV(SUM(F4:F5), 0, 1) + 1, 0, 1, TRUE) - SUM(F4:F5), "")</f>
        <v>0.37499201881479338</v>
      </c>
      <c r="G3" s="52">
        <f>IFERROR(_xlfn.NORM.DIST(_xlfn.NORM.INV(SUM(G4:G5), 0, 1) + 1, 0, 1, TRUE) - SUM(G4:G5), "")</f>
        <v>0.369030214347144</v>
      </c>
    </row>
    <row r="4" spans="1:15" ht="15.75" customHeight="1" x14ac:dyDescent="0.25">
      <c r="B4" s="5" t="s">
        <v>114</v>
      </c>
      <c r="C4" s="45">
        <v>0.1224695</v>
      </c>
      <c r="D4" s="53">
        <v>0.1224695</v>
      </c>
      <c r="E4" s="53">
        <v>0.1556854</v>
      </c>
      <c r="F4" s="53">
        <v>0.2263136</v>
      </c>
      <c r="G4" s="53">
        <v>0.2057001</v>
      </c>
    </row>
    <row r="5" spans="1:15" ht="15.75" customHeight="1" x14ac:dyDescent="0.25">
      <c r="B5" s="5" t="s">
        <v>115</v>
      </c>
      <c r="C5" s="45">
        <v>6.3309000000000004E-2</v>
      </c>
      <c r="D5" s="53">
        <v>6.3309000000000004E-2</v>
      </c>
      <c r="E5" s="53">
        <v>7.87249E-2</v>
      </c>
      <c r="F5" s="53">
        <v>0.16089329999999999</v>
      </c>
      <c r="G5" s="53">
        <v>0.2086151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0.68241534048444352</v>
      </c>
      <c r="D8" s="52">
        <f>IFERROR(1-_xlfn.NORM.DIST(_xlfn.NORM.INV(SUM(D10:D11), 0, 1) + 1, 0, 1, TRUE), "")</f>
        <v>0.68241534048444352</v>
      </c>
      <c r="E8" s="52">
        <f>IFERROR(1-_xlfn.NORM.DIST(_xlfn.NORM.INV(SUM(E10:E11), 0, 1) + 1, 0, 1, TRUE), "")</f>
        <v>0.53988553147520657</v>
      </c>
      <c r="F8" s="52">
        <f>IFERROR(1-_xlfn.NORM.DIST(_xlfn.NORM.INV(SUM(F10:F11), 0, 1) + 1, 0, 1, TRUE), "")</f>
        <v>0.58750645353380182</v>
      </c>
      <c r="G8" s="52">
        <f>IFERROR(1-_xlfn.NORM.DIST(_xlfn.NORM.INV(SUM(G10:G11), 0, 1) + 1, 0, 1, TRUE), "")</f>
        <v>0.77117497347137087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0.24740625951555642</v>
      </c>
      <c r="D9" s="52">
        <f>IFERROR(_xlfn.NORM.DIST(_xlfn.NORM.INV(SUM(D10:D11), 0, 1) + 1, 0, 1, TRUE) - SUM(D10:D11), "")</f>
        <v>0.24740625951555642</v>
      </c>
      <c r="E9" s="52">
        <f>IFERROR(_xlfn.NORM.DIST(_xlfn.NORM.INV(SUM(E10:E11), 0, 1) + 1, 0, 1, TRUE) - SUM(E10:E11), "")</f>
        <v>0.32448006852479344</v>
      </c>
      <c r="F9" s="52">
        <f>IFERROR(_xlfn.NORM.DIST(_xlfn.NORM.INV(SUM(F10:F11), 0, 1) + 1, 0, 1, TRUE) - SUM(F10:F11), "")</f>
        <v>0.30147614646619819</v>
      </c>
      <c r="G9" s="52">
        <f>IFERROR(_xlfn.NORM.DIST(_xlfn.NORM.INV(SUM(G10:G11), 0, 1) + 1, 0, 1, TRUE) - SUM(G10:G11), "")</f>
        <v>0.18813392652862915</v>
      </c>
    </row>
    <row r="10" spans="1:15" ht="15.75" customHeight="1" x14ac:dyDescent="0.25">
      <c r="B10" s="5" t="s">
        <v>119</v>
      </c>
      <c r="C10" s="45">
        <v>4.6762400000000003E-2</v>
      </c>
      <c r="D10" s="53">
        <v>4.6762400000000003E-2</v>
      </c>
      <c r="E10" s="53">
        <v>0.1024866</v>
      </c>
      <c r="F10" s="53">
        <v>7.8577899999999992E-2</v>
      </c>
      <c r="G10" s="53">
        <v>3.1818300000000001E-2</v>
      </c>
    </row>
    <row r="11" spans="1:15" ht="15.75" customHeight="1" x14ac:dyDescent="0.25">
      <c r="B11" s="5" t="s">
        <v>120</v>
      </c>
      <c r="C11" s="45">
        <v>2.3415999999999999E-2</v>
      </c>
      <c r="D11" s="53">
        <v>2.3415999999999999E-2</v>
      </c>
      <c r="E11" s="53">
        <v>3.3147799999999998E-2</v>
      </c>
      <c r="F11" s="53">
        <v>3.2439500000000003E-2</v>
      </c>
      <c r="G11" s="53">
        <v>8.8728000000000001E-3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0.83953369649999998</v>
      </c>
      <c r="D14" s="54">
        <v>0.82410223475900002</v>
      </c>
      <c r="E14" s="54">
        <v>0.82410223475900002</v>
      </c>
      <c r="F14" s="54">
        <v>0.68824316440900002</v>
      </c>
      <c r="G14" s="54">
        <v>0.68824316440900002</v>
      </c>
      <c r="H14" s="45">
        <v>0.57799999999999996</v>
      </c>
      <c r="I14" s="55">
        <v>0.57799999999999996</v>
      </c>
      <c r="J14" s="55">
        <v>0.57799999999999996</v>
      </c>
      <c r="K14" s="55">
        <v>0.57799999999999996</v>
      </c>
      <c r="L14" s="45">
        <v>0.48799999999999999</v>
      </c>
      <c r="M14" s="55">
        <v>0.48799999999999999</v>
      </c>
      <c r="N14" s="55">
        <v>0.48799999999999999</v>
      </c>
      <c r="O14" s="55">
        <v>0.48799999999999999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0.35206181376206097</v>
      </c>
      <c r="D15" s="52">
        <f t="shared" si="0"/>
        <v>0.34559056855512571</v>
      </c>
      <c r="E15" s="52">
        <f t="shared" si="0"/>
        <v>0.34559056855512571</v>
      </c>
      <c r="F15" s="52">
        <f t="shared" si="0"/>
        <v>0.28861752396757179</v>
      </c>
      <c r="G15" s="52">
        <f t="shared" si="0"/>
        <v>0.28861752396757179</v>
      </c>
      <c r="H15" s="52">
        <f t="shared" si="0"/>
        <v>0.24238661199999997</v>
      </c>
      <c r="I15" s="52">
        <f t="shared" si="0"/>
        <v>0.24238661199999997</v>
      </c>
      <c r="J15" s="52">
        <f t="shared" si="0"/>
        <v>0.24238661199999997</v>
      </c>
      <c r="K15" s="52">
        <f t="shared" si="0"/>
        <v>0.24238661199999997</v>
      </c>
      <c r="L15" s="52">
        <f t="shared" si="0"/>
        <v>0.20464475199999999</v>
      </c>
      <c r="M15" s="52">
        <f t="shared" si="0"/>
        <v>0.20464475199999999</v>
      </c>
      <c r="N15" s="52">
        <f t="shared" si="0"/>
        <v>0.20464475199999999</v>
      </c>
      <c r="O15" s="52">
        <f t="shared" si="0"/>
        <v>0.20464475199999999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44tdCfTC9/graY7hXtYpvi1b+1wnYVL5GEK1+hIdLgqAEVvVvOg4PgmKIx9S5NZboJSpgrl7/QwGFh/yYTfjBQ==" saltValue="S9iIQq6Wdygz/JavRQu1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0.45345079999999999</v>
      </c>
      <c r="D2" s="53">
        <v>0.34070879999999998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0.35429680000000002</v>
      </c>
      <c r="D3" s="53">
        <v>0.35324159999999999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0.1616264</v>
      </c>
      <c r="D4" s="53">
        <v>0.28525210000000001</v>
      </c>
      <c r="E4" s="53">
        <v>0.96806420000000004</v>
      </c>
      <c r="F4" s="53">
        <v>0.5590465</v>
      </c>
      <c r="G4" s="53">
        <v>0</v>
      </c>
    </row>
    <row r="5" spans="1:7" x14ac:dyDescent="0.25">
      <c r="B5" s="3" t="s">
        <v>132</v>
      </c>
      <c r="C5" s="52">
        <v>3.0626E-2</v>
      </c>
      <c r="D5" s="52">
        <v>2.07975E-2</v>
      </c>
      <c r="E5" s="52">
        <f>1-SUM(E2:E4)</f>
        <v>3.1935799999999959E-2</v>
      </c>
      <c r="F5" s="52">
        <f>1-SUM(F2:F4)</f>
        <v>0.4409535</v>
      </c>
      <c r="G5" s="52">
        <f>1-SUM(G2:G4)</f>
        <v>1</v>
      </c>
    </row>
  </sheetData>
  <sheetProtection algorithmName="SHA-512" hashValue="n8Fy3LJaTxpVjoZNGMoy8b5vyfCphLJ+I/nFF4d6R7bF0EH/Cy++M88TVRTdWoXLFglQkN4aecWfFdF5n5T18A==" saltValue="P9jM7IJnFFzBiZ85/a4aF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9Iy8H/D8PoUtbmCB/veaDmG5YEehPnLlMNlMhU7j6AVDxS9L1EQxnsqB7rikDQWPOyPw1LSLpfSY/TCjvuff1A==" saltValue="sk7jATNKbnYnATnTOa3jS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K4hEjybZoGX6OcpD8qN0Kn+P/z9DXhpDI3JA98PyeXsTNtBBgjMxemE067VDmY1aPDMdPH4VjMzNqTeefXTrDw==" saltValue="MQOjJGhGv3qiSbKjD6AQM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zsW0EVL/wFGYT6W9HdR0QVdRi4AcIU9OG/WHMd7zitwbMi67EBjp4w3yGDTehTqQ936Hn2fo5eAQxsTYgHdlLw==" saltValue="U9A8TROmqONI+c+2lr4qT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A/5xR3diJ73VRuF1epWm7OoeoDvXoR3y1Jd40mBiPSGIWsdFGxOvdIHnuL4yfUJ2hKDjV7KCBCA4Mklab7K/WQ==" saltValue="WilIUTLoWsuYttiBQ42vs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45.474336039627488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0.17195999738539999</v>
      </c>
      <c r="C3" s="98">
        <v>0.95</v>
      </c>
      <c r="D3" s="56">
        <v>42.690808780825847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217.5673441622117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0.72655106276493753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0.30538290000000001</v>
      </c>
      <c r="C10" s="98">
        <v>0.95</v>
      </c>
      <c r="D10" s="56">
        <v>13.708520680846441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0.30538290000000001</v>
      </c>
      <c r="C11" s="98">
        <v>0.95</v>
      </c>
      <c r="D11" s="56">
        <v>13.708520680846441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0.30538290000000001</v>
      </c>
      <c r="C12" s="98">
        <v>0.95</v>
      </c>
      <c r="D12" s="56">
        <v>13.708520680846441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0.30538290000000001</v>
      </c>
      <c r="C13" s="98">
        <v>0.95</v>
      </c>
      <c r="D13" s="56">
        <v>13.708520680846441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0.30538290000000001</v>
      </c>
      <c r="C14" s="98">
        <v>0.95</v>
      </c>
      <c r="D14" s="56">
        <v>13.708520680846441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0.30538290000000001</v>
      </c>
      <c r="C15" s="98">
        <v>0.95</v>
      </c>
      <c r="D15" s="56">
        <v>13.708520680846441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0.67</v>
      </c>
      <c r="C16" s="98">
        <v>0.95</v>
      </c>
      <c r="D16" s="56">
        <v>0.44775725299200048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0.143035555555556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6.1726415088800002E-2</v>
      </c>
      <c r="C18" s="98">
        <v>0.95</v>
      </c>
      <c r="D18" s="56">
        <v>5.0749502759813003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0.46570679999999998</v>
      </c>
      <c r="C19" s="98">
        <v>0.95</v>
      </c>
      <c r="D19" s="56">
        <v>5.0749502759813003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0.12378939999999999</v>
      </c>
      <c r="C21" s="98">
        <v>0.95</v>
      </c>
      <c r="D21" s="56">
        <v>6.3462726393905529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23.484675418466331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4.5665474093235741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0.4677424218656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0.30538290000000001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19.70793869658976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0.36680256677680001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84.992956066465482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0.56999999999999995</v>
      </c>
      <c r="C31" s="98">
        <v>0.95</v>
      </c>
      <c r="D31" s="56">
        <v>1.9651733159984111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0.92770596430656782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0.56999999999999995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0.31096489999999999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0.45741510000000002</v>
      </c>
      <c r="C38" s="98">
        <v>0.95</v>
      </c>
      <c r="D38" s="56">
        <v>3.6378963707202279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WgxysP1yHifD2coHlwk7kACa2sEPSJbdlkWnJ9Vye2njCuX/eKr4M0VriQR26wJKi5oJNwCUxOGWt07kUf0H3w==" saltValue="gmxbdfG766QmOjE/x401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inj8vPpJH4iNq3YWdDyZqPHwMM5mSjNlbidnKAywzuEZNKN+9IZZw3yAPoIDbLV4FPccEBA8xn2wC64RYjF3bA==" saltValue="jf3Y8ia5YtFzkpn7kUnT8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rQudOkrIlr54yqebuDdN90vmvBeG6gJUyV36VKiLPt/3mlzw3RoAylxoURPsTEn4hbnn2IT7aR4H/Im0qJ6tNQ==" saltValue="ZHTZcOkNuc9rU9KtQ/wiS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0.12158224000000001</v>
      </c>
      <c r="C3" s="21">
        <f>frac_mam_1_5months * 2.6</f>
        <v>0.12158224000000001</v>
      </c>
      <c r="D3" s="21">
        <f>frac_mam_6_11months * 2.6</f>
        <v>0.26646515999999998</v>
      </c>
      <c r="E3" s="21">
        <f>frac_mam_12_23months * 2.6</f>
        <v>0.20430253999999998</v>
      </c>
      <c r="F3" s="21">
        <f>frac_mam_24_59months * 2.6</f>
        <v>8.2727580000000009E-2</v>
      </c>
    </row>
    <row r="4" spans="1:6" ht="15.75" customHeight="1" x14ac:dyDescent="0.25">
      <c r="A4" s="3" t="s">
        <v>208</v>
      </c>
      <c r="B4" s="21">
        <f>frac_sam_1month * 2.6</f>
        <v>6.0881600000000001E-2</v>
      </c>
      <c r="C4" s="21">
        <f>frac_sam_1_5months * 2.6</f>
        <v>6.0881600000000001E-2</v>
      </c>
      <c r="D4" s="21">
        <f>frac_sam_6_11months * 2.6</f>
        <v>8.6184280000000002E-2</v>
      </c>
      <c r="E4" s="21">
        <f>frac_sam_12_23months * 2.6</f>
        <v>8.4342700000000007E-2</v>
      </c>
      <c r="F4" s="21">
        <f>frac_sam_24_59months * 2.6</f>
        <v>2.3069280000000001E-2</v>
      </c>
    </row>
  </sheetData>
  <sheetProtection algorithmName="SHA-512" hashValue="mTBxTw7CeISDjn/9HZ2tZ/noDY57KabVyX4tW+Jbo+oKnK+l47FIAvgAEUdA+Y/kPMmZBFlEGMXk62+8awi/zQ==" saltValue="ZEvoP5qGQoEmIvT9dx4QI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0.53500000000000003</v>
      </c>
      <c r="E2" s="60">
        <f>food_insecure</f>
        <v>0.53500000000000003</v>
      </c>
      <c r="F2" s="60">
        <f>food_insecure</f>
        <v>0.53500000000000003</v>
      </c>
      <c r="G2" s="60">
        <f>food_insecure</f>
        <v>0.53500000000000003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0.53500000000000003</v>
      </c>
      <c r="F5" s="60">
        <f>food_insecure</f>
        <v>0.53500000000000003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0.53500000000000003</v>
      </c>
      <c r="F8" s="60">
        <f>food_insecure</f>
        <v>0.53500000000000003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0.53500000000000003</v>
      </c>
      <c r="F9" s="60">
        <f>food_insecure</f>
        <v>0.53500000000000003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0.53500000000000003</v>
      </c>
      <c r="I15" s="60">
        <f>food_insecure</f>
        <v>0.53500000000000003</v>
      </c>
      <c r="J15" s="60">
        <f>food_insecure</f>
        <v>0.53500000000000003</v>
      </c>
      <c r="K15" s="60">
        <f>food_insecure</f>
        <v>0.53500000000000003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0.99</v>
      </c>
      <c r="I19" s="60">
        <f>frac_malaria_risk</f>
        <v>0.99</v>
      </c>
      <c r="J19" s="60">
        <f>frac_malaria_risk</f>
        <v>0.99</v>
      </c>
      <c r="K19" s="60">
        <f>frac_malaria_risk</f>
        <v>0.99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0.73699999999999999</v>
      </c>
      <c r="M24" s="60">
        <f>famplan_unmet_need</f>
        <v>0.73699999999999999</v>
      </c>
      <c r="N24" s="60">
        <f>famplan_unmet_need</f>
        <v>0.73699999999999999</v>
      </c>
      <c r="O24" s="60">
        <f>famplan_unmet_need</f>
        <v>0.73699999999999999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0.40596389547462008</v>
      </c>
      <c r="M25" s="60">
        <f>(1-food_insecure)*(0.49)+food_insecure*(0.7)</f>
        <v>0.60234999999999994</v>
      </c>
      <c r="N25" s="60">
        <f>(1-food_insecure)*(0.49)+food_insecure*(0.7)</f>
        <v>0.60234999999999994</v>
      </c>
      <c r="O25" s="60">
        <f>(1-food_insecure)*(0.49)+food_insecure*(0.7)</f>
        <v>0.60234999999999994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0.17398452663198</v>
      </c>
      <c r="M26" s="60">
        <f>(1-food_insecure)*(0.21)+food_insecure*(0.3)</f>
        <v>0.25814999999999999</v>
      </c>
      <c r="N26" s="60">
        <f>(1-food_insecure)*(0.21)+food_insecure*(0.3)</f>
        <v>0.25814999999999999</v>
      </c>
      <c r="O26" s="60">
        <f>(1-food_insecure)*(0.21)+food_insecure*(0.3)</f>
        <v>0.25814999999999999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9.4018367093400002E-2</v>
      </c>
      <c r="M27" s="60">
        <f>(1-food_insecure)*(0.3)</f>
        <v>0.13949999999999999</v>
      </c>
      <c r="N27" s="60">
        <f>(1-food_insecure)*(0.3)</f>
        <v>0.13949999999999999</v>
      </c>
      <c r="O27" s="60">
        <f>(1-food_insecure)*(0.3)</f>
        <v>0.13949999999999999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0.99</v>
      </c>
      <c r="D34" s="60">
        <f t="shared" si="3"/>
        <v>0.99</v>
      </c>
      <c r="E34" s="60">
        <f t="shared" si="3"/>
        <v>0.99</v>
      </c>
      <c r="F34" s="60">
        <f t="shared" si="3"/>
        <v>0.99</v>
      </c>
      <c r="G34" s="60">
        <f t="shared" si="3"/>
        <v>0.99</v>
      </c>
      <c r="H34" s="60">
        <f t="shared" si="3"/>
        <v>0.99</v>
      </c>
      <c r="I34" s="60">
        <f t="shared" si="3"/>
        <v>0.99</v>
      </c>
      <c r="J34" s="60">
        <f t="shared" si="3"/>
        <v>0.99</v>
      </c>
      <c r="K34" s="60">
        <f t="shared" si="3"/>
        <v>0.99</v>
      </c>
      <c r="L34" s="60">
        <f t="shared" si="3"/>
        <v>0.99</v>
      </c>
      <c r="M34" s="60">
        <f t="shared" si="3"/>
        <v>0.99</v>
      </c>
      <c r="N34" s="60">
        <f t="shared" si="3"/>
        <v>0.99</v>
      </c>
      <c r="O34" s="60">
        <f t="shared" si="3"/>
        <v>0.99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q9KZBAqyiL0XEDIbZd8OVCCuwlv0I0fciIsSC8Ysf7oevIjcSAZwvGfA3csDx50Gf/gFxU8sVpMMWmv6x4G50Q==" saltValue="RIJOF2mqCSfgGjjdlV387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2H2JhxxWYKW/MUPS5R0LbjbrHgTl9KCe9+w7igR/3i0sOaxlDPIveecDRHMu+PDeiuXqxo9PhUn+QodtQTBANg==" saltValue="uYqc/PfkHvUFCQrLqBWyF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PqyIZnHeRKpKzfwTnbnvEcP2FFBoy29IR1JZ7DHRYhXiwZs/e8FuL3xL6SFrIPGTfYLC5yJCazO7qWmd8QsK9g==" saltValue="gyzGlbYBEHVRhVVtwalpe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52v3PdG5TvDXwDhvQDmzTzGwBOSQiOd7ysDYAovpwsQNBdqAMJuDclaNUm4BKQGIHX8Rh8Iu2QUdMTbCiIDo7Q==" saltValue="CGRZnhH+QJ1UH5qyodHcs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c9h9ajKRGn18Xvb51B/SBxPkoYmQ1oa0wx64snUEscFdkOWgXnNKspFAAut6oC4IMFQ5Gn/OhP3WWeTEQLjnRQ==" saltValue="ODh+IQMpOks0EZZdxn9Ro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iQZ15n9+nbaxd77zV58nqjwqR/SW+eOGnLk7WU149zeXdve6B8DXuOfm7GVZD7VVd8oMm14VCWDbP6hD/Ww5Pw==" saltValue="XIPO4F9f1iZ5hbMFCyvD1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NAnaBMArfpzDi7o1L5sbc3ycDXci/ak7ErygbQjiYBy6BxRaqqX7lHaHGnZXe7SB9z+FEVO/yO+HLpLYu6ZE3w==" saltValue="p+E5YCUULo43KoGmi5teK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Rft7Vmxy5VEjybX/wxL9dibAgMrE3iwVHOiZ9u+YMOY6VlK1uARpAWkWRCXNQMVXr6HXxkgrmVIH62LOIjWQ==" saltValue="PuLy7qIaJSPnyGsCMujm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m6w/tYUvol9acXKRRL6NiN7eUvjOEtl0wgAoIjbT/ZMWywKJZ/Jo9tVgN+CDxn+qe9GhOvQs8sWR2xRBBp8gSg==" saltValue="2cB/y3WKKJ2bwui/1q2C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bH58G7oJg3x1/NdnWu5138sgh00o4QKG1h6gSBwfp+7t/IFWmfc7MnFdKpgaQBHZxVR1j9czcYKrZbGE4gQ5RQ==" saltValue="/swCxwSzn4RgSa8fknh9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YyGrt//dViRaVdVz0vgVTBAEcFKQ4tZPwJHsN4oQuB8c9bksWP4LcBtWGZFNXstRQuB51nkWFLwvfuQLpi9yyw==" saltValue="n4ET3CBcKmkFZh/egjSl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1n4nHA0wSRbR8N5FOzTigP/Lmd7mhEFhcYTfqAqtWtGZ8QZR4E1h+m56ISKqFwwtU2uliuT+UO4XUB23cZjw8w==" saltValue="215QSyR5gDIJhj5UQ3Gi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S+f6P1MeaHq+mpfcMmWuguflwG7kPOsTihZXNuw7ut2BtBYNoIHU9KxHO6qX/QKCDvXzGxEtD7cPnizi/xhJxA==" saltValue="ZLi2YYxpsVkvENo4c2AUs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PYy3AAGITawzrC65bE1OzGQRgLgbhco/CmgvGOL3duflZyDjN9Q6d4QEoOFUuKM7K1AJPZOnYG2Nux01yn3Uyg==" saltValue="CTYAi15CXbeLL3assFG3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5NTpRNwNvtJK1VPf97PWuWOnFAqT+39nfK978+jpa4bwe5v/25Z2k4RWfQeH03qJEhnkqyIbr9QTo22BLwrmHw==" saltValue="n4K2QRbjrfRznUrSD5v8o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2024-05-17T00:44:09Z</dcterms:modified>
</cp:coreProperties>
</file>