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6690E0E-D063-4D1F-8E59-314768B9BC5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4" i="2" l="1"/>
  <c r="A25" i="2"/>
  <c r="A23" i="2"/>
  <c r="A36" i="2"/>
  <c r="A22" i="2"/>
  <c r="A37" i="2"/>
  <c r="I9" i="2"/>
  <c r="I13" i="2"/>
  <c r="I38" i="2"/>
  <c r="A26" i="2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<sst xmlns="http://schemas.openxmlformats.org/spreadsheetml/2006/main" count="2169" uniqueCount="369">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</sst>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4363894</v>
      </c>
    </row>
    <row r="8" spans="1:3" ht="15" customHeight="1" x14ac:dyDescent="0.25">
      <c r="B8" s="5" t="s">
        <v>37</v>
      </c>
      <c r="C8" s="44">
        <v>0.02</v>
      </c>
    </row>
    <row r="9" spans="1:3" ht="15" customHeight="1" x14ac:dyDescent="0.25">
      <c r="B9" s="5" t="s">
        <v>38</v>
      </c>
      <c r="C9" s="45">
        <v>0.23780000000000001</v>
      </c>
    </row>
    <row r="10" spans="1:3" ht="15" customHeight="1" x14ac:dyDescent="0.25">
      <c r="B10" s="5" t="s">
        <v>39</v>
      </c>
      <c r="C10" s="45">
        <v>0.61964199066162107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7.2599999999999998E-2</v>
      </c>
    </row>
    <row r="24" spans="1:3" ht="15" customHeight="1" x14ac:dyDescent="0.25">
      <c r="B24" s="15" t="s">
        <v>51</v>
      </c>
      <c r="C24" s="45">
        <v>0.47549999999999998</v>
      </c>
    </row>
    <row r="25" spans="1:3" ht="15" customHeight="1" x14ac:dyDescent="0.25">
      <c r="B25" s="15" t="s">
        <v>52</v>
      </c>
      <c r="C25" s="45">
        <v>0.37380000000000002</v>
      </c>
    </row>
    <row r="26" spans="1:3" ht="15" customHeight="1" x14ac:dyDescent="0.25">
      <c r="B26" s="15" t="s">
        <v>53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0.35174465639154501</v>
      </c>
    </row>
    <row r="30" spans="1:3" ht="14.25" customHeight="1" x14ac:dyDescent="0.25">
      <c r="B30" s="25" t="s">
        <v>56</v>
      </c>
      <c r="C30" s="97">
        <v>3.10047903226232E-2</v>
      </c>
    </row>
    <row r="31" spans="1:3" ht="14.25" customHeight="1" x14ac:dyDescent="0.25">
      <c r="B31" s="25" t="s">
        <v>57</v>
      </c>
      <c r="C31" s="97">
        <v>5.4690867454115402E-2</v>
      </c>
    </row>
    <row r="32" spans="1:3" ht="14.25" customHeight="1" x14ac:dyDescent="0.25">
      <c r="B32" s="25" t="s">
        <v>58</v>
      </c>
      <c r="C32" s="97">
        <v>0.562559685831717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21.664349999999999</v>
      </c>
    </row>
    <row r="38" spans="1:5" ht="15" customHeight="1" x14ac:dyDescent="0.25">
      <c r="B38" s="11" t="s">
        <v>63</v>
      </c>
      <c r="C38" s="43">
        <v>33.723550000000003</v>
      </c>
      <c r="D38" s="12"/>
      <c r="E38" s="13"/>
    </row>
    <row r="39" spans="1:5" ht="15" customHeight="1" x14ac:dyDescent="0.25">
      <c r="B39" s="11" t="s">
        <v>64</v>
      </c>
      <c r="C39" s="43">
        <v>41.812370000000001</v>
      </c>
      <c r="D39" s="12"/>
      <c r="E39" s="12"/>
    </row>
    <row r="40" spans="1:5" ht="15" customHeight="1" x14ac:dyDescent="0.25">
      <c r="B40" s="11" t="s">
        <v>65</v>
      </c>
      <c r="C40" s="98">
        <v>1.79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6.1399000000000002E-3</v>
      </c>
      <c r="D45" s="12"/>
    </row>
    <row r="46" spans="1:5" ht="15.75" customHeight="1" x14ac:dyDescent="0.25">
      <c r="B46" s="11" t="s">
        <v>70</v>
      </c>
      <c r="C46" s="45">
        <v>6.5972000000000003E-2</v>
      </c>
      <c r="D46" s="12"/>
    </row>
    <row r="47" spans="1:5" ht="15.75" customHeight="1" x14ac:dyDescent="0.25">
      <c r="B47" s="11" t="s">
        <v>71</v>
      </c>
      <c r="C47" s="45">
        <v>7.5162500000000007E-2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</v>
      </c>
      <c r="D51" s="12"/>
    </row>
    <row r="52" spans="1:4" ht="15" customHeight="1" x14ac:dyDescent="0.25">
      <c r="B52" s="11" t="s">
        <v>75</v>
      </c>
      <c r="C52" s="98">
        <v>2.4</v>
      </c>
    </row>
    <row r="53" spans="1:4" ht="15.75" customHeight="1" x14ac:dyDescent="0.25">
      <c r="B53" s="11" t="s">
        <v>76</v>
      </c>
      <c r="C53" s="98">
        <v>2.4</v>
      </c>
    </row>
    <row r="54" spans="1:4" ht="15.75" customHeight="1" x14ac:dyDescent="0.25">
      <c r="B54" s="11" t="s">
        <v>77</v>
      </c>
      <c r="C54" s="98">
        <v>2.4</v>
      </c>
    </row>
    <row r="55" spans="1:4" ht="15.75" customHeight="1" x14ac:dyDescent="0.25">
      <c r="B55" s="11" t="s">
        <v>78</v>
      </c>
      <c r="C55" s="98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0.56383200000000022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0.12303469</v>
      </c>
    </row>
    <row r="63" spans="1:4" ht="15.75" customHeight="1" x14ac:dyDescent="0.3">
      <c r="A63" s="4"/>
    </row>
  </sheetData>
  <sheetProtection algorithmName="SHA-512" hashValue="2+WL3+gnZC+XfHi/+JRCEhkTsRry9yfCSMp8Q0Z04sivfVzd9DDOlFLIqgpRrTZN99PvJJ6Mt4p8pD/sn+nUUQ==" saltValue="gKUhxfqP3uS1Fu7ClNFd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897269</v>
      </c>
      <c r="C2" s="49">
        <v>2149082</v>
      </c>
      <c r="D2" s="49">
        <v>4376896.0000000009</v>
      </c>
      <c r="E2" s="49">
        <v>4157910.5</v>
      </c>
      <c r="F2" s="49">
        <v>3741436</v>
      </c>
      <c r="G2" s="17">
        <f t="shared" ref="G2:G13" si="0">C2+D2+E2+F2</f>
        <v>14425324.5</v>
      </c>
      <c r="H2" s="17">
        <f t="shared" ref="H2:H13" si="1">(B2 + stillbirth*B2/(1000-stillbirth))/(1-abortion)</f>
        <v>1034666.3185215362</v>
      </c>
      <c r="I2" s="17">
        <f t="shared" ref="I2:I13" si="2">G2-H2</f>
        <v>13390658.181478463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888309</v>
      </c>
      <c r="C3" s="50">
        <v>2138764.5</v>
      </c>
      <c r="D3" s="50">
        <v>4365067.9999999991</v>
      </c>
      <c r="E3" s="50">
        <v>4161138.5</v>
      </c>
      <c r="F3" s="50">
        <v>3804055.0000000005</v>
      </c>
      <c r="G3" s="17">
        <f t="shared" si="0"/>
        <v>14469026</v>
      </c>
      <c r="H3" s="17">
        <f t="shared" si="1"/>
        <v>1024334.2885350407</v>
      </c>
      <c r="I3" s="17">
        <f t="shared" si="2"/>
        <v>13444691.71146496</v>
      </c>
    </row>
    <row r="4" spans="1:9" ht="15.75" customHeight="1" x14ac:dyDescent="0.25">
      <c r="A4" s="5">
        <f t="shared" si="3"/>
        <v>2026</v>
      </c>
      <c r="B4" s="49">
        <v>881077</v>
      </c>
      <c r="C4" s="50">
        <v>2131940.5</v>
      </c>
      <c r="D4" s="50">
        <v>4347686</v>
      </c>
      <c r="E4" s="50">
        <v>4169758.5</v>
      </c>
      <c r="F4" s="50">
        <v>3857268.5</v>
      </c>
      <c r="G4" s="17">
        <f t="shared" si="0"/>
        <v>14506653.5</v>
      </c>
      <c r="H4" s="17">
        <f t="shared" si="1"/>
        <v>1015994.8643316547</v>
      </c>
      <c r="I4" s="17">
        <f t="shared" si="2"/>
        <v>13490658.635668345</v>
      </c>
    </row>
    <row r="5" spans="1:9" ht="15.75" customHeight="1" x14ac:dyDescent="0.25">
      <c r="A5" s="5">
        <f t="shared" si="3"/>
        <v>2027</v>
      </c>
      <c r="B5" s="49">
        <v>872664</v>
      </c>
      <c r="C5" s="50">
        <v>2125644.5</v>
      </c>
      <c r="D5" s="50">
        <v>4328371.4999999991</v>
      </c>
      <c r="E5" s="50">
        <v>4185491.5</v>
      </c>
      <c r="F5" s="50">
        <v>3898379</v>
      </c>
      <c r="G5" s="17">
        <f t="shared" si="0"/>
        <v>14537886.5</v>
      </c>
      <c r="H5" s="17">
        <f t="shared" si="1"/>
        <v>1006293.595550808</v>
      </c>
      <c r="I5" s="17">
        <f t="shared" si="2"/>
        <v>13531592.904449193</v>
      </c>
    </row>
    <row r="6" spans="1:9" ht="15.75" customHeight="1" x14ac:dyDescent="0.25">
      <c r="A6" s="5">
        <f t="shared" si="3"/>
        <v>2028</v>
      </c>
      <c r="B6" s="49">
        <v>863617</v>
      </c>
      <c r="C6" s="50">
        <v>2120973</v>
      </c>
      <c r="D6" s="50">
        <v>4308363.4999999991</v>
      </c>
      <c r="E6" s="50">
        <v>4206313</v>
      </c>
      <c r="F6" s="50">
        <v>3927745</v>
      </c>
      <c r="G6" s="17">
        <f t="shared" si="0"/>
        <v>14563394.5</v>
      </c>
      <c r="H6" s="17">
        <f t="shared" si="1"/>
        <v>995861.2433981488</v>
      </c>
      <c r="I6" s="17">
        <f t="shared" si="2"/>
        <v>13567533.256601851</v>
      </c>
    </row>
    <row r="7" spans="1:9" ht="15.75" customHeight="1" x14ac:dyDescent="0.25">
      <c r="A7" s="5">
        <f t="shared" si="3"/>
        <v>2029</v>
      </c>
      <c r="B7" s="49">
        <v>856674</v>
      </c>
      <c r="C7" s="50">
        <v>2118568.5</v>
      </c>
      <c r="D7" s="50">
        <v>4288032.4999999991</v>
      </c>
      <c r="E7" s="50">
        <v>4225376</v>
      </c>
      <c r="F7" s="50">
        <v>3951794.5</v>
      </c>
      <c r="G7" s="17">
        <f t="shared" si="0"/>
        <v>14583771.5</v>
      </c>
      <c r="H7" s="17">
        <f t="shared" si="1"/>
        <v>987855.07328696141</v>
      </c>
      <c r="I7" s="17">
        <f t="shared" si="2"/>
        <v>13595916.426713038</v>
      </c>
    </row>
    <row r="8" spans="1:9" ht="15.75" customHeight="1" x14ac:dyDescent="0.25">
      <c r="A8" s="5">
        <f t="shared" si="3"/>
        <v>2030</v>
      </c>
      <c r="B8" s="49">
        <v>848787</v>
      </c>
      <c r="C8" s="50">
        <v>2119978</v>
      </c>
      <c r="D8" s="50">
        <v>4266231.5</v>
      </c>
      <c r="E8" s="50">
        <v>4239867</v>
      </c>
      <c r="F8" s="50">
        <v>3976211.5</v>
      </c>
      <c r="G8" s="17">
        <f t="shared" si="0"/>
        <v>14602288</v>
      </c>
      <c r="H8" s="17">
        <f t="shared" si="1"/>
        <v>978760.35001648241</v>
      </c>
      <c r="I8" s="17">
        <f t="shared" si="2"/>
        <v>13623527.649983518</v>
      </c>
    </row>
    <row r="9" spans="1:9" ht="15.75" customHeight="1" x14ac:dyDescent="0.25">
      <c r="A9" s="5">
        <f t="shared" si="3"/>
        <v>2031</v>
      </c>
      <c r="B9" s="49">
        <v>841615</v>
      </c>
      <c r="C9" s="50">
        <v>2127381</v>
      </c>
      <c r="D9" s="50">
        <v>4239669.5</v>
      </c>
      <c r="E9" s="50">
        <v>4252823.5</v>
      </c>
      <c r="F9" s="50">
        <v>4000941.5</v>
      </c>
      <c r="G9" s="17">
        <f t="shared" si="0"/>
        <v>14620815.5</v>
      </c>
      <c r="H9" s="17">
        <f t="shared" si="1"/>
        <v>970490.11351389915</v>
      </c>
      <c r="I9" s="17">
        <f t="shared" si="2"/>
        <v>13650325.3864861</v>
      </c>
    </row>
    <row r="10" spans="1:9" ht="15.75" customHeight="1" x14ac:dyDescent="0.25">
      <c r="A10" s="5">
        <f t="shared" si="3"/>
        <v>2032</v>
      </c>
      <c r="B10" s="49">
        <v>833992</v>
      </c>
      <c r="C10" s="50">
        <v>2137289</v>
      </c>
      <c r="D10" s="50">
        <v>4208147.5</v>
      </c>
      <c r="E10" s="50">
        <v>4265121</v>
      </c>
      <c r="F10" s="50">
        <v>4021681</v>
      </c>
      <c r="G10" s="17">
        <f t="shared" si="0"/>
        <v>14632238.5</v>
      </c>
      <c r="H10" s="17">
        <f t="shared" si="1"/>
        <v>961699.81612695078</v>
      </c>
      <c r="I10" s="17">
        <f t="shared" si="2"/>
        <v>13670538.68387305</v>
      </c>
    </row>
    <row r="11" spans="1:9" ht="15.75" customHeight="1" x14ac:dyDescent="0.25">
      <c r="A11" s="5">
        <f t="shared" si="3"/>
        <v>2033</v>
      </c>
      <c r="B11" s="49">
        <v>826658</v>
      </c>
      <c r="C11" s="50">
        <v>2145347</v>
      </c>
      <c r="D11" s="50">
        <v>4178726.5000000005</v>
      </c>
      <c r="E11" s="50">
        <v>4272300.4999999991</v>
      </c>
      <c r="F11" s="50">
        <v>4033999.5</v>
      </c>
      <c r="G11" s="17">
        <f t="shared" si="0"/>
        <v>14630373.5</v>
      </c>
      <c r="H11" s="17">
        <f t="shared" si="1"/>
        <v>953242.77283220086</v>
      </c>
      <c r="I11" s="17">
        <f t="shared" si="2"/>
        <v>13677130.7271678</v>
      </c>
    </row>
    <row r="12" spans="1:9" ht="15.75" customHeight="1" x14ac:dyDescent="0.25">
      <c r="A12" s="5">
        <f t="shared" si="3"/>
        <v>2034</v>
      </c>
      <c r="B12" s="49">
        <v>818679</v>
      </c>
      <c r="C12" s="50">
        <v>2149405.5</v>
      </c>
      <c r="D12" s="50">
        <v>4158878.5000000009</v>
      </c>
      <c r="E12" s="50">
        <v>4269528.5</v>
      </c>
      <c r="F12" s="50">
        <v>4039708</v>
      </c>
      <c r="G12" s="17">
        <f t="shared" si="0"/>
        <v>14617520.5</v>
      </c>
      <c r="H12" s="17">
        <f t="shared" si="1"/>
        <v>944041.96175382496</v>
      </c>
      <c r="I12" s="17">
        <f t="shared" si="2"/>
        <v>13673478.538246175</v>
      </c>
    </row>
    <row r="13" spans="1:9" ht="15.75" customHeight="1" x14ac:dyDescent="0.25">
      <c r="A13" s="5">
        <f t="shared" si="3"/>
        <v>2035</v>
      </c>
      <c r="B13" s="49">
        <v>812378</v>
      </c>
      <c r="C13" s="50">
        <v>2146924</v>
      </c>
      <c r="D13" s="50">
        <v>4150527.5</v>
      </c>
      <c r="E13" s="50">
        <v>4258414.5</v>
      </c>
      <c r="F13" s="50">
        <v>4044487</v>
      </c>
      <c r="G13" s="17">
        <f t="shared" si="0"/>
        <v>14600353</v>
      </c>
      <c r="H13" s="17">
        <f t="shared" si="1"/>
        <v>936776.10004122346</v>
      </c>
      <c r="I13" s="17">
        <f t="shared" si="2"/>
        <v>13663576.899958776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W+Y4QB5e2L5ePFaAQlLgRWTbthNe3iwY0wJVenGwOoi/2uWrvz60zMxx/6T1IXlaDtWnUVdxyHQp7Wgpu1OLw==" saltValue="YeWFnIVOJsG3QS++8PQIv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1.0255500000000001E-2</v>
      </c>
    </row>
    <row r="4" spans="1:8" ht="15.75" customHeight="1" x14ac:dyDescent="0.25">
      <c r="B4" s="19" t="s">
        <v>97</v>
      </c>
      <c r="C4" s="99">
        <v>5.6709300000000143E-2</v>
      </c>
    </row>
    <row r="5" spans="1:8" ht="15.75" customHeight="1" x14ac:dyDescent="0.25">
      <c r="B5" s="19" t="s">
        <v>98</v>
      </c>
      <c r="C5" s="99">
        <v>8.2196700000000025E-2</v>
      </c>
    </row>
    <row r="6" spans="1:8" ht="15.75" customHeight="1" x14ac:dyDescent="0.25">
      <c r="B6" s="19" t="s">
        <v>99</v>
      </c>
      <c r="C6" s="99">
        <v>0.2395228999999999</v>
      </c>
    </row>
    <row r="7" spans="1:8" ht="15.75" customHeight="1" x14ac:dyDescent="0.25">
      <c r="B7" s="19" t="s">
        <v>100</v>
      </c>
      <c r="C7" s="99">
        <v>0.3928677999999996</v>
      </c>
    </row>
    <row r="8" spans="1:8" ht="15.75" customHeight="1" x14ac:dyDescent="0.25">
      <c r="B8" s="19" t="s">
        <v>101</v>
      </c>
      <c r="C8" s="99">
        <v>1.5020000000000009E-3</v>
      </c>
    </row>
    <row r="9" spans="1:8" ht="15.75" customHeight="1" x14ac:dyDescent="0.25">
      <c r="B9" s="19" t="s">
        <v>102</v>
      </c>
      <c r="C9" s="99">
        <v>9.0700500000000031E-2</v>
      </c>
    </row>
    <row r="10" spans="1:8" ht="15.75" customHeight="1" x14ac:dyDescent="0.25">
      <c r="B10" s="19" t="s">
        <v>103</v>
      </c>
      <c r="C10" s="99">
        <v>0.1262453000000002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106</v>
      </c>
      <c r="C15" s="99">
        <v>0.1283692787301331</v>
      </c>
      <c r="D15" s="99">
        <v>0.1283692787301331</v>
      </c>
      <c r="E15" s="99">
        <v>0.1283692787301331</v>
      </c>
      <c r="F15" s="99">
        <v>0.1283692787301331</v>
      </c>
    </row>
    <row r="16" spans="1:8" ht="15.75" customHeight="1" x14ac:dyDescent="0.25">
      <c r="B16" s="19" t="s">
        <v>107</v>
      </c>
      <c r="C16" s="99">
        <v>1.476393085354071E-2</v>
      </c>
      <c r="D16" s="99">
        <v>1.476393085354071E-2</v>
      </c>
      <c r="E16" s="99">
        <v>1.476393085354071E-2</v>
      </c>
      <c r="F16" s="99">
        <v>1.476393085354071E-2</v>
      </c>
    </row>
    <row r="17" spans="1:8" ht="15.75" customHeight="1" x14ac:dyDescent="0.25">
      <c r="B17" s="19" t="s">
        <v>108</v>
      </c>
      <c r="C17" s="99">
        <v>0.20253891238761709</v>
      </c>
      <c r="D17" s="99">
        <v>0.20253891238761709</v>
      </c>
      <c r="E17" s="99">
        <v>0.20253891238761709</v>
      </c>
      <c r="F17" s="99">
        <v>0.20253891238761709</v>
      </c>
    </row>
    <row r="18" spans="1:8" ht="15.75" customHeight="1" x14ac:dyDescent="0.25">
      <c r="B18" s="19" t="s">
        <v>109</v>
      </c>
      <c r="C18" s="99">
        <v>1.145434598579335E-3</v>
      </c>
      <c r="D18" s="99">
        <v>1.145434598579335E-3</v>
      </c>
      <c r="E18" s="99">
        <v>1.145434598579335E-3</v>
      </c>
      <c r="F18" s="99">
        <v>1.145434598579335E-3</v>
      </c>
    </row>
    <row r="19" spans="1:8" ht="15.75" customHeight="1" x14ac:dyDescent="0.25">
      <c r="B19" s="19" t="s">
        <v>110</v>
      </c>
      <c r="C19" s="99">
        <v>1.6469280220540561E-2</v>
      </c>
      <c r="D19" s="99">
        <v>1.6469280220540561E-2</v>
      </c>
      <c r="E19" s="99">
        <v>1.6469280220540561E-2</v>
      </c>
      <c r="F19" s="99">
        <v>1.6469280220540561E-2</v>
      </c>
    </row>
    <row r="20" spans="1:8" ht="15.75" customHeight="1" x14ac:dyDescent="0.25">
      <c r="B20" s="19" t="s">
        <v>111</v>
      </c>
      <c r="C20" s="99">
        <v>8.6732539967486113E-3</v>
      </c>
      <c r="D20" s="99">
        <v>8.6732539967486113E-3</v>
      </c>
      <c r="E20" s="99">
        <v>8.6732539967486113E-3</v>
      </c>
      <c r="F20" s="99">
        <v>8.6732539967486113E-3</v>
      </c>
    </row>
    <row r="21" spans="1:8" ht="15.75" customHeight="1" x14ac:dyDescent="0.25">
      <c r="B21" s="19" t="s">
        <v>112</v>
      </c>
      <c r="C21" s="99">
        <v>0.15491101543101871</v>
      </c>
      <c r="D21" s="99">
        <v>0.15491101543101871</v>
      </c>
      <c r="E21" s="99">
        <v>0.15491101543101871</v>
      </c>
      <c r="F21" s="99">
        <v>0.15491101543101871</v>
      </c>
    </row>
    <row r="22" spans="1:8" ht="15.75" customHeight="1" x14ac:dyDescent="0.25">
      <c r="B22" s="19" t="s">
        <v>113</v>
      </c>
      <c r="C22" s="99">
        <v>0.28821985022945562</v>
      </c>
      <c r="D22" s="99">
        <v>0.28821985022945562</v>
      </c>
      <c r="E22" s="99">
        <v>0.28821985022945562</v>
      </c>
      <c r="F22" s="99">
        <v>0.28821985022945562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4.7953877999999991E-2</v>
      </c>
    </row>
    <row r="27" spans="1:8" ht="15.75" customHeight="1" x14ac:dyDescent="0.25">
      <c r="B27" s="19" t="s">
        <v>120</v>
      </c>
      <c r="C27" s="99">
        <v>1.0397949E-2</v>
      </c>
    </row>
    <row r="28" spans="1:8" ht="15.75" customHeight="1" x14ac:dyDescent="0.25">
      <c r="B28" s="19" t="s">
        <v>121</v>
      </c>
      <c r="C28" s="99">
        <v>0.26736443399999998</v>
      </c>
    </row>
    <row r="29" spans="1:8" ht="15.75" customHeight="1" x14ac:dyDescent="0.25">
      <c r="B29" s="19" t="s">
        <v>122</v>
      </c>
      <c r="C29" s="99">
        <v>0.12531753500000001</v>
      </c>
    </row>
    <row r="30" spans="1:8" ht="15.75" customHeight="1" x14ac:dyDescent="0.25">
      <c r="B30" s="19" t="s">
        <v>2</v>
      </c>
      <c r="C30" s="99">
        <v>7.0167186000000006E-2</v>
      </c>
    </row>
    <row r="31" spans="1:8" ht="15.75" customHeight="1" x14ac:dyDescent="0.25">
      <c r="B31" s="19" t="s">
        <v>123</v>
      </c>
      <c r="C31" s="99">
        <v>8.1421533000000004E-2</v>
      </c>
    </row>
    <row r="32" spans="1:8" ht="15.75" customHeight="1" x14ac:dyDescent="0.25">
      <c r="B32" s="19" t="s">
        <v>124</v>
      </c>
      <c r="C32" s="99">
        <v>4.7734519000000003E-2</v>
      </c>
    </row>
    <row r="33" spans="2:3" ht="15.75" customHeight="1" x14ac:dyDescent="0.25">
      <c r="B33" s="19" t="s">
        <v>125</v>
      </c>
      <c r="C33" s="99">
        <v>0.14779943100000001</v>
      </c>
    </row>
    <row r="34" spans="2:3" ht="15.75" customHeight="1" x14ac:dyDescent="0.25">
      <c r="B34" s="19" t="s">
        <v>126</v>
      </c>
      <c r="C34" s="99">
        <v>0.20184353499999999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RuJb23gayQnt2YtoUquKv1TJTAqiksO399yley2nznz5oo7M0/hZW5a1GJxeryibRpiod0WfT0XuetN6n/AOnA==" saltValue="IWaePOBfIYF/XjUOMkfR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132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133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137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138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IvAvopTgtpEnfH/iUDZx20Zs3/nYknJ3jko+oiot+o9Y53jE65Y2nWO3BtvNHykcpucHLnE6imugx2aBwOC/Q==" saltValue="X3tawDczrKgrWFRNIvaE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1.9605199999999989E-2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iSWX0AZIG05aapPUo6jT4B7pFb5h3tL4MFabXj/g6chCbWloz74pDuQT3fXPUehUpgdsPvFWwlWBYoFhlPEcBg==" saltValue="vJ6auhLM4aXBNl54G9sr5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C1IH7aTvcW3fE1r5Bhcy15kJ9NtHuNq1xF8W8cavZxcc2jfds3zZymrHMA6PvfK5FbVgH4ul+xPBkHzPR3YTA==" saltValue="wzNBpHGaxjO7lRUXqktF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1149.21121846296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0.44096000000000002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0.45005000000000001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2.0024302956822414E-2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95539.656870000006</v>
      </c>
      <c r="C22" s="107">
        <v>95301.142089999994</v>
      </c>
      <c r="D22" s="107">
        <v>95078.139460000006</v>
      </c>
      <c r="E22" s="107">
        <v>94619.503039999996</v>
      </c>
      <c r="F22" s="107">
        <v>93986.73216</v>
      </c>
      <c r="G22" s="107">
        <v>93274.871329999994</v>
      </c>
      <c r="H22" s="107">
        <v>92388.733559999993</v>
      </c>
      <c r="I22" s="107">
        <v>91199.10583</v>
      </c>
      <c r="J22" s="107">
        <v>89502.26814</v>
      </c>
      <c r="K22" s="107">
        <v>87084.518559999997</v>
      </c>
      <c r="L22" s="107">
        <v>83497.847150000001</v>
      </c>
      <c r="M22" s="107">
        <v>78476.11249</v>
      </c>
      <c r="N22" s="107">
        <v>71286.398109999995</v>
      </c>
      <c r="O22" s="107">
        <v>61707.36378</v>
      </c>
    </row>
  </sheetData>
  <sheetProtection algorithmName="SHA-512" hashValue="afbPL0/SY5auAjJxV1iG9KWZ/O5y+MwN/TaJI8PLco7KCG88yrOXLFUr+vhh3ytIeKo9iGoPbfyaYlF8lELgxQ==" saltValue="yDTwLThNDKZZq+2s8hOdF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KLQpmAyr+9WpOF+com7LUWLVgNgZMclM/TFQeBiCTNMEo5rqZpjpcvpUbJZvdR+JHwtdcHeUL168+ifubxGGjQ==" saltValue="U6k/7f5oTgp8iKsnv+xEH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9CkCLa2Tvyv1ciwT/8Nv9CnHIUpnnMcPP6+YSGb9nEn3hQwii7lb9RwzYrQb3twTgjB/fK14I+4RNWyFod1QpA==" saltValue="w1J0hZEza84trWtQKCWEE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0.77074974835036481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0.59326290000000004</v>
      </c>
      <c r="C10" s="96">
        <v>0.95</v>
      </c>
      <c r="D10" s="56">
        <v>17.420883333006959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17.420883333006959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17.420883333006959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17.420883333006959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0.59326290000000004</v>
      </c>
      <c r="C14" s="96">
        <v>0.95</v>
      </c>
      <c r="D14" s="56">
        <v>17.420883333006959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17.420883333006959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0.16721649999999999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1.6000000000000001E-4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0.49112349999999999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0.49112349999999999</v>
      </c>
      <c r="C19" s="96">
        <v>0.95</v>
      </c>
      <c r="D19" s="56">
        <v>2.8448355135048669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0.23973340000000001</v>
      </c>
      <c r="C23" s="96">
        <v>0.95</v>
      </c>
      <c r="D23" s="56">
        <v>5.6963080880733798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0.26501636123150002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0.59326290000000004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0.61857830000000003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0.21329680000000001</v>
      </c>
      <c r="C29" s="96">
        <v>0.95</v>
      </c>
      <c r="D29" s="56">
        <v>70.723861239789485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3.5299999999999998E-2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0.54400000000000004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0.74585590000000002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0.42059249999999998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8.6999999999999994E-2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0.33884219999999998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8.4313400000000011E-2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heuHgwU1rqNM+JulRAEp1NTP0X8duHrG8jloF/mEEVXka6CrQy2as4wS0lJCOtFRejsAZ7lWiRWNhqFeS9ZJJw==" saltValue="QC+oji701ws6aWdtt3pN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5XSMa2YVHHJ5USp/E6a/83yzRbIClEFYGdqL1wPb6uVmvSr84McqvJwGnKU+K9WJW/Qc7FNt+qprTxmzyI8tw==" saltValue="oOkK4WFtRHzuZW4F1eo/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NyMao3mUZcBXV5iHKToDDaYsUZgZEEgd8lerwbj8oJSTX3oRQAjLD9lJfA1zANE6Unrp8KU9I0oQgIVX9FExw==" saltValue="RDSh8r3iJxM22wMK2lLq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237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sheetProtection algorithmName="SHA-512" hashValue="MP9Gpjx9DI2OUZmly7APBbFvpNJazGrgv+0FnqKXmPZcImI6LxrBQx/y+9K2vdnPuUOROGjRWfVtwKNwRcPcuA==" saltValue="LMtm2/BB28epBSoq3fohv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0.02</v>
      </c>
      <c r="F2" s="60">
        <f>food_insecure</f>
        <v>0.02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0.02</v>
      </c>
      <c r="I15" s="60">
        <f t="shared" si="0"/>
        <v>0.02</v>
      </c>
      <c r="J15" s="60">
        <f t="shared" si="0"/>
        <v>0.02</v>
      </c>
      <c r="K15" s="60">
        <f t="shared" si="0"/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0.02</v>
      </c>
      <c r="I16" s="60">
        <f t="shared" si="0"/>
        <v>0.02</v>
      </c>
      <c r="J16" s="60">
        <f t="shared" si="0"/>
        <v>0.02</v>
      </c>
      <c r="K16" s="60">
        <f t="shared" si="0"/>
        <v>0.02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0.23780000000000001</v>
      </c>
      <c r="D34" s="60">
        <f t="shared" si="4"/>
        <v>0.23780000000000001</v>
      </c>
      <c r="E34" s="60">
        <f t="shared" si="4"/>
        <v>0.23780000000000001</v>
      </c>
      <c r="F34" s="60">
        <f t="shared" si="4"/>
        <v>0.23780000000000001</v>
      </c>
      <c r="G34" s="60">
        <f t="shared" si="4"/>
        <v>0.23780000000000001</v>
      </c>
      <c r="H34" s="60">
        <f t="shared" si="4"/>
        <v>0.23780000000000001</v>
      </c>
      <c r="I34" s="60">
        <f t="shared" si="4"/>
        <v>0.23780000000000001</v>
      </c>
      <c r="J34" s="60">
        <f t="shared" si="4"/>
        <v>0.23780000000000001</v>
      </c>
      <c r="K34" s="60">
        <f t="shared" si="4"/>
        <v>0.23780000000000001</v>
      </c>
      <c r="L34" s="60">
        <f t="shared" si="4"/>
        <v>0.23780000000000001</v>
      </c>
      <c r="M34" s="60">
        <f t="shared" si="4"/>
        <v>0.23780000000000001</v>
      </c>
      <c r="N34" s="60">
        <f t="shared" si="4"/>
        <v>0.23780000000000001</v>
      </c>
      <c r="O34" s="60">
        <f t="shared" si="4"/>
        <v>0.23780000000000001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SDKqWDMVkYFsmgKU/V205glAiUXlUDHVy9Ga4vK8bo+xjKgwEkw/jg0HhUHwMXmcuAkpeSB9zx+1Yt86tJmrg==" saltValue="btlS4FH42fG9Q1hOk9y6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8Bw58jFaTHZP3nPK+ms6qS6uS/I4mnniu4rQGEtmhilHv+3rhzHWKnUI+NNlwtzquWc3MWX7N6u+s6tnUoROUQ==" saltValue="ZgJjpmcWPp5lxKf7SiCZ5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CznRBPcZUDIpXRIrjfDz16Aqhuvf6uNvmF7iGGHPTStSoTZ1pNVO0A839cOciXM7yLJl/1P5dqpKGMUW65fYg==" saltValue="MqnBtHoij+AFDxV9w8qNf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YWsu1Cfu9B8Wk25OBivjvJqPwvrluexMY296LyR0WGju/e7TiCtrTdjzbEJT6gnP2gOmWY31Kfd2tAD6vMt7w==" saltValue="zwIQbFZvOV3/gpaimpVL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+P9oAJN1jblGQaDOf6mATdCpZZIp3VZeS+cHcxw6NKPLM9kCEtt53Gt3Oq5Sf+/pCtd84byCvgFrdftKWy6FCg==" saltValue="UbF4sdOVqUSY6d0sUahCV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YL2AZ+TM1Ql4Xm6WAC8GlZvvLqm2elLThLJTtC8aac91sWOJnYyLc6mscxkGCyTuRaHFi1QIKeQFVazP1C7Tg==" saltValue="UhL/YSQE/Jox9xP/bFlhC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S4ka0awN0l+rEZg6uiNWorPGwgg7ahuIlWphYYVTBb2t5bfssBAXXIWLF7HixFDCR/n8be3tMmlqdebtBeKmQ==" saltValue="kApqphC2YnSoR9l9bmc8f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kxyNBz8NUUkm/WydbpiPhlilKRMXcvuRmXsGrrx1cr0skIq4JPMNIXeYuq3+bc5jLvSXa7xQ/VeBm1gePyaPLA==" saltValue="OCaPrUHYyxwnUnmi/Rcp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u5CGaGK1vCg6wLVxt49IZhu6iFQIwbpliiTkBRCMlYOKxXX8OJ9h8nLKNKsgureZ9l3ejBZffwfUy7jfO0aVw==" saltValue="W9Y71BKx1LGqrJ+t+omi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caYeFGTgYyA4qQsLVDE/Cu+ErUgPG0Z+RfxlzOPdIRd2qIPriotS9fgxTfMUAMuRpcj9Egs45qryngtQTv+zg==" saltValue="vjIxcMaPRMVssAevZ5uZ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WzkfSm4E5INcS3NF6jM0boWKkMQX4YqPih6isa2Faoho59DnvwP7Q9+/f8kS+EnLNMWhPA6nRAC/+ZYgyZ6OQ==" saltValue="/GR1MLfnI0jnipYzp70d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KPJyMbRCl+wz1Rd1zokpMCmZxOaM5L1+/hAL3LqtLJAxuXP4LxTPh0fjxZEryNfyPk1AKVCQ5JXQWBeBMsaUw==" saltValue="tcIfWDVLqSiicaWrpVwZ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xzD1cOv3d9T71eZSgV1ROFA23bckTmlcBxF4BvwcrcbkrbnXn5jz1hnN8yOpaRaLC1Q0vZWZJ5D462cz6ryBQ==" saltValue="aaGeP4GxMc1wVjT3Zj7A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zc2S3eJjNSszmwqzJKuKycfWTVmUQhP9/th05oW7gKDtYoN+krg6dU4DnyeWOIm4YG/RuWgpmLIaoIoxcK1Vg==" saltValue="gTkhnCUMAnIqsXz2ni0E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akH2Giwcdlm/hWPIPxq2BH+Lb1iOKnt4WpHmX0ACF0nAMV+vNrlfxSWKfjWzkir+eeWI4w13hwoSOxXGJInAw==" saltValue="+8uS3YVgHDxYNn6Rf+k6e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2025-07-30T02:56:39Z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