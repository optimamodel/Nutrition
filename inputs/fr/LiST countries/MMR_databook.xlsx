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B48068B-08C3-44F3-AEE6-B0F9CA5DC79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5" i="2" l="1"/>
  <c r="A28" i="2"/>
  <c r="A17" i="2"/>
  <c r="A29" i="2"/>
  <c r="A39" i="2"/>
  <c r="A18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0" i="2"/>
  <c r="A33" i="2"/>
  <c r="A21" i="2"/>
  <c r="A34" i="2"/>
  <c r="A23" i="2"/>
  <c r="A36" i="2"/>
  <c r="A25" i="2"/>
  <c r="A37" i="2"/>
  <c r="I4" i="2"/>
  <c r="A26" i="2"/>
  <c r="I38" i="2"/>
  <c r="A16" i="2"/>
  <c r="A24" i="2"/>
  <c r="A32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<sst xmlns="http://schemas.openxmlformats.org/spreadsheetml/2006/main" count="2101" uniqueCount="337">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</sst>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4394769.53125</v>
      </c>
    </row>
    <row r="8" spans="1:3" ht="15" customHeight="1" x14ac:dyDescent="0.25">
      <c r="B8" s="5" t="s">
        <v>19</v>
      </c>
      <c r="C8" s="44">
        <v>0.02</v>
      </c>
    </row>
    <row r="9" spans="1:3" ht="15" customHeight="1" x14ac:dyDescent="0.25">
      <c r="B9" s="5" t="s">
        <v>20</v>
      </c>
      <c r="C9" s="45">
        <v>0.23780000000000001</v>
      </c>
    </row>
    <row r="10" spans="1:3" ht="15" customHeight="1" x14ac:dyDescent="0.25">
      <c r="B10" s="5" t="s">
        <v>21</v>
      </c>
      <c r="C10" s="45">
        <v>0.61964199066162107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7.2599999999999998E-2</v>
      </c>
    </row>
    <row r="24" spans="1:3" ht="15" customHeight="1" x14ac:dyDescent="0.25">
      <c r="B24" s="15" t="s">
        <v>33</v>
      </c>
      <c r="C24" s="45">
        <v>0.47549999999999998</v>
      </c>
    </row>
    <row r="25" spans="1:3" ht="15" customHeight="1" x14ac:dyDescent="0.25">
      <c r="B25" s="15" t="s">
        <v>34</v>
      </c>
      <c r="C25" s="45">
        <v>0.37380000000000002</v>
      </c>
    </row>
    <row r="26" spans="1:3" ht="15" customHeight="1" x14ac:dyDescent="0.25">
      <c r="B26" s="15" t="s">
        <v>35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0.35174465639154501</v>
      </c>
    </row>
    <row r="30" spans="1:3" ht="14.25" customHeight="1" x14ac:dyDescent="0.25">
      <c r="B30" s="25" t="s">
        <v>38</v>
      </c>
      <c r="C30" s="99">
        <v>3.10047903226232E-2</v>
      </c>
    </row>
    <row r="31" spans="1:3" ht="14.25" customHeight="1" x14ac:dyDescent="0.25">
      <c r="B31" s="25" t="s">
        <v>39</v>
      </c>
      <c r="C31" s="99">
        <v>5.4690867454115402E-2</v>
      </c>
    </row>
    <row r="32" spans="1:3" ht="14.25" customHeight="1" x14ac:dyDescent="0.25">
      <c r="B32" s="25" t="s">
        <v>40</v>
      </c>
      <c r="C32" s="99">
        <v>0.562559685831717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21.664349999999999</v>
      </c>
    </row>
    <row r="38" spans="1:5" ht="15" customHeight="1" x14ac:dyDescent="0.25">
      <c r="B38" s="11" t="s">
        <v>45</v>
      </c>
      <c r="C38" s="43">
        <v>33.723550000000003</v>
      </c>
      <c r="D38" s="12"/>
      <c r="E38" s="13"/>
    </row>
    <row r="39" spans="1:5" ht="15" customHeight="1" x14ac:dyDescent="0.25">
      <c r="B39" s="11" t="s">
        <v>46</v>
      </c>
      <c r="C39" s="43">
        <v>41.812370000000001</v>
      </c>
      <c r="D39" s="12"/>
      <c r="E39" s="12"/>
    </row>
    <row r="40" spans="1:5" ht="15" customHeight="1" x14ac:dyDescent="0.25">
      <c r="B40" s="11" t="s">
        <v>47</v>
      </c>
      <c r="C40" s="100">
        <v>1.79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6.1399000000000002E-3</v>
      </c>
      <c r="D45" s="12"/>
    </row>
    <row r="46" spans="1:5" ht="15.75" customHeight="1" x14ac:dyDescent="0.25">
      <c r="B46" s="11" t="s">
        <v>52</v>
      </c>
      <c r="C46" s="45">
        <v>6.5972000000000003E-2</v>
      </c>
      <c r="D46" s="12"/>
    </row>
    <row r="47" spans="1:5" ht="15.75" customHeight="1" x14ac:dyDescent="0.25">
      <c r="B47" s="11" t="s">
        <v>53</v>
      </c>
      <c r="C47" s="45">
        <v>7.5162500000000007E-2</v>
      </c>
      <c r="D47" s="12"/>
      <c r="E47" s="13"/>
    </row>
    <row r="48" spans="1:5" ht="15" customHeight="1" x14ac:dyDescent="0.25">
      <c r="B48" s="11" t="s">
        <v>54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0.56383200000000022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0.12303469</v>
      </c>
    </row>
    <row r="63" spans="1:4" ht="15.75" customHeight="1" x14ac:dyDescent="0.3">
      <c r="A63" s="4"/>
    </row>
  </sheetData>
  <sheetProtection algorithmName="SHA-512" hashValue="wJo/flpu0C+BgK1Z1m2YDNMKi7C/WOQ3ERlotjRp//U4UgIcdvUsyagMGfmEat3mslXMi7LKNUAmim8RkZgSvg==" saltValue="UwW/0C7VAwqMseB48J/y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AWFpz0KSZQu3vTWXCA0rgQQI7PNdO+753uYy2KurguLEix7CL4qM/TC2EeClrGi+rq5+abHKmDR4Q/yd0kGHw==" saltValue="PxX6316S/+MQXZfKZHup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1.0255500000000001E-2</v>
      </c>
    </row>
    <row r="4" spans="1:8" ht="15.75" customHeight="1" x14ac:dyDescent="0.25">
      <c r="B4" s="19" t="s">
        <v>79</v>
      </c>
      <c r="C4" s="101">
        <v>5.6709300000000143E-2</v>
      </c>
    </row>
    <row r="5" spans="1:8" ht="15.75" customHeight="1" x14ac:dyDescent="0.25">
      <c r="B5" s="19" t="s">
        <v>80</v>
      </c>
      <c r="C5" s="101">
        <v>8.2196700000000025E-2</v>
      </c>
    </row>
    <row r="6" spans="1:8" ht="15.75" customHeight="1" x14ac:dyDescent="0.25">
      <c r="B6" s="19" t="s">
        <v>81</v>
      </c>
      <c r="C6" s="101">
        <v>0.2395228999999999</v>
      </c>
    </row>
    <row r="7" spans="1:8" ht="15.75" customHeight="1" x14ac:dyDescent="0.25">
      <c r="B7" s="19" t="s">
        <v>82</v>
      </c>
      <c r="C7" s="101">
        <v>0.3928677999999996</v>
      </c>
    </row>
    <row r="8" spans="1:8" ht="15.75" customHeight="1" x14ac:dyDescent="0.25">
      <c r="B8" s="19" t="s">
        <v>83</v>
      </c>
      <c r="C8" s="101">
        <v>1.5020000000000009E-3</v>
      </c>
    </row>
    <row r="9" spans="1:8" ht="15.75" customHeight="1" x14ac:dyDescent="0.25">
      <c r="B9" s="19" t="s">
        <v>84</v>
      </c>
      <c r="C9" s="101">
        <v>9.0700500000000031E-2</v>
      </c>
    </row>
    <row r="10" spans="1:8" ht="15.75" customHeight="1" x14ac:dyDescent="0.25">
      <c r="B10" s="19" t="s">
        <v>85</v>
      </c>
      <c r="C10" s="101">
        <v>0.1262453000000002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88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89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90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91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92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93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94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95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4.7953877999999991E-2</v>
      </c>
    </row>
    <row r="27" spans="1:8" ht="15.75" customHeight="1" x14ac:dyDescent="0.25">
      <c r="B27" s="19" t="s">
        <v>102</v>
      </c>
      <c r="C27" s="101">
        <v>1.0397949E-2</v>
      </c>
    </row>
    <row r="28" spans="1:8" ht="15.75" customHeight="1" x14ac:dyDescent="0.25">
      <c r="B28" s="19" t="s">
        <v>103</v>
      </c>
      <c r="C28" s="101">
        <v>0.26736443399999998</v>
      </c>
    </row>
    <row r="29" spans="1:8" ht="15.75" customHeight="1" x14ac:dyDescent="0.25">
      <c r="B29" s="19" t="s">
        <v>104</v>
      </c>
      <c r="C29" s="101">
        <v>0.12531753500000001</v>
      </c>
    </row>
    <row r="30" spans="1:8" ht="15.75" customHeight="1" x14ac:dyDescent="0.25">
      <c r="B30" s="19" t="s">
        <v>2</v>
      </c>
      <c r="C30" s="101">
        <v>7.0167186000000006E-2</v>
      </c>
    </row>
    <row r="31" spans="1:8" ht="15.75" customHeight="1" x14ac:dyDescent="0.25">
      <c r="B31" s="19" t="s">
        <v>105</v>
      </c>
      <c r="C31" s="101">
        <v>8.1421533000000004E-2</v>
      </c>
    </row>
    <row r="32" spans="1:8" ht="15.75" customHeight="1" x14ac:dyDescent="0.25">
      <c r="B32" s="19" t="s">
        <v>106</v>
      </c>
      <c r="C32" s="101">
        <v>4.7734519000000003E-2</v>
      </c>
    </row>
    <row r="33" spans="2:3" ht="15.75" customHeight="1" x14ac:dyDescent="0.25">
      <c r="B33" s="19" t="s">
        <v>107</v>
      </c>
      <c r="C33" s="101">
        <v>0.14779943100000001</v>
      </c>
    </row>
    <row r="34" spans="2:3" ht="15.75" customHeight="1" x14ac:dyDescent="0.25">
      <c r="B34" s="19" t="s">
        <v>108</v>
      </c>
      <c r="C34" s="101">
        <v>0.20184353499999999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8xvh9USKAZjpoLB1Fvwbzj4K2Z1nDTq37fWPBjr1gtKnAUB5Yy1qwquiKG9OMHOZbqXQbpccNbuwxPSftUeTsA==" saltValue="cQJi+7bq648nRW83ei6I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114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115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119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120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t4mF3/VhJK2yFGO6jlOKKShQwgeSQrSf1QBjgP7xkA2ImBMQTS9biG5nxZ1vkUgyNs9yu+pR0LtduQ4LIQTSQ==" saltValue="zDyP53Hgzr6q+oa0Z6Ze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132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2qboQXlIrRZHPAuZDoUdP1xbiimnSm+flT+vKVu7nI0HSi0eM2tYTx9UtRpBqq/VaW/6Q5amQK+duHF/ZDizJQ==" saltValue="kRN8Psitap5XXy3tshrN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WE8r/xMIqDIYTMxabnwJALeQdXvw/qI3wCPmyuiNyFo4Ypv8tTogtvbMPP79Mzjw6MnxZYjpGha7mt8YtJ6EA==" saltValue="8h7sgNvFBQP8drxt0/RR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ijuu6eDFVngh45e4Ko7nCx1CZ2sIwcqrfbfGs8giNBaeXhOPzOJbuUVoOhBw2dkmLR1DKSc4P2eDoYECabsZ7Q==" saltValue="UEaSh6fE6vmc1LWvcEws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f4EkvjOh6qlfbEjudn7FBH1JCmX5Dm1PpKo8xed4OV63Y0fp0Kf/6KxQNyqbr7NWxajOf+erqm+UB+hD1e7Nww==" saltValue="ebot32sb/8bLfy+/V2E/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Z4TPjkiXycTaJrE7W6QFq48tn7qTMmSAYjSjnB9O6kenao1LGi14w1yoFq4E1G/VJe4bxYSDyXwR2bWn9O4xbA==" saltValue="+Iyt7JOlrYoOmi9gnV0o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39.222404520785908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54.737134105512617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119.55153720587511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0.77074974835036481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0.59326290000000004</v>
      </c>
      <c r="C10" s="98">
        <v>0.95</v>
      </c>
      <c r="D10" s="56">
        <v>17.420883333006959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17.420883333006959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17.420883333006959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17.420883333006959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0.59326290000000004</v>
      </c>
      <c r="C14" s="98">
        <v>0.95</v>
      </c>
      <c r="D14" s="56">
        <v>17.420883333006959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17.420883333006959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0.16721649999999999</v>
      </c>
      <c r="C16" s="98">
        <v>0.95</v>
      </c>
      <c r="D16" s="56">
        <v>0.34694694397271492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1.6000000000000001E-4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0.49112349999999999</v>
      </c>
      <c r="C18" s="98">
        <v>0.95</v>
      </c>
      <c r="D18" s="56">
        <v>2.8448355135048669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0.49112349999999999</v>
      </c>
      <c r="C19" s="98">
        <v>0.95</v>
      </c>
      <c r="D19" s="56">
        <v>2.8448355135048669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6.2873932146726759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29.721241430461131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0.23973340000000001</v>
      </c>
      <c r="C23" s="98">
        <v>0.95</v>
      </c>
      <c r="D23" s="56">
        <v>5.6963080880733798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0.26501636123150002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0.59326290000000004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25.150709521879179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0.61857830000000003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0.21329680000000001</v>
      </c>
      <c r="C29" s="98">
        <v>0.95</v>
      </c>
      <c r="D29" s="56">
        <v>70.723861239789485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3.5299999999999998E-2</v>
      </c>
      <c r="C31" s="98">
        <v>0.95</v>
      </c>
      <c r="D31" s="56">
        <v>0.94236644609543263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0.67793297191267776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0.74585590000000002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0.42059249999999998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8.6999999999999994E-2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0.33884219999999998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8.4313400000000011E-2</v>
      </c>
      <c r="C38" s="98">
        <v>0.95</v>
      </c>
      <c r="D38" s="56">
        <v>4.2635792257266498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M2nbB1RTOaROrKS+lxuoE8IAKTHZfrAiQlacPJEvMwQ263WXttYaQZQ2aGrfQYNrH4KJKEU68mYPqlLor7pILg==" saltValue="dxK5SqVJ8+9plKao7GHr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91M1ggwgxXSd8KH5/ISPu5ml6MDW4hpIuPsNMLIcpsEntZKlF3SDNa7cDhatnzIKLz86NQIqHvn79v7uXjAhCA==" saltValue="3EVnRg/lCBTZ8wRxzd5A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PbLHSXDsVkalH7OK1wa+85pL0WZT8uyfHeewWDamTWKuR+FMIzTho6pBuSMygL39pYP7/mgA+tPJrzRnPfd/g==" saltValue="SHA+04gFfThfJSb6KJp3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208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16V9PZbtck+jtmerN6KxBJ1CpNVb8VMyCB3j0iA0YhVKz/WhdMgc6kASE06e0c2r1ChKsw8Kd1EW2XFtpkcoQQ==" saltValue="FV547tvIb8I/X6/McK1g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rB/vqyn744W1PNIJfqiLN0eg+0FyP59ftC4FTzj4UGPC++aCoF60MOAMdCeyr70hcE/V6jnCQRmjyTM+y2MQg==" saltValue="wrN10vvYkLcIOEha6wh+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bfMm+yTqs7SRj9akC3Ref47iwQhckvKICFpAh7Aa3A4O/OjNoYXnmtACaO1EZHvRWSk0iNTfdrm/Q/3zCUQiQ==" saltValue="iPUqlZJw5hp10OR6/hic0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j32y0CV+UptJHK6jvkqS+BF/FL5oM3CbwAq52lrvj1yffSOdeTCpAC4Nhopejm7GXcaL9GBw0nRl/hjsq49zA==" saltValue="ssvgbnIE/EFzHpS7Dz+v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BuhzLl9yuY7pBPsf6qYz942aQP2yJwAm3WlHc4a4DD/W7YJhkGC19EAiHM/ha38gfuWf0gs1Nxkxih+eYTLZw==" saltValue="Trn+xeCRO60NZStGi+DAi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Z85WsjcGTVGXlSLQ/T6tX0sB+aNEexpW0LkQq3cuanPoXOb0wvPo3+67R3k8yS0yy1AXMLy80FqhXFDOU0DaQ==" saltValue="zLVKqTspeSQZAD2rOxNK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+KNl3D2QwyhFP2cyaowZ7cpan9FgFn0X9QZkFVaLH3Ae4a1EtVhsUNvvpcOzpTXjlcNDIrCzkzGsaLwdY9+Bw==" saltValue="lzpqT8hcf/pFsDzJenqz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djp24jCcN3V1Q6LcjWzhGdUA4cNhIBn1pqjv9aRHzWITXhZ4AyaKNIpqsLo4dZjM3GMrHwz1cbWRq+VylFJjw==" saltValue="DeEIi0k7XkXg//WzUSqHg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EpNqYMXAr8k6jaRW4uzUtbBGwLNul1Qkpss0L+K75RlrVIUBGjKfrxHfVRcfTiQ4TiNXLzJFAQ7XTAwiRAPDg==" saltValue="M1fEg5Fs/Fs5LumuTFSe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p/Hlb00EpHzvOpv0bPDiP9s1lxKlEI4Ynu5WK78JTJFmMKYHjGDSPVslrtQSYKWusSFx/puBHMnm0fUFsb9XA==" saltValue="GzO3dRwBBXPx6mWbK+jd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ewFShSKAASXKJZQI5KU5hJ5DvX46au+5X3ihMDJu7kE957Akkm6eIxhm6kWsKQh9H8D5kn14VUd3BNcrj28Zw==" saltValue="9uwheaINpr9G/HJa0pAp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LkAM7rFXTOtMtF0DuhVGKlr3vxsn6cwRFc/ODVnX9SgXQ4yLlkhN1TZy0bG1M6Q6XwDgOdVlHUMxkDG8EHfRQ==" saltValue="a35Zs3VxVu9UYzPsQwu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eVYQvmPfIGMJ4GJ5/hNE+QhmzYhPScEYiXgjt07ITT5ogBNgD+gEFBaY1Emkxy2gkqmgO1vdI/RgpuDohWupg==" saltValue="zrAonhXywOixyBCtG7zZ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hNkqQkgRPDh8i6hbkpLms7d20/M9yeb4xeWaHWaa24A+4F/X2V7oj/aGUO6xBKSyscGjinYFHITzdM9IEugpg==" saltValue="hzr+6vKH6VD+/gNfabV8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0.10967733192960594</v>
      </c>
      <c r="G18" s="90">
        <f>MIN(MAX(1-0.89/(1-frac_sam_12_23months+(frac_sam_12_23months*0.89)),0),1)</f>
        <v>0.10784669074339848</v>
      </c>
      <c r="H18" s="90">
        <f>MIN(MAX(1-0.89/(1-frac_sam_24_59months+(frac_sam_24_59months*0.89)),0),1)</f>
        <v>0.10919483773684191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0.10466290632867037</v>
      </c>
      <c r="G20" s="90">
        <f>MIN(MAX(1-0.89/(1-frac_mam_12_23months+(frac_mam_12_23months*0.89)),0),1)</f>
        <v>0.10422662324047249</v>
      </c>
      <c r="H20" s="90">
        <f>MIN(MAX(1-0.89/(1-frac_mam_24_59months+(frac_mam_24_59months*0.89)),0),1)</f>
        <v>0.10538081185121206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9.9673813953148338E-3</v>
      </c>
      <c r="G73" s="90">
        <f>MIN(MAX(1-0.99/(1-frac_sam_12_23months+(frac_sam_12_23months*0.99)),0),1)</f>
        <v>9.7827275162889471E-3</v>
      </c>
      <c r="H73" s="90">
        <f>MIN(MAX(1-0.99/(1-frac_sam_24_59months+(frac_sam_24_59months*0.99)),0),1)</f>
        <v>9.9186460052236303E-3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9.4632201947293382E-3</v>
      </c>
      <c r="G75" s="90">
        <f>MIN(MAX(1-0.99/(1-frac_mam_12_23months+(frac_mam_12_23months*0.99)),0),1)</f>
        <v>9.4195981403619733E-3</v>
      </c>
      <c r="H75" s="90">
        <f>MIN(MAX(1-0.99/(1-frac_mam_24_59months+(frac_mam_24_59months*0.99)),0),1)</f>
        <v>9.5350846829344027E-3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0.19947250040941977</v>
      </c>
      <c r="G128" s="90">
        <f>MIN(MAX(1-0.8/(1-frac_sam_12_23months+(frac_sam_12_23months*0.8)),0),1)</f>
        <v>0.19647382179006712</v>
      </c>
      <c r="H128" s="90">
        <f>MIN(MAX(1-0.8/(1-frac_sam_24_59months+(frac_sam_24_59months*0.8)),0),1)</f>
        <v>0.19868313188527764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0.19123446978100156</v>
      </c>
      <c r="G130" s="90">
        <f>MIN(MAX(1-0.8/(1-frac_mam_12_23months+(frac_mam_12_23months*0.8)),0),1)</f>
        <v>0.19051410428999394</v>
      </c>
      <c r="H130" s="90">
        <f>MIN(MAX(1-0.8/(1-frac_mam_24_59months+(frac_mam_24_59months*0.8)),0),1)</f>
        <v>0.19241857090834469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z9vmhcX+6gtpjRkEY0fo1kzwxvCQ7JxpUHUyNkdkG9AcSZCw16NM3vQHvGYK4xk9YvBJmvDSG0MrpmR42+1oQ==" saltValue="4PonIbEUd4KHx9tRJgyL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bf1ClTylQfaBovOisfaIF+Zh+aXNGxX8rRiJPPULwr8EyFbAZDPyrbP1QLruPAq1SZRkgggsPWgIYB6hvmUDw==" saltValue="30QfWjOK8iieFa0g5Y+iS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2024-08-06T09:27:34Z</dcterms:modified>
</cp:coreProperties>
</file>