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B09B2D5B-2D5A-442C-A998-DBE8FFA7B045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<sst xmlns="http://schemas.openxmlformats.org/spreadsheetml/2006/main" count="2102" uniqueCount="337">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</sst>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1006424.609375</v>
      </c>
    </row>
    <row r="8" spans="1:3" ht="15" customHeight="1" x14ac:dyDescent="0.25">
      <c r="B8" s="5" t="s">
        <v>19</v>
      </c>
      <c r="C8" s="44">
        <v>3.5000000000000003E-2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0.80865753173828092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0.1108</v>
      </c>
    </row>
    <row r="24" spans="1:3" ht="15" customHeight="1" x14ac:dyDescent="0.25">
      <c r="B24" s="15" t="s">
        <v>33</v>
      </c>
      <c r="C24" s="45">
        <v>0.51619999999999999</v>
      </c>
    </row>
    <row r="25" spans="1:3" ht="15" customHeight="1" x14ac:dyDescent="0.25">
      <c r="B25" s="15" t="s">
        <v>34</v>
      </c>
      <c r="C25" s="45">
        <v>0.3543</v>
      </c>
    </row>
    <row r="26" spans="1:3" ht="15" customHeight="1" x14ac:dyDescent="0.25">
      <c r="B26" s="15" t="s">
        <v>35</v>
      </c>
      <c r="C26" s="45">
        <v>1.8700000000000001E-2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0.57290349526853401</v>
      </c>
    </row>
    <row r="30" spans="1:3" ht="14.25" customHeight="1" x14ac:dyDescent="0.25">
      <c r="B30" s="25" t="s">
        <v>38</v>
      </c>
      <c r="C30" s="99">
        <v>2.97816918362898E-2</v>
      </c>
    </row>
    <row r="31" spans="1:3" ht="14.25" customHeight="1" x14ac:dyDescent="0.25">
      <c r="B31" s="25" t="s">
        <v>39</v>
      </c>
      <c r="C31" s="99">
        <v>2.5306962187057899E-2</v>
      </c>
    </row>
    <row r="32" spans="1:3" ht="14.25" customHeight="1" x14ac:dyDescent="0.25">
      <c r="B32" s="25" t="s">
        <v>40</v>
      </c>
      <c r="C32" s="99">
        <v>0.37200785070811798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3.23326</v>
      </c>
    </row>
    <row r="38" spans="1:5" ht="15" customHeight="1" x14ac:dyDescent="0.25">
      <c r="B38" s="11" t="s">
        <v>45</v>
      </c>
      <c r="C38" s="43">
        <v>5.2582199999999997</v>
      </c>
      <c r="D38" s="12"/>
      <c r="E38" s="13"/>
    </row>
    <row r="39" spans="1:5" ht="15" customHeight="1" x14ac:dyDescent="0.25">
      <c r="B39" s="11" t="s">
        <v>46</v>
      </c>
      <c r="C39" s="43">
        <v>6.4268799999999997</v>
      </c>
      <c r="D39" s="12"/>
      <c r="E39" s="12"/>
    </row>
    <row r="40" spans="1:5" ht="15" customHeight="1" x14ac:dyDescent="0.25">
      <c r="B40" s="11" t="s">
        <v>47</v>
      </c>
      <c r="C40" s="100">
        <v>0.1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3.3947500000000002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7.1955999999999999E-3</v>
      </c>
      <c r="D45" s="12"/>
    </row>
    <row r="46" spans="1:5" ht="15.75" customHeight="1" x14ac:dyDescent="0.25">
      <c r="B46" s="11" t="s">
        <v>52</v>
      </c>
      <c r="C46" s="45">
        <v>7.7315800000000004E-2</v>
      </c>
      <c r="D46" s="12"/>
    </row>
    <row r="47" spans="1:5" ht="15.75" customHeight="1" x14ac:dyDescent="0.25">
      <c r="B47" s="11" t="s">
        <v>53</v>
      </c>
      <c r="C47" s="45">
        <v>7.4158099999999991E-2</v>
      </c>
      <c r="D47" s="12"/>
      <c r="E47" s="13"/>
    </row>
    <row r="48" spans="1:5" ht="15" customHeight="1" x14ac:dyDescent="0.25">
      <c r="B48" s="11" t="s">
        <v>54</v>
      </c>
      <c r="C48" s="46">
        <v>0.84133049999999998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2.8</v>
      </c>
      <c r="D51" s="12"/>
    </row>
    <row r="52" spans="1:4" ht="15" customHeight="1" x14ac:dyDescent="0.25">
      <c r="B52" s="11" t="s">
        <v>57</v>
      </c>
      <c r="C52" s="100">
        <v>2.8</v>
      </c>
    </row>
    <row r="53" spans="1:4" ht="15.75" customHeight="1" x14ac:dyDescent="0.25">
      <c r="B53" s="11" t="s">
        <v>58</v>
      </c>
      <c r="C53" s="100">
        <v>2.8</v>
      </c>
    </row>
    <row r="54" spans="1:4" ht="15.75" customHeight="1" x14ac:dyDescent="0.25">
      <c r="B54" s="11" t="s">
        <v>59</v>
      </c>
      <c r="C54" s="100">
        <v>2.8</v>
      </c>
    </row>
    <row r="55" spans="1:4" ht="15.75" customHeight="1" x14ac:dyDescent="0.25">
      <c r="B55" s="11" t="s">
        <v>60</v>
      </c>
      <c r="C55" s="100">
        <v>2.8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1.6428571428571431E-2</v>
      </c>
    </row>
    <row r="59" spans="1:4" ht="15.75" customHeight="1" x14ac:dyDescent="0.25">
      <c r="B59" s="11" t="s">
        <v>63</v>
      </c>
      <c r="C59" s="45">
        <v>0.62845099999999998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8.1845530999999999E-2</v>
      </c>
    </row>
    <row r="63" spans="1:4" ht="15.75" customHeight="1" x14ac:dyDescent="0.3">
      <c r="A63" s="4"/>
    </row>
  </sheetData>
  <sheetProtection algorithmName="SHA-512" hashValue="QWH+qO8loN3Yp9IOtLd8UA5+j7i0kHqE/zAlkBWaIKhU+Nq9MY/liKEBp6zEXy9XcFkn93v7NbtE6w109IJIXA==" saltValue="D1VCgMWYxgVXq//lXKgV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204933</v>
      </c>
      <c r="C2" s="49">
        <v>640713.49999999988</v>
      </c>
      <c r="D2" s="49">
        <v>1102089.5</v>
      </c>
      <c r="E2" s="49">
        <v>1292810</v>
      </c>
      <c r="F2" s="49">
        <v>1321337.5</v>
      </c>
      <c r="G2" s="17">
        <f t="shared" ref="G2:G13" si="0">C2+D2+E2+F2</f>
        <v>4356950.5</v>
      </c>
      <c r="H2" s="17">
        <f t="shared" ref="H2:H13" si="1">(B2 + stillbirth*B2/(1000-stillbirth))/(1-abortion)</f>
        <v>233671.66597899125</v>
      </c>
      <c r="I2" s="17">
        <f t="shared" ref="I2:I13" si="2">G2-H2</f>
        <v>4123278.8340210086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197295</v>
      </c>
      <c r="C3" s="50">
        <v>623432.49999999988</v>
      </c>
      <c r="D3" s="50">
        <v>1067578.5</v>
      </c>
      <c r="E3" s="50">
        <v>1251822</v>
      </c>
      <c r="F3" s="50">
        <v>1283489.5</v>
      </c>
      <c r="G3" s="17">
        <f t="shared" si="0"/>
        <v>4226322.5</v>
      </c>
      <c r="H3" s="17">
        <f t="shared" si="1"/>
        <v>224962.5552708694</v>
      </c>
      <c r="I3" s="17">
        <f t="shared" si="2"/>
        <v>4001359.9447291307</v>
      </c>
    </row>
    <row r="4" spans="1:9" ht="15.75" customHeight="1" x14ac:dyDescent="0.25">
      <c r="A4" s="5">
        <f t="shared" si="3"/>
        <v>2026</v>
      </c>
      <c r="B4" s="49">
        <v>190844</v>
      </c>
      <c r="C4" s="50">
        <v>611135</v>
      </c>
      <c r="D4" s="50">
        <v>1048652.5</v>
      </c>
      <c r="E4" s="50">
        <v>1210208</v>
      </c>
      <c r="F4" s="50">
        <v>1256548.5</v>
      </c>
      <c r="G4" s="17">
        <f t="shared" si="0"/>
        <v>4126544</v>
      </c>
      <c r="H4" s="17">
        <f t="shared" si="1"/>
        <v>217606.90285163742</v>
      </c>
      <c r="I4" s="17">
        <f t="shared" si="2"/>
        <v>3908937.0971483625</v>
      </c>
    </row>
    <row r="5" spans="1:9" ht="15.75" customHeight="1" x14ac:dyDescent="0.25">
      <c r="A5" s="5">
        <f t="shared" si="3"/>
        <v>2027</v>
      </c>
      <c r="B5" s="49">
        <v>187613</v>
      </c>
      <c r="C5" s="50">
        <v>602522.5</v>
      </c>
      <c r="D5" s="50">
        <v>1039168</v>
      </c>
      <c r="E5" s="50">
        <v>1169808</v>
      </c>
      <c r="F5" s="50">
        <v>1235750</v>
      </c>
      <c r="G5" s="17">
        <f t="shared" si="0"/>
        <v>4047248.5</v>
      </c>
      <c r="H5" s="17">
        <f t="shared" si="1"/>
        <v>213922.8053525615</v>
      </c>
      <c r="I5" s="17">
        <f t="shared" si="2"/>
        <v>3833325.6946474384</v>
      </c>
    </row>
    <row r="6" spans="1:9" ht="15.75" customHeight="1" x14ac:dyDescent="0.25">
      <c r="A6" s="5">
        <f t="shared" si="3"/>
        <v>2028</v>
      </c>
      <c r="B6" s="49">
        <v>184298</v>
      </c>
      <c r="C6" s="50">
        <v>595554.50000000012</v>
      </c>
      <c r="D6" s="50">
        <v>1032840.5</v>
      </c>
      <c r="E6" s="50">
        <v>1130373.5</v>
      </c>
      <c r="F6" s="50">
        <v>1220465</v>
      </c>
      <c r="G6" s="17">
        <f t="shared" si="0"/>
        <v>3979233.5</v>
      </c>
      <c r="H6" s="17">
        <f t="shared" si="1"/>
        <v>210142.92815991631</v>
      </c>
      <c r="I6" s="17">
        <f t="shared" si="2"/>
        <v>3769090.5718400837</v>
      </c>
    </row>
    <row r="7" spans="1:9" ht="15.75" customHeight="1" x14ac:dyDescent="0.25">
      <c r="A7" s="5">
        <f t="shared" si="3"/>
        <v>2029</v>
      </c>
      <c r="B7" s="49">
        <v>182377</v>
      </c>
      <c r="C7" s="50">
        <v>592098</v>
      </c>
      <c r="D7" s="50">
        <v>1027125.5</v>
      </c>
      <c r="E7" s="50">
        <v>1095903.5</v>
      </c>
      <c r="F7" s="50">
        <v>1211422.5</v>
      </c>
      <c r="G7" s="17">
        <f t="shared" si="0"/>
        <v>3926549.5</v>
      </c>
      <c r="H7" s="17">
        <f t="shared" si="1"/>
        <v>207952.53778674247</v>
      </c>
      <c r="I7" s="17">
        <f t="shared" si="2"/>
        <v>3718596.9622132573</v>
      </c>
    </row>
    <row r="8" spans="1:9" ht="15.75" customHeight="1" x14ac:dyDescent="0.25">
      <c r="A8" s="5">
        <f t="shared" si="3"/>
        <v>2030</v>
      </c>
      <c r="B8" s="49">
        <v>180178</v>
      </c>
      <c r="C8" s="50">
        <v>593099</v>
      </c>
      <c r="D8" s="50">
        <v>1020286</v>
      </c>
      <c r="E8" s="50">
        <v>1069616.5</v>
      </c>
      <c r="F8" s="50">
        <v>1203336.5</v>
      </c>
      <c r="G8" s="17">
        <f t="shared" si="0"/>
        <v>3886338</v>
      </c>
      <c r="H8" s="17">
        <f t="shared" si="1"/>
        <v>205445.16223723211</v>
      </c>
      <c r="I8" s="17">
        <f t="shared" si="2"/>
        <v>3680892.8377627679</v>
      </c>
    </row>
    <row r="9" spans="1:9" ht="15.75" customHeight="1" x14ac:dyDescent="0.25">
      <c r="A9" s="5">
        <f t="shared" si="3"/>
        <v>2031</v>
      </c>
      <c r="B9" s="49">
        <v>178611</v>
      </c>
      <c r="C9" s="50">
        <v>599560.99999999988</v>
      </c>
      <c r="D9" s="50">
        <v>1012831.5</v>
      </c>
      <c r="E9" s="50">
        <v>1055769</v>
      </c>
      <c r="F9" s="50">
        <v>1192579.5</v>
      </c>
      <c r="G9" s="17">
        <f t="shared" si="0"/>
        <v>3860741</v>
      </c>
      <c r="H9" s="17">
        <f t="shared" si="1"/>
        <v>203658.41485838595</v>
      </c>
      <c r="I9" s="17">
        <f t="shared" si="2"/>
        <v>3657082.5851416141</v>
      </c>
    </row>
    <row r="10" spans="1:9" ht="15.75" customHeight="1" x14ac:dyDescent="0.25">
      <c r="A10" s="5">
        <f t="shared" si="3"/>
        <v>2032</v>
      </c>
      <c r="B10" s="49">
        <v>176794</v>
      </c>
      <c r="C10" s="50">
        <v>606264.99999999988</v>
      </c>
      <c r="D10" s="50">
        <v>1007363</v>
      </c>
      <c r="E10" s="50">
        <v>1048218.5</v>
      </c>
      <c r="F10" s="50">
        <v>1176620.5</v>
      </c>
      <c r="G10" s="17">
        <f t="shared" si="0"/>
        <v>3838467</v>
      </c>
      <c r="H10" s="17">
        <f t="shared" si="1"/>
        <v>201586.60886772646</v>
      </c>
      <c r="I10" s="17">
        <f t="shared" si="2"/>
        <v>3636880.3911322737</v>
      </c>
    </row>
    <row r="11" spans="1:9" ht="15.75" customHeight="1" x14ac:dyDescent="0.25">
      <c r="A11" s="5">
        <f t="shared" si="3"/>
        <v>2033</v>
      </c>
      <c r="B11" s="49">
        <v>175764</v>
      </c>
      <c r="C11" s="50">
        <v>611823.00000000012</v>
      </c>
      <c r="D11" s="50">
        <v>1001003.5</v>
      </c>
      <c r="E11" s="50">
        <v>1041661</v>
      </c>
      <c r="F11" s="50">
        <v>1161220.5</v>
      </c>
      <c r="G11" s="17">
        <f t="shared" si="0"/>
        <v>3815708</v>
      </c>
      <c r="H11" s="17">
        <f t="shared" si="1"/>
        <v>200412.16738705538</v>
      </c>
      <c r="I11" s="17">
        <f t="shared" si="2"/>
        <v>3615295.8326129448</v>
      </c>
    </row>
    <row r="12" spans="1:9" ht="15.75" customHeight="1" x14ac:dyDescent="0.25">
      <c r="A12" s="5">
        <f t="shared" si="3"/>
        <v>2034</v>
      </c>
      <c r="B12" s="49">
        <v>174864</v>
      </c>
      <c r="C12" s="50">
        <v>614792</v>
      </c>
      <c r="D12" s="50">
        <v>995052.5</v>
      </c>
      <c r="E12" s="50">
        <v>1034641</v>
      </c>
      <c r="F12" s="50">
        <v>1144051</v>
      </c>
      <c r="G12" s="17">
        <f t="shared" si="0"/>
        <v>3788536.5</v>
      </c>
      <c r="H12" s="17">
        <f t="shared" si="1"/>
        <v>199385.95638452729</v>
      </c>
      <c r="I12" s="17">
        <f t="shared" si="2"/>
        <v>3589150.5436154725</v>
      </c>
    </row>
    <row r="13" spans="1:9" ht="15.75" customHeight="1" x14ac:dyDescent="0.25">
      <c r="A13" s="5">
        <f t="shared" si="3"/>
        <v>2035</v>
      </c>
      <c r="B13" s="49">
        <v>173852</v>
      </c>
      <c r="C13" s="50">
        <v>612369</v>
      </c>
      <c r="D13" s="50">
        <v>992159.5</v>
      </c>
      <c r="E13" s="50">
        <v>1028865.5</v>
      </c>
      <c r="F13" s="50">
        <v>1119012</v>
      </c>
      <c r="G13" s="17">
        <f t="shared" si="0"/>
        <v>3752406</v>
      </c>
      <c r="H13" s="17">
        <f t="shared" si="1"/>
        <v>198232.03912390678</v>
      </c>
      <c r="I13" s="17">
        <f t="shared" si="2"/>
        <v>3554173.9608760932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nw0XaGPSOJ9zSGEQmYC2/KfLIaLT+iTYDHkI4xJGPPVRwxNdzQZTq7mOmtZLwhpvy6OY1Wq/0vSRws8qep68g==" saltValue="3zcjqyxrp3DDK/yCRswxd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1.473933380059465E-2</v>
      </c>
    </row>
    <row r="5" spans="1:8" ht="15.75" customHeight="1" x14ac:dyDescent="0.25">
      <c r="B5" s="19" t="s">
        <v>80</v>
      </c>
      <c r="C5" s="101">
        <v>0.1139262471236227</v>
      </c>
    </row>
    <row r="6" spans="1:8" ht="15.75" customHeight="1" x14ac:dyDescent="0.25">
      <c r="B6" s="19" t="s">
        <v>81</v>
      </c>
      <c r="C6" s="101">
        <v>6.1869417267545551E-2</v>
      </c>
    </row>
    <row r="7" spans="1:8" ht="15.75" customHeight="1" x14ac:dyDescent="0.25">
      <c r="B7" s="19" t="s">
        <v>82</v>
      </c>
      <c r="C7" s="101">
        <v>0.49361216191564328</v>
      </c>
    </row>
    <row r="8" spans="1:8" ht="15.75" customHeight="1" x14ac:dyDescent="0.25">
      <c r="B8" s="19" t="s">
        <v>83</v>
      </c>
      <c r="C8" s="101">
        <v>0</v>
      </c>
    </row>
    <row r="9" spans="1:8" ht="15.75" customHeight="1" x14ac:dyDescent="0.25">
      <c r="B9" s="19" t="s">
        <v>84</v>
      </c>
      <c r="C9" s="101">
        <v>0.24966765639651889</v>
      </c>
    </row>
    <row r="10" spans="1:8" ht="15.75" customHeight="1" x14ac:dyDescent="0.25">
      <c r="B10" s="19" t="s">
        <v>85</v>
      </c>
      <c r="C10" s="101">
        <v>6.6185183496074773E-2</v>
      </c>
    </row>
    <row r="11" spans="1:8" ht="15.75" customHeight="1" x14ac:dyDescent="0.25">
      <c r="B11" s="27" t="s">
        <v>41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1.002726655543297E-2</v>
      </c>
      <c r="D14" s="55">
        <v>1.002726655543297E-2</v>
      </c>
      <c r="E14" s="55">
        <v>1.002726655543297E-2</v>
      </c>
      <c r="F14" s="55">
        <v>1.002726655543297E-2</v>
      </c>
    </row>
    <row r="15" spans="1:8" ht="15.75" customHeight="1" x14ac:dyDescent="0.25">
      <c r="B15" s="19" t="s">
        <v>88</v>
      </c>
      <c r="C15" s="101">
        <v>0.63817097631812669</v>
      </c>
      <c r="D15" s="101">
        <v>0.63817097631812669</v>
      </c>
      <c r="E15" s="101">
        <v>0.63817097631812669</v>
      </c>
      <c r="F15" s="101">
        <v>0.63817097631812669</v>
      </c>
    </row>
    <row r="16" spans="1:8" ht="15.75" customHeight="1" x14ac:dyDescent="0.25">
      <c r="B16" s="19" t="s">
        <v>89</v>
      </c>
      <c r="C16" s="101">
        <v>2.5838335386642829E-2</v>
      </c>
      <c r="D16" s="101">
        <v>2.5838335386642829E-2</v>
      </c>
      <c r="E16" s="101">
        <v>2.5838335386642829E-2</v>
      </c>
      <c r="F16" s="101">
        <v>2.5838335386642829E-2</v>
      </c>
    </row>
    <row r="17" spans="1:8" ht="15.75" customHeight="1" x14ac:dyDescent="0.25">
      <c r="B17" s="19" t="s">
        <v>90</v>
      </c>
      <c r="C17" s="101">
        <v>1.1448182175881449E-2</v>
      </c>
      <c r="D17" s="101">
        <v>1.1448182175881449E-2</v>
      </c>
      <c r="E17" s="101">
        <v>1.1448182175881449E-2</v>
      </c>
      <c r="F17" s="101">
        <v>1.1448182175881449E-2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93</v>
      </c>
      <c r="C20" s="101">
        <v>6.7960231181810301E-3</v>
      </c>
      <c r="D20" s="101">
        <v>6.7960231181810301E-3</v>
      </c>
      <c r="E20" s="101">
        <v>6.7960231181810301E-3</v>
      </c>
      <c r="F20" s="101">
        <v>6.7960231181810301E-3</v>
      </c>
    </row>
    <row r="21" spans="1:8" ht="15.75" customHeight="1" x14ac:dyDescent="0.25">
      <c r="B21" s="19" t="s">
        <v>94</v>
      </c>
      <c r="C21" s="101">
        <v>0.23764161547031629</v>
      </c>
      <c r="D21" s="101">
        <v>0.23764161547031629</v>
      </c>
      <c r="E21" s="101">
        <v>0.23764161547031629</v>
      </c>
      <c r="F21" s="101">
        <v>0.23764161547031629</v>
      </c>
    </row>
    <row r="22" spans="1:8" ht="15.75" customHeight="1" x14ac:dyDescent="0.25">
      <c r="B22" s="19" t="s">
        <v>95</v>
      </c>
      <c r="C22" s="101">
        <v>7.0077600975418805E-2</v>
      </c>
      <c r="D22" s="101">
        <v>7.0077600975418805E-2</v>
      </c>
      <c r="E22" s="101">
        <v>7.0077600975418805E-2</v>
      </c>
      <c r="F22" s="101">
        <v>7.0077600975418805E-2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7.5198439000000006E-2</v>
      </c>
    </row>
    <row r="27" spans="1:8" ht="15.75" customHeight="1" x14ac:dyDescent="0.25">
      <c r="B27" s="19" t="s">
        <v>102</v>
      </c>
      <c r="C27" s="101">
        <v>5.6785192000000012E-2</v>
      </c>
    </row>
    <row r="28" spans="1:8" ht="15.75" customHeight="1" x14ac:dyDescent="0.25">
      <c r="B28" s="19" t="s">
        <v>103</v>
      </c>
      <c r="C28" s="101">
        <v>0.122549727</v>
      </c>
    </row>
    <row r="29" spans="1:8" ht="15.75" customHeight="1" x14ac:dyDescent="0.25">
      <c r="B29" s="19" t="s">
        <v>104</v>
      </c>
      <c r="C29" s="101">
        <v>8.6248906E-2</v>
      </c>
    </row>
    <row r="30" spans="1:8" ht="15.75" customHeight="1" x14ac:dyDescent="0.25">
      <c r="B30" s="19" t="s">
        <v>2</v>
      </c>
      <c r="C30" s="101">
        <v>6.4099332999999994E-2</v>
      </c>
    </row>
    <row r="31" spans="1:8" ht="15.75" customHeight="1" x14ac:dyDescent="0.25">
      <c r="B31" s="19" t="s">
        <v>105</v>
      </c>
      <c r="C31" s="101">
        <v>0.35120792499999998</v>
      </c>
    </row>
    <row r="32" spans="1:8" ht="15.75" customHeight="1" x14ac:dyDescent="0.25">
      <c r="B32" s="19" t="s">
        <v>106</v>
      </c>
      <c r="C32" s="101">
        <v>0.132871925</v>
      </c>
    </row>
    <row r="33" spans="2:3" ht="15.75" customHeight="1" x14ac:dyDescent="0.25">
      <c r="B33" s="19" t="s">
        <v>107</v>
      </c>
      <c r="C33" s="101">
        <v>4.9043437000000002E-2</v>
      </c>
    </row>
    <row r="34" spans="2:3" ht="15.75" customHeight="1" x14ac:dyDescent="0.25">
      <c r="B34" s="19" t="s">
        <v>108</v>
      </c>
      <c r="C34" s="101">
        <v>6.1995117000000002E-2</v>
      </c>
    </row>
    <row r="35" spans="2:3" ht="15.75" customHeight="1" x14ac:dyDescent="0.25">
      <c r="B35" s="27" t="s">
        <v>41</v>
      </c>
      <c r="C35" s="48">
        <f>SUM(C26:C34)</f>
        <v>1.0000000009999999</v>
      </c>
    </row>
  </sheetData>
  <sheetProtection algorithmName="SHA-512" hashValue="c5Re1+3re9Lt5EO3oCEpAHfXbL85pKdfGX/vhsg7gn2NC7YVMV6048EaT6edRWZm8d+DeaGLWCMYzcSxZf7yOQ==" saltValue="rBzKz0q0UfbDQjUCyW/xh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114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115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119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120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0.57073461624999999</v>
      </c>
      <c r="D14" s="54">
        <v>0.56424493110999996</v>
      </c>
      <c r="E14" s="54">
        <v>0.56424493110999996</v>
      </c>
      <c r="F14" s="54">
        <v>0.275576724198</v>
      </c>
      <c r="G14" s="54">
        <v>0.275576724198</v>
      </c>
      <c r="H14" s="45">
        <v>0.27400000000000002</v>
      </c>
      <c r="I14" s="55">
        <v>0.27400000000000002</v>
      </c>
      <c r="J14" s="55">
        <v>0.27400000000000002</v>
      </c>
      <c r="K14" s="55">
        <v>0.27400000000000002</v>
      </c>
      <c r="L14" s="45">
        <v>0.26700000000000002</v>
      </c>
      <c r="M14" s="55">
        <v>0.26700000000000002</v>
      </c>
      <c r="N14" s="55">
        <v>0.26700000000000002</v>
      </c>
      <c r="O14" s="55">
        <v>0.26700000000000002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0.35867874031692876</v>
      </c>
      <c r="D15" s="52">
        <f t="shared" si="0"/>
        <v>0.35460029120101055</v>
      </c>
      <c r="E15" s="52">
        <f t="shared" si="0"/>
        <v>0.35460029120101055</v>
      </c>
      <c r="F15" s="52">
        <f t="shared" si="0"/>
        <v>0.17318646789895728</v>
      </c>
      <c r="G15" s="52">
        <f t="shared" si="0"/>
        <v>0.17318646789895728</v>
      </c>
      <c r="H15" s="52">
        <f t="shared" si="0"/>
        <v>0.17219557400000002</v>
      </c>
      <c r="I15" s="52">
        <f t="shared" si="0"/>
        <v>0.17219557400000002</v>
      </c>
      <c r="J15" s="52">
        <f t="shared" si="0"/>
        <v>0.17219557400000002</v>
      </c>
      <c r="K15" s="52">
        <f t="shared" si="0"/>
        <v>0.17219557400000002</v>
      </c>
      <c r="L15" s="52">
        <f t="shared" si="0"/>
        <v>0.167796417</v>
      </c>
      <c r="M15" s="52">
        <f t="shared" si="0"/>
        <v>0.167796417</v>
      </c>
      <c r="N15" s="52">
        <f t="shared" si="0"/>
        <v>0.167796417</v>
      </c>
      <c r="O15" s="52">
        <f t="shared" si="0"/>
        <v>0.167796417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dq82Ip45GRY1B16tWvHnjuTbjMSJ11W70fuuZEvyWB7Ia7jscdYhBzngZHHz28YOmI/k52szR+Xl4uZRaAi/Q==" saltValue="ud+XVYf0b2n2qiOFDr/r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132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dWhKizrp4C2JSYQu+sZHQdq90dn1MW52R5oh59/NV20zvFUq0q74bTi/ljnvr08mNUEp++b476/bMf2kfV7uyw==" saltValue="VNWZiAwlgdfzPVcY4JvEZ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BJriKRDl5i2yLrmIZArJ6HZTve9pFgZ+FH+EZCJfTukYVfj3xntP2OYG0r4TYYFwtSl/VMYkbEzx7DkzdTHmA==" saltValue="HB/+97sCQNIReAqcx7FVI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2QrXW4nIsqqiwHOIz7Q172j4//07+Uscr+WKqTnsi/VG5EianIGz0RM9NgbczlZcxR9tjUPvm/IVbbACUxXCdA==" saltValue="Xh5NHRHv1Yt9uCErhUAUQ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CIROvHZS/01kixZd6x2WMx3/fMwLT9U9npRAzdO8SchzZxA/1p+WIv3/M0ttvNdoT66AjMIeQvoau+pZrEo4yw==" saltValue="snXzVQmFQc70V+8iN0jKm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KXnHaAjC5FGKczaa+tWs0PWunOlVChVCtKmzRXIkuUcClcCwBPWGD54uwfiXmBTiUL/MUzq0FuIuC9ROiEkLZg==" saltValue="/DtSmRYsNatdpCJy7FpCH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92.337747645899924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0.18789175999999999</v>
      </c>
      <c r="C3" s="98">
        <v>0.95</v>
      </c>
      <c r="D3" s="56">
        <v>40.649110236447719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952.2771040936276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9.1374201570642448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13.78140968024363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13.78140968024363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13.78140968024363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13.78140968024363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13.78140968024363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13.78140968024363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1.4881754801389779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0.12404016349999999</v>
      </c>
      <c r="C18" s="98">
        <v>0.95</v>
      </c>
      <c r="D18" s="56">
        <v>21.79150990690356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0.85690619999999995</v>
      </c>
      <c r="C19" s="98">
        <v>0.95</v>
      </c>
      <c r="D19" s="56">
        <v>21.79150990690356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0.64560309999999999</v>
      </c>
      <c r="C21" s="98">
        <v>0.95</v>
      </c>
      <c r="D21" s="56">
        <v>91.149218966868133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24.185634611008918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4.7601065600060064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0.939935462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19.347107873216441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0.7370952985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191.95165548538569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0.83197235394544489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3.2744527743238541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4.9836110403594773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lNy4Bawts54PjTddnRYJU4Mqvic7baMBWzYO4A5fS/FWgO37lt2/xky7NDbEzXPirzFNPK5wcZmjurMI6DI6fQ==" saltValue="2kjnuu8rSkBwlxoA9kn+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FsFY0ypKHI1ZKYJxfDDM8GDVguGMPNjYADUSaPMmXWwembTZcdcMc86Owiduj0kgm+MAZDXkg1W9f+1S69nAgQ==" saltValue="XGKMnPEffhnw8bNydq1Kf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ip4mf+ggS9qVEQzSGOaQ2/HU4cf2wJYcZXJWlxY0eyiqvO98TbQA7ZgD4mFEyXRPRBt1LKS6CnY0xN4Ue9pT6g==" saltValue="3GfFIZJK3sYqnKM5xtOvW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209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208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sheetProtection algorithmName="SHA-512" hashValue="wQsIzQOS6AcWqr9bVpVMcCn185hiRaGznSNIPf/FLX7B8G80xuO6jrDkb18RlZzSHRXWhwyl9IVEdSI5CgOoig==" saltValue="g6RD6w1IMuB7kvoJmBl4m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3.5000000000000003E-2</v>
      </c>
      <c r="E2" s="60">
        <f>food_insecure</f>
        <v>3.5000000000000003E-2</v>
      </c>
      <c r="F2" s="60">
        <f>food_insecure</f>
        <v>3.5000000000000003E-2</v>
      </c>
      <c r="G2" s="60">
        <f>food_insecure</f>
        <v>3.5000000000000003E-2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3.5000000000000003E-2</v>
      </c>
      <c r="F5" s="60">
        <f>food_insecure</f>
        <v>3.5000000000000003E-2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3.5000000000000003E-2</v>
      </c>
      <c r="F8" s="60">
        <f>food_insecure</f>
        <v>3.5000000000000003E-2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3.5000000000000003E-2</v>
      </c>
      <c r="F9" s="60">
        <f>food_insecure</f>
        <v>3.5000000000000003E-2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3.5000000000000003E-2</v>
      </c>
      <c r="I15" s="60">
        <f>food_insecure</f>
        <v>3.5000000000000003E-2</v>
      </c>
      <c r="J15" s="60">
        <f>food_insecure</f>
        <v>3.5000000000000003E-2</v>
      </c>
      <c r="K15" s="60">
        <f>food_insecure</f>
        <v>3.5000000000000003E-2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9.5164176589965982E-2</v>
      </c>
      <c r="M25" s="60">
        <f>(1-food_insecure)*(0.49)+food_insecure*(0.7)</f>
        <v>0.49735000000000001</v>
      </c>
      <c r="N25" s="60">
        <f>(1-food_insecure)*(0.49)+food_insecure*(0.7)</f>
        <v>0.49735000000000001</v>
      </c>
      <c r="O25" s="60">
        <f>(1-food_insecure)*(0.49)+food_insecure*(0.7)</f>
        <v>0.49735000000000001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4.0784647109985417E-2</v>
      </c>
      <c r="M26" s="60">
        <f>(1-food_insecure)*(0.21)+food_insecure*(0.3)</f>
        <v>0.21315000000000001</v>
      </c>
      <c r="N26" s="60">
        <f>(1-food_insecure)*(0.21)+food_insecure*(0.3)</f>
        <v>0.21315000000000001</v>
      </c>
      <c r="O26" s="60">
        <f>(1-food_insecure)*(0.21)+food_insecure*(0.3)</f>
        <v>0.21315000000000001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5.5393644561767666E-2</v>
      </c>
      <c r="M27" s="60">
        <f>(1-food_insecure)*(0.3)</f>
        <v>0.28949999999999998</v>
      </c>
      <c r="N27" s="60">
        <f>(1-food_insecure)*(0.3)</f>
        <v>0.28949999999999998</v>
      </c>
      <c r="O27" s="60">
        <f>(1-food_insecure)*(0.3)</f>
        <v>0.28949999999999998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0.80865753173828092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v8dA7uU05cXkoTmiucKZkLMwkFU1Q1dphlmbkc/aeqQh8aiamEX//1Y7RYUcjbGB+tOOPE4achPBj73Fw2BFQ==" saltValue="Liyc4WhSzkZdwUshXt4sp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zIifQXJ8oG9b/4n0LCP9YsLcVNKEgqWzDhE5PofOaBQ5kxVLgnoZYQE43kGIscHHSxXiTsABTI4ICixB/Wt84A==" saltValue="HMpT4q5W6HuBreriOF7Tk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4WRrNMjVht261V/6F0Zf376PY/si9RWQNU6g0Fh8+YvVWvJXIfygyRnW9yViXwWWQQjmrWvNJCWlcpBz0ig8Ww==" saltValue="QTgR/wgFhhAjWz1qO4+rP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ENFbP89lllqzcHKidAafKw5eBaEgfh8cD4AJdbsFNRLuHvAUFtXQbK7wKmoXCx7YvigzhjNNZtUsCIDhUxUyA==" saltValue="izu2ROzS6eAixJS6tGYC3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UJPeknfkd/o8CdeW1vYWZR5tMYSoLABW1AHiuLsgtvTH6qr8LfDPVFpTFHJoHyQcEt2NRsQazd/vEJDA1SeLrQ==" saltValue="jk7JmB03SP0w7c9S6239z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wS+qrZPpOx0xFoHuBhV3j7ZayraAStqqjrbDWXYPDEoAWh94JwFYzuHD/PWZKfJhOknH1gPn+z74IOX3F33alQ==" saltValue="0mWVMdz2HGw9c3Paq1kHB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WvfXytESkeC5bH8W0Ww2eHOtN0udr5CMYERIPSC/tvJbXwbCbFvamkddifrVmy6B8i59Mq+02tui0cQ2+XEfFA==" saltValue="3qynSL2e0lU4aZj8CSco1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m4LepIPl6z9uX/01XQ3OMGiJDvFaWuRN9gQgvhSw03Qw4GhXS5mtHlVV5Gbukxt8EPKOvs86EjRHgKJYf1hZA==" saltValue="BECUqX5mMk3knOXrzbfi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1f0wyk/odcl7iiU2mZaGP576tGmTSUFUI4MMi6p434osmXRYtY7f1ZXzJ1CfAjIsQuP5OawKSAOiMcfMXseAA==" saltValue="4IXvk8/ZvenkXQzRAYCr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rGJLxVfHHZ0AyT+czDnsT4eVEOyietzP4lyBzPmhjfzz77WXnluIsTEvZdzWSbbtIWRz5/D8dFQTR20M4HOBrQ==" saltValue="H0OXkmEHPJwwJu3Fn18A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bXEBsgL6Fdi+jwQ84MeOrtUKHt2GRw6+XAEvMhyJKi7jtfQs331mYkOS5NAR8QRrcow91to25h4WrN7Ugo1dXQ==" saltValue="IjTputUSF2NrGPnKFtWn1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0m4OXoMOfOcAToMF7Lx0HIa57yar3Y2AZF/FwCWmlnGiJkrPTGVRQ5Ks9HgNYZAElbeuQtJ8zgPBaQRwfkWEQ==" saltValue="CBxyAnL49om0H0GdmnoP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S24ezbH/gsso1/lV78hB2dM8FJcIPo9inY1AWDp/JmuwTE8h3AfhdQi+LcCtfbb1Cgc+4fUAaKJgP1LRrRWkg==" saltValue="PQcN7/jKJWrke5Vqwixk2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xHVmk+Qztjr/kTUEjTch3gUMAOwJgq018eSnRc/IQevBPil2AFd998LvKwwNi4eBUEAj9phtyjbS4+TbLQZ5g==" saltValue="NRY0Y3VAnCNHx7Z+Uz80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2egrCS8O0fCW6J50F1peHLyIE7pqnBTTd8gtTSZ6ofzvgUHpvCC7e4/jMgrpjgNUiF7SVVX+62JTlGMOgZMneA==" saltValue="U4/XPxQPKgdZ39WMkpUea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2024-05-17T00:48:53Z</dcterms:modified>
</cp:coreProperties>
</file>