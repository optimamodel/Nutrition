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E67FA02-4BEE-42EB-9991-592C0940F3A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2" i="2"/>
  <c r="A23" i="2"/>
  <c r="A24" i="2"/>
  <c r="A36" i="2"/>
  <c r="A37" i="2"/>
  <c r="I9" i="2"/>
  <c r="I13" i="2"/>
  <c r="I38" i="2"/>
  <c r="A26" i="2"/>
  <c r="I39" i="2"/>
  <c r="A31" i="2"/>
  <c r="A34" i="2"/>
  <c r="A40" i="2"/>
  <c r="I2" i="2"/>
  <c r="I6" i="2"/>
  <c r="A19" i="2"/>
  <c r="A35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<sst xmlns="http://schemas.openxmlformats.org/spreadsheetml/2006/main" count="2169" uniqueCount="369">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</sst>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12098898</v>
      </c>
    </row>
    <row r="8" spans="1:3" ht="15" customHeight="1" x14ac:dyDescent="0.25">
      <c r="B8" s="5" t="s">
        <v>37</v>
      </c>
      <c r="C8" s="44">
        <v>0.29699999999999999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0.83125110000000002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0.1125</v>
      </c>
    </row>
    <row r="24" spans="1:3" ht="15" customHeight="1" x14ac:dyDescent="0.25">
      <c r="B24" s="15" t="s">
        <v>51</v>
      </c>
      <c r="C24" s="45">
        <v>0.58400000000000007</v>
      </c>
    </row>
    <row r="25" spans="1:3" ht="15" customHeight="1" x14ac:dyDescent="0.25">
      <c r="B25" s="15" t="s">
        <v>52</v>
      </c>
      <c r="C25" s="45">
        <v>0.28139999999999998</v>
      </c>
    </row>
    <row r="26" spans="1:3" ht="15" customHeight="1" x14ac:dyDescent="0.25">
      <c r="B26" s="15" t="s">
        <v>53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0.31611757185067002</v>
      </c>
    </row>
    <row r="30" spans="1:3" ht="14.25" customHeight="1" x14ac:dyDescent="0.25">
      <c r="B30" s="25" t="s">
        <v>56</v>
      </c>
      <c r="C30" s="97">
        <v>5.6193137427978712E-2</v>
      </c>
    </row>
    <row r="31" spans="1:3" ht="14.25" customHeight="1" x14ac:dyDescent="0.25">
      <c r="B31" s="25" t="s">
        <v>57</v>
      </c>
      <c r="C31" s="97">
        <v>7.8032026225336698E-2</v>
      </c>
    </row>
    <row r="32" spans="1:3" ht="14.25" customHeight="1" x14ac:dyDescent="0.25">
      <c r="B32" s="25" t="s">
        <v>58</v>
      </c>
      <c r="C32" s="97">
        <v>0.54965726449601493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10.021610000000001</v>
      </c>
    </row>
    <row r="38" spans="1:5" ht="15" customHeight="1" x14ac:dyDescent="0.25">
      <c r="B38" s="11" t="s">
        <v>63</v>
      </c>
      <c r="C38" s="43">
        <v>16.233989999999999</v>
      </c>
      <c r="D38" s="12"/>
      <c r="E38" s="13"/>
    </row>
    <row r="39" spans="1:5" ht="15" customHeight="1" x14ac:dyDescent="0.25">
      <c r="B39" s="11" t="s">
        <v>64</v>
      </c>
      <c r="C39" s="43">
        <v>18.957830000000001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7.4682999999999998E-3</v>
      </c>
      <c r="D45" s="12"/>
    </row>
    <row r="46" spans="1:5" ht="15.75" customHeight="1" x14ac:dyDescent="0.25">
      <c r="B46" s="11" t="s">
        <v>70</v>
      </c>
      <c r="C46" s="45">
        <v>8.0245599999999986E-2</v>
      </c>
      <c r="D46" s="12"/>
    </row>
    <row r="47" spans="1:5" ht="15.75" customHeight="1" x14ac:dyDescent="0.25">
      <c r="B47" s="11" t="s">
        <v>71</v>
      </c>
      <c r="C47" s="45">
        <v>7.3898599999999995E-2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4.2119999999999997</v>
      </c>
      <c r="D51" s="12"/>
    </row>
    <row r="52" spans="1:4" ht="15" customHeight="1" x14ac:dyDescent="0.25">
      <c r="B52" s="11" t="s">
        <v>75</v>
      </c>
      <c r="C52" s="98">
        <v>4.2119999999999997</v>
      </c>
    </row>
    <row r="53" spans="1:4" ht="15.75" customHeight="1" x14ac:dyDescent="0.25">
      <c r="B53" s="11" t="s">
        <v>76</v>
      </c>
      <c r="C53" s="98">
        <v>6.7859999999999996</v>
      </c>
    </row>
    <row r="54" spans="1:4" ht="15.75" customHeight="1" x14ac:dyDescent="0.25">
      <c r="B54" s="11" t="s">
        <v>77</v>
      </c>
      <c r="C54" s="98">
        <v>5.3560000000000008</v>
      </c>
    </row>
    <row r="55" spans="1:4" ht="15.75" customHeight="1" x14ac:dyDescent="0.25">
      <c r="B55" s="11" t="s">
        <v>78</v>
      </c>
      <c r="C55" s="98">
        <v>2.2359999999999989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0.59136299999999997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2kL86b6UtXsaewgWBqf2B3G5a4bat4r31sEEIuoniD0TCydpTIYzLfKAWXp8l+bvQaWRVzLTXXr6lIRD5jUdMA==" saltValue="MssUXeHay8VPmfoGhfFE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TOcsdACFe+LXSgE+qvonEK5SwBrnuO0vYOTpg/caIQYujNo1hxuqXPAzfAczrr07Ltpl5ms0tOChFQ4KA9Pjw==" saltValue="dI/lEjeU/5fBXaUNzBrz/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1.3478998652100139E-3</v>
      </c>
    </row>
    <row r="4" spans="1:8" ht="15.75" customHeight="1" x14ac:dyDescent="0.25">
      <c r="B4" s="19" t="s">
        <v>97</v>
      </c>
      <c r="C4" s="99">
        <v>4.0791195920880458E-2</v>
      </c>
    </row>
    <row r="5" spans="1:8" ht="15.75" customHeight="1" x14ac:dyDescent="0.25">
      <c r="B5" s="19" t="s">
        <v>98</v>
      </c>
      <c r="C5" s="99">
        <v>1.6696498330350171E-2</v>
      </c>
    </row>
    <row r="6" spans="1:8" ht="15.75" customHeight="1" x14ac:dyDescent="0.25">
      <c r="B6" s="19" t="s">
        <v>99</v>
      </c>
      <c r="C6" s="99">
        <v>0.17240298275970181</v>
      </c>
    </row>
    <row r="7" spans="1:8" ht="15.75" customHeight="1" x14ac:dyDescent="0.25">
      <c r="B7" s="19" t="s">
        <v>100</v>
      </c>
      <c r="C7" s="99">
        <v>0.47297665270233391</v>
      </c>
    </row>
    <row r="8" spans="1:8" ht="15.75" customHeight="1" x14ac:dyDescent="0.25">
      <c r="B8" s="19" t="s">
        <v>101</v>
      </c>
      <c r="C8" s="99">
        <v>1.5819998418000169E-4</v>
      </c>
    </row>
    <row r="9" spans="1:8" ht="15.75" customHeight="1" x14ac:dyDescent="0.25">
      <c r="B9" s="19" t="s">
        <v>102</v>
      </c>
      <c r="C9" s="99">
        <v>0.23270537672946309</v>
      </c>
    </row>
    <row r="10" spans="1:8" ht="15.75" customHeight="1" x14ac:dyDescent="0.25">
      <c r="B10" s="19" t="s">
        <v>103</v>
      </c>
      <c r="C10" s="99">
        <v>6.2921193707880657E-2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106</v>
      </c>
      <c r="C15" s="99">
        <v>0.63344980973316023</v>
      </c>
      <c r="D15" s="99">
        <v>0.63344980973316023</v>
      </c>
      <c r="E15" s="99">
        <v>0.63344980973316023</v>
      </c>
      <c r="F15" s="99">
        <v>0.63344980973316023</v>
      </c>
    </row>
    <row r="16" spans="1:8" ht="15.75" customHeight="1" x14ac:dyDescent="0.25">
      <c r="B16" s="19" t="s">
        <v>107</v>
      </c>
      <c r="C16" s="99">
        <v>1.129582496415343E-2</v>
      </c>
      <c r="D16" s="99">
        <v>1.129582496415343E-2</v>
      </c>
      <c r="E16" s="99">
        <v>1.129582496415343E-2</v>
      </c>
      <c r="F16" s="99">
        <v>1.129582496415343E-2</v>
      </c>
    </row>
    <row r="17" spans="1:8" ht="15.75" customHeight="1" x14ac:dyDescent="0.25">
      <c r="B17" s="19" t="s">
        <v>108</v>
      </c>
      <c r="C17" s="99">
        <v>3.894837078298569E-3</v>
      </c>
      <c r="D17" s="99">
        <v>3.894837078298569E-3</v>
      </c>
      <c r="E17" s="99">
        <v>3.894837078298569E-3</v>
      </c>
      <c r="F17" s="99">
        <v>3.894837078298569E-3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1.319115285484122E-2</v>
      </c>
      <c r="D19" s="99">
        <v>1.319115285484122E-2</v>
      </c>
      <c r="E19" s="99">
        <v>1.319115285484122E-2</v>
      </c>
      <c r="F19" s="99">
        <v>1.319115285484122E-2</v>
      </c>
    </row>
    <row r="20" spans="1:8" ht="15.75" customHeight="1" x14ac:dyDescent="0.25">
      <c r="B20" s="19" t="s">
        <v>111</v>
      </c>
      <c r="C20" s="99">
        <v>7.1059375253170812E-3</v>
      </c>
      <c r="D20" s="99">
        <v>7.1059375253170812E-3</v>
      </c>
      <c r="E20" s="99">
        <v>7.1059375253170812E-3</v>
      </c>
      <c r="F20" s="99">
        <v>7.1059375253170812E-3</v>
      </c>
    </row>
    <row r="21" spans="1:8" ht="15.75" customHeight="1" x14ac:dyDescent="0.25">
      <c r="B21" s="19" t="s">
        <v>112</v>
      </c>
      <c r="C21" s="99">
        <v>0.2259862107187873</v>
      </c>
      <c r="D21" s="99">
        <v>0.2259862107187873</v>
      </c>
      <c r="E21" s="99">
        <v>0.2259862107187873</v>
      </c>
      <c r="F21" s="99">
        <v>0.2259862107187873</v>
      </c>
    </row>
    <row r="22" spans="1:8" ht="15.75" customHeight="1" x14ac:dyDescent="0.25">
      <c r="B22" s="19" t="s">
        <v>113</v>
      </c>
      <c r="C22" s="99">
        <v>5.9032209689805611E-2</v>
      </c>
      <c r="D22" s="99">
        <v>5.9032209689805611E-2</v>
      </c>
      <c r="E22" s="99">
        <v>5.9032209689805611E-2</v>
      </c>
      <c r="F22" s="99">
        <v>5.9032209689805611E-2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2.7001540000000001E-2</v>
      </c>
    </row>
    <row r="27" spans="1:8" ht="15.75" customHeight="1" x14ac:dyDescent="0.25">
      <c r="B27" s="19" t="s">
        <v>120</v>
      </c>
      <c r="C27" s="99">
        <v>1.6281780999999999E-2</v>
      </c>
    </row>
    <row r="28" spans="1:8" ht="15.75" customHeight="1" x14ac:dyDescent="0.25">
      <c r="B28" s="19" t="s">
        <v>121</v>
      </c>
      <c r="C28" s="99">
        <v>0.425831776</v>
      </c>
    </row>
    <row r="29" spans="1:8" ht="15.75" customHeight="1" x14ac:dyDescent="0.25">
      <c r="B29" s="19" t="s">
        <v>122</v>
      </c>
      <c r="C29" s="99">
        <v>0.19528870200000001</v>
      </c>
    </row>
    <row r="30" spans="1:8" ht="15.75" customHeight="1" x14ac:dyDescent="0.25">
      <c r="B30" s="19" t="s">
        <v>2</v>
      </c>
      <c r="C30" s="99">
        <v>4.8735185E-2</v>
      </c>
    </row>
    <row r="31" spans="1:8" ht="15.75" customHeight="1" x14ac:dyDescent="0.25">
      <c r="B31" s="19" t="s">
        <v>123</v>
      </c>
      <c r="C31" s="99">
        <v>2.3526106000000001E-2</v>
      </c>
    </row>
    <row r="32" spans="1:8" ht="15.75" customHeight="1" x14ac:dyDescent="0.25">
      <c r="B32" s="19" t="s">
        <v>124</v>
      </c>
      <c r="C32" s="99">
        <v>7.7799310000000003E-3</v>
      </c>
    </row>
    <row r="33" spans="2:3" ht="15.75" customHeight="1" x14ac:dyDescent="0.25">
      <c r="B33" s="19" t="s">
        <v>125</v>
      </c>
      <c r="C33" s="99">
        <v>0.13107344500000001</v>
      </c>
    </row>
    <row r="34" spans="2:3" ht="15.75" customHeight="1" x14ac:dyDescent="0.25">
      <c r="B34" s="19" t="s">
        <v>126</v>
      </c>
      <c r="C34" s="99">
        <v>0.124481534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kCShcRXj2qdYvoLIYRqWikJjR8J2+1rBVuFrZHp12N/4WhyrWpHoh5rduya8g8pvGL+Lg9SNvzXICX1xHnNDWw==" saltValue="90jrLibio4gjvj1YWcK2/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132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133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137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138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7ziBP6D9PqOh61QlQr6Sh0M4ip5V5bj4R71uS23iHWdjMQuvEgcZZOe94pVrpk5ci8/nyWDBZHwajAJEJZJaQ==" saltValue="5K+DKSL9Cl9f+f+/d656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xo/sIJFdj85bsNbZkq38bCEZPk8o/7xBaeGs0HcRiVGRK4NiWMI5e3lFt/ppNcKIHAxPeEhvyQJwheEwlT6qiQ==" saltValue="dSnoEtHzI2Ok5yXVS7kHX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MtGWBBJc+UTAKmchqbrtDWbJZd3lQSqCkByL6FWm5vCZKPcgawWta4ktvkXmi4awms/kx3EmC5o4jRnDGcLqw==" saltValue="CeaIWdHmLtyXPCC5txki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4295.4074956101404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0.41764000000000001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0.17492999999999997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1.568345529233019E-2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97936.726179999998</v>
      </c>
      <c r="C22" s="107">
        <v>97718.475349999993</v>
      </c>
      <c r="D22" s="107">
        <v>97515.524650000007</v>
      </c>
      <c r="E22" s="107">
        <v>97145.710550000003</v>
      </c>
      <c r="F22" s="107">
        <v>96749.700570000001</v>
      </c>
      <c r="G22" s="107">
        <v>96325.239079999999</v>
      </c>
      <c r="H22" s="107">
        <v>95766.170440000002</v>
      </c>
      <c r="I22" s="107">
        <v>95017.260980000006</v>
      </c>
      <c r="J22" s="107">
        <v>93922.382710000005</v>
      </c>
      <c r="K22" s="107">
        <v>92171.839460000003</v>
      </c>
      <c r="L22" s="107">
        <v>88832.398679999998</v>
      </c>
      <c r="M22" s="107">
        <v>83161.487110000002</v>
      </c>
      <c r="N22" s="107">
        <v>74768.493459999998</v>
      </c>
      <c r="O22" s="107">
        <v>62809.357459999999</v>
      </c>
    </row>
  </sheetData>
  <sheetProtection algorithmName="SHA-512" hashValue="DPfftFTwcVa05KfRIx0VtAXrIXMRuRd/qO3qvQvi9frWK9bUmBY+Dief/hXAphPVJVjEEh4EynRxzXFEhkOG8A==" saltValue="97ER6ung892Ki0tY87G5S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8RPOb/7GExWJg891Ib7JgtlqX8keI8PZzbf4hVhz6sTB1jQLDsJr81myV+V9YdBZS5ux17bPTWqd27oiEXTGXA==" saltValue="jLngB8Mo3g0N1APOJL0e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rmlqxMAdfA8FOFrCWz+aDw5s3J5RwQztSTWYfIQwGzvV0wkVgbfa6QH6zkuwjmYDjpY+YFG6p7zoALvyysqdA==" saltValue="CmMwyafriWA1i0oFCeywn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0.36073490000000002</v>
      </c>
      <c r="C10" s="96">
        <v>0.95</v>
      </c>
      <c r="D10" s="56">
        <v>12.9171902178847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12.9171902178847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12.9171902178847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12.9171902178847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0.36073490000000002</v>
      </c>
      <c r="C14" s="96">
        <v>0.95</v>
      </c>
      <c r="D14" s="56">
        <v>12.9171902178847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12.9171902178847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0.81099999999999994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0.35294160000000002</v>
      </c>
      <c r="C19" s="96">
        <v>0.95</v>
      </c>
      <c r="D19" s="56">
        <v>8.03774489307912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4.2199693960316731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0.62012901654384001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0.28365869999999999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0.34690110000000002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0.68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0.89830929999999998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0.35698020000000003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9.7485000000000002E-2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0.98693050000000004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5.0000000000000001E-3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Xd3Pt24X4aqFwbGOdJFhx8XoaWmRwvChmvmvnHffHKxMpCQLl3HCFq+20zGkRl9rNWa+BT1V7Y1YfSV+axVq0A==" saltValue="YYpPI5qlZT04UhedtTh7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SiccvdbfeeUG2ELzSsD4hAYVHw3C7L1EHE2vRATBoPiYWEv5VtGj4iGl61ftA6IjE71/QAU0t+I9ICxm4jF7A==" saltValue="Es7pB7SR7+sH1ip77Wda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aH6I6manYx8pI6VlnkIz6Nn6Pup4HBG8sEds5kgLxx6eNED1boLJ4Cq2bmyNGjLATARnvyPdwAExYVgacR4Yg==" saltValue="Pz88tb2F6HsLy0whDM3B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4.2119999999999997</v>
      </c>
      <c r="C2" s="21">
        <f>'Données pop de l''année de ref'!C52</f>
        <v>4.2119999999999997</v>
      </c>
      <c r="D2" s="21">
        <f>'Données pop de l''année de ref'!C53</f>
        <v>6.7859999999999996</v>
      </c>
      <c r="E2" s="21">
        <f>'Données pop de l''année de ref'!C54</f>
        <v>5.3560000000000008</v>
      </c>
      <c r="F2" s="21">
        <f>'Données pop de l''année de ref'!C55</f>
        <v>2.2359999999999989</v>
      </c>
    </row>
    <row r="3" spans="1:6" ht="15.75" customHeight="1" x14ac:dyDescent="0.25">
      <c r="A3" s="3" t="s">
        <v>238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237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DMlE8Rev8uxu6dY7Ry8yoIfu2qyuVQY5FeG6muYWOh93s15r4Xf8AUV/aTJ2P7r4huOKBRnqNSDPT+C3BROw+g==" saltValue="mMIfdWujtGVSCv3DkXtyI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7Kt0A3K0WxkoY15LEmbLXTvGZC16EiTL8ah3nZcXfcZfQv7nuj955Ae+jg9LiOsgEYNhzrZ2EKDk8971reG0A==" saltValue="MAKWhHcwDQS7LpaWhU3C4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HaVRrrcZqJU0rtt6lqjjeRKpV9ZH9FaSzfh5OnO9MPUJowKvS9QdoG2V93s4FyQIJmXQrqfDGr8z5y0/Wc/ew==" saltValue="4i2LigSeuKXmLMB+LIN9+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fYnxzXHhl7i61BCNUHz+ZfJoLGqqeylVTZpGoQS4/MJMj2bGXVy/5p32XATl8nCxWG0HZKBCz08QlJjY5hUdw==" saltValue="oDHRRddXSfKwva+1hALL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p54meHY9fC+b6k02P5UyUpAS2kORvxWzZYrz67ioZP0e8KyKahkEWCC7b6RLavhXWyY2rXQ7tExHAZhvj8rgQ==" saltValue="wRi1ZgMx2IJyfK73aCm0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JTdoMp5ADk+iLL6/AwucUAXhx35HYtk2rBKUgyAj7eo+aWwWnCBKKelrL9BVCECTjNA7saN9y9GXO0KQJgkJQ==" saltValue="UoTaKHzMevTyyyvwOX0k/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yjMYJfqDKDNlMUaGSikOlJOGzRhd6cydpJxb/TRsAa2GcoXovRPRB1eqYwtUjIXeh+n/JZWXYZMT4eNwOn2Vg==" saltValue="m4vNHwKtASjj1tza1iEF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aScI0W6KC2HJoFjRp0GRCPlC+TUDgRYziTxqsufSPW584qc92jqz4msIePtz5lzKpcrYfoGEbQeEWTenob9hw==" saltValue="Wd7s/HcRcfIyfwYsElRhI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FRNlhHnsJDYEh5nS56l8HZwgTXKGS6KzDN+mXeHPGncvJRIUrqz5uyGL8Q9/AC/4JlDiZ/RwTg+kptO10+XTA==" saltValue="pioIbzrziqPnPsv+Mjhc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6/SOoo0NsuBoUButMzTsOghMibRRspU/ieU08EgM/UjMbd2H3JO+iOrH5IOTmvD7ZbcUgj8LQOU9JGBeFaXvA==" saltValue="rlh5aQLgqO2bybiu1QZ5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BSpRnOTsABLJNjra/Zucs7QQnTYw03AWw7pY19WHbnXEjcB0y9O2HxNEjRVx+/+fwd4oBBDXrJmdtf+ta7QGw==" saltValue="n75ymuoe6Os3YZ44tq5o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u6UYGsN4LnPUsWf+0dOvQcOIxgQv0T5rEKzUY/l0eqESaBgYmSVFjQGHP5cT54bPXyNps2kXQjBEX+Qv4HcPw==" saltValue="NUXc92Ryf7go+R3dWRIZ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fY3tahJrzNhhbymdjud2gFjRZR9guwPEnRjDJNW4fJrrGhVlzTMfBI5UnWqBXoglkRgccrltAmlgN6g9NIJ0A==" saltValue="Kg/eVRRawpi+L13xgQ0Z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sSSS1O1sKRrRk+u+cm2kfLO9TNhQvF0UOiYGCPUmpZiBM1buRGnUBtE+U15IAW7WsFcHzKB+VaJDVZKkzn3gg==" saltValue="hKmorQ1Iqfk/GyOz2L1e+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5xaxSixYbIvrmrA8tn6tty4tlt+ZAdQtn+HRf4qRg0gdVzrnM99gneNiM6ZUO7xiDTaXOmXmfkuVBfTsWJEhw==" saltValue="EBOZfrOWW7lrpcslU2Lu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ZT6nh6LemvxMHMOtYglt3K5jPrIUMmT+RkLwkjVdlVV2A473FrBmxL8Z7w8hUIk8qenB4jmVZC3qdUxCCUKhg==" saltValue="d9VA9IBpdwZAZ5rPMApP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