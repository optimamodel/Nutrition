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4B13746B-2FA3-49ED-A0E1-D997B545C01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4" i="2"/>
  <c r="A31" i="2"/>
  <c r="A2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40" i="2" l="1"/>
  <c r="I2" i="2"/>
  <c r="I8" i="2"/>
  <c r="A24" i="2"/>
  <c r="I6" i="2"/>
  <c r="I12" i="2"/>
  <c r="A35" i="2"/>
  <c r="A36" i="2"/>
  <c r="A37" i="2"/>
  <c r="I38" i="2"/>
  <c r="A22" i="2"/>
  <c r="I39" i="2"/>
  <c r="I7" i="2"/>
  <c r="A19" i="2"/>
  <c r="I3" i="2"/>
  <c r="I9" i="2"/>
  <c r="A23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<sst xmlns="http://schemas.openxmlformats.org/spreadsheetml/2006/main" count="2169" uniqueCount="369">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</sst>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12098898</v>
      </c>
    </row>
    <row r="8" spans="1:3" ht="15" customHeight="1" x14ac:dyDescent="0.25">
      <c r="B8" s="5" t="s">
        <v>37</v>
      </c>
      <c r="C8" s="44">
        <v>0.29699999999999999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0.83125110000000002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0.126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0.1125</v>
      </c>
    </row>
    <row r="24" spans="1:3" ht="15" customHeight="1" x14ac:dyDescent="0.25">
      <c r="B24" s="15" t="s">
        <v>51</v>
      </c>
      <c r="C24" s="45">
        <v>0.58400000000000007</v>
      </c>
    </row>
    <row r="25" spans="1:3" ht="15" customHeight="1" x14ac:dyDescent="0.25">
      <c r="B25" s="15" t="s">
        <v>52</v>
      </c>
      <c r="C25" s="45">
        <v>0.28139999999999998</v>
      </c>
    </row>
    <row r="26" spans="1:3" ht="15" customHeight="1" x14ac:dyDescent="0.25">
      <c r="B26" s="15" t="s">
        <v>53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0.31611757185067002</v>
      </c>
    </row>
    <row r="30" spans="1:3" ht="14.25" customHeight="1" x14ac:dyDescent="0.25">
      <c r="B30" s="25" t="s">
        <v>56</v>
      </c>
      <c r="C30" s="97">
        <v>5.6193137427978712E-2</v>
      </c>
    </row>
    <row r="31" spans="1:3" ht="14.25" customHeight="1" x14ac:dyDescent="0.25">
      <c r="B31" s="25" t="s">
        <v>57</v>
      </c>
      <c r="C31" s="97">
        <v>7.8032026225336698E-2</v>
      </c>
    </row>
    <row r="32" spans="1:3" ht="14.25" customHeight="1" x14ac:dyDescent="0.25">
      <c r="B32" s="25" t="s">
        <v>58</v>
      </c>
      <c r="C32" s="97">
        <v>0.54965726449601493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10.021610000000001</v>
      </c>
    </row>
    <row r="38" spans="1:5" ht="15" customHeight="1" x14ac:dyDescent="0.25">
      <c r="B38" s="11" t="s">
        <v>63</v>
      </c>
      <c r="C38" s="43">
        <v>16.233989999999999</v>
      </c>
      <c r="D38" s="12"/>
      <c r="E38" s="13"/>
    </row>
    <row r="39" spans="1:5" ht="15" customHeight="1" x14ac:dyDescent="0.25">
      <c r="B39" s="11" t="s">
        <v>64</v>
      </c>
      <c r="C39" s="43">
        <v>18.957830000000001</v>
      </c>
      <c r="D39" s="12"/>
      <c r="E39" s="12"/>
    </row>
    <row r="40" spans="1:5" ht="15" customHeight="1" x14ac:dyDescent="0.25">
      <c r="B40" s="11" t="s">
        <v>65</v>
      </c>
      <c r="C40" s="98">
        <v>0.17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7.4682999999999998E-3</v>
      </c>
      <c r="D45" s="12"/>
    </row>
    <row r="46" spans="1:5" ht="15.75" customHeight="1" x14ac:dyDescent="0.25">
      <c r="B46" s="11" t="s">
        <v>70</v>
      </c>
      <c r="C46" s="45">
        <v>8.0245599999999986E-2</v>
      </c>
      <c r="D46" s="12"/>
    </row>
    <row r="47" spans="1:5" ht="15.75" customHeight="1" x14ac:dyDescent="0.25">
      <c r="B47" s="11" t="s">
        <v>71</v>
      </c>
      <c r="C47" s="45">
        <v>7.3898599999999995E-2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4.2119999999999997</v>
      </c>
      <c r="D51" s="12"/>
    </row>
    <row r="52" spans="1:4" ht="15" customHeight="1" x14ac:dyDescent="0.25">
      <c r="B52" s="11" t="s">
        <v>75</v>
      </c>
      <c r="C52" s="98">
        <v>4.2119999999999997</v>
      </c>
    </row>
    <row r="53" spans="1:4" ht="15.75" customHeight="1" x14ac:dyDescent="0.25">
      <c r="B53" s="11" t="s">
        <v>76</v>
      </c>
      <c r="C53" s="98">
        <v>6.7859999999999996</v>
      </c>
    </row>
    <row r="54" spans="1:4" ht="15.75" customHeight="1" x14ac:dyDescent="0.25">
      <c r="B54" s="11" t="s">
        <v>77</v>
      </c>
      <c r="C54" s="98">
        <v>5.3560000000000008</v>
      </c>
    </row>
    <row r="55" spans="1:4" ht="15.75" customHeight="1" x14ac:dyDescent="0.25">
      <c r="B55" s="11" t="s">
        <v>78</v>
      </c>
      <c r="C55" s="98">
        <v>2.2359999999999989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0.59136299999999997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UWTHIQ51UHcbw1TIrAwq2Lw9XdCreSbqrjtu+KDpeJ46v2X7LRGoBeXfpnZoiLMS4A7k3xzyptE9kHOdchN4w==" saltValue="t9Uw541nnClEUu4aISV7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Omt/skwyhyQuMoLfDy/Tvq3sY+itJgz6XDTHcAu4ZmUg46kEb2VvEjW87pawwCPYJwP4AwVwU3sflhYpnY8hA==" saltValue="S2kENzzsrkM0fpZwtkfmG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1.3478998652100139E-3</v>
      </c>
    </row>
    <row r="4" spans="1:8" ht="15.75" customHeight="1" x14ac:dyDescent="0.25">
      <c r="B4" s="19" t="s">
        <v>97</v>
      </c>
      <c r="C4" s="99">
        <v>4.0791195920880458E-2</v>
      </c>
    </row>
    <row r="5" spans="1:8" ht="15.75" customHeight="1" x14ac:dyDescent="0.25">
      <c r="B5" s="19" t="s">
        <v>98</v>
      </c>
      <c r="C5" s="99">
        <v>1.6696498330350171E-2</v>
      </c>
    </row>
    <row r="6" spans="1:8" ht="15.75" customHeight="1" x14ac:dyDescent="0.25">
      <c r="B6" s="19" t="s">
        <v>99</v>
      </c>
      <c r="C6" s="99">
        <v>0.17240298275970181</v>
      </c>
    </row>
    <row r="7" spans="1:8" ht="15.75" customHeight="1" x14ac:dyDescent="0.25">
      <c r="B7" s="19" t="s">
        <v>100</v>
      </c>
      <c r="C7" s="99">
        <v>0.47297665270233391</v>
      </c>
    </row>
    <row r="8" spans="1:8" ht="15.75" customHeight="1" x14ac:dyDescent="0.25">
      <c r="B8" s="19" t="s">
        <v>101</v>
      </c>
      <c r="C8" s="99">
        <v>1.5819998418000169E-4</v>
      </c>
    </row>
    <row r="9" spans="1:8" ht="15.75" customHeight="1" x14ac:dyDescent="0.25">
      <c r="B9" s="19" t="s">
        <v>102</v>
      </c>
      <c r="C9" s="99">
        <v>0.23270537672946309</v>
      </c>
    </row>
    <row r="10" spans="1:8" ht="15.75" customHeight="1" x14ac:dyDescent="0.25">
      <c r="B10" s="19" t="s">
        <v>103</v>
      </c>
      <c r="C10" s="99">
        <v>6.2921193707880657E-2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106</v>
      </c>
      <c r="C15" s="99">
        <v>0.63344980973316023</v>
      </c>
      <c r="D15" s="99">
        <v>0.63344980973316023</v>
      </c>
      <c r="E15" s="99">
        <v>0.63344980973316023</v>
      </c>
      <c r="F15" s="99">
        <v>0.63344980973316023</v>
      </c>
    </row>
    <row r="16" spans="1:8" ht="15.75" customHeight="1" x14ac:dyDescent="0.25">
      <c r="B16" s="19" t="s">
        <v>107</v>
      </c>
      <c r="C16" s="99">
        <v>1.129582496415343E-2</v>
      </c>
      <c r="D16" s="99">
        <v>1.129582496415343E-2</v>
      </c>
      <c r="E16" s="99">
        <v>1.129582496415343E-2</v>
      </c>
      <c r="F16" s="99">
        <v>1.129582496415343E-2</v>
      </c>
    </row>
    <row r="17" spans="1:8" ht="15.75" customHeight="1" x14ac:dyDescent="0.25">
      <c r="B17" s="19" t="s">
        <v>108</v>
      </c>
      <c r="C17" s="99">
        <v>3.894837078298569E-3</v>
      </c>
      <c r="D17" s="99">
        <v>3.894837078298569E-3</v>
      </c>
      <c r="E17" s="99">
        <v>3.894837078298569E-3</v>
      </c>
      <c r="F17" s="99">
        <v>3.894837078298569E-3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1.319115285484122E-2</v>
      </c>
      <c r="D19" s="99">
        <v>1.319115285484122E-2</v>
      </c>
      <c r="E19" s="99">
        <v>1.319115285484122E-2</v>
      </c>
      <c r="F19" s="99">
        <v>1.319115285484122E-2</v>
      </c>
    </row>
    <row r="20" spans="1:8" ht="15.75" customHeight="1" x14ac:dyDescent="0.25">
      <c r="B20" s="19" t="s">
        <v>111</v>
      </c>
      <c r="C20" s="99">
        <v>7.1059375253170812E-3</v>
      </c>
      <c r="D20" s="99">
        <v>7.1059375253170812E-3</v>
      </c>
      <c r="E20" s="99">
        <v>7.1059375253170812E-3</v>
      </c>
      <c r="F20" s="99">
        <v>7.1059375253170812E-3</v>
      </c>
    </row>
    <row r="21" spans="1:8" ht="15.75" customHeight="1" x14ac:dyDescent="0.25">
      <c r="B21" s="19" t="s">
        <v>112</v>
      </c>
      <c r="C21" s="99">
        <v>0.2259862107187873</v>
      </c>
      <c r="D21" s="99">
        <v>0.2259862107187873</v>
      </c>
      <c r="E21" s="99">
        <v>0.2259862107187873</v>
      </c>
      <c r="F21" s="99">
        <v>0.2259862107187873</v>
      </c>
    </row>
    <row r="22" spans="1:8" ht="15.75" customHeight="1" x14ac:dyDescent="0.25">
      <c r="B22" s="19" t="s">
        <v>113</v>
      </c>
      <c r="C22" s="99">
        <v>5.9032209689805611E-2</v>
      </c>
      <c r="D22" s="99">
        <v>5.9032209689805611E-2</v>
      </c>
      <c r="E22" s="99">
        <v>5.9032209689805611E-2</v>
      </c>
      <c r="F22" s="99">
        <v>5.9032209689805611E-2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2.7001540000000001E-2</v>
      </c>
    </row>
    <row r="27" spans="1:8" ht="15.75" customHeight="1" x14ac:dyDescent="0.25">
      <c r="B27" s="19" t="s">
        <v>120</v>
      </c>
      <c r="C27" s="99">
        <v>1.6281780999999999E-2</v>
      </c>
    </row>
    <row r="28" spans="1:8" ht="15.75" customHeight="1" x14ac:dyDescent="0.25">
      <c r="B28" s="19" t="s">
        <v>121</v>
      </c>
      <c r="C28" s="99">
        <v>0.425831776</v>
      </c>
    </row>
    <row r="29" spans="1:8" ht="15.75" customHeight="1" x14ac:dyDescent="0.25">
      <c r="B29" s="19" t="s">
        <v>122</v>
      </c>
      <c r="C29" s="99">
        <v>0.19528870200000001</v>
      </c>
    </row>
    <row r="30" spans="1:8" ht="15.75" customHeight="1" x14ac:dyDescent="0.25">
      <c r="B30" s="19" t="s">
        <v>2</v>
      </c>
      <c r="C30" s="99">
        <v>4.8735185E-2</v>
      </c>
    </row>
    <row r="31" spans="1:8" ht="15.75" customHeight="1" x14ac:dyDescent="0.25">
      <c r="B31" s="19" t="s">
        <v>123</v>
      </c>
      <c r="C31" s="99">
        <v>2.3526106000000001E-2</v>
      </c>
    </row>
    <row r="32" spans="1:8" ht="15.75" customHeight="1" x14ac:dyDescent="0.25">
      <c r="B32" s="19" t="s">
        <v>124</v>
      </c>
      <c r="C32" s="99">
        <v>7.7799310000000003E-3</v>
      </c>
    </row>
    <row r="33" spans="2:3" ht="15.75" customHeight="1" x14ac:dyDescent="0.25">
      <c r="B33" s="19" t="s">
        <v>125</v>
      </c>
      <c r="C33" s="99">
        <v>0.13107344500000001</v>
      </c>
    </row>
    <row r="34" spans="2:3" ht="15.75" customHeight="1" x14ac:dyDescent="0.25">
      <c r="B34" s="19" t="s">
        <v>126</v>
      </c>
      <c r="C34" s="99">
        <v>0.124481534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qGPEfzmCl2HHbVuxR5pofTJdUphk4gLtGkwCGjs1E2Z+5FtfEFUhwI2pUwvwe3Vtqqoy95GFW902/a1MWqiDKA==" saltValue="xuljbOwgVrdoqj37CBWN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132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133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137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138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xEt5rJUvx/VTHAZdkMS6kmt7Vvm8B84WWfLZFr6Q+10pjBLuowbn4RhO2o7CPJhFd/cW98u6S6h3JY4UIo+fQ==" saltValue="/XJv4sQE+421dxiXLMHg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3.376570000000001E-2</v>
      </c>
      <c r="D5" s="52">
        <f t="shared" si="0"/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JEr3vVHhoD4oNycw00CQJcsYKe/XxrCDkuJytWaJGIp+2cK43vtLJ6LQWvrrwtsyRT2g6UU8D8+8O4eKH20Rmw==" saltValue="woGPx4iz62zCkHqreK+DX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NFnEQ96wRjL2ugzVcqre1xTCttUp8IJFr2cynQfrgHFSrsa6ksWZDyhn3sa0t6DRvxUI7JfLuvbz+/tNlXQUw==" saltValue="IQQBtR6sLGtzHw+/1JvSL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4295.4074956101404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0.41764000000000001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0.17492999999999997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1.568345529233019E-2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97936.726179999998</v>
      </c>
      <c r="C22" s="107">
        <v>97718.475349999993</v>
      </c>
      <c r="D22" s="107">
        <v>97515.524650000007</v>
      </c>
      <c r="E22" s="107">
        <v>97145.710550000003</v>
      </c>
      <c r="F22" s="107">
        <v>96749.700570000001</v>
      </c>
      <c r="G22" s="107">
        <v>96325.239079999999</v>
      </c>
      <c r="H22" s="107">
        <v>95766.170440000002</v>
      </c>
      <c r="I22" s="107">
        <v>95017.260980000006</v>
      </c>
      <c r="J22" s="107">
        <v>93922.382710000005</v>
      </c>
      <c r="K22" s="107">
        <v>92171.839460000003</v>
      </c>
      <c r="L22" s="107">
        <v>88832.398679999998</v>
      </c>
      <c r="M22" s="107">
        <v>83161.487110000002</v>
      </c>
      <c r="N22" s="107">
        <v>74768.493459999998</v>
      </c>
      <c r="O22" s="107">
        <v>62809.357459999999</v>
      </c>
    </row>
  </sheetData>
  <sheetProtection algorithmName="SHA-512" hashValue="y6krI947hDZHcTjb9RaOW7f/k7hYWH7ClDG3McPLQruOOtH/8vUZDFpfqVtJzoSWxXl7WrlEwKwwPZgColxfbA==" saltValue="KoMfWjSy13JrLYfPc91Yg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D6FqSn4pNOf8dHVPkxgfuPUEGpbdUcpveNle8fAC1wh4Hzb22gC6B8doPdjNYmfZe0rcnRZ7nWxXoJyEL9igGA==" saltValue="wUp4Y6MznquajNaIU3yAb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++8a6KzeK+FNlL0htpao9aCkC5JAWjWBRW7Hx9ap0WL+HJrWfYz1QQQlHt3ZgGf1OYkxuJeRvo0+hd6HWyIx3w==" saltValue="ofJ2xN4FmgAoDFX0A77LA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0.36073490000000002</v>
      </c>
      <c r="C10" s="96">
        <v>0.95</v>
      </c>
      <c r="D10" s="56">
        <v>12.9171902178847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12.9171902178847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12.9171902178847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12.9171902178847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0.36073490000000002</v>
      </c>
      <c r="C14" s="96">
        <v>0.95</v>
      </c>
      <c r="D14" s="56">
        <v>12.9171902178847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12.9171902178847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0.81099999999999994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0.35294160000000002</v>
      </c>
      <c r="C19" s="96">
        <v>0.95</v>
      </c>
      <c r="D19" s="56">
        <v>8.03774489307912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4.2199693960316731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0.62012901654384001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0.28365869999999999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0.34690110000000002</v>
      </c>
      <c r="C29" s="96">
        <v>0.95</v>
      </c>
      <c r="D29" s="56">
        <v>193.6128732031849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0.68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0.89830929999999998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0.35698020000000003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9.7485000000000002E-2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0.98693050000000004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5.0000000000000001E-3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hgvFwSWmXtaLZuAmWkKGHmy/nMBreuAuQ9HaXPSoNtuzzB3I1CEhniIFzhSDZgUjRwK8NeL903SjxqnaWSvZ3g==" saltValue="4ESLJaSujJe1l1ZCVdHc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3MmMtOYGNFa0F0hg2XGLAgebPZCa7lzFZECz84QhVfG3+uh5WACr4oSe0PVHoZOdXuI+5CgNNldwghWswTpwZQ==" saltValue="NhFxMJngZYuHcmAitG1G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RTHACa4+4XlrbTp5/h76/vjhD0ljTodf+NfDRVnra77fEhKDdUi4OyJLZK57FyUyAMnz8UuPXGJQt65ANo3Ag==" saltValue="4agwZfUY8301RBpRzYKBn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4.2119999999999997</v>
      </c>
      <c r="C2" s="21">
        <f>'Données pop de l''année de ref'!C52</f>
        <v>4.2119999999999997</v>
      </c>
      <c r="D2" s="21">
        <f>'Données pop de l''année de ref'!C53</f>
        <v>6.7859999999999996</v>
      </c>
      <c r="E2" s="21">
        <f>'Données pop de l''année de ref'!C54</f>
        <v>5.3560000000000008</v>
      </c>
      <c r="F2" s="21">
        <f>'Données pop de l''année de ref'!C55</f>
        <v>2.2359999999999989</v>
      </c>
    </row>
    <row r="3" spans="1:6" ht="15.75" customHeight="1" x14ac:dyDescent="0.25">
      <c r="A3" s="3" t="s">
        <v>238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237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sheetProtection algorithmName="SHA-512" hashValue="eQVlPAz0GtXzVMPRdz2N3A3UvNXLBsHVFKaB8GU1EZ/84CjVfSoYtdH7EEIs6p+DdL2cny+horAWe/jXiaS9TQ==" saltValue="J2iDEk4Or7vh0fqG/FI+5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0.29699999999999999</v>
      </c>
      <c r="F2" s="60">
        <f>food_insecure</f>
        <v>0.29699999999999999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0.29699999999999999</v>
      </c>
      <c r="F5" s="60">
        <f>food_insecure</f>
        <v>0.29699999999999999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8.7144827586206869E-2</v>
      </c>
      <c r="D7" s="60">
        <f>diarrhoea_1_5mo*frac_diarrhea_severe</f>
        <v>8.7144827586206869E-2</v>
      </c>
      <c r="E7" s="60">
        <f>diarrhoea_6_11mo*frac_diarrhea_severe</f>
        <v>0.14039999999999997</v>
      </c>
      <c r="F7" s="60">
        <f>diarrhoea_12_23mo*frac_diarrhea_severe</f>
        <v>0.11081379310344827</v>
      </c>
      <c r="G7" s="60">
        <f>diarrhoea_24_59mo*frac_diarrhea_severe</f>
        <v>4.6262068965517211E-2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0.29699999999999999</v>
      </c>
      <c r="F8" s="60">
        <f>food_insecure</f>
        <v>0.29699999999999999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0.29699999999999999</v>
      </c>
      <c r="F9" s="60">
        <f>food_insecure</f>
        <v>0.29699999999999999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8.7144827586206869E-2</v>
      </c>
      <c r="D12" s="60">
        <f>diarrhoea_1_5mo*frac_diarrhea_severe</f>
        <v>8.7144827586206869E-2</v>
      </c>
      <c r="E12" s="60">
        <f>diarrhoea_6_11mo*frac_diarrhea_severe</f>
        <v>0.14039999999999997</v>
      </c>
      <c r="F12" s="60">
        <f>diarrhoea_12_23mo*frac_diarrhea_severe</f>
        <v>0.11081379310344827</v>
      </c>
      <c r="G12" s="60">
        <f>diarrhoea_24_59mo*frac_diarrhea_severe</f>
        <v>4.6262068965517211E-2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0.29699999999999999</v>
      </c>
      <c r="I15" s="60">
        <f t="shared" si="0"/>
        <v>0.29699999999999999</v>
      </c>
      <c r="J15" s="60">
        <f t="shared" si="0"/>
        <v>0.29699999999999999</v>
      </c>
      <c r="K15" s="60">
        <f t="shared" si="0"/>
        <v>0.29699999999999999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0.29699999999999999</v>
      </c>
      <c r="I16" s="60">
        <f t="shared" si="0"/>
        <v>0.29699999999999999</v>
      </c>
      <c r="J16" s="60">
        <f t="shared" si="0"/>
        <v>0.29699999999999999</v>
      </c>
      <c r="K16" s="60">
        <f t="shared" si="0"/>
        <v>0.29699999999999999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0.126</v>
      </c>
      <c r="M24" s="60">
        <f>famplan_unmet_need</f>
        <v>0.126</v>
      </c>
      <c r="N24" s="60">
        <f>famplan_unmet_need</f>
        <v>0.126</v>
      </c>
      <c r="O24" s="60">
        <f>famplan_unmet_need</f>
        <v>0.126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9.3211829893000003E-2</v>
      </c>
      <c r="M25" s="60">
        <f>(1-food_insecure)*(0.49)+food_insecure*(0.7)</f>
        <v>0.55237000000000003</v>
      </c>
      <c r="N25" s="60">
        <f>(1-food_insecure)*(0.49)+food_insecure*(0.7)</f>
        <v>0.55237000000000003</v>
      </c>
      <c r="O25" s="60">
        <f>(1-food_insecure)*(0.49)+food_insecure*(0.7)</f>
        <v>0.55237000000000003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3.9947927096999999E-2</v>
      </c>
      <c r="M26" s="60">
        <f>(1-food_insecure)*(0.21)+food_insecure*(0.3)</f>
        <v>0.23673</v>
      </c>
      <c r="N26" s="60">
        <f>(1-food_insecure)*(0.21)+food_insecure*(0.3)</f>
        <v>0.23673</v>
      </c>
      <c r="O26" s="60">
        <f>(1-food_insecure)*(0.21)+food_insecure*(0.3)</f>
        <v>0.23673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3.5589143009999998E-2</v>
      </c>
      <c r="M27" s="60">
        <f>(1-food_insecure)*(0.3)</f>
        <v>0.2109</v>
      </c>
      <c r="N27" s="60">
        <f>(1-food_insecure)*(0.3)</f>
        <v>0.2109</v>
      </c>
      <c r="O27" s="60">
        <f>(1-food_insecure)*(0.3)</f>
        <v>0.2109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0.83125110000000002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FlHwShAK5UkwTLLBJB5ee2dDC5hTmUTYOt0kawX4SyDMCgcPwfGqMUmSjQEgtqGBS0EpdaQ9nFv5FjPLnib+A==" saltValue="6W+Gm+pzfMFtNjZmWh6Z2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QUufLIQBURVat0oHwUxGPRAdGJL/gEWkJKteWFpX5x65nuEr/t6ey3pfld4iQ/naG+4BDWlZWOycVdkxMO42QQ==" saltValue="VhuOz+IYHf2bKmzWlfzb0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Gqhz1BRCfPwTW8D6KgKL4ceXw+R6hMeYKKUPIu3BUtgmUtXmXkw7pUlgZxnnTVhojiap8FLnoQPZz419hDXDQ==" saltValue="zwKT0Q7NFWO1yP57e/GfA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xkVGZ5K/FNDJBgqP1mZPTRLIXmiGy+drCN924yf5tM77e4ybSebn+8FRLb61MvM9jIZ6H01XLu6gvrpWkLc9w==" saltValue="QVug1ntTpKalcejIsPQiy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Y7ZAXZ21vafvgIRpkz07JXa5vqnAxTpoTUGodcO8WeAYSqSJgS0GymoOPaV0Qm3I67cbdBBj/m7nSYPLzhjT0Q==" saltValue="IBnjIkZf/3pgEajk6adQm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gIIV5h7LKGjCcKzZQ428s4V/XVeaLaOnq31HMcPy7UFMUahtRbZT8xBPtr9Vexlb2VD1C84ZlbNY+ZsxJkjJuw==" saltValue="+B2b7lzxHFz8vqbh9pgLp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RlDT39fCWXWWX9rhyViaInt6FO9sWXCENZaDnlflTmQrEfxY6KuLFuegbjZf3Mx0K3FygQHTbFhzk8GFYg4yw==" saltValue="syyeSFatk/M09BqfwKfk4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FCk8fKHbiG13KayHctL90U3SINDWbhx75+q9jEdxe5TSPQUDp+wK1yncFNNCYhY98QtAZtayPTE17HibN5RiXA==" saltValue="B5+pj6/nl5ELm8VKhkTa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ywYJzWQFxZRYZUL43l13HDqYptQUkRLgBKumnffe+TwLXFW6dFE5JcnoJQ6Q0aFbsZE9vZZxxzMtaWMVbUBbg==" saltValue="gFLpEDfvQi5n5gy/N5qr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ENShgSu62syRiR58k6WlRIFvdILPf3bzB3Ami6O3HRG42xroRzpWarJ/qKgrxfdhLcRkV4FxB1eMwG/l9+XoA==" saltValue="G5Z0M7OOXG+qdNmQoako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qNte3PIRkZfndVktw97CkiA/TJONzz6ie0fhC9m+pSwj3I9ktU3t+yDjH3ZaaIlVomOK9p3ZKUrfQmn2W3Ixg==" saltValue="AH9W5Du6cyoGIE985xW5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KnuPmnWumDyx6B4FgmHwO8iR6XetcJrVgN3WqPImrxagXX/LoKoJ60zey47zc0fkN0hJZTeuR1I2mU66EITMA==" saltValue="IzRWZTo2ifC1GC2f0aDq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WGAmeqnRPs9v9ZL9F/aY/C/6YI3J8Qxo0KltLSAICIAnfcndm1rrd/aAId/vJ5BphSoWnPMtK+purpebv+aCQ==" saltValue="TJ/OeivwqOsb8tJRIFGY0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TMdl4CkOjz1eLxdS5puiroNrq5Q50MiROGzdJlLXdam2dd5RFMZDW/p6me0FLv8S1BisIC3grRGMbxA3l47jA==" saltValue="QyC3kMg2vigXnAOjPv/g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S5HS9aeneID/hIYMDtTnTQMuUmalURAKWStvNkGjYl257z2qY4z2/bWmmG2eYv5OCSbxz8g4uyMQKP4xUImcQ==" saltValue="gPTcWCdvvfIdRx/pwGiH0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