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4A961492-18BE-4139-B1FF-BED37D96A5F4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79625E36-4AAB-4147-8696-9200569ADADF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CA45345E-DD22-4CC0-A782-94F7CC43269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<sst xmlns="http://schemas.openxmlformats.org/spreadsheetml/2006/main" count="2102" uniqueCount="337">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</sst>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4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10103.413024902349</v>
      </c>
    </row>
    <row r="8" spans="1:3" ht="15" customHeight="1" x14ac:dyDescent="0.25">
      <c r="B8" s="5" t="s">
        <v>19</v>
      </c>
      <c r="C8" s="44">
        <v>4.7E-2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0.81211067199706999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0.27600000000000002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0.14169999999999999</v>
      </c>
    </row>
    <row r="24" spans="1:3" ht="15" customHeight="1" x14ac:dyDescent="0.25">
      <c r="B24" s="15" t="s">
        <v>33</v>
      </c>
      <c r="C24" s="45">
        <v>0.49370000000000003</v>
      </c>
    </row>
    <row r="25" spans="1:3" ht="15" customHeight="1" x14ac:dyDescent="0.25">
      <c r="B25" s="15" t="s">
        <v>34</v>
      </c>
      <c r="C25" s="45">
        <v>0.31890000000000002</v>
      </c>
    </row>
    <row r="26" spans="1:3" ht="15" customHeight="1" x14ac:dyDescent="0.25">
      <c r="B26" s="15" t="s">
        <v>35</v>
      </c>
      <c r="C26" s="45">
        <v>4.5699999999999998E-2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0.3567553</v>
      </c>
    </row>
    <row r="30" spans="1:3" ht="14.25" customHeight="1" x14ac:dyDescent="0.25">
      <c r="B30" s="25" t="s">
        <v>38</v>
      </c>
      <c r="C30" s="99">
        <v>6.59106E-2</v>
      </c>
    </row>
    <row r="31" spans="1:3" ht="14.25" customHeight="1" x14ac:dyDescent="0.25">
      <c r="B31" s="25" t="s">
        <v>39</v>
      </c>
      <c r="C31" s="99">
        <v>9.2620400000000006E-2</v>
      </c>
    </row>
    <row r="32" spans="1:3" ht="14.25" customHeight="1" x14ac:dyDescent="0.25">
      <c r="B32" s="25" t="s">
        <v>40</v>
      </c>
      <c r="C32" s="99">
        <v>0.48471370000000003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13.01304</v>
      </c>
    </row>
    <row r="38" spans="1:5" ht="15" customHeight="1" x14ac:dyDescent="0.25">
      <c r="B38" s="11" t="s">
        <v>45</v>
      </c>
      <c r="C38" s="43">
        <v>22.43721</v>
      </c>
      <c r="D38" s="12"/>
      <c r="E38" s="13"/>
    </row>
    <row r="39" spans="1:5" ht="15" customHeight="1" x14ac:dyDescent="0.25">
      <c r="B39" s="11" t="s">
        <v>46</v>
      </c>
      <c r="C39" s="43">
        <v>24.820640000000001</v>
      </c>
      <c r="D39" s="12"/>
      <c r="E39" s="12"/>
    </row>
    <row r="40" spans="1:5" ht="15" customHeight="1" x14ac:dyDescent="0.25">
      <c r="B40" s="11" t="s">
        <v>47</v>
      </c>
      <c r="C40" s="100">
        <v>0.73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11.22475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7.1923999999999998E-3</v>
      </c>
      <c r="D45" s="12"/>
    </row>
    <row r="46" spans="1:5" ht="15.75" customHeight="1" x14ac:dyDescent="0.25">
      <c r="B46" s="11" t="s">
        <v>52</v>
      </c>
      <c r="C46" s="45">
        <v>7.7281600000000006E-2</v>
      </c>
      <c r="D46" s="12"/>
    </row>
    <row r="47" spans="1:5" ht="15.75" customHeight="1" x14ac:dyDescent="0.25">
      <c r="B47" s="11" t="s">
        <v>53</v>
      </c>
      <c r="C47" s="45">
        <v>7.4161099999999994E-2</v>
      </c>
      <c r="D47" s="12"/>
      <c r="E47" s="13"/>
    </row>
    <row r="48" spans="1:5" ht="15" customHeight="1" x14ac:dyDescent="0.25">
      <c r="B48" s="11" t="s">
        <v>54</v>
      </c>
      <c r="C48" s="46">
        <v>0.84136489999999997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0.54077500000000001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RAqmBf6ts6XQVdYqwVSVgirSi9o9b/03anEg755hrABzAr5uFnaR4hYmwYe2dyYm/CXErDzDmnrJJEQfnp2oSw==" saltValue="rhDU19GPLDnV21t4styb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1994</v>
      </c>
      <c r="C2" s="49">
        <v>7175.5</v>
      </c>
      <c r="D2" s="49">
        <v>14566</v>
      </c>
      <c r="E2" s="49">
        <v>15133</v>
      </c>
      <c r="F2" s="49">
        <v>11622.5</v>
      </c>
      <c r="G2" s="17">
        <f t="shared" ref="G2:G13" si="0">C2+D2+E2+F2</f>
        <v>48497</v>
      </c>
      <c r="H2" s="17">
        <f t="shared" ref="H2:H13" si="1">(B2 + stillbirth*B2/(1000-stillbirth))/(1-abortion)</f>
        <v>2291.6320881910133</v>
      </c>
      <c r="I2" s="17">
        <f t="shared" ref="I2:I13" si="2">G2-H2</f>
        <v>46205.367911808986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1976</v>
      </c>
      <c r="C3" s="50">
        <v>6966.5</v>
      </c>
      <c r="D3" s="50">
        <v>14172.5</v>
      </c>
      <c r="E3" s="50">
        <v>15313.5</v>
      </c>
      <c r="F3" s="50">
        <v>11778</v>
      </c>
      <c r="G3" s="17">
        <f t="shared" si="0"/>
        <v>48230.5</v>
      </c>
      <c r="H3" s="17">
        <f t="shared" si="1"/>
        <v>2270.9453391501715</v>
      </c>
      <c r="I3" s="17">
        <f t="shared" si="2"/>
        <v>45959.554660849826</v>
      </c>
    </row>
    <row r="4" spans="1:9" ht="15.75" customHeight="1" x14ac:dyDescent="0.25">
      <c r="A4" s="5">
        <f t="shared" si="3"/>
        <v>2026</v>
      </c>
      <c r="B4" s="49">
        <v>1969</v>
      </c>
      <c r="C4" s="50">
        <v>6793.5000000000009</v>
      </c>
      <c r="D4" s="50">
        <v>13764</v>
      </c>
      <c r="E4" s="50">
        <v>15468</v>
      </c>
      <c r="F4" s="50">
        <v>11953</v>
      </c>
      <c r="G4" s="17">
        <f t="shared" si="0"/>
        <v>47978.5</v>
      </c>
      <c r="H4" s="17">
        <f t="shared" si="1"/>
        <v>2262.9004923009552</v>
      </c>
      <c r="I4" s="17">
        <f t="shared" si="2"/>
        <v>45715.599507699044</v>
      </c>
    </row>
    <row r="5" spans="1:9" ht="15.75" customHeight="1" x14ac:dyDescent="0.25">
      <c r="A5" s="5">
        <f t="shared" si="3"/>
        <v>2027</v>
      </c>
      <c r="B5" s="49">
        <v>1944</v>
      </c>
      <c r="C5" s="50">
        <v>6652.5</v>
      </c>
      <c r="D5" s="50">
        <v>13389.5</v>
      </c>
      <c r="E5" s="50">
        <v>15558</v>
      </c>
      <c r="F5" s="50">
        <v>12137.5</v>
      </c>
      <c r="G5" s="17">
        <f t="shared" si="0"/>
        <v>47737.5</v>
      </c>
      <c r="H5" s="17">
        <f t="shared" si="1"/>
        <v>2234.1688964108971</v>
      </c>
      <c r="I5" s="17">
        <f t="shared" si="2"/>
        <v>45503.331103589102</v>
      </c>
    </row>
    <row r="6" spans="1:9" ht="15.75" customHeight="1" x14ac:dyDescent="0.25">
      <c r="A6" s="5">
        <f t="shared" si="3"/>
        <v>2028</v>
      </c>
      <c r="B6" s="49">
        <v>1921</v>
      </c>
      <c r="C6" s="50">
        <v>6518.4999999999991</v>
      </c>
      <c r="D6" s="50">
        <v>13080.5</v>
      </c>
      <c r="E6" s="50">
        <v>15570</v>
      </c>
      <c r="F6" s="50">
        <v>12319</v>
      </c>
      <c r="G6" s="17">
        <f t="shared" si="0"/>
        <v>47488</v>
      </c>
      <c r="H6" s="17">
        <f t="shared" si="1"/>
        <v>2207.7358281920442</v>
      </c>
      <c r="I6" s="17">
        <f t="shared" si="2"/>
        <v>45280.264171807954</v>
      </c>
    </row>
    <row r="7" spans="1:9" ht="15.75" customHeight="1" x14ac:dyDescent="0.25">
      <c r="A7" s="5">
        <f t="shared" si="3"/>
        <v>2029</v>
      </c>
      <c r="B7" s="49">
        <v>1900</v>
      </c>
      <c r="C7" s="50">
        <v>6359</v>
      </c>
      <c r="D7" s="50">
        <v>12814</v>
      </c>
      <c r="E7" s="50">
        <v>15548.5</v>
      </c>
      <c r="F7" s="50">
        <v>12504.5</v>
      </c>
      <c r="G7" s="17">
        <f t="shared" si="0"/>
        <v>47226</v>
      </c>
      <c r="H7" s="17">
        <f t="shared" si="1"/>
        <v>2183.6012876443956</v>
      </c>
      <c r="I7" s="17">
        <f t="shared" si="2"/>
        <v>45042.398712355607</v>
      </c>
    </row>
    <row r="8" spans="1:9" ht="15.75" customHeight="1" x14ac:dyDescent="0.25">
      <c r="A8" s="5">
        <f t="shared" si="3"/>
        <v>2030</v>
      </c>
      <c r="B8" s="49">
        <v>1875</v>
      </c>
      <c r="C8" s="50">
        <v>6269</v>
      </c>
      <c r="D8" s="50">
        <v>12469.5</v>
      </c>
      <c r="E8" s="50">
        <v>15509</v>
      </c>
      <c r="F8" s="50">
        <v>12685.5</v>
      </c>
      <c r="G8" s="17">
        <f t="shared" si="0"/>
        <v>46933</v>
      </c>
      <c r="H8" s="17">
        <f t="shared" si="1"/>
        <v>2154.8696917543375</v>
      </c>
      <c r="I8" s="17">
        <f t="shared" si="2"/>
        <v>44778.130308245665</v>
      </c>
    </row>
    <row r="9" spans="1:9" ht="15.75" customHeight="1" x14ac:dyDescent="0.25">
      <c r="A9" s="5">
        <f t="shared" si="3"/>
        <v>2031</v>
      </c>
      <c r="B9" s="49">
        <v>1846</v>
      </c>
      <c r="C9" s="50">
        <v>6269</v>
      </c>
      <c r="D9" s="50">
        <v>12081</v>
      </c>
      <c r="E9" s="50">
        <v>15386.5</v>
      </c>
      <c r="F9" s="50">
        <v>12856.5</v>
      </c>
      <c r="G9" s="17">
        <f t="shared" si="0"/>
        <v>46593</v>
      </c>
      <c r="H9" s="17">
        <f t="shared" si="1"/>
        <v>2121.5410405218704</v>
      </c>
      <c r="I9" s="17">
        <f t="shared" si="2"/>
        <v>44471.458959478128</v>
      </c>
    </row>
    <row r="10" spans="1:9" ht="15.75" customHeight="1" x14ac:dyDescent="0.25">
      <c r="A10" s="5">
        <f t="shared" si="3"/>
        <v>2032</v>
      </c>
      <c r="B10" s="49">
        <v>1815</v>
      </c>
      <c r="C10" s="50">
        <v>6262</v>
      </c>
      <c r="D10" s="50">
        <v>11778</v>
      </c>
      <c r="E10" s="50">
        <v>15150.5</v>
      </c>
      <c r="F10" s="50">
        <v>13027</v>
      </c>
      <c r="G10" s="17">
        <f t="shared" si="0"/>
        <v>46217.5</v>
      </c>
      <c r="H10" s="17">
        <f t="shared" si="1"/>
        <v>2085.9138616181986</v>
      </c>
      <c r="I10" s="17">
        <f t="shared" si="2"/>
        <v>44131.586138381805</v>
      </c>
    </row>
    <row r="11" spans="1:9" ht="15.75" customHeight="1" x14ac:dyDescent="0.25">
      <c r="A11" s="5">
        <f t="shared" si="3"/>
        <v>2033</v>
      </c>
      <c r="B11" s="49">
        <v>1795</v>
      </c>
      <c r="C11" s="50">
        <v>6246</v>
      </c>
      <c r="D11" s="50">
        <v>11537</v>
      </c>
      <c r="E11" s="50">
        <v>14837</v>
      </c>
      <c r="F11" s="50">
        <v>13190.5</v>
      </c>
      <c r="G11" s="17">
        <f t="shared" si="0"/>
        <v>45810.5</v>
      </c>
      <c r="H11" s="17">
        <f t="shared" si="1"/>
        <v>2062.9285849061525</v>
      </c>
      <c r="I11" s="17">
        <f t="shared" si="2"/>
        <v>43747.571415093844</v>
      </c>
    </row>
    <row r="12" spans="1:9" ht="15.75" customHeight="1" x14ac:dyDescent="0.25">
      <c r="A12" s="5">
        <f t="shared" si="3"/>
        <v>2034</v>
      </c>
      <c r="B12" s="49">
        <v>1763</v>
      </c>
      <c r="C12" s="50">
        <v>6220</v>
      </c>
      <c r="D12" s="50">
        <v>11318</v>
      </c>
      <c r="E12" s="50">
        <v>14481.5</v>
      </c>
      <c r="F12" s="50">
        <v>13347.5</v>
      </c>
      <c r="G12" s="17">
        <f t="shared" si="0"/>
        <v>45367</v>
      </c>
      <c r="H12" s="17">
        <f t="shared" si="1"/>
        <v>2026.1521421668785</v>
      </c>
      <c r="I12" s="17">
        <f t="shared" si="2"/>
        <v>43340.84785783312</v>
      </c>
    </row>
    <row r="13" spans="1:9" ht="15.75" customHeight="1" x14ac:dyDescent="0.25">
      <c r="A13" s="5">
        <f t="shared" si="3"/>
        <v>2035</v>
      </c>
      <c r="B13" s="49">
        <v>1741</v>
      </c>
      <c r="C13" s="50">
        <v>6181.0000000000009</v>
      </c>
      <c r="D13" s="50">
        <v>11114.5</v>
      </c>
      <c r="E13" s="50">
        <v>14092.5</v>
      </c>
      <c r="F13" s="50">
        <v>13509.5</v>
      </c>
      <c r="G13" s="17">
        <f t="shared" si="0"/>
        <v>44897.5</v>
      </c>
      <c r="H13" s="17">
        <f t="shared" si="1"/>
        <v>2000.8683377836276</v>
      </c>
      <c r="I13" s="17">
        <f t="shared" si="2"/>
        <v>42896.631662216372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CtuubvijMl+DkJ7yak2eNpaSHjYTeBEonJIZHwiRpJQDc1knniJCAkNoHDabzAnzfS8EvOUpQoCc2dlU+9e9w==" saltValue="JFlATguIheKSGKIivtlac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4.3137200000000028E-2</v>
      </c>
    </row>
    <row r="5" spans="1:8" ht="15.75" customHeight="1" x14ac:dyDescent="0.25">
      <c r="B5" s="19" t="s">
        <v>80</v>
      </c>
      <c r="C5" s="101">
        <v>3.935220000000008E-2</v>
      </c>
    </row>
    <row r="6" spans="1:8" ht="15.75" customHeight="1" x14ac:dyDescent="0.25">
      <c r="B6" s="19" t="s">
        <v>81</v>
      </c>
      <c r="C6" s="101">
        <v>0.10518480000000011</v>
      </c>
    </row>
    <row r="7" spans="1:8" ht="15.75" customHeight="1" x14ac:dyDescent="0.25">
      <c r="B7" s="19" t="s">
        <v>82</v>
      </c>
      <c r="C7" s="101">
        <v>0.45285349999999969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0.17140770000000019</v>
      </c>
    </row>
    <row r="10" spans="1:8" ht="15.75" customHeight="1" x14ac:dyDescent="0.25">
      <c r="B10" s="19" t="s">
        <v>85</v>
      </c>
      <c r="C10" s="101">
        <v>0.18806460000000019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88</v>
      </c>
      <c r="C15" s="101">
        <v>0.51381300585893785</v>
      </c>
      <c r="D15" s="101">
        <v>0.51381300585893785</v>
      </c>
      <c r="E15" s="101">
        <v>0.51381300585893785</v>
      </c>
      <c r="F15" s="101">
        <v>0.51381300585893785</v>
      </c>
    </row>
    <row r="16" spans="1:8" ht="15.75" customHeight="1" x14ac:dyDescent="0.25">
      <c r="B16" s="19" t="s">
        <v>89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94</v>
      </c>
      <c r="C21" s="101">
        <v>0.28053606855628938</v>
      </c>
      <c r="D21" s="101">
        <v>0.28053606855628938</v>
      </c>
      <c r="E21" s="101">
        <v>0.28053606855628938</v>
      </c>
      <c r="F21" s="101">
        <v>0.28053606855628938</v>
      </c>
    </row>
    <row r="22" spans="1:8" ht="15.75" customHeight="1" x14ac:dyDescent="0.25">
      <c r="B22" s="19" t="s">
        <v>95</v>
      </c>
      <c r="C22" s="101">
        <v>0.2056509255847726</v>
      </c>
      <c r="D22" s="101">
        <v>0.2056509255847726</v>
      </c>
      <c r="E22" s="101">
        <v>0.2056509255847726</v>
      </c>
      <c r="F22" s="101">
        <v>0.2056509255847726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4.5480066999999999E-2</v>
      </c>
    </row>
    <row r="27" spans="1:8" ht="15.75" customHeight="1" x14ac:dyDescent="0.25">
      <c r="B27" s="19" t="s">
        <v>102</v>
      </c>
      <c r="C27" s="101">
        <v>0.14298022799999999</v>
      </c>
    </row>
    <row r="28" spans="1:8" ht="15.75" customHeight="1" x14ac:dyDescent="0.25">
      <c r="B28" s="19" t="s">
        <v>103</v>
      </c>
      <c r="C28" s="101">
        <v>9.6627131000000019E-2</v>
      </c>
    </row>
    <row r="29" spans="1:8" ht="15.75" customHeight="1" x14ac:dyDescent="0.25">
      <c r="B29" s="19" t="s">
        <v>104</v>
      </c>
      <c r="C29" s="101">
        <v>0.16091661700000001</v>
      </c>
    </row>
    <row r="30" spans="1:8" ht="15.75" customHeight="1" x14ac:dyDescent="0.25">
      <c r="B30" s="19" t="s">
        <v>2</v>
      </c>
      <c r="C30" s="101">
        <v>3.5424285E-2</v>
      </c>
    </row>
    <row r="31" spans="1:8" ht="15.75" customHeight="1" x14ac:dyDescent="0.25">
      <c r="B31" s="19" t="s">
        <v>105</v>
      </c>
      <c r="C31" s="101">
        <v>0.141582982</v>
      </c>
    </row>
    <row r="32" spans="1:8" ht="15.75" customHeight="1" x14ac:dyDescent="0.25">
      <c r="B32" s="19" t="s">
        <v>106</v>
      </c>
      <c r="C32" s="101">
        <v>7.2277499999999981E-2</v>
      </c>
    </row>
    <row r="33" spans="2:3" ht="15.75" customHeight="1" x14ac:dyDescent="0.25">
      <c r="B33" s="19" t="s">
        <v>107</v>
      </c>
      <c r="C33" s="101">
        <v>0.14607978499999999</v>
      </c>
    </row>
    <row r="34" spans="2:3" ht="15.75" customHeight="1" x14ac:dyDescent="0.25">
      <c r="B34" s="19" t="s">
        <v>108</v>
      </c>
      <c r="C34" s="101">
        <v>0.158631406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F0AlzcBVnM3p+d44PD44FPTRB0uBw3YuzsyntxRLhzYE+miejik/JhvRD6IFg+jZzoEYtN3kbv/u2M+o6PdDhA==" saltValue="V5ARNK2gmw7RMQCDAdz3M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10" sqref="C10:G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115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119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120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0.3675873845</v>
      </c>
      <c r="D14" s="54">
        <v>0.34495623779099999</v>
      </c>
      <c r="E14" s="54">
        <v>0.34495623779099999</v>
      </c>
      <c r="F14" s="54">
        <v>0.158397592408</v>
      </c>
      <c r="G14" s="54">
        <v>0.158397592408</v>
      </c>
      <c r="H14" s="45">
        <v>0.26500000000000001</v>
      </c>
      <c r="I14" s="55">
        <v>0.26500000000000001</v>
      </c>
      <c r="J14" s="55">
        <v>0.26500000000000001</v>
      </c>
      <c r="K14" s="55">
        <v>0.26500000000000001</v>
      </c>
      <c r="L14" s="45">
        <v>0.218</v>
      </c>
      <c r="M14" s="55">
        <v>0.218</v>
      </c>
      <c r="N14" s="55">
        <v>0.218</v>
      </c>
      <c r="O14" s="55">
        <v>0.218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0.19878206785298749</v>
      </c>
      <c r="D15" s="52">
        <f t="shared" si="0"/>
        <v>0.18654370949142801</v>
      </c>
      <c r="E15" s="52">
        <f t="shared" si="0"/>
        <v>0.18654370949142801</v>
      </c>
      <c r="F15" s="52">
        <f t="shared" si="0"/>
        <v>8.5657458034436196E-2</v>
      </c>
      <c r="G15" s="52">
        <f t="shared" si="0"/>
        <v>8.5657458034436196E-2</v>
      </c>
      <c r="H15" s="52">
        <f t="shared" si="0"/>
        <v>0.14330537500000001</v>
      </c>
      <c r="I15" s="52">
        <f t="shared" si="0"/>
        <v>0.14330537500000001</v>
      </c>
      <c r="J15" s="52">
        <f t="shared" si="0"/>
        <v>0.14330537500000001</v>
      </c>
      <c r="K15" s="52">
        <f t="shared" si="0"/>
        <v>0.14330537500000001</v>
      </c>
      <c r="L15" s="52">
        <f t="shared" si="0"/>
        <v>0.11788895000000001</v>
      </c>
      <c r="M15" s="52">
        <f t="shared" si="0"/>
        <v>0.11788895000000001</v>
      </c>
      <c r="N15" s="52">
        <f t="shared" si="0"/>
        <v>0.11788895000000001</v>
      </c>
      <c r="O15" s="52">
        <f t="shared" si="0"/>
        <v>0.11788895000000001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Y4qNlLjHMXAdxwL6f5VpV7RdAKPzFMVQeTsx53wN9I9idnf1FOHE+IPDq+DkNRTnGr/mHB/rPfs8rLBYSoXyw==" saltValue="MwvyUkSvZW6mWi/KwkMF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0.45713999999999999</v>
      </c>
      <c r="D2" s="53">
        <v>0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</v>
      </c>
      <c r="D3" s="53">
        <v>0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0.54286000000000001</v>
      </c>
      <c r="D4" s="53">
        <v>0</v>
      </c>
      <c r="E4" s="53">
        <v>0.6363337</v>
      </c>
      <c r="F4" s="53">
        <v>0.28694750000000002</v>
      </c>
      <c r="G4" s="53">
        <v>0</v>
      </c>
    </row>
    <row r="5" spans="1:7" x14ac:dyDescent="0.25">
      <c r="B5" s="3" t="s">
        <v>132</v>
      </c>
      <c r="C5" s="52">
        <v>0</v>
      </c>
      <c r="D5" s="52">
        <v>0.12241</v>
      </c>
      <c r="E5" s="52">
        <f>1-SUM(E2:E4)</f>
        <v>0.3636663</v>
      </c>
      <c r="F5" s="52">
        <f>1-SUM(F2:F4)</f>
        <v>0.71305249999999998</v>
      </c>
      <c r="G5" s="52">
        <f>1-SUM(G2:G4)</f>
        <v>1</v>
      </c>
    </row>
  </sheetData>
  <sheetProtection algorithmName="SHA-512" hashValue="5tBvLsxCxaNu1LesUG3C75kM8nUfqInzLZuKMq/pvwFlA0fDdtbPFhcjdsbfYfHVkK4RbnMpT6/2mZHpQsjk5g==" saltValue="ggXuTUt+FF1kzFQshSmhp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HGqpURlj2nIVSzahjviwRkWWQOgM8a/hbq5ChTtGSHFEx7nmqJWwc11rizDlpSh9yMsxupqj6b3u8u1o/dANw==" saltValue="q/8xXWxGY3oF94y6CbRE7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EEOVveSat+Ilru9OsN3nJ/TaBKGg8Cgm9da5HRYN5V/c6CTo5qnYdrpIP7+L3Y/tBNI2HEW1AVoUGg4IsjqHfw==" saltValue="BJ8GTJuTYJVSVBGkj5Djb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J7zwwPt6JEydY/qbyFYm1txrboIqosV1s9JxUw2qzWXVY/zRSKrULHLSzzL1gzhsSMhBgDkmTAABNngx8iZwhw==" saltValue="vtdYNkV3uA4ssNNk1AXBS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R9tbGTcv2xN7JuYYDufo9kOKei733Nk/iAmOHgFfxdNKuQJ/gZMhJuDzwSR4ZgYJtlBrWtpJ6+raE2VansDn3Q==" saltValue="WRXXRt7t9LT7i38lAj7MW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91.330267740197584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0.2395468390462</v>
      </c>
      <c r="C3" s="98">
        <v>0.95</v>
      </c>
      <c r="D3" s="56">
        <v>40.626528785920193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936.48215246114307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2.960998159368637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13.758828229716091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13.758828229716091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13.758828229716091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13.758828229716091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13.758828229716091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13.758828229716091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1.465594029611444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0.38806249999999998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0.12592909999999999</v>
      </c>
      <c r="C18" s="98">
        <v>0.95</v>
      </c>
      <c r="D18" s="56">
        <v>21.432133639931681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0.83357990000000004</v>
      </c>
      <c r="C19" s="98">
        <v>0.95</v>
      </c>
      <c r="D19" s="56">
        <v>21.432133639931681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0.96712320000000007</v>
      </c>
      <c r="C21" s="98">
        <v>0.95</v>
      </c>
      <c r="D21" s="56">
        <v>27.58396231596782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24.134826347321969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4.7459931534262978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0.95424920000000002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19.155143804923071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0.74832009999999993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189.65223389589579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0.76529144671086591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3.2236445106369032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3.73761277259677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0YvDETZRhmhmZNp7J7KYy2HpIstWVm8LSsSB8DBg60/Kcf5HFs6BLv0aX3Xgg5OqQz0YxvLFXdYnUqX9pRgzNQ==" saltValue="3hq0NZrI2FxHvuzdZmlk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qGuTMtCOs2z2yC9q9/Mcxm75BBqCTkCNHtD98n1Jrp4Un0VyXR+0cS6VUs24UfEF0Fvxa/Fze3sNqcAGOR/Mw==" saltValue="UfKyookOT6Tu0JeZ/YiYC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0p4y5Xz2p+NtR4u2InqrYZ7u59TsdrsN8nFPN2wBR7sDSem8UqwPJFDHUH09pwA0drWRPMzSGnxa8JQq54rT1A==" saltValue="wNIyRagZswx4xbUrR4ZnQ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208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k89jMUxBXHeCgkza39MVK50XbaRLsD3HpeENWfYyO6Whjb6Th+T2zXQdTQlun1g4WAxxTIONh75OBJtYxZcEJQ==" saltValue="zGdDcnEWQqssLF62U3p+m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4.7E-2</v>
      </c>
      <c r="E2" s="60">
        <f>food_insecure</f>
        <v>4.7E-2</v>
      </c>
      <c r="F2" s="60">
        <f>food_insecure</f>
        <v>4.7E-2</v>
      </c>
      <c r="G2" s="60">
        <f>food_insecure</f>
        <v>4.7E-2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4.7E-2</v>
      </c>
      <c r="F5" s="60">
        <f>food_insecure</f>
        <v>4.7E-2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4.7E-2</v>
      </c>
      <c r="F8" s="60">
        <f>food_insecure</f>
        <v>4.7E-2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4.7E-2</v>
      </c>
      <c r="F9" s="60">
        <f>food_insecure</f>
        <v>4.7E-2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4.7E-2</v>
      </c>
      <c r="I15" s="60">
        <f>food_insecure</f>
        <v>4.7E-2</v>
      </c>
      <c r="J15" s="60">
        <f>food_insecure</f>
        <v>4.7E-2</v>
      </c>
      <c r="K15" s="60">
        <f>food_insecure</f>
        <v>4.7E-2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0.27600000000000002</v>
      </c>
      <c r="M24" s="60">
        <f>famplan_unmet_need</f>
        <v>0.27600000000000002</v>
      </c>
      <c r="N24" s="60">
        <f>famplan_unmet_need</f>
        <v>0.27600000000000002</v>
      </c>
      <c r="O24" s="60">
        <f>famplan_unmet_need</f>
        <v>0.27600000000000002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9.3920238388824628E-2</v>
      </c>
      <c r="M25" s="60">
        <f>(1-food_insecure)*(0.49)+food_insecure*(0.7)</f>
        <v>0.49986999999999998</v>
      </c>
      <c r="N25" s="60">
        <f>(1-food_insecure)*(0.49)+food_insecure*(0.7)</f>
        <v>0.49986999999999998</v>
      </c>
      <c r="O25" s="60">
        <f>(1-food_insecure)*(0.49)+food_insecure*(0.7)</f>
        <v>0.49986999999999998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4.0251530738067691E-2</v>
      </c>
      <c r="M26" s="60">
        <f>(1-food_insecure)*(0.21)+food_insecure*(0.3)</f>
        <v>0.21422999999999998</v>
      </c>
      <c r="N26" s="60">
        <f>(1-food_insecure)*(0.21)+food_insecure*(0.3)</f>
        <v>0.21422999999999998</v>
      </c>
      <c r="O26" s="60">
        <f>(1-food_insecure)*(0.21)+food_insecure*(0.3)</f>
        <v>0.21422999999999998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5.3717558876037685E-2</v>
      </c>
      <c r="M27" s="60">
        <f>(1-food_insecure)*(0.3)</f>
        <v>0.28589999999999999</v>
      </c>
      <c r="N27" s="60">
        <f>(1-food_insecure)*(0.3)</f>
        <v>0.28589999999999999</v>
      </c>
      <c r="O27" s="60">
        <f>(1-food_insecure)*(0.3)</f>
        <v>0.28589999999999999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0.81211067199706999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ItXWbDooN3ckxU0oWQWduGeEf01bjI2ZuNR+Ia2ROja94mLLHQUU48IKPjZz7OLGMUy7aDY3VqXySq58cxSbg==" saltValue="vC6sV7631AnhDomuVdQzJ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FXPF8W1UiXwfIZ1xTTm1z0tJY7af6pk0hJnYMZt0PqC454rb9Av1+azFKu0rfBeUIqtVxqoy7zQynHbJ3FCYVw==" saltValue="GsgzCDqaF5hlRUAzP2hJp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3Juqkx+m8C1TEu1NEODAY/R2Uzjdv+q5EpW0/HHeJH3vSCgbfJZwgwWF2r1P3vNY1NyZqcU9Vozq7z1b0OOzEg==" saltValue="fBB0YaVE6E5L/7NgVbUfF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zzofYo07IvHBYF77xTdfkAX2b6cWhXJMc+27NsQn9SCtz9Yhh4zedkACpt7Ik9jwdPnOHbr9w4eVVTi/MhtYQ==" saltValue="aDPkH3+weWcUXnzBZdVj0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jBDL+qnkse1fLkcebM1Lpiz+F1/exjNx3mDtlpAL6iggygD74kYbD4hgUTXtpQfs8y7L6RUxbic6zpvVkmzjSg==" saltValue="Uj/KzbgtVgdxw6xn1a+6N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u7tpSylx1COKeua7wYo6hXRj5DqhrFcz2B8Ibn8nfLOTdJE+BtNtGWZwf/HWSK1+P/qRRzyc/0a6ItOI+SveJw==" saltValue="BMLj4Nycm08HsSCkbdAZM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dOsdaHDiUfIqLGKrBpUE6xzZHSwjNEBGqOhwuhGWBTQIoi5AKPOOjqf3nMzPoh8bxUrOaJdZjHUASuCQGyOWZg==" saltValue="C7c9rt6CTi0K8DLHTBsFlQ==" spinCount="100000" sheet="1" objects="1" scenarios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rQewGwEn5Gu753+GRkuwCZzooPJbaVSm6cBMUXhQxXaETgRTKrjKbTkfCsJogvZihIa8FppiCtMTM63ULfJjA==" saltValue="0UYO24WLr/+gUSjI8o1f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8bl8UQ9c+kYAOhCuh0yin1ABk+ZiMp21te/aR3UX6gxhS+K6kcR/6J3IWuw/Cz9lqb6OyZ2xnTBHGTQIydMQAw==" saltValue="xeOwz53MwaHKkcJDMXlO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Be+7GTJlPAPw2D8MLgNHEm0LYoaL5yTQEjKJDkNA5oLVQCA1mFUCLij6voCo9mCK5y2jER8fdEcb2ft7pO/ihg==" saltValue="3sPS2JlcYjrAQgnpN/BX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i1Gcu9OmJ3MX1RTeEL2t9w3isXLbEipMmBU8IAaP48BeoiuSjLil1+JdkQ7el4aSUfWvmLVUBRaVoO8LPHmaQ==" saltValue="dydwwkAANAIBJjPBKBb3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nFNhnTblAMfkw13S3QAgNK8c3YhqUdm4zfvUoCyfoOk26wsWT1Z0yVMI3tJopnCyn/Gy0ghZOcGovR/HffyWQ==" saltValue="U9qggsOINhh0NuFYAgA6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ZmWnXk9fOMguysny9yz8c7XtcFgOZ2Ug7HuKbEU4xw0oJJ2EDynsZSwHw7maXBLfLYkcpurvv6zTWa93OBAQQ==" saltValue="N2cKh1jNGVJUR7awtd46E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7X7nvhMhX8bhJWBq/PH7fd+GmqQQ+Kf2n/MdahClY3O5aZd2V6g7Jxd/0LiWuIf5s+0XC33OxD8uNTf1je3aw==" saltValue="utdM9Amib4uQWTsZLj7A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DSB8uiw6plL6PzOF7EKvAYp/6MCgufwgcJVslzIGJWTTzh3UqZsjftCijGiarVfY+wM5uGRYAdb2jyZCv9nJA==" saltValue="4HTD2MXxxppZNk5KgcZF+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2024-05-17T00:36:26Z</dcterms:modified>
</cp:coreProperties>
</file>