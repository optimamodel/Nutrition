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DB5EA17F-8569-40D9-8C25-7FC70903BE0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35" i="2"/>
  <c r="A24" i="2"/>
  <c r="A23" i="2"/>
  <c r="A19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I5" i="2" s="1"/>
  <c r="H4" i="2"/>
  <c r="G4" i="2"/>
  <c r="I4" i="2" s="1"/>
  <c r="H3" i="2"/>
  <c r="G3" i="2"/>
  <c r="H2" i="2"/>
  <c r="G2" i="2"/>
  <c r="I2" i="2" s="1"/>
  <c r="A2" i="2"/>
  <c r="A40" i="2" s="1"/>
  <c r="C33" i="1"/>
  <c r="C20" i="1"/>
  <c r="A26" i="2" l="1"/>
  <c r="A27" i="2"/>
  <c r="A39" i="2"/>
  <c r="I6" i="2"/>
  <c r="I10" i="2"/>
  <c r="A15" i="2"/>
  <c r="A3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6" i="2"/>
  <c r="A32" i="2"/>
  <c r="I3" i="2"/>
  <c r="I7" i="2"/>
  <c r="I11" i="2"/>
  <c r="A18" i="2"/>
  <c r="A34" i="2"/>
  <c r="A17" i="2"/>
  <c r="A25" i="2"/>
  <c r="A33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<sst xmlns="http://schemas.openxmlformats.org/spreadsheetml/2006/main" count="2101" uniqueCount="337">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</sst>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10103.413024902349</v>
      </c>
    </row>
    <row r="8" spans="1:3" ht="15" customHeight="1" x14ac:dyDescent="0.25">
      <c r="B8" s="5" t="s">
        <v>19</v>
      </c>
      <c r="C8" s="44">
        <v>4.7E-2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0.81211067199706999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0.27600000000000002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0.14169999999999999</v>
      </c>
    </row>
    <row r="24" spans="1:3" ht="15" customHeight="1" x14ac:dyDescent="0.25">
      <c r="B24" s="15" t="s">
        <v>33</v>
      </c>
      <c r="C24" s="45">
        <v>0.49370000000000003</v>
      </c>
    </row>
    <row r="25" spans="1:3" ht="15" customHeight="1" x14ac:dyDescent="0.25">
      <c r="B25" s="15" t="s">
        <v>34</v>
      </c>
      <c r="C25" s="45">
        <v>0.31890000000000002</v>
      </c>
    </row>
    <row r="26" spans="1:3" ht="15" customHeight="1" x14ac:dyDescent="0.25">
      <c r="B26" s="15" t="s">
        <v>35</v>
      </c>
      <c r="C26" s="45">
        <v>4.5699999999999998E-2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0.38027698235904311</v>
      </c>
    </row>
    <row r="30" spans="1:3" ht="14.25" customHeight="1" x14ac:dyDescent="0.25">
      <c r="B30" s="25" t="s">
        <v>38</v>
      </c>
      <c r="C30" s="99">
        <v>5.4660418264349912E-2</v>
      </c>
    </row>
    <row r="31" spans="1:3" ht="14.25" customHeight="1" x14ac:dyDescent="0.25">
      <c r="B31" s="25" t="s">
        <v>39</v>
      </c>
      <c r="C31" s="99">
        <v>6.1967733026657798E-2</v>
      </c>
    </row>
    <row r="32" spans="1:3" ht="14.25" customHeight="1" x14ac:dyDescent="0.25">
      <c r="B32" s="25" t="s">
        <v>40</v>
      </c>
      <c r="C32" s="99">
        <v>0.50309486634994893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13.01304</v>
      </c>
    </row>
    <row r="38" spans="1:5" ht="15" customHeight="1" x14ac:dyDescent="0.25">
      <c r="B38" s="11" t="s">
        <v>45</v>
      </c>
      <c r="C38" s="43">
        <v>22.43721</v>
      </c>
      <c r="D38" s="12"/>
      <c r="E38" s="13"/>
    </row>
    <row r="39" spans="1:5" ht="15" customHeight="1" x14ac:dyDescent="0.25">
      <c r="B39" s="11" t="s">
        <v>46</v>
      </c>
      <c r="C39" s="43">
        <v>24.820640000000001</v>
      </c>
      <c r="D39" s="12"/>
      <c r="E39" s="12"/>
    </row>
    <row r="40" spans="1:5" ht="15" customHeight="1" x14ac:dyDescent="0.25">
      <c r="B40" s="11" t="s">
        <v>47</v>
      </c>
      <c r="C40" s="100">
        <v>0.73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11.22475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7.1923999999999998E-3</v>
      </c>
      <c r="D45" s="12"/>
    </row>
    <row r="46" spans="1:5" ht="15.75" customHeight="1" x14ac:dyDescent="0.25">
      <c r="B46" s="11" t="s">
        <v>52</v>
      </c>
      <c r="C46" s="45">
        <v>7.7281600000000006E-2</v>
      </c>
      <c r="D46" s="12"/>
    </row>
    <row r="47" spans="1:5" ht="15.75" customHeight="1" x14ac:dyDescent="0.25">
      <c r="B47" s="11" t="s">
        <v>53</v>
      </c>
      <c r="C47" s="45">
        <v>7.4161099999999994E-2</v>
      </c>
      <c r="D47" s="12"/>
      <c r="E47" s="13"/>
    </row>
    <row r="48" spans="1:5" ht="15" customHeight="1" x14ac:dyDescent="0.25">
      <c r="B48" s="11" t="s">
        <v>54</v>
      </c>
      <c r="C48" s="46">
        <v>0.84136489999999997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0.54077500000000001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TmT3bWGZB41vh+NEzgb90CcvNFOQjDzMiVnRRXi41mkw3Jed1qqhrHht5g0QVgpYnbt9uhWbJmu9tjaOOV83tA==" saltValue="GDkqEhboc8WEBC64hmRr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1994</v>
      </c>
      <c r="C2" s="49">
        <v>7175.5</v>
      </c>
      <c r="D2" s="49">
        <v>14566</v>
      </c>
      <c r="E2" s="49">
        <v>15133</v>
      </c>
      <c r="F2" s="49">
        <v>11622.5</v>
      </c>
      <c r="G2" s="17">
        <f t="shared" ref="G2:G13" si="0">C2+D2+E2+F2</f>
        <v>48497</v>
      </c>
      <c r="H2" s="17">
        <f t="shared" ref="H2:H13" si="1">(B2 + stillbirth*B2/(1000-stillbirth))/(1-abortion)</f>
        <v>2291.6320881910133</v>
      </c>
      <c r="I2" s="17">
        <f t="shared" ref="I2:I13" si="2">G2-H2</f>
        <v>46205.367911808986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1976</v>
      </c>
      <c r="C3" s="50">
        <v>6966.5</v>
      </c>
      <c r="D3" s="50">
        <v>14172.5</v>
      </c>
      <c r="E3" s="50">
        <v>15313.5</v>
      </c>
      <c r="F3" s="50">
        <v>11778</v>
      </c>
      <c r="G3" s="17">
        <f t="shared" si="0"/>
        <v>48230.5</v>
      </c>
      <c r="H3" s="17">
        <f t="shared" si="1"/>
        <v>2270.9453391501715</v>
      </c>
      <c r="I3" s="17">
        <f t="shared" si="2"/>
        <v>45959.554660849826</v>
      </c>
    </row>
    <row r="4" spans="1:9" ht="15.75" customHeight="1" x14ac:dyDescent="0.25">
      <c r="A4" s="5">
        <f t="shared" si="3"/>
        <v>2026</v>
      </c>
      <c r="B4" s="49">
        <v>1969</v>
      </c>
      <c r="C4" s="50">
        <v>6793.5000000000009</v>
      </c>
      <c r="D4" s="50">
        <v>13764</v>
      </c>
      <c r="E4" s="50">
        <v>15468</v>
      </c>
      <c r="F4" s="50">
        <v>11953</v>
      </c>
      <c r="G4" s="17">
        <f t="shared" si="0"/>
        <v>47978.5</v>
      </c>
      <c r="H4" s="17">
        <f t="shared" si="1"/>
        <v>2262.9004923009552</v>
      </c>
      <c r="I4" s="17">
        <f t="shared" si="2"/>
        <v>45715.599507699044</v>
      </c>
    </row>
    <row r="5" spans="1:9" ht="15.75" customHeight="1" x14ac:dyDescent="0.25">
      <c r="A5" s="5">
        <f t="shared" si="3"/>
        <v>2027</v>
      </c>
      <c r="B5" s="49">
        <v>1944</v>
      </c>
      <c r="C5" s="50">
        <v>6652.5</v>
      </c>
      <c r="D5" s="50">
        <v>13389.5</v>
      </c>
      <c r="E5" s="50">
        <v>15558</v>
      </c>
      <c r="F5" s="50">
        <v>12137.5</v>
      </c>
      <c r="G5" s="17">
        <f t="shared" si="0"/>
        <v>47737.5</v>
      </c>
      <c r="H5" s="17">
        <f t="shared" si="1"/>
        <v>2234.1688964108971</v>
      </c>
      <c r="I5" s="17">
        <f t="shared" si="2"/>
        <v>45503.331103589102</v>
      </c>
    </row>
    <row r="6" spans="1:9" ht="15.75" customHeight="1" x14ac:dyDescent="0.25">
      <c r="A6" s="5">
        <f t="shared" si="3"/>
        <v>2028</v>
      </c>
      <c r="B6" s="49">
        <v>1921</v>
      </c>
      <c r="C6" s="50">
        <v>6518.4999999999991</v>
      </c>
      <c r="D6" s="50">
        <v>13080.5</v>
      </c>
      <c r="E6" s="50">
        <v>15570</v>
      </c>
      <c r="F6" s="50">
        <v>12319</v>
      </c>
      <c r="G6" s="17">
        <f t="shared" si="0"/>
        <v>47488</v>
      </c>
      <c r="H6" s="17">
        <f t="shared" si="1"/>
        <v>2207.7358281920442</v>
      </c>
      <c r="I6" s="17">
        <f t="shared" si="2"/>
        <v>45280.264171807954</v>
      </c>
    </row>
    <row r="7" spans="1:9" ht="15.75" customHeight="1" x14ac:dyDescent="0.25">
      <c r="A7" s="5">
        <f t="shared" si="3"/>
        <v>2029</v>
      </c>
      <c r="B7" s="49">
        <v>1900</v>
      </c>
      <c r="C7" s="50">
        <v>6359</v>
      </c>
      <c r="D7" s="50">
        <v>12814</v>
      </c>
      <c r="E7" s="50">
        <v>15548.5</v>
      </c>
      <c r="F7" s="50">
        <v>12504.5</v>
      </c>
      <c r="G7" s="17">
        <f t="shared" si="0"/>
        <v>47226</v>
      </c>
      <c r="H7" s="17">
        <f t="shared" si="1"/>
        <v>2183.6012876443956</v>
      </c>
      <c r="I7" s="17">
        <f t="shared" si="2"/>
        <v>45042.398712355607</v>
      </c>
    </row>
    <row r="8" spans="1:9" ht="15.75" customHeight="1" x14ac:dyDescent="0.25">
      <c r="A8" s="5">
        <f t="shared" si="3"/>
        <v>2030</v>
      </c>
      <c r="B8" s="49">
        <v>1875</v>
      </c>
      <c r="C8" s="50">
        <v>6269</v>
      </c>
      <c r="D8" s="50">
        <v>12469.5</v>
      </c>
      <c r="E8" s="50">
        <v>15509</v>
      </c>
      <c r="F8" s="50">
        <v>12685.5</v>
      </c>
      <c r="G8" s="17">
        <f t="shared" si="0"/>
        <v>46933</v>
      </c>
      <c r="H8" s="17">
        <f t="shared" si="1"/>
        <v>2154.8696917543375</v>
      </c>
      <c r="I8" s="17">
        <f t="shared" si="2"/>
        <v>44778.130308245665</v>
      </c>
    </row>
    <row r="9" spans="1:9" ht="15.75" customHeight="1" x14ac:dyDescent="0.25">
      <c r="A9" s="5">
        <f t="shared" si="3"/>
        <v>2031</v>
      </c>
      <c r="B9" s="49">
        <v>1846</v>
      </c>
      <c r="C9" s="50">
        <v>6269</v>
      </c>
      <c r="D9" s="50">
        <v>12081</v>
      </c>
      <c r="E9" s="50">
        <v>15386.5</v>
      </c>
      <c r="F9" s="50">
        <v>12856.5</v>
      </c>
      <c r="G9" s="17">
        <f t="shared" si="0"/>
        <v>46593</v>
      </c>
      <c r="H9" s="17">
        <f t="shared" si="1"/>
        <v>2121.5410405218704</v>
      </c>
      <c r="I9" s="17">
        <f t="shared" si="2"/>
        <v>44471.458959478128</v>
      </c>
    </row>
    <row r="10" spans="1:9" ht="15.75" customHeight="1" x14ac:dyDescent="0.25">
      <c r="A10" s="5">
        <f t="shared" si="3"/>
        <v>2032</v>
      </c>
      <c r="B10" s="49">
        <v>1815</v>
      </c>
      <c r="C10" s="50">
        <v>6262</v>
      </c>
      <c r="D10" s="50">
        <v>11778</v>
      </c>
      <c r="E10" s="50">
        <v>15150.5</v>
      </c>
      <c r="F10" s="50">
        <v>13027</v>
      </c>
      <c r="G10" s="17">
        <f t="shared" si="0"/>
        <v>46217.5</v>
      </c>
      <c r="H10" s="17">
        <f t="shared" si="1"/>
        <v>2085.9138616181986</v>
      </c>
      <c r="I10" s="17">
        <f t="shared" si="2"/>
        <v>44131.586138381805</v>
      </c>
    </row>
    <row r="11" spans="1:9" ht="15.75" customHeight="1" x14ac:dyDescent="0.25">
      <c r="A11" s="5">
        <f t="shared" si="3"/>
        <v>2033</v>
      </c>
      <c r="B11" s="49">
        <v>1795</v>
      </c>
      <c r="C11" s="50">
        <v>6246</v>
      </c>
      <c r="D11" s="50">
        <v>11537</v>
      </c>
      <c r="E11" s="50">
        <v>14837</v>
      </c>
      <c r="F11" s="50">
        <v>13190.5</v>
      </c>
      <c r="G11" s="17">
        <f t="shared" si="0"/>
        <v>45810.5</v>
      </c>
      <c r="H11" s="17">
        <f t="shared" si="1"/>
        <v>2062.9285849061525</v>
      </c>
      <c r="I11" s="17">
        <f t="shared" si="2"/>
        <v>43747.571415093844</v>
      </c>
    </row>
    <row r="12" spans="1:9" ht="15.75" customHeight="1" x14ac:dyDescent="0.25">
      <c r="A12" s="5">
        <f t="shared" si="3"/>
        <v>2034</v>
      </c>
      <c r="B12" s="49">
        <v>1763</v>
      </c>
      <c r="C12" s="50">
        <v>6220</v>
      </c>
      <c r="D12" s="50">
        <v>11318</v>
      </c>
      <c r="E12" s="50">
        <v>14481.5</v>
      </c>
      <c r="F12" s="50">
        <v>13347.5</v>
      </c>
      <c r="G12" s="17">
        <f t="shared" si="0"/>
        <v>45367</v>
      </c>
      <c r="H12" s="17">
        <f t="shared" si="1"/>
        <v>2026.1521421668785</v>
      </c>
      <c r="I12" s="17">
        <f t="shared" si="2"/>
        <v>43340.84785783312</v>
      </c>
    </row>
    <row r="13" spans="1:9" ht="15.75" customHeight="1" x14ac:dyDescent="0.25">
      <c r="A13" s="5">
        <f t="shared" si="3"/>
        <v>2035</v>
      </c>
      <c r="B13" s="49">
        <v>1741</v>
      </c>
      <c r="C13" s="50">
        <v>6181.0000000000009</v>
      </c>
      <c r="D13" s="50">
        <v>11114.5</v>
      </c>
      <c r="E13" s="50">
        <v>14092.5</v>
      </c>
      <c r="F13" s="50">
        <v>13509.5</v>
      </c>
      <c r="G13" s="17">
        <f t="shared" si="0"/>
        <v>44897.5</v>
      </c>
      <c r="H13" s="17">
        <f t="shared" si="1"/>
        <v>2000.8683377836276</v>
      </c>
      <c r="I13" s="17">
        <f t="shared" si="2"/>
        <v>42896.631662216372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2KPHzdMqIO8+OTo3SGIWvbIZ+Ednn7rYML4OocY1l6Sh/2HGhxGBheYdnYpOUxakhJun0wJN2CvN7sTtksN2g==" saltValue="WQwBUeZyRnci/UMP6L/ky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4.3137200000000028E-2</v>
      </c>
    </row>
    <row r="5" spans="1:8" ht="15.75" customHeight="1" x14ac:dyDescent="0.25">
      <c r="B5" s="19" t="s">
        <v>80</v>
      </c>
      <c r="C5" s="101">
        <v>3.935220000000008E-2</v>
      </c>
    </row>
    <row r="6" spans="1:8" ht="15.75" customHeight="1" x14ac:dyDescent="0.25">
      <c r="B6" s="19" t="s">
        <v>81</v>
      </c>
      <c r="C6" s="101">
        <v>0.10518480000000011</v>
      </c>
    </row>
    <row r="7" spans="1:8" ht="15.75" customHeight="1" x14ac:dyDescent="0.25">
      <c r="B7" s="19" t="s">
        <v>82</v>
      </c>
      <c r="C7" s="101">
        <v>0.45285349999999969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0.17140770000000019</v>
      </c>
    </row>
    <row r="10" spans="1:8" ht="15.75" customHeight="1" x14ac:dyDescent="0.25">
      <c r="B10" s="19" t="s">
        <v>85</v>
      </c>
      <c r="C10" s="101">
        <v>0.18806460000000019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88</v>
      </c>
      <c r="C15" s="101">
        <v>0.51381300585893785</v>
      </c>
      <c r="D15" s="101">
        <v>0.51381300585893785</v>
      </c>
      <c r="E15" s="101">
        <v>0.51381300585893785</v>
      </c>
      <c r="F15" s="101">
        <v>0.51381300585893785</v>
      </c>
    </row>
    <row r="16" spans="1:8" ht="15.75" customHeight="1" x14ac:dyDescent="0.25">
      <c r="B16" s="19" t="s">
        <v>89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0.28053606855628938</v>
      </c>
      <c r="D21" s="101">
        <v>0.28053606855628938</v>
      </c>
      <c r="E21" s="101">
        <v>0.28053606855628938</v>
      </c>
      <c r="F21" s="101">
        <v>0.28053606855628938</v>
      </c>
    </row>
    <row r="22" spans="1:8" ht="15.75" customHeight="1" x14ac:dyDescent="0.25">
      <c r="B22" s="19" t="s">
        <v>95</v>
      </c>
      <c r="C22" s="101">
        <v>0.2056509255847726</v>
      </c>
      <c r="D22" s="101">
        <v>0.2056509255847726</v>
      </c>
      <c r="E22" s="101">
        <v>0.2056509255847726</v>
      </c>
      <c r="F22" s="101">
        <v>0.2056509255847726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4.5480066999999999E-2</v>
      </c>
    </row>
    <row r="27" spans="1:8" ht="15.75" customHeight="1" x14ac:dyDescent="0.25">
      <c r="B27" s="19" t="s">
        <v>102</v>
      </c>
      <c r="C27" s="101">
        <v>0.14298022799999999</v>
      </c>
    </row>
    <row r="28" spans="1:8" ht="15.75" customHeight="1" x14ac:dyDescent="0.25">
      <c r="B28" s="19" t="s">
        <v>103</v>
      </c>
      <c r="C28" s="101">
        <v>9.6627131000000019E-2</v>
      </c>
    </row>
    <row r="29" spans="1:8" ht="15.75" customHeight="1" x14ac:dyDescent="0.25">
      <c r="B29" s="19" t="s">
        <v>104</v>
      </c>
      <c r="C29" s="101">
        <v>0.16091661700000001</v>
      </c>
    </row>
    <row r="30" spans="1:8" ht="15.75" customHeight="1" x14ac:dyDescent="0.25">
      <c r="B30" s="19" t="s">
        <v>2</v>
      </c>
      <c r="C30" s="101">
        <v>3.5424285E-2</v>
      </c>
    </row>
    <row r="31" spans="1:8" ht="15.75" customHeight="1" x14ac:dyDescent="0.25">
      <c r="B31" s="19" t="s">
        <v>105</v>
      </c>
      <c r="C31" s="101">
        <v>0.141582982</v>
      </c>
    </row>
    <row r="32" spans="1:8" ht="15.75" customHeight="1" x14ac:dyDescent="0.25">
      <c r="B32" s="19" t="s">
        <v>106</v>
      </c>
      <c r="C32" s="101">
        <v>7.2277499999999981E-2</v>
      </c>
    </row>
    <row r="33" spans="2:3" ht="15.75" customHeight="1" x14ac:dyDescent="0.25">
      <c r="B33" s="19" t="s">
        <v>107</v>
      </c>
      <c r="C33" s="101">
        <v>0.14607978499999999</v>
      </c>
    </row>
    <row r="34" spans="2:3" ht="15.75" customHeight="1" x14ac:dyDescent="0.25">
      <c r="B34" s="19" t="s">
        <v>108</v>
      </c>
      <c r="C34" s="101">
        <v>0.158631406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KY/pq45KjAIW1VFSHlkwwpjrMJoHJminmdNw6rWpfhoMXjwDutncYeZi+ALW5puwU2B6nWyKPxi1BmKK5v+5uA==" saltValue="VrRhWDdNzPoQ51l3bd7KO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114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115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119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120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0.3675873845</v>
      </c>
      <c r="D14" s="54">
        <v>0.34495623779099999</v>
      </c>
      <c r="E14" s="54">
        <v>0.34495623779099999</v>
      </c>
      <c r="F14" s="54">
        <v>0.158397592408</v>
      </c>
      <c r="G14" s="54">
        <v>0.158397592408</v>
      </c>
      <c r="H14" s="45">
        <v>0.26500000000000001</v>
      </c>
      <c r="I14" s="55">
        <v>0.26500000000000001</v>
      </c>
      <c r="J14" s="55">
        <v>0.26500000000000001</v>
      </c>
      <c r="K14" s="55">
        <v>0.26500000000000001</v>
      </c>
      <c r="L14" s="45">
        <v>0.218</v>
      </c>
      <c r="M14" s="55">
        <v>0.218</v>
      </c>
      <c r="N14" s="55">
        <v>0.218</v>
      </c>
      <c r="O14" s="55">
        <v>0.218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0.19878206785298749</v>
      </c>
      <c r="D15" s="52">
        <f t="shared" si="0"/>
        <v>0.18654370949142801</v>
      </c>
      <c r="E15" s="52">
        <f t="shared" si="0"/>
        <v>0.18654370949142801</v>
      </c>
      <c r="F15" s="52">
        <f t="shared" si="0"/>
        <v>8.5657458034436196E-2</v>
      </c>
      <c r="G15" s="52">
        <f t="shared" si="0"/>
        <v>8.5657458034436196E-2</v>
      </c>
      <c r="H15" s="52">
        <f t="shared" si="0"/>
        <v>0.14330537500000001</v>
      </c>
      <c r="I15" s="52">
        <f t="shared" si="0"/>
        <v>0.14330537500000001</v>
      </c>
      <c r="J15" s="52">
        <f t="shared" si="0"/>
        <v>0.14330537500000001</v>
      </c>
      <c r="K15" s="52">
        <f t="shared" si="0"/>
        <v>0.14330537500000001</v>
      </c>
      <c r="L15" s="52">
        <f t="shared" si="0"/>
        <v>0.11788895000000001</v>
      </c>
      <c r="M15" s="52">
        <f t="shared" si="0"/>
        <v>0.11788895000000001</v>
      </c>
      <c r="N15" s="52">
        <f t="shared" si="0"/>
        <v>0.11788895000000001</v>
      </c>
      <c r="O15" s="52">
        <f t="shared" si="0"/>
        <v>0.11788895000000001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b2JN1uh/ybl4aDpQ76NO5vccr9BU1JzZfv/B+ZKq3YwZvh+eO0omhtUEAp3D1IjJR1V6D4NiDzDo6fjEoIJEg==" saltValue="SAXlaWxghG06uWxB263e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0.45713999999999999</v>
      </c>
      <c r="D2" s="53">
        <v>0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</v>
      </c>
      <c r="D3" s="53">
        <v>0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0.54286000000000001</v>
      </c>
      <c r="D4" s="53">
        <v>0</v>
      </c>
      <c r="E4" s="53">
        <v>0.6363337</v>
      </c>
      <c r="F4" s="53">
        <v>0.28694750000000002</v>
      </c>
      <c r="G4" s="53">
        <v>0</v>
      </c>
    </row>
    <row r="5" spans="1:7" x14ac:dyDescent="0.25">
      <c r="B5" s="3" t="s">
        <v>132</v>
      </c>
      <c r="C5" s="52">
        <v>0</v>
      </c>
      <c r="D5" s="52">
        <v>0.12241</v>
      </c>
      <c r="E5" s="52">
        <f>1-SUM(E2:E4)</f>
        <v>0.3636663</v>
      </c>
      <c r="F5" s="52">
        <f>1-SUM(F2:F4)</f>
        <v>0.71305249999999998</v>
      </c>
      <c r="G5" s="52">
        <f>1-SUM(G2:G4)</f>
        <v>1</v>
      </c>
    </row>
  </sheetData>
  <sheetProtection algorithmName="SHA-512" hashValue="KB+A4xmKCKTmtSOvwdkMJKZmgu3ERhxsgs1UNgSguQd9Hbgt7bRxsOimubTZ2qjsvPAWiwxfWKZze7k99yZYvw==" saltValue="XQxTRKUTMxYwDWqgFfhnj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ClIpTWyJYA7pOmME9kh/eLQ0LtPhEVJj7FFsA8xpt1aAlvkQtVCmK0oFoZQJnPo3JFIU0U8PdJLh4IR6M+iKA==" saltValue="g+8gtuheds8t5cgi8NVm4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E5Mdoyn6pqUbhbPvCyoxLSQl+kFpx3olOwwRpgUQMAIktddR+pVdOVnqPrIURdovgDpYKmhFG5G9DhGIfUVqIA==" saltValue="/TYsQjSrml1SwLWk3bw84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UgahDHZ5PAq8oqIQc2ebEMTcy86Gw1j5kg46VgbI9NZDeKPVnQ01wPJodkBYlG5RvZDTe6CjrhHnJvUeStK11w==" saltValue="14jeuZtTj8edl12iSMoAr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wx0bv8ZsT9n9BcwSmXwwRgGRp3GQPhLFBOEhfObOKeM1lKaE+aZpJqYxBarP+87J26jvUEcyrhNlXpG9k8Nj6A==" saltValue="2o8ylPxK8TQGjrlzbYZ2G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154.17725521634259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36.544834772694642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2.960998159368637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0.44994896638918952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1.516970800969268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0.83347689488283194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13.758828229716091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13.758828229716091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13.758828229716091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13.758828229716091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13.758828229716091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13.758828229716091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5.8835597567123799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0.38806249999999998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</v>
      </c>
      <c r="C18" s="98">
        <v>0.95</v>
      </c>
      <c r="D18" s="56">
        <v>36.544834772694642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</v>
      </c>
      <c r="C19" s="98">
        <v>0.95</v>
      </c>
      <c r="D19" s="56">
        <v>36.544834772694642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17.588891180900539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24.134826347321969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4.7459931534262978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0.71505740000000007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8.1464668622096941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5.5181659343385068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206.81375092158379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65.176827828224631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3.8695611109470298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0.87331649999999994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0.26580399999999998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0.15005470000000001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0.96712320000000007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5.754815016497699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8.0553075689406626</v>
      </c>
      <c r="E39" s="56" t="s">
        <v>201</v>
      </c>
      <c r="F39" s="98">
        <v>1</v>
      </c>
      <c r="G39" s="98">
        <v>1</v>
      </c>
    </row>
  </sheetData>
  <sheetProtection algorithmName="SHA-512" hashValue="uVhjkXt/fmeIlUGNKaYtRc0H4f7pEEgGo6kAmBQN15Rzgr9ptqy7BMBBTDu5sJGeMluvAlTh5vo6+zwbBqJMfA==" saltValue="MJ430Rpz6F9C2Cjn35lh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pJOtdb0mvxTLc+m2FMR0IbcOjBujRkYwxs2cHdxywhnGn76Rcefllrqkea7R0pWJhL0lfAUPuHd47+EpWblxDg==" saltValue="GiXmxjlVmXocrk+FPxRa8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t6tRkOHWsqXVww2Liyvnd2vMkxIwBRGb+UYccozS9ErgQ+EDMHJJPyLnq0Ti1iTtvlvmOPWD9BYuz8+vXjjmAw==" saltValue="yOuwtxrwGuziYHEuPbom1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BG14oQ2SE9usbFKo1br6zbJKRC89QhYRs4h20qiLtKlBKOOSjRNB/VBmXa9/Bue5OoF5zVXrGNjm+A0EJ/45Xw==" saltValue="Hto/bK8mVYR9KCjps4/1Z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4.7E-2</v>
      </c>
      <c r="E2" s="60">
        <f>food_insecure</f>
        <v>4.7E-2</v>
      </c>
      <c r="F2" s="60">
        <f>food_insecure</f>
        <v>4.7E-2</v>
      </c>
      <c r="G2" s="60">
        <f>food_insecure</f>
        <v>4.7E-2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4.7E-2</v>
      </c>
      <c r="F5" s="60">
        <f>food_insecure</f>
        <v>4.7E-2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4.7E-2</v>
      </c>
      <c r="F8" s="60">
        <f>food_insecure</f>
        <v>4.7E-2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4.7E-2</v>
      </c>
      <c r="F9" s="60">
        <f>food_insecure</f>
        <v>4.7E-2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4.7E-2</v>
      </c>
      <c r="I15" s="60">
        <f>food_insecure</f>
        <v>4.7E-2</v>
      </c>
      <c r="J15" s="60">
        <f>food_insecure</f>
        <v>4.7E-2</v>
      </c>
      <c r="K15" s="60">
        <f>food_insecure</f>
        <v>4.7E-2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0.27600000000000002</v>
      </c>
      <c r="M24" s="60">
        <f>famplan_unmet_need</f>
        <v>0.27600000000000002</v>
      </c>
      <c r="N24" s="60">
        <f>famplan_unmet_need</f>
        <v>0.27600000000000002</v>
      </c>
      <c r="O24" s="60">
        <f>famplan_unmet_need</f>
        <v>0.27600000000000002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9.3920238388824628E-2</v>
      </c>
      <c r="M25" s="60">
        <f>(1-food_insecure)*(0.49)+food_insecure*(0.7)</f>
        <v>0.49986999999999998</v>
      </c>
      <c r="N25" s="60">
        <f>(1-food_insecure)*(0.49)+food_insecure*(0.7)</f>
        <v>0.49986999999999998</v>
      </c>
      <c r="O25" s="60">
        <f>(1-food_insecure)*(0.49)+food_insecure*(0.7)</f>
        <v>0.49986999999999998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4.0251530738067691E-2</v>
      </c>
      <c r="M26" s="60">
        <f>(1-food_insecure)*(0.21)+food_insecure*(0.3)</f>
        <v>0.21422999999999998</v>
      </c>
      <c r="N26" s="60">
        <f>(1-food_insecure)*(0.21)+food_insecure*(0.3)</f>
        <v>0.21422999999999998</v>
      </c>
      <c r="O26" s="60">
        <f>(1-food_insecure)*(0.21)+food_insecure*(0.3)</f>
        <v>0.21422999999999998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5.3717558876037685E-2</v>
      </c>
      <c r="M27" s="60">
        <f>(1-food_insecure)*(0.3)</f>
        <v>0.28589999999999999</v>
      </c>
      <c r="N27" s="60">
        <f>(1-food_insecure)*(0.3)</f>
        <v>0.28589999999999999</v>
      </c>
      <c r="O27" s="60">
        <f>(1-food_insecure)*(0.3)</f>
        <v>0.28589999999999999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0.81211067199706999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/BVABlLA9BpPOZRjKH0LTEbiJApkSkh1N1S6KlgMtbrPIPAMYtanuFV1MC8YYvyEATwYS2HCbaIavof0cbcg0Q==" saltValue="Fbe15JId964syxkrja8YQ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d2gRbvK/q8ZHPM1qwKC5ZkwDhpzGHEhEV6agEsIXhio6nDEj0/oDYsXk8zh2mWCPlYlS+iQVrp9rLvJGVKHF5A==" saltValue="zUL4CKLTSVO39VmHgFT/X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xjm/4YrIdnbqedt7d/HMkWRb6i1+XgzybNGeJp1+z2u0KGGlP0iqT698zWzNFiJ9RT9ryC4s//li19Yeu70+A==" saltValue="1eUmJ1r/zoiulZs5XKzXQ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mPRVG4iMxPYKPG5pDNX8R4gxI6D3Cdk9oXH0zBM4keEsI7BVWEC4t7vzWzfswj7937wmP7kWeuPzg0DaqyDOw==" saltValue="yPHyVXTC6MquRLpmFEHDp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AM5gPaiFH6LCQu7tahkYS9lHWEDke7XjgrvtD+sLW84nZsaYZdNtrg6dwOw2f4XNeyZXVVq7ITeiFO7YJeQG1g==" saltValue="YULqw/A3oSlfgOoFxAzHe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YOJRLJqA4xnSpFIprDh9vF/NsVnJ0C3mFQ/cSRU8d0shm15LDIFYpCv4APpMRZkTwHvdvS8Nw+gbf7WWKN3dLg==" saltValue="EiS3S2vyrg6HMxcF+RFi/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CPhzCioXLqVxVk4pR4KA1LL6YIjDq3ZztVffJDwB06WomrPzX+v1asZkLZXyC6HS2T2IJ41Vx1JZ2FtPQBlow==" saltValue="CBkiNNIqOuQe4w7XzyMnf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R5HNT4/viBenW5AK26VCzkWLJObVWrPoE7p1sDRK/PC3Bw/kPL8LhukO6ScbWSlcS/kvhmVKlXUXQShXGQplA==" saltValue="/XYwkkJavODTWl0QCDJm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06NEvSPvhOmkOtvvKuAwITtrGdrjSJ8OlAEtwXzGX2+Zu0BYbrh4Az297kIalEU8+obTMw7VdJBNDF05iWZKyQ==" saltValue="H0Zzxz5EmBbvN8RSXNJH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Ko+wSKNWAapqF5dBER8+hDNxDezmG0iyTJq0ZM2JKKw0ubdrM2G9knjub+13U3aN4xarD1uy0VlGKcG4wgTBnw==" saltValue="fwm8vUHU98yCLFDYyQJM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KRJJovtEAb/KsmASd/QCn2eBO1lM18aYSjIGq5EzFKXsutzgWvbJ/04gdQWyee4rAyNHGQZVIStKrYPyapKv/Q==" saltValue="LLYfih/vwn8Cq3YY3xm1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PjzSDdl8tN97A7Rm+80O6TWJZDve0SjsN0IAnXD/H0AZZIv/WA/0wPp2p2Pb7JPPaXxO5x54H13ZweylnvOWQ==" saltValue="dW3Bolfj4OmpZ1Dhj4yg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4mMM3DqF/AkqqvN+nt9jma0CtMaUP+SCzpY//42yWZ6ONNsw3rxiLPeT2500FHUVkLBKcTV1gxWozUD2WEcOA==" saltValue="KzIvRnBlkcjcfGyD9LvP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0.10893279523983856</v>
      </c>
      <c r="G18" s="90">
        <f>MIN(MAX(1-0.89/(1-frac_sam_12_23months+(frac_sam_12_23months*0.89)),0),1)</f>
        <v>0.1092706246891999</v>
      </c>
      <c r="H18" s="90">
        <f>MIN(MAX(1-0.89/(1-frac_sam_24_59months+(frac_sam_24_59months*0.89)),0),1)</f>
        <v>0.10955189959787226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0.10744200236657098</v>
      </c>
      <c r="G20" s="90">
        <f>MIN(MAX(1-0.89/(1-frac_mam_12_23months+(frac_mam_12_23months*0.89)),0),1)</f>
        <v>0.10830952041594089</v>
      </c>
      <c r="H20" s="90">
        <f>MIN(MAX(1-0.89/(1-frac_mam_24_59months+(frac_mam_24_59months*0.89)),0),1)</f>
        <v>0.10870344317217706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9.8921979322001974E-3</v>
      </c>
      <c r="G73" s="90">
        <f>MIN(MAX(1-0.99/(1-frac_sam_12_23months+(frac_sam_12_23months*0.99)),0),1)</f>
        <v>9.9262978557254078E-3</v>
      </c>
      <c r="H73" s="90">
        <f>MIN(MAX(1-0.99/(1-frac_sam_24_59months+(frac_sam_24_59months*0.99)),0),1)</f>
        <v>9.9547072072605491E-3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9.742000201394041E-3</v>
      </c>
      <c r="G75" s="90">
        <f>MIN(MAX(1-0.99/(1-frac_mam_12_23months+(frac_mam_12_23months*0.99)),0),1)</f>
        <v>9.8293472993712383E-3</v>
      </c>
      <c r="H75" s="90">
        <f>MIN(MAX(1-0.99/(1-frac_mam_24_59months+(frac_mam_24_59months*0.99)),0),1)</f>
        <v>9.8690609233905713E-3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0.19825413228318445</v>
      </c>
      <c r="G128" s="90">
        <f>MIN(MAX(1-0.8/(1-frac_sam_12_23months+(frac_sam_12_23months*0.8)),0),1)</f>
        <v>0.19880716698883183</v>
      </c>
      <c r="H128" s="90">
        <f>MIN(MAX(1-0.8/(1-frac_sam_24_59months+(frac_sam_24_59months*0.8)),0),1)</f>
        <v>0.19926735841604293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0.19580955726063765</v>
      </c>
      <c r="G130" s="90">
        <f>MIN(MAX(1-0.8/(1-frac_mam_12_23months+(frac_mam_12_23months*0.8)),0),1)</f>
        <v>0.19723291392568032</v>
      </c>
      <c r="H130" s="90">
        <f>MIN(MAX(1-0.8/(1-frac_mam_24_59months+(frac_mam_24_59months*0.8)),0),1)</f>
        <v>0.19787848158653454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C2gjj4NtVKPpyR27o7MK0PU0OEDVFS8G5z6Z1C9s1AZTs3AuJKqEj7/e/stJF1b+UYg6uGNZrD1qlhntrQGeA==" saltValue="IaaEsZuEcT8UCQQVZZn3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RThcHyPFoJrlzdR5x6N4uWoOVWDjqGKT1RZzefvneJMP3rGwgP7gjQFziPLVqM1UNYp6DimoVeOaWltBKvCTg==" saltValue="ohe8Pevo9X8LUS/2P5GvQ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2024-08-06T09:20:34Z</dcterms:modified>
</cp:coreProperties>
</file>