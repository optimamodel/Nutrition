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8FFDB6D6-D5EB-4B74-9070-6B724C7C2FD3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2" i="2" l="1"/>
  <c r="A24" i="2"/>
  <c r="A25" i="2"/>
  <c r="A36" i="2"/>
  <c r="A26" i="2"/>
  <c r="I39" i="2"/>
  <c r="A31" i="2"/>
  <c r="A34" i="2"/>
  <c r="A40" i="2"/>
  <c r="I2" i="2"/>
  <c r="I6" i="2"/>
  <c r="A19" i="2"/>
  <c r="A35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<sst xmlns="http://schemas.openxmlformats.org/spreadsheetml/2006/main" count="2159" uniqueCount="368">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</sst>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10021</v>
      </c>
    </row>
    <row r="8" spans="1:3" ht="15" customHeight="1" x14ac:dyDescent="0.25">
      <c r="B8" s="5" t="s">
        <v>37</v>
      </c>
      <c r="C8" s="44">
        <v>0.25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0.81712890000000005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0.27600000000000002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0.14169999999999999</v>
      </c>
    </row>
    <row r="24" spans="1:3" ht="15" customHeight="1" x14ac:dyDescent="0.25">
      <c r="B24" s="15" t="s">
        <v>51</v>
      </c>
      <c r="C24" s="45">
        <v>0.49370000000000003</v>
      </c>
    </row>
    <row r="25" spans="1:3" ht="15" customHeight="1" x14ac:dyDescent="0.25">
      <c r="B25" s="15" t="s">
        <v>52</v>
      </c>
      <c r="C25" s="45">
        <v>0.31890000000000002</v>
      </c>
    </row>
    <row r="26" spans="1:3" ht="15" customHeight="1" x14ac:dyDescent="0.25">
      <c r="B26" s="15" t="s">
        <v>53</v>
      </c>
      <c r="C26" s="45">
        <v>4.5699999999999998E-2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0.38027698235904311</v>
      </c>
    </row>
    <row r="30" spans="1:3" ht="14.25" customHeight="1" x14ac:dyDescent="0.25">
      <c r="B30" s="25" t="s">
        <v>56</v>
      </c>
      <c r="C30" s="99">
        <v>5.4660418264349912E-2</v>
      </c>
    </row>
    <row r="31" spans="1:3" ht="14.25" customHeight="1" x14ac:dyDescent="0.25">
      <c r="B31" s="25" t="s">
        <v>57</v>
      </c>
      <c r="C31" s="99">
        <v>6.1967733026657798E-2</v>
      </c>
    </row>
    <row r="32" spans="1:3" ht="14.25" customHeight="1" x14ac:dyDescent="0.25">
      <c r="B32" s="25" t="s">
        <v>58</v>
      </c>
      <c r="C32" s="99">
        <v>0.50309486634994893</v>
      </c>
    </row>
    <row r="33" spans="1:5" ht="13.25" customHeight="1" x14ac:dyDescent="0.25">
      <c r="B33" s="27" t="s">
        <v>59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13.01304</v>
      </c>
    </row>
    <row r="38" spans="1:5" ht="15" customHeight="1" x14ac:dyDescent="0.25">
      <c r="B38" s="11" t="s">
        <v>63</v>
      </c>
      <c r="C38" s="43">
        <v>22.43721</v>
      </c>
      <c r="D38" s="12"/>
      <c r="E38" s="13"/>
    </row>
    <row r="39" spans="1:5" ht="15" customHeight="1" x14ac:dyDescent="0.25">
      <c r="B39" s="11" t="s">
        <v>64</v>
      </c>
      <c r="C39" s="43">
        <v>24.820640000000001</v>
      </c>
      <c r="D39" s="12"/>
      <c r="E39" s="12"/>
    </row>
    <row r="40" spans="1:5" ht="15" customHeight="1" x14ac:dyDescent="0.25">
      <c r="B40" s="11" t="s">
        <v>65</v>
      </c>
      <c r="C40" s="100">
        <v>0.73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11.22475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7.1923999999999998E-3</v>
      </c>
      <c r="D45" s="12"/>
    </row>
    <row r="46" spans="1:5" ht="15.75" customHeight="1" x14ac:dyDescent="0.25">
      <c r="B46" s="11" t="s">
        <v>70</v>
      </c>
      <c r="C46" s="45">
        <v>7.7281600000000006E-2</v>
      </c>
      <c r="D46" s="12"/>
    </row>
    <row r="47" spans="1:5" ht="15.75" customHeight="1" x14ac:dyDescent="0.25">
      <c r="B47" s="11" t="s">
        <v>71</v>
      </c>
      <c r="C47" s="45">
        <v>7.4161099999999994E-2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3.2</v>
      </c>
      <c r="D51" s="12"/>
    </row>
    <row r="52" spans="1:4" ht="15" customHeight="1" x14ac:dyDescent="0.25">
      <c r="B52" s="11" t="s">
        <v>75</v>
      </c>
      <c r="C52" s="100">
        <v>3.2</v>
      </c>
    </row>
    <row r="53" spans="1:4" ht="15.75" customHeight="1" x14ac:dyDescent="0.25">
      <c r="B53" s="11" t="s">
        <v>76</v>
      </c>
      <c r="C53" s="100">
        <v>3.2</v>
      </c>
    </row>
    <row r="54" spans="1:4" ht="15.75" customHeight="1" x14ac:dyDescent="0.25">
      <c r="B54" s="11" t="s">
        <v>77</v>
      </c>
      <c r="C54" s="100">
        <v>3.2</v>
      </c>
    </row>
    <row r="55" spans="1:4" ht="15.75" customHeight="1" x14ac:dyDescent="0.25">
      <c r="B55" s="11" t="s">
        <v>78</v>
      </c>
      <c r="C55" s="100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0.54077500000000001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0.16251143530000001</v>
      </c>
    </row>
    <row r="63" spans="1:4" ht="15.75" customHeight="1" x14ac:dyDescent="0.3">
      <c r="A63" s="4"/>
    </row>
  </sheetData>
  <sheetProtection algorithmName="SHA-512" hashValue="EzmF92yZjgKklkV+2gUZRn93rVc0yDo+iYX+HxcHrq5pITuLv6Flw311E5ag4W9JykUA0rQNoQ1FLZ8iV0+uNw==" saltValue="qMnOZMLLDqAQgf2ui3WK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2015.0000000000002</v>
      </c>
      <c r="C2" s="49">
        <v>6044</v>
      </c>
      <c r="D2" s="49">
        <v>14548.5</v>
      </c>
      <c r="E2" s="49">
        <v>15056.5</v>
      </c>
      <c r="F2" s="49">
        <v>12976.5</v>
      </c>
      <c r="G2" s="17">
        <f t="shared" ref="G2:G13" si="0">C2+D2+E2+F2</f>
        <v>48625.5</v>
      </c>
      <c r="H2" s="17">
        <f t="shared" ref="H2:H13" si="1">(B2 + stillbirth*B2/(1000-stillbirth))/(1-abortion)</f>
        <v>2315.7666287386619</v>
      </c>
      <c r="I2" s="17">
        <f t="shared" ref="I2:I13" si="2">G2-H2</f>
        <v>46309.73337126134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1985</v>
      </c>
      <c r="C3" s="50">
        <v>5966</v>
      </c>
      <c r="D3" s="50">
        <v>14154</v>
      </c>
      <c r="E3" s="50">
        <v>15232.5</v>
      </c>
      <c r="F3" s="50">
        <v>13157.499999999998</v>
      </c>
      <c r="G3" s="17">
        <f t="shared" si="0"/>
        <v>48510</v>
      </c>
      <c r="H3" s="17">
        <f t="shared" si="1"/>
        <v>2281.2887136705922</v>
      </c>
      <c r="I3" s="17">
        <f t="shared" si="2"/>
        <v>46228.71128632941</v>
      </c>
    </row>
    <row r="4" spans="1:9" ht="15.75" customHeight="1" x14ac:dyDescent="0.25">
      <c r="A4" s="5">
        <f t="shared" si="3"/>
        <v>2026</v>
      </c>
      <c r="B4" s="49">
        <v>1959</v>
      </c>
      <c r="C4" s="50">
        <v>5822</v>
      </c>
      <c r="D4" s="50">
        <v>13738.5</v>
      </c>
      <c r="E4" s="50">
        <v>15386</v>
      </c>
      <c r="F4" s="50">
        <v>13344.999999999998</v>
      </c>
      <c r="G4" s="17">
        <f t="shared" si="0"/>
        <v>48291.5</v>
      </c>
      <c r="H4" s="17">
        <f t="shared" si="1"/>
        <v>2251.407853944932</v>
      </c>
      <c r="I4" s="17">
        <f t="shared" si="2"/>
        <v>46040.092146055067</v>
      </c>
    </row>
    <row r="5" spans="1:9" ht="15.75" customHeight="1" x14ac:dyDescent="0.25">
      <c r="A5" s="5">
        <f t="shared" si="3"/>
        <v>2027</v>
      </c>
      <c r="B5" s="49">
        <v>1931</v>
      </c>
      <c r="C5" s="50">
        <v>5662</v>
      </c>
      <c r="D5" s="50">
        <v>13351.5</v>
      </c>
      <c r="E5" s="50">
        <v>15479.500000000002</v>
      </c>
      <c r="F5" s="50">
        <v>13527.5</v>
      </c>
      <c r="G5" s="17">
        <f t="shared" si="0"/>
        <v>48020.5</v>
      </c>
      <c r="H5" s="17">
        <f t="shared" si="1"/>
        <v>2219.228466548067</v>
      </c>
      <c r="I5" s="17">
        <f t="shared" si="2"/>
        <v>45801.271533451931</v>
      </c>
    </row>
    <row r="6" spans="1:9" ht="15.75" customHeight="1" x14ac:dyDescent="0.25">
      <c r="A6" s="5">
        <f t="shared" si="3"/>
        <v>2028</v>
      </c>
      <c r="B6" s="49">
        <v>1907</v>
      </c>
      <c r="C6" s="50">
        <v>5520</v>
      </c>
      <c r="D6" s="50">
        <v>13024</v>
      </c>
      <c r="E6" s="50">
        <v>15499.5</v>
      </c>
      <c r="F6" s="50">
        <v>13722.000000000002</v>
      </c>
      <c r="G6" s="17">
        <f t="shared" si="0"/>
        <v>47765.5</v>
      </c>
      <c r="H6" s="17">
        <f t="shared" si="1"/>
        <v>2191.6461344936115</v>
      </c>
      <c r="I6" s="17">
        <f t="shared" si="2"/>
        <v>45573.853865506389</v>
      </c>
    </row>
    <row r="7" spans="1:9" ht="15.75" customHeight="1" x14ac:dyDescent="0.25">
      <c r="A7" s="5">
        <f t="shared" si="3"/>
        <v>2029</v>
      </c>
      <c r="B7" s="49">
        <v>1883</v>
      </c>
      <c r="C7" s="50">
        <v>5358</v>
      </c>
      <c r="D7" s="50">
        <v>12732.5</v>
      </c>
      <c r="E7" s="50">
        <v>15490</v>
      </c>
      <c r="F7" s="50">
        <v>13930</v>
      </c>
      <c r="G7" s="17">
        <f t="shared" si="0"/>
        <v>47510.5</v>
      </c>
      <c r="H7" s="17">
        <f t="shared" si="1"/>
        <v>2164.063802439156</v>
      </c>
      <c r="I7" s="17">
        <f t="shared" si="2"/>
        <v>45346.436197560841</v>
      </c>
    </row>
    <row r="8" spans="1:9" ht="15.75" customHeight="1" x14ac:dyDescent="0.25">
      <c r="A8" s="5">
        <f t="shared" si="3"/>
        <v>2030</v>
      </c>
      <c r="B8" s="49">
        <v>1857</v>
      </c>
      <c r="C8" s="50">
        <v>5219.5</v>
      </c>
      <c r="D8" s="50">
        <v>12411.999999999998</v>
      </c>
      <c r="E8" s="50">
        <v>15461</v>
      </c>
      <c r="F8" s="50">
        <v>14140</v>
      </c>
      <c r="G8" s="17">
        <f t="shared" si="0"/>
        <v>47232.5</v>
      </c>
      <c r="H8" s="17">
        <f t="shared" si="1"/>
        <v>2134.1829427134962</v>
      </c>
      <c r="I8" s="17">
        <f t="shared" si="2"/>
        <v>45098.317057286506</v>
      </c>
    </row>
    <row r="9" spans="1:9" ht="15.75" customHeight="1" x14ac:dyDescent="0.25">
      <c r="A9" s="5">
        <f t="shared" si="3"/>
        <v>2031</v>
      </c>
      <c r="B9" s="49">
        <v>1831</v>
      </c>
      <c r="C9" s="50">
        <v>5177.5</v>
      </c>
      <c r="D9" s="50">
        <v>12043</v>
      </c>
      <c r="E9" s="50">
        <v>15351.500000000002</v>
      </c>
      <c r="F9" s="50">
        <v>14344.5</v>
      </c>
      <c r="G9" s="17">
        <f t="shared" si="0"/>
        <v>46916.5</v>
      </c>
      <c r="H9" s="17">
        <f t="shared" si="1"/>
        <v>2104.302082987836</v>
      </c>
      <c r="I9" s="17">
        <f t="shared" si="2"/>
        <v>44812.197917012163</v>
      </c>
    </row>
    <row r="10" spans="1:9" ht="15.75" customHeight="1" x14ac:dyDescent="0.25">
      <c r="A10" s="5">
        <f t="shared" si="3"/>
        <v>2032</v>
      </c>
      <c r="B10" s="49">
        <v>1805</v>
      </c>
      <c r="C10" s="50">
        <v>5179</v>
      </c>
      <c r="D10" s="50">
        <v>11708.5</v>
      </c>
      <c r="E10" s="50">
        <v>15128.499999999998</v>
      </c>
      <c r="F10" s="50">
        <v>14534.5</v>
      </c>
      <c r="G10" s="17">
        <f t="shared" si="0"/>
        <v>46550.5</v>
      </c>
      <c r="H10" s="17">
        <f t="shared" si="1"/>
        <v>2074.4212232621758</v>
      </c>
      <c r="I10" s="17">
        <f t="shared" si="2"/>
        <v>44476.078776737821</v>
      </c>
    </row>
    <row r="11" spans="1:9" ht="15.75" customHeight="1" x14ac:dyDescent="0.25">
      <c r="A11" s="5">
        <f t="shared" si="3"/>
        <v>2033</v>
      </c>
      <c r="B11" s="49">
        <v>1774</v>
      </c>
      <c r="C11" s="50">
        <v>5165</v>
      </c>
      <c r="D11" s="50">
        <v>11445.5</v>
      </c>
      <c r="E11" s="50">
        <v>14824.5</v>
      </c>
      <c r="F11" s="50">
        <v>14707.5</v>
      </c>
      <c r="G11" s="17">
        <f t="shared" si="0"/>
        <v>46142.5</v>
      </c>
      <c r="H11" s="17">
        <f t="shared" si="1"/>
        <v>2038.7940443585042</v>
      </c>
      <c r="I11" s="17">
        <f t="shared" si="2"/>
        <v>44103.705955641497</v>
      </c>
    </row>
    <row r="12" spans="1:9" ht="15.75" customHeight="1" x14ac:dyDescent="0.25">
      <c r="A12" s="5">
        <f t="shared" si="3"/>
        <v>2034</v>
      </c>
      <c r="B12" s="49">
        <v>1742</v>
      </c>
      <c r="C12" s="50">
        <v>5141</v>
      </c>
      <c r="D12" s="50">
        <v>11207</v>
      </c>
      <c r="E12" s="50">
        <v>14469.5</v>
      </c>
      <c r="F12" s="50">
        <v>14876.000000000002</v>
      </c>
      <c r="G12" s="17">
        <f t="shared" si="0"/>
        <v>45693.5</v>
      </c>
      <c r="H12" s="17">
        <f t="shared" si="1"/>
        <v>2002.0176016192299</v>
      </c>
      <c r="I12" s="17">
        <f t="shared" si="2"/>
        <v>43691.482398380773</v>
      </c>
    </row>
    <row r="13" spans="1:9" ht="15.75" customHeight="1" x14ac:dyDescent="0.25">
      <c r="A13" s="5">
        <f t="shared" si="3"/>
        <v>2035</v>
      </c>
      <c r="B13" s="49">
        <v>1709</v>
      </c>
      <c r="C13" s="50">
        <v>5111.5</v>
      </c>
      <c r="D13" s="50">
        <v>10983</v>
      </c>
      <c r="E13" s="50">
        <v>14071.5</v>
      </c>
      <c r="F13" s="50">
        <v>15049</v>
      </c>
      <c r="G13" s="17">
        <f t="shared" si="0"/>
        <v>45215</v>
      </c>
      <c r="H13" s="17">
        <f t="shared" si="1"/>
        <v>1964.0918950443538</v>
      </c>
      <c r="I13" s="17">
        <f t="shared" si="2"/>
        <v>43250.908104955648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cLXU+hzOKuRD28IVEvdSAhdGiaXUaZDtyFcNHr7jIPXUAaoOIzTQxxLrNH9kWEkSwfSpZ+Nt0Xe3cB61arc8fg==" saltValue="ysggOV+JZBDdWHtoVszug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101">
        <v>4.3137200000000028E-2</v>
      </c>
    </row>
    <row r="5" spans="1:8" ht="15.75" customHeight="1" x14ac:dyDescent="0.25">
      <c r="B5" s="19" t="s">
        <v>98</v>
      </c>
      <c r="C5" s="101">
        <v>3.935220000000008E-2</v>
      </c>
    </row>
    <row r="6" spans="1:8" ht="15.75" customHeight="1" x14ac:dyDescent="0.25">
      <c r="B6" s="19" t="s">
        <v>99</v>
      </c>
      <c r="C6" s="101">
        <v>0.10518480000000011</v>
      </c>
    </row>
    <row r="7" spans="1:8" ht="15.75" customHeight="1" x14ac:dyDescent="0.25">
      <c r="B7" s="19" t="s">
        <v>100</v>
      </c>
      <c r="C7" s="101">
        <v>0.45285349999999969</v>
      </c>
    </row>
    <row r="8" spans="1:8" ht="15.75" customHeight="1" x14ac:dyDescent="0.25">
      <c r="B8" s="19" t="s">
        <v>101</v>
      </c>
      <c r="C8" s="101">
        <v>0</v>
      </c>
    </row>
    <row r="9" spans="1:8" ht="15.75" customHeight="1" x14ac:dyDescent="0.25">
      <c r="B9" s="19" t="s">
        <v>102</v>
      </c>
      <c r="C9" s="101">
        <v>0.17140770000000019</v>
      </c>
    </row>
    <row r="10" spans="1:8" ht="15.75" customHeight="1" x14ac:dyDescent="0.25">
      <c r="B10" s="19" t="s">
        <v>103</v>
      </c>
      <c r="C10" s="101">
        <v>0.18806460000000019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106</v>
      </c>
      <c r="C15" s="101">
        <v>0.51381300585893785</v>
      </c>
      <c r="D15" s="101">
        <v>0.51381300585893785</v>
      </c>
      <c r="E15" s="101">
        <v>0.51381300585893785</v>
      </c>
      <c r="F15" s="101">
        <v>0.51381300585893785</v>
      </c>
    </row>
    <row r="16" spans="1:8" ht="15.75" customHeight="1" x14ac:dyDescent="0.25">
      <c r="B16" s="19" t="s">
        <v>107</v>
      </c>
      <c r="C16" s="101">
        <v>0</v>
      </c>
      <c r="D16" s="101">
        <v>0</v>
      </c>
      <c r="E16" s="101">
        <v>0</v>
      </c>
      <c r="F16" s="101">
        <v>0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111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112</v>
      </c>
      <c r="C21" s="101">
        <v>0.28053606855628938</v>
      </c>
      <c r="D21" s="101">
        <v>0.28053606855628938</v>
      </c>
      <c r="E21" s="101">
        <v>0.28053606855628938</v>
      </c>
      <c r="F21" s="101">
        <v>0.28053606855628938</v>
      </c>
    </row>
    <row r="22" spans="1:8" ht="15.75" customHeight="1" x14ac:dyDescent="0.25">
      <c r="B22" s="19" t="s">
        <v>113</v>
      </c>
      <c r="C22" s="101">
        <v>0.2056509255847726</v>
      </c>
      <c r="D22" s="101">
        <v>0.2056509255847726</v>
      </c>
      <c r="E22" s="101">
        <v>0.2056509255847726</v>
      </c>
      <c r="F22" s="101">
        <v>0.2056509255847726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4.5480066999999999E-2</v>
      </c>
    </row>
    <row r="27" spans="1:8" ht="15.75" customHeight="1" x14ac:dyDescent="0.25">
      <c r="B27" s="19" t="s">
        <v>120</v>
      </c>
      <c r="C27" s="101">
        <v>0.14298022799999999</v>
      </c>
    </row>
    <row r="28" spans="1:8" ht="15.75" customHeight="1" x14ac:dyDescent="0.25">
      <c r="B28" s="19" t="s">
        <v>121</v>
      </c>
      <c r="C28" s="101">
        <v>9.6627131000000019E-2</v>
      </c>
    </row>
    <row r="29" spans="1:8" ht="15.75" customHeight="1" x14ac:dyDescent="0.25">
      <c r="B29" s="19" t="s">
        <v>122</v>
      </c>
      <c r="C29" s="101">
        <v>0.16091661700000001</v>
      </c>
    </row>
    <row r="30" spans="1:8" ht="15.75" customHeight="1" x14ac:dyDescent="0.25">
      <c r="B30" s="19" t="s">
        <v>2</v>
      </c>
      <c r="C30" s="101">
        <v>3.5424285E-2</v>
      </c>
    </row>
    <row r="31" spans="1:8" ht="15.75" customHeight="1" x14ac:dyDescent="0.25">
      <c r="B31" s="19" t="s">
        <v>123</v>
      </c>
      <c r="C31" s="101">
        <v>0.141582982</v>
      </c>
    </row>
    <row r="32" spans="1:8" ht="15.75" customHeight="1" x14ac:dyDescent="0.25">
      <c r="B32" s="19" t="s">
        <v>124</v>
      </c>
      <c r="C32" s="101">
        <v>7.2277499999999981E-2</v>
      </c>
    </row>
    <row r="33" spans="2:3" ht="15.75" customHeight="1" x14ac:dyDescent="0.25">
      <c r="B33" s="19" t="s">
        <v>125</v>
      </c>
      <c r="C33" s="101">
        <v>0.14607978499999999</v>
      </c>
    </row>
    <row r="34" spans="2:3" ht="15.75" customHeight="1" x14ac:dyDescent="0.25">
      <c r="B34" s="19" t="s">
        <v>126</v>
      </c>
      <c r="C34" s="101">
        <v>0.158631406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xIWx1JBhDXMS98gC5aTGsXK5PSo0kFFvzglmMXr6ma/7s4J7J21hCUQ9OwyLa8tRFBUirzpeYyn05c8nzttdQA==" saltValue="fjtqHxLLkzmJ+jWu5uhhu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132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133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137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138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0.3675873845</v>
      </c>
      <c r="D14" s="54">
        <v>0.34495623779099999</v>
      </c>
      <c r="E14" s="54">
        <v>0.34495623779099999</v>
      </c>
      <c r="F14" s="54">
        <v>0.158397592408</v>
      </c>
      <c r="G14" s="54">
        <v>0.158397592408</v>
      </c>
      <c r="H14" s="45">
        <v>0.26500000000000001</v>
      </c>
      <c r="I14" s="55">
        <v>0.26500000000000001</v>
      </c>
      <c r="J14" s="55">
        <v>0.26500000000000001</v>
      </c>
      <c r="K14" s="55">
        <v>0.26500000000000001</v>
      </c>
      <c r="L14" s="45">
        <v>0.218</v>
      </c>
      <c r="M14" s="55">
        <v>0.218</v>
      </c>
      <c r="N14" s="55">
        <v>0.218</v>
      </c>
      <c r="O14" s="55">
        <v>0.218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0.19878206785298749</v>
      </c>
      <c r="D15" s="52">
        <f t="shared" si="0"/>
        <v>0.18654370949142801</v>
      </c>
      <c r="E15" s="52">
        <f t="shared" si="0"/>
        <v>0.18654370949142801</v>
      </c>
      <c r="F15" s="52">
        <f t="shared" si="0"/>
        <v>8.5657458034436196E-2</v>
      </c>
      <c r="G15" s="52">
        <f t="shared" si="0"/>
        <v>8.5657458034436196E-2</v>
      </c>
      <c r="H15" s="52">
        <f t="shared" si="0"/>
        <v>0.14330537500000001</v>
      </c>
      <c r="I15" s="52">
        <f t="shared" si="0"/>
        <v>0.14330537500000001</v>
      </c>
      <c r="J15" s="52">
        <f t="shared" si="0"/>
        <v>0.14330537500000001</v>
      </c>
      <c r="K15" s="52">
        <f t="shared" si="0"/>
        <v>0.14330537500000001</v>
      </c>
      <c r="L15" s="52">
        <f t="shared" si="0"/>
        <v>0.11788895000000001</v>
      </c>
      <c r="M15" s="52">
        <f t="shared" si="0"/>
        <v>0.11788895000000001</v>
      </c>
      <c r="N15" s="52">
        <f t="shared" si="0"/>
        <v>0.11788895000000001</v>
      </c>
      <c r="O15" s="52">
        <f t="shared" si="0"/>
        <v>0.11788895000000001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zTrkGqBOciMrcvLhOaGhR1tQWqyFXvJBAKu3IbHUf3mwI/8H1wWuBaRLH3Do0MxJ1weO4s+AsFZe7YyXenIBw==" saltValue="sZq5erU9r7FNm9ijqdp/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0.45713999999999999</v>
      </c>
      <c r="D2" s="53">
        <v>0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</v>
      </c>
      <c r="D3" s="53">
        <v>0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0.54286000000000001</v>
      </c>
      <c r="D4" s="53">
        <v>0</v>
      </c>
      <c r="E4" s="53">
        <v>0.6363337</v>
      </c>
      <c r="F4" s="53">
        <v>0.28694750000000002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</v>
      </c>
      <c r="D5" s="52">
        <f t="shared" si="0"/>
        <v>1</v>
      </c>
      <c r="E5" s="52">
        <f>1-SUM(E2:E4)</f>
        <v>0.3636663</v>
      </c>
      <c r="F5" s="52">
        <f>1-SUM(F2:F4)</f>
        <v>0.71305249999999998</v>
      </c>
      <c r="G5" s="52">
        <f>1-SUM(G2:G4)</f>
        <v>1</v>
      </c>
    </row>
  </sheetData>
  <sheetProtection algorithmName="SHA-512" hashValue="MXumd6sDLAvj+RZnuB/UWygGeyJBQra8gzTsaT2V+/T6t0xMXXtAw7SQuK1q9VtSbLRzaOXvIM40Swcm1/siGw==" saltValue="K4p5AnYp4ZhBsmHVFS6gM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9pSl4y5fglRSQeclWc7Qm71AK766llyrU++5PYRkXgNlHWPkgeRYgXLRQyVPZShvQJjP+QGSx+GwCy5ohsVJg==" saltValue="+PFHz08cq+UHXL9+3Kjnd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1303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0.47712000000000004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0.70819999999999994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1.2403142304424781E-2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97785.355119999993</v>
      </c>
      <c r="C22" s="109">
        <v>97621.375239999994</v>
      </c>
      <c r="D22" s="109">
        <v>97480.378989999997</v>
      </c>
      <c r="E22" s="109">
        <v>97160.884229999996</v>
      </c>
      <c r="F22" s="109">
        <v>96605.586200000005</v>
      </c>
      <c r="G22" s="109">
        <v>95898.978959999993</v>
      </c>
      <c r="H22" s="109">
        <v>95064.022330000007</v>
      </c>
      <c r="I22" s="109">
        <v>94089.641829999993</v>
      </c>
      <c r="J22" s="109">
        <v>92670.601439999999</v>
      </c>
      <c r="K22" s="109">
        <v>90664.702680000002</v>
      </c>
      <c r="L22" s="109">
        <v>87987.075030000007</v>
      </c>
      <c r="M22" s="109">
        <v>84237.454559999998</v>
      </c>
      <c r="N22" s="109">
        <v>78813.868730000002</v>
      </c>
      <c r="O22" s="109">
        <v>71639.822899999999</v>
      </c>
    </row>
  </sheetData>
  <sheetProtection algorithmName="SHA-512" hashValue="i0LaJsUMEVq7glBL8wknO1oVosXiqd6+oxLQWlj9OVpgxL1P/S5+wAagLvCf2NG3H31S9c3Q0/ZfJ981J5kN+A==" saltValue="Kv8qz/MHes9owzRozSUdj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2SfjZKQRUHny3OH/WOYbs7HDlyY4DSKWtQR1unVaUsYRak9KhUzJRxD/4/lz3Jj7DyAU4IZE5WDzM4cZbX43TQ==" saltValue="xzUuEEqBL4XtKPyG3gho3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/3OaZobGLzW4c+LP6NFvdgYmyxf35ZlzCSf0J/wyOV4maU7w1Udn2HjnW2eoNBPnq/Flhp+2GARadyo6G5rKXw==" saltValue="u0hxiGPGoGZgmYfLZyPb8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21.195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0.44994896638918952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1.516970800969268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0.32855565777368906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13.758828229716091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13.758828229716091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13.758828229716091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13.758828229716091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</v>
      </c>
      <c r="C14" s="98">
        <v>0.95</v>
      </c>
      <c r="D14" s="56">
        <v>13.758828229716091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13.758828229716091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5.8835597567123799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0.38806249999999998</v>
      </c>
      <c r="C17" s="98">
        <v>0.95</v>
      </c>
      <c r="D17" s="56">
        <v>0.14000000000000001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</v>
      </c>
      <c r="C18" s="98">
        <v>0.95</v>
      </c>
      <c r="D18" s="56">
        <v>21.195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</v>
      </c>
      <c r="C19" s="98">
        <v>0.95</v>
      </c>
      <c r="D19" s="56">
        <v>21.432133639931681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21.195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4.7459931534262978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0.71505740000000007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4.4421306161984946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9.2958524157825622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</v>
      </c>
      <c r="C29" s="98">
        <v>0.95</v>
      </c>
      <c r="D29" s="56">
        <v>206.81375092158379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124.66848615801089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123.05968780269725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1.5917274986535743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0.87331649999999994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0.26580399999999998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0.15005470000000001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0.96712320000000007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</v>
      </c>
      <c r="C38" s="98">
        <v>0.95</v>
      </c>
      <c r="D38" s="56">
        <v>2.4500000000000002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PyrwKtv+0cvBXh019btl/GCefy/29txQPinNFurikXPQcj6u/UwKrcdXymdy71yp+O+gjxAh104bJOgmZ5sEqw==" saltValue="ik9w2a7HAAPBBFtmoamQ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UIgjDw1+kWkYKw4abiwNFut2riGjjhQjy+on/Ps/fnu5w9vAnt9u4OUrBtIbNBnPzQcJqMilR53ceperqnJxQA==" saltValue="tcVeVTZQ1EyJdqrQLkRP7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QJZRidqAJYJkB8wdg+wtFRhm0ucS6NltUen8lScudXgmCR80/cVl9O4u/sCBxr2beudun7rN7Js3cSfHXnslUA==" saltValue="vwvt5maaxHpengHw4tNev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237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GCqncaQ9C7g9pEMTsPzod1Qzh3+tob88/c3WP+m8yD787ffnd1z/xBVj3F9tx0t5o5QrHG2+ytwL7pq7S8eWsg==" saltValue="WPk48def0IO6fHgm13auW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0.25</v>
      </c>
      <c r="F2" s="60">
        <f>food_insecure</f>
        <v>0.25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0.25</v>
      </c>
      <c r="F5" s="60">
        <f>food_insecure</f>
        <v>0.25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0.25</v>
      </c>
      <c r="F8" s="60">
        <f>food_insecure</f>
        <v>0.25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0.25</v>
      </c>
      <c r="F9" s="60">
        <f>food_insecure</f>
        <v>0.25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0.25</v>
      </c>
      <c r="I15" s="60">
        <f t="shared" si="0"/>
        <v>0.25</v>
      </c>
      <c r="J15" s="60">
        <f t="shared" si="0"/>
        <v>0.25</v>
      </c>
      <c r="K15" s="60">
        <f t="shared" si="0"/>
        <v>0.25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0.25</v>
      </c>
      <c r="I16" s="60">
        <f t="shared" si="0"/>
        <v>0.25</v>
      </c>
      <c r="J16" s="60">
        <f t="shared" si="0"/>
        <v>0.25</v>
      </c>
      <c r="K16" s="60">
        <f t="shared" si="0"/>
        <v>0.25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0.27600000000000002</v>
      </c>
      <c r="M24" s="60">
        <f>famplan_unmet_need</f>
        <v>0.27600000000000002</v>
      </c>
      <c r="N24" s="60">
        <f>famplan_unmet_need</f>
        <v>0.27600000000000002</v>
      </c>
      <c r="O24" s="60">
        <f>famplan_unmet_need</f>
        <v>0.27600000000000002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9.9207571749999973E-2</v>
      </c>
      <c r="M25" s="60">
        <f>(1-food_insecure)*(0.49)+food_insecure*(0.7)</f>
        <v>0.54249999999999998</v>
      </c>
      <c r="N25" s="60">
        <f>(1-food_insecure)*(0.49)+food_insecure*(0.7)</f>
        <v>0.54249999999999998</v>
      </c>
      <c r="O25" s="60">
        <f>(1-food_insecure)*(0.49)+food_insecure*(0.7)</f>
        <v>0.54249999999999998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4.251753074999999E-2</v>
      </c>
      <c r="M26" s="60">
        <f>(1-food_insecure)*(0.21)+food_insecure*(0.3)</f>
        <v>0.23249999999999998</v>
      </c>
      <c r="N26" s="60">
        <f>(1-food_insecure)*(0.21)+food_insecure*(0.3)</f>
        <v>0.23249999999999998</v>
      </c>
      <c r="O26" s="60">
        <f>(1-food_insecure)*(0.21)+food_insecure*(0.3)</f>
        <v>0.23249999999999998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4.1145997499999983E-2</v>
      </c>
      <c r="M27" s="60">
        <f>(1-food_insecure)*(0.3)</f>
        <v>0.22499999999999998</v>
      </c>
      <c r="N27" s="60">
        <f>(1-food_insecure)*(0.3)</f>
        <v>0.22499999999999998</v>
      </c>
      <c r="O27" s="60">
        <f>(1-food_insecure)*(0.3)</f>
        <v>0.22499999999999998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0.81712890000000005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Q72uskEgBwgxlpXo0w+XI7G/8XWSY9OcpFJIOEN2NvwAvVFN8PIyzwWp5PeUJ5Uj3oBTbTQU1FxrI5NO6rkkg==" saltValue="XPW4EWS5wFrEqPDpi+MlG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EerUVkegrzPbs0l0HkdSOJgtEfibOfJfqX+kziQ0NdLmKJhCoCL9ewsqmbpdppbPAqN8+BBe5IfSzstwBVfEIw==" saltValue="GsqgTG5iHQfDYKMWTuEKT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lP88Ax7IOSVjLg7Na3Q42q2Z7K3fcVUDy3wbvVFs1nf5PexhWt25k2au/7btJWpSoW/PkdaG4favSHXt0SESA==" saltValue="ojmkqOFDG6T95geuBXd4N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l6o8xv6iflEp5GLSnhhCx/snE9/Zvyhb5sAM/MkhZSASW/bzbUT05DmE19O0pL0lBaV9F2tq8PwE9xuAPygXg==" saltValue="3QPfxt0ZUESk9H6FwuLok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tR7IklIirgiwVCX045TeAmTTbPUPm58kQpnfW90b53kPbYbFaCURif99Q9LMJcMkQc3p8aGg2Kmcv8VD9a7O6g==" saltValue="8TU7BGJyeIzPR15MYXoTP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dNrUERkaf2V7g8h4AKujQ1W0UskgTSOxRpVOm+cp7mJtAQhsPPiLQ5GjWXaUZCm586zvPty92EkknJ3h2x0Adw==" saltValue="NevhP5ajkI8Vrp7w/zvra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g2f113uo/ApzkP00XjQ9EqgdGgbtgy28LyNcGIgl/6fe8vvFFDzU60H3new37t5kgS7WyC2V5gZFrVgB57mAw==" saltValue="BTXWRG8GW7Yn2AbNoKVQ9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y+cpwjbhVwFgcFLTxE0rNwpfJbxmwWaAAIL1A0w7FKlEh73j9exv1iiSBSXuwFAnOlIFLzaOtnLjyAu9DGiBBg==" saltValue="nFAl3Y3TZNLE3fBhlZPr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lkq4SvyDshLbCMOi9FiZpASiSKBcR3YxlGsrEz6Yd2YtfxDetD30f1dAq5+LquPuiUwJkCyfj7mClLGNvshmsA==" saltValue="WHhw9SKwAjg9CTs8muWc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haR2wh5zjh5PPg5H8lVIdO6cIlLN/BmB/AUx257sXMQ/hffZ7MzPKh0BFvLXhLsW3Ecdgd9Lp6rsoO2RenvWQ==" saltValue="zOL61Cojf9Mu4QUXcUjk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MXEeC7YwjF9U9dPD01uz1AVQEQHLFNJEy/cMvPDrH9Mx2I/JE6S17Di1Q5X9rx51WefSHndylYXYaL7sjVTGA==" saltValue="zr/co7orAn29YTImCS3/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2bErVCSCPs2tVr/dtRhWFUFTIcYZbyDqg1BCJzAqg4NcKCTbjuFluBcvJ8ZsEGEs1fOKpqvaCfOcSirK9W3lVw==" saltValue="fUbn+eJsw8y0o2MkpPwu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Gzm/AzKpzAETtd9Xt54py6ear+VMqeaFwZcCrW9b90C8WM1R6dOKakAOC04P6NHs8AuQ0r+eJSsRT3BCpJBlQ==" saltValue="Z+/fCZl4y9HyeexkNgcZy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yLV/hd8Il4bEoWoutvaWhNS/Y+n8si/8q+Sr4pj2Y6fZMCzkAjy5QcC3bjse6RnUbHXnpad2T9VOYB1mQhggEQ==" saltValue="bTDwUAzjoYYPbBrzhhNT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G5YWdqJfWxMNAjsMM01KpEqJ2UMBhVZ/AzTI5zuAmW4vHTfDd9h5FRBGVr0/ySRK/iResqZcHKP8Z+g1qcOh7g==" saltValue="hlrad5h+bh3TR3Oc3IFMI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2025-07-04T04:16:47Z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