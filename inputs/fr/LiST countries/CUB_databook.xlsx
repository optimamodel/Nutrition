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7F7D0960-E0FF-4338-A255-05760B3F9ED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19" i="2" l="1"/>
  <c r="A22" i="2"/>
  <c r="A23" i="2"/>
  <c r="A24" i="2"/>
  <c r="A35" i="2"/>
  <c r="A36" i="2"/>
  <c r="I9" i="2"/>
  <c r="I13" i="2"/>
  <c r="A37" i="2"/>
  <c r="I4" i="2"/>
  <c r="I8" i="2"/>
  <c r="I12" i="2"/>
  <c r="A25" i="2"/>
  <c r="A26" i="2"/>
  <c r="I39" i="2"/>
  <c r="A31" i="2"/>
  <c r="A34" i="2"/>
  <c r="A40" i="2"/>
  <c r="I2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<sst xmlns="http://schemas.openxmlformats.org/spreadsheetml/2006/main" count="2159" uniqueCount="368">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</sst>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474743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0.89261077880859407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0.13220000000000001</v>
      </c>
    </row>
    <row r="24" spans="1:3" ht="15" customHeight="1" x14ac:dyDescent="0.25">
      <c r="B24" s="15" t="s">
        <v>51</v>
      </c>
      <c r="C24" s="45">
        <v>0.57689999999999997</v>
      </c>
    </row>
    <row r="25" spans="1:3" ht="15" customHeight="1" x14ac:dyDescent="0.25">
      <c r="B25" s="15" t="s">
        <v>52</v>
      </c>
      <c r="C25" s="45">
        <v>0.27529999999999999</v>
      </c>
    </row>
    <row r="26" spans="1:3" ht="15" customHeight="1" x14ac:dyDescent="0.25">
      <c r="B26" s="15" t="s">
        <v>53</v>
      </c>
      <c r="C26" s="45">
        <v>1.5599999999999999E-2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0.38027698235904311</v>
      </c>
    </row>
    <row r="30" spans="1:3" ht="14.25" customHeight="1" x14ac:dyDescent="0.25">
      <c r="B30" s="25" t="s">
        <v>56</v>
      </c>
      <c r="C30" s="99">
        <v>5.4660418264349912E-2</v>
      </c>
    </row>
    <row r="31" spans="1:3" ht="14.25" customHeight="1" x14ac:dyDescent="0.25">
      <c r="B31" s="25" t="s">
        <v>57</v>
      </c>
      <c r="C31" s="99">
        <v>6.1967733026657798E-2</v>
      </c>
    </row>
    <row r="32" spans="1:3" ht="14.25" customHeight="1" x14ac:dyDescent="0.25">
      <c r="B32" s="25" t="s">
        <v>58</v>
      </c>
      <c r="C32" s="99">
        <v>0.50309486634994893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2.3803999999999998</v>
      </c>
    </row>
    <row r="38" spans="1:5" ht="15" customHeight="1" x14ac:dyDescent="0.25">
      <c r="B38" s="11" t="s">
        <v>63</v>
      </c>
      <c r="C38" s="43">
        <v>3.9929299999999999</v>
      </c>
      <c r="D38" s="12"/>
      <c r="E38" s="13"/>
    </row>
    <row r="39" spans="1:5" ht="15" customHeight="1" x14ac:dyDescent="0.25">
      <c r="B39" s="11" t="s">
        <v>64</v>
      </c>
      <c r="C39" s="43">
        <v>5.0016400000000001</v>
      </c>
      <c r="D39" s="12"/>
      <c r="E39" s="12"/>
    </row>
    <row r="40" spans="1:5" ht="15" customHeight="1" x14ac:dyDescent="0.25">
      <c r="B40" s="11" t="s">
        <v>65</v>
      </c>
      <c r="C40" s="100">
        <v>0.39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6.9491399999999999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5.0914999999999997E-3</v>
      </c>
      <c r="D45" s="12"/>
    </row>
    <row r="46" spans="1:5" ht="15.75" customHeight="1" x14ac:dyDescent="0.25">
      <c r="B46" s="11" t="s">
        <v>70</v>
      </c>
      <c r="C46" s="45">
        <v>5.4706900000000003E-2</v>
      </c>
      <c r="D46" s="12"/>
    </row>
    <row r="47" spans="1:5" ht="15.75" customHeight="1" x14ac:dyDescent="0.25">
      <c r="B47" s="11" t="s">
        <v>71</v>
      </c>
      <c r="C47" s="45">
        <v>7.6159900000000003E-2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0.57630200000000009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5.26355739999999E-2</v>
      </c>
    </row>
    <row r="63" spans="1:4" ht="15.75" customHeight="1" x14ac:dyDescent="0.3">
      <c r="A63" s="4"/>
    </row>
  </sheetData>
  <sheetProtection algorithmName="SHA-512" hashValue="Em+7CtqphYZfwWbXi3rwfscPT8yuEguy+11g+HlpRuuo+He3pVmG0WNoK/TR8TTBzLGm1aMOEXUYPqoOG9PkmA==" saltValue="URf5gkltDZ6D3cK0vmFp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94650</v>
      </c>
      <c r="C2" s="49">
        <v>283213.5</v>
      </c>
      <c r="D2" s="49">
        <v>648262.99999999988</v>
      </c>
      <c r="E2" s="49">
        <v>733647.5</v>
      </c>
      <c r="F2" s="49">
        <v>662831.5</v>
      </c>
      <c r="G2" s="17">
        <f t="shared" ref="G2:G13" si="0">C2+D2+E2+F2</f>
        <v>2327955.5</v>
      </c>
      <c r="H2" s="17">
        <f t="shared" ref="H2:H13" si="1">(B2 + stillbirth*B2/(1000-stillbirth))/(1-abortion)</f>
        <v>108309.47589312613</v>
      </c>
      <c r="I2" s="17">
        <f t="shared" ref="I2:I13" si="2">G2-H2</f>
        <v>2219646.0241068737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93499</v>
      </c>
      <c r="C3" s="50">
        <v>285518.5</v>
      </c>
      <c r="D3" s="50">
        <v>638312</v>
      </c>
      <c r="E3" s="50">
        <v>722959.00000000012</v>
      </c>
      <c r="F3" s="50">
        <v>650970.5</v>
      </c>
      <c r="G3" s="17">
        <f t="shared" si="0"/>
        <v>2297760</v>
      </c>
      <c r="H3" s="17">
        <f t="shared" si="1"/>
        <v>106992.36858458955</v>
      </c>
      <c r="I3" s="17">
        <f t="shared" si="2"/>
        <v>2190767.6314154104</v>
      </c>
    </row>
    <row r="4" spans="1:9" ht="15.75" customHeight="1" x14ac:dyDescent="0.25">
      <c r="A4" s="5">
        <f t="shared" si="3"/>
        <v>2026</v>
      </c>
      <c r="B4" s="49">
        <v>92314</v>
      </c>
      <c r="C4" s="50">
        <v>291682.5</v>
      </c>
      <c r="D4" s="50">
        <v>625598</v>
      </c>
      <c r="E4" s="50">
        <v>711052.5</v>
      </c>
      <c r="F4" s="50">
        <v>645445.5</v>
      </c>
      <c r="G4" s="17">
        <f t="shared" si="0"/>
        <v>2273778.5</v>
      </c>
      <c r="H4" s="17">
        <f t="shared" si="1"/>
        <v>105636.35454408925</v>
      </c>
      <c r="I4" s="17">
        <f t="shared" si="2"/>
        <v>2168142.1454559108</v>
      </c>
    </row>
    <row r="5" spans="1:9" ht="15.75" customHeight="1" x14ac:dyDescent="0.25">
      <c r="A5" s="5">
        <f t="shared" si="3"/>
        <v>2027</v>
      </c>
      <c r="B5" s="49">
        <v>91231</v>
      </c>
      <c r="C5" s="50">
        <v>297379</v>
      </c>
      <c r="D5" s="50">
        <v>612069.99999999988</v>
      </c>
      <c r="E5" s="50">
        <v>699502</v>
      </c>
      <c r="F5" s="50">
        <v>646451</v>
      </c>
      <c r="G5" s="17">
        <f t="shared" si="0"/>
        <v>2255402</v>
      </c>
      <c r="H5" s="17">
        <f t="shared" si="1"/>
        <v>104397.06069948009</v>
      </c>
      <c r="I5" s="17">
        <f t="shared" si="2"/>
        <v>2151004.9393005199</v>
      </c>
    </row>
    <row r="6" spans="1:9" ht="15.75" customHeight="1" x14ac:dyDescent="0.25">
      <c r="A6" s="5">
        <f t="shared" si="3"/>
        <v>2028</v>
      </c>
      <c r="B6" s="49">
        <v>90374</v>
      </c>
      <c r="C6" s="50">
        <v>299581</v>
      </c>
      <c r="D6" s="50">
        <v>599646.50000000012</v>
      </c>
      <c r="E6" s="50">
        <v>685757.49999999988</v>
      </c>
      <c r="F6" s="50">
        <v>658002.5</v>
      </c>
      <c r="G6" s="17">
        <f t="shared" si="0"/>
        <v>2242987.5</v>
      </c>
      <c r="H6" s="17">
        <f t="shared" si="1"/>
        <v>103416.3821908651</v>
      </c>
      <c r="I6" s="17">
        <f t="shared" si="2"/>
        <v>2139571.117809135</v>
      </c>
    </row>
    <row r="7" spans="1:9" ht="15.75" customHeight="1" x14ac:dyDescent="0.25">
      <c r="A7" s="5">
        <f t="shared" si="3"/>
        <v>2029</v>
      </c>
      <c r="B7" s="49">
        <v>89461</v>
      </c>
      <c r="C7" s="50">
        <v>298380.5</v>
      </c>
      <c r="D7" s="50">
        <v>589367.99999999988</v>
      </c>
      <c r="E7" s="50">
        <v>669342.00000000012</v>
      </c>
      <c r="F7" s="50">
        <v>676914</v>
      </c>
      <c r="G7" s="17">
        <f t="shared" si="0"/>
        <v>2234004.5</v>
      </c>
      <c r="H7" s="17">
        <f t="shared" si="1"/>
        <v>102371.62200607457</v>
      </c>
      <c r="I7" s="17">
        <f t="shared" si="2"/>
        <v>2131632.8779939255</v>
      </c>
    </row>
    <row r="8" spans="1:9" ht="15.75" customHeight="1" x14ac:dyDescent="0.25">
      <c r="A8" s="5">
        <f t="shared" si="3"/>
        <v>2030</v>
      </c>
      <c r="B8" s="49">
        <v>88613</v>
      </c>
      <c r="C8" s="50">
        <v>294865.5</v>
      </c>
      <c r="D8" s="50">
        <v>581161</v>
      </c>
      <c r="E8" s="50">
        <v>653030</v>
      </c>
      <c r="F8" s="50">
        <v>697559</v>
      </c>
      <c r="G8" s="17">
        <f t="shared" si="0"/>
        <v>2226615.5</v>
      </c>
      <c r="H8" s="17">
        <f t="shared" si="1"/>
        <v>101401.2423382735</v>
      </c>
      <c r="I8" s="17">
        <f t="shared" si="2"/>
        <v>2125214.2576617263</v>
      </c>
    </row>
    <row r="9" spans="1:9" ht="15.75" customHeight="1" x14ac:dyDescent="0.25">
      <c r="A9" s="5">
        <f t="shared" si="3"/>
        <v>2031</v>
      </c>
      <c r="B9" s="49">
        <v>87798</v>
      </c>
      <c r="C9" s="50">
        <v>288561.5</v>
      </c>
      <c r="D9" s="50">
        <v>575143.5</v>
      </c>
      <c r="E9" s="50">
        <v>639615</v>
      </c>
      <c r="F9" s="50">
        <v>715069.50000000012</v>
      </c>
      <c r="G9" s="17">
        <f t="shared" si="0"/>
        <v>2218389.5</v>
      </c>
      <c r="H9" s="17">
        <f t="shared" si="1"/>
        <v>100468.62508679017</v>
      </c>
      <c r="I9" s="17">
        <f t="shared" si="2"/>
        <v>2117920.87491321</v>
      </c>
    </row>
    <row r="10" spans="1:9" ht="15.75" customHeight="1" x14ac:dyDescent="0.25">
      <c r="A10" s="5">
        <f t="shared" si="3"/>
        <v>2032</v>
      </c>
      <c r="B10" s="49">
        <v>87028</v>
      </c>
      <c r="C10" s="50">
        <v>280972.5</v>
      </c>
      <c r="D10" s="50">
        <v>569472</v>
      </c>
      <c r="E10" s="50">
        <v>630364.49999999988</v>
      </c>
      <c r="F10" s="50">
        <v>722563</v>
      </c>
      <c r="G10" s="17">
        <f t="shared" si="0"/>
        <v>2203372</v>
      </c>
      <c r="H10" s="17">
        <f t="shared" si="1"/>
        <v>99587.502039376457</v>
      </c>
      <c r="I10" s="17">
        <f t="shared" si="2"/>
        <v>2103784.4979606234</v>
      </c>
    </row>
    <row r="11" spans="1:9" ht="15.75" customHeight="1" x14ac:dyDescent="0.25">
      <c r="A11" s="5">
        <f t="shared" si="3"/>
        <v>2033</v>
      </c>
      <c r="B11" s="49">
        <v>86152</v>
      </c>
      <c r="C11" s="50">
        <v>274823.5</v>
      </c>
      <c r="D11" s="50">
        <v>563856</v>
      </c>
      <c r="E11" s="50">
        <v>623774.5</v>
      </c>
      <c r="F11" s="50">
        <v>720156.99999999988</v>
      </c>
      <c r="G11" s="17">
        <f t="shared" si="0"/>
        <v>2182611</v>
      </c>
      <c r="H11" s="17">
        <f t="shared" si="1"/>
        <v>98585.081533487624</v>
      </c>
      <c r="I11" s="17">
        <f t="shared" si="2"/>
        <v>2084025.9184665123</v>
      </c>
    </row>
    <row r="12" spans="1:9" ht="15.75" customHeight="1" x14ac:dyDescent="0.25">
      <c r="A12" s="5">
        <f t="shared" si="3"/>
        <v>2034</v>
      </c>
      <c r="B12" s="49">
        <v>85328</v>
      </c>
      <c r="C12" s="50">
        <v>268435.5</v>
      </c>
      <c r="D12" s="50">
        <v>560288</v>
      </c>
      <c r="E12" s="50">
        <v>617217.5</v>
      </c>
      <c r="F12" s="50">
        <v>713112</v>
      </c>
      <c r="G12" s="17">
        <f t="shared" si="0"/>
        <v>2159053</v>
      </c>
      <c r="H12" s="17">
        <f t="shared" si="1"/>
        <v>97642.165441190358</v>
      </c>
      <c r="I12" s="17">
        <f t="shared" si="2"/>
        <v>2061410.8345588096</v>
      </c>
    </row>
    <row r="13" spans="1:9" ht="15.75" customHeight="1" x14ac:dyDescent="0.25">
      <c r="A13" s="5">
        <f t="shared" si="3"/>
        <v>2035</v>
      </c>
      <c r="B13" s="49">
        <v>84480</v>
      </c>
      <c r="C13" s="50">
        <v>260136.5</v>
      </c>
      <c r="D13" s="50">
        <v>559729.5</v>
      </c>
      <c r="E13" s="50">
        <v>608153.5</v>
      </c>
      <c r="F13" s="50">
        <v>702971</v>
      </c>
      <c r="G13" s="17">
        <f t="shared" si="0"/>
        <v>2130990.5</v>
      </c>
      <c r="H13" s="17">
        <f t="shared" si="1"/>
        <v>96671.785773389289</v>
      </c>
      <c r="I13" s="17">
        <f t="shared" si="2"/>
        <v>2034318.7142266107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rJDpp8w8EEwzy3TLgdPXNDokEUv1Zrb/PvggCmMaMQU71DWfBKfaAXADn4uT1CdSBRzznzywc6Xyi7FyD+Omg==" saltValue="sNagmSGlY3sJ+F72qy2ts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0.1140902</v>
      </c>
    </row>
    <row r="5" spans="1:8" ht="15.75" customHeight="1" x14ac:dyDescent="0.25">
      <c r="B5" s="19" t="s">
        <v>98</v>
      </c>
      <c r="C5" s="101">
        <v>0.1053632</v>
      </c>
    </row>
    <row r="6" spans="1:8" ht="15.75" customHeight="1" x14ac:dyDescent="0.25">
      <c r="B6" s="19" t="s">
        <v>99</v>
      </c>
      <c r="C6" s="101">
        <v>0.1239611999999998</v>
      </c>
    </row>
    <row r="7" spans="1:8" ht="15.75" customHeight="1" x14ac:dyDescent="0.25">
      <c r="B7" s="19" t="s">
        <v>100</v>
      </c>
      <c r="C7" s="101">
        <v>0.33435490000000018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0.18478</v>
      </c>
    </row>
    <row r="10" spans="1:8" ht="15.75" customHeight="1" x14ac:dyDescent="0.25">
      <c r="B10" s="19" t="s">
        <v>103</v>
      </c>
      <c r="C10" s="101">
        <v>0.13745049999999989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3.8033273814434908E-2</v>
      </c>
      <c r="D14" s="55">
        <v>3.8033273814434908E-2</v>
      </c>
      <c r="E14" s="55">
        <v>3.8033273814434908E-2</v>
      </c>
      <c r="F14" s="55">
        <v>3.8033273814434908E-2</v>
      </c>
    </row>
    <row r="15" spans="1:8" ht="15.75" customHeight="1" x14ac:dyDescent="0.25">
      <c r="B15" s="19" t="s">
        <v>106</v>
      </c>
      <c r="C15" s="101">
        <v>0.281737931796603</v>
      </c>
      <c r="D15" s="101">
        <v>0.281737931796603</v>
      </c>
      <c r="E15" s="101">
        <v>0.281737931796603</v>
      </c>
      <c r="F15" s="101">
        <v>0.281737931796603</v>
      </c>
    </row>
    <row r="16" spans="1:8" ht="15.75" customHeight="1" x14ac:dyDescent="0.25">
      <c r="B16" s="19" t="s">
        <v>107</v>
      </c>
      <c r="C16" s="101">
        <v>9.9135393561145146E-2</v>
      </c>
      <c r="D16" s="101">
        <v>9.9135393561145146E-2</v>
      </c>
      <c r="E16" s="101">
        <v>9.9135393561145146E-2</v>
      </c>
      <c r="F16" s="101">
        <v>9.9135393561145146E-2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9.0770348326293812E-2</v>
      </c>
      <c r="D19" s="101">
        <v>9.0770348326293812E-2</v>
      </c>
      <c r="E19" s="101">
        <v>9.0770348326293812E-2</v>
      </c>
      <c r="F19" s="101">
        <v>9.0770348326293812E-2</v>
      </c>
    </row>
    <row r="20" spans="1:8" ht="15.75" customHeight="1" x14ac:dyDescent="0.25">
      <c r="B20" s="19" t="s">
        <v>111</v>
      </c>
      <c r="C20" s="101">
        <v>0.1381062373663336</v>
      </c>
      <c r="D20" s="101">
        <v>0.1381062373663336</v>
      </c>
      <c r="E20" s="101">
        <v>0.1381062373663336</v>
      </c>
      <c r="F20" s="101">
        <v>0.1381062373663336</v>
      </c>
    </row>
    <row r="21" spans="1:8" ht="15.75" customHeight="1" x14ac:dyDescent="0.25">
      <c r="B21" s="19" t="s">
        <v>112</v>
      </c>
      <c r="C21" s="101">
        <v>0.26144625539141192</v>
      </c>
      <c r="D21" s="101">
        <v>0.26144625539141192</v>
      </c>
      <c r="E21" s="101">
        <v>0.26144625539141192</v>
      </c>
      <c r="F21" s="101">
        <v>0.26144625539141192</v>
      </c>
    </row>
    <row r="22" spans="1:8" ht="15.75" customHeight="1" x14ac:dyDescent="0.25">
      <c r="B22" s="19" t="s">
        <v>113</v>
      </c>
      <c r="C22" s="101">
        <v>9.0770559743777526E-2</v>
      </c>
      <c r="D22" s="101">
        <v>9.0770559743777526E-2</v>
      </c>
      <c r="E22" s="101">
        <v>9.0770559743777526E-2</v>
      </c>
      <c r="F22" s="101">
        <v>9.0770559743777526E-2</v>
      </c>
    </row>
    <row r="23" spans="1:8" ht="15.75" customHeight="1" x14ac:dyDescent="0.25">
      <c r="B23" s="27" t="s">
        <v>59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2.9679839999999999E-2</v>
      </c>
    </row>
    <row r="27" spans="1:8" ht="15.75" customHeight="1" x14ac:dyDescent="0.25">
      <c r="B27" s="19" t="s">
        <v>120</v>
      </c>
      <c r="C27" s="101">
        <v>2.1739139000000001E-2</v>
      </c>
    </row>
    <row r="28" spans="1:8" ht="15.75" customHeight="1" x14ac:dyDescent="0.25">
      <c r="B28" s="19" t="s">
        <v>121</v>
      </c>
      <c r="C28" s="101">
        <v>0.105935959</v>
      </c>
    </row>
    <row r="29" spans="1:8" ht="15.75" customHeight="1" x14ac:dyDescent="0.25">
      <c r="B29" s="19" t="s">
        <v>122</v>
      </c>
      <c r="C29" s="101">
        <v>0.11928900100000001</v>
      </c>
    </row>
    <row r="30" spans="1:8" ht="15.75" customHeight="1" x14ac:dyDescent="0.25">
      <c r="B30" s="19" t="s">
        <v>2</v>
      </c>
      <c r="C30" s="101">
        <v>5.9336512000000001E-2</v>
      </c>
    </row>
    <row r="31" spans="1:8" ht="15.75" customHeight="1" x14ac:dyDescent="0.25">
      <c r="B31" s="19" t="s">
        <v>123</v>
      </c>
      <c r="C31" s="101">
        <v>0.21511585599999999</v>
      </c>
    </row>
    <row r="32" spans="1:8" ht="15.75" customHeight="1" x14ac:dyDescent="0.25">
      <c r="B32" s="19" t="s">
        <v>124</v>
      </c>
      <c r="C32" s="101">
        <v>9.6009434000000005E-2</v>
      </c>
    </row>
    <row r="33" spans="2:3" ht="15.75" customHeight="1" x14ac:dyDescent="0.25">
      <c r="B33" s="19" t="s">
        <v>125</v>
      </c>
      <c r="C33" s="101">
        <v>7.9330116000000006E-2</v>
      </c>
    </row>
    <row r="34" spans="2:3" ht="15.75" customHeight="1" x14ac:dyDescent="0.25">
      <c r="B34" s="19" t="s">
        <v>126</v>
      </c>
      <c r="C34" s="101">
        <v>0.27356414400000001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W7RK55VBALdRsScmRkxK3cmKLw45Vf8S2JxdT0nDh7jOgwHIailjiaIszxuO9k9WM/q4kaDhP97qBPa2pDUQ+w==" saltValue="qqHf76pXgg4BGlduUZwmp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0.68485481924739933</v>
      </c>
      <c r="D2" s="52">
        <f>IFERROR(1-_xlfn.NORM.DIST(_xlfn.NORM.INV(SUM(D4:D5), 0, 1) + 1, 0, 1, TRUE), "")</f>
        <v>0.68485481924739933</v>
      </c>
      <c r="E2" s="52">
        <f>IFERROR(1-_xlfn.NORM.DIST(_xlfn.NORM.INV(SUM(E4:E5), 0, 1) + 1, 0, 1, TRUE), "")</f>
        <v>0.81455925434745047</v>
      </c>
      <c r="F2" s="52">
        <f>IFERROR(1-_xlfn.NORM.DIST(_xlfn.NORM.INV(SUM(F4:F5), 0, 1) + 1, 0, 1, TRUE), "")</f>
        <v>0.65889496102337786</v>
      </c>
      <c r="G2" s="52">
        <f>IFERROR(1-_xlfn.NORM.DIST(_xlfn.NORM.INV(SUM(G4:G5), 0, 1) + 1, 0, 1, TRUE), "")</f>
        <v>0.67024705976319832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0.24588428075260066</v>
      </c>
      <c r="D3" s="52">
        <f>IFERROR(_xlfn.NORM.DIST(_xlfn.NORM.INV(SUM(D4:D5), 0, 1) + 1, 0, 1, TRUE) - SUM(D4:D5), "")</f>
        <v>0.24588428075260066</v>
      </c>
      <c r="E3" s="52">
        <f>IFERROR(_xlfn.NORM.DIST(_xlfn.NORM.INV(SUM(E4:E5), 0, 1) + 1, 0, 1, TRUE) - SUM(E4:E5), "")</f>
        <v>0.15638284565254959</v>
      </c>
      <c r="F3" s="52">
        <f>IFERROR(_xlfn.NORM.DIST(_xlfn.NORM.INV(SUM(F4:F5), 0, 1) + 1, 0, 1, TRUE) - SUM(F4:F5), "")</f>
        <v>0.26175383897662213</v>
      </c>
      <c r="G3" s="52">
        <f>IFERROR(_xlfn.NORM.DIST(_xlfn.NORM.INV(SUM(G4:G5), 0, 1) + 1, 0, 1, TRUE) - SUM(G4:G5), "")</f>
        <v>0.25490344023680167</v>
      </c>
    </row>
    <row r="4" spans="1:15" ht="15.75" customHeight="1" x14ac:dyDescent="0.25">
      <c r="B4" s="5" t="s">
        <v>132</v>
      </c>
      <c r="C4" s="45">
        <v>6.6390299999999999E-2</v>
      </c>
      <c r="D4" s="53">
        <v>6.6390299999999999E-2</v>
      </c>
      <c r="E4" s="53">
        <v>2.9057900000000001E-2</v>
      </c>
      <c r="F4" s="53">
        <v>7.5866900000000001E-2</v>
      </c>
      <c r="G4" s="53">
        <v>7.2968000000000005E-2</v>
      </c>
    </row>
    <row r="5" spans="1:15" ht="15.75" customHeight="1" x14ac:dyDescent="0.25">
      <c r="B5" s="5" t="s">
        <v>133</v>
      </c>
      <c r="C5" s="45">
        <v>2.8706000000000001E-3</v>
      </c>
      <c r="D5" s="53">
        <v>2.8706000000000001E-3</v>
      </c>
      <c r="E5" s="53">
        <v>0</v>
      </c>
      <c r="F5" s="53">
        <v>3.4843000000000001E-3</v>
      </c>
      <c r="G5" s="53">
        <v>1.8814999999999999E-3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0.75896258203655209</v>
      </c>
      <c r="D8" s="52">
        <f>IFERROR(1-_xlfn.NORM.DIST(_xlfn.NORM.INV(SUM(D10:D11), 0, 1) + 1, 0, 1, TRUE), "")</f>
        <v>0.75896258203655209</v>
      </c>
      <c r="E8" s="52">
        <f>IFERROR(1-_xlfn.NORM.DIST(_xlfn.NORM.INV(SUM(E10:E11), 0, 1) + 1, 0, 1, TRUE), "")</f>
        <v>0.83791117953739236</v>
      </c>
      <c r="F8" s="52">
        <f>IFERROR(1-_xlfn.NORM.DIST(_xlfn.NORM.INV(SUM(F10:F11), 0, 1) + 1, 0, 1, TRUE), "")</f>
        <v>0.853063761053518</v>
      </c>
      <c r="G8" s="52">
        <f>IFERROR(1-_xlfn.NORM.DIST(_xlfn.NORM.INV(SUM(G10:G11), 0, 1) + 1, 0, 1, TRUE), "")</f>
        <v>0.86964864494147098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0.19675051796344789</v>
      </c>
      <c r="D9" s="52">
        <f>IFERROR(_xlfn.NORM.DIST(_xlfn.NORM.INV(SUM(D10:D11), 0, 1) + 1, 0, 1, TRUE) - SUM(D10:D11), "")</f>
        <v>0.19675051796344789</v>
      </c>
      <c r="E9" s="52">
        <f>IFERROR(_xlfn.NORM.DIST(_xlfn.NORM.INV(SUM(E10:E11), 0, 1) + 1, 0, 1, TRUE) - SUM(E10:E11), "")</f>
        <v>0.13856712046260766</v>
      </c>
      <c r="F9" s="52">
        <f>IFERROR(_xlfn.NORM.DIST(_xlfn.NORM.INV(SUM(F10:F11), 0, 1) + 1, 0, 1, TRUE) - SUM(F10:F11), "")</f>
        <v>0.12673763894648199</v>
      </c>
      <c r="G9" s="52">
        <f>IFERROR(_xlfn.NORM.DIST(_xlfn.NORM.INV(SUM(G10:G11), 0, 1) + 1, 0, 1, TRUE) - SUM(G10:G11), "")</f>
        <v>0.11354685505852902</v>
      </c>
    </row>
    <row r="10" spans="1:15" ht="15.75" customHeight="1" x14ac:dyDescent="0.25">
      <c r="B10" s="5" t="s">
        <v>137</v>
      </c>
      <c r="C10" s="45">
        <v>2.0957400000000001E-2</v>
      </c>
      <c r="D10" s="53">
        <v>2.0957400000000001E-2</v>
      </c>
      <c r="E10" s="53">
        <v>1.6555899999999998E-2</v>
      </c>
      <c r="F10" s="53">
        <v>1.7121999999999998E-2</v>
      </c>
      <c r="G10" s="53">
        <v>1.17929E-2</v>
      </c>
    </row>
    <row r="11" spans="1:15" ht="15.75" customHeight="1" x14ac:dyDescent="0.25">
      <c r="B11" s="5" t="s">
        <v>138</v>
      </c>
      <c r="C11" s="45">
        <v>2.33295E-2</v>
      </c>
      <c r="D11" s="53">
        <v>2.33295E-2</v>
      </c>
      <c r="E11" s="53">
        <v>6.9657999999999994E-3</v>
      </c>
      <c r="F11" s="53">
        <v>3.0766000000000001E-3</v>
      </c>
      <c r="G11" s="53">
        <v>5.0116000000000006E-3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0.34035478875000003</v>
      </c>
      <c r="D14" s="54">
        <v>0.31335189346999998</v>
      </c>
      <c r="E14" s="54">
        <v>0.31335189346999998</v>
      </c>
      <c r="F14" s="54">
        <v>0.19796945741300001</v>
      </c>
      <c r="G14" s="54">
        <v>0.19796945741300001</v>
      </c>
      <c r="H14" s="45">
        <v>0.28499999999999998</v>
      </c>
      <c r="I14" s="55">
        <v>0.28499999999999998</v>
      </c>
      <c r="J14" s="55">
        <v>0.28499999999999998</v>
      </c>
      <c r="K14" s="55">
        <v>0.28499999999999998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0.19614714546620254</v>
      </c>
      <c r="D15" s="52">
        <f t="shared" si="0"/>
        <v>0.18058532291054796</v>
      </c>
      <c r="E15" s="52">
        <f t="shared" si="0"/>
        <v>0.18058532291054796</v>
      </c>
      <c r="F15" s="52">
        <f t="shared" si="0"/>
        <v>0.11409019424602675</v>
      </c>
      <c r="G15" s="52">
        <f t="shared" si="0"/>
        <v>0.11409019424602675</v>
      </c>
      <c r="H15" s="52">
        <f t="shared" si="0"/>
        <v>0.16424607000000002</v>
      </c>
      <c r="I15" s="52">
        <f t="shared" si="0"/>
        <v>0.16424607000000002</v>
      </c>
      <c r="J15" s="52">
        <f t="shared" si="0"/>
        <v>0.16424607000000002</v>
      </c>
      <c r="K15" s="52">
        <f t="shared" si="0"/>
        <v>0.16424607000000002</v>
      </c>
      <c r="L15" s="52">
        <f t="shared" si="0"/>
        <v>0.14407550000000002</v>
      </c>
      <c r="M15" s="52">
        <f t="shared" si="0"/>
        <v>0.14407550000000002</v>
      </c>
      <c r="N15" s="52">
        <f t="shared" si="0"/>
        <v>0.14407550000000002</v>
      </c>
      <c r="O15" s="52">
        <f t="shared" si="0"/>
        <v>0.14407550000000002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LdkNY22jxc5Zm1FKfBqHd6E81IazueJX2LCUp2WRfjAOUJvzsF2SGTV59E0DU3oRlO8arOdgInLBujgxLd5nQ==" saltValue="Mg3TXosARX6rEAu8veiK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0.85080100000000003</v>
      </c>
      <c r="D2" s="53">
        <v>0.36791390000000002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0.1190153</v>
      </c>
      <c r="D3" s="53">
        <v>0.13744600000000001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3.0183700000000001E-2</v>
      </c>
      <c r="D4" s="53">
        <v>0.3566627</v>
      </c>
      <c r="E4" s="53">
        <v>0.53054849999999998</v>
      </c>
      <c r="F4" s="53">
        <v>0.24713470000000001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0.13797740000000003</v>
      </c>
      <c r="E5" s="52">
        <f>1-SUM(E2:E4)</f>
        <v>0.46945150000000002</v>
      </c>
      <c r="F5" s="52">
        <f>1-SUM(F2:F4)</f>
        <v>0.75286529999999996</v>
      </c>
      <c r="G5" s="52">
        <f>1-SUM(G2:G4)</f>
        <v>1</v>
      </c>
    </row>
  </sheetData>
  <sheetProtection algorithmName="SHA-512" hashValue="AaBjbUNgEoN7htfdkkOVrOTJ8P68VBzG0ugowmFElDUHkRWZj8bPMd0UjC3lL90SZar819b8A7GxDI1XqQ+R9w==" saltValue="HVRGxv++ibI8+mWI7ujv7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GtA06Ta1ujl0/TgKDnjGwUP+yAw9QWMrV0YE5lOnLiGiIurhtlGZfkCq4U+KDYIrVl1Np6RO3LeZZntgGkNOg==" saltValue="w7CwvdmB9jnWctLLIzotX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9499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0.41922999999999999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0.51119999999999999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1.0712240838871987E-2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99458.483229999998</v>
      </c>
      <c r="C22" s="109">
        <v>99367.002160000004</v>
      </c>
      <c r="D22" s="109">
        <v>99260.373470000006</v>
      </c>
      <c r="E22" s="109">
        <v>99067.585720000003</v>
      </c>
      <c r="F22" s="109">
        <v>98813.584170000002</v>
      </c>
      <c r="G22" s="109">
        <v>98472.610960000005</v>
      </c>
      <c r="H22" s="109">
        <v>98046.481</v>
      </c>
      <c r="I22" s="109">
        <v>97404.418040000004</v>
      </c>
      <c r="J22" s="109">
        <v>96507.249129999997</v>
      </c>
      <c r="K22" s="109">
        <v>95182.85626</v>
      </c>
      <c r="L22" s="109">
        <v>93093.032179999995</v>
      </c>
      <c r="M22" s="109">
        <v>89401.177710000004</v>
      </c>
      <c r="N22" s="109">
        <v>84152.425000000003</v>
      </c>
      <c r="O22" s="109">
        <v>76525.274690000006</v>
      </c>
    </row>
  </sheetData>
  <sheetProtection algorithmName="SHA-512" hashValue="PGs3OFX5T6OQ8bVL2+DpTaUakzn7So98gaIQsOeeitAapLcTpo/vMG8XnxFV37g4/vcJ+D6CpnXbzIrewM2aJw==" saltValue="5grZ686uzTo0+FuqnD3e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WDCecLML0pRiEn6rZ+Yr9KA4PP6oi8pkM+0SaIlQYer//nyL+w49oNlKdujX0RsVnuC+3H4ZcF/EQ++pbs76UQ==" saltValue="XLPmD3x5xSN+HSA6HHe8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CsrV/fDn4u4L8pT63NMmH7b1WD5iYv4tVYKqqAeAAPXVpueC1r5Wc9X/p2miHPHnj9Y6ZgMui87GnTz7OcENGg==" saltValue="54NAB1BYvWg0d/kCoXbdS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13.57242575163446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13.57242575163446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13.57242575163446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13.57242575163446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13.57242575163446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13.57242575163446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0.50578611111111105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0.36791390000000002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0.36791390000000002</v>
      </c>
      <c r="C19" s="98">
        <v>0.95</v>
      </c>
      <c r="D19" s="56">
        <v>18.465600261324941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4.6294916046252768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0.918145914718136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0.35173209999999999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0.47701749999999998</v>
      </c>
      <c r="C29" s="98">
        <v>0.95</v>
      </c>
      <c r="D29" s="56">
        <v>170.67126179613081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0.93379220000000007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0.87967550000000005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8.3532200000000001E-2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0.79862369999999994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0.16102330000000001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XZ6K4R65ZGq5CejWTDB6QyNn4t5ZrqGm5WDEG2SV1Ko/NVq6LakAfKe4PGG6AdOg+Qj30MpLv5igeAlYj2KcQQ==" saltValue="7C6rGvCHt/8eXe9rA4+j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4aa+tFRaKdT164sFZxcKiyvmPBMWTfEjxnD93XHW8kjbZkZwkW8GS+tR9PqHbgaJ9lzWcQZKYXInZU3ydc8x2w==" saltValue="e78I8eCZA9wn6nZ21lC9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JiEaU7vtLz9kxwh7UFhp/13WD4RqN3LOcl0iNRuL35g4c7Bf4T3d7e2zZWInzxro2vRQbrFtwccVJUTUkl+1Q==" saltValue="M5uqd3j50wcab8eygZ0L0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5.4489240000000001E-2</v>
      </c>
      <c r="C3" s="21">
        <f>frac_mam_1_5months * 2.6</f>
        <v>5.4489240000000001E-2</v>
      </c>
      <c r="D3" s="21">
        <f>frac_mam_6_11months * 2.6</f>
        <v>4.3045339999999994E-2</v>
      </c>
      <c r="E3" s="21">
        <f>frac_mam_12_23months * 2.6</f>
        <v>4.45172E-2</v>
      </c>
      <c r="F3" s="21">
        <f>frac_mam_24_59months * 2.6</f>
        <v>3.0661540000000001E-2</v>
      </c>
    </row>
    <row r="4" spans="1:6" ht="15.75" customHeight="1" x14ac:dyDescent="0.25">
      <c r="A4" s="3" t="s">
        <v>237</v>
      </c>
      <c r="B4" s="21">
        <f>frac_sam_1month * 2.6</f>
        <v>6.0656700000000001E-2</v>
      </c>
      <c r="C4" s="21">
        <f>frac_sam_1_5months * 2.6</f>
        <v>6.0656700000000001E-2</v>
      </c>
      <c r="D4" s="21">
        <f>frac_sam_6_11months * 2.6</f>
        <v>1.8111079999999998E-2</v>
      </c>
      <c r="E4" s="21">
        <f>frac_sam_12_23months * 2.6</f>
        <v>7.99916E-3</v>
      </c>
      <c r="F4" s="21">
        <f>frac_sam_24_59months * 2.6</f>
        <v>1.3030160000000002E-2</v>
      </c>
    </row>
  </sheetData>
  <sheetProtection algorithmName="SHA-512" hashValue="aZ8dPI/FQl+lvjr0VGXdxO4Kv0sLGxfIvYXUhSFjyVAfd41g+wD1MfV9l3hdXfOjvW675KJ7W5oOhkEarfdkvg==" saltValue="ZXSO799ln42hWIZM5ud+b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5.2958994430541827E-2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2.2696711898803641E-2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3.1733514862060448E-2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0.89261077880859407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v7MBWEhLcW/oKDY2uMUWDcsQ3lBIgJtI0RZsMLDJ9B8hjlpn6Dgmy2ChnQkvD4sUhWWKh5ysWtXjVFddKM8vw==" saltValue="x9drDpRqMoiEK4yEIV2Tf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o+cJN4YbJIqOh27hiUk087YmY8a4JfZQkNClxL/MYobawHrYvlHy0Ahz5VCNKVg6VA35qW4FzaIzkYj2C1cT4A==" saltValue="2ZJn/GhGQ9I1dr94hJ0H5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H6/3d1C4aYGeIjF1kAk14HL7fcPNbgfE5/Icb6qx3sfKMRBSalSQRkIlt/3bzBodJQZWVc38lLe5EsKSBJU1A==" saltValue="XhfeDb2vbvaequ8vguJh6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79LFXq9yiOv0swJK9UOgx039x9DzvZdlxkhv4B24JTMiQURcxo/mFESulZs17OdN1QF61ePCuk2+/iy19FUlA==" saltValue="ERxvrzvq8DoWatstycmPU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7fnrqN/rYHQZ0T+eqc2T+nHihXYAQ0u9/OcW2B2lSm1P6mdrl6hiGNYcdi4hO9YSkOg/kAmqtD1isU4GLa8R3w==" saltValue="5Tg5yRvAyMsPYAUx6W2LQ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dz8+n3dkWaOsxwn4t/WlnecRU4Eio8ZqYr5VAN8LMqdbbl7d+QYKusTV8W8XIsrfd0qEaMuOSCGTikWwkDKaDg==" saltValue="uACUsnzE7IPrC5TWy50M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0rGknFNt1J0OPCB+ZoYZ2MSmQQhhOB/faJLHcAm8aRKYCiKzKDXB7/OAkK0LboFznxcJpStNTLrdEujXYS/hjA==" saltValue="YtCpPruPjlluwyySvuJF3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5ZTCDPCY+uIGSm/szUSpGfmp6rGe1muJxHzqVua35IyyKJWODscXNLPG4oX9sEEcbP6w2eZg7JEtS9WXzknckw==" saltValue="tfLraJv2C1FEo1Bxx09w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awp5getSNB2z45pPP4SwXGezyrIZt7iSPizLsmOXbwbIB2ES9kmFWxQM2ayCrUermdmmU1rt1zZ46YXE7vxLg==" saltValue="i1BFZIEqPPya5RN8TF7P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FwjbmCQSf49hR65waTNv1rySof0vtUcsx3B4+VWQLjbcoCYjed6cHXv4rIqyiuXiIBDOOPP6BqFqfNTE3J3uw==" saltValue="2ZtejiDUBKm2JAPUEURg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g5C7VFg6nTBLB9/QC66MO7hz1t7xge3C6EGNpBRK/aBgOdP/CbaKESr+mobxZ3vRYl7Z9sjNWHHf9wKBAxrHg==" saltValue="7uxisU3Khm4JW9QwsIyx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GtmuRqP5gDil3ZR2i4xNYF7QvNT76cwcojv6vlweOrv8SHFKa2TXR5vjxga+BiCUu+AveKY7tHc/PgdAxS68w==" saltValue="q6pLLr9DEUAcjFG86ldW8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+skj3anuFe1CBvdgncSdsQAFyY1SXN9vYtSlISPvQC60ngGSK/pOjte3ZrokbQU+RvAF2O5cyDyMU2yWrQdDQ==" saltValue="GsvLk2aGO0e09oVCK4Tj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YWVGrfckbTkHcqZdIGdtzhkaOHGJPSwM4/EgTsMLAsV+OCHDeF4xTb2ABKH72ygZRTtNt4PvU0ASz+4EzGvOpw==" saltValue="s+WUgkogQ0YhE9z6QRqo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tjROEbTt8cTzC2N3QKC/UYXkkJc/EekkgXwiZuaANFvUj1lWgeOPkjacf0nRxv0xnsoWHDm2/2Hfhpa9MlxRqA==" saltValue="xAOTbSWTMrf3lvL2S0Fgz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