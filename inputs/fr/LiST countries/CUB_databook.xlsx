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EF4A0E68-18E9-4218-B89C-D277391A0010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6" i="2"/>
  <c r="A31" i="2"/>
  <c r="A25" i="2"/>
  <c r="A24" i="2"/>
  <c r="A23" i="2"/>
  <c r="A22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12" i="2" l="1"/>
  <c r="A37" i="2"/>
  <c r="I38" i="2"/>
  <c r="A26" i="2"/>
  <c r="I39" i="2"/>
  <c r="A34" i="2"/>
  <c r="A40" i="2"/>
  <c r="I2" i="2"/>
  <c r="I6" i="2"/>
  <c r="A19" i="2"/>
  <c r="A35" i="2"/>
  <c r="I3" i="2"/>
  <c r="I7" i="2"/>
  <c r="I1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<sst xmlns="http://schemas.openxmlformats.org/spreadsheetml/2006/main" count="2169" uniqueCount="369">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</sst>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474743</v>
      </c>
    </row>
    <row r="8" spans="1:3" ht="15" customHeight="1" x14ac:dyDescent="0.25">
      <c r="B8" s="5" t="s">
        <v>37</v>
      </c>
      <c r="C8" s="44">
        <v>1.4999999999999999E-2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0.89261077880859407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0.11600000000000001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0.13220000000000001</v>
      </c>
    </row>
    <row r="24" spans="1:3" ht="15" customHeight="1" x14ac:dyDescent="0.25">
      <c r="B24" s="15" t="s">
        <v>51</v>
      </c>
      <c r="C24" s="45">
        <v>0.57689999999999997</v>
      </c>
    </row>
    <row r="25" spans="1:3" ht="15" customHeight="1" x14ac:dyDescent="0.25">
      <c r="B25" s="15" t="s">
        <v>52</v>
      </c>
      <c r="C25" s="45">
        <v>0.27529999999999999</v>
      </c>
    </row>
    <row r="26" spans="1:3" ht="15" customHeight="1" x14ac:dyDescent="0.25">
      <c r="B26" s="15" t="s">
        <v>53</v>
      </c>
      <c r="C26" s="45">
        <v>1.5599999999999999E-2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0.38027698235904311</v>
      </c>
    </row>
    <row r="30" spans="1:3" ht="14.25" customHeight="1" x14ac:dyDescent="0.25">
      <c r="B30" s="25" t="s">
        <v>56</v>
      </c>
      <c r="C30" s="97">
        <v>5.4660418264349912E-2</v>
      </c>
    </row>
    <row r="31" spans="1:3" ht="14.25" customHeight="1" x14ac:dyDescent="0.25">
      <c r="B31" s="25" t="s">
        <v>57</v>
      </c>
      <c r="C31" s="97">
        <v>6.1967733026657798E-2</v>
      </c>
    </row>
    <row r="32" spans="1:3" ht="14.25" customHeight="1" x14ac:dyDescent="0.25">
      <c r="B32" s="25" t="s">
        <v>58</v>
      </c>
      <c r="C32" s="97">
        <v>0.50309486634994893</v>
      </c>
    </row>
    <row r="33" spans="1:5" ht="13.25" customHeight="1" x14ac:dyDescent="0.25">
      <c r="B33" s="27" t="s">
        <v>59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2.3803999999999998</v>
      </c>
    </row>
    <row r="38" spans="1:5" ht="15" customHeight="1" x14ac:dyDescent="0.25">
      <c r="B38" s="11" t="s">
        <v>63</v>
      </c>
      <c r="C38" s="43">
        <v>3.9929299999999999</v>
      </c>
      <c r="D38" s="12"/>
      <c r="E38" s="13"/>
    </row>
    <row r="39" spans="1:5" ht="15" customHeight="1" x14ac:dyDescent="0.25">
      <c r="B39" s="11" t="s">
        <v>64</v>
      </c>
      <c r="C39" s="43">
        <v>5.0016400000000001</v>
      </c>
      <c r="D39" s="12"/>
      <c r="E39" s="12"/>
    </row>
    <row r="40" spans="1:5" ht="15" customHeight="1" x14ac:dyDescent="0.25">
      <c r="B40" s="11" t="s">
        <v>65</v>
      </c>
      <c r="C40" s="98">
        <v>0.39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6.9491399999999999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5.0914999999999997E-3</v>
      </c>
      <c r="D45" s="12"/>
    </row>
    <row r="46" spans="1:5" ht="15.75" customHeight="1" x14ac:dyDescent="0.25">
      <c r="B46" s="11" t="s">
        <v>70</v>
      </c>
      <c r="C46" s="45">
        <v>5.4706900000000003E-2</v>
      </c>
      <c r="D46" s="12"/>
    </row>
    <row r="47" spans="1:5" ht="15.75" customHeight="1" x14ac:dyDescent="0.25">
      <c r="B47" s="11" t="s">
        <v>71</v>
      </c>
      <c r="C47" s="45">
        <v>7.6159900000000003E-2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0.57630200000000009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5.26355739999999E-2</v>
      </c>
    </row>
    <row r="63" spans="1:4" ht="15.75" customHeight="1" x14ac:dyDescent="0.3">
      <c r="A63" s="4"/>
    </row>
  </sheetData>
  <sheetProtection algorithmName="SHA-512" hashValue="OHKjbOPHNqpmlexV+7b5wsjS5y1uryiRKULuRfmlWSI1g8FBnWbBbWJi5q1QhyCYWnDpNBEK2nUc4pEF6b/fTw==" saltValue="sl7e7dmFG/z1arQbAPou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94650</v>
      </c>
      <c r="C2" s="49">
        <v>283213.5</v>
      </c>
      <c r="D2" s="49">
        <v>648262.99999999988</v>
      </c>
      <c r="E2" s="49">
        <v>733647.5</v>
      </c>
      <c r="F2" s="49">
        <v>662831.5</v>
      </c>
      <c r="G2" s="17">
        <f t="shared" ref="G2:G13" si="0">C2+D2+E2+F2</f>
        <v>2327955.5</v>
      </c>
      <c r="H2" s="17">
        <f t="shared" ref="H2:H13" si="1">(B2 + stillbirth*B2/(1000-stillbirth))/(1-abortion)</f>
        <v>108309.47589312613</v>
      </c>
      <c r="I2" s="17">
        <f t="shared" ref="I2:I13" si="2">G2-H2</f>
        <v>2219646.0241068737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93499</v>
      </c>
      <c r="C3" s="50">
        <v>285518.5</v>
      </c>
      <c r="D3" s="50">
        <v>638312</v>
      </c>
      <c r="E3" s="50">
        <v>722959.00000000012</v>
      </c>
      <c r="F3" s="50">
        <v>650970.5</v>
      </c>
      <c r="G3" s="17">
        <f t="shared" si="0"/>
        <v>2297760</v>
      </c>
      <c r="H3" s="17">
        <f t="shared" si="1"/>
        <v>106992.36858458955</v>
      </c>
      <c r="I3" s="17">
        <f t="shared" si="2"/>
        <v>2190767.6314154104</v>
      </c>
    </row>
    <row r="4" spans="1:9" ht="15.75" customHeight="1" x14ac:dyDescent="0.25">
      <c r="A4" s="5">
        <f t="shared" si="3"/>
        <v>2026</v>
      </c>
      <c r="B4" s="49">
        <v>92314</v>
      </c>
      <c r="C4" s="50">
        <v>291682.5</v>
      </c>
      <c r="D4" s="50">
        <v>625598</v>
      </c>
      <c r="E4" s="50">
        <v>711052.5</v>
      </c>
      <c r="F4" s="50">
        <v>645445.5</v>
      </c>
      <c r="G4" s="17">
        <f t="shared" si="0"/>
        <v>2273778.5</v>
      </c>
      <c r="H4" s="17">
        <f t="shared" si="1"/>
        <v>105636.35454408925</v>
      </c>
      <c r="I4" s="17">
        <f t="shared" si="2"/>
        <v>2168142.1454559108</v>
      </c>
    </row>
    <row r="5" spans="1:9" ht="15.75" customHeight="1" x14ac:dyDescent="0.25">
      <c r="A5" s="5">
        <f t="shared" si="3"/>
        <v>2027</v>
      </c>
      <c r="B5" s="49">
        <v>91231</v>
      </c>
      <c r="C5" s="50">
        <v>297379</v>
      </c>
      <c r="D5" s="50">
        <v>612069.99999999988</v>
      </c>
      <c r="E5" s="50">
        <v>699502</v>
      </c>
      <c r="F5" s="50">
        <v>646451</v>
      </c>
      <c r="G5" s="17">
        <f t="shared" si="0"/>
        <v>2255402</v>
      </c>
      <c r="H5" s="17">
        <f t="shared" si="1"/>
        <v>104397.06069948009</v>
      </c>
      <c r="I5" s="17">
        <f t="shared" si="2"/>
        <v>2151004.9393005199</v>
      </c>
    </row>
    <row r="6" spans="1:9" ht="15.75" customHeight="1" x14ac:dyDescent="0.25">
      <c r="A6" s="5">
        <f t="shared" si="3"/>
        <v>2028</v>
      </c>
      <c r="B6" s="49">
        <v>90374</v>
      </c>
      <c r="C6" s="50">
        <v>299581</v>
      </c>
      <c r="D6" s="50">
        <v>599646.50000000012</v>
      </c>
      <c r="E6" s="50">
        <v>685757.49999999988</v>
      </c>
      <c r="F6" s="50">
        <v>658002.5</v>
      </c>
      <c r="G6" s="17">
        <f t="shared" si="0"/>
        <v>2242987.5</v>
      </c>
      <c r="H6" s="17">
        <f t="shared" si="1"/>
        <v>103416.3821908651</v>
      </c>
      <c r="I6" s="17">
        <f t="shared" si="2"/>
        <v>2139571.117809135</v>
      </c>
    </row>
    <row r="7" spans="1:9" ht="15.75" customHeight="1" x14ac:dyDescent="0.25">
      <c r="A7" s="5">
        <f t="shared" si="3"/>
        <v>2029</v>
      </c>
      <c r="B7" s="49">
        <v>89461</v>
      </c>
      <c r="C7" s="50">
        <v>298380.5</v>
      </c>
      <c r="D7" s="50">
        <v>589367.99999999988</v>
      </c>
      <c r="E7" s="50">
        <v>669342.00000000012</v>
      </c>
      <c r="F7" s="50">
        <v>676914</v>
      </c>
      <c r="G7" s="17">
        <f t="shared" si="0"/>
        <v>2234004.5</v>
      </c>
      <c r="H7" s="17">
        <f t="shared" si="1"/>
        <v>102371.62200607457</v>
      </c>
      <c r="I7" s="17">
        <f t="shared" si="2"/>
        <v>2131632.8779939255</v>
      </c>
    </row>
    <row r="8" spans="1:9" ht="15.75" customHeight="1" x14ac:dyDescent="0.25">
      <c r="A8" s="5">
        <f t="shared" si="3"/>
        <v>2030</v>
      </c>
      <c r="B8" s="49">
        <v>88613</v>
      </c>
      <c r="C8" s="50">
        <v>294865.5</v>
      </c>
      <c r="D8" s="50">
        <v>581161</v>
      </c>
      <c r="E8" s="50">
        <v>653030</v>
      </c>
      <c r="F8" s="50">
        <v>697559</v>
      </c>
      <c r="G8" s="17">
        <f t="shared" si="0"/>
        <v>2226615.5</v>
      </c>
      <c r="H8" s="17">
        <f t="shared" si="1"/>
        <v>101401.2423382735</v>
      </c>
      <c r="I8" s="17">
        <f t="shared" si="2"/>
        <v>2125214.2576617263</v>
      </c>
    </row>
    <row r="9" spans="1:9" ht="15.75" customHeight="1" x14ac:dyDescent="0.25">
      <c r="A9" s="5">
        <f t="shared" si="3"/>
        <v>2031</v>
      </c>
      <c r="B9" s="49">
        <v>87798</v>
      </c>
      <c r="C9" s="50">
        <v>288561.5</v>
      </c>
      <c r="D9" s="50">
        <v>575143.5</v>
      </c>
      <c r="E9" s="50">
        <v>639615</v>
      </c>
      <c r="F9" s="50">
        <v>715069.50000000012</v>
      </c>
      <c r="G9" s="17">
        <f t="shared" si="0"/>
        <v>2218389.5</v>
      </c>
      <c r="H9" s="17">
        <f t="shared" si="1"/>
        <v>100468.62508679017</v>
      </c>
      <c r="I9" s="17">
        <f t="shared" si="2"/>
        <v>2117920.87491321</v>
      </c>
    </row>
    <row r="10" spans="1:9" ht="15.75" customHeight="1" x14ac:dyDescent="0.25">
      <c r="A10" s="5">
        <f t="shared" si="3"/>
        <v>2032</v>
      </c>
      <c r="B10" s="49">
        <v>87028</v>
      </c>
      <c r="C10" s="50">
        <v>280972.5</v>
      </c>
      <c r="D10" s="50">
        <v>569472</v>
      </c>
      <c r="E10" s="50">
        <v>630364.49999999988</v>
      </c>
      <c r="F10" s="50">
        <v>722563</v>
      </c>
      <c r="G10" s="17">
        <f t="shared" si="0"/>
        <v>2203372</v>
      </c>
      <c r="H10" s="17">
        <f t="shared" si="1"/>
        <v>99587.502039376457</v>
      </c>
      <c r="I10" s="17">
        <f t="shared" si="2"/>
        <v>2103784.4979606234</v>
      </c>
    </row>
    <row r="11" spans="1:9" ht="15.75" customHeight="1" x14ac:dyDescent="0.25">
      <c r="A11" s="5">
        <f t="shared" si="3"/>
        <v>2033</v>
      </c>
      <c r="B11" s="49">
        <v>86152</v>
      </c>
      <c r="C11" s="50">
        <v>274823.5</v>
      </c>
      <c r="D11" s="50">
        <v>563856</v>
      </c>
      <c r="E11" s="50">
        <v>623774.5</v>
      </c>
      <c r="F11" s="50">
        <v>720156.99999999988</v>
      </c>
      <c r="G11" s="17">
        <f t="shared" si="0"/>
        <v>2182611</v>
      </c>
      <c r="H11" s="17">
        <f t="shared" si="1"/>
        <v>98585.081533487624</v>
      </c>
      <c r="I11" s="17">
        <f t="shared" si="2"/>
        <v>2084025.9184665123</v>
      </c>
    </row>
    <row r="12" spans="1:9" ht="15.75" customHeight="1" x14ac:dyDescent="0.25">
      <c r="A12" s="5">
        <f t="shared" si="3"/>
        <v>2034</v>
      </c>
      <c r="B12" s="49">
        <v>85328</v>
      </c>
      <c r="C12" s="50">
        <v>268435.5</v>
      </c>
      <c r="D12" s="50">
        <v>560288</v>
      </c>
      <c r="E12" s="50">
        <v>617217.5</v>
      </c>
      <c r="F12" s="50">
        <v>713112</v>
      </c>
      <c r="G12" s="17">
        <f t="shared" si="0"/>
        <v>2159053</v>
      </c>
      <c r="H12" s="17">
        <f t="shared" si="1"/>
        <v>97642.165441190358</v>
      </c>
      <c r="I12" s="17">
        <f t="shared" si="2"/>
        <v>2061410.8345588096</v>
      </c>
    </row>
    <row r="13" spans="1:9" ht="15.75" customHeight="1" x14ac:dyDescent="0.25">
      <c r="A13" s="5">
        <f t="shared" si="3"/>
        <v>2035</v>
      </c>
      <c r="B13" s="49">
        <v>84480</v>
      </c>
      <c r="C13" s="50">
        <v>260136.5</v>
      </c>
      <c r="D13" s="50">
        <v>559729.5</v>
      </c>
      <c r="E13" s="50">
        <v>608153.5</v>
      </c>
      <c r="F13" s="50">
        <v>702971</v>
      </c>
      <c r="G13" s="17">
        <f t="shared" si="0"/>
        <v>2130990.5</v>
      </c>
      <c r="H13" s="17">
        <f t="shared" si="1"/>
        <v>96671.785773389289</v>
      </c>
      <c r="I13" s="17">
        <f t="shared" si="2"/>
        <v>2034318.7142266107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c6xw2eCJKILX9Y5rsDCV2QFT1bc2quZ0FqXfJk1yIPDZdsKY6Xqp4kVwgz1TtHCa8JM5GNNckKBXCssos8o0Nw==" saltValue="rklwQb6+VQxDShH7Qpnjl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0.1140902</v>
      </c>
    </row>
    <row r="5" spans="1:8" ht="15.75" customHeight="1" x14ac:dyDescent="0.25">
      <c r="B5" s="19" t="s">
        <v>98</v>
      </c>
      <c r="C5" s="99">
        <v>0.1053632</v>
      </c>
    </row>
    <row r="6" spans="1:8" ht="15.75" customHeight="1" x14ac:dyDescent="0.25">
      <c r="B6" s="19" t="s">
        <v>99</v>
      </c>
      <c r="C6" s="99">
        <v>0.1239611999999998</v>
      </c>
    </row>
    <row r="7" spans="1:8" ht="15.75" customHeight="1" x14ac:dyDescent="0.25">
      <c r="B7" s="19" t="s">
        <v>100</v>
      </c>
      <c r="C7" s="99">
        <v>0.33435490000000018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0.18478</v>
      </c>
    </row>
    <row r="10" spans="1:8" ht="15.75" customHeight="1" x14ac:dyDescent="0.25">
      <c r="B10" s="19" t="s">
        <v>103</v>
      </c>
      <c r="C10" s="99">
        <v>0.13745049999999989</v>
      </c>
    </row>
    <row r="11" spans="1:8" ht="15.75" customHeight="1" x14ac:dyDescent="0.25">
      <c r="B11" s="27" t="s">
        <v>59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3.8033273814434908E-2</v>
      </c>
      <c r="D14" s="55">
        <v>3.8033273814434908E-2</v>
      </c>
      <c r="E14" s="55">
        <v>3.8033273814434908E-2</v>
      </c>
      <c r="F14" s="55">
        <v>3.8033273814434908E-2</v>
      </c>
    </row>
    <row r="15" spans="1:8" ht="15.75" customHeight="1" x14ac:dyDescent="0.25">
      <c r="B15" s="19" t="s">
        <v>106</v>
      </c>
      <c r="C15" s="99">
        <v>0.281737931796603</v>
      </c>
      <c r="D15" s="99">
        <v>0.281737931796603</v>
      </c>
      <c r="E15" s="99">
        <v>0.281737931796603</v>
      </c>
      <c r="F15" s="99">
        <v>0.281737931796603</v>
      </c>
    </row>
    <row r="16" spans="1:8" ht="15.75" customHeight="1" x14ac:dyDescent="0.25">
      <c r="B16" s="19" t="s">
        <v>107</v>
      </c>
      <c r="C16" s="99">
        <v>9.9135393561145146E-2</v>
      </c>
      <c r="D16" s="99">
        <v>9.9135393561145146E-2</v>
      </c>
      <c r="E16" s="99">
        <v>9.9135393561145146E-2</v>
      </c>
      <c r="F16" s="99">
        <v>9.9135393561145146E-2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9.0770348326293812E-2</v>
      </c>
      <c r="D19" s="99">
        <v>9.0770348326293812E-2</v>
      </c>
      <c r="E19" s="99">
        <v>9.0770348326293812E-2</v>
      </c>
      <c r="F19" s="99">
        <v>9.0770348326293812E-2</v>
      </c>
    </row>
    <row r="20" spans="1:8" ht="15.75" customHeight="1" x14ac:dyDescent="0.25">
      <c r="B20" s="19" t="s">
        <v>111</v>
      </c>
      <c r="C20" s="99">
        <v>0.1381062373663336</v>
      </c>
      <c r="D20" s="99">
        <v>0.1381062373663336</v>
      </c>
      <c r="E20" s="99">
        <v>0.1381062373663336</v>
      </c>
      <c r="F20" s="99">
        <v>0.1381062373663336</v>
      </c>
    </row>
    <row r="21" spans="1:8" ht="15.75" customHeight="1" x14ac:dyDescent="0.25">
      <c r="B21" s="19" t="s">
        <v>112</v>
      </c>
      <c r="C21" s="99">
        <v>0.26144625539141192</v>
      </c>
      <c r="D21" s="99">
        <v>0.26144625539141192</v>
      </c>
      <c r="E21" s="99">
        <v>0.26144625539141192</v>
      </c>
      <c r="F21" s="99">
        <v>0.26144625539141192</v>
      </c>
    </row>
    <row r="22" spans="1:8" ht="15.75" customHeight="1" x14ac:dyDescent="0.25">
      <c r="B22" s="19" t="s">
        <v>113</v>
      </c>
      <c r="C22" s="99">
        <v>9.0770559743777526E-2</v>
      </c>
      <c r="D22" s="99">
        <v>9.0770559743777526E-2</v>
      </c>
      <c r="E22" s="99">
        <v>9.0770559743777526E-2</v>
      </c>
      <c r="F22" s="99">
        <v>9.0770559743777526E-2</v>
      </c>
    </row>
    <row r="23" spans="1:8" ht="15.75" customHeight="1" x14ac:dyDescent="0.25">
      <c r="B23" s="27" t="s">
        <v>59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2.9679839999999999E-2</v>
      </c>
    </row>
    <row r="27" spans="1:8" ht="15.75" customHeight="1" x14ac:dyDescent="0.25">
      <c r="B27" s="19" t="s">
        <v>120</v>
      </c>
      <c r="C27" s="99">
        <v>2.1739139000000001E-2</v>
      </c>
    </row>
    <row r="28" spans="1:8" ht="15.75" customHeight="1" x14ac:dyDescent="0.25">
      <c r="B28" s="19" t="s">
        <v>121</v>
      </c>
      <c r="C28" s="99">
        <v>0.105935959</v>
      </c>
    </row>
    <row r="29" spans="1:8" ht="15.75" customHeight="1" x14ac:dyDescent="0.25">
      <c r="B29" s="19" t="s">
        <v>122</v>
      </c>
      <c r="C29" s="99">
        <v>0.11928900100000001</v>
      </c>
    </row>
    <row r="30" spans="1:8" ht="15.75" customHeight="1" x14ac:dyDescent="0.25">
      <c r="B30" s="19" t="s">
        <v>2</v>
      </c>
      <c r="C30" s="99">
        <v>5.9336512000000001E-2</v>
      </c>
    </row>
    <row r="31" spans="1:8" ht="15.75" customHeight="1" x14ac:dyDescent="0.25">
      <c r="B31" s="19" t="s">
        <v>123</v>
      </c>
      <c r="C31" s="99">
        <v>0.21511585599999999</v>
      </c>
    </row>
    <row r="32" spans="1:8" ht="15.75" customHeight="1" x14ac:dyDescent="0.25">
      <c r="B32" s="19" t="s">
        <v>124</v>
      </c>
      <c r="C32" s="99">
        <v>9.6009434000000005E-2</v>
      </c>
    </row>
    <row r="33" spans="2:3" ht="15.75" customHeight="1" x14ac:dyDescent="0.25">
      <c r="B33" s="19" t="s">
        <v>125</v>
      </c>
      <c r="C33" s="99">
        <v>7.9330116000000006E-2</v>
      </c>
    </row>
    <row r="34" spans="2:3" ht="15.75" customHeight="1" x14ac:dyDescent="0.25">
      <c r="B34" s="19" t="s">
        <v>126</v>
      </c>
      <c r="C34" s="99">
        <v>0.27356414400000001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kd/7PwTXCDVTdqn9uwjrZvQNBPH4L+E5wLZD8sEbcXczLXm0ZudKZC6JVqHQ1ObraYW4W16r4sK6HNb2jO+K6A==" saltValue="6VhNyYqN/V6ukXYxNcpl/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0.68485481924739933</v>
      </c>
      <c r="D2" s="52">
        <f>IFERROR(1-_xlfn.NORM.DIST(_xlfn.NORM.INV(SUM(D4:D5), 0, 1) + 1, 0, 1, TRUE), "")</f>
        <v>0.68485481924739933</v>
      </c>
      <c r="E2" s="52">
        <f>IFERROR(1-_xlfn.NORM.DIST(_xlfn.NORM.INV(SUM(E4:E5), 0, 1) + 1, 0, 1, TRUE), "")</f>
        <v>0.81455925434745047</v>
      </c>
      <c r="F2" s="52">
        <f>IFERROR(1-_xlfn.NORM.DIST(_xlfn.NORM.INV(SUM(F4:F5), 0, 1) + 1, 0, 1, TRUE), "")</f>
        <v>0.65889496102337786</v>
      </c>
      <c r="G2" s="52">
        <f>IFERROR(1-_xlfn.NORM.DIST(_xlfn.NORM.INV(SUM(G4:G5), 0, 1) + 1, 0, 1, TRUE), "")</f>
        <v>0.67024705976319832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0.24588428075260066</v>
      </c>
      <c r="D3" s="52">
        <f>IFERROR(_xlfn.NORM.DIST(_xlfn.NORM.INV(SUM(D4:D5), 0, 1) + 1, 0, 1, TRUE) - SUM(D4:D5), "")</f>
        <v>0.24588428075260066</v>
      </c>
      <c r="E3" s="52">
        <f>IFERROR(_xlfn.NORM.DIST(_xlfn.NORM.INV(SUM(E4:E5), 0, 1) + 1, 0, 1, TRUE) - SUM(E4:E5), "")</f>
        <v>0.15638284565254959</v>
      </c>
      <c r="F3" s="52">
        <f>IFERROR(_xlfn.NORM.DIST(_xlfn.NORM.INV(SUM(F4:F5), 0, 1) + 1, 0, 1, TRUE) - SUM(F4:F5), "")</f>
        <v>0.26175383897662213</v>
      </c>
      <c r="G3" s="52">
        <f>IFERROR(_xlfn.NORM.DIST(_xlfn.NORM.INV(SUM(G4:G5), 0, 1) + 1, 0, 1, TRUE) - SUM(G4:G5), "")</f>
        <v>0.25490344023680167</v>
      </c>
    </row>
    <row r="4" spans="1:15" ht="15.75" customHeight="1" x14ac:dyDescent="0.25">
      <c r="B4" s="5" t="s">
        <v>132</v>
      </c>
      <c r="C4" s="45">
        <v>6.6390299999999999E-2</v>
      </c>
      <c r="D4" s="53">
        <v>6.6390299999999999E-2</v>
      </c>
      <c r="E4" s="53">
        <v>2.9057900000000001E-2</v>
      </c>
      <c r="F4" s="53">
        <v>7.5866900000000001E-2</v>
      </c>
      <c r="G4" s="53">
        <v>7.2968000000000005E-2</v>
      </c>
    </row>
    <row r="5" spans="1:15" ht="15.75" customHeight="1" x14ac:dyDescent="0.25">
      <c r="B5" s="5" t="s">
        <v>133</v>
      </c>
      <c r="C5" s="45">
        <v>2.8706000000000001E-3</v>
      </c>
      <c r="D5" s="53">
        <v>2.8706000000000001E-3</v>
      </c>
      <c r="E5" s="53">
        <v>0</v>
      </c>
      <c r="F5" s="53">
        <v>3.4843000000000001E-3</v>
      </c>
      <c r="G5" s="53">
        <v>1.8814999999999999E-3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0.75896258203655209</v>
      </c>
      <c r="D8" s="52">
        <f>IFERROR(1-_xlfn.NORM.DIST(_xlfn.NORM.INV(SUM(D10:D11), 0, 1) + 1, 0, 1, TRUE), "")</f>
        <v>0.75896258203655209</v>
      </c>
      <c r="E8" s="52">
        <f>IFERROR(1-_xlfn.NORM.DIST(_xlfn.NORM.INV(SUM(E10:E11), 0, 1) + 1, 0, 1, TRUE), "")</f>
        <v>0.83791117953739236</v>
      </c>
      <c r="F8" s="52">
        <f>IFERROR(1-_xlfn.NORM.DIST(_xlfn.NORM.INV(SUM(F10:F11), 0, 1) + 1, 0, 1, TRUE), "")</f>
        <v>0.853063761053518</v>
      </c>
      <c r="G8" s="52">
        <f>IFERROR(1-_xlfn.NORM.DIST(_xlfn.NORM.INV(SUM(G10:G11), 0, 1) + 1, 0, 1, TRUE), "")</f>
        <v>0.86964864494147098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0.19675051796344789</v>
      </c>
      <c r="D9" s="52">
        <f>IFERROR(_xlfn.NORM.DIST(_xlfn.NORM.INV(SUM(D10:D11), 0, 1) + 1, 0, 1, TRUE) - SUM(D10:D11), "")</f>
        <v>0.19675051796344789</v>
      </c>
      <c r="E9" s="52">
        <f>IFERROR(_xlfn.NORM.DIST(_xlfn.NORM.INV(SUM(E10:E11), 0, 1) + 1, 0, 1, TRUE) - SUM(E10:E11), "")</f>
        <v>0.13856712046260766</v>
      </c>
      <c r="F9" s="52">
        <f>IFERROR(_xlfn.NORM.DIST(_xlfn.NORM.INV(SUM(F10:F11), 0, 1) + 1, 0, 1, TRUE) - SUM(F10:F11), "")</f>
        <v>0.12673763894648199</v>
      </c>
      <c r="G9" s="52">
        <f>IFERROR(_xlfn.NORM.DIST(_xlfn.NORM.INV(SUM(G10:G11), 0, 1) + 1, 0, 1, TRUE) - SUM(G10:G11), "")</f>
        <v>0.11354685505852902</v>
      </c>
    </row>
    <row r="10" spans="1:15" ht="15.75" customHeight="1" x14ac:dyDescent="0.25">
      <c r="B10" s="5" t="s">
        <v>137</v>
      </c>
      <c r="C10" s="45">
        <v>2.0957400000000001E-2</v>
      </c>
      <c r="D10" s="53">
        <v>2.0957400000000001E-2</v>
      </c>
      <c r="E10" s="53">
        <v>1.6555899999999998E-2</v>
      </c>
      <c r="F10" s="53">
        <v>1.7121999999999998E-2</v>
      </c>
      <c r="G10" s="53">
        <v>1.17929E-2</v>
      </c>
    </row>
    <row r="11" spans="1:15" ht="15.75" customHeight="1" x14ac:dyDescent="0.25">
      <c r="B11" s="5" t="s">
        <v>138</v>
      </c>
      <c r="C11" s="45">
        <v>2.33295E-2</v>
      </c>
      <c r="D11" s="53">
        <v>2.33295E-2</v>
      </c>
      <c r="E11" s="53">
        <v>6.9657999999999994E-3</v>
      </c>
      <c r="F11" s="53">
        <v>3.0766000000000001E-3</v>
      </c>
      <c r="G11" s="53">
        <v>5.0116000000000006E-3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0.34035478875000003</v>
      </c>
      <c r="D14" s="54">
        <v>0.31335189346999998</v>
      </c>
      <c r="E14" s="54">
        <v>0.31335189346999998</v>
      </c>
      <c r="F14" s="54">
        <v>0.19796945741300001</v>
      </c>
      <c r="G14" s="54">
        <v>0.19796945741300001</v>
      </c>
      <c r="H14" s="45">
        <v>0.28499999999999998</v>
      </c>
      <c r="I14" s="55">
        <v>0.28499999999999998</v>
      </c>
      <c r="J14" s="55">
        <v>0.28499999999999998</v>
      </c>
      <c r="K14" s="55">
        <v>0.28499999999999998</v>
      </c>
      <c r="L14" s="45">
        <v>0.25</v>
      </c>
      <c r="M14" s="55">
        <v>0.25</v>
      </c>
      <c r="N14" s="55">
        <v>0.25</v>
      </c>
      <c r="O14" s="55">
        <v>0.25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0.19614714546620254</v>
      </c>
      <c r="D15" s="52">
        <f t="shared" si="0"/>
        <v>0.18058532291054796</v>
      </c>
      <c r="E15" s="52">
        <f t="shared" si="0"/>
        <v>0.18058532291054796</v>
      </c>
      <c r="F15" s="52">
        <f t="shared" si="0"/>
        <v>0.11409019424602675</v>
      </c>
      <c r="G15" s="52">
        <f t="shared" si="0"/>
        <v>0.11409019424602675</v>
      </c>
      <c r="H15" s="52">
        <f t="shared" si="0"/>
        <v>0.16424607000000002</v>
      </c>
      <c r="I15" s="52">
        <f t="shared" si="0"/>
        <v>0.16424607000000002</v>
      </c>
      <c r="J15" s="52">
        <f t="shared" si="0"/>
        <v>0.16424607000000002</v>
      </c>
      <c r="K15" s="52">
        <f t="shared" si="0"/>
        <v>0.16424607000000002</v>
      </c>
      <c r="L15" s="52">
        <f t="shared" si="0"/>
        <v>0.14407550000000002</v>
      </c>
      <c r="M15" s="52">
        <f t="shared" si="0"/>
        <v>0.14407550000000002</v>
      </c>
      <c r="N15" s="52">
        <f t="shared" si="0"/>
        <v>0.14407550000000002</v>
      </c>
      <c r="O15" s="52">
        <f t="shared" si="0"/>
        <v>0.14407550000000002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4bc5Sh/CsiolUIVXUP0l1EZMARPxbdvrHBxy67b+yCDi2DmqLNUV2qi1mG/b8MzViN9CEpx+y5+ws7TDXhIEA==" saltValue="NSD97aSe6YFkwD2DeNuj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0.85080100000000003</v>
      </c>
      <c r="D2" s="53">
        <v>0.36791390000000002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0.1190153</v>
      </c>
      <c r="D3" s="53">
        <v>0.13744600000000001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3.0183700000000001E-2</v>
      </c>
      <c r="D4" s="53">
        <v>0.3566627</v>
      </c>
      <c r="E4" s="53">
        <v>0.53054849999999998</v>
      </c>
      <c r="F4" s="53">
        <v>0.24713470000000001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</v>
      </c>
      <c r="D5" s="52">
        <f t="shared" si="0"/>
        <v>0.13797740000000003</v>
      </c>
      <c r="E5" s="52">
        <f>1-SUM(E2:E4)</f>
        <v>0.46945150000000002</v>
      </c>
      <c r="F5" s="52">
        <f>1-SUM(F2:F4)</f>
        <v>0.75286529999999996</v>
      </c>
      <c r="G5" s="52">
        <f>1-SUM(G2:G4)</f>
        <v>1</v>
      </c>
    </row>
  </sheetData>
  <sheetProtection algorithmName="SHA-512" hashValue="4TwNeKYoKTFylTuL1c4y647tkqNwsh9Z1CPeNmn5OWzVwT2B7QHgKegTna4Vaw0RVr9XpYisQ9svni5+rwAeWg==" saltValue="96b5Qfz64rq9n1WzFf7uT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gCegClvpIicmOU3cE+wBhG4NGsqfLVs9bEZT4vT/mpTxyeKq4dIXvIjWOJUAjBaSR9IF6yOk6K0c8H2XNJARA==" saltValue="jabtDLqHY8eJxp9/3s4Px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9499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0.41922999999999999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0.51119999999999999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1.0712240838871987E-2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99458.483229999998</v>
      </c>
      <c r="C22" s="107">
        <v>99367.002160000004</v>
      </c>
      <c r="D22" s="107">
        <v>99260.373470000006</v>
      </c>
      <c r="E22" s="107">
        <v>99067.585720000003</v>
      </c>
      <c r="F22" s="107">
        <v>98813.584170000002</v>
      </c>
      <c r="G22" s="107">
        <v>98472.610960000005</v>
      </c>
      <c r="H22" s="107">
        <v>98046.481</v>
      </c>
      <c r="I22" s="107">
        <v>97404.418040000004</v>
      </c>
      <c r="J22" s="107">
        <v>96507.249129999997</v>
      </c>
      <c r="K22" s="107">
        <v>95182.85626</v>
      </c>
      <c r="L22" s="107">
        <v>93093.032179999995</v>
      </c>
      <c r="M22" s="107">
        <v>89401.177710000004</v>
      </c>
      <c r="N22" s="107">
        <v>84152.425000000003</v>
      </c>
      <c r="O22" s="107">
        <v>76525.274690000006</v>
      </c>
    </row>
  </sheetData>
  <sheetProtection algorithmName="SHA-512" hashValue="aeUYFw8h4GjeM5LMmXD8ANicnnFmHLp5Vpfj1lr9gE+CBbosOznPjHSPx8Dbx4JtaEFEsSpoDUJEfIXqlFVGRw==" saltValue="UU+i/DlvRYQO+ycoFY+wx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X3Ve81xSPYcRoP79Tf2PhrfGVbMKL2qLe9VPxa3QSfjdn2pVVsGPAmzn5jwSAkOg9txmr8pyXHHV+FSh+098vA==" saltValue="hemn5V0rcXWrAhv+8ezvz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cxrjyZZf98/D5Y0bLt7YSlVtb7lIViBj+/Qi8c5mO8LKx7hPyA22FWIwkbXj5Z3LLf9e2Z7B/oKgAmr2eonEfQ==" saltValue="amcCoZKQQvPMgQryFmzhr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21.195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0.32855565777368906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13.57242575163446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13.57242575163446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13.57242575163446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13.57242575163446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13.57242575163446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13.57242575163446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0.50578611111111105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0.36791390000000002</v>
      </c>
      <c r="C18" s="96">
        <v>0.95</v>
      </c>
      <c r="D18" s="56">
        <v>21.195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0.36791390000000002</v>
      </c>
      <c r="C19" s="96">
        <v>0.95</v>
      </c>
      <c r="D19" s="56">
        <v>18.465600261324941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21.195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4.6294916046252768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0.918145914718136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4.4421306161984946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9.2958524157825622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0.35173209999999999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0.47701749999999998</v>
      </c>
      <c r="C29" s="96">
        <v>0.95</v>
      </c>
      <c r="D29" s="56">
        <v>170.67126179613081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123.05968780269725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1.5917274986535743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0.93379220000000007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0.87967550000000005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8.3532200000000001E-2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0.79862369999999994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0.16102330000000001</v>
      </c>
      <c r="C38" s="96">
        <v>0.95</v>
      </c>
      <c r="D38" s="56">
        <v>2.4500000000000002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4nydjI4dUWCMrQ2RKFje0PtegfNNjal/4hQMEoPIPTegVmpPbghTHxj0lUsre3Kv7riRqR9pH3hHoowojVjosA==" saltValue="ZbsCsidiazaAFP0r23q+2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QZgPRk6EzbUwCgBjn2NJ5XfoQm0cdDeIzAmuwSwFEucziXz7CYC0kF932DwIWGzTwKbXCRDzwMJeeAKjx+vFw==" saltValue="b+UyjkorlIVdJyKVA+zFG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gSSITA3QYJAQo/p8Jvwr60L5Eh8sYWBEiimO+pkfkL2bfTAMaQh/sxvRC8GzI7CoIYTW9bXOhJOUYHFPd1WKgA==" saltValue="UsxHwwpq914phx8iRlaUU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5.4489240000000001E-2</v>
      </c>
      <c r="C3" s="21">
        <f>frac_mam_1_5months * 2.6</f>
        <v>5.4489240000000001E-2</v>
      </c>
      <c r="D3" s="21">
        <f>frac_mam_6_11months * 2.6</f>
        <v>4.3045339999999994E-2</v>
      </c>
      <c r="E3" s="21">
        <f>frac_mam_12_23months * 2.6</f>
        <v>4.45172E-2</v>
      </c>
      <c r="F3" s="21">
        <f>frac_mam_24_59months * 2.6</f>
        <v>3.0661540000000001E-2</v>
      </c>
    </row>
    <row r="4" spans="1:6" ht="15.75" customHeight="1" x14ac:dyDescent="0.25">
      <c r="A4" s="3" t="s">
        <v>237</v>
      </c>
      <c r="B4" s="21">
        <f>frac_sam_1month * 2.6</f>
        <v>6.0656700000000001E-2</v>
      </c>
      <c r="C4" s="21">
        <f>frac_sam_1_5months * 2.6</f>
        <v>6.0656700000000001E-2</v>
      </c>
      <c r="D4" s="21">
        <f>frac_sam_6_11months * 2.6</f>
        <v>1.8111079999999998E-2</v>
      </c>
      <c r="E4" s="21">
        <f>frac_sam_12_23months * 2.6</f>
        <v>7.99916E-3</v>
      </c>
      <c r="F4" s="21">
        <f>frac_sam_24_59months * 2.6</f>
        <v>1.3030160000000002E-2</v>
      </c>
    </row>
  </sheetData>
  <sheetProtection algorithmName="SHA-512" hashValue="hQ10wZEZFA3sArk6dDgxOo2cELd46EJG+gszj7uxfjNi85DaUMOheknUc9011ueEMoCT1/x/W0ayliFBEXE0rQ==" saltValue="UIEietJrkp4m4kIpbo9FL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0.11600000000000001</v>
      </c>
      <c r="M24" s="60">
        <f>famplan_unmet_need</f>
        <v>0.11600000000000001</v>
      </c>
      <c r="N24" s="60">
        <f>famplan_unmet_need</f>
        <v>0.11600000000000001</v>
      </c>
      <c r="O24" s="60">
        <f>famplan_unmet_need</f>
        <v>0.11600000000000001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5.2958994430541827E-2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2.2696711898803641E-2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3.1733514862060448E-2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0.89261077880859407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5GpTwdhL6ZWgZHSr97dx9VY4F4LWjzyRJvR3B0KmpPcdajsfjv/tORBJotSd6PUBaY72bqK2VP7uDi1cVhZ+A==" saltValue="xzAYcx7NEcPTK9+0f+plZ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d9d5Eh9k0MoNTdKBN+AIBbJS5q4xbc3v3eD+k+EQXkDX50S+4dyGpQpkCvw64rlQRpBuLcjOh7cFsTkN7zsHmw==" saltValue="YkFe3DqrGAHkvYATYGpj4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wII5LmQOYTj7uGLl8czc+pDuu55x0BTFIbkR5jTeZ5DugFqguHTJXx0H6LITNbGPQEYAwyoB7LUOZJuIkNPVw==" saltValue="E7bx7RBawO6Xiu6dHxedC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7OZRpUbbHo0WHLPVe7HXuO79cDCk9qdrsUV5dkITidR56i2a7ybASfmjw3IAa1L3IhDM3IHuSS+AiTVNCz/M0Q==" saltValue="/bf6ijGqjVopGKSwGpeuL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//RAV1i0vkN6YNSlJUxXFVI7xjZGcG0uv49Is7FbF44/lzGrF0sKM7q8W/E4qJXeMGqkm5wqYzQTS6dP7fLSfg==" saltValue="KSfvw+tjJvc9lzHLQx7Pl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m1W3jBzcEbLvOy/S4/BiG9gkRkmuXunHYmYgneJazB3ANFofE0xk8MxKGmngVr2GebklzHtf3HL40k+9rqGirA==" saltValue="PuORi1yLIDdK2GAE8vPLm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SFrxd4HTbXCt0Y/lmzaLfaMt80yahy5a9Mc5YA6FUzm4GjNRHM+YfkwYZkqju8dTNXM2NQXgbwHLHZhLGNd2w==" saltValue="NyPrEynqp2Ht1L8CRLkvX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aC2EoIUp1pgUQI+7Cn98Q6RW+cGEvmDB9GFVU0R/WRUO36awG8/0qHd2Lkrtz6lN3Oo3crvW/DQFsca7g0pQqw==" saltValue="CIiWyd8WJThrW48bXfKO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7ZGpSpKCZvAUa0hFJt2UP93JBslPZBh7CZugFIq4prMoVc/w+LliUf49wUDX5NItr4IJKLxzK7hjjW9laO+yoQ==" saltValue="bdbsq+d+OomtTOnIl3aU3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kCLBMpSSmDttd1oeXm1RXug+nZXDZUlgc+eIRdsvBvAihdyyt5DxHdT7mOXkndAELZnmGIRGrCiuJdme55yG+Q==" saltValue="GzhfJT5GQODSRAwsbsAK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uCQu6s9WixluDgN2VcvSt5Jqk/A5ji7858LYysMrBsYhB6JXf4T0aaA8RUtXCEd7vtWykr+Ts0Kta4EDnH9tQ==" saltValue="dP1x2+vTIEcqetj+W6qA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4bTU9ljV/XM6/H6OMYtDUiSwWWd/z2JiqFMlwsygKrYbsRNWkLYENy64hrl7BKxnZcjx0EG213MrLWYG1pebQ==" saltValue="fPs/lferdU77XO0i60Rq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mzgKwjtR+8vmwhZGiPx9WJCioaTsGZRSuPWySKS6ymRLw9yDelyc8fwvRPM7OIKjSnwEwk/Z01wJYdip1YMUg==" saltValue="0vk1KQSdEYhEb0+XnuPnf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5VDIQJ27G07mKkZ0Z2aXvsA0nBAcu1+KZMnUnQzUsg4TgDoNKEphFkj/FniTxNWK9CbW9IEOa8N1zDWTKI1+WQ==" saltValue="8+HNoSgThVoEaeYw5SEE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sGeR3w7r9g3X17nH6SZkVE4F7+tQvcce80tv8sdaTrCLidJ8ZxvvZrc8Pb1rW+2cppYLoi4Y8G6vmO2ZeOuRtg==" saltValue="Pv0zJ2NOslbhudm0I6+bT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2025-07-30T02:08:00Z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