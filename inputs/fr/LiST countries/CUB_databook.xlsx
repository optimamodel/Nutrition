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61B0A394-8478-4F5A-829F-A1A4FA073EFE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15" i="2" l="1"/>
  <c r="A31" i="2"/>
  <c r="A3" i="2"/>
  <c r="A17" i="2"/>
  <c r="A33" i="2"/>
  <c r="I40" i="2"/>
  <c r="A34" i="2"/>
  <c r="A39" i="2"/>
  <c r="A36" i="2"/>
  <c r="A26" i="2"/>
  <c r="A28" i="2"/>
  <c r="A20" i="2"/>
  <c r="A18" i="2"/>
  <c r="A23" i="2"/>
  <c r="A25" i="2"/>
  <c r="A16" i="2"/>
  <c r="A24" i="2"/>
  <c r="A32" i="2"/>
  <c r="A19" i="2"/>
  <c r="A27" i="2"/>
  <c r="A35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<sst xmlns="http://schemas.openxmlformats.org/spreadsheetml/2006/main" count="2101" uniqueCount="337">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</sst>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498418.4453125</v>
      </c>
    </row>
    <row r="8" spans="1:3" ht="15" customHeight="1" x14ac:dyDescent="0.25">
      <c r="B8" s="5" t="s">
        <v>19</v>
      </c>
      <c r="C8" s="44">
        <v>1.4999999999999999E-2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0.89261077880859407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0.11600000000000001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0.13220000000000001</v>
      </c>
    </row>
    <row r="24" spans="1:3" ht="15" customHeight="1" x14ac:dyDescent="0.25">
      <c r="B24" s="15" t="s">
        <v>33</v>
      </c>
      <c r="C24" s="45">
        <v>0.57689999999999997</v>
      </c>
    </row>
    <row r="25" spans="1:3" ht="15" customHeight="1" x14ac:dyDescent="0.25">
      <c r="B25" s="15" t="s">
        <v>34</v>
      </c>
      <c r="C25" s="45">
        <v>0.27529999999999999</v>
      </c>
    </row>
    <row r="26" spans="1:3" ht="15" customHeight="1" x14ac:dyDescent="0.25">
      <c r="B26" s="15" t="s">
        <v>35</v>
      </c>
      <c r="C26" s="45">
        <v>1.5599999999999999E-2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0.38027698235904311</v>
      </c>
    </row>
    <row r="30" spans="1:3" ht="14.25" customHeight="1" x14ac:dyDescent="0.25">
      <c r="B30" s="25" t="s">
        <v>38</v>
      </c>
      <c r="C30" s="99">
        <v>5.4660418264349912E-2</v>
      </c>
    </row>
    <row r="31" spans="1:3" ht="14.25" customHeight="1" x14ac:dyDescent="0.25">
      <c r="B31" s="25" t="s">
        <v>39</v>
      </c>
      <c r="C31" s="99">
        <v>6.1967733026657798E-2</v>
      </c>
    </row>
    <row r="32" spans="1:3" ht="14.25" customHeight="1" x14ac:dyDescent="0.25">
      <c r="B32" s="25" t="s">
        <v>40</v>
      </c>
      <c r="C32" s="99">
        <v>0.50309486634994893</v>
      </c>
    </row>
    <row r="33" spans="1:5" ht="13" customHeight="1" x14ac:dyDescent="0.25">
      <c r="B33" s="27" t="s">
        <v>41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2.3803999999999998</v>
      </c>
    </row>
    <row r="38" spans="1:5" ht="15" customHeight="1" x14ac:dyDescent="0.25">
      <c r="B38" s="11" t="s">
        <v>45</v>
      </c>
      <c r="C38" s="43">
        <v>3.9929299999999999</v>
      </c>
      <c r="D38" s="12"/>
      <c r="E38" s="13"/>
    </row>
    <row r="39" spans="1:5" ht="15" customHeight="1" x14ac:dyDescent="0.25">
      <c r="B39" s="11" t="s">
        <v>46</v>
      </c>
      <c r="C39" s="43">
        <v>5.0016400000000001</v>
      </c>
      <c r="D39" s="12"/>
      <c r="E39" s="12"/>
    </row>
    <row r="40" spans="1:5" ht="15" customHeight="1" x14ac:dyDescent="0.25">
      <c r="B40" s="11" t="s">
        <v>47</v>
      </c>
      <c r="C40" s="100">
        <v>0.39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6.9491399999999999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5.0914999999999997E-3</v>
      </c>
      <c r="D45" s="12"/>
    </row>
    <row r="46" spans="1:5" ht="15.75" customHeight="1" x14ac:dyDescent="0.25">
      <c r="B46" s="11" t="s">
        <v>52</v>
      </c>
      <c r="C46" s="45">
        <v>5.4706900000000003E-2</v>
      </c>
      <c r="D46" s="12"/>
    </row>
    <row r="47" spans="1:5" ht="15.75" customHeight="1" x14ac:dyDescent="0.25">
      <c r="B47" s="11" t="s">
        <v>53</v>
      </c>
      <c r="C47" s="45">
        <v>7.6159900000000003E-2</v>
      </c>
      <c r="D47" s="12"/>
      <c r="E47" s="13"/>
    </row>
    <row r="48" spans="1:5" ht="15" customHeight="1" x14ac:dyDescent="0.25">
      <c r="B48" s="11" t="s">
        <v>54</v>
      </c>
      <c r="C48" s="46">
        <v>0.86404169999999991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0.57630200000000009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5.26355739999999E-2</v>
      </c>
    </row>
    <row r="63" spans="1:4" ht="15.75" customHeight="1" x14ac:dyDescent="0.3">
      <c r="A63" s="4"/>
    </row>
  </sheetData>
  <sheetProtection algorithmName="SHA-512" hashValue="d7EggqXRKMqPDEUHiTKIN/rKi5RolTv1IePbnPnDYLYIHO2mm8db+TtvyJzB/ttGqyS+XYor3oV2mQ39tcPsFw==" saltValue="9DpHzGafzT7hHXAkq8Qt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97775</v>
      </c>
      <c r="C2" s="49">
        <v>346620</v>
      </c>
      <c r="D2" s="49">
        <v>666463.5</v>
      </c>
      <c r="E2" s="49">
        <v>752266.5</v>
      </c>
      <c r="F2" s="49">
        <v>600503</v>
      </c>
      <c r="G2" s="17">
        <f t="shared" ref="G2:G13" si="0">C2+D2+E2+F2</f>
        <v>2365853</v>
      </c>
      <c r="H2" s="17">
        <f t="shared" ref="H2:H13" si="1">(B2 + stillbirth*B2/(1000-stillbirth))/(1-abortion)</f>
        <v>111885.46228685058</v>
      </c>
      <c r="I2" s="17">
        <f t="shared" ref="I2:I13" si="2">G2-H2</f>
        <v>2253967.5377131496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97031</v>
      </c>
      <c r="C3" s="50">
        <v>350582.5</v>
      </c>
      <c r="D3" s="50">
        <v>656831.5</v>
      </c>
      <c r="E3" s="50">
        <v>744271</v>
      </c>
      <c r="F3" s="50">
        <v>588141</v>
      </c>
      <c r="G3" s="17">
        <f t="shared" si="0"/>
        <v>2339826</v>
      </c>
      <c r="H3" s="17">
        <f t="shared" si="1"/>
        <v>111034.09144623268</v>
      </c>
      <c r="I3" s="17">
        <f t="shared" si="2"/>
        <v>2228791.9085537675</v>
      </c>
    </row>
    <row r="4" spans="1:9" ht="15.75" customHeight="1" x14ac:dyDescent="0.25">
      <c r="A4" s="5">
        <f t="shared" si="3"/>
        <v>2026</v>
      </c>
      <c r="B4" s="49">
        <v>96330</v>
      </c>
      <c r="C4" s="50">
        <v>356295.5</v>
      </c>
      <c r="D4" s="50">
        <v>644317.5</v>
      </c>
      <c r="E4" s="50">
        <v>735001.49999999988</v>
      </c>
      <c r="F4" s="50">
        <v>583055.5</v>
      </c>
      <c r="G4" s="17">
        <f t="shared" si="0"/>
        <v>2318670</v>
      </c>
      <c r="H4" s="17">
        <f t="shared" si="1"/>
        <v>110231.9261783924</v>
      </c>
      <c r="I4" s="17">
        <f t="shared" si="2"/>
        <v>2208438.0738216075</v>
      </c>
    </row>
    <row r="5" spans="1:9" ht="15.75" customHeight="1" x14ac:dyDescent="0.25">
      <c r="A5" s="5">
        <f t="shared" si="3"/>
        <v>2027</v>
      </c>
      <c r="B5" s="49">
        <v>95687</v>
      </c>
      <c r="C5" s="50">
        <v>360816.00000000012</v>
      </c>
      <c r="D5" s="50">
        <v>630846.5</v>
      </c>
      <c r="E5" s="50">
        <v>725983.5</v>
      </c>
      <c r="F5" s="50">
        <v>585756.5</v>
      </c>
      <c r="G5" s="17">
        <f t="shared" si="0"/>
        <v>2303402.5</v>
      </c>
      <c r="H5" s="17">
        <f t="shared" si="1"/>
        <v>109496.13121801967</v>
      </c>
      <c r="I5" s="17">
        <f t="shared" si="2"/>
        <v>2193906.3687819801</v>
      </c>
    </row>
    <row r="6" spans="1:9" ht="15.75" customHeight="1" x14ac:dyDescent="0.25">
      <c r="A6" s="5">
        <f t="shared" si="3"/>
        <v>2028</v>
      </c>
      <c r="B6" s="49">
        <v>95122</v>
      </c>
      <c r="C6" s="50">
        <v>362814</v>
      </c>
      <c r="D6" s="50">
        <v>618333</v>
      </c>
      <c r="E6" s="50">
        <v>714739</v>
      </c>
      <c r="F6" s="50">
        <v>596077.5</v>
      </c>
      <c r="G6" s="17">
        <f t="shared" si="0"/>
        <v>2291963.5</v>
      </c>
      <c r="H6" s="17">
        <f t="shared" si="1"/>
        <v>108849.59287803428</v>
      </c>
      <c r="I6" s="17">
        <f t="shared" si="2"/>
        <v>2183113.9071219657</v>
      </c>
    </row>
    <row r="7" spans="1:9" ht="15.75" customHeight="1" x14ac:dyDescent="0.25">
      <c r="A7" s="5">
        <f t="shared" si="3"/>
        <v>2029</v>
      </c>
      <c r="B7" s="49">
        <v>94781</v>
      </c>
      <c r="C7" s="50">
        <v>362026.50000000012</v>
      </c>
      <c r="D7" s="50">
        <v>607909.5</v>
      </c>
      <c r="E7" s="50">
        <v>700785</v>
      </c>
      <c r="F7" s="50">
        <v>613532.5</v>
      </c>
      <c r="G7" s="17">
        <f t="shared" si="0"/>
        <v>2284253.5</v>
      </c>
      <c r="H7" s="17">
        <f t="shared" si="1"/>
        <v>108459.38124275106</v>
      </c>
      <c r="I7" s="17">
        <f t="shared" si="2"/>
        <v>2175794.1187572489</v>
      </c>
    </row>
    <row r="8" spans="1:9" ht="15.75" customHeight="1" x14ac:dyDescent="0.25">
      <c r="A8" s="5">
        <f t="shared" si="3"/>
        <v>2030</v>
      </c>
      <c r="B8" s="49">
        <v>94300</v>
      </c>
      <c r="C8" s="50">
        <v>358105.5</v>
      </c>
      <c r="D8" s="50">
        <v>599535.5</v>
      </c>
      <c r="E8" s="50">
        <v>686688.99999999988</v>
      </c>
      <c r="F8" s="50">
        <v>635877</v>
      </c>
      <c r="G8" s="17">
        <f t="shared" si="0"/>
        <v>2280207</v>
      </c>
      <c r="H8" s="17">
        <f t="shared" si="1"/>
        <v>107908.965417029</v>
      </c>
      <c r="I8" s="17">
        <f t="shared" si="2"/>
        <v>2172298.0345829711</v>
      </c>
    </row>
    <row r="9" spans="1:9" ht="15.75" customHeight="1" x14ac:dyDescent="0.25">
      <c r="A9" s="5">
        <f t="shared" si="3"/>
        <v>2031</v>
      </c>
      <c r="B9" s="49">
        <v>93634</v>
      </c>
      <c r="C9" s="50">
        <v>350802.5</v>
      </c>
      <c r="D9" s="50">
        <v>593356.5</v>
      </c>
      <c r="E9" s="50">
        <v>675030</v>
      </c>
      <c r="F9" s="50">
        <v>658392</v>
      </c>
      <c r="G9" s="17">
        <f t="shared" si="0"/>
        <v>2277581</v>
      </c>
      <c r="H9" s="17">
        <f t="shared" si="1"/>
        <v>107146.85119679844</v>
      </c>
      <c r="I9" s="17">
        <f t="shared" si="2"/>
        <v>2170434.1488032015</v>
      </c>
    </row>
    <row r="10" spans="1:9" ht="15.75" customHeight="1" x14ac:dyDescent="0.25">
      <c r="A10" s="5">
        <f t="shared" si="3"/>
        <v>2032</v>
      </c>
      <c r="B10" s="49">
        <v>92958</v>
      </c>
      <c r="C10" s="50">
        <v>344431</v>
      </c>
      <c r="D10" s="50">
        <v>587664.5</v>
      </c>
      <c r="E10" s="50">
        <v>666920</v>
      </c>
      <c r="F10" s="50">
        <v>672701.5</v>
      </c>
      <c r="G10" s="17">
        <f t="shared" si="0"/>
        <v>2271717</v>
      </c>
      <c r="H10" s="17">
        <f t="shared" si="1"/>
        <v>106373.29382010797</v>
      </c>
      <c r="I10" s="17">
        <f t="shared" si="2"/>
        <v>2165343.7061798922</v>
      </c>
    </row>
    <row r="11" spans="1:9" ht="15.75" customHeight="1" x14ac:dyDescent="0.25">
      <c r="A11" s="5">
        <f t="shared" si="3"/>
        <v>2033</v>
      </c>
      <c r="B11" s="49">
        <v>92924</v>
      </c>
      <c r="C11" s="50">
        <v>338617.5</v>
      </c>
      <c r="D11" s="50">
        <v>582312</v>
      </c>
      <c r="E11" s="50">
        <v>660774.99999999988</v>
      </c>
      <c r="F11" s="50">
        <v>676477.5</v>
      </c>
      <c r="G11" s="17">
        <f t="shared" si="0"/>
        <v>2258182</v>
      </c>
      <c r="H11" s="17">
        <f t="shared" si="1"/>
        <v>106334.38708814426</v>
      </c>
      <c r="I11" s="17">
        <f t="shared" si="2"/>
        <v>2151847.6129118558</v>
      </c>
    </row>
    <row r="12" spans="1:9" ht="15.75" customHeight="1" x14ac:dyDescent="0.25">
      <c r="A12" s="5">
        <f t="shared" si="3"/>
        <v>2034</v>
      </c>
      <c r="B12" s="49">
        <v>92277</v>
      </c>
      <c r="C12" s="50">
        <v>330937</v>
      </c>
      <c r="D12" s="50">
        <v>579270</v>
      </c>
      <c r="E12" s="50">
        <v>654086.5</v>
      </c>
      <c r="F12" s="50">
        <v>674362</v>
      </c>
      <c r="G12" s="17">
        <f t="shared" si="0"/>
        <v>2238655.5</v>
      </c>
      <c r="H12" s="17">
        <f t="shared" si="1"/>
        <v>105594.01486518754</v>
      </c>
      <c r="I12" s="17">
        <f t="shared" si="2"/>
        <v>2133061.4851348125</v>
      </c>
    </row>
    <row r="13" spans="1:9" ht="15.75" customHeight="1" x14ac:dyDescent="0.25">
      <c r="A13" s="5">
        <f t="shared" si="3"/>
        <v>2035</v>
      </c>
      <c r="B13" s="49">
        <v>91851</v>
      </c>
      <c r="C13" s="50">
        <v>321300.5</v>
      </c>
      <c r="D13" s="50">
        <v>579461.5</v>
      </c>
      <c r="E13" s="50">
        <v>644542</v>
      </c>
      <c r="F13" s="50">
        <v>667265.5</v>
      </c>
      <c r="G13" s="17">
        <f t="shared" si="0"/>
        <v>2212569.5</v>
      </c>
      <c r="H13" s="17">
        <f t="shared" si="1"/>
        <v>105106.53639999502</v>
      </c>
      <c r="I13" s="17">
        <f t="shared" si="2"/>
        <v>2107462.963600005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OBYJlDUphQHN9ZapxkHqMRa8tatv9agRGoMDntOjRgqfPj4eznLRddC64ecnhY9vh57jXty5ODpmsRnIovGH2A==" saltValue="I7g8UpDn9zf5rdVOsZD/A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0.1140902</v>
      </c>
    </row>
    <row r="5" spans="1:8" ht="15.75" customHeight="1" x14ac:dyDescent="0.25">
      <c r="B5" s="19" t="s">
        <v>80</v>
      </c>
      <c r="C5" s="101">
        <v>0.1053632</v>
      </c>
    </row>
    <row r="6" spans="1:8" ht="15.75" customHeight="1" x14ac:dyDescent="0.25">
      <c r="B6" s="19" t="s">
        <v>81</v>
      </c>
      <c r="C6" s="101">
        <v>0.1239611999999998</v>
      </c>
    </row>
    <row r="7" spans="1:8" ht="15.75" customHeight="1" x14ac:dyDescent="0.25">
      <c r="B7" s="19" t="s">
        <v>82</v>
      </c>
      <c r="C7" s="101">
        <v>0.33435490000000018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0.18478</v>
      </c>
    </row>
    <row r="10" spans="1:8" ht="15.75" customHeight="1" x14ac:dyDescent="0.25">
      <c r="B10" s="19" t="s">
        <v>85</v>
      </c>
      <c r="C10" s="101">
        <v>0.13745049999999989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3.8033273814434908E-2</v>
      </c>
      <c r="D14" s="55">
        <v>3.8033273814434908E-2</v>
      </c>
      <c r="E14" s="55">
        <v>3.8033273814434908E-2</v>
      </c>
      <c r="F14" s="55">
        <v>3.8033273814434908E-2</v>
      </c>
    </row>
    <row r="15" spans="1:8" ht="15.75" customHeight="1" x14ac:dyDescent="0.25">
      <c r="B15" s="19" t="s">
        <v>88</v>
      </c>
      <c r="C15" s="101">
        <v>0.281737931796603</v>
      </c>
      <c r="D15" s="101">
        <v>0.281737931796603</v>
      </c>
      <c r="E15" s="101">
        <v>0.281737931796603</v>
      </c>
      <c r="F15" s="101">
        <v>0.281737931796603</v>
      </c>
    </row>
    <row r="16" spans="1:8" ht="15.75" customHeight="1" x14ac:dyDescent="0.25">
      <c r="B16" s="19" t="s">
        <v>89</v>
      </c>
      <c r="C16" s="101">
        <v>9.9135393561145146E-2</v>
      </c>
      <c r="D16" s="101">
        <v>9.9135393561145146E-2</v>
      </c>
      <c r="E16" s="101">
        <v>9.9135393561145146E-2</v>
      </c>
      <c r="F16" s="101">
        <v>9.9135393561145146E-2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9.0770348326293812E-2</v>
      </c>
      <c r="D19" s="101">
        <v>9.0770348326293812E-2</v>
      </c>
      <c r="E19" s="101">
        <v>9.0770348326293812E-2</v>
      </c>
      <c r="F19" s="101">
        <v>9.0770348326293812E-2</v>
      </c>
    </row>
    <row r="20" spans="1:8" ht="15.75" customHeight="1" x14ac:dyDescent="0.25">
      <c r="B20" s="19" t="s">
        <v>93</v>
      </c>
      <c r="C20" s="101">
        <v>0.1381062373663336</v>
      </c>
      <c r="D20" s="101">
        <v>0.1381062373663336</v>
      </c>
      <c r="E20" s="101">
        <v>0.1381062373663336</v>
      </c>
      <c r="F20" s="101">
        <v>0.1381062373663336</v>
      </c>
    </row>
    <row r="21" spans="1:8" ht="15.75" customHeight="1" x14ac:dyDescent="0.25">
      <c r="B21" s="19" t="s">
        <v>94</v>
      </c>
      <c r="C21" s="101">
        <v>0.26144625539141192</v>
      </c>
      <c r="D21" s="101">
        <v>0.26144625539141192</v>
      </c>
      <c r="E21" s="101">
        <v>0.26144625539141192</v>
      </c>
      <c r="F21" s="101">
        <v>0.26144625539141192</v>
      </c>
    </row>
    <row r="22" spans="1:8" ht="15.75" customHeight="1" x14ac:dyDescent="0.25">
      <c r="B22" s="19" t="s">
        <v>95</v>
      </c>
      <c r="C22" s="101">
        <v>9.0770559743777526E-2</v>
      </c>
      <c r="D22" s="101">
        <v>9.0770559743777526E-2</v>
      </c>
      <c r="E22" s="101">
        <v>9.0770559743777526E-2</v>
      </c>
      <c r="F22" s="101">
        <v>9.0770559743777526E-2</v>
      </c>
    </row>
    <row r="23" spans="1:8" ht="15.75" customHeight="1" x14ac:dyDescent="0.25">
      <c r="B23" s="27" t="s">
        <v>41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2.9679839999999999E-2</v>
      </c>
    </row>
    <row r="27" spans="1:8" ht="15.75" customHeight="1" x14ac:dyDescent="0.25">
      <c r="B27" s="19" t="s">
        <v>102</v>
      </c>
      <c r="C27" s="101">
        <v>2.1739139000000001E-2</v>
      </c>
    </row>
    <row r="28" spans="1:8" ht="15.75" customHeight="1" x14ac:dyDescent="0.25">
      <c r="B28" s="19" t="s">
        <v>103</v>
      </c>
      <c r="C28" s="101">
        <v>0.105935959</v>
      </c>
    </row>
    <row r="29" spans="1:8" ht="15.75" customHeight="1" x14ac:dyDescent="0.25">
      <c r="B29" s="19" t="s">
        <v>104</v>
      </c>
      <c r="C29" s="101">
        <v>0.11928900100000001</v>
      </c>
    </row>
    <row r="30" spans="1:8" ht="15.75" customHeight="1" x14ac:dyDescent="0.25">
      <c r="B30" s="19" t="s">
        <v>2</v>
      </c>
      <c r="C30" s="101">
        <v>5.9336512000000001E-2</v>
      </c>
    </row>
    <row r="31" spans="1:8" ht="15.75" customHeight="1" x14ac:dyDescent="0.25">
      <c r="B31" s="19" t="s">
        <v>105</v>
      </c>
      <c r="C31" s="101">
        <v>0.21511585599999999</v>
      </c>
    </row>
    <row r="32" spans="1:8" ht="15.75" customHeight="1" x14ac:dyDescent="0.25">
      <c r="B32" s="19" t="s">
        <v>106</v>
      </c>
      <c r="C32" s="101">
        <v>9.6009434000000005E-2</v>
      </c>
    </row>
    <row r="33" spans="2:3" ht="15.75" customHeight="1" x14ac:dyDescent="0.25">
      <c r="B33" s="19" t="s">
        <v>107</v>
      </c>
      <c r="C33" s="101">
        <v>7.9330116000000006E-2</v>
      </c>
    </row>
    <row r="34" spans="2:3" ht="15.75" customHeight="1" x14ac:dyDescent="0.25">
      <c r="B34" s="19" t="s">
        <v>108</v>
      </c>
      <c r="C34" s="101">
        <v>0.27356414400000001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Cp4AKLLCJzN/iTHIRrD1IdnY0a/Wb5twbOD7/lKj8wuPqNVIzuiuFdxM6hP6prAqW97gG9TVPea0yqCM89mwew==" saltValue="qGNjgkHfChSEbQT1t6e4n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0.68485481924739933</v>
      </c>
      <c r="D2" s="52">
        <f>IFERROR(1-_xlfn.NORM.DIST(_xlfn.NORM.INV(SUM(D4:D5), 0, 1) + 1, 0, 1, TRUE), "")</f>
        <v>0.68485481924739933</v>
      </c>
      <c r="E2" s="52">
        <f>IFERROR(1-_xlfn.NORM.DIST(_xlfn.NORM.INV(SUM(E4:E5), 0, 1) + 1, 0, 1, TRUE), "")</f>
        <v>0.81455925434745047</v>
      </c>
      <c r="F2" s="52">
        <f>IFERROR(1-_xlfn.NORM.DIST(_xlfn.NORM.INV(SUM(F4:F5), 0, 1) + 1, 0, 1, TRUE), "")</f>
        <v>0.65889496102337786</v>
      </c>
      <c r="G2" s="52">
        <f>IFERROR(1-_xlfn.NORM.DIST(_xlfn.NORM.INV(SUM(G4:G5), 0, 1) + 1, 0, 1, TRUE), "")</f>
        <v>0.67024705976319832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0.24588428075260066</v>
      </c>
      <c r="D3" s="52">
        <f>IFERROR(_xlfn.NORM.DIST(_xlfn.NORM.INV(SUM(D4:D5), 0, 1) + 1, 0, 1, TRUE) - SUM(D4:D5), "")</f>
        <v>0.24588428075260066</v>
      </c>
      <c r="E3" s="52">
        <f>IFERROR(_xlfn.NORM.DIST(_xlfn.NORM.INV(SUM(E4:E5), 0, 1) + 1, 0, 1, TRUE) - SUM(E4:E5), "")</f>
        <v>0.15638284565254959</v>
      </c>
      <c r="F3" s="52">
        <f>IFERROR(_xlfn.NORM.DIST(_xlfn.NORM.INV(SUM(F4:F5), 0, 1) + 1, 0, 1, TRUE) - SUM(F4:F5), "")</f>
        <v>0.26175383897662213</v>
      </c>
      <c r="G3" s="52">
        <f>IFERROR(_xlfn.NORM.DIST(_xlfn.NORM.INV(SUM(G4:G5), 0, 1) + 1, 0, 1, TRUE) - SUM(G4:G5), "")</f>
        <v>0.25490344023680167</v>
      </c>
    </row>
    <row r="4" spans="1:15" ht="15.75" customHeight="1" x14ac:dyDescent="0.25">
      <c r="B4" s="5" t="s">
        <v>114</v>
      </c>
      <c r="C4" s="45">
        <v>6.6390299999999999E-2</v>
      </c>
      <c r="D4" s="53">
        <v>6.6390299999999999E-2</v>
      </c>
      <c r="E4" s="53">
        <v>2.9057900000000001E-2</v>
      </c>
      <c r="F4" s="53">
        <v>7.5866900000000001E-2</v>
      </c>
      <c r="G4" s="53">
        <v>7.2968000000000005E-2</v>
      </c>
    </row>
    <row r="5" spans="1:15" ht="15.75" customHeight="1" x14ac:dyDescent="0.25">
      <c r="B5" s="5" t="s">
        <v>115</v>
      </c>
      <c r="C5" s="45">
        <v>2.8706000000000001E-3</v>
      </c>
      <c r="D5" s="53">
        <v>2.8706000000000001E-3</v>
      </c>
      <c r="E5" s="53">
        <v>0</v>
      </c>
      <c r="F5" s="53">
        <v>3.4843000000000001E-3</v>
      </c>
      <c r="G5" s="53">
        <v>1.8814999999999999E-3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0.75896258203655209</v>
      </c>
      <c r="D8" s="52">
        <f>IFERROR(1-_xlfn.NORM.DIST(_xlfn.NORM.INV(SUM(D10:D11), 0, 1) + 1, 0, 1, TRUE), "")</f>
        <v>0.75896258203655209</v>
      </c>
      <c r="E8" s="52">
        <f>IFERROR(1-_xlfn.NORM.DIST(_xlfn.NORM.INV(SUM(E10:E11), 0, 1) + 1, 0, 1, TRUE), "")</f>
        <v>0.83791117953739236</v>
      </c>
      <c r="F8" s="52">
        <f>IFERROR(1-_xlfn.NORM.DIST(_xlfn.NORM.INV(SUM(F10:F11), 0, 1) + 1, 0, 1, TRUE), "")</f>
        <v>0.853063761053518</v>
      </c>
      <c r="G8" s="52">
        <f>IFERROR(1-_xlfn.NORM.DIST(_xlfn.NORM.INV(SUM(G10:G11), 0, 1) + 1, 0, 1, TRUE), "")</f>
        <v>0.86964864494147098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0.19675051796344789</v>
      </c>
      <c r="D9" s="52">
        <f>IFERROR(_xlfn.NORM.DIST(_xlfn.NORM.INV(SUM(D10:D11), 0, 1) + 1, 0, 1, TRUE) - SUM(D10:D11), "")</f>
        <v>0.19675051796344789</v>
      </c>
      <c r="E9" s="52">
        <f>IFERROR(_xlfn.NORM.DIST(_xlfn.NORM.INV(SUM(E10:E11), 0, 1) + 1, 0, 1, TRUE) - SUM(E10:E11), "")</f>
        <v>0.13856712046260766</v>
      </c>
      <c r="F9" s="52">
        <f>IFERROR(_xlfn.NORM.DIST(_xlfn.NORM.INV(SUM(F10:F11), 0, 1) + 1, 0, 1, TRUE) - SUM(F10:F11), "")</f>
        <v>0.12673763894648199</v>
      </c>
      <c r="G9" s="52">
        <f>IFERROR(_xlfn.NORM.DIST(_xlfn.NORM.INV(SUM(G10:G11), 0, 1) + 1, 0, 1, TRUE) - SUM(G10:G11), "")</f>
        <v>0.11354685505852902</v>
      </c>
    </row>
    <row r="10" spans="1:15" ht="15.75" customHeight="1" x14ac:dyDescent="0.25">
      <c r="B10" s="5" t="s">
        <v>119</v>
      </c>
      <c r="C10" s="45">
        <v>2.0957400000000001E-2</v>
      </c>
      <c r="D10" s="53">
        <v>2.0957400000000001E-2</v>
      </c>
      <c r="E10" s="53">
        <v>1.6555899999999998E-2</v>
      </c>
      <c r="F10" s="53">
        <v>1.7121999999999998E-2</v>
      </c>
      <c r="G10" s="53">
        <v>1.17929E-2</v>
      </c>
    </row>
    <row r="11" spans="1:15" ht="15.75" customHeight="1" x14ac:dyDescent="0.25">
      <c r="B11" s="5" t="s">
        <v>120</v>
      </c>
      <c r="C11" s="45">
        <v>2.33295E-2</v>
      </c>
      <c r="D11" s="53">
        <v>2.33295E-2</v>
      </c>
      <c r="E11" s="53">
        <v>6.9657999999999994E-3</v>
      </c>
      <c r="F11" s="53">
        <v>3.0766000000000001E-3</v>
      </c>
      <c r="G11" s="53">
        <v>5.0116000000000006E-3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0.34035478875000003</v>
      </c>
      <c r="D14" s="54">
        <v>0.31335189346999998</v>
      </c>
      <c r="E14" s="54">
        <v>0.31335189346999998</v>
      </c>
      <c r="F14" s="54">
        <v>0.19796945741300001</v>
      </c>
      <c r="G14" s="54">
        <v>0.19796945741300001</v>
      </c>
      <c r="H14" s="45">
        <v>0.28499999999999998</v>
      </c>
      <c r="I14" s="55">
        <v>0.28499999999999998</v>
      </c>
      <c r="J14" s="55">
        <v>0.28499999999999998</v>
      </c>
      <c r="K14" s="55">
        <v>0.28499999999999998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0.19614714546620254</v>
      </c>
      <c r="D15" s="52">
        <f t="shared" si="0"/>
        <v>0.18058532291054796</v>
      </c>
      <c r="E15" s="52">
        <f t="shared" si="0"/>
        <v>0.18058532291054796</v>
      </c>
      <c r="F15" s="52">
        <f t="shared" si="0"/>
        <v>0.11409019424602675</v>
      </c>
      <c r="G15" s="52">
        <f t="shared" si="0"/>
        <v>0.11409019424602675</v>
      </c>
      <c r="H15" s="52">
        <f t="shared" si="0"/>
        <v>0.16424607000000002</v>
      </c>
      <c r="I15" s="52">
        <f t="shared" si="0"/>
        <v>0.16424607000000002</v>
      </c>
      <c r="J15" s="52">
        <f t="shared" si="0"/>
        <v>0.16424607000000002</v>
      </c>
      <c r="K15" s="52">
        <f t="shared" si="0"/>
        <v>0.16424607000000002</v>
      </c>
      <c r="L15" s="52">
        <f t="shared" si="0"/>
        <v>0.14407550000000002</v>
      </c>
      <c r="M15" s="52">
        <f t="shared" si="0"/>
        <v>0.14407550000000002</v>
      </c>
      <c r="N15" s="52">
        <f t="shared" si="0"/>
        <v>0.14407550000000002</v>
      </c>
      <c r="O15" s="52">
        <f t="shared" si="0"/>
        <v>0.14407550000000002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SvAkEU16R+Q2gBbWRL+NlsaLqZIXC5kmHwqsqdV69RwNAQKUn3kOrqGqAzi0ZGIyZ7sJpV5wO8pNfcj9sgQ1A==" saltValue="Aub255j7qit8O3a3ELI2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0.85080100000000003</v>
      </c>
      <c r="D2" s="53">
        <v>0.36791390000000002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0.1190153</v>
      </c>
      <c r="D3" s="53">
        <v>0.13744600000000001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3.0183700000000001E-2</v>
      </c>
      <c r="D4" s="53">
        <v>0.3566627</v>
      </c>
      <c r="E4" s="53">
        <v>0.53054849999999998</v>
      </c>
      <c r="F4" s="53">
        <v>0.24713470000000001</v>
      </c>
      <c r="G4" s="53">
        <v>0</v>
      </c>
    </row>
    <row r="5" spans="1:7" x14ac:dyDescent="0.25">
      <c r="B5" s="3" t="s">
        <v>132</v>
      </c>
      <c r="C5" s="52">
        <v>0</v>
      </c>
      <c r="D5" s="52">
        <v>0.1379774</v>
      </c>
      <c r="E5" s="52">
        <f>1-SUM(E2:E4)</f>
        <v>0.46945150000000002</v>
      </c>
      <c r="F5" s="52">
        <f>1-SUM(F2:F4)</f>
        <v>0.75286529999999996</v>
      </c>
      <c r="G5" s="52">
        <f>1-SUM(G2:G4)</f>
        <v>1</v>
      </c>
    </row>
  </sheetData>
  <sheetProtection algorithmName="SHA-512" hashValue="evmHAfG5+BWyGbkpQ56nEIo/VaTMjh40WW8Ni71QBvL3ZwBVsbtGd5srAtMDOSWvR1DzGzQcdpfD8Dj+w6aR4Q==" saltValue="X062DV9ARz5mJ2Ysi8HjC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LVdV1oszhd8+9kOehSj5XL17PQpJDASNB848Z7LSlSoKvcj7wyjOnG20OdqEGb+Rlpe4+quTpgdmVy+UNqYUg==" saltValue="E8bWoWGSgYbcDfMEhyLhP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vuqAx2dIXvQw9AA7w1zN0NSpmVfCzXqbw6DWB/X653ZQ2lgNdaJFCfZdGy94qv8vVrVeT3qV9f/V2NBHMapJww==" saltValue="AEhd4DpfMJl9FKTFFI0qn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UIDYgHQ9WO4+q3vp/i1RZyvWcLBZaiMmNrdZV/vxp3x8UI5Sg05KR4p5eLlzX/fK8UTlmFrdBrN6KSnvq0Efyg==" saltValue="SPvSMren6DAx9qF1dAU5N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izwmq5LgXZ3cQT1vtQWMYJJ0R7S8eBpwM48pKJmvc1Bh7liH+ZRpkI8/xrcxSpZnKj+LsBULDkTEajorbj7auw==" saltValue="GS7bVKwuUfQdFZ0IBvoeX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83.013851094978818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40.440126307838547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806.1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9.8831856591429368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13.57242575163446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13.57242575163446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13.57242575163446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13.57242575163446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13.57242575163446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13.57242575163446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1.27919155152981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0.50578611111111105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0.36791390000000002</v>
      </c>
      <c r="C18" s="98">
        <v>0.95</v>
      </c>
      <c r="D18" s="56">
        <v>18.465600261324941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0.36791390000000002</v>
      </c>
      <c r="C19" s="98">
        <v>0.95</v>
      </c>
      <c r="D19" s="56">
        <v>18.465600261324941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143.79383063706061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23.715420771638289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4.6294916046252768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0.918145914718136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19.135548002264301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0.35173209999999999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0.47701749999999998</v>
      </c>
      <c r="C29" s="98">
        <v>0.95</v>
      </c>
      <c r="D29" s="56">
        <v>170.67126179613081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1.646089855331895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2.8042389349532271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0.93379220000000007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0.87967550000000005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8.3532200000000001E-2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0.79862369999999994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0.16102330000000001</v>
      </c>
      <c r="C38" s="98">
        <v>0.95</v>
      </c>
      <c r="D38" s="56">
        <v>1.831778577435033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G3qy6udwf06rSomZF0CDFK3WFZClrf+hsejESVrAZNLl09xtkMdJxheapJxJ5Stebx2YRulkFoU2rYCnUITBsw==" saltValue="oGM7EXz5/E1VDSylPK6u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45olKtSOfSBbpEN+K4eUg8lg/CoJcehHqEdbHZ78w9OlEmbq16WY1dx2iBQNR+FG+fVwSmsNhD3Ss1hGhtKVLw==" saltValue="YN93T9WEm+4v6bmR/eHCG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l2sZAyaJfGazFEa+oC8KSZUee2wBPOdfzR9Lp2JbFb6sGJ0e1i4vBbPXcPQSOBH49juCnt9rIBSV8UdidvuqdQ==" saltValue="608/kjGPFqgrWVxnGqm4P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5.4489240000000001E-2</v>
      </c>
      <c r="C3" s="21">
        <f>frac_mam_1_5months * 2.6</f>
        <v>5.4489240000000001E-2</v>
      </c>
      <c r="D3" s="21">
        <f>frac_mam_6_11months * 2.6</f>
        <v>4.3045339999999994E-2</v>
      </c>
      <c r="E3" s="21">
        <f>frac_mam_12_23months * 2.6</f>
        <v>4.45172E-2</v>
      </c>
      <c r="F3" s="21">
        <f>frac_mam_24_59months * 2.6</f>
        <v>3.0661540000000001E-2</v>
      </c>
    </row>
    <row r="4" spans="1:6" ht="15.75" customHeight="1" x14ac:dyDescent="0.25">
      <c r="A4" s="3" t="s">
        <v>208</v>
      </c>
      <c r="B4" s="21">
        <f>frac_sam_1month * 2.6</f>
        <v>6.0656700000000001E-2</v>
      </c>
      <c r="C4" s="21">
        <f>frac_sam_1_5months * 2.6</f>
        <v>6.0656700000000001E-2</v>
      </c>
      <c r="D4" s="21">
        <f>frac_sam_6_11months * 2.6</f>
        <v>1.8111079999999998E-2</v>
      </c>
      <c r="E4" s="21">
        <f>frac_sam_12_23months * 2.6</f>
        <v>7.99916E-3</v>
      </c>
      <c r="F4" s="21">
        <f>frac_sam_24_59months * 2.6</f>
        <v>1.3030160000000002E-2</v>
      </c>
    </row>
  </sheetData>
  <sheetProtection algorithmName="SHA-512" hashValue="Bh2D4q2ylnlmofVuf0UwKm7YJ2p9fu6AOXnrr3+jagkbAbOgm9t9Pkanke/pNEBaVLYvhKdbemDjK9xWw+v5Sg==" saltValue="D3qxxl23w4a22uXtx22g2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0.11600000000000001</v>
      </c>
      <c r="M24" s="60">
        <f>famplan_unmet_need</f>
        <v>0.11600000000000001</v>
      </c>
      <c r="N24" s="60">
        <f>famplan_unmet_need</f>
        <v>0.11600000000000001</v>
      </c>
      <c r="O24" s="60">
        <f>famplan_unmet_need</f>
        <v>0.11600000000000001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5.2958994430541827E-2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2.2696711898803641E-2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3.1733514862060448E-2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0.89261077880859407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/G/51fFodIM2apDEJPzIH+dL9zQaG48uLCylxJy5TKuq7e2brTCNN0UIaWgtT838nhfecLNvtxUFBEraSnIrg==" saltValue="E+E+0Jn528/zMb4ulhjFM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++WLvTYGkYJMDrWoKQWoaS4rKigLewJsza0MIUEjtigaaaR5iVMPryjnDKje6OsZbrzFJUot1NsVroN1TH1JHg==" saltValue="4QFshXpF/0QygP1Oi2yMY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3Qz+sRafiUiLUK4sfDZnw1e1cvEYATGvfrnU/TryijkkWJ3tyIX26CJZ6xZs5Org30HLpW/qY1wSuUKttin/Lw==" saltValue="ekcUUcr7kb5t86wM9DSIV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3gT282qp6E7HZnjNYBLpeRlSibL4lgn19+s+m9H4cOgV1qrhwWHeW4QzeNCyn44UYg7W7kIcet8Sk8VDzltGw==" saltValue="ZZ5eS1OEew8DLDBnR7/ya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Hn0Ir5AxIGE47vHgfzHtZeX0w4mAeBXF5aIU5jsKT1hcz2eDs/h0xmzEtLRwdVWiLtBjt3azij7i95J67YCexg==" saltValue="cX9khE0l3xm33jcsUol2Z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nUCATjfkLAoIvYWgVvpCdCrV/PfXzdgAkvb/SUg9+/wmUN5sTLzilhDQG2ZbyBjam/Po0aE2bgjf4mKyn8lxOw==" saltValue="C8asKgQTvKYMX+5u8MzUW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XWUSux7Y5RZRbNkl+LZVLgMxkdfLBvwazifFhMHe9Q2VLAmM5PR8hmC2hTbuNsie0ZoGkIgtEpzpPnNkMRnYA==" saltValue="GQ/DpEzpPUCezPhEW5QJ6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O3sTkIEHA1PEl7I+k5vWis4MpMqjNx9WK1P3NLruZOF/C2GSpl2WDyq62ejPl7/8dxDgTr0HjVuueJw9equfQ==" saltValue="9pIcHC8OwIS3mPLMfknS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7//Ba5ZuuBpORjrZc9gm97XU0uRvYlza+BBXHc0b5SI8t1lgbEZN9E2eFXKiwSJewgozcbKPWmJLol/H6r7+Q==" saltValue="B9ovzTQFtkWtmH8ARcaI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iDjzwAt/wtFlhspO1L774lj5t43dwAArT7aGZvG3V1rPalFafEJCRVLd2KQ/Sf0zmpx11PTcdHbO7krzAL+zXA==" saltValue="vLZObyDUSxhGnV2/pw6A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DY9u4JP1d5lt0t7viL53SHwCIAFovEXoGrdz//VfWFO19j0aUpFcKIMJdlOz/J4ilF9B1ZkiS0hxaCLQQ0rTlw==" saltValue="v8uRKsPeXLHKEXVQUbD1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IM/Qcc2vYwkGQp9vIJSFft3Q/uNWtuZUHreUJ5muT8vJxPPFt56BFpMM5d06ciIgbTeFH3C76uGEtMXbwYe0Q==" saltValue="8pmd9jCKGsTxkW/4ULbB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kbrfx9Loo3wd1oWi5R5B00nExBjmCPtM5Zo5Xa5F/BuAa7g0DLhFEgXrax0blk+DuUqf/xSaw09PO1RwGLwIQ==" saltValue="t795QztTXg1iJKO/5Cst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0.1093175252419063</v>
      </c>
      <c r="G18" s="90">
        <f>MIN(MAX(1-0.89/(1-frac_sam_12_23months+(frac_sam_12_23months*0.89)),0),1)</f>
        <v>0.10969869889187112</v>
      </c>
      <c r="H18" s="90">
        <f>MIN(MAX(1-0.89/(1-frac_sam_24_59months+(frac_sam_24_59months*0.89)),0),1)</f>
        <v>0.10950909373515794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0.10837622024512317</v>
      </c>
      <c r="G20" s="90">
        <f>MIN(MAX(1-0.89/(1-frac_mam_12_23months+(frac_mam_12_23months*0.89)),0),1)</f>
        <v>0.10832059317159126</v>
      </c>
      <c r="H20" s="90">
        <f>MIN(MAX(1-0.89/(1-frac_mam_24_59months+(frac_mam_24_59months*0.89)),0),1)</f>
        <v>0.10884397547301916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9.9310337759507261E-3</v>
      </c>
      <c r="G73" s="90">
        <f>MIN(MAX(1-0.99/(1-frac_sam_12_23months+(frac_sam_12_23months*0.99)),0),1)</f>
        <v>9.9695407228899136E-3</v>
      </c>
      <c r="H73" s="90">
        <f>MIN(MAX(1-0.99/(1-frac_sam_24_59months+(frac_sam_24_59months*0.99)),0),1)</f>
        <v>9.9503826733779999E-3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9.8360694498220713E-3</v>
      </c>
      <c r="G75" s="90">
        <f>MIN(MAX(1-0.99/(1-frac_mam_12_23months+(frac_mam_12_23months*0.99)),0),1)</f>
        <v>9.8304631719043911E-3</v>
      </c>
      <c r="H75" s="90">
        <f>MIN(MAX(1-0.99/(1-frac_mam_24_59months+(frac_mam_24_59months*0.99)),0),1)</f>
        <v>9.8832365201996231E-3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0.19888391711797204</v>
      </c>
      <c r="G128" s="90">
        <f>MIN(MAX(1-0.8/(1-frac_sam_12_23months+(frac_sam_12_23months*0.8)),0),1)</f>
        <v>0.199507440918546</v>
      </c>
      <c r="H128" s="90">
        <f>MIN(MAX(1-0.8/(1-frac_sam_24_59months+(frac_sam_24_59months*0.8)),0),1)</f>
        <v>0.19919733947730489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0.19734225573032915</v>
      </c>
      <c r="G130" s="90">
        <f>MIN(MAX(1-0.8/(1-frac_mam_12_23months+(frac_mam_12_23months*0.8)),0),1)</f>
        <v>0.19725106655230162</v>
      </c>
      <c r="H130" s="90">
        <f>MIN(MAX(1-0.8/(1-frac_mam_24_59months+(frac_mam_24_59months*0.8)),0),1)</f>
        <v>0.19810867515905661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6+7B0kGmLsqxzucfr4d28P3kkQ79TszaRbbZyjW31WOSajzR1a4yNqRKHETjeEG9Em4GLO8eO04Wmg7HVK5Hug==" saltValue="ggEtaKA+bGsBDwPvj8b7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yCDIzSlhNHuEZ6vjnVQcBykgvWp5KanVydatoQvU08eZ+oIiA8RnDfnJqCSyTEnbVkK7fC7zd6dW9+hNsvEHpg==" saltValue="8+az5+KzQ5KAJz9QPR6PC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2024-08-06T08:57:46Z</dcterms:modified>
</cp:coreProperties>
</file>