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878987B8-87FB-4E75-8EA7-5533B3E1DE3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7" i="2"/>
  <c r="A34" i="2"/>
  <c r="A31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4" i="2" l="1"/>
  <c r="A25" i="2"/>
  <c r="I6" i="2"/>
  <c r="I12" i="2"/>
  <c r="A35" i="2"/>
  <c r="I11" i="2"/>
  <c r="A36" i="2"/>
  <c r="A19" i="2"/>
  <c r="A22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<sst xmlns="http://schemas.openxmlformats.org/spreadsheetml/2006/main" count="2169" uniqueCount="369">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</sst>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333702.49999999988</v>
      </c>
    </row>
    <row r="8" spans="1:3" ht="15" customHeight="1" x14ac:dyDescent="0.25">
      <c r="B8" s="5" t="s">
        <v>37</v>
      </c>
      <c r="C8" s="44">
        <v>0.17399999999999999</v>
      </c>
    </row>
    <row r="9" spans="1:3" ht="15" customHeight="1" x14ac:dyDescent="0.25">
      <c r="B9" s="5" t="s">
        <v>38</v>
      </c>
      <c r="C9" s="45">
        <v>0.27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0.1114</v>
      </c>
    </row>
    <row r="24" spans="1:3" ht="15" customHeight="1" x14ac:dyDescent="0.25">
      <c r="B24" s="15" t="s">
        <v>51</v>
      </c>
      <c r="C24" s="45">
        <v>0.47339999999999999</v>
      </c>
    </row>
    <row r="25" spans="1:3" ht="15" customHeight="1" x14ac:dyDescent="0.25">
      <c r="B25" s="15" t="s">
        <v>52</v>
      </c>
      <c r="C25" s="45">
        <v>0.35499999999999998</v>
      </c>
    </row>
    <row r="26" spans="1:3" ht="15" customHeight="1" x14ac:dyDescent="0.25">
      <c r="B26" s="15" t="s">
        <v>53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0.34290466666442998</v>
      </c>
    </row>
    <row r="30" spans="1:3" ht="14.25" customHeight="1" x14ac:dyDescent="0.25">
      <c r="B30" s="25" t="s">
        <v>56</v>
      </c>
      <c r="C30" s="97">
        <v>3.07454772021977E-2</v>
      </c>
    </row>
    <row r="31" spans="1:3" ht="14.25" customHeight="1" x14ac:dyDescent="0.25">
      <c r="B31" s="25" t="s">
        <v>57</v>
      </c>
      <c r="C31" s="97">
        <v>5.8505816356096703E-2</v>
      </c>
    </row>
    <row r="32" spans="1:3" ht="14.25" customHeight="1" x14ac:dyDescent="0.25">
      <c r="B32" s="25" t="s">
        <v>58</v>
      </c>
      <c r="C32" s="97">
        <v>0.56784403977727504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19.462630000000001</v>
      </c>
    </row>
    <row r="38" spans="1:5" ht="15" customHeight="1" x14ac:dyDescent="0.25">
      <c r="B38" s="11" t="s">
        <v>63</v>
      </c>
      <c r="C38" s="43">
        <v>29.38363</v>
      </c>
      <c r="D38" s="12"/>
      <c r="E38" s="13"/>
    </row>
    <row r="39" spans="1:5" ht="15" customHeight="1" x14ac:dyDescent="0.25">
      <c r="B39" s="11" t="s">
        <v>64</v>
      </c>
      <c r="C39" s="43">
        <v>39.043300000000002</v>
      </c>
      <c r="D39" s="12"/>
      <c r="E39" s="12"/>
    </row>
    <row r="40" spans="1:5" ht="15" customHeight="1" x14ac:dyDescent="0.25">
      <c r="B40" s="11" t="s">
        <v>65</v>
      </c>
      <c r="C40" s="98">
        <v>2.15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7.928300000000001E-3</v>
      </c>
      <c r="D45" s="12"/>
    </row>
    <row r="46" spans="1:5" ht="15.75" customHeight="1" x14ac:dyDescent="0.25">
      <c r="B46" s="11" t="s">
        <v>70</v>
      </c>
      <c r="C46" s="45">
        <v>8.5188199999999992E-2</v>
      </c>
      <c r="D46" s="12"/>
    </row>
    <row r="47" spans="1:5" ht="15.75" customHeight="1" x14ac:dyDescent="0.25">
      <c r="B47" s="11" t="s">
        <v>71</v>
      </c>
      <c r="C47" s="45">
        <v>7.3460999999999999E-2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3.1720000000000002</v>
      </c>
      <c r="D51" s="12"/>
    </row>
    <row r="52" spans="1:4" ht="15" customHeight="1" x14ac:dyDescent="0.25">
      <c r="B52" s="11" t="s">
        <v>75</v>
      </c>
      <c r="C52" s="98">
        <v>3.1720000000000002</v>
      </c>
    </row>
    <row r="53" spans="1:4" ht="15.75" customHeight="1" x14ac:dyDescent="0.25">
      <c r="B53" s="11" t="s">
        <v>76</v>
      </c>
      <c r="C53" s="98">
        <v>7.8519999999999994</v>
      </c>
    </row>
    <row r="54" spans="1:4" ht="15.75" customHeight="1" x14ac:dyDescent="0.25">
      <c r="B54" s="11" t="s">
        <v>77</v>
      </c>
      <c r="C54" s="98">
        <v>7.3060000000000009</v>
      </c>
    </row>
    <row r="55" spans="1:4" ht="15.75" customHeight="1" x14ac:dyDescent="0.25">
      <c r="B55" s="11" t="s">
        <v>78</v>
      </c>
      <c r="C55" s="98">
        <v>3.102666666666666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0.53307799999999994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y46m/w8EkcFN9iG8RdDmqt0GAbzisc28r4bV1+YtBZdyopWo0DOgBZbvHyI1+gkLm7EJEIQOOX4+F+dLCgoGNA==" saltValue="YHNXn33IUBm0kKuHUge5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78452</v>
      </c>
      <c r="C2" s="49">
        <v>141543.5</v>
      </c>
      <c r="D2" s="49">
        <v>258837</v>
      </c>
      <c r="E2" s="49">
        <v>227154.5</v>
      </c>
      <c r="F2" s="49">
        <v>151957.5</v>
      </c>
      <c r="G2" s="17">
        <f t="shared" ref="G2:G13" si="0">C2+D2+E2+F2</f>
        <v>779492.5</v>
      </c>
      <c r="H2" s="17">
        <f t="shared" ref="H2:H13" si="1">(B2 + stillbirth*B2/(1000-stillbirth))/(1-abortion)</f>
        <v>90717.437660075826</v>
      </c>
      <c r="I2" s="17">
        <f t="shared" ref="I2:I13" si="2">G2-H2</f>
        <v>688775.06233992416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78688</v>
      </c>
      <c r="C3" s="50">
        <v>146019</v>
      </c>
      <c r="D3" s="50">
        <v>258972</v>
      </c>
      <c r="E3" s="50">
        <v>234488</v>
      </c>
      <c r="F3" s="50">
        <v>158065.5</v>
      </c>
      <c r="G3" s="17">
        <f t="shared" si="0"/>
        <v>797544.5</v>
      </c>
      <c r="H3" s="17">
        <f t="shared" si="1"/>
        <v>90990.33465808451</v>
      </c>
      <c r="I3" s="17">
        <f t="shared" si="2"/>
        <v>706554.16534191545</v>
      </c>
    </row>
    <row r="4" spans="1:9" ht="15.75" customHeight="1" x14ac:dyDescent="0.25">
      <c r="A4" s="5">
        <f t="shared" si="3"/>
        <v>2026</v>
      </c>
      <c r="B4" s="49">
        <v>78927</v>
      </c>
      <c r="C4" s="50">
        <v>151270.5</v>
      </c>
      <c r="D4" s="50">
        <v>259418</v>
      </c>
      <c r="E4" s="50">
        <v>241112</v>
      </c>
      <c r="F4" s="50">
        <v>164205</v>
      </c>
      <c r="G4" s="17">
        <f t="shared" si="0"/>
        <v>816005.5</v>
      </c>
      <c r="H4" s="17">
        <f t="shared" si="1"/>
        <v>91266.700685728923</v>
      </c>
      <c r="I4" s="17">
        <f t="shared" si="2"/>
        <v>724738.79931427108</v>
      </c>
    </row>
    <row r="5" spans="1:9" ht="15.75" customHeight="1" x14ac:dyDescent="0.25">
      <c r="A5" s="5">
        <f t="shared" si="3"/>
        <v>2027</v>
      </c>
      <c r="B5" s="49">
        <v>79141</v>
      </c>
      <c r="C5" s="50">
        <v>155945.5</v>
      </c>
      <c r="D5" s="50">
        <v>260213.5</v>
      </c>
      <c r="E5" s="50">
        <v>247335.5</v>
      </c>
      <c r="F5" s="50">
        <v>170475.5</v>
      </c>
      <c r="G5" s="17">
        <f t="shared" si="0"/>
        <v>833970</v>
      </c>
      <c r="H5" s="17">
        <f t="shared" si="1"/>
        <v>91514.158133075776</v>
      </c>
      <c r="I5" s="17">
        <f t="shared" si="2"/>
        <v>742455.84186692419</v>
      </c>
    </row>
    <row r="6" spans="1:9" ht="15.75" customHeight="1" x14ac:dyDescent="0.25">
      <c r="A6" s="5">
        <f t="shared" si="3"/>
        <v>2028</v>
      </c>
      <c r="B6" s="49">
        <v>79377</v>
      </c>
      <c r="C6" s="50">
        <v>160496</v>
      </c>
      <c r="D6" s="50">
        <v>261438.5</v>
      </c>
      <c r="E6" s="50">
        <v>253058.5</v>
      </c>
      <c r="F6" s="50">
        <v>177186</v>
      </c>
      <c r="G6" s="17">
        <f t="shared" si="0"/>
        <v>852179</v>
      </c>
      <c r="H6" s="17">
        <f t="shared" si="1"/>
        <v>91787.055131084475</v>
      </c>
      <c r="I6" s="17">
        <f t="shared" si="2"/>
        <v>760391.94486891548</v>
      </c>
    </row>
    <row r="7" spans="1:9" ht="15.75" customHeight="1" x14ac:dyDescent="0.25">
      <c r="A7" s="5">
        <f t="shared" si="3"/>
        <v>2029</v>
      </c>
      <c r="B7" s="49">
        <v>79563</v>
      </c>
      <c r="C7" s="50">
        <v>165652.5</v>
      </c>
      <c r="D7" s="50">
        <v>262694</v>
      </c>
      <c r="E7" s="50">
        <v>258101.5</v>
      </c>
      <c r="F7" s="50">
        <v>184548</v>
      </c>
      <c r="G7" s="17">
        <f t="shared" si="0"/>
        <v>870996</v>
      </c>
      <c r="H7" s="17">
        <f t="shared" si="1"/>
        <v>92002.134968498096</v>
      </c>
      <c r="I7" s="17">
        <f t="shared" si="2"/>
        <v>778993.86503150186</v>
      </c>
    </row>
    <row r="8" spans="1:9" ht="15.75" customHeight="1" x14ac:dyDescent="0.25">
      <c r="A8" s="5">
        <f t="shared" si="3"/>
        <v>2030</v>
      </c>
      <c r="B8" s="49">
        <v>79751</v>
      </c>
      <c r="C8" s="50">
        <v>170769</v>
      </c>
      <c r="D8" s="50">
        <v>265358.5</v>
      </c>
      <c r="E8" s="50">
        <v>262015</v>
      </c>
      <c r="F8" s="50">
        <v>192623</v>
      </c>
      <c r="G8" s="17">
        <f t="shared" si="0"/>
        <v>890765.5</v>
      </c>
      <c r="H8" s="17">
        <f t="shared" si="1"/>
        <v>92219.527492335546</v>
      </c>
      <c r="I8" s="17">
        <f t="shared" si="2"/>
        <v>798545.97250766447</v>
      </c>
    </row>
    <row r="9" spans="1:9" ht="15.75" customHeight="1" x14ac:dyDescent="0.25">
      <c r="A9" s="5">
        <f t="shared" si="3"/>
        <v>2031</v>
      </c>
      <c r="B9" s="49">
        <v>80163</v>
      </c>
      <c r="C9" s="50">
        <v>175767</v>
      </c>
      <c r="D9" s="50">
        <v>270123</v>
      </c>
      <c r="E9" s="50">
        <v>264140.5</v>
      </c>
      <c r="F9" s="50">
        <v>201257.5</v>
      </c>
      <c r="G9" s="17">
        <f t="shared" si="0"/>
        <v>911288</v>
      </c>
      <c r="H9" s="17">
        <f t="shared" si="1"/>
        <v>92695.940895638836</v>
      </c>
      <c r="I9" s="17">
        <f t="shared" si="2"/>
        <v>818592.05910436111</v>
      </c>
    </row>
    <row r="10" spans="1:9" ht="15.75" customHeight="1" x14ac:dyDescent="0.25">
      <c r="A10" s="5">
        <f t="shared" si="3"/>
        <v>2032</v>
      </c>
      <c r="B10" s="49">
        <v>80561</v>
      </c>
      <c r="C10" s="50">
        <v>181135</v>
      </c>
      <c r="D10" s="50">
        <v>275943.99999999988</v>
      </c>
      <c r="E10" s="50">
        <v>264538.5</v>
      </c>
      <c r="F10" s="50">
        <v>210045</v>
      </c>
      <c r="G10" s="17">
        <f t="shared" si="0"/>
        <v>931662.49999999988</v>
      </c>
      <c r="H10" s="17">
        <f t="shared" si="1"/>
        <v>93156.165493975539</v>
      </c>
      <c r="I10" s="17">
        <f t="shared" si="2"/>
        <v>838506.33450602437</v>
      </c>
    </row>
    <row r="11" spans="1:9" ht="15.75" customHeight="1" x14ac:dyDescent="0.25">
      <c r="A11" s="5">
        <f t="shared" si="3"/>
        <v>2033</v>
      </c>
      <c r="B11" s="49">
        <v>81061</v>
      </c>
      <c r="C11" s="50">
        <v>186032</v>
      </c>
      <c r="D11" s="50">
        <v>282773</v>
      </c>
      <c r="E11" s="50">
        <v>263757</v>
      </c>
      <c r="F11" s="50">
        <v>218532.5</v>
      </c>
      <c r="G11" s="17">
        <f t="shared" si="0"/>
        <v>951094.5</v>
      </c>
      <c r="H11" s="17">
        <f t="shared" si="1"/>
        <v>93734.337099926153</v>
      </c>
      <c r="I11" s="17">
        <f t="shared" si="2"/>
        <v>857360.1629000738</v>
      </c>
    </row>
    <row r="12" spans="1:9" ht="15.75" customHeight="1" x14ac:dyDescent="0.25">
      <c r="A12" s="5">
        <f t="shared" si="3"/>
        <v>2034</v>
      </c>
      <c r="B12" s="49">
        <v>81466</v>
      </c>
      <c r="C12" s="50">
        <v>190012</v>
      </c>
      <c r="D12" s="50">
        <v>290690</v>
      </c>
      <c r="E12" s="50">
        <v>262740</v>
      </c>
      <c r="F12" s="50">
        <v>226329</v>
      </c>
      <c r="G12" s="17">
        <f t="shared" si="0"/>
        <v>969771</v>
      </c>
      <c r="H12" s="17">
        <f t="shared" si="1"/>
        <v>94202.656100746157</v>
      </c>
      <c r="I12" s="17">
        <f t="shared" si="2"/>
        <v>875568.34389925387</v>
      </c>
    </row>
    <row r="13" spans="1:9" ht="15.75" customHeight="1" x14ac:dyDescent="0.25">
      <c r="A13" s="5">
        <f t="shared" si="3"/>
        <v>2035</v>
      </c>
      <c r="B13" s="49">
        <v>81994</v>
      </c>
      <c r="C13" s="50">
        <v>194578</v>
      </c>
      <c r="D13" s="50">
        <v>299704.50000000012</v>
      </c>
      <c r="E13" s="50">
        <v>262500</v>
      </c>
      <c r="F13" s="50">
        <v>233335</v>
      </c>
      <c r="G13" s="17">
        <f t="shared" si="0"/>
        <v>990117.50000000012</v>
      </c>
      <c r="H13" s="17">
        <f t="shared" si="1"/>
        <v>94813.205316630017</v>
      </c>
      <c r="I13" s="17">
        <f t="shared" si="2"/>
        <v>895304.29468337004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y6GdPAjkBI+v/lKEXRmRUDAfAP9CJ3GE8AsF/YXhc0ZY5cs84mxPw5SephFou3E53gUqXJ9HbKOMbLW3UF93w==" saltValue="TGOnElUwQYEaGlcB6G0+2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1.0223598977640099E-2</v>
      </c>
    </row>
    <row r="4" spans="1:8" ht="15.75" customHeight="1" x14ac:dyDescent="0.25">
      <c r="B4" s="19" t="s">
        <v>97</v>
      </c>
      <c r="C4" s="99">
        <v>5.4527794547220461E-2</v>
      </c>
    </row>
    <row r="5" spans="1:8" ht="15.75" customHeight="1" x14ac:dyDescent="0.25">
      <c r="B5" s="19" t="s">
        <v>98</v>
      </c>
      <c r="C5" s="99">
        <v>6.7976193202380797E-2</v>
      </c>
    </row>
    <row r="6" spans="1:8" ht="15.75" customHeight="1" x14ac:dyDescent="0.25">
      <c r="B6" s="19" t="s">
        <v>99</v>
      </c>
      <c r="C6" s="99">
        <v>0.23703687629631159</v>
      </c>
    </row>
    <row r="7" spans="1:8" ht="15.75" customHeight="1" x14ac:dyDescent="0.25">
      <c r="B7" s="19" t="s">
        <v>100</v>
      </c>
      <c r="C7" s="99">
        <v>0.43144785685521458</v>
      </c>
    </row>
    <row r="8" spans="1:8" ht="15.75" customHeight="1" x14ac:dyDescent="0.25">
      <c r="B8" s="19" t="s">
        <v>101</v>
      </c>
      <c r="C8" s="99">
        <v>1.472199852780015E-3</v>
      </c>
    </row>
    <row r="9" spans="1:8" ht="15.75" customHeight="1" x14ac:dyDescent="0.25">
      <c r="B9" s="19" t="s">
        <v>102</v>
      </c>
      <c r="C9" s="99">
        <v>8.8945991105401023E-2</v>
      </c>
    </row>
    <row r="10" spans="1:8" ht="15.75" customHeight="1" x14ac:dyDescent="0.25">
      <c r="B10" s="19" t="s">
        <v>103</v>
      </c>
      <c r="C10" s="99">
        <v>0.1083694891630512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106</v>
      </c>
      <c r="C15" s="99">
        <v>0.1773419466739668</v>
      </c>
      <c r="D15" s="99">
        <v>0.1773419466739668</v>
      </c>
      <c r="E15" s="99">
        <v>0.1773419466739668</v>
      </c>
      <c r="F15" s="99">
        <v>0.1773419466739668</v>
      </c>
    </row>
    <row r="16" spans="1:8" ht="15.75" customHeight="1" x14ac:dyDescent="0.25">
      <c r="B16" s="19" t="s">
        <v>107</v>
      </c>
      <c r="C16" s="99">
        <v>2.0708961417743449E-2</v>
      </c>
      <c r="D16" s="99">
        <v>2.0708961417743449E-2</v>
      </c>
      <c r="E16" s="99">
        <v>2.0708961417743449E-2</v>
      </c>
      <c r="F16" s="99">
        <v>2.0708961417743449E-2</v>
      </c>
    </row>
    <row r="17" spans="1:8" ht="15.75" customHeight="1" x14ac:dyDescent="0.25">
      <c r="B17" s="19" t="s">
        <v>108</v>
      </c>
      <c r="C17" s="99">
        <v>1.200938691340392E-3</v>
      </c>
      <c r="D17" s="99">
        <v>1.200938691340392E-3</v>
      </c>
      <c r="E17" s="99">
        <v>1.200938691340392E-3</v>
      </c>
      <c r="F17" s="99">
        <v>1.200938691340392E-3</v>
      </c>
    </row>
    <row r="18" spans="1:8" ht="15.75" customHeight="1" x14ac:dyDescent="0.25">
      <c r="B18" s="19" t="s">
        <v>109</v>
      </c>
      <c r="C18" s="99">
        <v>2.0036074469009621E-3</v>
      </c>
      <c r="D18" s="99">
        <v>2.0036074469009621E-3</v>
      </c>
      <c r="E18" s="99">
        <v>2.0036074469009621E-3</v>
      </c>
      <c r="F18" s="99">
        <v>2.0036074469009621E-3</v>
      </c>
    </row>
    <row r="19" spans="1:8" ht="15.75" customHeight="1" x14ac:dyDescent="0.25">
      <c r="B19" s="19" t="s">
        <v>110</v>
      </c>
      <c r="C19" s="99">
        <v>3.8478101476373552E-2</v>
      </c>
      <c r="D19" s="99">
        <v>3.8478101476373552E-2</v>
      </c>
      <c r="E19" s="99">
        <v>3.8478101476373552E-2</v>
      </c>
      <c r="F19" s="99">
        <v>3.8478101476373552E-2</v>
      </c>
    </row>
    <row r="20" spans="1:8" ht="15.75" customHeight="1" x14ac:dyDescent="0.25">
      <c r="B20" s="19" t="s">
        <v>111</v>
      </c>
      <c r="C20" s="99">
        <v>0.28831162427767509</v>
      </c>
      <c r="D20" s="99">
        <v>0.28831162427767509</v>
      </c>
      <c r="E20" s="99">
        <v>0.28831162427767509</v>
      </c>
      <c r="F20" s="99">
        <v>0.28831162427767509</v>
      </c>
    </row>
    <row r="21" spans="1:8" ht="15.75" customHeight="1" x14ac:dyDescent="0.25">
      <c r="B21" s="19" t="s">
        <v>112</v>
      </c>
      <c r="C21" s="99">
        <v>0.1149372196793608</v>
      </c>
      <c r="D21" s="99">
        <v>0.1149372196793608</v>
      </c>
      <c r="E21" s="99">
        <v>0.1149372196793608</v>
      </c>
      <c r="F21" s="99">
        <v>0.1149372196793608</v>
      </c>
    </row>
    <row r="22" spans="1:8" ht="15.75" customHeight="1" x14ac:dyDescent="0.25">
      <c r="B22" s="19" t="s">
        <v>113</v>
      </c>
      <c r="C22" s="99">
        <v>0.2028221905242949</v>
      </c>
      <c r="D22" s="99">
        <v>0.2028221905242949</v>
      </c>
      <c r="E22" s="99">
        <v>0.2028221905242949</v>
      </c>
      <c r="F22" s="99">
        <v>0.2028221905242949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7.6914598000000015E-2</v>
      </c>
    </row>
    <row r="27" spans="1:8" ht="15.75" customHeight="1" x14ac:dyDescent="0.25">
      <c r="B27" s="19" t="s">
        <v>120</v>
      </c>
      <c r="C27" s="99">
        <v>7.5643810000000002E-3</v>
      </c>
    </row>
    <row r="28" spans="1:8" ht="15.75" customHeight="1" x14ac:dyDescent="0.25">
      <c r="B28" s="19" t="s">
        <v>121</v>
      </c>
      <c r="C28" s="99">
        <v>0.13334979499999999</v>
      </c>
    </row>
    <row r="29" spans="1:8" ht="15.75" customHeight="1" x14ac:dyDescent="0.25">
      <c r="B29" s="19" t="s">
        <v>122</v>
      </c>
      <c r="C29" s="99">
        <v>0.14638231299999999</v>
      </c>
    </row>
    <row r="30" spans="1:8" ht="15.75" customHeight="1" x14ac:dyDescent="0.25">
      <c r="B30" s="19" t="s">
        <v>2</v>
      </c>
      <c r="C30" s="99">
        <v>9.1820059999999995E-2</v>
      </c>
    </row>
    <row r="31" spans="1:8" ht="15.75" customHeight="1" x14ac:dyDescent="0.25">
      <c r="B31" s="19" t="s">
        <v>123</v>
      </c>
      <c r="C31" s="99">
        <v>9.6547411000000014E-2</v>
      </c>
    </row>
    <row r="32" spans="1:8" ht="15.75" customHeight="1" x14ac:dyDescent="0.25">
      <c r="B32" s="19" t="s">
        <v>124</v>
      </c>
      <c r="C32" s="99">
        <v>1.6333001E-2</v>
      </c>
    </row>
    <row r="33" spans="2:3" ht="15.75" customHeight="1" x14ac:dyDescent="0.25">
      <c r="B33" s="19" t="s">
        <v>125</v>
      </c>
      <c r="C33" s="99">
        <v>7.2137805999999999E-2</v>
      </c>
    </row>
    <row r="34" spans="2:3" ht="15.75" customHeight="1" x14ac:dyDescent="0.25">
      <c r="B34" s="19" t="s">
        <v>126</v>
      </c>
      <c r="C34" s="99">
        <v>0.35895063599999999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snFalYEl311ZrsMojfojyAN0gAs4A1f1oZbr+5kD9G4Z9xZMoYOspI6XtzO4RErCTHdi1/uUBHcBYvt60jRHuQ==" saltValue="F5Pq9z1ZpyiX80hLV6OND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132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133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137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138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NBvZigcI/UFQhadk1J/Cx17BXkYqdHDtqNP03TFdUOH8mmYm8eX6Dr7iqo3cFquz91mSBmg6BO8xBFAs5hAWg==" saltValue="LNvLMWS1Go7x2iIaq2EN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ChQUA/4sL+GmryTsHOFW0Xc67z1R1pmSh0SbOCJWPzpxH2pr60loLnrXU2+MQHJeJXgm7N84PSA8ZwTDaS9gWg==" saltValue="KB+Y1jHoUHI0u1m9rPOW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MTkGFEn3IuODSpCFkSqTdYMRXN9vMjT3kuAK3dpPePiWvQaE4aKnoUKbmAM9KyEFVPSB2zUulwobYeUnsvTMQ==" saltValue="6si4oc1xTOJK/mSxQGMM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5031.11503011478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0.51737999999999995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0.56798000000000004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1.5925949897969933E-2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95802.909700000004</v>
      </c>
      <c r="C22" s="107">
        <v>95231.704559999998</v>
      </c>
      <c r="D22" s="107">
        <v>94736.234509999995</v>
      </c>
      <c r="E22" s="107">
        <v>93963.133660000007</v>
      </c>
      <c r="F22" s="107">
        <v>93027.028210000004</v>
      </c>
      <c r="G22" s="107">
        <v>91832.462050000002</v>
      </c>
      <c r="H22" s="107">
        <v>90037.579700000002</v>
      </c>
      <c r="I22" s="107">
        <v>87382.673089999997</v>
      </c>
      <c r="J22" s="107">
        <v>83701.483229999998</v>
      </c>
      <c r="K22" s="107">
        <v>79075.091570000004</v>
      </c>
      <c r="L22" s="107">
        <v>73410.135949999996</v>
      </c>
      <c r="M22" s="107">
        <v>67040.048869999999</v>
      </c>
      <c r="N22" s="107">
        <v>59526.43159</v>
      </c>
      <c r="O22" s="107">
        <v>50523.108370000002</v>
      </c>
    </row>
  </sheetData>
  <sheetProtection algorithmName="SHA-512" hashValue="ZaUvYqB7ExxHqN+OCVkIhGwjVwti5oTpPWunro+K8L0cNEoSSeVoNcaXL7d4pjKZVD45JFUhkwOJWqTXkdoOFg==" saltValue="kQXYsTCXMdEYfVclRNcX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b16GiodOPjZXFeLsjf8Tf0FzRKDCY5v8uFq0OoKHaESvHf+7Ulf/ks2J8nfMvYivAuQtRkMApw8Yh9J79iZPA==" saltValue="FaCKWKbROYnEW1N4if00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wzgWy9vYagZrLUXFtRd35UP9/5q9wjIaNQ5RzYClDEHUI+e5PhSQ+VEHb6bIC5Q/bcmbfwP/81gaalfWzcNyg==" saltValue="vGNHIWlJGNT8R4KADUIv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0.38645259999999998</v>
      </c>
      <c r="C10" s="96">
        <v>0.95</v>
      </c>
      <c r="D10" s="56">
        <v>13.05116778302235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13.05116778302235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13.05116778302235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13.05116778302235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13.05116778302235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4.9176999999999998E-2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0.67200000000000004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0.45918130000000001</v>
      </c>
      <c r="C19" s="96">
        <v>0.95</v>
      </c>
      <c r="D19" s="56">
        <v>10.16995323631398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0.22748450000000001</v>
      </c>
      <c r="C23" s="96">
        <v>0.95</v>
      </c>
      <c r="D23" s="56">
        <v>4.3037053742427069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0.85985686684090001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0.71619929999999998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0.24890229999999999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0.83599999999999997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0.44599899999999998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0.125864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8.1373999999999995E-3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0.83701589999999992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2E-3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Gmq6ye+GJDNnTkH4QcnekGTH1vtTnhXz2ibiD4wIB/6JG6gkGrVIjZthzPq9jsr6SB828LgAHsfI8Yp/9i9HqA==" saltValue="rfClUpBgn6bzVUk6VITN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X8+BDB4UP4zFGvCB7BtpGqG6ebETzKPkcTFVXLNPqJkGcFTwvPF3mWp+hC54oVAHcubKmlSG5lqTIC4odyhEQ==" saltValue="tPo8cdSq8UjCBhwW+XWR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78I+UW5tRdVCj7K/NFhD89Gb5/qkuP+y0/OgbmE1ZGcrCNIICCTAJSamqYBHmfF2Qwv5A5SbOdvT/hH6ppSrg==" saltValue="a0WTnBPJ48L0FiptD/thG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3.1720000000000002</v>
      </c>
      <c r="C2" s="21">
        <f>'Données pop de l''année de ref'!C52</f>
        <v>3.1720000000000002</v>
      </c>
      <c r="D2" s="21">
        <f>'Données pop de l''année de ref'!C53</f>
        <v>7.8519999999999994</v>
      </c>
      <c r="E2" s="21">
        <f>'Données pop de l''année de ref'!C54</f>
        <v>7.3060000000000009</v>
      </c>
      <c r="F2" s="21">
        <f>'Données pop de l''année de ref'!C55</f>
        <v>3.102666666666666</v>
      </c>
    </row>
    <row r="3" spans="1:6" ht="15.75" customHeight="1" x14ac:dyDescent="0.25">
      <c r="A3" s="3" t="s">
        <v>238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237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mwjH4V0/NsGVnNvuBlC4uCUuPMaH6ru+DTGxyVMIYNJRLRbsENMqK0zPGJmkjb5HUjPC2GlxpOmjvo36VmQSgw==" saltValue="ImbZ96nI0XI5BisC8xyTd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e6zZBeSUCLcSTOo3OwDqzWVPPyvrR/otqyb4mRd+t4h8HSVDevxyKsrfK5Ej2+pxCDLx6wVeJVLEyZqxjWfKg==" saltValue="AgLQVNFcs0FZ+t8AQjgS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NU7hyc+EwLrpef0BUKBMCU+INcjN8zpRvokLi4fSmdLMm3JQKT/suMOLOKEyQLyflU6a5PkgK2IhlGx0FNLsw==" saltValue="4OEKbzCwFZ4mk0E9IVRh/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ALFKM+wvDKFdrR8A40HEUxlabwlZEzAnaQXbQIgnvbtYDWSmZ/5aGT/hspnnLwdw7EcG791K4rCt2TxPIytmA==" saltValue="cw6MPlr3oJQqL11OyblZ1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lAbuyTO6HM/mXPjs4JBr+C8Iejh9jKhdoYlMUcOCz03kVhHirlb3RmT6mqkKbw3B8ff8DlA7Q5CFZZX3oDpIA==" saltValue="CMUSbhg3Upf6pINO9cxoI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Mbebcf+jPyHoR/KqU3bg2NTYi/18JCr7bcT6O16tr8hLtnGnbXQ4vt/nBDw1y0HM64Jus7eJ/jtrbaw3AAJsDA==" saltValue="Dh0yZrMLxlDEggZmEAKnu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mavGO6xqwEqf2y+9WDleVxriGUAe7PjC33JH2t3hmsI9dI6XLtrwnrd/mLdoy9yHXfwnWpAaemMIdIEF525OQ==" saltValue="XVEprO9/35vpyv+dm4o41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Eo23YFkrebmchtlhRdQ24ABjYFfQZ70PxsC95plf0uqGuVHl69QLa5gsKbIxmZ/YtEEhHAOQKC4PHqnKbamyw==" saltValue="GTKqmzGlob4c5FJez8CA/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Liwgj+TI84L6qkGDyJhkEJIZUABiv1ORRwgPsDr/b1mAqbm0F/zN1hbE4UYDCJ0VhjMuuS7ebOGxbGXAlidpg==" saltValue="BqhaCDt+cjEj9LpbG3Oq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Pltr9ZQ4IyGy9I+DpGUc2Fe6LvX5yy0EQTNqrohnpvt95S9gtsxL1ebxZAPJAIhSQdSb+rwnhuXluSaLVPi7w==" saltValue="1ghKTatGLI5zDe3bhmBn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0TyyDpG5SFJkeT8YnG783xh9iEAW8q0d2QR4uwMqM+HLusnYgsbx5Uey39moBB0HRC5WjDIDz/hRq32vXawPg==" saltValue="76IdaIdNTdpz0cLOazP9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tvcDg7MSc9LATfgVAMKlx/njYhI46VSjnQMxzfNvN5FkCWThPEm8zxw4ealxtNcEsUklTVHpz2WI5c0ydRd9A==" saltValue="RRyJqIU+v5zUmL12x/EP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rt7Iu2AtfDym0NIBq/mrGJypp4CS3m/TDmCINBR9f9rKYAzd/oqCRQ0mUN7pxBhNG93QdoOPzQuCWgtnOtRVw==" saltValue="m6TOn2M9tD2Qo56BQhGd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pS7DVLHXDtMP8o0EZEZ1OSGCwFzhH0N71nFRLsr4alnyfE3NPblatdJdUupohpA9IpGup5eV2uJUvx93+JkIg==" saltValue="8q1fQ7k5Pv2AIxM9izEm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ZZs2v/ibxQ+3ZjXkr9SjAWRHIY8J20/VIkglHntnpVNCIUdn1zabJO+gcQeY64aP1FrQDtOX65VBtkBZ00p3g==" saltValue="LvNg7xoFxwu7dZMtdTkV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tbWI9JEV4CHd5tbZUEU3T46xzrXaIOCbf2q71TMqT4ww+EOiI+bhgrVxp2kj34eY3VwubM8ptc3T3pnsIQTNg==" saltValue="gbI+EIzE+WKDZYkt6jZjg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