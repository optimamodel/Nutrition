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51B07CF-BE3A-419D-A3B9-BDA991C7F48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A19" i="2"/>
  <c r="A31" i="2"/>
  <c r="A35" i="2"/>
  <c r="I4" i="2"/>
  <c r="I8" i="2"/>
  <c r="I12" i="2"/>
  <c r="A25" i="2"/>
  <c r="A26" i="2"/>
  <c r="I39" i="2"/>
  <c r="I2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<sst xmlns="http://schemas.openxmlformats.org/spreadsheetml/2006/main" count="2159" uniqueCount="368">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</sst>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333702.49999999988</v>
      </c>
    </row>
    <row r="8" spans="1:3" ht="15" customHeight="1" x14ac:dyDescent="0.25">
      <c r="B8" s="5" t="s">
        <v>37</v>
      </c>
      <c r="C8" s="44">
        <v>0.17399999999999999</v>
      </c>
    </row>
    <row r="9" spans="1:3" ht="15" customHeight="1" x14ac:dyDescent="0.25">
      <c r="B9" s="5" t="s">
        <v>38</v>
      </c>
      <c r="C9" s="45">
        <v>0.27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0.1114</v>
      </c>
    </row>
    <row r="24" spans="1:3" ht="15" customHeight="1" x14ac:dyDescent="0.25">
      <c r="B24" s="15" t="s">
        <v>51</v>
      </c>
      <c r="C24" s="45">
        <v>0.47339999999999999</v>
      </c>
    </row>
    <row r="25" spans="1:3" ht="15" customHeight="1" x14ac:dyDescent="0.25">
      <c r="B25" s="15" t="s">
        <v>52</v>
      </c>
      <c r="C25" s="45">
        <v>0.35499999999999998</v>
      </c>
    </row>
    <row r="26" spans="1:3" ht="15" customHeight="1" x14ac:dyDescent="0.25">
      <c r="B26" s="15" t="s">
        <v>53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0.34290466666442998</v>
      </c>
    </row>
    <row r="30" spans="1:3" ht="14.25" customHeight="1" x14ac:dyDescent="0.25">
      <c r="B30" s="25" t="s">
        <v>56</v>
      </c>
      <c r="C30" s="99">
        <v>3.07454772021977E-2</v>
      </c>
    </row>
    <row r="31" spans="1:3" ht="14.25" customHeight="1" x14ac:dyDescent="0.25">
      <c r="B31" s="25" t="s">
        <v>57</v>
      </c>
      <c r="C31" s="99">
        <v>5.8505816356096703E-2</v>
      </c>
    </row>
    <row r="32" spans="1:3" ht="14.25" customHeight="1" x14ac:dyDescent="0.25">
      <c r="B32" s="25" t="s">
        <v>58</v>
      </c>
      <c r="C32" s="99">
        <v>0.56784403977727504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19.462630000000001</v>
      </c>
    </row>
    <row r="38" spans="1:5" ht="15" customHeight="1" x14ac:dyDescent="0.25">
      <c r="B38" s="11" t="s">
        <v>63</v>
      </c>
      <c r="C38" s="43">
        <v>29.38363</v>
      </c>
      <c r="D38" s="12"/>
      <c r="E38" s="13"/>
    </row>
    <row r="39" spans="1:5" ht="15" customHeight="1" x14ac:dyDescent="0.25">
      <c r="B39" s="11" t="s">
        <v>64</v>
      </c>
      <c r="C39" s="43">
        <v>39.043300000000002</v>
      </c>
      <c r="D39" s="12"/>
      <c r="E39" s="12"/>
    </row>
    <row r="40" spans="1:5" ht="15" customHeight="1" x14ac:dyDescent="0.25">
      <c r="B40" s="11" t="s">
        <v>65</v>
      </c>
      <c r="C40" s="100">
        <v>2.15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71</v>
      </c>
      <c r="C47" s="45">
        <v>7.3460999999999999E-2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3.1720000000000002</v>
      </c>
      <c r="D51" s="12"/>
    </row>
    <row r="52" spans="1:4" ht="15" customHeight="1" x14ac:dyDescent="0.25">
      <c r="B52" s="11" t="s">
        <v>75</v>
      </c>
      <c r="C52" s="100">
        <v>3.1720000000000002</v>
      </c>
    </row>
    <row r="53" spans="1:4" ht="15.75" customHeight="1" x14ac:dyDescent="0.25">
      <c r="B53" s="11" t="s">
        <v>76</v>
      </c>
      <c r="C53" s="100">
        <v>7.8519999999999994</v>
      </c>
    </row>
    <row r="54" spans="1:4" ht="15.75" customHeight="1" x14ac:dyDescent="0.25">
      <c r="B54" s="11" t="s">
        <v>77</v>
      </c>
      <c r="C54" s="100">
        <v>7.3060000000000009</v>
      </c>
    </row>
    <row r="55" spans="1:4" ht="15.75" customHeight="1" x14ac:dyDescent="0.25">
      <c r="B55" s="11" t="s">
        <v>78</v>
      </c>
      <c r="C55" s="100">
        <v>3.102666666666666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0.53307799999999994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6EohGpffquAZdz/RwOvtvJK/LJlAk0HXJuuZ+w23TpmqudiBlZqLGAA52LlavzQ8WbcYOn/s6x240OZHiiP3dA==" saltValue="DV2HYozHwRhA0qzIWjiO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oeji7NPHdPkt0x8M1qkUWgEHWYqbhWRhnnvdIH89pHxCEHXvCBjOS+bfMsQxHHaT4eXycYtYy5QCGy649VYag==" saltValue="W+FakeemZTls4NUVGoPF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1.0223598977640099E-2</v>
      </c>
    </row>
    <row r="4" spans="1:8" ht="15.75" customHeight="1" x14ac:dyDescent="0.25">
      <c r="B4" s="19" t="s">
        <v>97</v>
      </c>
      <c r="C4" s="101">
        <v>5.4527794547220461E-2</v>
      </c>
    </row>
    <row r="5" spans="1:8" ht="15.75" customHeight="1" x14ac:dyDescent="0.25">
      <c r="B5" s="19" t="s">
        <v>98</v>
      </c>
      <c r="C5" s="101">
        <v>6.7976193202380797E-2</v>
      </c>
    </row>
    <row r="6" spans="1:8" ht="15.75" customHeight="1" x14ac:dyDescent="0.25">
      <c r="B6" s="19" t="s">
        <v>99</v>
      </c>
      <c r="C6" s="101">
        <v>0.23703687629631159</v>
      </c>
    </row>
    <row r="7" spans="1:8" ht="15.75" customHeight="1" x14ac:dyDescent="0.25">
      <c r="B7" s="19" t="s">
        <v>100</v>
      </c>
      <c r="C7" s="101">
        <v>0.43144785685521458</v>
      </c>
    </row>
    <row r="8" spans="1:8" ht="15.75" customHeight="1" x14ac:dyDescent="0.25">
      <c r="B8" s="19" t="s">
        <v>101</v>
      </c>
      <c r="C8" s="101">
        <v>1.472199852780015E-3</v>
      </c>
    </row>
    <row r="9" spans="1:8" ht="15.75" customHeight="1" x14ac:dyDescent="0.25">
      <c r="B9" s="19" t="s">
        <v>102</v>
      </c>
      <c r="C9" s="101">
        <v>8.8945991105401023E-2</v>
      </c>
    </row>
    <row r="10" spans="1:8" ht="15.75" customHeight="1" x14ac:dyDescent="0.25">
      <c r="B10" s="19" t="s">
        <v>103</v>
      </c>
      <c r="C10" s="101">
        <v>0.1083694891630512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106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107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108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109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110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111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112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113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7.6914598000000015E-2</v>
      </c>
    </row>
    <row r="27" spans="1:8" ht="15.75" customHeight="1" x14ac:dyDescent="0.25">
      <c r="B27" s="19" t="s">
        <v>120</v>
      </c>
      <c r="C27" s="101">
        <v>7.5643810000000002E-3</v>
      </c>
    </row>
    <row r="28" spans="1:8" ht="15.75" customHeight="1" x14ac:dyDescent="0.25">
      <c r="B28" s="19" t="s">
        <v>121</v>
      </c>
      <c r="C28" s="101">
        <v>0.13334979499999999</v>
      </c>
    </row>
    <row r="29" spans="1:8" ht="15.75" customHeight="1" x14ac:dyDescent="0.25">
      <c r="B29" s="19" t="s">
        <v>122</v>
      </c>
      <c r="C29" s="101">
        <v>0.14638231299999999</v>
      </c>
    </row>
    <row r="30" spans="1:8" ht="15.75" customHeight="1" x14ac:dyDescent="0.25">
      <c r="B30" s="19" t="s">
        <v>2</v>
      </c>
      <c r="C30" s="101">
        <v>9.1820059999999995E-2</v>
      </c>
    </row>
    <row r="31" spans="1:8" ht="15.75" customHeight="1" x14ac:dyDescent="0.25">
      <c r="B31" s="19" t="s">
        <v>123</v>
      </c>
      <c r="C31" s="101">
        <v>9.6547411000000014E-2</v>
      </c>
    </row>
    <row r="32" spans="1:8" ht="15.75" customHeight="1" x14ac:dyDescent="0.25">
      <c r="B32" s="19" t="s">
        <v>124</v>
      </c>
      <c r="C32" s="101">
        <v>1.6333001E-2</v>
      </c>
    </row>
    <row r="33" spans="2:3" ht="15.75" customHeight="1" x14ac:dyDescent="0.25">
      <c r="B33" s="19" t="s">
        <v>125</v>
      </c>
      <c r="C33" s="101">
        <v>7.2137805999999999E-2</v>
      </c>
    </row>
    <row r="34" spans="2:3" ht="15.75" customHeight="1" x14ac:dyDescent="0.25">
      <c r="B34" s="19" t="s">
        <v>126</v>
      </c>
      <c r="C34" s="101">
        <v>0.35895063599999999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sL/l5yxopoUqKmalWyh7kaEO38Lx8/SJq10PM7TWdsyVbfHdqdvPxbng08V4EwV4a78UX8YmXcpC5LgRmYDWpg==" saltValue="hjXuGX1TyTwP/l1ZbvJI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132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133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137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rBaR2aT+11b527NAFITOMg312q6BZCfm0qbmXlABPWDuRsgX+fgonYvYv0a+MeSesuPiwcup5p7CDwYSknemA==" saltValue="QGqTch0ZvLl8BtriJTih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ose+oRM1biH4yNPV0NEIU6U8bhSefVfDb0AEwoBVPpCXwg3Tr6wyY2qirZ3qkpx5I1tWOaIdR2fS3ny77aALkg==" saltValue="wtgs0wYRopbQxZOWVnms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haduTN4wfzr20ylYlQ/fWXQNckzFYQ1I5AKfmLGHZhN9NVSm9fn2E2WEYsGieEvA8XgFCWxowtnQtU7UAXA0g==" saltValue="VIoyeEq76N5mtG3Ph3D9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5031.11503011478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0.51737999999999995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0.56798000000000004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1.5925949897969933E-2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95802.909700000004</v>
      </c>
      <c r="C22" s="109">
        <v>95231.704559999998</v>
      </c>
      <c r="D22" s="109">
        <v>94736.234509999995</v>
      </c>
      <c r="E22" s="109">
        <v>93963.133660000007</v>
      </c>
      <c r="F22" s="109">
        <v>93027.028210000004</v>
      </c>
      <c r="G22" s="109">
        <v>91832.462050000002</v>
      </c>
      <c r="H22" s="109">
        <v>90037.579700000002</v>
      </c>
      <c r="I22" s="109">
        <v>87382.673089999997</v>
      </c>
      <c r="J22" s="109">
        <v>83701.483229999998</v>
      </c>
      <c r="K22" s="109">
        <v>79075.091570000004</v>
      </c>
      <c r="L22" s="109">
        <v>73410.135949999996</v>
      </c>
      <c r="M22" s="109">
        <v>67040.048869999999</v>
      </c>
      <c r="N22" s="109">
        <v>59526.43159</v>
      </c>
      <c r="O22" s="109">
        <v>50523.108370000002</v>
      </c>
    </row>
  </sheetData>
  <sheetProtection algorithmName="SHA-512" hashValue="oBKCLTM7qGnVSE2uUIoN79u9b9LRQO4B3qmdASGVrQJtodvYR6TzO9LfOaF4oLQyQnqHZDluhAMT/lg4iGOZyw==" saltValue="lP/B+SnU5rIGDBjNnsqM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OuVeQTAE1PuV38hSg3fUD65npIs5XIYPkJVLbrbN0XIvVN4I6yts6V/sLuao7F/u1TjXV1EGQ+gP86O1j5nKg==" saltValue="kg0b54EI+Vl0KnEEI19d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9z3D1SBFMB3ni46X7ozOGCYNsMxKMX1XYP3//S72auamOjOG/d94ma99dSkyaIIANBe2zW88TYvWqPymUdszg==" saltValue="1tsilfW96QX4bBhsdYZi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0.38645259999999998</v>
      </c>
      <c r="C10" s="98">
        <v>0.95</v>
      </c>
      <c r="D10" s="56">
        <v>13.05116778302235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13.05116778302235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13.05116778302235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13.05116778302235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13.05116778302235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4.9176999999999998E-2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0.67200000000000004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0.45918130000000001</v>
      </c>
      <c r="C19" s="98">
        <v>0.95</v>
      </c>
      <c r="D19" s="56">
        <v>10.16995323631398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0.22748450000000001</v>
      </c>
      <c r="C23" s="98">
        <v>0.95</v>
      </c>
      <c r="D23" s="56">
        <v>4.3037053742427069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0.85985686684090001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0.71619929999999998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0.24890229999999999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0.83599999999999997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0.44599899999999998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0.125864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8.1373999999999995E-3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0.83701589999999992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2E-3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Jzq0ijqOJwDp1PIZxp+OwXpOEB5BpQdOJkBanY8O7h9w9MNDwqjUqVHNCzgRXPRHxoLWJKpXCSlMNVLvCThQpA==" saltValue="Wt36tRlM5Eb4tW71YPhQ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D59SUnG/y/zbsacwDnfW2Gr/wriSQxRjZWYrxKqNTbblNMHQDctz0EHwxQMlgu4LSWBnmazBlo5FYq0DhXJKg==" saltValue="ptW5lc7nURxgvzfCyZqz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ZbTk48D7ecuUjpFlF0Lsbg/NfrPDgHB1yYqqNylfK7EHPDt4S9mBAiRDdt9DdGSv9kwpnj3tiosYJbl75ISMA==" saltValue="Ej48H2Fh37RBtKG8Aa/e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3.1720000000000002</v>
      </c>
      <c r="C2" s="21">
        <f>'Données pop de l''année de ref'!C52</f>
        <v>3.1720000000000002</v>
      </c>
      <c r="D2" s="21">
        <f>'Données pop de l''année de ref'!C53</f>
        <v>7.8519999999999994</v>
      </c>
      <c r="E2" s="21">
        <f>'Données pop de l''année de ref'!C54</f>
        <v>7.3060000000000009</v>
      </c>
      <c r="F2" s="21">
        <f>'Données pop de l''année de ref'!C55</f>
        <v>3.102666666666666</v>
      </c>
    </row>
    <row r="3" spans="1:6" ht="15.75" customHeight="1" x14ac:dyDescent="0.25">
      <c r="A3" s="3" t="s">
        <v>238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237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UQ+95jJhAV5IMH2C3ny3w22ZATRoLEJ9l6E8mqcnYj0rDurkE3jz8ujGIwHeHyFpu6dxciOtVd0ciYCXRnCZWw==" saltValue="CFQ3QdLxGQw4WIwW8j2V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sAxfmb88MvVKUpGBfOAfaUURUUem4QxbRcQe40gtlCEQSavSiowyeRAal38vQdXhziDrLdd9Ey2o7fTejIQ5A==" saltValue="xTjKjtkOGLtIy0IUHBjG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fRF6S9ybpzmtpW/n3nvFPRzsbq77O/HAyWLjNILEBU1mdRAMHT7fc5ikOuJu45TVA6vzshhUPhcLLAF+WVwEA==" saltValue="wvn4RY74LUdbei87mcEV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LzLSuPiZp20qh1Wq5VGwrhBH3eb1NGx9LtNdJ1c1JuX+BWpy21dPDBrqOUer/hSyQdRWZSKladu1knXbD5Kjw==" saltValue="Q3QeH2CCPRdsHJx1ME8YT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uLuKYAi9NJrydUxJXbvmKHktEjKPTqjAYWkyAIFAc7RKOsDXK/n3hwKeQ0+AMg8V/piLV66JPR6Kht/0uNkAg==" saltValue="+2qC2a3e1z2uUGfqpmKz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Mzr/xofU/L+edmzp0uep/sIV78LASW70yvDQ0ge0jw9X+1n9hvhzE2fLhEMQo94/M7MIBCb79J9UnHck4p6uuw==" saltValue="8VwI6swBt/aaR5tYFA8H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GG67KiwX2oW7RH0pTBJx4rnZn0qxcHwJDfK9A817D/rogRyYaNDthCdh0merIAqWh9Adg2S1V2586eu2WL8Atw==" saltValue="/whxGZCj7LSJBl51qBKD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gOeZi/Zstflu4PtCL8RGWAkO4eOFtUdEjLwoNQT4HuS/GWrvBdqAarWwHgqEMjc0zU7w2vXh5CZPtFJ5uYndg==" saltValue="TynAH5yFKBzFNnnhDe80i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x1Q7dnWImukZNZQ4Cw/Ad4/3xbuhVQIicj57Fog35deuNO6d138fO0VURTO1abWJN/xVQRk/7PbSZfSy7EVQg==" saltValue="OlzSMcG6sP+9oBPVGE2T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DxPqgguSgt5NZHIsugVfCFKbCDz2te1+vNIFaMQcp8xW0LFVgqqmwpy+fjE0DipO4xZrHn6OgTgsk0cP3WJrg==" saltValue="GA9uVR63Cn0/aGOyNE8X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vEy/TiCAh2l9ZeEfq8MV5+OZ4nFbiHbt5f7GhDH+7GoUZhOoHmI5DvW2xVV93H3rFVpSnApaJm9qXFu6JM86g==" saltValue="rulOhZvrhYzgv5ry+7x+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v5BaN52GgzTmo0sZtmeAJqa2Z9Ke8w6komL4RBT97l9d8R5BtyMLJRJl2WTb9w3O0y3Y40Nc7NmzpaOY0U1LA==" saltValue="8z2C8DJ6WbXoIuDWamaO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zrhWhqkqzJN7DMtsCNZgdwsBmdIoxUjKVYRERsrQc0bkwzNvI5Sau/1pAzsMB6zKUqrEiPObBJpLdmpAqmp2Q==" saltValue="EW5vIotJTSTuILSRifFk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CMr+DwFe0QFmWvBffO0tlHJfY02oeSJVvOPoO2/1ZnQaDttlhvbOePMlP5Xj2blo4J2yEIChMjU/FDXXF5T8g==" saltValue="yswNeiaCrNjdUCy3JUNC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OuwvkYaK/hWfvC8fVcdrFjSElBe5UlU+cSDf1eFCeF7Rs062i8vgLlRFLNItsFb1ICt+qEkJxshuvKyJp7FTA==" saltValue="WCmoE8HYrTpaU9klV738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Dusfi172fFEyXnlETpNq63x6/kYPNIM6LTSjyhbwog4EyDgJxKc7+7HNjkv9V/azqQ2WdYYwYWATAI83hNaNA==" saltValue="ij334ONQOe0V5dzC6Je3m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