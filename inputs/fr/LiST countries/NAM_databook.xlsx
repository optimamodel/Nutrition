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1D6B5655-0BEE-4B23-89F3-D7FD434A94B9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F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G39" i="2"/>
  <c r="I39" i="2" s="1"/>
  <c r="A39" i="2"/>
  <c r="H38" i="2"/>
  <c r="G38" i="2"/>
  <c r="I38" i="2" s="1"/>
  <c r="A34" i="2"/>
  <c r="A33" i="2"/>
  <c r="A32" i="2"/>
  <c r="A31" i="2"/>
  <c r="A28" i="2"/>
  <c r="A23" i="2"/>
  <c r="A20" i="2"/>
  <c r="A18" i="2"/>
  <c r="A17" i="2"/>
  <c r="A16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H5" i="2"/>
  <c r="G5" i="2"/>
  <c r="I5" i="2" s="1"/>
  <c r="H4" i="2"/>
  <c r="G4" i="2"/>
  <c r="I4" i="2" s="1"/>
  <c r="H3" i="2"/>
  <c r="G3" i="2"/>
  <c r="I3" i="2" s="1"/>
  <c r="A3" i="2"/>
  <c r="H2" i="2"/>
  <c r="G2" i="2"/>
  <c r="I2" i="2" s="1"/>
  <c r="A2" i="2"/>
  <c r="A40" i="2" s="1"/>
  <c r="C33" i="1"/>
  <c r="C20" i="1"/>
  <c r="A24" i="2" l="1"/>
  <c r="A36" i="2"/>
  <c r="A25" i="2"/>
  <c r="I6" i="2"/>
  <c r="I10" i="2"/>
  <c r="A15" i="2"/>
  <c r="A26" i="2"/>
  <c r="A19" i="2"/>
  <c r="A27" i="2"/>
  <c r="A35" i="2"/>
  <c r="A21" i="2"/>
  <c r="A29" i="2"/>
  <c r="A37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<sst xmlns="http://schemas.openxmlformats.org/spreadsheetml/2006/main" count="2101" uniqueCount="337">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</sst>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334619.72265625</v>
      </c>
    </row>
    <row r="8" spans="1:3" ht="15" customHeight="1" x14ac:dyDescent="0.25">
      <c r="B8" s="5" t="s">
        <v>19</v>
      </c>
      <c r="C8" s="44">
        <v>0.13400000000000001</v>
      </c>
    </row>
    <row r="9" spans="1:3" ht="15" customHeight="1" x14ac:dyDescent="0.25">
      <c r="B9" s="5" t="s">
        <v>20</v>
      </c>
      <c r="C9" s="45">
        <v>0.27</v>
      </c>
    </row>
    <row r="10" spans="1:3" ht="15" customHeight="1" x14ac:dyDescent="0.25">
      <c r="B10" s="5" t="s">
        <v>21</v>
      </c>
      <c r="C10" s="45">
        <v>0.32603321079999997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0.1114</v>
      </c>
    </row>
    <row r="24" spans="1:3" ht="15" customHeight="1" x14ac:dyDescent="0.25">
      <c r="B24" s="15" t="s">
        <v>33</v>
      </c>
      <c r="C24" s="45">
        <v>0.47339999999999999</v>
      </c>
    </row>
    <row r="25" spans="1:3" ht="15" customHeight="1" x14ac:dyDescent="0.25">
      <c r="B25" s="15" t="s">
        <v>34</v>
      </c>
      <c r="C25" s="45">
        <v>0.35499999999999998</v>
      </c>
    </row>
    <row r="26" spans="1:3" ht="15" customHeight="1" x14ac:dyDescent="0.25">
      <c r="B26" s="15" t="s">
        <v>35</v>
      </c>
      <c r="C26" s="45">
        <v>6.0199999999999997E-2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0.34290466666442998</v>
      </c>
    </row>
    <row r="30" spans="1:3" ht="14.25" customHeight="1" x14ac:dyDescent="0.25">
      <c r="B30" s="25" t="s">
        <v>38</v>
      </c>
      <c r="C30" s="99">
        <v>3.07454772021977E-2</v>
      </c>
    </row>
    <row r="31" spans="1:3" ht="14.25" customHeight="1" x14ac:dyDescent="0.25">
      <c r="B31" s="25" t="s">
        <v>39</v>
      </c>
      <c r="C31" s="99">
        <v>5.8505816356096703E-2</v>
      </c>
    </row>
    <row r="32" spans="1:3" ht="14.25" customHeight="1" x14ac:dyDescent="0.25">
      <c r="B32" s="25" t="s">
        <v>40</v>
      </c>
      <c r="C32" s="99">
        <v>0.56784403977727504</v>
      </c>
    </row>
    <row r="33" spans="1:5" ht="13" customHeight="1" x14ac:dyDescent="0.25">
      <c r="B33" s="27" t="s">
        <v>41</v>
      </c>
      <c r="C33" s="48">
        <f>SUM(C29:C32)</f>
        <v>0.99999999999999944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19.462630000000001</v>
      </c>
    </row>
    <row r="38" spans="1:5" ht="15" customHeight="1" x14ac:dyDescent="0.25">
      <c r="B38" s="11" t="s">
        <v>45</v>
      </c>
      <c r="C38" s="43">
        <v>29.38363</v>
      </c>
      <c r="D38" s="12"/>
      <c r="E38" s="13"/>
    </row>
    <row r="39" spans="1:5" ht="15" customHeight="1" x14ac:dyDescent="0.25">
      <c r="B39" s="11" t="s">
        <v>46</v>
      </c>
      <c r="C39" s="43">
        <v>39.043300000000002</v>
      </c>
      <c r="D39" s="12"/>
      <c r="E39" s="12"/>
    </row>
    <row r="40" spans="1:5" ht="15" customHeight="1" x14ac:dyDescent="0.25">
      <c r="B40" s="11" t="s">
        <v>47</v>
      </c>
      <c r="C40" s="100">
        <v>2.15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17.27824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7.928300000000001E-3</v>
      </c>
      <c r="D45" s="12"/>
    </row>
    <row r="46" spans="1:5" ht="15.75" customHeight="1" x14ac:dyDescent="0.25">
      <c r="B46" s="11" t="s">
        <v>52</v>
      </c>
      <c r="C46" s="45">
        <v>8.5188199999999992E-2</v>
      </c>
      <c r="D46" s="12"/>
    </row>
    <row r="47" spans="1:5" ht="15.75" customHeight="1" x14ac:dyDescent="0.25">
      <c r="B47" s="11" t="s">
        <v>53</v>
      </c>
      <c r="C47" s="45">
        <v>7.3460999999999999E-2</v>
      </c>
      <c r="D47" s="12"/>
      <c r="E47" s="13"/>
    </row>
    <row r="48" spans="1:5" ht="15" customHeight="1" x14ac:dyDescent="0.25">
      <c r="B48" s="11" t="s">
        <v>54</v>
      </c>
      <c r="C48" s="46">
        <v>0.83342250000000007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0.53307799999999994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0.15525137</v>
      </c>
    </row>
    <row r="63" spans="1:4" ht="15.75" customHeight="1" x14ac:dyDescent="0.3">
      <c r="A63" s="4"/>
    </row>
  </sheetData>
  <sheetProtection algorithmName="SHA-512" hashValue="ytqKY6d4n8TiWlJwAQiMUJeIocm8A0pUsg/CUj14cun6CVW5ZsI3PJDtVbl5tkDFA1tT/ie//f2iMC9ayyjccA==" saltValue="3XPhI15xtf/Ezy6JqG8x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69037</v>
      </c>
      <c r="C2" s="49">
        <v>155982.5</v>
      </c>
      <c r="D2" s="49">
        <v>232190.5</v>
      </c>
      <c r="E2" s="49">
        <v>202284.5</v>
      </c>
      <c r="F2" s="49">
        <v>116032</v>
      </c>
      <c r="G2" s="17">
        <f t="shared" ref="G2:G13" si="0">C2+D2+E2+F2</f>
        <v>706489.5</v>
      </c>
      <c r="H2" s="17">
        <f t="shared" ref="H2:H13" si="1">(B2 + stillbirth*B2/(1000-stillbirth))/(1-abortion)</f>
        <v>79830.466320025676</v>
      </c>
      <c r="I2" s="17">
        <f t="shared" ref="I2:I13" si="2">G2-H2</f>
        <v>626659.03367997427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68964</v>
      </c>
      <c r="C3" s="50">
        <v>160686</v>
      </c>
      <c r="D3" s="50">
        <v>231955</v>
      </c>
      <c r="E3" s="50">
        <v>208214.5</v>
      </c>
      <c r="F3" s="50">
        <v>118485.5</v>
      </c>
      <c r="G3" s="17">
        <f t="shared" si="0"/>
        <v>719341</v>
      </c>
      <c r="H3" s="17">
        <f t="shared" si="1"/>
        <v>79746.053265556882</v>
      </c>
      <c r="I3" s="17">
        <f t="shared" si="2"/>
        <v>639594.94673444307</v>
      </c>
    </row>
    <row r="4" spans="1:9" ht="15.75" customHeight="1" x14ac:dyDescent="0.25">
      <c r="A4" s="5">
        <f t="shared" si="3"/>
        <v>2026</v>
      </c>
      <c r="B4" s="49">
        <v>68892</v>
      </c>
      <c r="C4" s="50">
        <v>165800.5</v>
      </c>
      <c r="D4" s="50">
        <v>232799.5</v>
      </c>
      <c r="E4" s="50">
        <v>212898.5</v>
      </c>
      <c r="F4" s="50">
        <v>121303.5</v>
      </c>
      <c r="G4" s="17">
        <f t="shared" si="0"/>
        <v>732802</v>
      </c>
      <c r="H4" s="17">
        <f t="shared" si="1"/>
        <v>79662.796554300003</v>
      </c>
      <c r="I4" s="17">
        <f t="shared" si="2"/>
        <v>653139.2034457</v>
      </c>
    </row>
    <row r="5" spans="1:9" ht="15.75" customHeight="1" x14ac:dyDescent="0.25">
      <c r="A5" s="5">
        <f t="shared" si="3"/>
        <v>2027</v>
      </c>
      <c r="B5" s="49">
        <v>69182</v>
      </c>
      <c r="C5" s="50">
        <v>170948</v>
      </c>
      <c r="D5" s="50">
        <v>234513.5</v>
      </c>
      <c r="E5" s="50">
        <v>216608.5</v>
      </c>
      <c r="F5" s="50">
        <v>124542</v>
      </c>
      <c r="G5" s="17">
        <f t="shared" si="0"/>
        <v>746612</v>
      </c>
      <c r="H5" s="17">
        <f t="shared" si="1"/>
        <v>79998.136085751365</v>
      </c>
      <c r="I5" s="17">
        <f t="shared" si="2"/>
        <v>666613.86391424865</v>
      </c>
    </row>
    <row r="6" spans="1:9" ht="15.75" customHeight="1" x14ac:dyDescent="0.25">
      <c r="A6" s="5">
        <f t="shared" si="3"/>
        <v>2028</v>
      </c>
      <c r="B6" s="49">
        <v>69005</v>
      </c>
      <c r="C6" s="50">
        <v>175718.5</v>
      </c>
      <c r="D6" s="50">
        <v>236825</v>
      </c>
      <c r="E6" s="50">
        <v>219783.5</v>
      </c>
      <c r="F6" s="50">
        <v>128299.5</v>
      </c>
      <c r="G6" s="17">
        <f t="shared" si="0"/>
        <v>760626.5</v>
      </c>
      <c r="H6" s="17">
        <f t="shared" si="1"/>
        <v>79793.463337244844</v>
      </c>
      <c r="I6" s="17">
        <f t="shared" si="2"/>
        <v>680833.03666275518</v>
      </c>
    </row>
    <row r="7" spans="1:9" ht="15.75" customHeight="1" x14ac:dyDescent="0.25">
      <c r="A7" s="5">
        <f t="shared" si="3"/>
        <v>2029</v>
      </c>
      <c r="B7" s="49">
        <v>69277</v>
      </c>
      <c r="C7" s="50">
        <v>180001</v>
      </c>
      <c r="D7" s="50">
        <v>239743.5</v>
      </c>
      <c r="E7" s="50">
        <v>222369.5</v>
      </c>
      <c r="F7" s="50">
        <v>132803</v>
      </c>
      <c r="G7" s="17">
        <f t="shared" si="0"/>
        <v>774917</v>
      </c>
      <c r="H7" s="17">
        <f t="shared" si="1"/>
        <v>80107.98869088199</v>
      </c>
      <c r="I7" s="17">
        <f t="shared" si="2"/>
        <v>694809.01130911801</v>
      </c>
    </row>
    <row r="8" spans="1:9" ht="15.75" customHeight="1" x14ac:dyDescent="0.25">
      <c r="A8" s="5">
        <f t="shared" si="3"/>
        <v>2030</v>
      </c>
      <c r="B8" s="49">
        <v>69334</v>
      </c>
      <c r="C8" s="50">
        <v>183782</v>
      </c>
      <c r="D8" s="50">
        <v>243525.5</v>
      </c>
      <c r="E8" s="50">
        <v>223437</v>
      </c>
      <c r="F8" s="50">
        <v>138108</v>
      </c>
      <c r="G8" s="17">
        <f t="shared" si="0"/>
        <v>788852.5</v>
      </c>
      <c r="H8" s="17">
        <f t="shared" si="1"/>
        <v>80173.900253960339</v>
      </c>
      <c r="I8" s="17">
        <f t="shared" si="2"/>
        <v>708678.5997460396</v>
      </c>
    </row>
    <row r="9" spans="1:9" ht="15.75" customHeight="1" x14ac:dyDescent="0.25">
      <c r="A9" s="5">
        <f t="shared" si="3"/>
        <v>2031</v>
      </c>
      <c r="B9" s="49">
        <v>69307</v>
      </c>
      <c r="C9" s="50">
        <v>186967</v>
      </c>
      <c r="D9" s="50">
        <v>248483</v>
      </c>
      <c r="E9" s="50">
        <v>222962.5</v>
      </c>
      <c r="F9" s="50">
        <v>144692.5</v>
      </c>
      <c r="G9" s="17">
        <f t="shared" si="0"/>
        <v>803105</v>
      </c>
      <c r="H9" s="17">
        <f t="shared" si="1"/>
        <v>80142.678987239007</v>
      </c>
      <c r="I9" s="17">
        <f t="shared" si="2"/>
        <v>722962.32101276098</v>
      </c>
    </row>
    <row r="10" spans="1:9" ht="15.75" customHeight="1" x14ac:dyDescent="0.25">
      <c r="A10" s="5">
        <f t="shared" si="3"/>
        <v>2032</v>
      </c>
      <c r="B10" s="49">
        <v>69727</v>
      </c>
      <c r="C10" s="50">
        <v>189458.5</v>
      </c>
      <c r="D10" s="50">
        <v>254620</v>
      </c>
      <c r="E10" s="50">
        <v>221975</v>
      </c>
      <c r="F10" s="50">
        <v>152420.5</v>
      </c>
      <c r="G10" s="17">
        <f t="shared" si="0"/>
        <v>818474</v>
      </c>
      <c r="H10" s="17">
        <f t="shared" si="1"/>
        <v>80628.343136237541</v>
      </c>
      <c r="I10" s="17">
        <f t="shared" si="2"/>
        <v>737845.65686376242</v>
      </c>
    </row>
    <row r="11" spans="1:9" ht="15.75" customHeight="1" x14ac:dyDescent="0.25">
      <c r="A11" s="5">
        <f t="shared" si="3"/>
        <v>2033</v>
      </c>
      <c r="B11" s="49">
        <v>70148</v>
      </c>
      <c r="C11" s="50">
        <v>191454.5</v>
      </c>
      <c r="D11" s="50">
        <v>261530</v>
      </c>
      <c r="E11" s="50">
        <v>220935</v>
      </c>
      <c r="F11" s="50">
        <v>160072.5</v>
      </c>
      <c r="G11" s="17">
        <f t="shared" si="0"/>
        <v>833992</v>
      </c>
      <c r="H11" s="17">
        <f t="shared" si="1"/>
        <v>81115.163628447946</v>
      </c>
      <c r="I11" s="17">
        <f t="shared" si="2"/>
        <v>752876.83637155208</v>
      </c>
    </row>
    <row r="12" spans="1:9" ht="15.75" customHeight="1" x14ac:dyDescent="0.25">
      <c r="A12" s="5">
        <f t="shared" si="3"/>
        <v>2034</v>
      </c>
      <c r="B12" s="49">
        <v>70432</v>
      </c>
      <c r="C12" s="50">
        <v>193035.5</v>
      </c>
      <c r="D12" s="50">
        <v>268807.5</v>
      </c>
      <c r="E12" s="50">
        <v>220241.5</v>
      </c>
      <c r="F12" s="50">
        <v>167101</v>
      </c>
      <c r="G12" s="17">
        <f t="shared" si="0"/>
        <v>849185.5</v>
      </c>
      <c r="H12" s="17">
        <f t="shared" si="1"/>
        <v>81443.565100627908</v>
      </c>
      <c r="I12" s="17">
        <f t="shared" si="2"/>
        <v>767741.93489937205</v>
      </c>
    </row>
    <row r="13" spans="1:9" ht="15.75" customHeight="1" x14ac:dyDescent="0.25">
      <c r="A13" s="5">
        <f t="shared" si="3"/>
        <v>2035</v>
      </c>
      <c r="B13" s="49">
        <v>70913</v>
      </c>
      <c r="C13" s="50">
        <v>194247</v>
      </c>
      <c r="D13" s="50">
        <v>276169.5</v>
      </c>
      <c r="E13" s="50">
        <v>220352</v>
      </c>
      <c r="F13" s="50">
        <v>173328</v>
      </c>
      <c r="G13" s="17">
        <f t="shared" si="0"/>
        <v>864096.5</v>
      </c>
      <c r="H13" s="17">
        <f t="shared" si="1"/>
        <v>81999.766185552406</v>
      </c>
      <c r="I13" s="17">
        <f t="shared" si="2"/>
        <v>782096.73381444765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tJ1cdTJ+hFRbXgXRjcnG/ihBFZwI4o4Y66IEKXjqr1Cc+4cVZl2NrPQOrcZKu8wnqZ5N3Pv6KwhqswHBh2FxRA==" saltValue="oaSxPns4lF6q/v0IL4pxe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1.0223598977640099E-2</v>
      </c>
    </row>
    <row r="4" spans="1:8" ht="15.75" customHeight="1" x14ac:dyDescent="0.25">
      <c r="B4" s="19" t="s">
        <v>79</v>
      </c>
      <c r="C4" s="101">
        <v>5.4527794547220461E-2</v>
      </c>
    </row>
    <row r="5" spans="1:8" ht="15.75" customHeight="1" x14ac:dyDescent="0.25">
      <c r="B5" s="19" t="s">
        <v>80</v>
      </c>
      <c r="C5" s="101">
        <v>6.7976193202380797E-2</v>
      </c>
    </row>
    <row r="6" spans="1:8" ht="15.75" customHeight="1" x14ac:dyDescent="0.25">
      <c r="B6" s="19" t="s">
        <v>81</v>
      </c>
      <c r="C6" s="101">
        <v>0.23703687629631159</v>
      </c>
    </row>
    <row r="7" spans="1:8" ht="15.75" customHeight="1" x14ac:dyDescent="0.25">
      <c r="B7" s="19" t="s">
        <v>82</v>
      </c>
      <c r="C7" s="101">
        <v>0.43144785685521458</v>
      </c>
    </row>
    <row r="8" spans="1:8" ht="15.75" customHeight="1" x14ac:dyDescent="0.25">
      <c r="B8" s="19" t="s">
        <v>83</v>
      </c>
      <c r="C8" s="101">
        <v>1.472199852780015E-3</v>
      </c>
    </row>
    <row r="9" spans="1:8" ht="15.75" customHeight="1" x14ac:dyDescent="0.25">
      <c r="B9" s="19" t="s">
        <v>84</v>
      </c>
      <c r="C9" s="101">
        <v>8.8945991105401023E-2</v>
      </c>
    </row>
    <row r="10" spans="1:8" ht="15.75" customHeight="1" x14ac:dyDescent="0.25">
      <c r="B10" s="19" t="s">
        <v>85</v>
      </c>
      <c r="C10" s="101">
        <v>0.1083694891630512</v>
      </c>
    </row>
    <row r="11" spans="1:8" ht="15.75" customHeight="1" x14ac:dyDescent="0.25">
      <c r="B11" s="27" t="s">
        <v>41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0.154195409812344</v>
      </c>
      <c r="D14" s="55">
        <v>0.154195409812344</v>
      </c>
      <c r="E14" s="55">
        <v>0.154195409812344</v>
      </c>
      <c r="F14" s="55">
        <v>0.154195409812344</v>
      </c>
    </row>
    <row r="15" spans="1:8" ht="15.75" customHeight="1" x14ac:dyDescent="0.25">
      <c r="B15" s="19" t="s">
        <v>88</v>
      </c>
      <c r="C15" s="101">
        <v>0.1773419466739668</v>
      </c>
      <c r="D15" s="101">
        <v>0.1773419466739668</v>
      </c>
      <c r="E15" s="101">
        <v>0.1773419466739668</v>
      </c>
      <c r="F15" s="101">
        <v>0.1773419466739668</v>
      </c>
    </row>
    <row r="16" spans="1:8" ht="15.75" customHeight="1" x14ac:dyDescent="0.25">
      <c r="B16" s="19" t="s">
        <v>89</v>
      </c>
      <c r="C16" s="101">
        <v>2.0708961417743449E-2</v>
      </c>
      <c r="D16" s="101">
        <v>2.0708961417743449E-2</v>
      </c>
      <c r="E16" s="101">
        <v>2.0708961417743449E-2</v>
      </c>
      <c r="F16" s="101">
        <v>2.0708961417743449E-2</v>
      </c>
    </row>
    <row r="17" spans="1:8" ht="15.75" customHeight="1" x14ac:dyDescent="0.25">
      <c r="B17" s="19" t="s">
        <v>90</v>
      </c>
      <c r="C17" s="101">
        <v>1.200938691340392E-3</v>
      </c>
      <c r="D17" s="101">
        <v>1.200938691340392E-3</v>
      </c>
      <c r="E17" s="101">
        <v>1.200938691340392E-3</v>
      </c>
      <c r="F17" s="101">
        <v>1.200938691340392E-3</v>
      </c>
    </row>
    <row r="18" spans="1:8" ht="15.75" customHeight="1" x14ac:dyDescent="0.25">
      <c r="B18" s="19" t="s">
        <v>91</v>
      </c>
      <c r="C18" s="101">
        <v>2.0036074469009621E-3</v>
      </c>
      <c r="D18" s="101">
        <v>2.0036074469009621E-3</v>
      </c>
      <c r="E18" s="101">
        <v>2.0036074469009621E-3</v>
      </c>
      <c r="F18" s="101">
        <v>2.0036074469009621E-3</v>
      </c>
    </row>
    <row r="19" spans="1:8" ht="15.75" customHeight="1" x14ac:dyDescent="0.25">
      <c r="B19" s="19" t="s">
        <v>92</v>
      </c>
      <c r="C19" s="101">
        <v>3.8478101476373552E-2</v>
      </c>
      <c r="D19" s="101">
        <v>3.8478101476373552E-2</v>
      </c>
      <c r="E19" s="101">
        <v>3.8478101476373552E-2</v>
      </c>
      <c r="F19" s="101">
        <v>3.8478101476373552E-2</v>
      </c>
    </row>
    <row r="20" spans="1:8" ht="15.75" customHeight="1" x14ac:dyDescent="0.25">
      <c r="B20" s="19" t="s">
        <v>93</v>
      </c>
      <c r="C20" s="101">
        <v>0.28831162427767509</v>
      </c>
      <c r="D20" s="101">
        <v>0.28831162427767509</v>
      </c>
      <c r="E20" s="101">
        <v>0.28831162427767509</v>
      </c>
      <c r="F20" s="101">
        <v>0.28831162427767509</v>
      </c>
    </row>
    <row r="21" spans="1:8" ht="15.75" customHeight="1" x14ac:dyDescent="0.25">
      <c r="B21" s="19" t="s">
        <v>94</v>
      </c>
      <c r="C21" s="101">
        <v>0.1149372196793608</v>
      </c>
      <c r="D21" s="101">
        <v>0.1149372196793608</v>
      </c>
      <c r="E21" s="101">
        <v>0.1149372196793608</v>
      </c>
      <c r="F21" s="101">
        <v>0.1149372196793608</v>
      </c>
    </row>
    <row r="22" spans="1:8" ht="15.75" customHeight="1" x14ac:dyDescent="0.25">
      <c r="B22" s="19" t="s">
        <v>95</v>
      </c>
      <c r="C22" s="101">
        <v>0.2028221905242949</v>
      </c>
      <c r="D22" s="101">
        <v>0.2028221905242949</v>
      </c>
      <c r="E22" s="101">
        <v>0.2028221905242949</v>
      </c>
      <c r="F22" s="101">
        <v>0.2028221905242949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7.6914598000000015E-2</v>
      </c>
    </row>
    <row r="27" spans="1:8" ht="15.75" customHeight="1" x14ac:dyDescent="0.25">
      <c r="B27" s="19" t="s">
        <v>102</v>
      </c>
      <c r="C27" s="101">
        <v>7.5643810000000002E-3</v>
      </c>
    </row>
    <row r="28" spans="1:8" ht="15.75" customHeight="1" x14ac:dyDescent="0.25">
      <c r="B28" s="19" t="s">
        <v>103</v>
      </c>
      <c r="C28" s="101">
        <v>0.13334979499999999</v>
      </c>
    </row>
    <row r="29" spans="1:8" ht="15.75" customHeight="1" x14ac:dyDescent="0.25">
      <c r="B29" s="19" t="s">
        <v>104</v>
      </c>
      <c r="C29" s="101">
        <v>0.14638231299999999</v>
      </c>
    </row>
    <row r="30" spans="1:8" ht="15.75" customHeight="1" x14ac:dyDescent="0.25">
      <c r="B30" s="19" t="s">
        <v>2</v>
      </c>
      <c r="C30" s="101">
        <v>9.1820059999999995E-2</v>
      </c>
    </row>
    <row r="31" spans="1:8" ht="15.75" customHeight="1" x14ac:dyDescent="0.25">
      <c r="B31" s="19" t="s">
        <v>105</v>
      </c>
      <c r="C31" s="101">
        <v>9.6547411000000014E-2</v>
      </c>
    </row>
    <row r="32" spans="1:8" ht="15.75" customHeight="1" x14ac:dyDescent="0.25">
      <c r="B32" s="19" t="s">
        <v>106</v>
      </c>
      <c r="C32" s="101">
        <v>1.6333001E-2</v>
      </c>
    </row>
    <row r="33" spans="2:3" ht="15.75" customHeight="1" x14ac:dyDescent="0.25">
      <c r="B33" s="19" t="s">
        <v>107</v>
      </c>
      <c r="C33" s="101">
        <v>7.2137805999999999E-2</v>
      </c>
    </row>
    <row r="34" spans="2:3" ht="15.75" customHeight="1" x14ac:dyDescent="0.25">
      <c r="B34" s="19" t="s">
        <v>108</v>
      </c>
      <c r="C34" s="101">
        <v>0.35895063599999999</v>
      </c>
    </row>
    <row r="35" spans="2:3" ht="15.75" customHeight="1" x14ac:dyDescent="0.25">
      <c r="B35" s="27" t="s">
        <v>41</v>
      </c>
      <c r="C35" s="48">
        <f>SUM(C26:C34)</f>
        <v>1.0000000010000001</v>
      </c>
    </row>
  </sheetData>
  <sheetProtection algorithmName="SHA-512" hashValue="jwI4Z4sqKIQXJhA+th9FsIyqqUSem2OXJsdMhuvxVK/IWQ9mxXpsO5w62JNmJGTE5iUZxRQARdSiDtdbzl9RkQ==" saltValue="/aiaVSoLvLCO8UhkXpTO3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0.58727534154332206</v>
      </c>
      <c r="D2" s="52">
        <f>IFERROR(1-_xlfn.NORM.DIST(_xlfn.NORM.INV(SUM(D4:D5), 0, 1) + 1, 0, 1, TRUE), "")</f>
        <v>0.58727534154332206</v>
      </c>
      <c r="E2" s="52">
        <f>IFERROR(1-_xlfn.NORM.DIST(_xlfn.NORM.INV(SUM(E4:E5), 0, 1) + 1, 0, 1, TRUE), "")</f>
        <v>0.66143111471626548</v>
      </c>
      <c r="F2" s="52">
        <f>IFERROR(1-_xlfn.NORM.DIST(_xlfn.NORM.INV(SUM(F4:F5), 0, 1) + 1, 0, 1, TRUE), "")</f>
        <v>0.37983838867177266</v>
      </c>
      <c r="G2" s="52">
        <f>IFERROR(1-_xlfn.NORM.DIST(_xlfn.NORM.INV(SUM(G4:G5), 0, 1) + 1, 0, 1, TRUE), "")</f>
        <v>0.35436617816929417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0.30159485845667788</v>
      </c>
      <c r="D3" s="52">
        <f>IFERROR(_xlfn.NORM.DIST(_xlfn.NORM.INV(SUM(D4:D5), 0, 1) + 1, 0, 1, TRUE) - SUM(D4:D5), "")</f>
        <v>0.30159485845667788</v>
      </c>
      <c r="E3" s="52">
        <f>IFERROR(_xlfn.NORM.DIST(_xlfn.NORM.INV(SUM(E4:E5), 0, 1) + 1, 0, 1, TRUE) - SUM(E4:E5), "")</f>
        <v>0.26023558528373447</v>
      </c>
      <c r="F3" s="52">
        <f>IFERROR(_xlfn.NORM.DIST(_xlfn.NORM.INV(SUM(F4:F5), 0, 1) + 1, 0, 1, TRUE) - SUM(F4:F5), "")</f>
        <v>0.37635021132822732</v>
      </c>
      <c r="G3" s="52">
        <f>IFERROR(_xlfn.NORM.DIST(_xlfn.NORM.INV(SUM(G4:G5), 0, 1) + 1, 0, 1, TRUE) - SUM(G4:G5), "")</f>
        <v>0.38012092183070584</v>
      </c>
    </row>
    <row r="4" spans="1:15" ht="15.75" customHeight="1" x14ac:dyDescent="0.25">
      <c r="B4" s="5" t="s">
        <v>114</v>
      </c>
      <c r="C4" s="45">
        <v>6.3812099999999997E-2</v>
      </c>
      <c r="D4" s="53">
        <v>6.3812099999999997E-2</v>
      </c>
      <c r="E4" s="53">
        <v>5.8292099999999999E-2</v>
      </c>
      <c r="F4" s="53">
        <v>0.15700729999999999</v>
      </c>
      <c r="G4" s="53">
        <v>0.17223169999999999</v>
      </c>
    </row>
    <row r="5" spans="1:15" ht="15.75" customHeight="1" x14ac:dyDescent="0.25">
      <c r="B5" s="5" t="s">
        <v>115</v>
      </c>
      <c r="C5" s="45">
        <v>4.7317699999999997E-2</v>
      </c>
      <c r="D5" s="53">
        <v>4.7317699999999997E-2</v>
      </c>
      <c r="E5" s="53">
        <v>2.0041199999999999E-2</v>
      </c>
      <c r="F5" s="53">
        <v>8.6804099999999995E-2</v>
      </c>
      <c r="G5" s="53">
        <v>9.3281200000000009E-2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0.56315453149286132</v>
      </c>
      <c r="D8" s="52">
        <f>IFERROR(1-_xlfn.NORM.DIST(_xlfn.NORM.INV(SUM(D10:D11), 0, 1) + 1, 0, 1, TRUE), "")</f>
        <v>0.56315453149286132</v>
      </c>
      <c r="E8" s="52">
        <f>IFERROR(1-_xlfn.NORM.DIST(_xlfn.NORM.INV(SUM(E10:E11), 0, 1) + 1, 0, 1, TRUE), "")</f>
        <v>0.49605465255960557</v>
      </c>
      <c r="F8" s="52">
        <f>IFERROR(1-_xlfn.NORM.DIST(_xlfn.NORM.INV(SUM(F10:F11), 0, 1) + 1, 0, 1, TRUE), "")</f>
        <v>0.63695278058115035</v>
      </c>
      <c r="G8" s="52">
        <f>IFERROR(1-_xlfn.NORM.DIST(_xlfn.NORM.INV(SUM(G10:G11), 0, 1) + 1, 0, 1, TRUE), "")</f>
        <v>0.76600329429899094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0.31361166850713867</v>
      </c>
      <c r="D9" s="52">
        <f>IFERROR(_xlfn.NORM.DIST(_xlfn.NORM.INV(SUM(D10:D11), 0, 1) + 1, 0, 1, TRUE) - SUM(D10:D11), "")</f>
        <v>0.31361166850713867</v>
      </c>
      <c r="E9" s="52">
        <f>IFERROR(_xlfn.NORM.DIST(_xlfn.NORM.INV(SUM(E10:E11), 0, 1) + 1, 0, 1, TRUE) - SUM(E10:E11), "")</f>
        <v>0.34288524744039445</v>
      </c>
      <c r="F9" s="52">
        <f>IFERROR(_xlfn.NORM.DIST(_xlfn.NORM.INV(SUM(F10:F11), 0, 1) + 1, 0, 1, TRUE) - SUM(F10:F11), "")</f>
        <v>0.27459141941884957</v>
      </c>
      <c r="G9" s="52">
        <f>IFERROR(_xlfn.NORM.DIST(_xlfn.NORM.INV(SUM(G10:G11), 0, 1) + 1, 0, 1, TRUE) - SUM(G10:G11), "")</f>
        <v>0.19180030570100901</v>
      </c>
    </row>
    <row r="10" spans="1:15" ht="15.75" customHeight="1" x14ac:dyDescent="0.25">
      <c r="B10" s="5" t="s">
        <v>119</v>
      </c>
      <c r="C10" s="45">
        <v>4.8994000000000003E-2</v>
      </c>
      <c r="D10" s="53">
        <v>4.8994000000000003E-2</v>
      </c>
      <c r="E10" s="53">
        <v>0.1010281</v>
      </c>
      <c r="F10" s="53">
        <v>4.47619E-2</v>
      </c>
      <c r="G10" s="53">
        <v>3.2328599999999999E-2</v>
      </c>
    </row>
    <row r="11" spans="1:15" ht="15.75" customHeight="1" x14ac:dyDescent="0.25">
      <c r="B11" s="5" t="s">
        <v>120</v>
      </c>
      <c r="C11" s="45">
        <v>7.4239800000000009E-2</v>
      </c>
      <c r="D11" s="53">
        <v>7.4239800000000009E-2</v>
      </c>
      <c r="E11" s="53">
        <v>6.0032000000000002E-2</v>
      </c>
      <c r="F11" s="53">
        <v>4.3693900000000001E-2</v>
      </c>
      <c r="G11" s="53">
        <v>9.8677999999999995E-3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0.66914178675000002</v>
      </c>
      <c r="D14" s="54">
        <v>0.63932800009000001</v>
      </c>
      <c r="E14" s="54">
        <v>0.63932800009000001</v>
      </c>
      <c r="F14" s="54">
        <v>0.49151955144800008</v>
      </c>
      <c r="G14" s="54">
        <v>0.49151955144800008</v>
      </c>
      <c r="H14" s="45">
        <v>0.27100000000000002</v>
      </c>
      <c r="I14" s="55">
        <v>0.27100000000000002</v>
      </c>
      <c r="J14" s="55">
        <v>0.27100000000000002</v>
      </c>
      <c r="K14" s="55">
        <v>0.27100000000000002</v>
      </c>
      <c r="L14" s="45">
        <v>0.23</v>
      </c>
      <c r="M14" s="55">
        <v>0.23</v>
      </c>
      <c r="N14" s="55">
        <v>0.23</v>
      </c>
      <c r="O14" s="55">
        <v>0.23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0.35670476539711649</v>
      </c>
      <c r="D15" s="52">
        <f t="shared" si="0"/>
        <v>0.340811691631977</v>
      </c>
      <c r="E15" s="52">
        <f t="shared" si="0"/>
        <v>0.340811691631977</v>
      </c>
      <c r="F15" s="52">
        <f t="shared" si="0"/>
        <v>0.26201825944679696</v>
      </c>
      <c r="G15" s="52">
        <f t="shared" si="0"/>
        <v>0.26201825944679696</v>
      </c>
      <c r="H15" s="52">
        <f t="shared" si="0"/>
        <v>0.14446413799999999</v>
      </c>
      <c r="I15" s="52">
        <f t="shared" si="0"/>
        <v>0.14446413799999999</v>
      </c>
      <c r="J15" s="52">
        <f t="shared" si="0"/>
        <v>0.14446413799999999</v>
      </c>
      <c r="K15" s="52">
        <f t="shared" si="0"/>
        <v>0.14446413799999999</v>
      </c>
      <c r="L15" s="52">
        <f t="shared" si="0"/>
        <v>0.12260794</v>
      </c>
      <c r="M15" s="52">
        <f t="shared" si="0"/>
        <v>0.12260794</v>
      </c>
      <c r="N15" s="52">
        <f t="shared" si="0"/>
        <v>0.12260794</v>
      </c>
      <c r="O15" s="52">
        <f t="shared" si="0"/>
        <v>0.12260794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8uMqjKqxoYz8jeH7V8LvQq4wyBBy9v7RvekRmZULaaMgaWZJS0UBRXIfcxNBg28iGJv02H/DadEbaOT374JuSQ==" saltValue="buA4I77R31ESXzf0P/yK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0.72007639999999995</v>
      </c>
      <c r="D2" s="53">
        <v>0.45918130000000001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0.1422108</v>
      </c>
      <c r="D3" s="53">
        <v>0.20233039999999999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0.11423510000000001</v>
      </c>
      <c r="D4" s="53">
        <v>0.2529962</v>
      </c>
      <c r="E4" s="53">
        <v>0.77814710000000009</v>
      </c>
      <c r="F4" s="53">
        <v>0.46696870000000001</v>
      </c>
      <c r="G4" s="53">
        <v>0</v>
      </c>
    </row>
    <row r="5" spans="1:7" x14ac:dyDescent="0.25">
      <c r="B5" s="3" t="s">
        <v>132</v>
      </c>
      <c r="C5" s="52">
        <v>2.3477700000000001E-2</v>
      </c>
      <c r="D5" s="52">
        <v>8.5492100000000001E-2</v>
      </c>
      <c r="E5" s="52">
        <f>1-SUM(E2:E4)</f>
        <v>0.22185289999999991</v>
      </c>
      <c r="F5" s="52">
        <f>1-SUM(F2:F4)</f>
        <v>0.53303129999999999</v>
      </c>
      <c r="G5" s="52">
        <f>1-SUM(G2:G4)</f>
        <v>1</v>
      </c>
    </row>
  </sheetData>
  <sheetProtection algorithmName="SHA-512" hashValue="gOIDWB+OsFoLSoIm8656LLZL6PhwqO7Z2K1ETDWp3+XnTiLUmJ31S7v+/ASyJh4hw/Q0ZYo+e9lAgRZWvnC3Gw==" saltValue="tB3tGQmfbP9+pIsqMmvlm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Fz8/4jVFryEkaeKxB+1kUabshhzZFbFuw2ejbB4CGy02mmMCAozPaQ51mMBvujWzxikM69d9VOiQBqwdHWzBmg==" saltValue="NxTLCfa3yIA8cm597ionm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92HNGBwpG+TflyLLGCnh/tkNbeXcmcXO5FETzbIUBbxZH+gDND1MTSWjFJJ1FD+LYJ1An8bqQ8fMnsLS/vucEQ==" saltValue="ZVn83kk4JZ350YH1q32Vv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x670piWoAAJkP6tK12jbOuOhDykBfHEMfVfNyUxauGrtOX8xDhjx0WAhErGyG7AgSquhQ6Qs5zFs2A/r1F7WPw==" saltValue="kqeIXxeYQbYM2JpiQ44Iz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AgWf9KxIjmqP/BnxMAhvfADeiObITnawXOX16SGkx2q9c2dQ3nVdPCkr60e7fct//ms6Ju+dugoJuNRdLBzz6w==" saltValue="DkusBmOxqj6TDALJisnZp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65.60734264525216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19.75203299904819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7.2861200073283072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1.5590045024359589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0.2139553248340432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0.78848199824391296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0.40394964285693302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0.38645259999999998</v>
      </c>
      <c r="C10" s="98">
        <v>0.95</v>
      </c>
      <c r="D10" s="56">
        <v>13.05116778302235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13.05116778302235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13.05116778302235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13.05116778302235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0.38645259999999998</v>
      </c>
      <c r="C14" s="98">
        <v>0.95</v>
      </c>
      <c r="D14" s="56">
        <v>13.05116778302235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13.05116778302235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4.9176999999999998E-2</v>
      </c>
      <c r="C16" s="98">
        <v>0.95</v>
      </c>
      <c r="D16" s="56">
        <v>2.503642449664842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0.67200000000000004</v>
      </c>
      <c r="C18" s="98">
        <v>0.95</v>
      </c>
      <c r="D18" s="56">
        <v>7.2861200073283072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0.45918130000000001</v>
      </c>
      <c r="C19" s="98">
        <v>0.95</v>
      </c>
      <c r="D19" s="56">
        <v>7.2861200073283072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7.4846345450640612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22.54259034226105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0.22748450000000001</v>
      </c>
      <c r="C23" s="98">
        <v>0.95</v>
      </c>
      <c r="D23" s="56">
        <v>4.3037053742427069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0.85985686684090001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0.38645259999999998</v>
      </c>
      <c r="C26" s="98">
        <v>0.95</v>
      </c>
      <c r="D26" s="56">
        <v>3.4665816434934871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13.803307962555669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0.71619929999999998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0.24890229999999999</v>
      </c>
      <c r="C29" s="98">
        <v>0.95</v>
      </c>
      <c r="D29" s="56">
        <v>88.005851455993124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180.94215297303569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0.59</v>
      </c>
      <c r="C32" s="98">
        <v>0.95</v>
      </c>
      <c r="D32" s="56">
        <v>0.65266805708153031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0.44599899999999998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0.125864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8.1373999999999995E-3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0.83701589999999992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2E-3</v>
      </c>
      <c r="C38" s="98">
        <v>0.95</v>
      </c>
      <c r="D38" s="56">
        <v>2.4488574538288082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3.4277904548683669</v>
      </c>
      <c r="E39" s="56" t="s">
        <v>201</v>
      </c>
      <c r="F39" s="98">
        <v>1</v>
      </c>
      <c r="G39" s="98">
        <v>1</v>
      </c>
    </row>
  </sheetData>
  <sheetProtection algorithmName="SHA-512" hashValue="T4vVNLFrN66M+BF4DaDXBRkkL4OVqqRfCUOdt6pzoCtws9gkomY9QxgP+OAJUYTLpKfB7uNCArDSbgDmSLKMug==" saltValue="h/C5+Uork8UQaDUQFwmP/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3KcxOiWcytHHr3c2TKde9AIddoc26+MCODcilQs6Md2K09tUqQUyv0WYgljvfhkV+ibMlixP3ZJy9K+f6b0J+Q==" saltValue="F4JYI1G+6z+5oC8Ejsny6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3BVceINab564JR8EVbVRzfVs6iRXOj4OXG0nCsFAvvqioj0Eeda5Ax3QKGElk8HoQEb7+C2kZxZVEP0oJjp5mg==" saltValue="FG3GJea/EqQAxH2a5nY3M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0.12738440000000001</v>
      </c>
      <c r="C3" s="21">
        <f>frac_mam_1_5months * 2.6</f>
        <v>0.12738440000000001</v>
      </c>
      <c r="D3" s="21">
        <f>frac_mam_6_11months * 2.6</f>
        <v>0.26267306000000001</v>
      </c>
      <c r="E3" s="21">
        <f>frac_mam_12_23months * 2.6</f>
        <v>0.11638094</v>
      </c>
      <c r="F3" s="21">
        <f>frac_mam_24_59months * 2.6</f>
        <v>8.4054359999999995E-2</v>
      </c>
    </row>
    <row r="4" spans="1:6" ht="15.75" customHeight="1" x14ac:dyDescent="0.25">
      <c r="A4" s="3" t="s">
        <v>208</v>
      </c>
      <c r="B4" s="21">
        <f>frac_sam_1month * 2.6</f>
        <v>0.19302348000000003</v>
      </c>
      <c r="C4" s="21">
        <f>frac_sam_1_5months * 2.6</f>
        <v>0.19302348000000003</v>
      </c>
      <c r="D4" s="21">
        <f>frac_sam_6_11months * 2.6</f>
        <v>0.15608320000000001</v>
      </c>
      <c r="E4" s="21">
        <f>frac_sam_12_23months * 2.6</f>
        <v>0.11360414000000001</v>
      </c>
      <c r="F4" s="21">
        <f>frac_sam_24_59months * 2.6</f>
        <v>2.565628E-2</v>
      </c>
    </row>
  </sheetData>
  <sheetProtection algorithmName="SHA-512" hashValue="2CWYTxFBvRxOnfJewCq/Kgi6mXPzEcNKTMlzA1d0KkrpXOR/PuHqYFihpnU30cr9fXjfBFbHqST7g43uI267zQ==" saltValue="O6a67Ch/tOYVixt5poeVu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0.13400000000000001</v>
      </c>
      <c r="E2" s="60">
        <f>food_insecure</f>
        <v>0.13400000000000001</v>
      </c>
      <c r="F2" s="60">
        <f>food_insecure</f>
        <v>0.13400000000000001</v>
      </c>
      <c r="G2" s="60">
        <f>food_insecure</f>
        <v>0.13400000000000001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0.13400000000000001</v>
      </c>
      <c r="F5" s="60">
        <f>food_insecure</f>
        <v>0.13400000000000001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0.13400000000000001</v>
      </c>
      <c r="F8" s="60">
        <f>food_insecure</f>
        <v>0.13400000000000001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0.13400000000000001</v>
      </c>
      <c r="F9" s="60">
        <f>food_insecure</f>
        <v>0.13400000000000001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0.13400000000000001</v>
      </c>
      <c r="I15" s="60">
        <f>food_insecure</f>
        <v>0.13400000000000001</v>
      </c>
      <c r="J15" s="60">
        <f>food_insecure</f>
        <v>0.13400000000000001</v>
      </c>
      <c r="K15" s="60">
        <f>food_insecure</f>
        <v>0.13400000000000001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0.27</v>
      </c>
      <c r="I19" s="60">
        <f>frac_malaria_risk</f>
        <v>0.27</v>
      </c>
      <c r="J19" s="60">
        <f>frac_malaria_risk</f>
        <v>0.27</v>
      </c>
      <c r="K19" s="60">
        <f>frac_malaria_risk</f>
        <v>0.27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0.34920915215608805</v>
      </c>
      <c r="M25" s="60">
        <f>(1-food_insecure)*(0.49)+food_insecure*(0.7)</f>
        <v>0.51814000000000004</v>
      </c>
      <c r="N25" s="60">
        <f>(1-food_insecure)*(0.49)+food_insecure*(0.7)</f>
        <v>0.51814000000000004</v>
      </c>
      <c r="O25" s="60">
        <f>(1-food_insecure)*(0.49)+food_insecure*(0.7)</f>
        <v>0.51814000000000004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0.14966106520975203</v>
      </c>
      <c r="M26" s="60">
        <f>(1-food_insecure)*(0.21)+food_insecure*(0.3)</f>
        <v>0.22205999999999998</v>
      </c>
      <c r="N26" s="60">
        <f>(1-food_insecure)*(0.21)+food_insecure*(0.3)</f>
        <v>0.22205999999999998</v>
      </c>
      <c r="O26" s="60">
        <f>(1-food_insecure)*(0.21)+food_insecure*(0.3)</f>
        <v>0.22205999999999998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0.17509657183416</v>
      </c>
      <c r="M27" s="60">
        <f>(1-food_insecure)*(0.3)</f>
        <v>0.25979999999999998</v>
      </c>
      <c r="N27" s="60">
        <f>(1-food_insecure)*(0.3)</f>
        <v>0.25979999999999998</v>
      </c>
      <c r="O27" s="60">
        <f>(1-food_insecure)*(0.3)</f>
        <v>0.25979999999999998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0.32603321080000003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0.27</v>
      </c>
      <c r="D34" s="60">
        <f t="shared" si="3"/>
        <v>0.27</v>
      </c>
      <c r="E34" s="60">
        <f t="shared" si="3"/>
        <v>0.27</v>
      </c>
      <c r="F34" s="60">
        <f t="shared" si="3"/>
        <v>0.27</v>
      </c>
      <c r="G34" s="60">
        <f t="shared" si="3"/>
        <v>0.27</v>
      </c>
      <c r="H34" s="60">
        <f t="shared" si="3"/>
        <v>0.27</v>
      </c>
      <c r="I34" s="60">
        <f t="shared" si="3"/>
        <v>0.27</v>
      </c>
      <c r="J34" s="60">
        <f t="shared" si="3"/>
        <v>0.27</v>
      </c>
      <c r="K34" s="60">
        <f t="shared" si="3"/>
        <v>0.27</v>
      </c>
      <c r="L34" s="60">
        <f t="shared" si="3"/>
        <v>0.27</v>
      </c>
      <c r="M34" s="60">
        <f t="shared" si="3"/>
        <v>0.27</v>
      </c>
      <c r="N34" s="60">
        <f t="shared" si="3"/>
        <v>0.27</v>
      </c>
      <c r="O34" s="60">
        <f t="shared" si="3"/>
        <v>0.27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LayCQx8BpanB1IsU1/88E1UdC59WNWb11wrLwCiDwjqqamYPZ6BRzLBsHcQ3p1DotHIg+dy9MduD9YzMv1nDoA==" saltValue="qjcYT8wLKP2VRqBGOt3YY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oEw59QjHQwtOXdW+rGxNrNt4YYYcxXNrOI3mO0aj99hqT+zXuypIeUfh0y7Soq7NC+a8Vv9cci2XkDAH2lA+7A==" saltValue="5+rCI/8IzP3gYjuVhqMn3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ri35LE5PqI6gH0xlY/OdQcXPAXllxQB/s6ltOOpD4yjcdHB7b5qYrkRsXbU12DaQ8e/JfNjSKGp1VBb88/BWRw==" saltValue="LLvNtMQEJdytJMXUr7axf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Z/F1/VTdykkPc+zJ1X9rByzEnZCxpR7vXE5JijEORKw8TpLCt8Xq0mZLJyE0rEXjqETImgf/fBs/qT1koScLyQ==" saltValue="NYTcVyHiQQQ/C56zjJQid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TDCvR55jrzjsomzWC0pcvztDHP56tc+1cpZchQNTcuXjnNc48RRuaXZAvOXJYhIw8c/ap9HohRWqZCoONnXUlw==" saltValue="vgnZE4WRVn9BorQlotiIi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WVarWsF4hKX6AHMgP0JF8DPTkwTtR5DebSIk8IhZo4+XglegF4EfitXuJ10jhfcaXwy6ZBUHQC6AW66e3Nnt6A==" saltValue="/XYdRq8Ta73DD9e8vp57s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/1I5vW7einIjTd2d3KUpw9w6Z60NPuv9fhnlW2Al1PgTAGxVXpZjWDDtUHxNfaap/rXocP+0kAh5UukF4cZxPw==" saltValue="lVnqRbAs4voukmqN13+Ui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cRnGw8G+1o8BHEC9OLD8RdHjnFVxgLq6Ab6f813broo2rdlbtkYn4FskbfeZtDH5qh+k7czzSa+BjsbQoS8vnQ==" saltValue="7jgt+WjtHEUASoWNPVGT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Hvkmql5xFGOldJ5ofO7JOWPtNJXdlUzlGfhee/7F7uvOYb2gzKnk5soYzsPIK25NcTrWaz4SV000O2uZyhKDKg==" saltValue="vbsnsjhhSPegvOn+sd/R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RY1iAfNttJ0KbaE7/hIOcEQO9idOvYXgpfiNkcholMaYG8jff/tbH4Emfgfeogtui8HfOkNhVphJmI5JMIKUjQ==" saltValue="n9MqyPzdOYnAIVmd6jmw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n7t61iy4imnmq7J5/1Noh3t1//1YJiFHWmxuxtOoLgl8cTCH52htszCk8OJahSLyP1QvDYo1kHvms6y/W+x/ZA==" saltValue="OAjfxmDpYDR0y//YfIBbP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HlMBEj2l8iOQ8qtW73h1bVF7S8HCVbsoM/dUupKpOOZ1k4fhQ5unOOFk5Kv+apfPMahTVgBm9J+cgO2rCvvSbQ==" saltValue="82fgJ4Qi/+ddwj4qWHCB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chzHud1IcVfKSYK1Uhy+1oDrvLR8WSjvtCBkPEKOqnO4avfAdxOqXvelo6ZVdP+47uuifN4wQsbjn586Xa39TQ==" saltValue="IU99R5QXzssLnZgiAbbwG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0.10408379945135304</v>
      </c>
      <c r="G18" s="90">
        <f>MIN(MAX(1-0.89/(1-frac_sam_12_23months+(frac_sam_12_23months*0.89)),0),1)</f>
        <v>0.10570170818540103</v>
      </c>
      <c r="H18" s="90">
        <f>MIN(MAX(1-0.89/(1-frac_sam_24_59months+(frac_sam_24_59months*0.89)),0),1)</f>
        <v>0.10903289262556359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9.9998198075044065E-2</v>
      </c>
      <c r="G20" s="90">
        <f>MIN(MAX(1-0.89/(1-frac_mam_12_23months+(frac_mam_12_23months*0.89)),0),1)</f>
        <v>0.10559612615633363</v>
      </c>
      <c r="H20" s="90">
        <f>MIN(MAX(1-0.89/(1-frac_mam_24_59months+(frac_mam_24_59months*0.89)),0),1)</f>
        <v>0.10682373479720408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9.4053262054276665E-3</v>
      </c>
      <c r="G73" s="90">
        <f>MIN(MAX(1-0.99/(1-frac_sam_12_23months+(frac_sam_12_23months*0.99)),0),1)</f>
        <v>9.5672413008467405E-3</v>
      </c>
      <c r="H73" s="90">
        <f>MIN(MAX(1-0.99/(1-frac_sam_24_59months+(frac_sam_24_59months*0.99)),0),1)</f>
        <v>9.9022991390744775E-3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8.9988103270960407E-3</v>
      </c>
      <c r="G75" s="90">
        <f>MIN(MAX(1-0.99/(1-frac_mam_12_23months+(frac_mam_12_23months*0.99)),0),1)</f>
        <v>9.5566587420294891E-3</v>
      </c>
      <c r="H75" s="90">
        <f>MIN(MAX(1-0.99/(1-frac_mam_24_59months+(frac_mam_24_59months*0.99)),0),1)</f>
        <v>9.6798433578396681E-3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0.19027815564797179</v>
      </c>
      <c r="G128" s="90">
        <f>MIN(MAX(1-0.8/(1-frac_sam_12_23months+(frac_sam_12_23months*0.8)),0),1)</f>
        <v>0.19294734439424555</v>
      </c>
      <c r="H128" s="90">
        <f>MIN(MAX(1-0.8/(1-frac_sam_24_59months+(frac_sam_24_59months*0.8)),0),1)</f>
        <v>0.19841802988706392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0.18350215480925702</v>
      </c>
      <c r="G130" s="90">
        <f>MIN(MAX(1-0.8/(1-frac_mam_12_23months+(frac_mam_12_23months*0.8)),0),1)</f>
        <v>0.19277340073729254</v>
      </c>
      <c r="H130" s="90">
        <f>MIN(MAX(1-0.8/(1-frac_mam_24_59months+(frac_mam_24_59months*0.8)),0),1)</f>
        <v>0.19479376192233644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Z9oVg9Ju1NK5+h78wleyP20//mQ0TFxSbsZkLC9rbq31UTRi/Q7Lb96vQsed5BJSXR/0cMGfVGEpzoUsicJzXA==" saltValue="Y9q+SCs6v4+yDNHArGw2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pkFmTFb8vGxvklq79hI0KBsvLS7cHsivJW6GlY4YBaoNMnHu+bl8THvcheFX9erjoWA6zd8pr40/Gn6wvjCf3A==" saltValue="Uku20K3514SHRrkEmat7i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2024-08-06T09:32:00Z</dcterms:modified>
</cp:coreProperties>
</file>