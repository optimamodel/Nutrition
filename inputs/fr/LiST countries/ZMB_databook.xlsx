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F53CCB94-964A-44F6-BD15-6643AE85164C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I38" i="2" s="1"/>
  <c r="H13" i="2"/>
  <c r="G13" i="2"/>
  <c r="H12" i="2"/>
  <c r="G12" i="2"/>
  <c r="I12" i="2" s="1"/>
  <c r="H11" i="2"/>
  <c r="G11" i="2"/>
  <c r="H10" i="2"/>
  <c r="G10" i="2"/>
  <c r="H9" i="2"/>
  <c r="G9" i="2"/>
  <c r="H8" i="2"/>
  <c r="G8" i="2"/>
  <c r="I8" i="2" s="1"/>
  <c r="H7" i="2"/>
  <c r="G7" i="2"/>
  <c r="H6" i="2"/>
  <c r="G6" i="2"/>
  <c r="H5" i="2"/>
  <c r="G5" i="2"/>
  <c r="H4" i="2"/>
  <c r="G4" i="2"/>
  <c r="I4" i="2" s="1"/>
  <c r="H3" i="2"/>
  <c r="G3" i="2"/>
  <c r="H2" i="2"/>
  <c r="G2" i="2"/>
  <c r="A2" i="2"/>
  <c r="A39" i="2" s="1"/>
  <c r="C33" i="1"/>
  <c r="C20" i="1"/>
  <c r="A22" i="2" l="1"/>
  <c r="A25" i="2"/>
  <c r="A31" i="2"/>
  <c r="A23" i="2"/>
  <c r="A24" i="2"/>
  <c r="A36" i="2"/>
  <c r="I9" i="2"/>
  <c r="I13" i="2"/>
  <c r="A37" i="2"/>
  <c r="A26" i="2"/>
  <c r="I39" i="2"/>
  <c r="A34" i="2"/>
  <c r="A40" i="2"/>
  <c r="I2" i="2"/>
  <c r="I6" i="2"/>
  <c r="A19" i="2"/>
  <c r="A35" i="2"/>
  <c r="I3" i="2"/>
  <c r="I7" i="2"/>
  <c r="I11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<sst xmlns="http://schemas.openxmlformats.org/spreadsheetml/2006/main" count="2169" uniqueCount="369">
  <si>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</si>
  <si>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</si>
  <si>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</si>
  <si>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</si>
  <si>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</si>
  <si>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</si>
  <si>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</si>
  <si>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</si>
  <si>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</si>
  <si>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</si>
  <si>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</si>
  <si>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</si>
  <si>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</si>
  <si>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</si>
  <si>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</si>
  <si>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</si>
  <si>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</si>
  <si>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</si>
  <si>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</si>
  <si>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</si>
  <si>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</si>
  <si>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</si>
  <si>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</si>
  <si>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</si>
  <si>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</si>
  <si>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</si>
  <si>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</si>
  <si>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</si>
  <si>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</si>
  <si>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</si>
  <si>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</si>
  <si>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</si>
  <si>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</si>
  <si>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</si>
  <si>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</si>
  <si>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</si>
  <si>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</si>
  <si>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</si>
  <si>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</si>
  <si>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</si>
  <si>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</si>
  <si>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</si>
  <si>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</si>
  <si>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</si>
  <si>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</si>
  <si>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</si>
  <si>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</si>
  <si>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</si>
  <si>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</si>
  <si>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</si>
  <si>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</si>
  <si>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</si>
  <si>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</si>
  <si>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</si>
  <si>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</si>
  <si>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</si>
  <si>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</si>
  <si>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</si>
  <si>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</si>
  <si>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</si>
  <si>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</si>
  <si>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</si>
  <si>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</si>
  <si>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</si>
  <si>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</si>
  <si>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</si>
  <si>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</si>
  <si>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</si>
  <si>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</si>
  <si>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</si>
  <si>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</si>
  <si>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</si>
  <si>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</si>
  <si>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</si>
  <si>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</si>
  <si>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</si>
  <si>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</si>
  <si>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</si>
  <si>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</si>
  <si>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</si>
  <si>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</si>
  <si>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</si>
  <si>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</si>
  <si>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</si>
  <si>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</si>
  <si>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</si>
  <si>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</si>
  <si>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</si>
  <si>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</si>
  <si>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</si>
  <si>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</si>
  <si>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</si>
  <si>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</si>
  <si>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</si>
  <si>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</si>
  <si>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</si>
  <si>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</si>
  <si>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</si>
  <si>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</si>
  <si>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</si>
  <si>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</si>
  <si>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</si>
  <si>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</si>
  <si>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</si>
  <si>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</si>
  <si>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</si>
  <si>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</si>
  <si>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</si>
  <si>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</si>
  <si>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</si>
  <si>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</si>
  <si>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</si>
  <si>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</si>
  <si>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</si>
  <si>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</si>
  <si>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</si>
  <si>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</si>
  <si>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</si>
  <si>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</si>
  <si>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</si>
  <si>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</si>
  <si>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</si>
  <si>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</si>
  <si>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</si>
  <si>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</si>
  <si>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</si>
  <si>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</si>
  <si>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</si>
  <si>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</si>
  <si>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</si>
  <si>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</si>
  <si>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</si>
  <si>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</si>
  <si>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</si>
  <si>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</si>
  <si>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</si>
  <si>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</si>
  <si>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</si>
  <si>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</si>
  <si>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</si>
  <si>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</si>
  <si>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</si>
  <si>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</si>
  <si>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</si>
  <si>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</si>
  <si>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</si>
  <si>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</si>
  <si>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</si>
  <si>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</si>
  <si>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</si>
  <si>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</si>
  <si>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</si>
  <si>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</si>
  <si>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</si>
  <si>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</si>
  <si>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</si>
  <si>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</si>
  <si>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</si>
  <si>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</si>
  <si>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</si>
  <si>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</si>
  <si>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</si>
  <si>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</si>
  <si>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</si>
  <si>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</si>
  <si>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</si>
  <si>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</si>
  <si>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</si>
  <si>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</si>
  <si>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</si>
  <si>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</si>
  <si>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</si>
  <si>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</si>
  <si>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</si>
  <si>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</si>
  <si>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</si>
  <si>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</si>
  <si>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</si>
  <si>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</si>
  <si>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</si>
  <si>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</si>
  <si>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</si>
  <si>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</si>
  <si>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</si>
  <si>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</si>
  <si>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</si>
  <si>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</si>
  <si>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</si>
  <si>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</si>
  <si>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</si>
  <si>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</si>
  <si>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</si>
  <si>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</si>
  <si>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</si>
  <si>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</si>
  <si>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</si>
  <si>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</si>
  <si>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</si>
  <si>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</si>
  <si>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</si>
  <si>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</si>
  <si>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</si>
  <si>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</si>
  <si>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</si>
  <si>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</si>
  <si>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</si>
  <si>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</si>
  <si>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</si>
  <si>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</si>
  <si>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</si>
  <si>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</si>
  <si>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</si>
  <si>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</si>
  <si>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</si>
  <si>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</si>
  <si>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</si>
  <si>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</si>
  <si>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</si>
  <si>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</si>
  <si>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</si>
  <si>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</si>
  <si>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</si>
  <si>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</si>
  <si>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</si>
  <si>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</si>
  <si>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</si>
  <si>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</si>
  <si>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</si>
  <si>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</si>
  <si>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</si>
  <si>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</si>
  <si>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</si>
  <si>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</si>
  <si>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</si>
  <si>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</si>
  <si>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</si>
  <si>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</si>
  <si>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</si>
  <si>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</si>
  <si>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</si>
  <si>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</si>
  <si>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</si>
  <si>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</si>
  <si>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</si>
  <si>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</si>
  <si>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</si>
  <si>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</si>
  <si>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</si>
  <si>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</si>
  <si>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</si>
  <si>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</si>
  <si>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</si>
  <si>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</si>
  <si>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</si>
  <si>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</si>
  <si>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</si>
  <si>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</si>
  <si>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</si>
  <si>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</si>
  <si>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</si>
  <si>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</si>
  <si>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</si>
  <si>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</si>
  <si>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</si>
  <si>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</si>
  <si>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</si>
  <si>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</si>
  <si>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</si>
  <si>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</si>
  <si>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</si>
  <si>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</si>
  <si>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</si>
  <si>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</si>
  <si>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</si>
  <si>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</si>
  <si>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</si>
  <si>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</si>
  <si>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</si>
  <si>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</si>
  <si>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</si>
  <si>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</si>
  <si>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</si>
  <si>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</si>
  <si>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</si>
  <si>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</si>
  <si>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</si>
  <si>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</si>
  <si>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</si>
  <si>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</si>
  <si>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</si>
  <si>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</si>
  <si>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</si>
  <si>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</si>
  <si>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</si>
  <si>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</si>
  <si>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</si>
  <si>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</si>
  <si>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</si>
  <si>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</si>
  <si>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</si>
  <si>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</si>
  <si>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</si>
  <si>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</si>
  <si>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</si>
  <si>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</si>
  <si>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</si>
  <si>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</si>
  <si>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</si>
  <si>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</si>
  <si>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</si>
  <si>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</si>
  <si>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</si>
  <si>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</si>
  <si>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</si>
  <si>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</si>
  <si>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</si>
  <si>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</si>
  <si>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</si>
  <si>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</si>
  <si>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</si>
  <si>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</si>
  <si>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</si>
  <si>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</si>
  <si>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</si>
  <si>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</si>
  <si>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</si>
  <si>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</si>
  <si>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</si>
  <si>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</si>
  <si>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</si>
  <si>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</si>
  <si>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</si>
  <si>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</si>
  <si>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</si>
  <si>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</si>
  <si>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</si>
  <si>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</si>
  <si>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</si>
  <si>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</si>
  <si>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</si>
  <si>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</si>
  <si>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</si>
  <si>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</si>
  <si>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</si>
  <si>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</si>
  <si>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</si>
  <si>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</si>
  <si>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</si>
  <si>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</si>
  <si>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</si>
  <si>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</si>
  <si>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</si>
  <si>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</si>
  <si>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</si>
  <si>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</si>
  <si>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</si>
  <si>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</si>
  <si>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</si>
  <si>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</si>
  <si>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</si>
  <si>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</si>
  <si>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</si>
  <si>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</si>
  <si>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</si>
  <si>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</si>
  <si>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</si>
  <si>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</si>
  <si>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</si>
  <si>
    <t>Toutes les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</si>
</sst>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3234401</v>
      </c>
    </row>
    <row r="8" spans="1:3" ht="15" customHeight="1" x14ac:dyDescent="0.25">
      <c r="B8" s="5" t="s">
        <v>37</v>
      </c>
      <c r="C8" s="44">
        <v>0.54400000000000004</v>
      </c>
    </row>
    <row r="9" spans="1:3" ht="15" customHeight="1" x14ac:dyDescent="0.25">
      <c r="B9" s="5" t="s">
        <v>38</v>
      </c>
      <c r="C9" s="45">
        <v>0.83</v>
      </c>
    </row>
    <row r="10" spans="1:3" ht="15" customHeight="1" x14ac:dyDescent="0.25">
      <c r="B10" s="5" t="s">
        <v>39</v>
      </c>
      <c r="C10" s="45">
        <v>0.32603321079999997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0.19700000000000001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9.5700000000000007E-2</v>
      </c>
    </row>
    <row r="24" spans="1:3" ht="15" customHeight="1" x14ac:dyDescent="0.25">
      <c r="B24" s="15" t="s">
        <v>51</v>
      </c>
      <c r="C24" s="45">
        <v>0.50319999999999998</v>
      </c>
    </row>
    <row r="25" spans="1:3" ht="15" customHeight="1" x14ac:dyDescent="0.25">
      <c r="B25" s="15" t="s">
        <v>52</v>
      </c>
      <c r="C25" s="45">
        <v>0.32229999999999998</v>
      </c>
    </row>
    <row r="26" spans="1:3" ht="15" customHeight="1" x14ac:dyDescent="0.25">
      <c r="B26" s="15" t="s">
        <v>53</v>
      </c>
      <c r="C26" s="45">
        <v>7.8799999999999995E-2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0.25571203379649299</v>
      </c>
    </row>
    <row r="30" spans="1:3" ht="14.25" customHeight="1" x14ac:dyDescent="0.25">
      <c r="B30" s="25" t="s">
        <v>56</v>
      </c>
      <c r="C30" s="97">
        <v>3.3819814705800401E-2</v>
      </c>
    </row>
    <row r="31" spans="1:3" ht="14.25" customHeight="1" x14ac:dyDescent="0.25">
      <c r="B31" s="25" t="s">
        <v>57</v>
      </c>
      <c r="C31" s="97">
        <v>7.04524288623571E-2</v>
      </c>
    </row>
    <row r="32" spans="1:3" ht="14.25" customHeight="1" x14ac:dyDescent="0.25">
      <c r="B32" s="25" t="s">
        <v>58</v>
      </c>
      <c r="C32" s="97">
        <v>0.64001572263535</v>
      </c>
    </row>
    <row r="33" spans="1:5" ht="13.25" customHeight="1" x14ac:dyDescent="0.25">
      <c r="B33" s="27" t="s">
        <v>59</v>
      </c>
      <c r="C33" s="48">
        <f>SUM(C29:C32)</f>
        <v>1.0000000000000004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24.560659999999999</v>
      </c>
    </row>
    <row r="38" spans="1:5" ht="15" customHeight="1" x14ac:dyDescent="0.25">
      <c r="B38" s="11" t="s">
        <v>63</v>
      </c>
      <c r="C38" s="43">
        <v>40.190779999999997</v>
      </c>
      <c r="D38" s="12"/>
      <c r="E38" s="13"/>
    </row>
    <row r="39" spans="1:5" ht="15" customHeight="1" x14ac:dyDescent="0.25">
      <c r="B39" s="11" t="s">
        <v>64</v>
      </c>
      <c r="C39" s="43">
        <v>57.691830000000003</v>
      </c>
      <c r="D39" s="12"/>
      <c r="E39" s="12"/>
    </row>
    <row r="40" spans="1:5" ht="15" customHeight="1" x14ac:dyDescent="0.25">
      <c r="B40" s="11" t="s">
        <v>65</v>
      </c>
      <c r="C40" s="98">
        <v>1.35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14.23291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6.5190999999999999E-3</v>
      </c>
      <c r="D45" s="12"/>
    </row>
    <row r="46" spans="1:5" ht="15.75" customHeight="1" x14ac:dyDescent="0.25">
      <c r="B46" s="11" t="s">
        <v>70</v>
      </c>
      <c r="C46" s="45">
        <v>7.0119699999999993E-2</v>
      </c>
      <c r="D46" s="12"/>
    </row>
    <row r="47" spans="1:5" ht="15.75" customHeight="1" x14ac:dyDescent="0.25">
      <c r="B47" s="11" t="s">
        <v>71</v>
      </c>
      <c r="C47" s="45">
        <v>0.16534509999999999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98">
        <v>2.7040000000000002</v>
      </c>
      <c r="D51" s="12"/>
    </row>
    <row r="52" spans="1:4" ht="15" customHeight="1" x14ac:dyDescent="0.25">
      <c r="B52" s="11" t="s">
        <v>75</v>
      </c>
      <c r="C52" s="98">
        <v>2.7040000000000002</v>
      </c>
    </row>
    <row r="53" spans="1:4" ht="15.75" customHeight="1" x14ac:dyDescent="0.25">
      <c r="B53" s="11" t="s">
        <v>76</v>
      </c>
      <c r="C53" s="98">
        <v>7.7220000000000004</v>
      </c>
    </row>
    <row r="54" spans="1:4" ht="15.75" customHeight="1" x14ac:dyDescent="0.25">
      <c r="B54" s="11" t="s">
        <v>77</v>
      </c>
      <c r="C54" s="98">
        <v>7.2539999999999996</v>
      </c>
    </row>
    <row r="55" spans="1:4" ht="15.75" customHeight="1" x14ac:dyDescent="0.25">
      <c r="B55" s="11" t="s">
        <v>78</v>
      </c>
      <c r="C55" s="98">
        <v>2.3919999999999999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2.181818181818182E-2</v>
      </c>
    </row>
    <row r="59" spans="1:4" ht="15.75" customHeight="1" x14ac:dyDescent="0.25">
      <c r="B59" s="11" t="s">
        <v>81</v>
      </c>
      <c r="C59" s="45">
        <v>0.50240399999999996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0.1124687551</v>
      </c>
    </row>
    <row r="63" spans="1:4" ht="15.75" customHeight="1" x14ac:dyDescent="0.3">
      <c r="A63" s="4"/>
    </row>
  </sheetData>
  <sheetProtection algorithmName="SHA-512" hashValue="HafXhCZ5mvMpi8enGytOm9Es0DmkQ1ad8p+B+8fKbFRKIepL3RcriHT/uEPX8b/575zLMEmiyNUuxLv/nIdnlw==" saltValue="HzNCW+Z6c5M/Vy+puM6Ja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3257631.5</v>
      </c>
      <c r="C2" s="49">
        <v>802366</v>
      </c>
      <c r="D2" s="49">
        <v>1472354.5</v>
      </c>
      <c r="E2" s="49">
        <v>2574791.5000000005</v>
      </c>
      <c r="F2" s="49">
        <v>1915645.5</v>
      </c>
      <c r="G2" s="17">
        <f t="shared" ref="G2:G13" si="0">C2+D2+E2+F2</f>
        <v>6765157.5</v>
      </c>
      <c r="H2" s="17">
        <f t="shared" ref="H2:H13" si="1">(B2 + stillbirth*B2/(1000-stillbirth))/(1-abortion)</f>
        <v>3755302.8649726249</v>
      </c>
      <c r="I2" s="17">
        <f t="shared" ref="I2:I13" si="2">G2-H2</f>
        <v>3009854.6350273751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697518</v>
      </c>
      <c r="C3" s="50">
        <v>1205367</v>
      </c>
      <c r="D3" s="50">
        <v>1876721</v>
      </c>
      <c r="E3" s="50">
        <v>1371379</v>
      </c>
      <c r="F3" s="50">
        <v>940599.5</v>
      </c>
      <c r="G3" s="17">
        <f t="shared" si="0"/>
        <v>5394066.5</v>
      </c>
      <c r="H3" s="17">
        <f t="shared" si="1"/>
        <v>804078.46736807865</v>
      </c>
      <c r="I3" s="17">
        <f t="shared" si="2"/>
        <v>4589988.0326319216</v>
      </c>
    </row>
    <row r="4" spans="1:9" ht="15.75" customHeight="1" x14ac:dyDescent="0.25">
      <c r="A4" s="5">
        <f t="shared" si="3"/>
        <v>2026</v>
      </c>
      <c r="B4" s="49">
        <v>708934</v>
      </c>
      <c r="C4" s="50">
        <v>1240877</v>
      </c>
      <c r="D4" s="50">
        <v>1936420</v>
      </c>
      <c r="E4" s="50">
        <v>1414164</v>
      </c>
      <c r="F4" s="50">
        <v>979882.00000000012</v>
      </c>
      <c r="G4" s="17">
        <f t="shared" si="0"/>
        <v>5571343</v>
      </c>
      <c r="H4" s="17">
        <f t="shared" si="1"/>
        <v>817238.50020375312</v>
      </c>
      <c r="I4" s="17">
        <f t="shared" si="2"/>
        <v>4754104.4997962471</v>
      </c>
    </row>
    <row r="5" spans="1:9" ht="15.75" customHeight="1" x14ac:dyDescent="0.25">
      <c r="A5" s="5">
        <f t="shared" si="3"/>
        <v>2027</v>
      </c>
      <c r="B5" s="49">
        <v>721060</v>
      </c>
      <c r="C5" s="50">
        <v>1273193.5</v>
      </c>
      <c r="D5" s="50">
        <v>1999374.5000000002</v>
      </c>
      <c r="E5" s="50">
        <v>1457775.5</v>
      </c>
      <c r="F5" s="50">
        <v>1019339</v>
      </c>
      <c r="G5" s="17">
        <f t="shared" si="0"/>
        <v>5749682.5</v>
      </c>
      <c r="H5" s="17">
        <f t="shared" si="1"/>
        <v>831217.00039343338</v>
      </c>
      <c r="I5" s="17">
        <f t="shared" si="2"/>
        <v>4918465.4996065665</v>
      </c>
    </row>
    <row r="6" spans="1:9" ht="15.75" customHeight="1" x14ac:dyDescent="0.25">
      <c r="A6" s="5">
        <f t="shared" si="3"/>
        <v>2028</v>
      </c>
      <c r="B6" s="49">
        <v>732320</v>
      </c>
      <c r="C6" s="50">
        <v>1302392.5</v>
      </c>
      <c r="D6" s="50">
        <v>2064803.5</v>
      </c>
      <c r="E6" s="50">
        <v>1502422</v>
      </c>
      <c r="F6" s="50">
        <v>1058988</v>
      </c>
      <c r="G6" s="17">
        <f t="shared" si="0"/>
        <v>5928606</v>
      </c>
      <c r="H6" s="17">
        <f t="shared" si="1"/>
        <v>844197.2009654108</v>
      </c>
      <c r="I6" s="17">
        <f t="shared" si="2"/>
        <v>5084408.799034589</v>
      </c>
    </row>
    <row r="7" spans="1:9" ht="15.75" customHeight="1" x14ac:dyDescent="0.25">
      <c r="A7" s="5">
        <f t="shared" si="3"/>
        <v>2029</v>
      </c>
      <c r="B7" s="49">
        <v>740015</v>
      </c>
      <c r="C7" s="50">
        <v>1328640</v>
      </c>
      <c r="D7" s="50">
        <v>2131190</v>
      </c>
      <c r="E7" s="50">
        <v>1548727.5</v>
      </c>
      <c r="F7" s="50">
        <v>1098644.4999999998</v>
      </c>
      <c r="G7" s="17">
        <f t="shared" si="0"/>
        <v>6107202</v>
      </c>
      <c r="H7" s="17">
        <f t="shared" si="1"/>
        <v>853067.77320354281</v>
      </c>
      <c r="I7" s="17">
        <f t="shared" si="2"/>
        <v>5254134.2267964575</v>
      </c>
    </row>
    <row r="8" spans="1:9" ht="15.75" customHeight="1" x14ac:dyDescent="0.25">
      <c r="A8" s="5">
        <f t="shared" si="3"/>
        <v>2030</v>
      </c>
      <c r="B8" s="49">
        <v>751998</v>
      </c>
      <c r="C8" s="50">
        <v>1351686</v>
      </c>
      <c r="D8" s="50">
        <v>2197879.5</v>
      </c>
      <c r="E8" s="50">
        <v>1596789</v>
      </c>
      <c r="F8" s="50">
        <v>1138666.4999999998</v>
      </c>
      <c r="G8" s="17">
        <f t="shared" si="0"/>
        <v>6285021</v>
      </c>
      <c r="H8" s="17">
        <f t="shared" si="1"/>
        <v>866881.4271515006</v>
      </c>
      <c r="I8" s="17">
        <f t="shared" si="2"/>
        <v>5418139.5728484998</v>
      </c>
    </row>
    <row r="9" spans="1:9" ht="15.75" customHeight="1" x14ac:dyDescent="0.25">
      <c r="A9" s="5">
        <f t="shared" si="3"/>
        <v>2031</v>
      </c>
      <c r="B9" s="49">
        <v>761909</v>
      </c>
      <c r="C9" s="50">
        <v>1372085.5</v>
      </c>
      <c r="D9" s="50">
        <v>2264786.5</v>
      </c>
      <c r="E9" s="50">
        <v>1646270.5</v>
      </c>
      <c r="F9" s="50">
        <v>1179329.4999999998</v>
      </c>
      <c r="G9" s="17">
        <f t="shared" si="0"/>
        <v>6462472</v>
      </c>
      <c r="H9" s="17">
        <f t="shared" si="1"/>
        <v>878306.53975086741</v>
      </c>
      <c r="I9" s="17">
        <f t="shared" si="2"/>
        <v>5584165.4602491325</v>
      </c>
    </row>
    <row r="10" spans="1:9" ht="15.75" customHeight="1" x14ac:dyDescent="0.25">
      <c r="A10" s="5">
        <f t="shared" si="3"/>
        <v>2032</v>
      </c>
      <c r="B10" s="49">
        <v>771640</v>
      </c>
      <c r="C10" s="50">
        <v>1390872.5</v>
      </c>
      <c r="D10" s="50">
        <v>2331783</v>
      </c>
      <c r="E10" s="50">
        <v>1696889.9999999998</v>
      </c>
      <c r="F10" s="50">
        <v>1220279</v>
      </c>
      <c r="G10" s="17">
        <f t="shared" si="0"/>
        <v>6639824.5</v>
      </c>
      <c r="H10" s="17">
        <f t="shared" si="1"/>
        <v>889524.15358442976</v>
      </c>
      <c r="I10" s="17">
        <f t="shared" si="2"/>
        <v>5750300.34641557</v>
      </c>
    </row>
    <row r="11" spans="1:9" ht="15.75" customHeight="1" x14ac:dyDescent="0.25">
      <c r="A11" s="5">
        <f t="shared" si="3"/>
        <v>2033</v>
      </c>
      <c r="B11" s="49">
        <v>779405</v>
      </c>
      <c r="C11" s="50">
        <v>1408983</v>
      </c>
      <c r="D11" s="50">
        <v>2397684.5</v>
      </c>
      <c r="E11" s="50">
        <v>1748798.4999999998</v>
      </c>
      <c r="F11" s="50">
        <v>1260696</v>
      </c>
      <c r="G11" s="17">
        <f t="shared" si="0"/>
        <v>6816162</v>
      </c>
      <c r="H11" s="17">
        <f t="shared" si="1"/>
        <v>898475.41978704114</v>
      </c>
      <c r="I11" s="17">
        <f t="shared" si="2"/>
        <v>5917686.5802129591</v>
      </c>
    </row>
    <row r="12" spans="1:9" ht="15.75" customHeight="1" x14ac:dyDescent="0.25">
      <c r="A12" s="5">
        <f t="shared" si="3"/>
        <v>2034</v>
      </c>
      <c r="B12" s="49">
        <v>786522</v>
      </c>
      <c r="C12" s="50">
        <v>1428060</v>
      </c>
      <c r="D12" s="50">
        <v>2461095.5000000005</v>
      </c>
      <c r="E12" s="50">
        <v>1802191</v>
      </c>
      <c r="F12" s="50">
        <v>1300859</v>
      </c>
      <c r="G12" s="17">
        <f t="shared" si="0"/>
        <v>6992205.5</v>
      </c>
      <c r="H12" s="17">
        <f t="shared" si="1"/>
        <v>906679.69043275726</v>
      </c>
      <c r="I12" s="17">
        <f t="shared" si="2"/>
        <v>6085525.8095672429</v>
      </c>
    </row>
    <row r="13" spans="1:9" ht="15.75" customHeight="1" x14ac:dyDescent="0.25">
      <c r="A13" s="5">
        <f t="shared" si="3"/>
        <v>2035</v>
      </c>
      <c r="B13" s="49">
        <v>794523</v>
      </c>
      <c r="C13" s="50">
        <v>1449438.5</v>
      </c>
      <c r="D13" s="50">
        <v>2520444</v>
      </c>
      <c r="E13" s="50">
        <v>1857475.5</v>
      </c>
      <c r="F13" s="50">
        <v>1341751</v>
      </c>
      <c r="G13" s="17">
        <f t="shared" si="0"/>
        <v>7169109</v>
      </c>
      <c r="H13" s="17">
        <f t="shared" si="1"/>
        <v>915903.01057275664</v>
      </c>
      <c r="I13" s="17">
        <f t="shared" si="2"/>
        <v>6253205.9894272434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3eUTOjq2LLaYhH3/HFJisNVX5bXjNcS2emDI+H0iquxxT330bF6TS2MjLLojpHqvTRAV1FSi6n+0zZm9ODpDw==" saltValue="1XzhizzKO+Ixsf4yjOQOT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9.0967995857898585E-3</v>
      </c>
    </row>
    <row r="4" spans="1:8" ht="15.75" customHeight="1" x14ac:dyDescent="0.25">
      <c r="B4" s="19" t="s">
        <v>97</v>
      </c>
      <c r="C4" s="99">
        <v>6.4092908854742933E-2</v>
      </c>
    </row>
    <row r="5" spans="1:8" ht="15.75" customHeight="1" x14ac:dyDescent="0.25">
      <c r="B5" s="19" t="s">
        <v>98</v>
      </c>
      <c r="C5" s="99">
        <v>9.1282258767163948E-2</v>
      </c>
    </row>
    <row r="6" spans="1:8" ht="15.75" customHeight="1" x14ac:dyDescent="0.25">
      <c r="B6" s="19" t="s">
        <v>99</v>
      </c>
      <c r="C6" s="99">
        <v>0.25451199617035808</v>
      </c>
    </row>
    <row r="7" spans="1:8" ht="15.75" customHeight="1" x14ac:dyDescent="0.25">
      <c r="B7" s="19" t="s">
        <v>100</v>
      </c>
      <c r="C7" s="99">
        <v>0.39199030171442639</v>
      </c>
    </row>
    <row r="8" spans="1:8" ht="15.75" customHeight="1" x14ac:dyDescent="0.25">
      <c r="B8" s="19" t="s">
        <v>101</v>
      </c>
      <c r="C8" s="99">
        <v>1.5420714712771921E-3</v>
      </c>
    </row>
    <row r="9" spans="1:8" ht="15.75" customHeight="1" x14ac:dyDescent="0.25">
      <c r="B9" s="19" t="s">
        <v>102</v>
      </c>
      <c r="C9" s="99">
        <v>6.391594819168625E-2</v>
      </c>
    </row>
    <row r="10" spans="1:8" ht="15.75" customHeight="1" x14ac:dyDescent="0.25">
      <c r="B10" s="19" t="s">
        <v>103</v>
      </c>
      <c r="C10" s="99">
        <v>0.1235677152445553</v>
      </c>
    </row>
    <row r="11" spans="1:8" ht="15.75" customHeight="1" x14ac:dyDescent="0.25">
      <c r="B11" s="27" t="s">
        <v>59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0" t="s">
        <v>114</v>
      </c>
      <c r="D13" s="100" t="s">
        <v>115</v>
      </c>
      <c r="E13" s="100" t="s">
        <v>116</v>
      </c>
      <c r="F13" s="100" t="s">
        <v>117</v>
      </c>
      <c r="G13" s="19"/>
    </row>
    <row r="14" spans="1:8" ht="15.75" customHeight="1" x14ac:dyDescent="0.25">
      <c r="B14" s="19" t="s">
        <v>105</v>
      </c>
      <c r="C14" s="55">
        <v>0.13996090768757741</v>
      </c>
      <c r="D14" s="55">
        <v>0.13996090768757741</v>
      </c>
      <c r="E14" s="55">
        <v>0.13996090768757741</v>
      </c>
      <c r="F14" s="55">
        <v>0.13996090768757741</v>
      </c>
    </row>
    <row r="15" spans="1:8" ht="15.75" customHeight="1" x14ac:dyDescent="0.25">
      <c r="B15" s="19" t="s">
        <v>106</v>
      </c>
      <c r="C15" s="99">
        <v>0.1825969991650476</v>
      </c>
      <c r="D15" s="99">
        <v>0.1825969991650476</v>
      </c>
      <c r="E15" s="99">
        <v>0.1825969991650476</v>
      </c>
      <c r="F15" s="99">
        <v>0.1825969991650476</v>
      </c>
    </row>
    <row r="16" spans="1:8" ht="15.75" customHeight="1" x14ac:dyDescent="0.25">
      <c r="B16" s="19" t="s">
        <v>107</v>
      </c>
      <c r="C16" s="99">
        <v>1.688769665810308E-2</v>
      </c>
      <c r="D16" s="99">
        <v>1.688769665810308E-2</v>
      </c>
      <c r="E16" s="99">
        <v>1.688769665810308E-2</v>
      </c>
      <c r="F16" s="99">
        <v>1.688769665810308E-2</v>
      </c>
    </row>
    <row r="17" spans="1:8" ht="15.75" customHeight="1" x14ac:dyDescent="0.25">
      <c r="B17" s="19" t="s">
        <v>108</v>
      </c>
      <c r="C17" s="99">
        <v>1.7773095567990671E-3</v>
      </c>
      <c r="D17" s="99">
        <v>1.7773095567990671E-3</v>
      </c>
      <c r="E17" s="99">
        <v>1.7773095567990671E-3</v>
      </c>
      <c r="F17" s="99">
        <v>1.7773095567990671E-3</v>
      </c>
    </row>
    <row r="18" spans="1:8" ht="15.75" customHeight="1" x14ac:dyDescent="0.25">
      <c r="B18" s="19" t="s">
        <v>109</v>
      </c>
      <c r="C18" s="99">
        <v>0.1345228179711539</v>
      </c>
      <c r="D18" s="99">
        <v>0.1345228179711539</v>
      </c>
      <c r="E18" s="99">
        <v>0.1345228179711539</v>
      </c>
      <c r="F18" s="99">
        <v>0.1345228179711539</v>
      </c>
    </row>
    <row r="19" spans="1:8" ht="15.75" customHeight="1" x14ac:dyDescent="0.25">
      <c r="B19" s="19" t="s">
        <v>110</v>
      </c>
      <c r="C19" s="99">
        <v>2.3061119344817509E-2</v>
      </c>
      <c r="D19" s="99">
        <v>2.3061119344817509E-2</v>
      </c>
      <c r="E19" s="99">
        <v>2.3061119344817509E-2</v>
      </c>
      <c r="F19" s="99">
        <v>2.3061119344817509E-2</v>
      </c>
    </row>
    <row r="20" spans="1:8" ht="15.75" customHeight="1" x14ac:dyDescent="0.25">
      <c r="B20" s="19" t="s">
        <v>111</v>
      </c>
      <c r="C20" s="99">
        <v>0.23695712210512701</v>
      </c>
      <c r="D20" s="99">
        <v>0.23695712210512701</v>
      </c>
      <c r="E20" s="99">
        <v>0.23695712210512701</v>
      </c>
      <c r="F20" s="99">
        <v>0.23695712210512701</v>
      </c>
    </row>
    <row r="21" spans="1:8" ht="15.75" customHeight="1" x14ac:dyDescent="0.25">
      <c r="B21" s="19" t="s">
        <v>112</v>
      </c>
      <c r="C21" s="99">
        <v>0.1034812689154867</v>
      </c>
      <c r="D21" s="99">
        <v>0.1034812689154867</v>
      </c>
      <c r="E21" s="99">
        <v>0.1034812689154867</v>
      </c>
      <c r="F21" s="99">
        <v>0.1034812689154867</v>
      </c>
    </row>
    <row r="22" spans="1:8" ht="15.75" customHeight="1" x14ac:dyDescent="0.25">
      <c r="B22" s="19" t="s">
        <v>113</v>
      </c>
      <c r="C22" s="99">
        <v>0.1607547585958877</v>
      </c>
      <c r="D22" s="99">
        <v>0.1607547585958877</v>
      </c>
      <c r="E22" s="99">
        <v>0.1607547585958877</v>
      </c>
      <c r="F22" s="99">
        <v>0.1607547585958877</v>
      </c>
    </row>
    <row r="23" spans="1:8" ht="15.75" customHeight="1" x14ac:dyDescent="0.25">
      <c r="B23" s="27" t="s">
        <v>59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8.1868175000000001E-2</v>
      </c>
    </row>
    <row r="27" spans="1:8" ht="15.75" customHeight="1" x14ac:dyDescent="0.25">
      <c r="B27" s="19" t="s">
        <v>120</v>
      </c>
      <c r="C27" s="99">
        <v>8.1904539999999998E-3</v>
      </c>
    </row>
    <row r="28" spans="1:8" ht="15.75" customHeight="1" x14ac:dyDescent="0.25">
      <c r="B28" s="19" t="s">
        <v>121</v>
      </c>
      <c r="C28" s="99">
        <v>0.143739488</v>
      </c>
    </row>
    <row r="29" spans="1:8" ht="15.75" customHeight="1" x14ac:dyDescent="0.25">
      <c r="B29" s="19" t="s">
        <v>122</v>
      </c>
      <c r="C29" s="99">
        <v>0.15393818500000001</v>
      </c>
    </row>
    <row r="30" spans="1:8" ht="15.75" customHeight="1" x14ac:dyDescent="0.25">
      <c r="B30" s="19" t="s">
        <v>2</v>
      </c>
      <c r="C30" s="99">
        <v>9.7379692000000004E-2</v>
      </c>
    </row>
    <row r="31" spans="1:8" ht="15.75" customHeight="1" x14ac:dyDescent="0.25">
      <c r="B31" s="19" t="s">
        <v>123</v>
      </c>
      <c r="C31" s="99">
        <v>9.8883503999999997E-2</v>
      </c>
    </row>
    <row r="32" spans="1:8" ht="15.75" customHeight="1" x14ac:dyDescent="0.25">
      <c r="B32" s="19" t="s">
        <v>124</v>
      </c>
      <c r="C32" s="99">
        <v>1.7031174E-2</v>
      </c>
    </row>
    <row r="33" spans="2:3" ht="15.75" customHeight="1" x14ac:dyDescent="0.25">
      <c r="B33" s="19" t="s">
        <v>125</v>
      </c>
      <c r="C33" s="99">
        <v>7.6512073999999999E-2</v>
      </c>
    </row>
    <row r="34" spans="2:3" ht="15.75" customHeight="1" x14ac:dyDescent="0.25">
      <c r="B34" s="19" t="s">
        <v>126</v>
      </c>
      <c r="C34" s="99">
        <v>0.32245725400000003</v>
      </c>
    </row>
    <row r="35" spans="2:3" ht="15.75" customHeight="1" x14ac:dyDescent="0.25">
      <c r="B35" s="27" t="s">
        <v>59</v>
      </c>
      <c r="C35" s="48">
        <f>SUM(C26:C34)</f>
        <v>1</v>
      </c>
    </row>
  </sheetData>
  <sheetProtection algorithmName="SHA-512" hashValue="IWaV1Pf5j78GjzeeHNv7KpTMtmAODAKPTy1+AX7Q54j9Q/eqitOFYm6zkNIkxTARzYTT6Z88Jj7tmYKQjX+urQ==" saltValue="ylXQpBaFDqrVLl5kGWJ/a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0.4568322256346693</v>
      </c>
      <c r="D2" s="52">
        <f>IFERROR(1-_xlfn.NORM.DIST(_xlfn.NORM.INV(SUM(D4:D5), 0, 1) + 1, 0, 1, TRUE), "")</f>
        <v>0.4568322256346693</v>
      </c>
      <c r="E2" s="52">
        <f>IFERROR(1-_xlfn.NORM.DIST(_xlfn.NORM.INV(SUM(E4:E5), 0, 1) + 1, 0, 1, TRUE), "")</f>
        <v>0.36539808671294383</v>
      </c>
      <c r="F2" s="52">
        <f>IFERROR(1-_xlfn.NORM.DIST(_xlfn.NORM.INV(SUM(F4:F5), 0, 1) + 1, 0, 1, TRUE), "")</f>
        <v>0.21797617679540382</v>
      </c>
      <c r="G2" s="52">
        <f>IFERROR(1-_xlfn.NORM.DIST(_xlfn.NORM.INV(SUM(G4:G5), 0, 1) + 1, 0, 1, TRUE), "")</f>
        <v>0.25543171912396501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0.35685937436533072</v>
      </c>
      <c r="D3" s="52">
        <f>IFERROR(_xlfn.NORM.DIST(_xlfn.NORM.INV(SUM(D4:D5), 0, 1) + 1, 0, 1, TRUE) - SUM(D4:D5), "")</f>
        <v>0.35685937436533072</v>
      </c>
      <c r="E3" s="52">
        <f>IFERROR(_xlfn.NORM.DIST(_xlfn.NORM.INV(SUM(E4:E5), 0, 1) + 1, 0, 1, TRUE) - SUM(E4:E5), "")</f>
        <v>0.37866841328705619</v>
      </c>
      <c r="F3" s="52">
        <f>IFERROR(_xlfn.NORM.DIST(_xlfn.NORM.INV(SUM(F4:F5), 0, 1) + 1, 0, 1, TRUE) - SUM(F4:F5), "")</f>
        <v>0.36945952320459619</v>
      </c>
      <c r="G3" s="52">
        <f>IFERROR(_xlfn.NORM.DIST(_xlfn.NORM.INV(SUM(G4:G5), 0, 1) + 1, 0, 1, TRUE) - SUM(G4:G5), "")</f>
        <v>0.37858328087603499</v>
      </c>
    </row>
    <row r="4" spans="1:15" ht="15.75" customHeight="1" x14ac:dyDescent="0.25">
      <c r="B4" s="5" t="s">
        <v>132</v>
      </c>
      <c r="C4" s="45">
        <v>0.1191277</v>
      </c>
      <c r="D4" s="53">
        <v>0.1191277</v>
      </c>
      <c r="E4" s="53">
        <v>0.1706712</v>
      </c>
      <c r="F4" s="53">
        <v>0.24477189999999999</v>
      </c>
      <c r="G4" s="53">
        <v>0.2499488</v>
      </c>
    </row>
    <row r="5" spans="1:15" ht="15.75" customHeight="1" x14ac:dyDescent="0.25">
      <c r="B5" s="5" t="s">
        <v>133</v>
      </c>
      <c r="C5" s="45">
        <v>6.7180699999999996E-2</v>
      </c>
      <c r="D5" s="53">
        <v>6.7180699999999996E-2</v>
      </c>
      <c r="E5" s="53">
        <v>8.5262299999999999E-2</v>
      </c>
      <c r="F5" s="53">
        <v>0.16779240000000001</v>
      </c>
      <c r="G5" s="53">
        <v>0.11603620000000001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0.73659125910134149</v>
      </c>
      <c r="D8" s="52">
        <f>IFERROR(1-_xlfn.NORM.DIST(_xlfn.NORM.INV(SUM(D10:D11), 0, 1) + 1, 0, 1, TRUE), "")</f>
        <v>0.73659125910134149</v>
      </c>
      <c r="E8" s="52">
        <f>IFERROR(1-_xlfn.NORM.DIST(_xlfn.NORM.INV(SUM(E10:E11), 0, 1) + 1, 0, 1, TRUE), "")</f>
        <v>0.73545572398549219</v>
      </c>
      <c r="F8" s="52">
        <f>IFERROR(1-_xlfn.NORM.DIST(_xlfn.NORM.INV(SUM(F10:F11), 0, 1) + 1, 0, 1, TRUE), "")</f>
        <v>0.73094151101687888</v>
      </c>
      <c r="G8" s="52">
        <f>IFERROR(1-_xlfn.NORM.DIST(_xlfn.NORM.INV(SUM(G10:G11), 0, 1) + 1, 0, 1, TRUE), "")</f>
        <v>0.78897733079998378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0.2121607408986585</v>
      </c>
      <c r="D9" s="52">
        <f>IFERROR(_xlfn.NORM.DIST(_xlfn.NORM.INV(SUM(D10:D11), 0, 1) + 1, 0, 1, TRUE) - SUM(D10:D11), "")</f>
        <v>0.2121607408986585</v>
      </c>
      <c r="E9" s="52">
        <f>IFERROR(_xlfn.NORM.DIST(_xlfn.NORM.INV(SUM(E10:E11), 0, 1) + 1, 0, 1, TRUE) - SUM(E10:E11), "")</f>
        <v>0.2129298760145078</v>
      </c>
      <c r="F9" s="52">
        <f>IFERROR(_xlfn.NORM.DIST(_xlfn.NORM.INV(SUM(F10:F11), 0, 1) + 1, 0, 1, TRUE) - SUM(F10:F11), "")</f>
        <v>0.21597488898312106</v>
      </c>
      <c r="G9" s="52">
        <f>IFERROR(_xlfn.NORM.DIST(_xlfn.NORM.INV(SUM(G10:G11), 0, 1) + 1, 0, 1, TRUE) - SUM(G10:G11), "")</f>
        <v>0.17531896920001622</v>
      </c>
    </row>
    <row r="10" spans="1:15" ht="15.75" customHeight="1" x14ac:dyDescent="0.25">
      <c r="B10" s="5" t="s">
        <v>137</v>
      </c>
      <c r="C10" s="45">
        <v>2.7563299999999999E-2</v>
      </c>
      <c r="D10" s="53">
        <v>2.7563299999999999E-2</v>
      </c>
      <c r="E10" s="53">
        <v>4.14823E-2</v>
      </c>
      <c r="F10" s="53">
        <v>3.5414500000000002E-2</v>
      </c>
      <c r="G10" s="53">
        <v>2.1985500000000002E-2</v>
      </c>
    </row>
    <row r="11" spans="1:15" ht="15.75" customHeight="1" x14ac:dyDescent="0.25">
      <c r="B11" s="5" t="s">
        <v>138</v>
      </c>
      <c r="C11" s="45">
        <v>2.36847E-2</v>
      </c>
      <c r="D11" s="53">
        <v>2.36847E-2</v>
      </c>
      <c r="E11" s="53">
        <v>1.01321E-2</v>
      </c>
      <c r="F11" s="53">
        <v>1.76691E-2</v>
      </c>
      <c r="G11" s="53">
        <v>1.37182E-2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0.68039410399999989</v>
      </c>
      <c r="D14" s="54">
        <v>0.6725565473509999</v>
      </c>
      <c r="E14" s="54">
        <v>0.6725565473509999</v>
      </c>
      <c r="F14" s="54">
        <v>0.61939207375200001</v>
      </c>
      <c r="G14" s="54">
        <v>0.61939207375200001</v>
      </c>
      <c r="H14" s="45">
        <v>0.39100000000000001</v>
      </c>
      <c r="I14" s="55">
        <v>0.39100000000000001</v>
      </c>
      <c r="J14" s="55">
        <v>0.39100000000000001</v>
      </c>
      <c r="K14" s="55">
        <v>0.39100000000000001</v>
      </c>
      <c r="L14" s="45">
        <v>0.33</v>
      </c>
      <c r="M14" s="55">
        <v>0.33</v>
      </c>
      <c r="N14" s="55">
        <v>0.33</v>
      </c>
      <c r="O14" s="55">
        <v>0.33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0.3418327194260159</v>
      </c>
      <c r="D15" s="52">
        <f t="shared" si="0"/>
        <v>0.33789509961533171</v>
      </c>
      <c r="E15" s="52">
        <f t="shared" si="0"/>
        <v>0.33789509961533171</v>
      </c>
      <c r="F15" s="52">
        <f t="shared" si="0"/>
        <v>0.31118505542129976</v>
      </c>
      <c r="G15" s="52">
        <f t="shared" si="0"/>
        <v>0.31118505542129976</v>
      </c>
      <c r="H15" s="52">
        <f t="shared" si="0"/>
        <v>0.19643996399999999</v>
      </c>
      <c r="I15" s="52">
        <f t="shared" si="0"/>
        <v>0.19643996399999999</v>
      </c>
      <c r="J15" s="52">
        <f t="shared" si="0"/>
        <v>0.19643996399999999</v>
      </c>
      <c r="K15" s="52">
        <f t="shared" si="0"/>
        <v>0.19643996399999999</v>
      </c>
      <c r="L15" s="52">
        <f t="shared" si="0"/>
        <v>0.16579331999999999</v>
      </c>
      <c r="M15" s="52">
        <f t="shared" si="0"/>
        <v>0.16579331999999999</v>
      </c>
      <c r="N15" s="52">
        <f t="shared" si="0"/>
        <v>0.16579331999999999</v>
      </c>
      <c r="O15" s="52">
        <f t="shared" si="0"/>
        <v>0.16579331999999999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C+3xkkRoWmuT9TwNGW6rE5Pbxxg7oNqbqY53R0zVPgUP0tulrHsom2nR4ENikRtXWcOidSxO+xc/AfLEvB4byQ==" saltValue="rOQ79xhI7jsVo1uQ5vrMC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0.90592820000000007</v>
      </c>
      <c r="D2" s="53">
        <v>0.64176169999999999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2.7448899999999998E-2</v>
      </c>
      <c r="D3" s="53">
        <v>0.1020122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2.36939E-2</v>
      </c>
      <c r="D4" s="53">
        <v>0.22018969999999999</v>
      </c>
      <c r="E4" s="53">
        <v>0.94635409999999998</v>
      </c>
      <c r="F4" s="53">
        <v>0.6304708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4.2928999999999884E-2</v>
      </c>
      <c r="D5" s="52">
        <f t="shared" si="0"/>
        <v>3.6036399999999968E-2</v>
      </c>
      <c r="E5" s="52">
        <f>1-SUM(E2:E4)</f>
        <v>5.3645900000000024E-2</v>
      </c>
      <c r="F5" s="52">
        <f>1-SUM(F2:F4)</f>
        <v>0.3695292</v>
      </c>
      <c r="G5" s="52">
        <f>1-SUM(G2:G4)</f>
        <v>1</v>
      </c>
    </row>
  </sheetData>
  <sheetProtection algorithmName="SHA-512" hashValue="GnPJ5Of2R8gSStSLo51PO36UI2ClZ7qcK6Lf/TNCdfJAsr87F2EW0uBOKjNCV8MDPNneancQ+HfoIWBCL21GAA==" saltValue="9RtrY7xXvwDCOmjrfGdM3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8ylrpShVCqWNoCir70OzdUwV+fK51+ljxeyovX1pCNvvlQ0Bo6axIFNb7mc8r2XtQWfv1tOfiwHiRFHDUHffDw==" saltValue="SzZylTwlnUoBlIDgOuNsX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12</v>
      </c>
      <c r="B1" s="103" t="s">
        <v>13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163</v>
      </c>
      <c r="B2" s="107">
        <v>1456.9015701544499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162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173</v>
      </c>
      <c r="B4" s="108">
        <v>0.33787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164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165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168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167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169</v>
      </c>
      <c r="B9" s="108">
        <v>0.52536000000000005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166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174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175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176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177</v>
      </c>
      <c r="B14" s="110">
        <v>1.0857408838744073E-2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170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171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172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178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14</v>
      </c>
      <c r="B21" s="106" t="s">
        <v>15</v>
      </c>
      <c r="C21" s="106" t="s">
        <v>16</v>
      </c>
      <c r="D21" s="106" t="s">
        <v>17</v>
      </c>
      <c r="E21" s="106" t="s">
        <v>18</v>
      </c>
      <c r="F21" s="106" t="s">
        <v>19</v>
      </c>
      <c r="G21" s="106" t="s">
        <v>20</v>
      </c>
      <c r="H21" s="106" t="s">
        <v>21</v>
      </c>
      <c r="I21" s="106" t="s">
        <v>22</v>
      </c>
      <c r="J21" s="106" t="s">
        <v>23</v>
      </c>
      <c r="K21" s="106" t="s">
        <v>24</v>
      </c>
      <c r="L21" s="106" t="s">
        <v>25</v>
      </c>
      <c r="M21" s="106" t="s">
        <v>26</v>
      </c>
      <c r="N21" s="106" t="s">
        <v>27</v>
      </c>
      <c r="O21" s="106" t="s">
        <v>28</v>
      </c>
    </row>
    <row r="22" spans="1:15" x14ac:dyDescent="0.25">
      <c r="A22" s="106" t="s">
        <v>179</v>
      </c>
      <c r="B22" s="107">
        <v>93725.690520000004</v>
      </c>
      <c r="C22" s="107">
        <v>93075.482359999995</v>
      </c>
      <c r="D22" s="107">
        <v>92685.731390000001</v>
      </c>
      <c r="E22" s="107">
        <v>91944.631710000001</v>
      </c>
      <c r="F22" s="107">
        <v>90885.834950000004</v>
      </c>
      <c r="G22" s="107">
        <v>89549.660919999995</v>
      </c>
      <c r="H22" s="107">
        <v>87692.624419999993</v>
      </c>
      <c r="I22" s="107">
        <v>85113.098379999996</v>
      </c>
      <c r="J22" s="107">
        <v>81570.902390000003</v>
      </c>
      <c r="K22" s="107">
        <v>77104.123989999993</v>
      </c>
      <c r="L22" s="107">
        <v>71433.730750000002</v>
      </c>
      <c r="M22" s="107">
        <v>64670.832759999998</v>
      </c>
      <c r="N22" s="107">
        <v>56426.834710000003</v>
      </c>
      <c r="O22" s="107">
        <v>46824.934529999999</v>
      </c>
    </row>
  </sheetData>
  <sheetProtection algorithmName="SHA-512" hashValue="2Ade1i6+rOB9RNuFdwagoLyi0cGaHPF8iONvOKZgD87E5s0znf0WB9Ci59IKL+baV2ihrInXwNoc2k1RTBZBig==" saltValue="Eza3oIe5Fqw5M7v7Sne9a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cfGp0RZNj//Pwy7W+t49Ebudm9fLiLuao050HWCcUyVTy4p4txNzxTtEzsRd3wgdfa4F3YfmiZGXbBurm9VHSQ==" saltValue="X6EUSkuDzOLJ/EajggSE8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MMRUmHambVawlqHGTg4GG4QeWyE0pqsX6IM13F9p+nF61l6aZX7o/ZDlZRKIErwyIzEMQP8MVot91OCFX8Pdng==" saltValue="IuAI56hYTBpklMz4xv0Zp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6">
        <v>0.95</v>
      </c>
      <c r="D2" s="56">
        <v>19.75</v>
      </c>
      <c r="E2" s="56" t="s">
        <v>230</v>
      </c>
      <c r="F2" s="96">
        <v>1</v>
      </c>
      <c r="G2" s="96">
        <v>1</v>
      </c>
    </row>
    <row r="3" spans="1:7" ht="15.75" customHeight="1" x14ac:dyDescent="0.25">
      <c r="A3" s="5" t="s">
        <v>198</v>
      </c>
      <c r="B3" s="45">
        <v>0</v>
      </c>
      <c r="C3" s="96">
        <v>0.95</v>
      </c>
      <c r="D3" s="56">
        <v>19.75</v>
      </c>
      <c r="E3" s="56" t="s">
        <v>230</v>
      </c>
      <c r="F3" s="96">
        <v>1</v>
      </c>
      <c r="G3" s="96">
        <v>1</v>
      </c>
    </row>
    <row r="4" spans="1:7" ht="15.75" customHeight="1" x14ac:dyDescent="0.25">
      <c r="A4" s="5" t="s">
        <v>199</v>
      </c>
      <c r="B4" s="96">
        <v>0</v>
      </c>
      <c r="C4" s="96">
        <v>0.95</v>
      </c>
      <c r="D4" s="56">
        <v>6.41</v>
      </c>
      <c r="E4" s="56" t="s">
        <v>230</v>
      </c>
      <c r="F4" s="96">
        <v>1</v>
      </c>
      <c r="G4" s="96">
        <v>1</v>
      </c>
    </row>
    <row r="5" spans="1:7" ht="15.75" customHeight="1" x14ac:dyDescent="0.25">
      <c r="A5" s="5" t="s">
        <v>200</v>
      </c>
      <c r="B5" s="96">
        <v>0</v>
      </c>
      <c r="C5" s="96">
        <v>0.95</v>
      </c>
      <c r="D5" s="56">
        <v>2.1291837256908908</v>
      </c>
      <c r="E5" s="56" t="s">
        <v>230</v>
      </c>
      <c r="F5" s="96">
        <v>1</v>
      </c>
      <c r="G5" s="96">
        <v>1</v>
      </c>
    </row>
    <row r="6" spans="1:7" ht="15.75" customHeight="1" x14ac:dyDescent="0.25">
      <c r="A6" s="5" t="s">
        <v>201</v>
      </c>
      <c r="B6" s="96">
        <v>0</v>
      </c>
      <c r="C6" s="96">
        <v>0.95</v>
      </c>
      <c r="D6" s="56">
        <v>99.99</v>
      </c>
      <c r="E6" s="56" t="s">
        <v>230</v>
      </c>
      <c r="F6" s="96">
        <v>1</v>
      </c>
      <c r="G6" s="96">
        <v>1</v>
      </c>
    </row>
    <row r="7" spans="1:7" ht="15.75" customHeight="1" x14ac:dyDescent="0.25">
      <c r="A7" s="5" t="s">
        <v>202</v>
      </c>
      <c r="B7" s="96">
        <v>0</v>
      </c>
      <c r="C7" s="96">
        <v>0.95</v>
      </c>
      <c r="D7" s="56">
        <v>0.2139553248340432</v>
      </c>
      <c r="E7" s="56" t="s">
        <v>230</v>
      </c>
      <c r="F7" s="96">
        <v>1</v>
      </c>
      <c r="G7" s="96">
        <v>1</v>
      </c>
    </row>
    <row r="8" spans="1:7" ht="15.75" customHeight="1" x14ac:dyDescent="0.25">
      <c r="A8" s="5" t="s">
        <v>203</v>
      </c>
      <c r="B8" s="96">
        <v>0</v>
      </c>
      <c r="C8" s="96">
        <v>0.95</v>
      </c>
      <c r="D8" s="56">
        <v>0.78848199824391296</v>
      </c>
      <c r="E8" s="56" t="s">
        <v>230</v>
      </c>
      <c r="F8" s="96">
        <v>1</v>
      </c>
      <c r="G8" s="96">
        <v>1</v>
      </c>
    </row>
    <row r="9" spans="1:7" ht="15.75" customHeight="1" x14ac:dyDescent="0.25">
      <c r="A9" s="5" t="s">
        <v>204</v>
      </c>
      <c r="B9" s="96">
        <v>0.25</v>
      </c>
      <c r="C9" s="96">
        <v>0.95</v>
      </c>
      <c r="D9" s="56">
        <v>0.20568905243790248</v>
      </c>
      <c r="E9" s="56" t="s">
        <v>230</v>
      </c>
      <c r="F9" s="96">
        <v>1</v>
      </c>
      <c r="G9" s="96">
        <v>1</v>
      </c>
    </row>
    <row r="10" spans="1:7" ht="15.75" customHeight="1" x14ac:dyDescent="0.25">
      <c r="A10" s="11" t="s">
        <v>205</v>
      </c>
      <c r="B10" s="45">
        <v>0.72482939999999996</v>
      </c>
      <c r="C10" s="96">
        <v>0.95</v>
      </c>
      <c r="D10" s="56">
        <v>14.26897757170995</v>
      </c>
      <c r="E10" s="56" t="s">
        <v>230</v>
      </c>
      <c r="F10" s="96">
        <v>1</v>
      </c>
      <c r="G10" s="96">
        <v>1</v>
      </c>
    </row>
    <row r="11" spans="1:7" ht="15.75" customHeight="1" x14ac:dyDescent="0.25">
      <c r="A11" s="11" t="s">
        <v>206</v>
      </c>
      <c r="B11" s="96">
        <v>0</v>
      </c>
      <c r="C11" s="96">
        <v>0.95</v>
      </c>
      <c r="D11" s="56">
        <v>14.26897757170995</v>
      </c>
      <c r="E11" s="56" t="s">
        <v>230</v>
      </c>
      <c r="F11" s="96">
        <v>1</v>
      </c>
      <c r="G11" s="96">
        <v>1</v>
      </c>
    </row>
    <row r="12" spans="1:7" ht="15.75" customHeight="1" x14ac:dyDescent="0.25">
      <c r="A12" s="11" t="s">
        <v>207</v>
      </c>
      <c r="B12" s="96">
        <v>0</v>
      </c>
      <c r="C12" s="96">
        <v>0.95</v>
      </c>
      <c r="D12" s="56">
        <v>14.26897757170995</v>
      </c>
      <c r="E12" s="56" t="s">
        <v>230</v>
      </c>
      <c r="F12" s="96">
        <v>1</v>
      </c>
      <c r="G12" s="96">
        <v>1</v>
      </c>
    </row>
    <row r="13" spans="1:7" ht="15.75" customHeight="1" x14ac:dyDescent="0.25">
      <c r="A13" s="11" t="s">
        <v>208</v>
      </c>
      <c r="B13" s="96">
        <v>0</v>
      </c>
      <c r="C13" s="96">
        <v>0.95</v>
      </c>
      <c r="D13" s="56">
        <v>14.26897757170995</v>
      </c>
      <c r="E13" s="56" t="s">
        <v>230</v>
      </c>
      <c r="F13" s="96">
        <v>1</v>
      </c>
      <c r="G13" s="96">
        <v>1</v>
      </c>
    </row>
    <row r="14" spans="1:7" ht="15.75" customHeight="1" x14ac:dyDescent="0.25">
      <c r="A14" s="5" t="s">
        <v>209</v>
      </c>
      <c r="B14" s="45">
        <v>0.79139999999999999</v>
      </c>
      <c r="C14" s="96">
        <v>0.95</v>
      </c>
      <c r="D14" s="56">
        <v>2.7125243790248388</v>
      </c>
      <c r="E14" s="56" t="s">
        <v>230</v>
      </c>
      <c r="F14" s="96">
        <v>1</v>
      </c>
      <c r="G14" s="96">
        <v>1</v>
      </c>
    </row>
    <row r="15" spans="1:7" ht="15.75" customHeight="1" x14ac:dyDescent="0.25">
      <c r="A15" s="5" t="s">
        <v>210</v>
      </c>
      <c r="B15" s="96">
        <v>0</v>
      </c>
      <c r="C15" s="96">
        <v>0.95</v>
      </c>
      <c r="D15" s="56">
        <v>14.26897757170995</v>
      </c>
      <c r="E15" s="56" t="s">
        <v>230</v>
      </c>
      <c r="F15" s="96">
        <v>1</v>
      </c>
      <c r="G15" s="96">
        <v>1</v>
      </c>
    </row>
    <row r="16" spans="1:7" ht="15.75" customHeight="1" x14ac:dyDescent="0.25">
      <c r="A16" s="5" t="s">
        <v>211</v>
      </c>
      <c r="B16" s="45">
        <v>0.80843429999999994</v>
      </c>
      <c r="C16" s="96">
        <v>0.95</v>
      </c>
      <c r="D16" s="56">
        <v>2.1562548532894295</v>
      </c>
      <c r="E16" s="56" t="s">
        <v>230</v>
      </c>
      <c r="F16" s="96">
        <v>1</v>
      </c>
      <c r="G16" s="96">
        <v>1</v>
      </c>
    </row>
    <row r="17" spans="1:7" ht="15.75" customHeight="1" x14ac:dyDescent="0.25">
      <c r="A17" s="5" t="s">
        <v>212</v>
      </c>
      <c r="B17" s="96">
        <v>0</v>
      </c>
      <c r="C17" s="96">
        <v>0.95</v>
      </c>
      <c r="D17" s="56">
        <v>0.58636119533868591</v>
      </c>
      <c r="E17" s="56" t="s">
        <v>230</v>
      </c>
      <c r="F17" s="96">
        <v>1</v>
      </c>
      <c r="G17" s="96">
        <v>1</v>
      </c>
    </row>
    <row r="18" spans="1:7" ht="15.9" customHeight="1" x14ac:dyDescent="0.25">
      <c r="A18" s="5" t="s">
        <v>186</v>
      </c>
      <c r="B18" s="96">
        <v>0.46</v>
      </c>
      <c r="C18" s="96">
        <v>0.95</v>
      </c>
      <c r="D18" s="56">
        <v>6.4149273229070838</v>
      </c>
      <c r="E18" s="56" t="s">
        <v>230</v>
      </c>
      <c r="F18" s="96">
        <v>1</v>
      </c>
      <c r="G18" s="96">
        <v>1</v>
      </c>
    </row>
    <row r="19" spans="1:7" ht="15.75" customHeight="1" x14ac:dyDescent="0.25">
      <c r="A19" s="5" t="s">
        <v>187</v>
      </c>
      <c r="B19" s="96">
        <v>0.64176169999999999</v>
      </c>
      <c r="C19" s="96">
        <v>0.95</v>
      </c>
      <c r="D19" s="56">
        <v>3.0133371170447369</v>
      </c>
      <c r="E19" s="56" t="s">
        <v>230</v>
      </c>
      <c r="F19" s="96">
        <v>1</v>
      </c>
      <c r="G19" s="96">
        <v>1</v>
      </c>
    </row>
    <row r="20" spans="1:7" ht="15.75" customHeight="1" x14ac:dyDescent="0.25">
      <c r="A20" s="5" t="s">
        <v>188</v>
      </c>
      <c r="B20" s="96">
        <v>0</v>
      </c>
      <c r="C20" s="96">
        <v>0.95</v>
      </c>
      <c r="D20" s="56">
        <v>99.99</v>
      </c>
      <c r="E20" s="56" t="s">
        <v>230</v>
      </c>
      <c r="F20" s="96">
        <v>1</v>
      </c>
      <c r="G20" s="96">
        <v>1</v>
      </c>
    </row>
    <row r="21" spans="1:7" ht="15.75" customHeight="1" x14ac:dyDescent="0.25">
      <c r="A21" s="5" t="s">
        <v>213</v>
      </c>
      <c r="B21" s="45">
        <v>0</v>
      </c>
      <c r="C21" s="96">
        <v>0.95</v>
      </c>
      <c r="D21" s="56">
        <v>7.2638561333206297</v>
      </c>
      <c r="E21" s="56" t="s">
        <v>230</v>
      </c>
      <c r="F21" s="96">
        <v>1</v>
      </c>
      <c r="G21" s="96">
        <v>1</v>
      </c>
    </row>
    <row r="22" spans="1:7" ht="15.75" customHeight="1" x14ac:dyDescent="0.25">
      <c r="A22" s="5" t="s">
        <v>214</v>
      </c>
      <c r="B22" s="96">
        <v>0</v>
      </c>
      <c r="C22" s="96">
        <v>0.95</v>
      </c>
      <c r="D22" s="56">
        <v>6.41</v>
      </c>
      <c r="E22" s="56" t="s">
        <v>230</v>
      </c>
      <c r="F22" s="96">
        <v>1</v>
      </c>
      <c r="G22" s="96">
        <v>1</v>
      </c>
    </row>
    <row r="23" spans="1:7" ht="15.75" customHeight="1" x14ac:dyDescent="0.25">
      <c r="A23" s="5" t="s">
        <v>215</v>
      </c>
      <c r="B23" s="96">
        <v>0.71545519999999996</v>
      </c>
      <c r="C23" s="96">
        <v>0.95</v>
      </c>
      <c r="D23" s="56">
        <v>4.7084773800389677</v>
      </c>
      <c r="E23" s="56" t="s">
        <v>230</v>
      </c>
      <c r="F23" s="96">
        <v>1</v>
      </c>
      <c r="G23" s="96">
        <v>1</v>
      </c>
    </row>
    <row r="24" spans="1:7" ht="15.75" customHeight="1" x14ac:dyDescent="0.25">
      <c r="A24" s="5" t="s">
        <v>216</v>
      </c>
      <c r="B24" s="45">
        <v>0.59945256852146001</v>
      </c>
      <c r="C24" s="96">
        <v>0.95</v>
      </c>
      <c r="D24" s="56">
        <v>99.99</v>
      </c>
      <c r="E24" s="56" t="s">
        <v>230</v>
      </c>
      <c r="F24" s="96">
        <v>1</v>
      </c>
      <c r="G24" s="96">
        <v>1</v>
      </c>
    </row>
    <row r="25" spans="1:7" ht="15.75" customHeight="1" x14ac:dyDescent="0.25">
      <c r="A25" s="5" t="s">
        <v>217</v>
      </c>
      <c r="B25" s="96">
        <v>0</v>
      </c>
      <c r="C25" s="96">
        <v>0.95</v>
      </c>
      <c r="D25" s="56">
        <v>99.99</v>
      </c>
      <c r="E25" s="56" t="s">
        <v>230</v>
      </c>
      <c r="F25" s="96">
        <v>1</v>
      </c>
      <c r="G25" s="96">
        <v>1</v>
      </c>
    </row>
    <row r="26" spans="1:7" ht="15.75" customHeight="1" x14ac:dyDescent="0.25">
      <c r="A26" s="5" t="s">
        <v>218</v>
      </c>
      <c r="B26" s="45">
        <v>5.5E-2</v>
      </c>
      <c r="C26" s="96">
        <v>0.95</v>
      </c>
      <c r="D26" s="56">
        <v>4.6280036798528057</v>
      </c>
      <c r="E26" s="56" t="s">
        <v>230</v>
      </c>
      <c r="F26" s="96">
        <v>1</v>
      </c>
      <c r="G26" s="96">
        <v>1</v>
      </c>
    </row>
    <row r="27" spans="1:7" ht="15.75" customHeight="1" x14ac:dyDescent="0.25">
      <c r="A27" s="5" t="s">
        <v>219</v>
      </c>
      <c r="B27" s="45">
        <v>0</v>
      </c>
      <c r="C27" s="96">
        <v>0.95</v>
      </c>
      <c r="D27" s="56">
        <v>8.8360724993186164</v>
      </c>
      <c r="E27" s="56" t="s">
        <v>230</v>
      </c>
      <c r="F27" s="96">
        <v>1</v>
      </c>
      <c r="G27" s="96">
        <v>1</v>
      </c>
    </row>
    <row r="28" spans="1:7" ht="15.75" customHeight="1" x14ac:dyDescent="0.25">
      <c r="A28" s="5" t="s">
        <v>220</v>
      </c>
      <c r="B28" s="45">
        <v>0.66792069999999992</v>
      </c>
      <c r="C28" s="96">
        <v>0.95</v>
      </c>
      <c r="D28" s="56">
        <v>99.99</v>
      </c>
      <c r="E28" s="56" t="s">
        <v>230</v>
      </c>
      <c r="F28" s="96">
        <v>1</v>
      </c>
      <c r="G28" s="96">
        <v>1</v>
      </c>
    </row>
    <row r="29" spans="1:7" ht="15.75" customHeight="1" x14ac:dyDescent="0.25">
      <c r="A29" s="5" t="s">
        <v>221</v>
      </c>
      <c r="B29" s="45">
        <v>0.23221729999999999</v>
      </c>
      <c r="C29" s="96">
        <v>0.95</v>
      </c>
      <c r="D29" s="56">
        <v>112.4872415972974</v>
      </c>
      <c r="E29" s="56" t="s">
        <v>230</v>
      </c>
      <c r="F29" s="96">
        <v>1</v>
      </c>
      <c r="G29" s="96">
        <v>1</v>
      </c>
    </row>
    <row r="30" spans="1:7" ht="15.75" customHeight="1" x14ac:dyDescent="0.25">
      <c r="A30" s="5" t="s">
        <v>234</v>
      </c>
      <c r="B30" s="96">
        <v>0</v>
      </c>
      <c r="C30" s="96">
        <v>0.95</v>
      </c>
      <c r="D30" s="56">
        <v>57.448392612859095</v>
      </c>
      <c r="E30" s="56" t="s">
        <v>230</v>
      </c>
      <c r="F30" s="96">
        <v>1</v>
      </c>
      <c r="G30" s="96">
        <v>1</v>
      </c>
    </row>
    <row r="31" spans="1:7" ht="15.75" customHeight="1" x14ac:dyDescent="0.25">
      <c r="A31" s="5" t="s">
        <v>190</v>
      </c>
      <c r="B31" s="45">
        <v>0</v>
      </c>
      <c r="C31" s="96">
        <v>0.95</v>
      </c>
      <c r="D31" s="56">
        <v>154.26678932842685</v>
      </c>
      <c r="E31" s="56" t="s">
        <v>230</v>
      </c>
      <c r="F31" s="96">
        <v>1</v>
      </c>
      <c r="G31" s="96">
        <v>1</v>
      </c>
    </row>
    <row r="32" spans="1:7" ht="15.75" customHeight="1" x14ac:dyDescent="0.25">
      <c r="A32" s="5" t="s">
        <v>222</v>
      </c>
      <c r="B32" s="45">
        <v>0.67400000000000004</v>
      </c>
      <c r="C32" s="96">
        <v>0.95</v>
      </c>
      <c r="D32" s="56">
        <v>1.208423183072677</v>
      </c>
      <c r="E32" s="56" t="s">
        <v>230</v>
      </c>
      <c r="F32" s="96">
        <v>1</v>
      </c>
      <c r="G32" s="96">
        <v>1</v>
      </c>
    </row>
    <row r="33" spans="1:7" ht="15.75" customHeight="1" x14ac:dyDescent="0.25">
      <c r="A33" s="5" t="s">
        <v>223</v>
      </c>
      <c r="B33" s="45">
        <v>0.18154609999999999</v>
      </c>
      <c r="C33" s="96">
        <v>0.95</v>
      </c>
      <c r="D33" s="56">
        <v>99.99</v>
      </c>
      <c r="E33" s="56" t="s">
        <v>230</v>
      </c>
      <c r="F33" s="96">
        <v>1</v>
      </c>
      <c r="G33" s="96">
        <v>1</v>
      </c>
    </row>
    <row r="34" spans="1:7" ht="15.75" customHeight="1" x14ac:dyDescent="0.25">
      <c r="A34" s="5" t="s">
        <v>224</v>
      </c>
      <c r="B34" s="45">
        <v>0.73697869999999999</v>
      </c>
      <c r="C34" s="96">
        <v>0.95</v>
      </c>
      <c r="D34" s="56">
        <v>99.99</v>
      </c>
      <c r="E34" s="56" t="s">
        <v>230</v>
      </c>
      <c r="F34" s="96">
        <v>1</v>
      </c>
      <c r="G34" s="96">
        <v>1</v>
      </c>
    </row>
    <row r="35" spans="1:7" ht="15.75" customHeight="1" x14ac:dyDescent="0.25">
      <c r="A35" s="5" t="s">
        <v>225</v>
      </c>
      <c r="B35" s="96">
        <v>0</v>
      </c>
      <c r="C35" s="96">
        <v>0.95</v>
      </c>
      <c r="D35" s="56">
        <v>99.99</v>
      </c>
      <c r="E35" s="56" t="s">
        <v>230</v>
      </c>
      <c r="F35" s="96">
        <v>1</v>
      </c>
      <c r="G35" s="96">
        <v>1</v>
      </c>
    </row>
    <row r="36" spans="1:7" ht="15.75" customHeight="1" x14ac:dyDescent="0.25">
      <c r="A36" s="5" t="s">
        <v>226</v>
      </c>
      <c r="B36" s="45">
        <v>5.3560000000000001E-4</v>
      </c>
      <c r="C36" s="96">
        <v>0.95</v>
      </c>
      <c r="D36" s="56">
        <v>99.99</v>
      </c>
      <c r="E36" s="56" t="s">
        <v>230</v>
      </c>
      <c r="F36" s="96">
        <v>1</v>
      </c>
      <c r="G36" s="96">
        <v>1</v>
      </c>
    </row>
    <row r="37" spans="1:7" ht="15.75" customHeight="1" x14ac:dyDescent="0.25">
      <c r="A37" s="5" t="s">
        <v>227</v>
      </c>
      <c r="B37" s="45">
        <v>0.3439854</v>
      </c>
      <c r="C37" s="96">
        <v>0.95</v>
      </c>
      <c r="D37" s="56">
        <v>99.99</v>
      </c>
      <c r="E37" s="56" t="s">
        <v>230</v>
      </c>
      <c r="F37" s="96">
        <v>1</v>
      </c>
      <c r="G37" s="96">
        <v>1</v>
      </c>
    </row>
    <row r="38" spans="1:7" ht="15.75" customHeight="1" x14ac:dyDescent="0.25">
      <c r="A38" s="5" t="s">
        <v>228</v>
      </c>
      <c r="B38" s="45">
        <v>0.33500000000000002</v>
      </c>
      <c r="C38" s="96">
        <v>0.95</v>
      </c>
      <c r="D38" s="56">
        <v>1.1570009199632014</v>
      </c>
      <c r="E38" s="56" t="s">
        <v>230</v>
      </c>
      <c r="F38" s="96">
        <v>1</v>
      </c>
      <c r="G38" s="96">
        <v>1</v>
      </c>
    </row>
    <row r="39" spans="1:7" ht="15.75" customHeight="1" x14ac:dyDescent="0.25">
      <c r="A39" s="5" t="s">
        <v>229</v>
      </c>
      <c r="B39" s="45">
        <v>0</v>
      </c>
      <c r="C39" s="96">
        <v>0.95</v>
      </c>
      <c r="D39" s="56">
        <v>5.8497136845734818</v>
      </c>
      <c r="E39" s="56" t="s">
        <v>230</v>
      </c>
      <c r="F39" s="96">
        <v>1</v>
      </c>
      <c r="G39" s="96">
        <v>1</v>
      </c>
    </row>
  </sheetData>
  <sheetProtection algorithmName="SHA-512" hashValue="avGVDX4k5x4PLcP4T6504Iny5wDs5vHyf15l3tGwl7/I13Np0KTGXn1Iu7hMzdS4GFyaFDj3Is3pGGtxLo2h0w==" saltValue="DMDXTTeW7qBH2uz+uuACu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8lxKw++aprTdLWutbLHTbV6HSiNOb3Qyam2yVtnN8gTFonFIsNi1Z9lByW/yygDLhYJczc5Q1DvPhd51UwBnTg==" saltValue="2fcG9SMeJ8BV0urylIhbF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cdxRnYcEP+Y0L8YBDy5aNJtAAG27Q1yB8qFpmvOx1CTeo7X5VfolANco6MGcABMGTnVdViYjECGGSbu0Bw0d1Q==" saltValue="UkdbW+CkqfQR1vUP2bZJM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2.7040000000000002</v>
      </c>
      <c r="C2" s="21">
        <f>'Données pop de l''année de ref'!C52</f>
        <v>2.7040000000000002</v>
      </c>
      <c r="D2" s="21">
        <f>'Données pop de l''année de ref'!C53</f>
        <v>7.7220000000000004</v>
      </c>
      <c r="E2" s="21">
        <f>'Données pop de l''année de ref'!C54</f>
        <v>7.2539999999999996</v>
      </c>
      <c r="F2" s="21">
        <f>'Données pop de l''année de ref'!C55</f>
        <v>2.3919999999999999</v>
      </c>
    </row>
    <row r="3" spans="1:6" ht="15.75" customHeight="1" x14ac:dyDescent="0.25">
      <c r="A3" s="3" t="s">
        <v>238</v>
      </c>
      <c r="B3" s="21">
        <f>frac_mam_1month * 2.6</f>
        <v>7.1664580000000005E-2</v>
      </c>
      <c r="C3" s="21">
        <f>frac_mam_1_5months * 2.6</f>
        <v>7.1664580000000005E-2</v>
      </c>
      <c r="D3" s="21">
        <f>frac_mam_6_11months * 2.6</f>
        <v>0.10785398</v>
      </c>
      <c r="E3" s="21">
        <f>frac_mam_12_23months * 2.6</f>
        <v>9.2077700000000012E-2</v>
      </c>
      <c r="F3" s="21">
        <f>frac_mam_24_59months * 2.6</f>
        <v>5.7162300000000006E-2</v>
      </c>
    </row>
    <row r="4" spans="1:6" ht="15.75" customHeight="1" x14ac:dyDescent="0.25">
      <c r="A4" s="3" t="s">
        <v>237</v>
      </c>
      <c r="B4" s="21">
        <f>frac_sam_1month * 2.6</f>
        <v>6.1580219999999998E-2</v>
      </c>
      <c r="C4" s="21">
        <f>frac_sam_1_5months * 2.6</f>
        <v>6.1580219999999998E-2</v>
      </c>
      <c r="D4" s="21">
        <f>frac_sam_6_11months * 2.6</f>
        <v>2.6343459999999999E-2</v>
      </c>
      <c r="E4" s="21">
        <f>frac_sam_12_23months * 2.6</f>
        <v>4.593966E-2</v>
      </c>
      <c r="F4" s="21">
        <f>frac_sam_24_59months * 2.6</f>
        <v>3.5667320000000002E-2</v>
      </c>
    </row>
  </sheetData>
  <sheetProtection algorithmName="SHA-512" hashValue="yuk2HxMJ3QBcI/Wy5dnnpiry9K0FN6/SN8nstKdJG/oM7Q+MdGIhIo4UvuN7PqyeInDet3groDIejbmTZGjGdg==" saltValue="7sMD7/0YL0DT/CuXkXwpt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0.54400000000000004</v>
      </c>
      <c r="F2" s="60">
        <f>food_insecure</f>
        <v>0.54400000000000004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0.54400000000000004</v>
      </c>
      <c r="F5" s="60">
        <f>food_insecure</f>
        <v>0.54400000000000004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5.8996363636363645E-2</v>
      </c>
      <c r="D7" s="60">
        <f>diarrhoea_1_5mo*frac_diarrhea_severe</f>
        <v>5.8996363636363645E-2</v>
      </c>
      <c r="E7" s="60">
        <f>diarrhoea_6_11mo*frac_diarrhea_severe</f>
        <v>0.16848000000000002</v>
      </c>
      <c r="F7" s="60">
        <f>diarrhoea_12_23mo*frac_diarrhea_severe</f>
        <v>0.15826909090909091</v>
      </c>
      <c r="G7" s="60">
        <f>diarrhoea_24_59mo*frac_diarrhea_severe</f>
        <v>5.2189090909090914E-2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0.54400000000000004</v>
      </c>
      <c r="F8" s="60">
        <f>food_insecure</f>
        <v>0.54400000000000004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0.54400000000000004</v>
      </c>
      <c r="F9" s="60">
        <f>food_insecure</f>
        <v>0.54400000000000004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5.8996363636363645E-2</v>
      </c>
      <c r="D12" s="60">
        <f>diarrhoea_1_5mo*frac_diarrhea_severe</f>
        <v>5.8996363636363645E-2</v>
      </c>
      <c r="E12" s="60">
        <f>diarrhoea_6_11mo*frac_diarrhea_severe</f>
        <v>0.16848000000000002</v>
      </c>
      <c r="F12" s="60">
        <f>diarrhoea_12_23mo*frac_diarrhea_severe</f>
        <v>0.15826909090909091</v>
      </c>
      <c r="G12" s="60">
        <f>diarrhoea_24_59mo*frac_diarrhea_severe</f>
        <v>5.2189090909090914E-2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0.54400000000000004</v>
      </c>
      <c r="I15" s="60">
        <f t="shared" si="0"/>
        <v>0.54400000000000004</v>
      </c>
      <c r="J15" s="60">
        <f t="shared" si="0"/>
        <v>0.54400000000000004</v>
      </c>
      <c r="K15" s="60">
        <f t="shared" si="0"/>
        <v>0.54400000000000004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0.54400000000000004</v>
      </c>
      <c r="I16" s="60">
        <f t="shared" si="0"/>
        <v>0.54400000000000004</v>
      </c>
      <c r="J16" s="60">
        <f t="shared" si="0"/>
        <v>0.54400000000000004</v>
      </c>
      <c r="K16" s="60">
        <f t="shared" si="0"/>
        <v>0.54400000000000004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0.83</v>
      </c>
      <c r="I19" s="60">
        <f>frac_malaria_risk</f>
        <v>0.83</v>
      </c>
      <c r="J19" s="60">
        <f>frac_malaria_risk</f>
        <v>0.83</v>
      </c>
      <c r="K19" s="60">
        <f>frac_malaria_risk</f>
        <v>0.83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0.19700000000000001</v>
      </c>
      <c r="M24" s="60">
        <f>famplan_unmet_need</f>
        <v>0.19700000000000001</v>
      </c>
      <c r="N24" s="60">
        <f>famplan_unmet_need</f>
        <v>0.19700000000000001</v>
      </c>
      <c r="O24" s="60">
        <f>famplan_unmet_need</f>
        <v>0.19700000000000001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0.40723769270620802</v>
      </c>
      <c r="M25" s="60">
        <f>(1-food_insecure)*(0.49)+food_insecure*(0.7)</f>
        <v>0.60424</v>
      </c>
      <c r="N25" s="60">
        <f>(1-food_insecure)*(0.49)+food_insecure*(0.7)</f>
        <v>0.60424</v>
      </c>
      <c r="O25" s="60">
        <f>(1-food_insecure)*(0.49)+food_insecure*(0.7)</f>
        <v>0.60424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0.174530439731232</v>
      </c>
      <c r="M26" s="60">
        <f>(1-food_insecure)*(0.21)+food_insecure*(0.3)</f>
        <v>0.25895999999999997</v>
      </c>
      <c r="N26" s="60">
        <f>(1-food_insecure)*(0.21)+food_insecure*(0.3)</f>
        <v>0.25895999999999997</v>
      </c>
      <c r="O26" s="60">
        <f>(1-food_insecure)*(0.21)+food_insecure*(0.3)</f>
        <v>0.25895999999999997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9.2198656762559991E-2</v>
      </c>
      <c r="M27" s="60">
        <f>(1-food_insecure)*(0.3)</f>
        <v>0.13679999999999998</v>
      </c>
      <c r="N27" s="60">
        <f>(1-food_insecure)*(0.3)</f>
        <v>0.13679999999999998</v>
      </c>
      <c r="O27" s="60">
        <f>(1-food_insecure)*(0.3)</f>
        <v>0.13679999999999998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0.32603321079999997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0.83</v>
      </c>
      <c r="D34" s="60">
        <f t="shared" si="4"/>
        <v>0.83</v>
      </c>
      <c r="E34" s="60">
        <f t="shared" si="4"/>
        <v>0.83</v>
      </c>
      <c r="F34" s="60">
        <f t="shared" si="4"/>
        <v>0.83</v>
      </c>
      <c r="G34" s="60">
        <f t="shared" si="4"/>
        <v>0.83</v>
      </c>
      <c r="H34" s="60">
        <f t="shared" si="4"/>
        <v>0.83</v>
      </c>
      <c r="I34" s="60">
        <f t="shared" si="4"/>
        <v>0.83</v>
      </c>
      <c r="J34" s="60">
        <f t="shared" si="4"/>
        <v>0.83</v>
      </c>
      <c r="K34" s="60">
        <f t="shared" si="4"/>
        <v>0.83</v>
      </c>
      <c r="L34" s="60">
        <f t="shared" si="4"/>
        <v>0.83</v>
      </c>
      <c r="M34" s="60">
        <f t="shared" si="4"/>
        <v>0.83</v>
      </c>
      <c r="N34" s="60">
        <f t="shared" si="4"/>
        <v>0.83</v>
      </c>
      <c r="O34" s="60">
        <f t="shared" si="4"/>
        <v>0.83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zR60mGDuasAyvT1DBOm4piAmMyD65UN3w5AWKTSd6EUsxZNg6ZL3K0PHQzgT2zi6JK1h9R3ArMBLdjcKzRUmjg==" saltValue="j2UIzYeiEuOGCLvM6QboT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ABKTCwO/hnKz6CrgJehlsMpkSkSyfx1NpwiVND8G2fhE9/745xUSpptGwbXgijKf7fv1fw1ZvfoG7zLVZkdgNA==" saltValue="g7YeH6pKz42+v7xkKLmuw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NECfwxpQufYq44k4BkpF0Thl+18oq9W6Ph0f4SG4yDePdqtPfXvjbP+2MTpBRlVxLp3J6Lo8E/aUAnqQlyqeog==" saltValue="DJAl2uF84jyTismyixCDW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L6og0vpX8IPi1LWq0sv5dh9jDyoh/f+ziDlV0zCI8s6s6qnFdHfOC8VKPpzpzhU0TnsGmvfwA4hNTlUAneSgXQ==" saltValue="3o+qgbafD0kMT4zGN/57n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189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13" t="s">
        <v>197</v>
      </c>
      <c r="B2" s="114"/>
      <c r="C2" s="114"/>
      <c r="D2" s="114"/>
      <c r="E2" s="114"/>
      <c r="F2" s="114"/>
      <c r="G2" s="114"/>
      <c r="H2" s="114"/>
      <c r="I2" s="114" t="s">
        <v>4</v>
      </c>
      <c r="J2" s="114"/>
      <c r="K2" s="114"/>
      <c r="L2" s="114"/>
    </row>
    <row r="3" spans="1:12" x14ac:dyDescent="0.25">
      <c r="A3" s="113" t="s">
        <v>198</v>
      </c>
      <c r="B3" s="114"/>
      <c r="C3" s="114"/>
      <c r="D3" s="114"/>
      <c r="E3" s="114"/>
      <c r="F3" s="114"/>
      <c r="G3" s="114"/>
      <c r="H3" s="114" t="s">
        <v>4</v>
      </c>
      <c r="I3" s="114" t="s">
        <v>4</v>
      </c>
      <c r="J3" s="114"/>
      <c r="K3" s="114"/>
      <c r="L3" s="114"/>
    </row>
    <row r="4" spans="1:12" x14ac:dyDescent="0.25">
      <c r="A4" s="113" t="s">
        <v>199</v>
      </c>
      <c r="B4" s="114" t="s">
        <v>4</v>
      </c>
      <c r="C4" s="114"/>
      <c r="D4" s="114" t="s">
        <v>4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200</v>
      </c>
      <c r="B5" s="114"/>
      <c r="C5" s="114" t="s">
        <v>4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201</v>
      </c>
      <c r="B6" s="114"/>
      <c r="C6" s="114"/>
      <c r="D6" s="114"/>
      <c r="E6" s="114"/>
      <c r="F6" s="114"/>
      <c r="G6" s="114"/>
      <c r="H6" s="114"/>
      <c r="I6" s="114"/>
      <c r="J6" s="114" t="s">
        <v>4</v>
      </c>
      <c r="K6" s="114" t="s">
        <v>4</v>
      </c>
      <c r="L6" s="114"/>
    </row>
    <row r="7" spans="1:12" x14ac:dyDescent="0.25">
      <c r="A7" s="113" t="s">
        <v>202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/>
      <c r="J7" s="114"/>
      <c r="K7" s="114"/>
      <c r="L7" s="114"/>
    </row>
    <row r="8" spans="1:12" x14ac:dyDescent="0.25">
      <c r="A8" s="113" t="s">
        <v>203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/>
      <c r="J8" s="114"/>
      <c r="K8" s="114"/>
      <c r="L8" s="114"/>
    </row>
    <row r="9" spans="1:12" x14ac:dyDescent="0.25">
      <c r="A9" s="113" t="s">
        <v>204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/>
      <c r="J9" s="114"/>
      <c r="K9" s="114"/>
      <c r="L9" s="114"/>
    </row>
    <row r="10" spans="1:12" x14ac:dyDescent="0.25">
      <c r="A10" s="113" t="s">
        <v>205</v>
      </c>
      <c r="B10" s="114"/>
      <c r="C10" s="114" t="s">
        <v>4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206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207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208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209</v>
      </c>
      <c r="B14" s="114"/>
      <c r="C14" s="114" t="s">
        <v>4</v>
      </c>
      <c r="D14" s="114"/>
      <c r="E14" s="114"/>
      <c r="F14" s="114"/>
      <c r="G14" s="114"/>
      <c r="H14" s="114"/>
      <c r="I14" s="114" t="s">
        <v>4</v>
      </c>
      <c r="J14" s="114"/>
      <c r="K14" s="114"/>
      <c r="L14" s="114"/>
    </row>
    <row r="15" spans="1:12" x14ac:dyDescent="0.25">
      <c r="A15" s="115" t="s">
        <v>210</v>
      </c>
      <c r="B15" s="114"/>
      <c r="C15" s="114" t="s">
        <v>4</v>
      </c>
      <c r="D15" s="114"/>
      <c r="E15" s="114"/>
      <c r="F15" s="114"/>
      <c r="G15" s="114"/>
      <c r="H15" s="114"/>
      <c r="I15" s="114" t="s">
        <v>4</v>
      </c>
      <c r="J15" s="114"/>
      <c r="K15" s="114"/>
      <c r="L15" s="114"/>
    </row>
    <row r="16" spans="1:12" x14ac:dyDescent="0.25">
      <c r="A16" s="113" t="s">
        <v>211</v>
      </c>
      <c r="B16" s="114"/>
      <c r="C16" s="114" t="s">
        <v>4</v>
      </c>
      <c r="D16" s="114"/>
      <c r="E16" s="114"/>
      <c r="F16" s="114"/>
      <c r="G16" s="114"/>
      <c r="H16" s="114" t="s">
        <v>4</v>
      </c>
      <c r="I16" s="114" t="s">
        <v>4</v>
      </c>
      <c r="J16" s="114"/>
      <c r="K16" s="114"/>
      <c r="L16" s="114"/>
    </row>
    <row r="17" spans="1:12" x14ac:dyDescent="0.25">
      <c r="A17" s="113" t="s">
        <v>212</v>
      </c>
      <c r="B17" s="114"/>
      <c r="C17" s="114" t="s">
        <v>4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186</v>
      </c>
      <c r="B18" s="114" t="s">
        <v>4</v>
      </c>
      <c r="C18" s="114"/>
      <c r="D18" s="114"/>
      <c r="E18" s="114"/>
      <c r="F18" s="114" t="s">
        <v>4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187</v>
      </c>
      <c r="B19" s="114" t="s">
        <v>4</v>
      </c>
      <c r="C19" s="114"/>
      <c r="D19" s="114"/>
      <c r="E19" s="114"/>
      <c r="F19" s="114" t="s">
        <v>4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188</v>
      </c>
      <c r="B20" s="114" t="s">
        <v>4</v>
      </c>
      <c r="C20" s="114"/>
      <c r="D20" s="114"/>
      <c r="E20" s="114"/>
      <c r="F20" s="114" t="s">
        <v>4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213</v>
      </c>
      <c r="B21" s="114"/>
      <c r="C21" s="114"/>
      <c r="D21" s="114"/>
      <c r="E21" s="114"/>
      <c r="F21" s="114"/>
      <c r="G21" s="114"/>
      <c r="H21" s="114" t="s">
        <v>4</v>
      </c>
      <c r="I21" s="114" t="s">
        <v>4</v>
      </c>
      <c r="J21" s="114"/>
      <c r="K21" s="114"/>
      <c r="L21" s="114"/>
    </row>
    <row r="22" spans="1:12" x14ac:dyDescent="0.25">
      <c r="A22" s="113" t="s">
        <v>214</v>
      </c>
      <c r="B22" s="114" t="s">
        <v>4</v>
      </c>
      <c r="C22" s="114" t="s">
        <v>4</v>
      </c>
      <c r="D22" s="114" t="s">
        <v>4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215</v>
      </c>
      <c r="B23" s="114"/>
      <c r="C23" s="114" t="s">
        <v>4</v>
      </c>
      <c r="D23" s="114"/>
      <c r="E23" s="114"/>
      <c r="F23" s="114"/>
      <c r="G23" s="114"/>
      <c r="H23" s="114"/>
      <c r="I23" s="114" t="s">
        <v>4</v>
      </c>
      <c r="J23" s="114"/>
      <c r="K23" s="114"/>
      <c r="L23" s="114"/>
    </row>
    <row r="24" spans="1:12" x14ac:dyDescent="0.25">
      <c r="A24" s="113" t="s">
        <v>216</v>
      </c>
      <c r="B24" s="114"/>
      <c r="C24" s="114"/>
      <c r="D24" s="114"/>
      <c r="E24" s="114"/>
      <c r="F24" s="114"/>
      <c r="G24" s="114"/>
      <c r="H24" s="114" t="s">
        <v>4</v>
      </c>
      <c r="I24" s="114"/>
      <c r="J24" s="114"/>
      <c r="K24" s="114"/>
      <c r="L24" s="114"/>
    </row>
    <row r="25" spans="1:12" x14ac:dyDescent="0.25">
      <c r="A25" s="113" t="s">
        <v>217</v>
      </c>
      <c r="B25" s="114"/>
      <c r="C25" s="114"/>
      <c r="D25" s="114"/>
      <c r="E25" s="114"/>
      <c r="F25" s="114"/>
      <c r="G25" s="114"/>
      <c r="H25" s="114" t="s">
        <v>4</v>
      </c>
      <c r="I25" s="114"/>
      <c r="J25" s="114"/>
      <c r="K25" s="114"/>
      <c r="L25" s="114"/>
    </row>
    <row r="26" spans="1:12" x14ac:dyDescent="0.25">
      <c r="A26" s="113" t="s">
        <v>218</v>
      </c>
      <c r="B26" s="114"/>
      <c r="C26" s="114" t="s">
        <v>4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219</v>
      </c>
      <c r="B27" s="114"/>
      <c r="C27" s="114" t="s">
        <v>4</v>
      </c>
      <c r="D27" s="114"/>
      <c r="E27" s="114"/>
      <c r="F27" s="114"/>
      <c r="G27" s="114"/>
      <c r="H27" s="114"/>
      <c r="I27" s="114" t="s">
        <v>4</v>
      </c>
      <c r="J27" s="114"/>
      <c r="K27" s="114"/>
      <c r="L27" s="114" t="s">
        <v>4</v>
      </c>
    </row>
    <row r="28" spans="1:12" x14ac:dyDescent="0.25">
      <c r="A28" s="113" t="s">
        <v>220</v>
      </c>
      <c r="B28" s="114"/>
      <c r="C28" s="114"/>
      <c r="D28" s="114"/>
      <c r="E28" s="114"/>
      <c r="F28" s="114"/>
      <c r="G28" s="114"/>
      <c r="H28" s="114" t="s">
        <v>4</v>
      </c>
      <c r="I28" s="114"/>
      <c r="J28" s="114"/>
      <c r="K28" s="114"/>
      <c r="L28" s="114"/>
    </row>
    <row r="29" spans="1:12" x14ac:dyDescent="0.25">
      <c r="A29" s="113" t="s">
        <v>221</v>
      </c>
      <c r="B29" s="114" t="s">
        <v>4</v>
      </c>
      <c r="C29" s="114"/>
      <c r="D29" s="114" t="s">
        <v>4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234</v>
      </c>
      <c r="B30" s="114" t="s">
        <v>4</v>
      </c>
      <c r="C30" s="114" t="s">
        <v>4</v>
      </c>
      <c r="D30" s="114" t="s">
        <v>4</v>
      </c>
      <c r="E30" s="114"/>
      <c r="F30" s="114"/>
      <c r="G30" s="114"/>
      <c r="H30" s="114" t="s">
        <v>4</v>
      </c>
      <c r="I30" s="114"/>
      <c r="J30" s="114"/>
      <c r="K30" s="114"/>
      <c r="L30" s="114"/>
    </row>
    <row r="31" spans="1:12" x14ac:dyDescent="0.25">
      <c r="A31" s="113" t="s">
        <v>190</v>
      </c>
      <c r="B31" s="114"/>
      <c r="C31" s="114"/>
      <c r="D31" s="114"/>
      <c r="E31" s="114" t="s">
        <v>4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222</v>
      </c>
      <c r="B32" s="114"/>
      <c r="C32" s="114"/>
      <c r="D32" s="114"/>
      <c r="E32" s="114"/>
      <c r="F32" s="114"/>
      <c r="G32" s="114" t="s">
        <v>4</v>
      </c>
      <c r="H32" s="114" t="s">
        <v>4</v>
      </c>
      <c r="I32" s="114"/>
      <c r="J32" s="114"/>
      <c r="K32" s="114"/>
      <c r="L32" s="114"/>
    </row>
    <row r="33" spans="1:12" x14ac:dyDescent="0.25">
      <c r="A33" s="113" t="s">
        <v>223</v>
      </c>
      <c r="B33" s="114"/>
      <c r="C33" s="114"/>
      <c r="D33" s="114"/>
      <c r="E33" s="114"/>
      <c r="F33" s="114"/>
      <c r="G33" s="114" t="s">
        <v>4</v>
      </c>
      <c r="H33" s="114" t="s">
        <v>4</v>
      </c>
      <c r="I33" s="114"/>
      <c r="J33" s="114"/>
      <c r="K33" s="114"/>
      <c r="L33" s="114"/>
    </row>
    <row r="34" spans="1:12" x14ac:dyDescent="0.25">
      <c r="A34" s="113" t="s">
        <v>224</v>
      </c>
      <c r="B34" s="114"/>
      <c r="C34" s="114"/>
      <c r="D34" s="114"/>
      <c r="E34" s="114"/>
      <c r="F34" s="114"/>
      <c r="G34" s="114" t="s">
        <v>4</v>
      </c>
      <c r="H34" s="114" t="s">
        <v>4</v>
      </c>
      <c r="I34" s="114"/>
      <c r="J34" s="114"/>
      <c r="K34" s="114"/>
      <c r="L34" s="114"/>
    </row>
    <row r="35" spans="1:12" x14ac:dyDescent="0.25">
      <c r="A35" s="113" t="s">
        <v>225</v>
      </c>
      <c r="B35" s="114"/>
      <c r="C35" s="114"/>
      <c r="D35" s="114"/>
      <c r="E35" s="114"/>
      <c r="F35" s="114"/>
      <c r="G35" s="114" t="s">
        <v>4</v>
      </c>
      <c r="H35" s="114" t="s">
        <v>4</v>
      </c>
      <c r="I35" s="114"/>
      <c r="J35" s="114"/>
      <c r="K35" s="114"/>
      <c r="L35" s="114"/>
    </row>
    <row r="36" spans="1:12" x14ac:dyDescent="0.25">
      <c r="A36" s="113" t="s">
        <v>226</v>
      </c>
      <c r="B36" s="114"/>
      <c r="C36" s="114"/>
      <c r="D36" s="114"/>
      <c r="E36" s="114"/>
      <c r="F36" s="114"/>
      <c r="G36" s="114" t="s">
        <v>4</v>
      </c>
      <c r="H36" s="114" t="s">
        <v>4</v>
      </c>
      <c r="I36" s="114"/>
      <c r="J36" s="114"/>
      <c r="K36" s="114"/>
      <c r="L36" s="114"/>
    </row>
    <row r="37" spans="1:12" x14ac:dyDescent="0.25">
      <c r="A37" s="113" t="s">
        <v>227</v>
      </c>
      <c r="B37" s="114"/>
      <c r="C37" s="114"/>
      <c r="D37" s="114"/>
      <c r="E37" s="114"/>
      <c r="F37" s="114"/>
      <c r="G37" s="114" t="s">
        <v>4</v>
      </c>
      <c r="H37" s="114" t="s">
        <v>4</v>
      </c>
      <c r="I37" s="114"/>
      <c r="J37" s="114"/>
      <c r="K37" s="114"/>
      <c r="L37" s="114"/>
    </row>
    <row r="38" spans="1:12" x14ac:dyDescent="0.25">
      <c r="A38" s="113" t="s">
        <v>228</v>
      </c>
      <c r="B38" s="114"/>
      <c r="C38" s="114"/>
      <c r="D38" s="114"/>
      <c r="E38" s="114"/>
      <c r="F38" s="114"/>
      <c r="G38" s="114"/>
      <c r="H38" s="114" t="s">
        <v>4</v>
      </c>
      <c r="I38" s="114"/>
      <c r="J38" s="114"/>
      <c r="K38" s="114"/>
      <c r="L38" s="114"/>
    </row>
    <row r="39" spans="1:12" x14ac:dyDescent="0.25">
      <c r="A39" s="113" t="s">
        <v>229</v>
      </c>
      <c r="B39" s="114" t="s">
        <v>4</v>
      </c>
      <c r="C39" s="114"/>
      <c r="D39" s="114"/>
      <c r="E39" s="114"/>
      <c r="F39" s="114"/>
      <c r="G39" s="114" t="s">
        <v>4</v>
      </c>
      <c r="H39" s="114" t="s">
        <v>4</v>
      </c>
      <c r="I39" s="114"/>
      <c r="J39" s="114"/>
      <c r="K39" s="114"/>
      <c r="L39" s="114"/>
    </row>
  </sheetData>
  <sheetProtection algorithmName="SHA-512" hashValue="r7kyySOlxyknXdlKT+v9iH5Z1A72eDQTgmjd1lNDiPZ3XvGd1oie96RTukCDCRtNWTBSsC+5blsUegwptBpHcw==" saltValue="AfzTgTjFWoXcll6PwFOtC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261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06" t="s">
        <v>127</v>
      </c>
      <c r="B2" s="114" t="s">
        <v>4</v>
      </c>
      <c r="C2" s="114" t="s">
        <v>4</v>
      </c>
      <c r="D2" s="114" t="s">
        <v>4</v>
      </c>
      <c r="E2" s="114" t="s">
        <v>4</v>
      </c>
      <c r="F2" s="114" t="s">
        <v>4</v>
      </c>
      <c r="G2" s="114" t="s">
        <v>4</v>
      </c>
      <c r="H2" s="114" t="s">
        <v>4</v>
      </c>
      <c r="I2" s="114"/>
      <c r="J2" s="114"/>
      <c r="K2" s="114"/>
      <c r="L2" s="114"/>
    </row>
    <row r="3" spans="1:12" x14ac:dyDescent="0.25">
      <c r="A3" s="106" t="s">
        <v>114</v>
      </c>
      <c r="B3" s="114" t="s">
        <v>4</v>
      </c>
      <c r="C3" s="114" t="s">
        <v>4</v>
      </c>
      <c r="D3" s="114" t="s">
        <v>4</v>
      </c>
      <c r="E3" s="114" t="s">
        <v>4</v>
      </c>
      <c r="F3" s="114" t="s">
        <v>4</v>
      </c>
      <c r="G3" s="114" t="s">
        <v>4</v>
      </c>
      <c r="H3" s="114" t="s">
        <v>4</v>
      </c>
      <c r="I3" s="114"/>
      <c r="J3" s="114"/>
      <c r="K3" s="114"/>
      <c r="L3" s="114"/>
    </row>
    <row r="4" spans="1:12" x14ac:dyDescent="0.25">
      <c r="A4" s="106" t="s">
        <v>115</v>
      </c>
      <c r="B4" s="114" t="s">
        <v>4</v>
      </c>
      <c r="C4" s="114" t="s">
        <v>4</v>
      </c>
      <c r="D4" s="114" t="s">
        <v>4</v>
      </c>
      <c r="E4" s="114" t="s">
        <v>4</v>
      </c>
      <c r="F4" s="114" t="s">
        <v>4</v>
      </c>
      <c r="G4" s="114" t="s">
        <v>4</v>
      </c>
      <c r="H4" s="114" t="s">
        <v>4</v>
      </c>
      <c r="I4" s="114"/>
      <c r="J4" s="114"/>
      <c r="K4" s="114"/>
      <c r="L4" s="114"/>
    </row>
    <row r="5" spans="1:12" x14ac:dyDescent="0.25">
      <c r="A5" s="106" t="s">
        <v>116</v>
      </c>
      <c r="B5" s="114" t="s">
        <v>4</v>
      </c>
      <c r="C5" s="114" t="s">
        <v>4</v>
      </c>
      <c r="D5" s="114" t="s">
        <v>4</v>
      </c>
      <c r="E5" s="114" t="s">
        <v>4</v>
      </c>
      <c r="F5" s="114" t="s">
        <v>4</v>
      </c>
      <c r="G5" s="114" t="s">
        <v>4</v>
      </c>
      <c r="H5" s="114" t="s">
        <v>4</v>
      </c>
      <c r="I5" s="114"/>
      <c r="J5" s="114"/>
      <c r="K5" s="114"/>
      <c r="L5" s="114"/>
    </row>
    <row r="6" spans="1:12" x14ac:dyDescent="0.25">
      <c r="A6" s="106" t="s">
        <v>117</v>
      </c>
      <c r="B6" s="114" t="s">
        <v>4</v>
      </c>
      <c r="C6" s="114" t="s">
        <v>4</v>
      </c>
      <c r="D6" s="114" t="s">
        <v>4</v>
      </c>
      <c r="E6" s="114" t="s">
        <v>4</v>
      </c>
      <c r="F6" s="114" t="s">
        <v>4</v>
      </c>
      <c r="G6" s="114" t="s">
        <v>4</v>
      </c>
      <c r="H6" s="114" t="s">
        <v>4</v>
      </c>
      <c r="I6" s="114"/>
      <c r="J6" s="114"/>
      <c r="K6" s="114"/>
      <c r="L6" s="114"/>
    </row>
    <row r="7" spans="1:12" x14ac:dyDescent="0.25">
      <c r="A7" s="106" t="s">
        <v>140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 t="s">
        <v>4</v>
      </c>
      <c r="J7" s="114"/>
      <c r="K7" s="114"/>
      <c r="L7" s="114" t="s">
        <v>4</v>
      </c>
    </row>
    <row r="8" spans="1:12" x14ac:dyDescent="0.25">
      <c r="A8" s="106" t="s">
        <v>141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 t="s">
        <v>4</v>
      </c>
      <c r="J8" s="114"/>
      <c r="K8" s="114"/>
      <c r="L8" s="114" t="s">
        <v>4</v>
      </c>
    </row>
    <row r="9" spans="1:12" x14ac:dyDescent="0.25">
      <c r="A9" s="106" t="s">
        <v>142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 t="s">
        <v>4</v>
      </c>
      <c r="J9" s="114"/>
      <c r="K9" s="114"/>
      <c r="L9" s="114" t="s">
        <v>4</v>
      </c>
    </row>
    <row r="10" spans="1:12" x14ac:dyDescent="0.25">
      <c r="A10" s="106" t="s">
        <v>143</v>
      </c>
      <c r="B10" s="114"/>
      <c r="C10" s="114" t="s">
        <v>4</v>
      </c>
      <c r="D10" s="114"/>
      <c r="E10" s="114"/>
      <c r="F10" s="114"/>
      <c r="G10" s="114"/>
      <c r="H10" s="114" t="s">
        <v>4</v>
      </c>
      <c r="I10" s="114" t="s">
        <v>4</v>
      </c>
      <c r="J10" s="114"/>
      <c r="K10" s="114"/>
      <c r="L10" s="114" t="s">
        <v>4</v>
      </c>
    </row>
    <row r="11" spans="1:12" x14ac:dyDescent="0.25">
      <c r="A11" s="106" t="s">
        <v>87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 t="s">
        <v>4</v>
      </c>
      <c r="K11" s="114" t="s">
        <v>4</v>
      </c>
      <c r="L11" s="114"/>
    </row>
    <row r="12" spans="1:12" x14ac:dyDescent="0.25">
      <c r="A12" s="106" t="s">
        <v>88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 t="s">
        <v>4</v>
      </c>
      <c r="L12" s="114"/>
    </row>
    <row r="13" spans="1:12" x14ac:dyDescent="0.25">
      <c r="A13" s="106" t="s">
        <v>89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 t="s">
        <v>4</v>
      </c>
      <c r="L13" s="114"/>
    </row>
    <row r="14" spans="1:12" x14ac:dyDescent="0.25">
      <c r="A14" s="106" t="s">
        <v>90</v>
      </c>
      <c r="B14" s="114"/>
      <c r="C14" s="114" t="s">
        <v>4</v>
      </c>
      <c r="D14" s="114"/>
      <c r="E14" s="114"/>
      <c r="F14" s="114"/>
      <c r="G14" s="114"/>
      <c r="H14" s="114"/>
      <c r="I14" s="114"/>
      <c r="J14" s="114"/>
      <c r="K14" s="114" t="s">
        <v>4</v>
      </c>
      <c r="L14" s="114"/>
    </row>
  </sheetData>
  <sheetProtection algorithmName="SHA-512" hashValue="+vJQIEX8HivGaNbzxsD+qpnl55wAlBWuVgZ6KK8zWEmvbz4NGRiVBut7+x8fQE33sxYu7dk9DS62Jn7lwa64Jg==" saltValue="WYteLzYcYFBrZBboUiL1j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6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6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6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6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6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6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6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6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6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eDrnhb28f6Wl/YINpt/XKgI8aN/MAOUFqM2aqVOH9mqJxLqkPJEEk++Z8EMIOF7ghoMSYKCxiQA0xDW1VT/Usg==" saltValue="EPUW5xlkoWuQE8fWrl196Q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264</v>
      </c>
    </row>
    <row r="2" spans="1:7" ht="14.25" customHeight="1" x14ac:dyDescent="0.3">
      <c r="A2" s="120" t="s">
        <v>6</v>
      </c>
      <c r="B2" s="105"/>
      <c r="C2" s="103" t="s">
        <v>127</v>
      </c>
      <c r="D2" s="103" t="s">
        <v>114</v>
      </c>
      <c r="E2" s="103" t="s">
        <v>115</v>
      </c>
      <c r="F2" s="103" t="s">
        <v>116</v>
      </c>
      <c r="G2" s="103" t="s">
        <v>117</v>
      </c>
    </row>
    <row r="3" spans="1:7" ht="14.25" customHeight="1" x14ac:dyDescent="0.25">
      <c r="B3" s="115" t="s">
        <v>274</v>
      </c>
      <c r="C3" s="116" t="s">
        <v>10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275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276</v>
      </c>
    </row>
    <row r="6" spans="1:7" ht="14.25" customHeight="1" x14ac:dyDescent="0.25">
      <c r="B6" s="115" t="s">
        <v>221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214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199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234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229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280</v>
      </c>
    </row>
    <row r="13" spans="1:7" ht="14.25" customHeight="1" x14ac:dyDescent="0.3">
      <c r="A13" s="121"/>
      <c r="B13" s="115" t="s">
        <v>213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277</v>
      </c>
    </row>
    <row r="16" spans="1:7" ht="14.25" customHeight="1" x14ac:dyDescent="0.3">
      <c r="A16" s="120" t="s">
        <v>283</v>
      </c>
      <c r="B16" s="115" t="s">
        <v>278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281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139</v>
      </c>
      <c r="B18" s="115" t="s">
        <v>279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282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201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264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6</v>
      </c>
      <c r="B26" s="105"/>
      <c r="C26" s="103" t="s">
        <v>127</v>
      </c>
      <c r="D26" s="103" t="s">
        <v>114</v>
      </c>
      <c r="E26" s="103" t="s">
        <v>115</v>
      </c>
      <c r="F26" s="103" t="s">
        <v>116</v>
      </c>
      <c r="G26" s="103" t="s">
        <v>117</v>
      </c>
    </row>
    <row r="27" spans="1:7" x14ac:dyDescent="0.25">
      <c r="B27" s="115" t="s">
        <v>284</v>
      </c>
      <c r="C27" s="116" t="s">
        <v>10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285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286</v>
      </c>
    </row>
    <row r="30" spans="1:7" x14ac:dyDescent="0.25">
      <c r="B30" s="115" t="s">
        <v>287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288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29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289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290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291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277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283</v>
      </c>
      <c r="B40" s="115" t="s">
        <v>292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293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139</v>
      </c>
      <c r="B42" s="115" t="s">
        <v>294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296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270</v>
      </c>
    </row>
    <row r="49" spans="1:7" ht="13" x14ac:dyDescent="0.3">
      <c r="A49" s="118" t="s">
        <v>264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6</v>
      </c>
      <c r="B50" s="105"/>
      <c r="C50" s="103" t="s">
        <v>127</v>
      </c>
      <c r="D50" s="103" t="s">
        <v>114</v>
      </c>
      <c r="E50" s="103" t="s">
        <v>115</v>
      </c>
      <c r="F50" s="103" t="s">
        <v>116</v>
      </c>
      <c r="G50" s="103" t="s">
        <v>117</v>
      </c>
    </row>
    <row r="51" spans="1:7" x14ac:dyDescent="0.25">
      <c r="B51" s="115" t="s">
        <v>297</v>
      </c>
      <c r="C51" s="116" t="s">
        <v>10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298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299</v>
      </c>
    </row>
    <row r="54" spans="1:7" x14ac:dyDescent="0.25">
      <c r="B54" s="115" t="s">
        <v>300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301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30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311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302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304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277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283</v>
      </c>
      <c r="B64" s="115" t="s">
        <v>305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306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139</v>
      </c>
      <c r="B66" s="115" t="s">
        <v>307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308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309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g3ljFGgLti5yvOPobcQDomX6pOigeg3bTPx/6gkZoGfa8oELwRQsS3KFwA/XJFSl4zD4l/HyJGEqdRd7Bofubg==" saltValue="SQH3KMw8fKsrgWuNeJLR7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189</v>
      </c>
      <c r="B1" s="103"/>
      <c r="C1" s="103" t="s">
        <v>69</v>
      </c>
      <c r="D1" s="103" t="s">
        <v>71</v>
      </c>
      <c r="E1" s="103" t="s">
        <v>70</v>
      </c>
      <c r="F1" s="105" t="s">
        <v>72</v>
      </c>
    </row>
    <row r="2" spans="1:6" ht="15.75" customHeight="1" x14ac:dyDescent="0.25">
      <c r="A2" s="115" t="s">
        <v>197</v>
      </c>
      <c r="B2" s="115" t="s">
        <v>312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313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198</v>
      </c>
      <c r="B4" s="115" t="s">
        <v>312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209</v>
      </c>
      <c r="B6" s="115" t="s">
        <v>312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313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210</v>
      </c>
      <c r="B8" s="115" t="s">
        <v>312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313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211</v>
      </c>
      <c r="B10" s="115" t="s">
        <v>312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313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215</v>
      </c>
      <c r="B12" s="115" t="s">
        <v>312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313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219</v>
      </c>
      <c r="B14" s="115" t="s">
        <v>312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313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189</v>
      </c>
      <c r="B18" s="103"/>
      <c r="C18" s="103" t="s">
        <v>69</v>
      </c>
      <c r="D18" s="103" t="s">
        <v>71</v>
      </c>
      <c r="E18" s="103" t="s">
        <v>70</v>
      </c>
      <c r="F18" s="105" t="s">
        <v>72</v>
      </c>
    </row>
    <row r="19" spans="1:6" ht="15.75" customHeight="1" x14ac:dyDescent="0.25">
      <c r="A19" s="115" t="s">
        <v>197</v>
      </c>
      <c r="B19" s="115" t="s">
        <v>312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313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198</v>
      </c>
      <c r="B21" s="115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209</v>
      </c>
      <c r="B23" s="115" t="s">
        <v>312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313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210</v>
      </c>
      <c r="B25" s="115" t="s">
        <v>312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313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211</v>
      </c>
      <c r="B27" s="115" t="s">
        <v>312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313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215</v>
      </c>
      <c r="B29" s="115" t="s">
        <v>312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313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219</v>
      </c>
      <c r="B31" s="115" t="s">
        <v>312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313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270</v>
      </c>
    </row>
    <row r="35" spans="1:6" ht="15.75" customHeight="1" x14ac:dyDescent="0.3">
      <c r="A35" s="105" t="s">
        <v>189</v>
      </c>
      <c r="B35" s="103"/>
      <c r="C35" s="103" t="s">
        <v>69</v>
      </c>
      <c r="D35" s="103" t="s">
        <v>71</v>
      </c>
      <c r="E35" s="103" t="s">
        <v>70</v>
      </c>
      <c r="F35" s="105" t="s">
        <v>72</v>
      </c>
    </row>
    <row r="36" spans="1:6" ht="15.75" customHeight="1" x14ac:dyDescent="0.25">
      <c r="A36" s="115" t="s">
        <v>197</v>
      </c>
      <c r="B36" s="115" t="s">
        <v>312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313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198</v>
      </c>
      <c r="B38" s="115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209</v>
      </c>
      <c r="B40" s="115" t="s">
        <v>312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313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210</v>
      </c>
      <c r="B42" s="115" t="s">
        <v>312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313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211</v>
      </c>
      <c r="B44" s="115" t="s">
        <v>312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313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215</v>
      </c>
      <c r="B46" s="115" t="s">
        <v>312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313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219</v>
      </c>
      <c r="B48" s="115" t="s">
        <v>312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313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vaHXZxvFKeQ0ltY6tSDdttKiiUNKUW5EKgFcoUPSvs0xlVEnPTSqngiUCxV0R2YEWsf/jqXK0Bm3Ce7nWuCHOw==" saltValue="ABmQhRRiIa5YuKj69t3yH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XW7rYEZk1h7sveXDJ+x+gZgf+OsN2GKUk75hqq84SY5ytZ4v0SWLZZDqrlQUI4kuzAkSmv7+HAKcQtFxTAoF/A==" saltValue="xIH+cJdCA73jWrUoD51cc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7ET8RmqK31wOjayTDGoR6Mk64NqB4QjPcEJCbLvH0TuKhL5hsWg2iAr81syczhb+teqbVaApRu/n0RIFcn5kDg==" saltValue="NfVA1okTK6omK64JBmJuy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214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KZtXM1Pc3joY0q6vKugM94oazTN4HqNAdpGwEBwjWZ82JMsK0dcR4eM07srTrWctO9ABczV0VDVXpi8QMTfEsw==" saltValue="Jkv+njk12N5+p9btzvNc4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IjT4F9UGYH7Hcz713XHnnuhWtXiVwHSOBHQ6HZaqx/o3dZ9CTs5UPzfW6NwASRXrEnMp4pbhAlhibRLtJ8LeEg==" saltValue="O8Vjwqw7tctW6sqoGul3J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189</v>
      </c>
      <c r="B1" s="103" t="s">
        <v>364</v>
      </c>
      <c r="C1" s="120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113" t="s">
        <v>222</v>
      </c>
      <c r="B2" s="113" t="s">
        <v>105</v>
      </c>
      <c r="C2" s="113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221</v>
      </c>
      <c r="B5" s="113" t="s">
        <v>237</v>
      </c>
      <c r="C5" s="113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238</v>
      </c>
      <c r="C7" s="113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214</v>
      </c>
      <c r="B9" s="113" t="s">
        <v>237</v>
      </c>
      <c r="C9" s="113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238</v>
      </c>
      <c r="C11" s="113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234</v>
      </c>
      <c r="B13" s="113" t="s">
        <v>237</v>
      </c>
      <c r="C13" s="113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238</v>
      </c>
      <c r="C15" s="113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368</v>
      </c>
      <c r="C17" s="113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366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199</v>
      </c>
      <c r="B19" s="113" t="s">
        <v>237</v>
      </c>
      <c r="C19" s="113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238</v>
      </c>
      <c r="C21" s="113" t="s">
        <v>365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367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204</v>
      </c>
      <c r="B23" s="113" t="s">
        <v>102</v>
      </c>
      <c r="C23" s="113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202</v>
      </c>
      <c r="B25" s="113" t="s">
        <v>102</v>
      </c>
      <c r="C25" s="113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203</v>
      </c>
      <c r="B27" s="113" t="s">
        <v>102</v>
      </c>
      <c r="C27" s="113" t="s">
        <v>365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366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226</v>
      </c>
      <c r="B29" s="113" t="s">
        <v>105</v>
      </c>
      <c r="C29" s="113" t="s">
        <v>365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366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367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227</v>
      </c>
      <c r="B32" s="113" t="s">
        <v>105</v>
      </c>
      <c r="C32" s="113" t="s">
        <v>365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366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367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225</v>
      </c>
      <c r="B35" s="113" t="s">
        <v>105</v>
      </c>
      <c r="C35" s="113" t="s">
        <v>365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366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367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224</v>
      </c>
      <c r="B38" s="113" t="s">
        <v>105</v>
      </c>
      <c r="C38" s="113" t="s">
        <v>365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366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367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223</v>
      </c>
      <c r="B41" s="113" t="s">
        <v>105</v>
      </c>
      <c r="C41" s="113" t="s">
        <v>365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366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367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229</v>
      </c>
      <c r="B44" s="113" t="s">
        <v>105</v>
      </c>
      <c r="C44" s="113" t="s">
        <v>365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366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367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106</v>
      </c>
      <c r="C47" s="113" t="s">
        <v>365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366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367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220</v>
      </c>
      <c r="B50" s="113" t="s">
        <v>105</v>
      </c>
      <c r="C50" s="113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366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228</v>
      </c>
      <c r="B52" s="113" t="s">
        <v>105</v>
      </c>
      <c r="C52" s="113" t="s">
        <v>365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366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213</v>
      </c>
      <c r="B54" s="113" t="s">
        <v>100</v>
      </c>
      <c r="C54" s="113" t="s">
        <v>365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366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362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189</v>
      </c>
      <c r="B58" s="103" t="s">
        <v>364</v>
      </c>
      <c r="C58" s="120" t="s">
        <v>11</v>
      </c>
      <c r="D58" s="4" t="s">
        <v>127</v>
      </c>
      <c r="E58" s="4" t="s">
        <v>114</v>
      </c>
      <c r="F58" s="4" t="s">
        <v>115</v>
      </c>
      <c r="G58" s="4" t="s">
        <v>116</v>
      </c>
      <c r="H58" s="4" t="s">
        <v>117</v>
      </c>
    </row>
    <row r="59" spans="1:8" x14ac:dyDescent="0.25">
      <c r="A59" s="113" t="s">
        <v>222</v>
      </c>
      <c r="B59" s="113" t="s">
        <v>105</v>
      </c>
      <c r="C59" s="113" t="s">
        <v>365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366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367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221</v>
      </c>
      <c r="B62" s="113" t="s">
        <v>237</v>
      </c>
      <c r="C62" s="113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238</v>
      </c>
      <c r="C64" s="113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214</v>
      </c>
      <c r="B66" s="113" t="s">
        <v>237</v>
      </c>
      <c r="C66" s="113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238</v>
      </c>
      <c r="C68" s="113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367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234</v>
      </c>
      <c r="B70" s="113" t="s">
        <v>237</v>
      </c>
      <c r="C70" s="113" t="s">
        <v>365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367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238</v>
      </c>
      <c r="C72" s="113" t="s">
        <v>365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368</v>
      </c>
      <c r="C74" s="113" t="s">
        <v>365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366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199</v>
      </c>
      <c r="B76" s="113" t="s">
        <v>237</v>
      </c>
      <c r="C76" s="113" t="s">
        <v>365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367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238</v>
      </c>
      <c r="C78" s="113" t="s">
        <v>365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367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204</v>
      </c>
      <c r="B80" s="113" t="s">
        <v>102</v>
      </c>
      <c r="C80" s="113" t="s">
        <v>365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366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202</v>
      </c>
      <c r="B82" s="113" t="s">
        <v>102</v>
      </c>
      <c r="C82" s="113" t="s">
        <v>365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366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203</v>
      </c>
      <c r="B84" s="113" t="s">
        <v>102</v>
      </c>
      <c r="C84" s="113" t="s">
        <v>365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366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226</v>
      </c>
      <c r="B86" s="113" t="s">
        <v>105</v>
      </c>
      <c r="C86" s="113" t="s">
        <v>365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366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367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227</v>
      </c>
      <c r="B89" s="113" t="s">
        <v>105</v>
      </c>
      <c r="C89" s="113" t="s">
        <v>365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366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367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225</v>
      </c>
      <c r="B92" s="113" t="s">
        <v>105</v>
      </c>
      <c r="C92" s="113" t="s">
        <v>365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366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367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224</v>
      </c>
      <c r="B95" s="113" t="s">
        <v>105</v>
      </c>
      <c r="C95" s="113" t="s">
        <v>365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366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367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223</v>
      </c>
      <c r="B98" s="113" t="s">
        <v>105</v>
      </c>
      <c r="C98" s="113" t="s">
        <v>365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366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367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229</v>
      </c>
      <c r="B101" s="113" t="s">
        <v>105</v>
      </c>
      <c r="C101" s="113" t="s">
        <v>365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366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367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106</v>
      </c>
      <c r="C104" s="113" t="s">
        <v>365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366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367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220</v>
      </c>
      <c r="B107" s="113" t="s">
        <v>105</v>
      </c>
      <c r="C107" s="113" t="s">
        <v>365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366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228</v>
      </c>
      <c r="B109" s="113" t="s">
        <v>105</v>
      </c>
      <c r="C109" s="113" t="s">
        <v>365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366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213</v>
      </c>
      <c r="B111" s="113" t="s">
        <v>100</v>
      </c>
      <c r="C111" s="113" t="s">
        <v>365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366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363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189</v>
      </c>
      <c r="B115" s="103" t="s">
        <v>364</v>
      </c>
      <c r="C115" s="120" t="s">
        <v>11</v>
      </c>
      <c r="D115" s="4" t="s">
        <v>127</v>
      </c>
      <c r="E115" s="4" t="s">
        <v>114</v>
      </c>
      <c r="F115" s="4" t="s">
        <v>115</v>
      </c>
      <c r="G115" s="4" t="s">
        <v>116</v>
      </c>
      <c r="H115" s="4" t="s">
        <v>117</v>
      </c>
    </row>
    <row r="116" spans="1:8" x14ac:dyDescent="0.25">
      <c r="A116" s="113" t="s">
        <v>222</v>
      </c>
      <c r="B116" s="113" t="s">
        <v>105</v>
      </c>
      <c r="C116" s="113" t="s">
        <v>365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366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367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221</v>
      </c>
      <c r="B119" s="113" t="s">
        <v>237</v>
      </c>
      <c r="C119" s="113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238</v>
      </c>
      <c r="C121" s="113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214</v>
      </c>
      <c r="B123" s="113" t="s">
        <v>237</v>
      </c>
      <c r="C123" s="113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367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238</v>
      </c>
      <c r="C125" s="113" t="s">
        <v>365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367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234</v>
      </c>
      <c r="B127" s="113" t="s">
        <v>237</v>
      </c>
      <c r="C127" s="113" t="s">
        <v>365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367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238</v>
      </c>
      <c r="C129" s="113" t="s">
        <v>365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367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368</v>
      </c>
      <c r="C131" s="113" t="s">
        <v>365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366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199</v>
      </c>
      <c r="B133" s="113" t="s">
        <v>237</v>
      </c>
      <c r="C133" s="113" t="s">
        <v>365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367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238</v>
      </c>
      <c r="C135" s="113" t="s">
        <v>365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367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204</v>
      </c>
      <c r="B137" s="113" t="s">
        <v>102</v>
      </c>
      <c r="C137" s="113" t="s">
        <v>365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366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202</v>
      </c>
      <c r="B139" s="113" t="s">
        <v>102</v>
      </c>
      <c r="C139" s="113" t="s">
        <v>365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366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203</v>
      </c>
      <c r="B141" s="113" t="s">
        <v>102</v>
      </c>
      <c r="C141" s="113" t="s">
        <v>365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366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226</v>
      </c>
      <c r="B143" s="113" t="s">
        <v>105</v>
      </c>
      <c r="C143" s="113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366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227</v>
      </c>
      <c r="B146" s="113" t="s">
        <v>105</v>
      </c>
      <c r="C146" s="113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225</v>
      </c>
      <c r="B149" s="113" t="s">
        <v>105</v>
      </c>
      <c r="C149" s="113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224</v>
      </c>
      <c r="B152" s="113" t="s">
        <v>105</v>
      </c>
      <c r="C152" s="113" t="s">
        <v>365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366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367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223</v>
      </c>
      <c r="B155" s="113" t="s">
        <v>105</v>
      </c>
      <c r="C155" s="113" t="s">
        <v>365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229</v>
      </c>
      <c r="B158" s="113" t="s">
        <v>105</v>
      </c>
      <c r="C158" s="113" t="s">
        <v>365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366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367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106</v>
      </c>
      <c r="C161" s="113" t="s">
        <v>365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366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367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220</v>
      </c>
      <c r="B164" s="113" t="s">
        <v>105</v>
      </c>
      <c r="C164" s="113" t="s">
        <v>365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366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228</v>
      </c>
      <c r="B166" s="113" t="s">
        <v>105</v>
      </c>
      <c r="C166" s="113" t="s">
        <v>365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366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213</v>
      </c>
      <c r="B168" s="113" t="s">
        <v>100</v>
      </c>
      <c r="C168" s="113" t="s">
        <v>365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366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ZX7h9J6UGaQpbsP/jc/PppX2Xj9yVW0o7RVR6RN1cp80l1LkFODjt3laXTxL/n91H9+vEYIq+NLeHaOHiXlR6Q==" saltValue="bCefak0Q9T1BFpP+HlnsO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244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244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244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9EBPY3GAVTprE41JP6YIzbYKCObqYlrxC42lNTFnLCexGZeHrOJrYW2Iu0cpUvYpf7sGWgl7M4y2k6HVwX138A==" saltValue="TIPgg7ndvsCOsDtIzdCHI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2025-07-30T03:48:50Z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