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BF7372C-5830-496B-A88F-71CBAB12685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7" i="2"/>
  <c r="A34" i="2"/>
  <c r="A31" i="2"/>
  <c r="A24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5" i="2" l="1"/>
  <c r="A35" i="2"/>
  <c r="A36" i="2"/>
  <c r="A19" i="2"/>
  <c r="A22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<sst xmlns="http://schemas.openxmlformats.org/spreadsheetml/2006/main" count="2169" uniqueCount="369">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</sst>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3234401</v>
      </c>
    </row>
    <row r="8" spans="1:3" ht="15" customHeight="1" x14ac:dyDescent="0.25">
      <c r="B8" s="5" t="s">
        <v>37</v>
      </c>
      <c r="C8" s="44">
        <v>0.54400000000000004</v>
      </c>
    </row>
    <row r="9" spans="1:3" ht="15" customHeight="1" x14ac:dyDescent="0.25">
      <c r="B9" s="5" t="s">
        <v>38</v>
      </c>
      <c r="C9" s="45">
        <v>0.83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9.5700000000000007E-2</v>
      </c>
    </row>
    <row r="24" spans="1:3" ht="15" customHeight="1" x14ac:dyDescent="0.25">
      <c r="B24" s="15" t="s">
        <v>51</v>
      </c>
      <c r="C24" s="45">
        <v>0.50319999999999998</v>
      </c>
    </row>
    <row r="25" spans="1:3" ht="15" customHeight="1" x14ac:dyDescent="0.25">
      <c r="B25" s="15" t="s">
        <v>52</v>
      </c>
      <c r="C25" s="45">
        <v>0.32229999999999998</v>
      </c>
    </row>
    <row r="26" spans="1:3" ht="15" customHeight="1" x14ac:dyDescent="0.25">
      <c r="B26" s="15" t="s">
        <v>53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0.25571203379649299</v>
      </c>
    </row>
    <row r="30" spans="1:3" ht="14.25" customHeight="1" x14ac:dyDescent="0.25">
      <c r="B30" s="25" t="s">
        <v>56</v>
      </c>
      <c r="C30" s="97">
        <v>3.3819814705800401E-2</v>
      </c>
    </row>
    <row r="31" spans="1:3" ht="14.25" customHeight="1" x14ac:dyDescent="0.25">
      <c r="B31" s="25" t="s">
        <v>57</v>
      </c>
      <c r="C31" s="97">
        <v>7.04524288623571E-2</v>
      </c>
    </row>
    <row r="32" spans="1:3" ht="14.25" customHeight="1" x14ac:dyDescent="0.25">
      <c r="B32" s="25" t="s">
        <v>58</v>
      </c>
      <c r="C32" s="97">
        <v>0.64001572263535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24.560659999999999</v>
      </c>
    </row>
    <row r="38" spans="1:5" ht="15" customHeight="1" x14ac:dyDescent="0.25">
      <c r="B38" s="11" t="s">
        <v>63</v>
      </c>
      <c r="C38" s="43">
        <v>40.190779999999997</v>
      </c>
      <c r="D38" s="12"/>
      <c r="E38" s="13"/>
    </row>
    <row r="39" spans="1:5" ht="15" customHeight="1" x14ac:dyDescent="0.25">
      <c r="B39" s="11" t="s">
        <v>64</v>
      </c>
      <c r="C39" s="43">
        <v>57.691830000000003</v>
      </c>
      <c r="D39" s="12"/>
      <c r="E39" s="12"/>
    </row>
    <row r="40" spans="1:5" ht="15" customHeight="1" x14ac:dyDescent="0.25">
      <c r="B40" s="11" t="s">
        <v>65</v>
      </c>
      <c r="C40" s="98">
        <v>1.35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6.5190999999999999E-3</v>
      </c>
      <c r="D45" s="12"/>
    </row>
    <row r="46" spans="1:5" ht="15.75" customHeight="1" x14ac:dyDescent="0.25">
      <c r="B46" s="11" t="s">
        <v>70</v>
      </c>
      <c r="C46" s="45">
        <v>7.0119699999999993E-2</v>
      </c>
      <c r="D46" s="12"/>
    </row>
    <row r="47" spans="1:5" ht="15.75" customHeight="1" x14ac:dyDescent="0.25">
      <c r="B47" s="11" t="s">
        <v>71</v>
      </c>
      <c r="C47" s="45">
        <v>0.16534509999999999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2.7040000000000002</v>
      </c>
      <c r="D51" s="12"/>
    </row>
    <row r="52" spans="1:4" ht="15" customHeight="1" x14ac:dyDescent="0.25">
      <c r="B52" s="11" t="s">
        <v>75</v>
      </c>
      <c r="C52" s="98">
        <v>2.7040000000000002</v>
      </c>
    </row>
    <row r="53" spans="1:4" ht="15.75" customHeight="1" x14ac:dyDescent="0.25">
      <c r="B53" s="11" t="s">
        <v>76</v>
      </c>
      <c r="C53" s="98">
        <v>7.7220000000000004</v>
      </c>
    </row>
    <row r="54" spans="1:4" ht="15.75" customHeight="1" x14ac:dyDescent="0.25">
      <c r="B54" s="11" t="s">
        <v>77</v>
      </c>
      <c r="C54" s="98">
        <v>7.2539999999999996</v>
      </c>
    </row>
    <row r="55" spans="1:4" ht="15.75" customHeight="1" x14ac:dyDescent="0.25">
      <c r="B55" s="11" t="s">
        <v>78</v>
      </c>
      <c r="C55" s="98">
        <v>2.3919999999999999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0.50240399999999996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0.1124687551</v>
      </c>
    </row>
    <row r="63" spans="1:4" ht="15.75" customHeight="1" x14ac:dyDescent="0.3">
      <c r="A63" s="4"/>
    </row>
  </sheetData>
  <sheetProtection algorithmName="SHA-512" hashValue="HX07GHTNtLGapJE3UiencKUzgLQjcThiYacXI6I8M9W8qc9JIvM3IowXg+VHwtBaD5/6D/fSTNtmh7VVMN4FKQ==" saltValue="Zubjrf7k5JSyCD5wL6Fa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697518</v>
      </c>
      <c r="C2" s="49">
        <v>1205367</v>
      </c>
      <c r="D2" s="49">
        <v>1876721</v>
      </c>
      <c r="E2" s="49">
        <v>1371379</v>
      </c>
      <c r="F2" s="49">
        <v>940599.5</v>
      </c>
      <c r="G2" s="17">
        <f t="shared" ref="G2:G13" si="0">C2+D2+E2+F2</f>
        <v>5394066.5</v>
      </c>
      <c r="H2" s="17">
        <f t="shared" ref="H2:H13" si="1">(B2 + stillbirth*B2/(1000-stillbirth))/(1-abortion)</f>
        <v>804078.46736807865</v>
      </c>
      <c r="I2" s="17">
        <f t="shared" ref="I2:I13" si="2">G2-H2</f>
        <v>4589988.0326319216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708934</v>
      </c>
      <c r="C3" s="50">
        <v>1240877</v>
      </c>
      <c r="D3" s="50">
        <v>1936420</v>
      </c>
      <c r="E3" s="50">
        <v>1414164</v>
      </c>
      <c r="F3" s="50">
        <v>979882.00000000012</v>
      </c>
      <c r="G3" s="17">
        <f t="shared" si="0"/>
        <v>5571343</v>
      </c>
      <c r="H3" s="17">
        <f t="shared" si="1"/>
        <v>817238.50020375312</v>
      </c>
      <c r="I3" s="17">
        <f t="shared" si="2"/>
        <v>4754104.4997962471</v>
      </c>
    </row>
    <row r="4" spans="1:9" ht="15.75" customHeight="1" x14ac:dyDescent="0.25">
      <c r="A4" s="5">
        <f t="shared" si="3"/>
        <v>2026</v>
      </c>
      <c r="B4" s="49">
        <v>721060</v>
      </c>
      <c r="C4" s="50">
        <v>1273193.5</v>
      </c>
      <c r="D4" s="50">
        <v>1999374.5</v>
      </c>
      <c r="E4" s="50">
        <v>1457775.5</v>
      </c>
      <c r="F4" s="50">
        <v>1019339</v>
      </c>
      <c r="G4" s="17">
        <f t="shared" si="0"/>
        <v>5749682.5</v>
      </c>
      <c r="H4" s="17">
        <f t="shared" si="1"/>
        <v>831217.00039343338</v>
      </c>
      <c r="I4" s="17">
        <f t="shared" si="2"/>
        <v>4918465.4996065665</v>
      </c>
    </row>
    <row r="5" spans="1:9" ht="15.75" customHeight="1" x14ac:dyDescent="0.25">
      <c r="A5" s="5">
        <f t="shared" si="3"/>
        <v>2027</v>
      </c>
      <c r="B5" s="49">
        <v>732320</v>
      </c>
      <c r="C5" s="50">
        <v>1302392.5</v>
      </c>
      <c r="D5" s="50">
        <v>2064803.5</v>
      </c>
      <c r="E5" s="50">
        <v>1502422</v>
      </c>
      <c r="F5" s="50">
        <v>1058988</v>
      </c>
      <c r="G5" s="17">
        <f t="shared" si="0"/>
        <v>5928606</v>
      </c>
      <c r="H5" s="17">
        <f t="shared" si="1"/>
        <v>844197.2009654108</v>
      </c>
      <c r="I5" s="17">
        <f t="shared" si="2"/>
        <v>5084408.799034589</v>
      </c>
    </row>
    <row r="6" spans="1:9" ht="15.75" customHeight="1" x14ac:dyDescent="0.25">
      <c r="A6" s="5">
        <f t="shared" si="3"/>
        <v>2028</v>
      </c>
      <c r="B6" s="49">
        <v>740015</v>
      </c>
      <c r="C6" s="50">
        <v>1328640</v>
      </c>
      <c r="D6" s="50">
        <v>2131190</v>
      </c>
      <c r="E6" s="50">
        <v>1548727.5</v>
      </c>
      <c r="F6" s="50">
        <v>1098644.5</v>
      </c>
      <c r="G6" s="17">
        <f t="shared" si="0"/>
        <v>6107202</v>
      </c>
      <c r="H6" s="17">
        <f t="shared" si="1"/>
        <v>853067.77320354281</v>
      </c>
      <c r="I6" s="17">
        <f t="shared" si="2"/>
        <v>5254134.2267964575</v>
      </c>
    </row>
    <row r="7" spans="1:9" ht="15.75" customHeight="1" x14ac:dyDescent="0.25">
      <c r="A7" s="5">
        <f t="shared" si="3"/>
        <v>2029</v>
      </c>
      <c r="B7" s="49">
        <v>751998</v>
      </c>
      <c r="C7" s="50">
        <v>1351686</v>
      </c>
      <c r="D7" s="50">
        <v>2197879.5</v>
      </c>
      <c r="E7" s="50">
        <v>1596789</v>
      </c>
      <c r="F7" s="50">
        <v>1138666.5</v>
      </c>
      <c r="G7" s="17">
        <f t="shared" si="0"/>
        <v>6285021</v>
      </c>
      <c r="H7" s="17">
        <f t="shared" si="1"/>
        <v>866881.4271515006</v>
      </c>
      <c r="I7" s="17">
        <f t="shared" si="2"/>
        <v>5418139.5728484998</v>
      </c>
    </row>
    <row r="8" spans="1:9" ht="15.75" customHeight="1" x14ac:dyDescent="0.25">
      <c r="A8" s="5">
        <f t="shared" si="3"/>
        <v>2030</v>
      </c>
      <c r="B8" s="49">
        <v>761909</v>
      </c>
      <c r="C8" s="50">
        <v>1372085.5</v>
      </c>
      <c r="D8" s="50">
        <v>2264786.5</v>
      </c>
      <c r="E8" s="50">
        <v>1646270.5</v>
      </c>
      <c r="F8" s="50">
        <v>1179329.5</v>
      </c>
      <c r="G8" s="17">
        <f t="shared" si="0"/>
        <v>6462472</v>
      </c>
      <c r="H8" s="17">
        <f t="shared" si="1"/>
        <v>878306.53975086741</v>
      </c>
      <c r="I8" s="17">
        <f t="shared" si="2"/>
        <v>5584165.4602491325</v>
      </c>
    </row>
    <row r="9" spans="1:9" ht="15.75" customHeight="1" x14ac:dyDescent="0.25">
      <c r="A9" s="5">
        <f t="shared" si="3"/>
        <v>2031</v>
      </c>
      <c r="B9" s="49">
        <v>771640</v>
      </c>
      <c r="C9" s="50">
        <v>1390872.5</v>
      </c>
      <c r="D9" s="50">
        <v>2331783</v>
      </c>
      <c r="E9" s="50">
        <v>1696890</v>
      </c>
      <c r="F9" s="50">
        <v>1220279</v>
      </c>
      <c r="G9" s="17">
        <f t="shared" si="0"/>
        <v>6639824.5</v>
      </c>
      <c r="H9" s="17">
        <f t="shared" si="1"/>
        <v>889524.15358442976</v>
      </c>
      <c r="I9" s="17">
        <f t="shared" si="2"/>
        <v>5750300.34641557</v>
      </c>
    </row>
    <row r="10" spans="1:9" ht="15.75" customHeight="1" x14ac:dyDescent="0.25">
      <c r="A10" s="5">
        <f t="shared" si="3"/>
        <v>2032</v>
      </c>
      <c r="B10" s="49">
        <v>779405</v>
      </c>
      <c r="C10" s="50">
        <v>1408983</v>
      </c>
      <c r="D10" s="50">
        <v>2397684.5</v>
      </c>
      <c r="E10" s="50">
        <v>1748798.5</v>
      </c>
      <c r="F10" s="50">
        <v>1260696</v>
      </c>
      <c r="G10" s="17">
        <f t="shared" si="0"/>
        <v>6816162</v>
      </c>
      <c r="H10" s="17">
        <f t="shared" si="1"/>
        <v>898475.41978704114</v>
      </c>
      <c r="I10" s="17">
        <f t="shared" si="2"/>
        <v>5917686.5802129591</v>
      </c>
    </row>
    <row r="11" spans="1:9" ht="15.75" customHeight="1" x14ac:dyDescent="0.25">
      <c r="A11" s="5">
        <f t="shared" si="3"/>
        <v>2033</v>
      </c>
      <c r="B11" s="49">
        <v>786522</v>
      </c>
      <c r="C11" s="50">
        <v>1428060</v>
      </c>
      <c r="D11" s="50">
        <v>2461095.5</v>
      </c>
      <c r="E11" s="50">
        <v>1802191</v>
      </c>
      <c r="F11" s="50">
        <v>1300859</v>
      </c>
      <c r="G11" s="17">
        <f t="shared" si="0"/>
        <v>6992205.5</v>
      </c>
      <c r="H11" s="17">
        <f t="shared" si="1"/>
        <v>906679.69043275726</v>
      </c>
      <c r="I11" s="17">
        <f t="shared" si="2"/>
        <v>6085525.8095672429</v>
      </c>
    </row>
    <row r="12" spans="1:9" ht="15.75" customHeight="1" x14ac:dyDescent="0.25">
      <c r="A12" s="5">
        <f t="shared" si="3"/>
        <v>2034</v>
      </c>
      <c r="B12" s="49">
        <v>794523</v>
      </c>
      <c r="C12" s="50">
        <v>1449438.5</v>
      </c>
      <c r="D12" s="50">
        <v>2520444</v>
      </c>
      <c r="E12" s="50">
        <v>1857475.5</v>
      </c>
      <c r="F12" s="50">
        <v>1341751</v>
      </c>
      <c r="G12" s="17">
        <f t="shared" si="0"/>
        <v>7169109</v>
      </c>
      <c r="H12" s="17">
        <f t="shared" si="1"/>
        <v>915903.01057275664</v>
      </c>
      <c r="I12" s="17">
        <f t="shared" si="2"/>
        <v>6253205.9894272434</v>
      </c>
    </row>
    <row r="13" spans="1:9" ht="15.75" customHeight="1" x14ac:dyDescent="0.25">
      <c r="A13" s="5">
        <f t="shared" si="3"/>
        <v>2035</v>
      </c>
      <c r="B13" s="49">
        <v>802366</v>
      </c>
      <c r="C13" s="50">
        <v>1472354.5</v>
      </c>
      <c r="D13" s="50">
        <v>2574791.5</v>
      </c>
      <c r="E13" s="50">
        <v>1915645.5</v>
      </c>
      <c r="F13" s="50">
        <v>1383505.5</v>
      </c>
      <c r="G13" s="17">
        <f t="shared" si="0"/>
        <v>7346297</v>
      </c>
      <c r="H13" s="17">
        <f t="shared" si="1"/>
        <v>924944.19290721649</v>
      </c>
      <c r="I13" s="17">
        <f t="shared" si="2"/>
        <v>6421352.807092784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iLX5NKa0uyPCsIPwCUld1DXTIvzm6qDyppiMWl2T0DW4JWdeszO+fg7LmGWD+LOM9MfYSJmw72xcjSHjuAPBQ==" saltValue="VycAPl+9woI3Amf69572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9.0967995857898585E-3</v>
      </c>
    </row>
    <row r="4" spans="1:8" ht="15.75" customHeight="1" x14ac:dyDescent="0.25">
      <c r="B4" s="19" t="s">
        <v>97</v>
      </c>
      <c r="C4" s="99">
        <v>6.4092908854742933E-2</v>
      </c>
    </row>
    <row r="5" spans="1:8" ht="15.75" customHeight="1" x14ac:dyDescent="0.25">
      <c r="B5" s="19" t="s">
        <v>98</v>
      </c>
      <c r="C5" s="99">
        <v>9.1282258767163948E-2</v>
      </c>
    </row>
    <row r="6" spans="1:8" ht="15.75" customHeight="1" x14ac:dyDescent="0.25">
      <c r="B6" s="19" t="s">
        <v>99</v>
      </c>
      <c r="C6" s="99">
        <v>0.25451199617035808</v>
      </c>
    </row>
    <row r="7" spans="1:8" ht="15.75" customHeight="1" x14ac:dyDescent="0.25">
      <c r="B7" s="19" t="s">
        <v>100</v>
      </c>
      <c r="C7" s="99">
        <v>0.39199030171442639</v>
      </c>
    </row>
    <row r="8" spans="1:8" ht="15.75" customHeight="1" x14ac:dyDescent="0.25">
      <c r="B8" s="19" t="s">
        <v>101</v>
      </c>
      <c r="C8" s="99">
        <v>1.5420714712771921E-3</v>
      </c>
    </row>
    <row r="9" spans="1:8" ht="15.75" customHeight="1" x14ac:dyDescent="0.25">
      <c r="B9" s="19" t="s">
        <v>102</v>
      </c>
      <c r="C9" s="99">
        <v>6.391594819168625E-2</v>
      </c>
    </row>
    <row r="10" spans="1:8" ht="15.75" customHeight="1" x14ac:dyDescent="0.25">
      <c r="B10" s="19" t="s">
        <v>103</v>
      </c>
      <c r="C10" s="99">
        <v>0.1235677152445553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106</v>
      </c>
      <c r="C15" s="99">
        <v>0.1825969991650476</v>
      </c>
      <c r="D15" s="99">
        <v>0.1825969991650476</v>
      </c>
      <c r="E15" s="99">
        <v>0.1825969991650476</v>
      </c>
      <c r="F15" s="99">
        <v>0.1825969991650476</v>
      </c>
    </row>
    <row r="16" spans="1:8" ht="15.75" customHeight="1" x14ac:dyDescent="0.25">
      <c r="B16" s="19" t="s">
        <v>107</v>
      </c>
      <c r="C16" s="99">
        <v>1.688769665810308E-2</v>
      </c>
      <c r="D16" s="99">
        <v>1.688769665810308E-2</v>
      </c>
      <c r="E16" s="99">
        <v>1.688769665810308E-2</v>
      </c>
      <c r="F16" s="99">
        <v>1.688769665810308E-2</v>
      </c>
    </row>
    <row r="17" spans="1:8" ht="15.75" customHeight="1" x14ac:dyDescent="0.25">
      <c r="B17" s="19" t="s">
        <v>108</v>
      </c>
      <c r="C17" s="99">
        <v>1.7773095567990671E-3</v>
      </c>
      <c r="D17" s="99">
        <v>1.7773095567990671E-3</v>
      </c>
      <c r="E17" s="99">
        <v>1.7773095567990671E-3</v>
      </c>
      <c r="F17" s="99">
        <v>1.7773095567990671E-3</v>
      </c>
    </row>
    <row r="18" spans="1:8" ht="15.75" customHeight="1" x14ac:dyDescent="0.25">
      <c r="B18" s="19" t="s">
        <v>109</v>
      </c>
      <c r="C18" s="99">
        <v>0.1345228179711539</v>
      </c>
      <c r="D18" s="99">
        <v>0.1345228179711539</v>
      </c>
      <c r="E18" s="99">
        <v>0.1345228179711539</v>
      </c>
      <c r="F18" s="99">
        <v>0.1345228179711539</v>
      </c>
    </row>
    <row r="19" spans="1:8" ht="15.75" customHeight="1" x14ac:dyDescent="0.25">
      <c r="B19" s="19" t="s">
        <v>110</v>
      </c>
      <c r="C19" s="99">
        <v>2.3061119344817509E-2</v>
      </c>
      <c r="D19" s="99">
        <v>2.3061119344817509E-2</v>
      </c>
      <c r="E19" s="99">
        <v>2.3061119344817509E-2</v>
      </c>
      <c r="F19" s="99">
        <v>2.3061119344817509E-2</v>
      </c>
    </row>
    <row r="20" spans="1:8" ht="15.75" customHeight="1" x14ac:dyDescent="0.25">
      <c r="B20" s="19" t="s">
        <v>111</v>
      </c>
      <c r="C20" s="99">
        <v>0.23695712210512701</v>
      </c>
      <c r="D20" s="99">
        <v>0.23695712210512701</v>
      </c>
      <c r="E20" s="99">
        <v>0.23695712210512701</v>
      </c>
      <c r="F20" s="99">
        <v>0.23695712210512701</v>
      </c>
    </row>
    <row r="21" spans="1:8" ht="15.75" customHeight="1" x14ac:dyDescent="0.25">
      <c r="B21" s="19" t="s">
        <v>112</v>
      </c>
      <c r="C21" s="99">
        <v>0.1034812689154867</v>
      </c>
      <c r="D21" s="99">
        <v>0.1034812689154867</v>
      </c>
      <c r="E21" s="99">
        <v>0.1034812689154867</v>
      </c>
      <c r="F21" s="99">
        <v>0.1034812689154867</v>
      </c>
    </row>
    <row r="22" spans="1:8" ht="15.75" customHeight="1" x14ac:dyDescent="0.25">
      <c r="B22" s="19" t="s">
        <v>113</v>
      </c>
      <c r="C22" s="99">
        <v>0.1607547585958877</v>
      </c>
      <c r="D22" s="99">
        <v>0.1607547585958877</v>
      </c>
      <c r="E22" s="99">
        <v>0.1607547585958877</v>
      </c>
      <c r="F22" s="99">
        <v>0.1607547585958877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8.1868175000000001E-2</v>
      </c>
    </row>
    <row r="27" spans="1:8" ht="15.75" customHeight="1" x14ac:dyDescent="0.25">
      <c r="B27" s="19" t="s">
        <v>120</v>
      </c>
      <c r="C27" s="99">
        <v>8.1904539999999998E-3</v>
      </c>
    </row>
    <row r="28" spans="1:8" ht="15.75" customHeight="1" x14ac:dyDescent="0.25">
      <c r="B28" s="19" t="s">
        <v>121</v>
      </c>
      <c r="C28" s="99">
        <v>0.143739488</v>
      </c>
    </row>
    <row r="29" spans="1:8" ht="15.75" customHeight="1" x14ac:dyDescent="0.25">
      <c r="B29" s="19" t="s">
        <v>122</v>
      </c>
      <c r="C29" s="99">
        <v>0.15393818500000001</v>
      </c>
    </row>
    <row r="30" spans="1:8" ht="15.75" customHeight="1" x14ac:dyDescent="0.25">
      <c r="B30" s="19" t="s">
        <v>2</v>
      </c>
      <c r="C30" s="99">
        <v>9.7379692000000004E-2</v>
      </c>
    </row>
    <row r="31" spans="1:8" ht="15.75" customHeight="1" x14ac:dyDescent="0.25">
      <c r="B31" s="19" t="s">
        <v>123</v>
      </c>
      <c r="C31" s="99">
        <v>9.8883503999999997E-2</v>
      </c>
    </row>
    <row r="32" spans="1:8" ht="15.75" customHeight="1" x14ac:dyDescent="0.25">
      <c r="B32" s="19" t="s">
        <v>124</v>
      </c>
      <c r="C32" s="99">
        <v>1.7031174E-2</v>
      </c>
    </row>
    <row r="33" spans="2:3" ht="15.75" customHeight="1" x14ac:dyDescent="0.25">
      <c r="B33" s="19" t="s">
        <v>125</v>
      </c>
      <c r="C33" s="99">
        <v>7.6512073999999999E-2</v>
      </c>
    </row>
    <row r="34" spans="2:3" ht="15.75" customHeight="1" x14ac:dyDescent="0.25">
      <c r="B34" s="19" t="s">
        <v>126</v>
      </c>
      <c r="C34" s="99">
        <v>0.32245725400000003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7miDWiHAQfDLJdxG7JXMU+A2Ew1Dh4pgzsY/jSCZAnrppj9VksJn//XbTMzUwxzCNbgZ+Eg3gL/is4PpfmdJrA==" saltValue="UHjqAIzuRA1ZjUXPxc8y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132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133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137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138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MBEASk43FgeAPnQDqC8htEt0whFb6D8UmBBpOtuqqWhb8UICqJQ4nH3V9zDz2eYSJRMjx1M0rIY+CMbiHnR/Q==" saltValue="oRTk8KT7Qp5WPhLbNw61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16FQVjRqPFYsAM0C09BJWf1lKFdy3oZ7NtsSIrHSqR72s4zm2AINS0RGudv8fgaYsRpc+tWokQX601j7N8lUhw==" saltValue="lcuYfWzAr9mk+W7Zz3C1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9V1Mna/elvwElRDg0R7LhIYtZ3CLOEl+8S6WG3N5n0v2X91VOowwWK6ioBL47MKm/yCQkvbvUBX3bHtu2lxRA==" saltValue="EgBxQmTsca3lC4pcqv6Z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1456.9015701544499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0.33787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0.52536000000000005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1.0857408838744073E-2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93725.690520000004</v>
      </c>
      <c r="C22" s="107">
        <v>93075.482359999995</v>
      </c>
      <c r="D22" s="107">
        <v>92685.731390000001</v>
      </c>
      <c r="E22" s="107">
        <v>91944.631710000001</v>
      </c>
      <c r="F22" s="107">
        <v>90885.834950000004</v>
      </c>
      <c r="G22" s="107">
        <v>89549.660919999995</v>
      </c>
      <c r="H22" s="107">
        <v>87692.624419999993</v>
      </c>
      <c r="I22" s="107">
        <v>85113.098379999996</v>
      </c>
      <c r="J22" s="107">
        <v>81570.902390000003</v>
      </c>
      <c r="K22" s="107">
        <v>77104.123989999993</v>
      </c>
      <c r="L22" s="107">
        <v>71433.730750000002</v>
      </c>
      <c r="M22" s="107">
        <v>64670.832759999998</v>
      </c>
      <c r="N22" s="107">
        <v>56426.834710000003</v>
      </c>
      <c r="O22" s="107">
        <v>46824.934529999999</v>
      </c>
    </row>
  </sheetData>
  <sheetProtection algorithmName="SHA-512" hashValue="VwRAe8DGTF1k3us2XdzTxH97aDL9JI32kVG9920y5qmP65VvnZwYs6BCk7jtSDbCtZq19MJFVypNqh62ajLSLg==" saltValue="lNmDautDz/S2WcS9/K5E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sPcCR1PFvapWerLmBQxz/66HRjK3DH1eeOzTuAq7SDRuhMJQYtZtBvNLMNme5ro07p7SB1jqoThZKG/+Wt9LA==" saltValue="pwP8Q0dYxlQOtPdtqriO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AV+32goLXVgKSvCrR6j3+24tL0gqu9gZN1sRm2mgPfehQcW11QNDKtN2PjC8D7zCODycRYL051eBUe/1/MCwQ==" saltValue="S4EXHw1hpKojzF8xh8wn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6.41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0.20568905243790248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0.72482939999999996</v>
      </c>
      <c r="C10" s="96">
        <v>0.95</v>
      </c>
      <c r="D10" s="56">
        <v>14.26897757170995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14.26897757170995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14.26897757170995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14.26897757170995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0.79139999999999999</v>
      </c>
      <c r="C14" s="96">
        <v>0.95</v>
      </c>
      <c r="D14" s="56">
        <v>2.7125243790248388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14.26897757170995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0.80843429999999994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0.46</v>
      </c>
      <c r="C18" s="96">
        <v>0.95</v>
      </c>
      <c r="D18" s="56">
        <v>6.4149273229070838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0.64176169999999999</v>
      </c>
      <c r="C19" s="96">
        <v>0.95</v>
      </c>
      <c r="D19" s="56">
        <v>3.0133371170447369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6.41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0.71545519999999996</v>
      </c>
      <c r="C23" s="96">
        <v>0.95</v>
      </c>
      <c r="D23" s="56">
        <v>4.7084773800389677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0.59945256852146001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5.5E-2</v>
      </c>
      <c r="C26" s="96">
        <v>0.95</v>
      </c>
      <c r="D26" s="56">
        <v>4.6280036798528057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0.66792069999999992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0.23221729999999999</v>
      </c>
      <c r="C29" s="96">
        <v>0.95</v>
      </c>
      <c r="D29" s="56">
        <v>112.4872415972974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154.26678932842685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0.67400000000000004</v>
      </c>
      <c r="C32" s="96">
        <v>0.95</v>
      </c>
      <c r="D32" s="56">
        <v>1.208423183072677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0.18154609999999999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0.73697869999999999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5.3560000000000001E-4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0.3439854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0.33500000000000002</v>
      </c>
      <c r="C38" s="96">
        <v>0.95</v>
      </c>
      <c r="D38" s="56">
        <v>1.1570009199632014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hf20gNQ8R4D4McfSledjSAJPl2KjfKWwTSvurp3tnMVkmnBSg4KGRQKLlwZ7MK/ncmCufCoG75sAoGiCPVbXbg==" saltValue="N5bdBYJYpHry8RewEKVz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Jf5ZML/lWbnCAtCMEE9L9BWN/7St9SQEqF3YLiLTDAVjIrn072pihLHHpaaBtRnvlZE4NPdGYB8xn7NGoshzw==" saltValue="m6OUiWchBxsma4o1iKg9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YjDYxT7irCeSNEkEXRtZ+d7TRvaKLioMCpiEuwe4fs0CsoIGsgQo78bBcyX7JbMSR8WgwInZ2RhVQk5/cqmlw==" saltValue="Y6009f7GtXvYO0y62J7f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2.7040000000000002</v>
      </c>
      <c r="C2" s="21">
        <f>'Données pop de l''année de ref'!C52</f>
        <v>2.7040000000000002</v>
      </c>
      <c r="D2" s="21">
        <f>'Données pop de l''année de ref'!C53</f>
        <v>7.7220000000000004</v>
      </c>
      <c r="E2" s="21">
        <f>'Données pop de l''année de ref'!C54</f>
        <v>7.2539999999999996</v>
      </c>
      <c r="F2" s="21">
        <f>'Données pop de l''année de ref'!C55</f>
        <v>2.3919999999999999</v>
      </c>
    </row>
    <row r="3" spans="1:6" ht="15.75" customHeight="1" x14ac:dyDescent="0.25">
      <c r="A3" s="3" t="s">
        <v>238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237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vVyno5jPAquSJ6CuZHhUTBucJhJVo1+AtffEJKIFT7uoSGlGMjBJBuIK05F9o9xMSfreDvQnmOzhuBMjSWf3mw==" saltValue="d1giPrj17AV2jOGt1sTq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jQd0HAMnk0b0VVZJnICg25Dra9mIAfjSYqN+gTSwD9L9rE7LM0nSKRnfoA8/SteQkJ9f5JpM3Y1dTuGLHNzDQ==" saltValue="ZvZqkhVQXT+jMbnfR6x8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XuH+3MFHAIT0J1paImO9LsDVHKNpnktUVJrjAtHwMALorTZUDVWC0Su2mvpEaxCm2LtdWcvWblbiEOlVzZE2g==" saltValue="R/nzxTXHpIWAhfK6UF6F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5J2eupZnQCSzJOugKu3+ocbeMyrT1aHgQNSFA56TP1Iv+pD3RBJrzYNIOo8bomJ7HUvRY2TiT+rUNZURv0Gg==" saltValue="C0SJHul3qGgzSTBXgMnWH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oLq2DlmhmFSfykAUhPkCIoA/0uQZsDQk7x81j+nG8wD5qDGwWvnmbrrz+VWydcvsW0iFiKUpEzsQV27lk+ocw==" saltValue="7L/SjHNvX2OkhcG3XfMi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4N0WgH74QRoC3PNPPv4jW3eKCvhdG0m1sqA53WxAqJQVB+3owpIbZkhz7JmsG06XJE98OtBIOwysRELMc5VcGA==" saltValue="vkJBSnv7fEO2J5YAa3NP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4iq2HA7cw8/BKQNsCbgEWTMYo/r4UWI7H08KUCYSOBIKexyEmmY6dEfFrAvAOYidsS4OSEgDECDiwDMz6fA2tQ==" saltValue="Rg4Akip8cbocLFb568ck5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KVvJWTCxq/kxqXSnmLURIuI3+2xNmJKSnaZk+hPmeN699LKEM2a2Bc73bS6muEUJPrVKcY/4plHfQD/cOVnsQ==" saltValue="lx1mnGg0odX1YLchQkMM6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l2199j+iQMemHKTpL7sLk2bIHLJSuXmVC280XMxGdg1Uz4k6WFa2jwpz7uaKwNQxUilJA9g7kTY1iGN36Nt3A==" saltValue="COAQiZg+AWaAMXTYmgLc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UNdCJITM+zcW7TsRwg2l5b6IE/0XMEkBIApCKgQZyAfsmPL2mLhnkTJujndOqkUOGjivLkwsjjizi5UGUpTfg==" saltValue="b/dDFTWVUruXdRhzINUU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QVFAZ56ndAY3BRD4PV8O7vsoCUkihCEydYqAGZnh+fA6BDcBVJGiKhyPdELIo3KG3IRSs8rhjqnZv2CcEv/0A==" saltValue="kilskahDvfvhxApRn0o5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/GLHd/e3nPDX8NUBhs7RB6ytCjdCVEZO0KzrSGr3MzepZKsxBjrdGgP3r1qPqAFg82fHUw85Q2kGjF5Rh5sZQ==" saltValue="CCiLrMRiWXGDFw+kCjx1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m38OZ+x8lP6LvEl7gYbVxthwZtDYXFICzJjIqEuZ1vmP+StyhrJLs+AYKH+ChGufwPTo/qkwMn9c42XHMwT+w==" saltValue="ub9FYZoFXjtoNd5vrRLe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pPjKRjmSsWFbCyUw8upF6/rYwfpWX8j/uHMA5NR2IRnmk7rweXAhXH9niDa0oxVbskU1XIV7Ba2xjWPlZ1I/g==" saltValue="rh1H2MAoUxb2eVNBV/MM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d5Yi8yB45Xx9I76R3kE8wHM6JhKfG34e5n2YcxgW+w6cvl6Qp2pGu0Iw6oSuVol/9iDFUhQJUQItzNvmSOcJw==" saltValue="QZL3CJZiHQFADEF0eQkp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VzgTmfy4IZMXsIFVSXANN8AUP8FcRCkzZjf42Z7NgNbuRnliqQmQH6wPgtFpP4xB3bvF6N/41yHuFchyO9I9pA==" saltValue="M0u/d8+WA/S96fz27mON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