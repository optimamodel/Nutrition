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82EA8F6-8AF1-423E-8E74-68B9375065A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1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36" i="2" s="1"/>
  <c r="C33" i="1"/>
  <c r="C20" i="1"/>
  <c r="A29" i="2" l="1"/>
  <c r="A37" i="2"/>
  <c r="I12" i="2"/>
  <c r="I38" i="2"/>
  <c r="I4" i="2"/>
  <c r="A14" i="2"/>
  <c r="A38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40" i="2"/>
  <c r="A15" i="2"/>
  <c r="A23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<sst xmlns="http://schemas.openxmlformats.org/spreadsheetml/2006/main" count="2101" uniqueCount="337">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</sst>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3297990.21875</v>
      </c>
    </row>
    <row r="8" spans="1:3" ht="15" customHeight="1" x14ac:dyDescent="0.25">
      <c r="B8" s="5" t="s">
        <v>19</v>
      </c>
      <c r="C8" s="44">
        <v>0.57499999999999996</v>
      </c>
    </row>
    <row r="9" spans="1:3" ht="15" customHeight="1" x14ac:dyDescent="0.25">
      <c r="B9" s="5" t="s">
        <v>20</v>
      </c>
      <c r="C9" s="45">
        <v>0.83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9.5700000000000007E-2</v>
      </c>
    </row>
    <row r="24" spans="1:3" ht="15" customHeight="1" x14ac:dyDescent="0.25">
      <c r="B24" s="15" t="s">
        <v>33</v>
      </c>
      <c r="C24" s="45">
        <v>0.50319999999999998</v>
      </c>
    </row>
    <row r="25" spans="1:3" ht="15" customHeight="1" x14ac:dyDescent="0.25">
      <c r="B25" s="15" t="s">
        <v>34</v>
      </c>
      <c r="C25" s="45">
        <v>0.32229999999999998</v>
      </c>
    </row>
    <row r="26" spans="1:3" ht="15" customHeight="1" x14ac:dyDescent="0.25">
      <c r="B26" s="15" t="s">
        <v>35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0.25571203379649299</v>
      </c>
    </row>
    <row r="30" spans="1:3" ht="14.25" customHeight="1" x14ac:dyDescent="0.25">
      <c r="B30" s="25" t="s">
        <v>38</v>
      </c>
      <c r="C30" s="99">
        <v>3.3819814705800401E-2</v>
      </c>
    </row>
    <row r="31" spans="1:3" ht="14.25" customHeight="1" x14ac:dyDescent="0.25">
      <c r="B31" s="25" t="s">
        <v>39</v>
      </c>
      <c r="C31" s="99">
        <v>7.04524288623571E-2</v>
      </c>
    </row>
    <row r="32" spans="1:3" ht="14.25" customHeight="1" x14ac:dyDescent="0.25">
      <c r="B32" s="25" t="s">
        <v>40</v>
      </c>
      <c r="C32" s="99">
        <v>0.64001572263535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24.560659999999999</v>
      </c>
    </row>
    <row r="38" spans="1:5" ht="15" customHeight="1" x14ac:dyDescent="0.25">
      <c r="B38" s="11" t="s">
        <v>45</v>
      </c>
      <c r="C38" s="43">
        <v>40.190779999999997</v>
      </c>
      <c r="D38" s="12"/>
      <c r="E38" s="13"/>
    </row>
    <row r="39" spans="1:5" ht="15" customHeight="1" x14ac:dyDescent="0.25">
      <c r="B39" s="11" t="s">
        <v>46</v>
      </c>
      <c r="C39" s="43">
        <v>57.691830000000003</v>
      </c>
      <c r="D39" s="12"/>
      <c r="E39" s="12"/>
    </row>
    <row r="40" spans="1:5" ht="15" customHeight="1" x14ac:dyDescent="0.25">
      <c r="B40" s="11" t="s">
        <v>47</v>
      </c>
      <c r="C40" s="100">
        <v>1.35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6.5190999999999999E-3</v>
      </c>
      <c r="D45" s="12"/>
    </row>
    <row r="46" spans="1:5" ht="15.75" customHeight="1" x14ac:dyDescent="0.25">
      <c r="B46" s="11" t="s">
        <v>52</v>
      </c>
      <c r="C46" s="45">
        <v>7.0119699999999993E-2</v>
      </c>
      <c r="D46" s="12"/>
    </row>
    <row r="47" spans="1:5" ht="15.75" customHeight="1" x14ac:dyDescent="0.25">
      <c r="B47" s="11" t="s">
        <v>53</v>
      </c>
      <c r="C47" s="45">
        <v>0.16534509999999999</v>
      </c>
      <c r="D47" s="12"/>
      <c r="E47" s="13"/>
    </row>
    <row r="48" spans="1:5" ht="15" customHeight="1" x14ac:dyDescent="0.25">
      <c r="B48" s="11" t="s">
        <v>54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0.50240399999999996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KzlUO0iFMHR41i0jfrY6++xTA+DxFgbitn0Q8NUK+tvNdM62GWw6egoePvJXHRQA53SR+8mGRI1teFV1ScjeHg==" saltValue="vUqwDnmvBN/HM8f/5DTC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o1f0OOxHCohi7nDElW7z2s6xv3hk+WyFQhge7yRDGe/Mm90xYpZt70ckQUopCaRrpPigfwtaxHC14JyoEzx8A==" saltValue="LuYi+yVl+fKL3sl5xiAX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9.0967995857898585E-3</v>
      </c>
    </row>
    <row r="4" spans="1:8" ht="15.75" customHeight="1" x14ac:dyDescent="0.25">
      <c r="B4" s="19" t="s">
        <v>79</v>
      </c>
      <c r="C4" s="101">
        <v>6.4092908854742933E-2</v>
      </c>
    </row>
    <row r="5" spans="1:8" ht="15.75" customHeight="1" x14ac:dyDescent="0.25">
      <c r="B5" s="19" t="s">
        <v>80</v>
      </c>
      <c r="C5" s="101">
        <v>9.1282258767163948E-2</v>
      </c>
    </row>
    <row r="6" spans="1:8" ht="15.75" customHeight="1" x14ac:dyDescent="0.25">
      <c r="B6" s="19" t="s">
        <v>81</v>
      </c>
      <c r="C6" s="101">
        <v>0.25451199617035808</v>
      </c>
    </row>
    <row r="7" spans="1:8" ht="15.75" customHeight="1" x14ac:dyDescent="0.25">
      <c r="B7" s="19" t="s">
        <v>82</v>
      </c>
      <c r="C7" s="101">
        <v>0.39199030171442639</v>
      </c>
    </row>
    <row r="8" spans="1:8" ht="15.75" customHeight="1" x14ac:dyDescent="0.25">
      <c r="B8" s="19" t="s">
        <v>83</v>
      </c>
      <c r="C8" s="101">
        <v>1.5420714712771921E-3</v>
      </c>
    </row>
    <row r="9" spans="1:8" ht="15.75" customHeight="1" x14ac:dyDescent="0.25">
      <c r="B9" s="19" t="s">
        <v>84</v>
      </c>
      <c r="C9" s="101">
        <v>6.391594819168625E-2</v>
      </c>
    </row>
    <row r="10" spans="1:8" ht="15.75" customHeight="1" x14ac:dyDescent="0.25">
      <c r="B10" s="19" t="s">
        <v>85</v>
      </c>
      <c r="C10" s="101">
        <v>0.1235677152445553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88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89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90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91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92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93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94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95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8.1868175000000001E-2</v>
      </c>
    </row>
    <row r="27" spans="1:8" ht="15.75" customHeight="1" x14ac:dyDescent="0.25">
      <c r="B27" s="19" t="s">
        <v>102</v>
      </c>
      <c r="C27" s="101">
        <v>8.1904539999999998E-3</v>
      </c>
    </row>
    <row r="28" spans="1:8" ht="15.75" customHeight="1" x14ac:dyDescent="0.25">
      <c r="B28" s="19" t="s">
        <v>103</v>
      </c>
      <c r="C28" s="101">
        <v>0.143739488</v>
      </c>
    </row>
    <row r="29" spans="1:8" ht="15.75" customHeight="1" x14ac:dyDescent="0.25">
      <c r="B29" s="19" t="s">
        <v>104</v>
      </c>
      <c r="C29" s="101">
        <v>0.15393818500000001</v>
      </c>
    </row>
    <row r="30" spans="1:8" ht="15.75" customHeight="1" x14ac:dyDescent="0.25">
      <c r="B30" s="19" t="s">
        <v>2</v>
      </c>
      <c r="C30" s="101">
        <v>9.7379692000000004E-2</v>
      </c>
    </row>
    <row r="31" spans="1:8" ht="15.75" customHeight="1" x14ac:dyDescent="0.25">
      <c r="B31" s="19" t="s">
        <v>105</v>
      </c>
      <c r="C31" s="101">
        <v>9.8883503999999997E-2</v>
      </c>
    </row>
    <row r="32" spans="1:8" ht="15.75" customHeight="1" x14ac:dyDescent="0.25">
      <c r="B32" s="19" t="s">
        <v>106</v>
      </c>
      <c r="C32" s="101">
        <v>1.7031174E-2</v>
      </c>
    </row>
    <row r="33" spans="2:3" ht="15.75" customHeight="1" x14ac:dyDescent="0.25">
      <c r="B33" s="19" t="s">
        <v>107</v>
      </c>
      <c r="C33" s="101">
        <v>7.6512073999999999E-2</v>
      </c>
    </row>
    <row r="34" spans="2:3" ht="15.75" customHeight="1" x14ac:dyDescent="0.25">
      <c r="B34" s="19" t="s">
        <v>108</v>
      </c>
      <c r="C34" s="101">
        <v>0.32245725400000003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C+ZYAPaLz+u1psigbA5tZvlQZR1AGsoNM3H3Hdxq/sWA+N6ThkSmwsqJIMXDuHd6aSM5yB4lIM7HrIXkeSjVfg==" saltValue="npfe6RM1ZkpeZieFJmH4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114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115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119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120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F0HaH7P1HVwPbrPA0s19rhlAWVQ1/Zk942esjprUyc6G2EEWoAQ6GtpM47hygCQuge7Vc67IAkhB/H8SfCnxw==" saltValue="bjANDXLr9jHW9njVF6gQ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132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sBUxIw3Eso6CNvjsMRTp2Kgd95+5dWlC8KTbUHS7f+644WoPH5v45Vs2LzO86AM1A+fXZurFUQtUDzVv+Ls+rA==" saltValue="2Dx5XVMOubLiISBfawSe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BKMNQy2iuQK6yQJ2xvcGrd9t7qk4S4fnlGhHO1j9o7UQOMKUPdAbJ5rd9SjuO5MV/60lZUJtc8srVnNKWplzg==" saltValue="FaKzwGcTGtcCQFl25TSH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58cvzKce9wWsezrattE7C1mIZie5yLbVweumV7vGtLXqsehpQkiMidIxmbTfb2anSMw7SQjeYVDKjMCnCZam3A==" saltValue="AOAwsdJy9UofWHAHwrVV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8Hg2iEVOLSBGJhEeFS2W1dvxSXUScBNsvL2JwU9DbhbQmpYQMXmEF95XSuqpdCerDOdaHTmSW5h+yFi4ZjbsQQ==" saltValue="vQEGXUEdqMgqel0iJo0r8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+hzN8F/X8CKLvLf5uB0b6dw6B+DR052PYDzhwckkr3X55SlRDDOTWBRbeJIFOHkUgU5u8NmSzNxO4C71dBMmBg==" saltValue="dLh0TNg+LxHnl/uJwDu8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6.3350645814048709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0.40779590398884003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0.25</v>
      </c>
      <c r="C9" s="98">
        <v>0.95</v>
      </c>
      <c r="D9" s="56">
        <v>0.40270942638052859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0.72482939999999996</v>
      </c>
      <c r="C10" s="98">
        <v>0.95</v>
      </c>
      <c r="D10" s="56">
        <v>14.26897757170995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14.26897757170995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14.26897757170995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14.26897757170995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0.72482939999999996</v>
      </c>
      <c r="C14" s="98">
        <v>0.95</v>
      </c>
      <c r="D14" s="56">
        <v>14.26897757170995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14.26897757170995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0.80843429999999994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0.46</v>
      </c>
      <c r="C18" s="98">
        <v>0.95</v>
      </c>
      <c r="D18" s="56">
        <v>6.3350645814048709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0.64176169999999999</v>
      </c>
      <c r="C19" s="98">
        <v>0.95</v>
      </c>
      <c r="D19" s="56">
        <v>6.3350645814048709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24.366673580157041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0.71545519999999996</v>
      </c>
      <c r="C23" s="98">
        <v>0.95</v>
      </c>
      <c r="D23" s="56">
        <v>4.7084773800389677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0.59945256852146001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5.5E-2</v>
      </c>
      <c r="C26" s="98">
        <v>0.95</v>
      </c>
      <c r="D26" s="56">
        <v>4.5703872731578228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0.66792069999999992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0.23221729999999999</v>
      </c>
      <c r="C29" s="98">
        <v>0.95</v>
      </c>
      <c r="D29" s="56">
        <v>112.4872415972974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152.34624243859409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1.19337889910232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0.18154609999999999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0.73697869999999999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5.3560000000000001E-4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0.3439854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0.33500000000000002</v>
      </c>
      <c r="C38" s="98">
        <v>0.95</v>
      </c>
      <c r="D38" s="56">
        <v>1.1425968182894559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NpSgmX0Oewja7zUnsF3fnE39yjsyg+c3zXGZ4G2xCHHLSmuS4DQP1xudmc1eCfyqNbz4N5ZYiJNj5Gtj6GR4Qg==" saltValue="uT1x6hXdDJ5fDLuDlMo0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TFvn3vFbHRNx91f19YmYhviT91F95As02Tn4KT0upTQxxV9EikJkqpz0RrlMNc/tv3M/s5z7/jO7yFQ94yg2PQ==" saltValue="tI+WIgI4JwRWnrEgdLhJ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vprWEBh3N4fi3VEzAsd4WhgEBCexYIckI2Ibk16lDvaD/2L2gMZ40vkBokhHx3MiAAtn/jj7XMeRng/V+4gcYg==" saltValue="ZYahnLazJeFJR1tskd29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208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duUzRbZ0Z3+Yfi9ME20QZhLXd9cQkA5FMDVGOtQqhH3VC0zA3JdohlzCR3EWq0iovuNHVkcABGCNToebwVI/Lw==" saltValue="LmrMy0gWSzIZ7PLwysRI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P25eRqIT0qaStrPGe8W2Ou8SEid6KYb0397dOxn/QBTOGbVqYab9saGoYHXFA1vFx54jweKm7IumgBpVRBPoA==" saltValue="s3GAlVSqA742lmf/mw5g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zKUMAS9NvDoPXaXhAjtqS5TtCzFL+683P1g/UDWRl9COR5KrBwFG3fdhgRgOWXlDoBxjnocwg0AfnKpglG4+w==" saltValue="46/d4RnJMuOncMjvNkLi+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3xk8cwcQ5FofVfV0VNLCOSTiyBqRFuoR/VZ5+RzTIxQi+UiDnF/kXwzWt0DYV6h/mIYxlIA5k1Uza5/JzeHIw==" saltValue="qFSJcCxm/mafJ0y75KNl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qVNKcM1EZVETKWGl28VPfz3NJ253W4w3sU2aWT2KUjx9SpIg5+jiD4KGwnAy3iKCDbC2oaIFzYvNqm9aBSSAQ==" saltValue="P28DmaRW4oMb09JKd7e5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mpD7U5BU22wk2IZ5KPgvG54dFeaHJVUECAPzBH+2drAy/FZCw9yA7aBDWpzettJcqjaO1cTYLuhAfgGDqLuWQ==" saltValue="KTNVqcli5IJ+D5I02yBg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pDIgt/PoWrcopJ8VAYNm5tWQiUCTTp+FomK9uOiJfZS6atpfCEnS3qY/+tddYlSnZwgfioML++CcSoPDmfNQA==" saltValue="8o7NtLDfyw0vkSPXpRXN5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2t9L2ZdGkw8sCCvHQOt7ztWXDnc4o+ri10HE9Ur0A3SK+4J6aytJpuQVcZJGEowUBHZ3dGFQbls0hZwDhICHg==" saltValue="10hdOBQw+wjKStJ93rJZ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iUyMzS8swQ6YLUkJXiBK3v8CPyITK4bb6TTj6kDPKrOGNf5drgibCt/PzebLVOrYcy15HhPHlpWlw8bO6zXIQ==" saltValue="7KrlcSAoylWjMkBzyFmd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pTemmtbMcnI/oK2GZGqDXOkRX4aKOJNouR/oJM7jR6jsL1/9PhiqYUENiz7tcMWapUjmlkW172uFq7CWlYHFA==" saltValue="au3MYk0bQ2CDtnUROjXf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/wlPD4TJqVFmh3BMH51pGrNqmCKiEvAam5AmMkl0RHUAkbIngZLILCGh3knjGFu5LHNi6NlU4q1+wiAo3/ssA==" saltValue="+ZGkynfH278gllvXlfwb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C7DgdCwkLXQD0Pl1bmnm7XNOg7zOKfRjbH6dP7dTIJA5fG1tBsXYaFmEXafFhMBAZeimwOnQ1MmWw/g//1BRA==" saltValue="uVD0HDwIDtPpV9qsdrV0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qUWuuIl/Cp1s3jERRTPGs5F5LZRRSiJITvr9/oEU6sqG+sZ4dWrqLbLoVCJ7ePEcig4mLOcL+o5Y1GooksPxw==" saltValue="o0zETGbI66ycLsErcG6A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4rQiifTG8Yy5Sm01L8UDiRuzo0lfF7rU6Jpra+bRPwGg3ph7pMncR8PvVUI1cmTfucqh5mz4HJdlj5f2hn3qg==" saltValue="CPcUXfuivceE4n+0jLCd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0.10900696063684545</v>
      </c>
      <c r="G18" s="90">
        <f>MIN(MAX(1-0.89/(1-frac_sam_12_23months+(frac_sam_12_23months*0.89)),0),1)</f>
        <v>0.10826682651227604</v>
      </c>
      <c r="H18" s="90">
        <f>MIN(MAX(1-0.89/(1-frac_sam_24_59months+(frac_sam_24_59months*0.89)),0),1)</f>
        <v>0.10865495854976148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0.10592026679114219</v>
      </c>
      <c r="G20" s="90">
        <f>MIN(MAX(1-0.89/(1-frac_mam_12_23months+(frac_mam_12_23months*0.89)),0),1)</f>
        <v>0.10651936129124939</v>
      </c>
      <c r="H20" s="90">
        <f>MIN(MAX(1-0.89/(1-frac_mam_24_59months+(frac_mam_24_59months*0.89)),0),1)</f>
        <v>0.10784240160324932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9.899682045684588E-3</v>
      </c>
      <c r="G73" s="90">
        <f>MIN(MAX(1-0.99/(1-frac_sam_12_23months+(frac_sam_12_23months*0.99)),0),1)</f>
        <v>9.8250449970256337E-3</v>
      </c>
      <c r="H73" s="90">
        <f>MIN(MAX(1-0.99/(1-frac_sam_24_59months+(frac_sam_24_59months*0.99)),0),1)</f>
        <v>9.8641711867317738E-3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9.5891548019624295E-3</v>
      </c>
      <c r="G75" s="90">
        <f>MIN(MAX(1-0.99/(1-frac_mam_12_23months+(frac_mam_12_23months*0.99)),0),1)</f>
        <v>9.6492722415180143E-3</v>
      </c>
      <c r="H75" s="90">
        <f>MIN(MAX(1-0.99/(1-frac_mam_24_59months+(frac_mam_24_59months*0.99)),0),1)</f>
        <v>9.7822956866181476E-3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0.19837557222707236</v>
      </c>
      <c r="G128" s="90">
        <f>MIN(MAX(1-0.8/(1-frac_sam_12_23months+(frac_sam_12_23months*0.8)),0),1)</f>
        <v>0.19716291826381904</v>
      </c>
      <c r="H128" s="90">
        <f>MIN(MAX(1-0.8/(1-frac_sam_24_59months+(frac_sam_24_59months*0.8)),0),1)</f>
        <v>0.1977990493838514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0.19330730633471371</v>
      </c>
      <c r="G130" s="90">
        <f>MIN(MAX(1-0.8/(1-frac_mam_12_23months+(frac_mam_12_23months*0.8)),0),1)</f>
        <v>0.19429325972933686</v>
      </c>
      <c r="H130" s="90">
        <f>MIN(MAX(1-0.8/(1-frac_mam_24_59months+(frac_mam_24_59months*0.8)),0),1)</f>
        <v>0.19646678409634999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cL0+Jkco46IeXWdE8csfqACqQToqmYpRUSnBF9Rbv92JNE6xN9NrbKHZ5kLrG5szLG40BW1vLLPhbmeSkoXZg==" saltValue="V8eQcfmyXSwK9ZoBXUEf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jRphCz1p3d7KsWIVhYpJa21fyChtRUO6qolG9Gqa7G8uT+fHvJJre4xnTtkgSA5JgIi8ZEVVc2HyU+vfZLnBg==" saltValue="54eP8TsC39evm3WRX9i+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2024-08-06T10:00:59Z</dcterms:modified>
</cp:coreProperties>
</file>