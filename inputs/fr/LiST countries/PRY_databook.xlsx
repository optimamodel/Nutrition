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DF787EB8-B6EB-44A0-8BED-9F3B6360C430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<sst xmlns="http://schemas.openxmlformats.org/spreadsheetml/2006/main" count="2102" uniqueCount="337">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</sst>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674530.5234375</v>
      </c>
    </row>
    <row r="8" spans="1:3" ht="15" customHeight="1" x14ac:dyDescent="0.25">
      <c r="B8" s="5" t="s">
        <v>19</v>
      </c>
      <c r="C8" s="44">
        <v>1.6E-2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0.66318046569824207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0.17399999999999999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0.1144</v>
      </c>
    </row>
    <row r="24" spans="1:3" ht="15" customHeight="1" x14ac:dyDescent="0.25">
      <c r="B24" s="15" t="s">
        <v>33</v>
      </c>
      <c r="C24" s="45">
        <v>0.50659999999999994</v>
      </c>
    </row>
    <row r="25" spans="1:3" ht="15" customHeight="1" x14ac:dyDescent="0.25">
      <c r="B25" s="15" t="s">
        <v>34</v>
      </c>
      <c r="C25" s="45">
        <v>0.32169999999999999</v>
      </c>
    </row>
    <row r="26" spans="1:3" ht="15" customHeight="1" x14ac:dyDescent="0.25">
      <c r="B26" s="15" t="s">
        <v>35</v>
      </c>
      <c r="C26" s="45">
        <v>5.7299999999999997E-2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0.247134217009016</v>
      </c>
    </row>
    <row r="30" spans="1:3" ht="14.25" customHeight="1" x14ac:dyDescent="0.25">
      <c r="B30" s="25" t="s">
        <v>38</v>
      </c>
      <c r="C30" s="99">
        <v>0.12625974442754401</v>
      </c>
    </row>
    <row r="31" spans="1:3" ht="14.25" customHeight="1" x14ac:dyDescent="0.25">
      <c r="B31" s="25" t="s">
        <v>39</v>
      </c>
      <c r="C31" s="99">
        <v>0.15756466930712501</v>
      </c>
    </row>
    <row r="32" spans="1:3" ht="14.25" customHeight="1" x14ac:dyDescent="0.25">
      <c r="B32" s="25" t="s">
        <v>40</v>
      </c>
      <c r="C32" s="99">
        <v>0.46904136925631501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9.6517900000000001</v>
      </c>
    </row>
    <row r="38" spans="1:5" ht="15" customHeight="1" x14ac:dyDescent="0.25">
      <c r="B38" s="11" t="s">
        <v>45</v>
      </c>
      <c r="C38" s="43">
        <v>15.57174</v>
      </c>
      <c r="D38" s="12"/>
      <c r="E38" s="13"/>
    </row>
    <row r="39" spans="1:5" ht="15" customHeight="1" x14ac:dyDescent="0.25">
      <c r="B39" s="11" t="s">
        <v>46</v>
      </c>
      <c r="C39" s="43">
        <v>18.157489999999999</v>
      </c>
      <c r="D39" s="12"/>
      <c r="E39" s="12"/>
    </row>
    <row r="40" spans="1:5" ht="15" customHeight="1" x14ac:dyDescent="0.25">
      <c r="B40" s="11" t="s">
        <v>47</v>
      </c>
      <c r="C40" s="100">
        <v>0.71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10.015330000000001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6.6461999999999997E-3</v>
      </c>
      <c r="D45" s="12"/>
    </row>
    <row r="46" spans="1:5" ht="15.75" customHeight="1" x14ac:dyDescent="0.25">
      <c r="B46" s="11" t="s">
        <v>52</v>
      </c>
      <c r="C46" s="45">
        <v>7.1412900000000001E-2</v>
      </c>
      <c r="D46" s="12"/>
    </row>
    <row r="47" spans="1:5" ht="15.75" customHeight="1" x14ac:dyDescent="0.25">
      <c r="B47" s="11" t="s">
        <v>53</v>
      </c>
      <c r="C47" s="45">
        <v>7.4680700000000003E-2</v>
      </c>
      <c r="D47" s="12"/>
      <c r="E47" s="13"/>
    </row>
    <row r="48" spans="1:5" ht="15" customHeight="1" x14ac:dyDescent="0.25">
      <c r="B48" s="11" t="s">
        <v>54</v>
      </c>
      <c r="C48" s="46">
        <v>0.84726020000000002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0.56980299999999995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8.0900145000000007E-2</v>
      </c>
    </row>
    <row r="63" spans="1:4" ht="15.75" customHeight="1" x14ac:dyDescent="0.3">
      <c r="A63" s="4"/>
    </row>
  </sheetData>
  <sheetProtection algorithmName="SHA-512" hashValue="6IT1BmTvJ4FiwK5RJgZRA7pNLuvTr7TYdOg7pVLJM/BiF2v+dYjSxJB1bgqKIjbLag1CY/EAEidBWgywt7AdQg==" saltValue="qO7k/hmjREBAIU+k03wX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136586</v>
      </c>
      <c r="C2" s="49">
        <v>355057.5</v>
      </c>
      <c r="D2" s="49">
        <v>585919</v>
      </c>
      <c r="E2" s="49">
        <v>545690</v>
      </c>
      <c r="F2" s="49">
        <v>350057</v>
      </c>
      <c r="G2" s="17">
        <f t="shared" ref="G2:G13" si="0">C2+D2+E2+F2</f>
        <v>1836723.5</v>
      </c>
      <c r="H2" s="17">
        <f t="shared" ref="H2:H13" si="1">(B2 + stillbirth*B2/(1000-stillbirth))/(1-abortion)</f>
        <v>156781.58292730295</v>
      </c>
      <c r="I2" s="17">
        <f t="shared" ref="I2:I13" si="2">G2-H2</f>
        <v>1679941.9170726971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135746</v>
      </c>
      <c r="C3" s="50">
        <v>356596.5</v>
      </c>
      <c r="D3" s="50">
        <v>582284.5</v>
      </c>
      <c r="E3" s="50">
        <v>553058.5</v>
      </c>
      <c r="F3" s="50">
        <v>362878</v>
      </c>
      <c r="G3" s="17">
        <f t="shared" si="0"/>
        <v>1854817.5</v>
      </c>
      <c r="H3" s="17">
        <f t="shared" si="1"/>
        <v>155817.38066895338</v>
      </c>
      <c r="I3" s="17">
        <f t="shared" si="2"/>
        <v>1699000.1193310467</v>
      </c>
    </row>
    <row r="4" spans="1:9" ht="15.75" customHeight="1" x14ac:dyDescent="0.25">
      <c r="A4" s="5">
        <f t="shared" si="3"/>
        <v>2026</v>
      </c>
      <c r="B4" s="49">
        <v>135253</v>
      </c>
      <c r="C4" s="50">
        <v>358223.5</v>
      </c>
      <c r="D4" s="50">
        <v>578843</v>
      </c>
      <c r="E4" s="50">
        <v>559152.5</v>
      </c>
      <c r="F4" s="50">
        <v>376414.5</v>
      </c>
      <c r="G4" s="17">
        <f t="shared" si="0"/>
        <v>1872633.5</v>
      </c>
      <c r="H4" s="17">
        <f t="shared" si="1"/>
        <v>155251.48577208869</v>
      </c>
      <c r="I4" s="17">
        <f t="shared" si="2"/>
        <v>1717382.0142279114</v>
      </c>
    </row>
    <row r="5" spans="1:9" ht="15.75" customHeight="1" x14ac:dyDescent="0.25">
      <c r="A5" s="5">
        <f t="shared" si="3"/>
        <v>2027</v>
      </c>
      <c r="B5" s="49">
        <v>134015</v>
      </c>
      <c r="C5" s="50">
        <v>360497.5</v>
      </c>
      <c r="D5" s="50">
        <v>575855.5</v>
      </c>
      <c r="E5" s="50">
        <v>563972.5</v>
      </c>
      <c r="F5" s="50">
        <v>390259</v>
      </c>
      <c r="G5" s="17">
        <f t="shared" si="0"/>
        <v>1890584.5</v>
      </c>
      <c r="H5" s="17">
        <f t="shared" si="1"/>
        <v>153830.43530085444</v>
      </c>
      <c r="I5" s="17">
        <f t="shared" si="2"/>
        <v>1736754.0646991455</v>
      </c>
    </row>
    <row r="6" spans="1:9" ht="15.75" customHeight="1" x14ac:dyDescent="0.25">
      <c r="A6" s="5">
        <f t="shared" si="3"/>
        <v>2028</v>
      </c>
      <c r="B6" s="49">
        <v>133242</v>
      </c>
      <c r="C6" s="50">
        <v>363985.50000000012</v>
      </c>
      <c r="D6" s="50">
        <v>573514.5</v>
      </c>
      <c r="E6" s="50">
        <v>567361</v>
      </c>
      <c r="F6" s="50">
        <v>404181.5</v>
      </c>
      <c r="G6" s="17">
        <f t="shared" si="0"/>
        <v>1909042.5</v>
      </c>
      <c r="H6" s="17">
        <f t="shared" si="1"/>
        <v>152943.13965120655</v>
      </c>
      <c r="I6" s="17">
        <f t="shared" si="2"/>
        <v>1756099.3603487934</v>
      </c>
    </row>
    <row r="7" spans="1:9" ht="15.75" customHeight="1" x14ac:dyDescent="0.25">
      <c r="A7" s="5">
        <f t="shared" si="3"/>
        <v>2029</v>
      </c>
      <c r="B7" s="49">
        <v>131980</v>
      </c>
      <c r="C7" s="50">
        <v>368489.5</v>
      </c>
      <c r="D7" s="50">
        <v>571956.5</v>
      </c>
      <c r="E7" s="50">
        <v>569416.5</v>
      </c>
      <c r="F7" s="50">
        <v>417897.5</v>
      </c>
      <c r="G7" s="17">
        <f t="shared" si="0"/>
        <v>1927760</v>
      </c>
      <c r="H7" s="17">
        <f t="shared" si="1"/>
        <v>151494.54054401946</v>
      </c>
      <c r="I7" s="17">
        <f t="shared" si="2"/>
        <v>1776265.4594559805</v>
      </c>
    </row>
    <row r="8" spans="1:9" ht="15.75" customHeight="1" x14ac:dyDescent="0.25">
      <c r="A8" s="5">
        <f t="shared" si="3"/>
        <v>2030</v>
      </c>
      <c r="B8" s="49">
        <v>131206</v>
      </c>
      <c r="C8" s="50">
        <v>373690</v>
      </c>
      <c r="D8" s="50">
        <v>571146</v>
      </c>
      <c r="E8" s="50">
        <v>570176.5</v>
      </c>
      <c r="F8" s="50">
        <v>430736</v>
      </c>
      <c r="G8" s="17">
        <f t="shared" si="0"/>
        <v>1945748.5</v>
      </c>
      <c r="H8" s="17">
        <f t="shared" si="1"/>
        <v>150606.09703454023</v>
      </c>
      <c r="I8" s="17">
        <f t="shared" si="2"/>
        <v>1795142.4029654597</v>
      </c>
    </row>
    <row r="9" spans="1:9" ht="15.75" customHeight="1" x14ac:dyDescent="0.25">
      <c r="A9" s="5">
        <f t="shared" si="3"/>
        <v>2031</v>
      </c>
      <c r="B9" s="49">
        <v>129929</v>
      </c>
      <c r="C9" s="50">
        <v>379121.5</v>
      </c>
      <c r="D9" s="50">
        <v>571213.5</v>
      </c>
      <c r="E9" s="50">
        <v>569516.5</v>
      </c>
      <c r="F9" s="50">
        <v>442324</v>
      </c>
      <c r="G9" s="17">
        <f t="shared" si="0"/>
        <v>1962175.5</v>
      </c>
      <c r="H9" s="17">
        <f t="shared" si="1"/>
        <v>149140.28002988262</v>
      </c>
      <c r="I9" s="17">
        <f t="shared" si="2"/>
        <v>1813035.2199701173</v>
      </c>
    </row>
    <row r="10" spans="1:9" ht="15.75" customHeight="1" x14ac:dyDescent="0.25">
      <c r="A10" s="5">
        <f t="shared" si="3"/>
        <v>2032</v>
      </c>
      <c r="B10" s="49">
        <v>129556</v>
      </c>
      <c r="C10" s="50">
        <v>384437.50000000012</v>
      </c>
      <c r="D10" s="50">
        <v>572328</v>
      </c>
      <c r="E10" s="50">
        <v>567573</v>
      </c>
      <c r="F10" s="50">
        <v>452811</v>
      </c>
      <c r="G10" s="17">
        <f t="shared" si="0"/>
        <v>1977149.5</v>
      </c>
      <c r="H10" s="17">
        <f t="shared" si="1"/>
        <v>148712.12831278212</v>
      </c>
      <c r="I10" s="17">
        <f t="shared" si="2"/>
        <v>1828437.3716872178</v>
      </c>
    </row>
    <row r="11" spans="1:9" ht="15.75" customHeight="1" x14ac:dyDescent="0.25">
      <c r="A11" s="5">
        <f t="shared" si="3"/>
        <v>2033</v>
      </c>
      <c r="B11" s="49">
        <v>128809</v>
      </c>
      <c r="C11" s="50">
        <v>388779.5</v>
      </c>
      <c r="D11" s="50">
        <v>574894.5</v>
      </c>
      <c r="E11" s="50">
        <v>564747.5</v>
      </c>
      <c r="F11" s="50">
        <v>462279</v>
      </c>
      <c r="G11" s="17">
        <f t="shared" si="0"/>
        <v>1990700.5</v>
      </c>
      <c r="H11" s="17">
        <f t="shared" si="1"/>
        <v>147854.67701874982</v>
      </c>
      <c r="I11" s="17">
        <f t="shared" si="2"/>
        <v>1842845.8229812502</v>
      </c>
    </row>
    <row r="12" spans="1:9" ht="15.75" customHeight="1" x14ac:dyDescent="0.25">
      <c r="A12" s="5">
        <f t="shared" si="3"/>
        <v>2034</v>
      </c>
      <c r="B12" s="49">
        <v>128412</v>
      </c>
      <c r="C12" s="50">
        <v>391398</v>
      </c>
      <c r="D12" s="50">
        <v>579219</v>
      </c>
      <c r="E12" s="50">
        <v>561399.49999999988</v>
      </c>
      <c r="F12" s="50">
        <v>470573.5</v>
      </c>
      <c r="G12" s="17">
        <f t="shared" si="0"/>
        <v>2002590</v>
      </c>
      <c r="H12" s="17">
        <f t="shared" si="1"/>
        <v>147398.97666569651</v>
      </c>
      <c r="I12" s="17">
        <f t="shared" si="2"/>
        <v>1855191.0233343034</v>
      </c>
    </row>
    <row r="13" spans="1:9" ht="15.75" customHeight="1" x14ac:dyDescent="0.25">
      <c r="A13" s="5">
        <f t="shared" si="3"/>
        <v>2035</v>
      </c>
      <c r="B13" s="49">
        <v>127620</v>
      </c>
      <c r="C13" s="50">
        <v>392517.50000000012</v>
      </c>
      <c r="D13" s="50">
        <v>584908.5</v>
      </c>
      <c r="E13" s="50">
        <v>557852.5</v>
      </c>
      <c r="F13" s="50">
        <v>477711.5</v>
      </c>
      <c r="G13" s="17">
        <f t="shared" si="0"/>
        <v>2012990</v>
      </c>
      <c r="H13" s="17">
        <f t="shared" si="1"/>
        <v>146489.87167925265</v>
      </c>
      <c r="I13" s="17">
        <f t="shared" si="2"/>
        <v>1866500.1283207473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7M8lBFZdm0EcU+FWHgm/OFah3SkxJX8clmxLFDwOuJ7xoV0wyrFxAFtwI7Pb/UnQbxcOa2Ckoq3IScHTczkxZA==" saltValue="IQYmk3na+6q/yGNyLAFQK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7.6678956102072828E-4</v>
      </c>
    </row>
    <row r="4" spans="1:8" ht="15.75" customHeight="1" x14ac:dyDescent="0.25">
      <c r="B4" s="19" t="s">
        <v>79</v>
      </c>
      <c r="C4" s="101">
        <v>6.4427525134935867E-2</v>
      </c>
    </row>
    <row r="5" spans="1:8" ht="15.75" customHeight="1" x14ac:dyDescent="0.25">
      <c r="B5" s="19" t="s">
        <v>80</v>
      </c>
      <c r="C5" s="101">
        <v>3.1018022905075229E-2</v>
      </c>
    </row>
    <row r="6" spans="1:8" ht="15.75" customHeight="1" x14ac:dyDescent="0.25">
      <c r="B6" s="19" t="s">
        <v>81</v>
      </c>
      <c r="C6" s="101">
        <v>0.1851606267612057</v>
      </c>
    </row>
    <row r="7" spans="1:8" ht="15.75" customHeight="1" x14ac:dyDescent="0.25">
      <c r="B7" s="19" t="s">
        <v>82</v>
      </c>
      <c r="C7" s="101">
        <v>0.44250568466396889</v>
      </c>
    </row>
    <row r="8" spans="1:8" ht="15.75" customHeight="1" x14ac:dyDescent="0.25">
      <c r="B8" s="19" t="s">
        <v>83</v>
      </c>
      <c r="C8" s="101">
        <v>1.07512557466712E-4</v>
      </c>
    </row>
    <row r="9" spans="1:8" ht="15.75" customHeight="1" x14ac:dyDescent="0.25">
      <c r="B9" s="19" t="s">
        <v>84</v>
      </c>
      <c r="C9" s="101">
        <v>0.17925163659115381</v>
      </c>
    </row>
    <row r="10" spans="1:8" ht="15.75" customHeight="1" x14ac:dyDescent="0.25">
      <c r="B10" s="19" t="s">
        <v>85</v>
      </c>
      <c r="C10" s="101">
        <v>9.6762201825173214E-2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0.1732830632560021</v>
      </c>
      <c r="D14" s="55">
        <v>0.1732830632560021</v>
      </c>
      <c r="E14" s="55">
        <v>0.1732830632560021</v>
      </c>
      <c r="F14" s="55">
        <v>0.1732830632560021</v>
      </c>
    </row>
    <row r="15" spans="1:8" ht="15.75" customHeight="1" x14ac:dyDescent="0.25">
      <c r="B15" s="19" t="s">
        <v>88</v>
      </c>
      <c r="C15" s="101">
        <v>0.36070214212649582</v>
      </c>
      <c r="D15" s="101">
        <v>0.36070214212649582</v>
      </c>
      <c r="E15" s="101">
        <v>0.36070214212649582</v>
      </c>
      <c r="F15" s="101">
        <v>0.36070214212649582</v>
      </c>
    </row>
    <row r="16" spans="1:8" ht="15.75" customHeight="1" x14ac:dyDescent="0.25">
      <c r="B16" s="19" t="s">
        <v>89</v>
      </c>
      <c r="C16" s="101">
        <v>3.7287091450664667E-2</v>
      </c>
      <c r="D16" s="101">
        <v>3.7287091450664667E-2</v>
      </c>
      <c r="E16" s="101">
        <v>3.7287091450664667E-2</v>
      </c>
      <c r="F16" s="101">
        <v>3.7287091450664667E-2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0.104489465138261</v>
      </c>
      <c r="D19" s="101">
        <v>0.104489465138261</v>
      </c>
      <c r="E19" s="101">
        <v>0.104489465138261</v>
      </c>
      <c r="F19" s="101">
        <v>0.104489465138261</v>
      </c>
    </row>
    <row r="20" spans="1:8" ht="15.75" customHeight="1" x14ac:dyDescent="0.25">
      <c r="B20" s="19" t="s">
        <v>93</v>
      </c>
      <c r="C20" s="101">
        <v>3.0766079362013359E-2</v>
      </c>
      <c r="D20" s="101">
        <v>3.0766079362013359E-2</v>
      </c>
      <c r="E20" s="101">
        <v>3.0766079362013359E-2</v>
      </c>
      <c r="F20" s="101">
        <v>3.0766079362013359E-2</v>
      </c>
    </row>
    <row r="21" spans="1:8" ht="15.75" customHeight="1" x14ac:dyDescent="0.25">
      <c r="B21" s="19" t="s">
        <v>94</v>
      </c>
      <c r="C21" s="101">
        <v>0.28076527745822938</v>
      </c>
      <c r="D21" s="101">
        <v>0.28076527745822938</v>
      </c>
      <c r="E21" s="101">
        <v>0.28076527745822938</v>
      </c>
      <c r="F21" s="101">
        <v>0.28076527745822938</v>
      </c>
    </row>
    <row r="22" spans="1:8" ht="15.75" customHeight="1" x14ac:dyDescent="0.25">
      <c r="B22" s="19" t="s">
        <v>95</v>
      </c>
      <c r="C22" s="101">
        <v>1.2706881208333839E-2</v>
      </c>
      <c r="D22" s="101">
        <v>1.2706881208333839E-2</v>
      </c>
      <c r="E22" s="101">
        <v>1.2706881208333839E-2</v>
      </c>
      <c r="F22" s="101">
        <v>1.2706881208333839E-2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2.8053887999999999E-2</v>
      </c>
    </row>
    <row r="27" spans="1:8" ht="15.75" customHeight="1" x14ac:dyDescent="0.25">
      <c r="B27" s="19" t="s">
        <v>102</v>
      </c>
      <c r="C27" s="101">
        <v>2.2885193000000002E-2</v>
      </c>
    </row>
    <row r="28" spans="1:8" ht="15.75" customHeight="1" x14ac:dyDescent="0.25">
      <c r="B28" s="19" t="s">
        <v>103</v>
      </c>
      <c r="C28" s="101">
        <v>0.17241262399999999</v>
      </c>
    </row>
    <row r="29" spans="1:8" ht="15.75" customHeight="1" x14ac:dyDescent="0.25">
      <c r="B29" s="19" t="s">
        <v>104</v>
      </c>
      <c r="C29" s="101">
        <v>0.185358881</v>
      </c>
    </row>
    <row r="30" spans="1:8" ht="15.75" customHeight="1" x14ac:dyDescent="0.25">
      <c r="B30" s="19" t="s">
        <v>2</v>
      </c>
      <c r="C30" s="101">
        <v>0.10644221299999999</v>
      </c>
    </row>
    <row r="31" spans="1:8" ht="15.75" customHeight="1" x14ac:dyDescent="0.25">
      <c r="B31" s="19" t="s">
        <v>105</v>
      </c>
      <c r="C31" s="101">
        <v>0.22565471400000001</v>
      </c>
    </row>
    <row r="32" spans="1:8" ht="15.75" customHeight="1" x14ac:dyDescent="0.25">
      <c r="B32" s="19" t="s">
        <v>106</v>
      </c>
      <c r="C32" s="101">
        <v>2.5746142999999999E-2</v>
      </c>
    </row>
    <row r="33" spans="2:3" ht="15.75" customHeight="1" x14ac:dyDescent="0.25">
      <c r="B33" s="19" t="s">
        <v>107</v>
      </c>
      <c r="C33" s="101">
        <v>9.9438820999999997E-2</v>
      </c>
    </row>
    <row r="34" spans="2:3" ht="15.75" customHeight="1" x14ac:dyDescent="0.25">
      <c r="B34" s="19" t="s">
        <v>108</v>
      </c>
      <c r="C34" s="101">
        <v>0.13400752399999999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fgCznrm/SCtjyAyWgwV41N1fE3huT8wB1ytYR7E31Befmuapfxjw02IohHFJP1SpTiGa1eo+jdgii8vfeeZZQA==" saltValue="HA9p1Azt1QYD6vbQc/ROr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0.67504211304196526</v>
      </c>
      <c r="D2" s="52">
        <f>IFERROR(1-_xlfn.NORM.DIST(_xlfn.NORM.INV(SUM(D4:D5), 0, 1) + 1, 0, 1, TRUE), "")</f>
        <v>0.67504211304196526</v>
      </c>
      <c r="E2" s="52">
        <f>IFERROR(1-_xlfn.NORM.DIST(_xlfn.NORM.INV(SUM(E4:E5), 0, 1) + 1, 0, 1, TRUE), "")</f>
        <v>0.75043817851002848</v>
      </c>
      <c r="F2" s="52">
        <f>IFERROR(1-_xlfn.NORM.DIST(_xlfn.NORM.INV(SUM(F4:F5), 0, 1) + 1, 0, 1, TRUE), "")</f>
        <v>0.66568741422070443</v>
      </c>
      <c r="G2" s="52">
        <f>IFERROR(1-_xlfn.NORM.DIST(_xlfn.NORM.INV(SUM(G4:G5), 0, 1) + 1, 0, 1, TRUE), "")</f>
        <v>0.74912990734345564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0.25196798695803474</v>
      </c>
      <c r="D3" s="52">
        <f>IFERROR(_xlfn.NORM.DIST(_xlfn.NORM.INV(SUM(D4:D5), 0, 1) + 1, 0, 1, TRUE) - SUM(D4:D5), "")</f>
        <v>0.25196798695803474</v>
      </c>
      <c r="E3" s="52">
        <f>IFERROR(_xlfn.NORM.DIST(_xlfn.NORM.INV(SUM(E4:E5), 0, 1) + 1, 0, 1, TRUE) - SUM(E4:E5), "")</f>
        <v>0.20267992148997147</v>
      </c>
      <c r="F3" s="52">
        <f>IFERROR(_xlfn.NORM.DIST(_xlfn.NORM.INV(SUM(F4:F5), 0, 1) + 1, 0, 1, TRUE) - SUM(F4:F5), "")</f>
        <v>0.25767178577929556</v>
      </c>
      <c r="G3" s="52">
        <f>IFERROR(_xlfn.NORM.DIST(_xlfn.NORM.INV(SUM(G4:G5), 0, 1) + 1, 0, 1, TRUE) - SUM(G4:G5), "")</f>
        <v>0.20358369265654436</v>
      </c>
    </row>
    <row r="4" spans="1:15" ht="15.75" customHeight="1" x14ac:dyDescent="0.25">
      <c r="B4" s="5" t="s">
        <v>114</v>
      </c>
      <c r="C4" s="45">
        <v>3.4070999999999997E-2</v>
      </c>
      <c r="D4" s="53">
        <v>3.4070999999999997E-2</v>
      </c>
      <c r="E4" s="53">
        <v>3.6088299999999997E-2</v>
      </c>
      <c r="F4" s="53">
        <v>6.3694899999999999E-2</v>
      </c>
      <c r="G4" s="53">
        <v>3.83731E-2</v>
      </c>
    </row>
    <row r="5" spans="1:15" ht="15.75" customHeight="1" x14ac:dyDescent="0.25">
      <c r="B5" s="5" t="s">
        <v>115</v>
      </c>
      <c r="C5" s="45">
        <v>3.8918899999999999E-2</v>
      </c>
      <c r="D5" s="53">
        <v>3.8918899999999999E-2</v>
      </c>
      <c r="E5" s="53">
        <v>1.07936E-2</v>
      </c>
      <c r="F5" s="53">
        <v>1.29459E-2</v>
      </c>
      <c r="G5" s="53">
        <v>8.913299999999999E-3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0.74089077144279414</v>
      </c>
      <c r="D8" s="52">
        <f>IFERROR(1-_xlfn.NORM.DIST(_xlfn.NORM.INV(SUM(D10:D11), 0, 1) + 1, 0, 1, TRUE), "")</f>
        <v>0.74089077144279414</v>
      </c>
      <c r="E8" s="52">
        <f>IFERROR(1-_xlfn.NORM.DIST(_xlfn.NORM.INV(SUM(E10:E11), 0, 1) + 1, 0, 1, TRUE), "")</f>
        <v>0.96677592100387766</v>
      </c>
      <c r="F8" s="52">
        <f>IFERROR(1-_xlfn.NORM.DIST(_xlfn.NORM.INV(SUM(F10:F11), 0, 1) + 1, 0, 1, TRUE), "")</f>
        <v>0.92383805480570158</v>
      </c>
      <c r="G8" s="52">
        <f>IFERROR(1-_xlfn.NORM.DIST(_xlfn.NORM.INV(SUM(G10:G11), 0, 1) + 1, 0, 1, TRUE), "")</f>
        <v>0.94012841859528262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0.20923702855720591</v>
      </c>
      <c r="D9" s="52">
        <f>IFERROR(_xlfn.NORM.DIST(_xlfn.NORM.INV(SUM(D10:D11), 0, 1) + 1, 0, 1, TRUE) - SUM(D10:D11), "")</f>
        <v>0.20923702855720591</v>
      </c>
      <c r="E9" s="52">
        <f>IFERROR(_xlfn.NORM.DIST(_xlfn.NORM.INV(SUM(E10:E11), 0, 1) + 1, 0, 1, TRUE) - SUM(E10:E11), "")</f>
        <v>3.0935578996122301E-2</v>
      </c>
      <c r="F9" s="52">
        <f>IFERROR(_xlfn.NORM.DIST(_xlfn.NORM.INV(SUM(F10:F11), 0, 1) + 1, 0, 1, TRUE) - SUM(F10:F11), "")</f>
        <v>6.8641045194298395E-2</v>
      </c>
      <c r="G9" s="52">
        <f>IFERROR(_xlfn.NORM.DIST(_xlfn.NORM.INV(SUM(G10:G11), 0, 1) + 1, 0, 1, TRUE) - SUM(G10:G11), "")</f>
        <v>5.4575181404717336E-2</v>
      </c>
    </row>
    <row r="10" spans="1:15" ht="15.75" customHeight="1" x14ac:dyDescent="0.25">
      <c r="B10" s="5" t="s">
        <v>119</v>
      </c>
      <c r="C10" s="45">
        <v>2.6520800000000001E-2</v>
      </c>
      <c r="D10" s="53">
        <v>2.6520800000000001E-2</v>
      </c>
      <c r="E10" s="53">
        <v>2.2885000000000002E-3</v>
      </c>
      <c r="F10" s="53">
        <v>5.0771999999999996E-3</v>
      </c>
      <c r="G10" s="53">
        <v>3.7767E-3</v>
      </c>
    </row>
    <row r="11" spans="1:15" ht="15.75" customHeight="1" x14ac:dyDescent="0.25">
      <c r="B11" s="5" t="s">
        <v>120</v>
      </c>
      <c r="C11" s="45">
        <v>2.3351400000000001E-2</v>
      </c>
      <c r="D11" s="53">
        <v>2.3351400000000001E-2</v>
      </c>
      <c r="E11" s="53">
        <v>0</v>
      </c>
      <c r="F11" s="53">
        <v>2.4437E-3</v>
      </c>
      <c r="G11" s="53">
        <v>1.5196999999999999E-3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0.33770807775</v>
      </c>
      <c r="D14" s="54">
        <v>0.33097332158499992</v>
      </c>
      <c r="E14" s="54">
        <v>0.33097332158499992</v>
      </c>
      <c r="F14" s="54">
        <v>0.254121780247</v>
      </c>
      <c r="G14" s="54">
        <v>0.254121780247</v>
      </c>
      <c r="H14" s="45">
        <v>0.32700000000000001</v>
      </c>
      <c r="I14" s="55">
        <v>0.32700000000000001</v>
      </c>
      <c r="J14" s="55">
        <v>0.32700000000000001</v>
      </c>
      <c r="K14" s="55">
        <v>0.32700000000000001</v>
      </c>
      <c r="L14" s="45">
        <v>0.223</v>
      </c>
      <c r="M14" s="55">
        <v>0.223</v>
      </c>
      <c r="N14" s="55">
        <v>0.223</v>
      </c>
      <c r="O14" s="55">
        <v>0.223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0.19242707582618324</v>
      </c>
      <c r="D15" s="52">
        <f t="shared" si="0"/>
        <v>0.18858959155909769</v>
      </c>
      <c r="E15" s="52">
        <f t="shared" si="0"/>
        <v>0.18858959155909769</v>
      </c>
      <c r="F15" s="52">
        <f t="shared" si="0"/>
        <v>0.14479935275008132</v>
      </c>
      <c r="G15" s="52">
        <f t="shared" si="0"/>
        <v>0.14479935275008132</v>
      </c>
      <c r="H15" s="52">
        <f t="shared" si="0"/>
        <v>0.18632558099999999</v>
      </c>
      <c r="I15" s="52">
        <f t="shared" si="0"/>
        <v>0.18632558099999999</v>
      </c>
      <c r="J15" s="52">
        <f t="shared" si="0"/>
        <v>0.18632558099999999</v>
      </c>
      <c r="K15" s="52">
        <f t="shared" si="0"/>
        <v>0.18632558099999999</v>
      </c>
      <c r="L15" s="52">
        <f t="shared" si="0"/>
        <v>0.127066069</v>
      </c>
      <c r="M15" s="52">
        <f t="shared" si="0"/>
        <v>0.127066069</v>
      </c>
      <c r="N15" s="52">
        <f t="shared" si="0"/>
        <v>0.127066069</v>
      </c>
      <c r="O15" s="52">
        <f t="shared" si="0"/>
        <v>0.127066069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WA1jyBEcj3wHIKNztaBxXFCCplpvOB8kJDOKB3jjc32axw/W/b6gl7mEUrBucrTZJF5cQsZwG69AEzk6nNDfQ==" saltValue="LTae18J0h17e0cG5rXup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0.64318549999999997</v>
      </c>
      <c r="D2" s="53">
        <v>0.30086489999999999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0.1938405</v>
      </c>
      <c r="D3" s="53">
        <v>0.2158948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0.1472349</v>
      </c>
      <c r="D4" s="53">
        <v>0.39192640000000001</v>
      </c>
      <c r="E4" s="53">
        <v>0.77740080000000011</v>
      </c>
      <c r="F4" s="53">
        <v>0.32832830000000002</v>
      </c>
      <c r="G4" s="53">
        <v>0</v>
      </c>
    </row>
    <row r="5" spans="1:7" x14ac:dyDescent="0.25">
      <c r="B5" s="3" t="s">
        <v>132</v>
      </c>
      <c r="C5" s="52">
        <v>1.5739099999999999E-2</v>
      </c>
      <c r="D5" s="52">
        <v>9.1313900000000003E-2</v>
      </c>
      <c r="E5" s="52">
        <f>1-SUM(E2:E4)</f>
        <v>0.22259919999999989</v>
      </c>
      <c r="F5" s="52">
        <f>1-SUM(F2:F4)</f>
        <v>0.67167169999999998</v>
      </c>
      <c r="G5" s="52">
        <f>1-SUM(G2:G4)</f>
        <v>1</v>
      </c>
    </row>
  </sheetData>
  <sheetProtection algorithmName="SHA-512" hashValue="v7d9fH8WJK1BAiV+FSBFgQo+xrfvEq2pjWcSqmm51vRp3B8SNi1rhEcMlUjLk0mzfIPzxAK5c6uu/BvEdMRHkw==" saltValue="9H7dcltaQ06a5ghEw4hpU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jqX6CZfmyPU1fSLQ69CIGHBWy47cTGhJbZrBJIV1Ch9P/45jKFfoIDo2V2Nam4Lcm+Zhx0G/qnpTkNGeNna2Q==" saltValue="ZqQgTgOSfhuQm/K9iyGbZ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oM+DJo+EakFI02GbMxQYi68VzjUQwVPI/tl1/SyBvSK1i6Ck3X+XQ7+AaJedp0saZ/YBc/c8ey/OTxD3KIlAnQ==" saltValue="KM1RyPx7vV1/a2fO+qaTk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8TaCi8VecBjLBSzD9DkFXUTY1bxVDeiDgqdglVcP41/jHOKrqWeWR5Q0WNzqQofH1IOK6S4xgsPik5Ix/o28LQ==" saltValue="K+b/EvUYu4DigsAwNOtu4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7CeArtw1qIjjwHD7mR60zNzGgpLKf/9tdUK94o7j9VzL9uqVkGdbl6u63iN9+PRpkxFzEFw1ybmeAxEASlqZYQ==" saltValue="PxQsigcwGfGLkss/ymV6p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57.606667746332491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0.243933691358</v>
      </c>
      <c r="C3" s="98">
        <v>0.95</v>
      </c>
      <c r="D3" s="56">
        <v>39.870654846835578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407.77420725897531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1.021192076931364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13.0029542906315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13.0029542906315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13.0029542906315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13.0029542906315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13.0029542906315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13.0029542906315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0.96</v>
      </c>
      <c r="C16" s="98">
        <v>0.95</v>
      </c>
      <c r="D16" s="56">
        <v>0.70972009052684637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0.20165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0.11737920672005001</v>
      </c>
      <c r="C18" s="98">
        <v>0.95</v>
      </c>
      <c r="D18" s="56">
        <v>9.4026515569123248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0.94572749999999994</v>
      </c>
      <c r="C19" s="98">
        <v>0.95</v>
      </c>
      <c r="D19" s="56">
        <v>9.4026515569123248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0.99</v>
      </c>
      <c r="C21" s="98">
        <v>0.95</v>
      </c>
      <c r="D21" s="56">
        <v>12.07130746537854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22.434109984381621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4.2735719414984246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0.88946092769060003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18.56902833381691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0.69751328097054999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112.6831812504641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0.38594540069210109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1.5229281476965579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0.520675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0.28195290000000001</v>
      </c>
      <c r="C38" s="98">
        <v>0.95</v>
      </c>
      <c r="D38" s="56">
        <v>5.5334670981932863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m2XU/M+K0NKZw5sYSjLH+kIf9+3CgPXv667nZJ7gOvmt0KwQmuSSooJpxckTlilMedT8K7kLt73omahF1RjykQ==" saltValue="ks/EHCOO7vXDLEZBfxwA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eHTXAqKH19S7xFquZ7fh70/02mEJ8pGHnY86nze5XOWVeqOtHDUv7zxjahud/jBCgvXQSPnn8+UqcGDc/omttQ==" saltValue="ZxuacUYPbUQWtL+ru4Y6n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NxbV2vzrnWZTtUpjTurEsi9fc4nOoH7iTCVjeHPVmJvgx7WTxFmHt7sJN8dSgCh8OZblHyuH2UTzhIJmNR7DYA==" saltValue="RACIpQoOcG5ojkXJasYam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6.8954080000000001E-2</v>
      </c>
      <c r="C3" s="21">
        <f>frac_mam_1_5months * 2.6</f>
        <v>6.8954080000000001E-2</v>
      </c>
      <c r="D3" s="21">
        <f>frac_mam_6_11months * 2.6</f>
        <v>5.9501000000000007E-3</v>
      </c>
      <c r="E3" s="21">
        <f>frac_mam_12_23months * 2.6</f>
        <v>1.3200719999999999E-2</v>
      </c>
      <c r="F3" s="21">
        <f>frac_mam_24_59months * 2.6</f>
        <v>9.8194200000000006E-3</v>
      </c>
    </row>
    <row r="4" spans="1:6" ht="15.75" customHeight="1" x14ac:dyDescent="0.25">
      <c r="A4" s="3" t="s">
        <v>208</v>
      </c>
      <c r="B4" s="21">
        <f>frac_sam_1month * 2.6</f>
        <v>6.0713640000000006E-2</v>
      </c>
      <c r="C4" s="21">
        <f>frac_sam_1_5months * 2.6</f>
        <v>6.0713640000000006E-2</v>
      </c>
      <c r="D4" s="21">
        <f>frac_sam_6_11months * 2.6</f>
        <v>0</v>
      </c>
      <c r="E4" s="21">
        <f>frac_sam_12_23months * 2.6</f>
        <v>6.3536199999999999E-3</v>
      </c>
      <c r="F4" s="21">
        <f>frac_sam_24_59months * 2.6</f>
        <v>3.9512200000000001E-3</v>
      </c>
    </row>
  </sheetData>
  <sheetProtection algorithmName="SHA-512" hashValue="kABTcb/VQkFqIKqZkBOK1TEffefqTdTLllcNrxofEftw0c/nfJXymd/XWvoj57SdHoVTKlWco3OcTBjrBrYvIg==" saltValue="BR+YdsJwJ86u6FaJk17AV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1.6E-2</v>
      </c>
      <c r="E2" s="60">
        <f>food_insecure</f>
        <v>1.6E-2</v>
      </c>
      <c r="F2" s="60">
        <f>food_insecure</f>
        <v>1.6E-2</v>
      </c>
      <c r="G2" s="60">
        <f>food_insecure</f>
        <v>1.6E-2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1.6E-2</v>
      </c>
      <c r="F5" s="60">
        <f>food_insecure</f>
        <v>1.6E-2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1.6E-2</v>
      </c>
      <c r="F8" s="60">
        <f>food_insecure</f>
        <v>1.6E-2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1.6E-2</v>
      </c>
      <c r="F9" s="60">
        <f>food_insecure</f>
        <v>1.6E-2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1.6E-2</v>
      </c>
      <c r="I15" s="60">
        <f>food_insecure</f>
        <v>1.6E-2</v>
      </c>
      <c r="J15" s="60">
        <f>food_insecure</f>
        <v>1.6E-2</v>
      </c>
      <c r="K15" s="60">
        <f>food_insecure</f>
        <v>1.6E-2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0.17399999999999999</v>
      </c>
      <c r="M24" s="60">
        <f>famplan_unmet_need</f>
        <v>0.17399999999999999</v>
      </c>
      <c r="N24" s="60">
        <f>famplan_unmet_need</f>
        <v>0.17399999999999999</v>
      </c>
      <c r="O24" s="60">
        <f>famplan_unmet_need</f>
        <v>0.17399999999999999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0.16617328544311527</v>
      </c>
      <c r="M25" s="60">
        <f>(1-food_insecure)*(0.49)+food_insecure*(0.7)</f>
        <v>0.49335999999999997</v>
      </c>
      <c r="N25" s="60">
        <f>(1-food_insecure)*(0.49)+food_insecure*(0.7)</f>
        <v>0.49335999999999997</v>
      </c>
      <c r="O25" s="60">
        <f>(1-food_insecure)*(0.49)+food_insecure*(0.7)</f>
        <v>0.49335999999999997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7.1217122332763685E-2</v>
      </c>
      <c r="M26" s="60">
        <f>(1-food_insecure)*(0.21)+food_insecure*(0.3)</f>
        <v>0.21143999999999999</v>
      </c>
      <c r="N26" s="60">
        <f>(1-food_insecure)*(0.21)+food_insecure*(0.3)</f>
        <v>0.21143999999999999</v>
      </c>
      <c r="O26" s="60">
        <f>(1-food_insecure)*(0.21)+food_insecure*(0.3)</f>
        <v>0.21143999999999999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9.942912652587893E-2</v>
      </c>
      <c r="M27" s="60">
        <f>(1-food_insecure)*(0.3)</f>
        <v>0.29519999999999996</v>
      </c>
      <c r="N27" s="60">
        <f>(1-food_insecure)*(0.3)</f>
        <v>0.29519999999999996</v>
      </c>
      <c r="O27" s="60">
        <f>(1-food_insecure)*(0.3)</f>
        <v>0.29519999999999996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0.66318046569824207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GHxl0wwYBe276CgNtDXw/yzzOWFnMF+7q1KeT7ku42NUXbE+cQOES0oEPlwVFPmRisvWtvNcOd0rXX/nKdWHSA==" saltValue="nQhtRL4x5vy1b5V1uINJC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DCYB9x6Qm39FWERh+D5cxzUnSWFWQXSvIZiy7qx5uq8R86hhHKQ/b2EEiP3FpIg/nK7c4st2svbi4K6xAuoeNw==" saltValue="3ZXxOXQDUD11k6goPIlI6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hcipapfr67T8rcj5SrzsqrUpdbmmszVyvhJiq5ehjPRGsAqQr8GX0JlCChfWZjp2Nn9BNIqCnxKjhd8jWQ1BOA==" saltValue="TAFvj8lHTsRmdYCOw1fG+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s/XZCwutZtlV32o0WF1/AHjQtJSIiKJaeMAmaKBrkaGBvvTjDG6WTQCr/wl6kqGEdPvQZfBZrVIg9ChSLM6CA==" saltValue="97jenEM50KZrZ5a0UFbIF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ck0z/9ZZJTbArLcNZf1hOcxMfp9pcbquz5iWK1Q2GN5gA84QRqb33OJVSq3elw8ODLJfHYldFV0ma4BSLqi++g==" saltValue="pWmEkY1XQnAu8Ejkqm3n7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1xxYtxHKFaI0vETNszubTlB2TFmpjrwuJ6tN9CoMPbYJ3Gx3hP1vAJ7WV+iibEXKCBw8CQErZE/fbvB3V/JHmg==" saltValue="1SJiFQSvntVpWHuIL03im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peVRiBOkSXkj6WoR1m6ECpIfYvERthxJhzPe94Tx66ysBQK1uI2UUYSsIQRnOwh+NClBLzgE5+bJc/XMi4enIg==" saltValue="gZpXvHpbAesqeVkFzQnsh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hQRrzMO7J2+JEfJcqWsgug7eNFDF4FnxTKKeP+cu3vUoypJIjnZRMsV5B2Dq9XpKvn3sfLOPgGje2euzD7RhQ==" saltValue="xh4qX8jE5HRNksTKB0pN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+nVdsnYTFKmWGrwHSnqC3VHc/vjNZBLGj0eV28jqLD1UPeFZu2Od+5usjj9Tncvv2NUBuh/Q6EXwBQxIGvhZA==" saltValue="DsL20jKC2nDCZUz25NHx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IXjg/WCb2+7RJGS835gF4+b/2DfloTTYR0WXaoTKqOgi7b/tQ0rnEJ+yId2W2ZpHd9fwDzsUtmsEteA8LKYgZA==" saltValue="O5Sv+Rcwq2Nn9XJv+xCa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XWNdfBUmvLn28QrMjFr3BIjFk2MnkMWr8diPRb+veDDy590Mup3b7c0sU+W9FJyDqDEBQXxp7wLOye3os/4ebQ==" saltValue="vOEy+SrcwkaMx0qWVVy4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ugNK3DGFGioGxZvDHbVggttfan3EVx1FTZQxhoubbYmWcv6S9VhZ91jjxsAUtKewjuY+FwmJ7UdduiXLNRdmg==" saltValue="Lh5SB1mx2LOVeVAcUYdo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ciVm5Dhv/Y82/DNbuwI9kotv/MFUGmz9g59a+yNG2ycWzyJuVHoa8q86FAJkQ3UwFcteXB7cCo6IqCvDA1vLg==" saltValue="ucMiZ6VvicD229aLXdcTq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x03FiHoT6/DXW3wW0APPjY/otgOoCLTXQeVIY6cLpCt24d4YKTfoN5vkdo6WCgSGy2woJebYoxEsGNJpXPEhHg==" saltValue="N3hUbLi25bJBBPNKDjh6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Mn6VfeC+2qIGdWtr+anKAXOBWIPQ+qeUesHScN7+2BD8EokPbB+GD3S7/RMmd/ENRU5qSr3bGNrOVjLg6iuCA==" saltValue="2agsYefZH4hogMz+8A/t/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2024-05-17T00:47:03Z</dcterms:modified>
</cp:coreProperties>
</file>