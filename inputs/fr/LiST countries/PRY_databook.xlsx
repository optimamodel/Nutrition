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03D1490-50B4-4BDE-BF46-16356AF79D7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I4" i="2"/>
  <c r="I8" i="2"/>
  <c r="A36" i="2"/>
  <c r="A31" i="2"/>
  <c r="A37" i="2"/>
  <c r="A26" i="2"/>
  <c r="I39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<sst xmlns="http://schemas.openxmlformats.org/spreadsheetml/2006/main" count="2169" uniqueCount="369">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</sst>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672592.5</v>
      </c>
    </row>
    <row r="8" spans="1:3" ht="15" customHeight="1" x14ac:dyDescent="0.25">
      <c r="B8" s="5" t="s">
        <v>37</v>
      </c>
      <c r="C8" s="44">
        <v>1.6E-2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0.66318046569824207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0.1144</v>
      </c>
    </row>
    <row r="24" spans="1:3" ht="15" customHeight="1" x14ac:dyDescent="0.25">
      <c r="B24" s="15" t="s">
        <v>51</v>
      </c>
      <c r="C24" s="45">
        <v>0.50659999999999994</v>
      </c>
    </row>
    <row r="25" spans="1:3" ht="15" customHeight="1" x14ac:dyDescent="0.25">
      <c r="B25" s="15" t="s">
        <v>52</v>
      </c>
      <c r="C25" s="45">
        <v>0.32169999999999999</v>
      </c>
    </row>
    <row r="26" spans="1:3" ht="15" customHeight="1" x14ac:dyDescent="0.25">
      <c r="B26" s="15" t="s">
        <v>53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0.247134217009016</v>
      </c>
    </row>
    <row r="30" spans="1:3" ht="14.25" customHeight="1" x14ac:dyDescent="0.25">
      <c r="B30" s="25" t="s">
        <v>56</v>
      </c>
      <c r="C30" s="97">
        <v>0.12625974442754401</v>
      </c>
    </row>
    <row r="31" spans="1:3" ht="14.25" customHeight="1" x14ac:dyDescent="0.25">
      <c r="B31" s="25" t="s">
        <v>57</v>
      </c>
      <c r="C31" s="97">
        <v>0.15756466930712501</v>
      </c>
    </row>
    <row r="32" spans="1:3" ht="14.25" customHeight="1" x14ac:dyDescent="0.25">
      <c r="B32" s="25" t="s">
        <v>58</v>
      </c>
      <c r="C32" s="97">
        <v>0.46904136925631501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9.6517900000000001</v>
      </c>
    </row>
    <row r="38" spans="1:5" ht="15" customHeight="1" x14ac:dyDescent="0.25">
      <c r="B38" s="11" t="s">
        <v>63</v>
      </c>
      <c r="C38" s="43">
        <v>15.57174</v>
      </c>
      <c r="D38" s="12"/>
      <c r="E38" s="13"/>
    </row>
    <row r="39" spans="1:5" ht="15" customHeight="1" x14ac:dyDescent="0.25">
      <c r="B39" s="11" t="s">
        <v>64</v>
      </c>
      <c r="C39" s="43">
        <v>18.157489999999999</v>
      </c>
      <c r="D39" s="12"/>
      <c r="E39" s="12"/>
    </row>
    <row r="40" spans="1:5" ht="15" customHeight="1" x14ac:dyDescent="0.25">
      <c r="B40" s="11" t="s">
        <v>65</v>
      </c>
      <c r="C40" s="98">
        <v>0.71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6.6461999999999997E-3</v>
      </c>
      <c r="D45" s="12"/>
    </row>
    <row r="46" spans="1:5" ht="15.75" customHeight="1" x14ac:dyDescent="0.25">
      <c r="B46" s="11" t="s">
        <v>70</v>
      </c>
      <c r="C46" s="45">
        <v>7.1412900000000001E-2</v>
      </c>
      <c r="D46" s="12"/>
    </row>
    <row r="47" spans="1:5" ht="15.75" customHeight="1" x14ac:dyDescent="0.25">
      <c r="B47" s="11" t="s">
        <v>71</v>
      </c>
      <c r="C47" s="45">
        <v>7.4680700000000003E-2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0.56980299999999995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53WxNC7EFt+fBzZNWQUF9wD4Mm1ocT4cQTDJdAofpRno3CddC6bNTWkTDXleo3suHFLvQ84HMXgDMTfX4WgOLA==" saltValue="pi3iG5s7OWYni7N0GIw4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136695</v>
      </c>
      <c r="C2" s="49">
        <v>287354</v>
      </c>
      <c r="D2" s="49">
        <v>578966</v>
      </c>
      <c r="E2" s="49">
        <v>547535.5</v>
      </c>
      <c r="F2" s="49">
        <v>397018</v>
      </c>
      <c r="G2" s="17">
        <f t="shared" ref="G2:G13" si="0">C2+D2+E2+F2</f>
        <v>1810873.5</v>
      </c>
      <c r="H2" s="17">
        <f t="shared" ref="H2:H13" si="1">(B2 + stillbirth*B2/(1000-stillbirth))/(1-abortion)</f>
        <v>156906.69964892213</v>
      </c>
      <c r="I2" s="17">
        <f t="shared" ref="I2:I13" si="2">G2-H2</f>
        <v>1653966.8003510779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135786</v>
      </c>
      <c r="C3" s="50">
        <v>289685.5</v>
      </c>
      <c r="D3" s="50">
        <v>574550.99999999988</v>
      </c>
      <c r="E3" s="50">
        <v>554684.50000000012</v>
      </c>
      <c r="F3" s="50">
        <v>412006.49999999994</v>
      </c>
      <c r="G3" s="17">
        <f t="shared" si="0"/>
        <v>1830927.5</v>
      </c>
      <c r="H3" s="17">
        <f t="shared" si="1"/>
        <v>155863.29506220811</v>
      </c>
      <c r="I3" s="17">
        <f t="shared" si="2"/>
        <v>1675064.2049377919</v>
      </c>
    </row>
    <row r="4" spans="1:9" ht="15.75" customHeight="1" x14ac:dyDescent="0.25">
      <c r="A4" s="5">
        <f t="shared" si="3"/>
        <v>2026</v>
      </c>
      <c r="B4" s="49">
        <v>134692</v>
      </c>
      <c r="C4" s="50">
        <v>292438.5</v>
      </c>
      <c r="D4" s="50">
        <v>570163</v>
      </c>
      <c r="E4" s="50">
        <v>560512.5</v>
      </c>
      <c r="F4" s="50">
        <v>427706.5</v>
      </c>
      <c r="G4" s="17">
        <f t="shared" si="0"/>
        <v>1850820.5</v>
      </c>
      <c r="H4" s="17">
        <f t="shared" si="1"/>
        <v>154607.53640669092</v>
      </c>
      <c r="I4" s="17">
        <f t="shared" si="2"/>
        <v>1696212.963593309</v>
      </c>
    </row>
    <row r="5" spans="1:9" ht="15.75" customHeight="1" x14ac:dyDescent="0.25">
      <c r="A5" s="5">
        <f t="shared" si="3"/>
        <v>2027</v>
      </c>
      <c r="B5" s="49">
        <v>133752</v>
      </c>
      <c r="C5" s="50">
        <v>296112.5</v>
      </c>
      <c r="D5" s="50">
        <v>566020</v>
      </c>
      <c r="E5" s="50">
        <v>565031.5</v>
      </c>
      <c r="F5" s="50">
        <v>443664.5</v>
      </c>
      <c r="G5" s="17">
        <f t="shared" si="0"/>
        <v>1870828.5</v>
      </c>
      <c r="H5" s="17">
        <f t="shared" si="1"/>
        <v>153528.54816520453</v>
      </c>
      <c r="I5" s="17">
        <f t="shared" si="2"/>
        <v>1717299.9518347955</v>
      </c>
    </row>
    <row r="6" spans="1:9" ht="15.75" customHeight="1" x14ac:dyDescent="0.25">
      <c r="A6" s="5">
        <f t="shared" si="3"/>
        <v>2028</v>
      </c>
      <c r="B6" s="49">
        <v>132847</v>
      </c>
      <c r="C6" s="50">
        <v>300178.5</v>
      </c>
      <c r="D6" s="50">
        <v>562815</v>
      </c>
      <c r="E6" s="50">
        <v>568221</v>
      </c>
      <c r="F6" s="50">
        <v>459585.5</v>
      </c>
      <c r="G6" s="17">
        <f t="shared" si="0"/>
        <v>1890800</v>
      </c>
      <c r="H6" s="17">
        <f t="shared" si="1"/>
        <v>152489.73501781598</v>
      </c>
      <c r="I6" s="17">
        <f t="shared" si="2"/>
        <v>1738310.2649821839</v>
      </c>
    </row>
    <row r="7" spans="1:9" ht="15.75" customHeight="1" x14ac:dyDescent="0.25">
      <c r="A7" s="5">
        <f t="shared" si="3"/>
        <v>2029</v>
      </c>
      <c r="B7" s="49">
        <v>132003</v>
      </c>
      <c r="C7" s="50">
        <v>304485</v>
      </c>
      <c r="D7" s="50">
        <v>561043</v>
      </c>
      <c r="E7" s="50">
        <v>570051.99999999988</v>
      </c>
      <c r="F7" s="50">
        <v>474999.5</v>
      </c>
      <c r="G7" s="17">
        <f t="shared" si="0"/>
        <v>1910579.5</v>
      </c>
      <c r="H7" s="17">
        <f t="shared" si="1"/>
        <v>151520.94132014093</v>
      </c>
      <c r="I7" s="17">
        <f t="shared" si="2"/>
        <v>1759058.5586798592</v>
      </c>
    </row>
    <row r="8" spans="1:9" ht="15.75" customHeight="1" x14ac:dyDescent="0.25">
      <c r="A8" s="5">
        <f t="shared" si="3"/>
        <v>2030</v>
      </c>
      <c r="B8" s="49">
        <v>131254</v>
      </c>
      <c r="C8" s="50">
        <v>309638</v>
      </c>
      <c r="D8" s="50">
        <v>560643</v>
      </c>
      <c r="E8" s="50">
        <v>570429.5</v>
      </c>
      <c r="F8" s="50">
        <v>489104</v>
      </c>
      <c r="G8" s="17">
        <f t="shared" si="0"/>
        <v>1929814.5</v>
      </c>
      <c r="H8" s="17">
        <f t="shared" si="1"/>
        <v>150661.19430644589</v>
      </c>
      <c r="I8" s="17">
        <f t="shared" si="2"/>
        <v>1779153.3056935542</v>
      </c>
    </row>
    <row r="9" spans="1:9" ht="15.75" customHeight="1" x14ac:dyDescent="0.25">
      <c r="A9" s="5">
        <f t="shared" si="3"/>
        <v>2031</v>
      </c>
      <c r="B9" s="49">
        <v>130380</v>
      </c>
      <c r="C9" s="50">
        <v>315159.5</v>
      </c>
      <c r="D9" s="50">
        <v>561904</v>
      </c>
      <c r="E9" s="50">
        <v>569065.49999999988</v>
      </c>
      <c r="F9" s="50">
        <v>501645</v>
      </c>
      <c r="G9" s="17">
        <f t="shared" si="0"/>
        <v>1947774</v>
      </c>
      <c r="H9" s="17">
        <f t="shared" si="1"/>
        <v>149657.96481382981</v>
      </c>
      <c r="I9" s="17">
        <f t="shared" si="2"/>
        <v>1798116.0351861701</v>
      </c>
    </row>
    <row r="10" spans="1:9" ht="15.75" customHeight="1" x14ac:dyDescent="0.25">
      <c r="A10" s="5">
        <f t="shared" si="3"/>
        <v>2032</v>
      </c>
      <c r="B10" s="49">
        <v>129862</v>
      </c>
      <c r="C10" s="50">
        <v>319938.5</v>
      </c>
      <c r="D10" s="50">
        <v>565360.5</v>
      </c>
      <c r="E10" s="50">
        <v>566016.00000000012</v>
      </c>
      <c r="F10" s="50">
        <v>512853.00000000006</v>
      </c>
      <c r="G10" s="17">
        <f t="shared" si="0"/>
        <v>1964168</v>
      </c>
      <c r="H10" s="17">
        <f t="shared" si="1"/>
        <v>149063.37342118091</v>
      </c>
      <c r="I10" s="17">
        <f t="shared" si="2"/>
        <v>1815104.626578819</v>
      </c>
    </row>
    <row r="11" spans="1:9" ht="15.75" customHeight="1" x14ac:dyDescent="0.25">
      <c r="A11" s="5">
        <f t="shared" si="3"/>
        <v>2033</v>
      </c>
      <c r="B11" s="49">
        <v>129392</v>
      </c>
      <c r="C11" s="50">
        <v>323734</v>
      </c>
      <c r="D11" s="50">
        <v>570612.5</v>
      </c>
      <c r="E11" s="50">
        <v>561997.00000000012</v>
      </c>
      <c r="F11" s="50">
        <v>522710.5</v>
      </c>
      <c r="G11" s="17">
        <f t="shared" si="0"/>
        <v>1979054</v>
      </c>
      <c r="H11" s="17">
        <f t="shared" si="1"/>
        <v>148523.87930043769</v>
      </c>
      <c r="I11" s="17">
        <f t="shared" si="2"/>
        <v>1830530.1206995624</v>
      </c>
    </row>
    <row r="12" spans="1:9" ht="15.75" customHeight="1" x14ac:dyDescent="0.25">
      <c r="A12" s="5">
        <f t="shared" si="3"/>
        <v>2034</v>
      </c>
      <c r="B12" s="49">
        <v>128959</v>
      </c>
      <c r="C12" s="50">
        <v>326221.5</v>
      </c>
      <c r="D12" s="50">
        <v>577078</v>
      </c>
      <c r="E12" s="50">
        <v>557773.5</v>
      </c>
      <c r="F12" s="50">
        <v>531141.5</v>
      </c>
      <c r="G12" s="17">
        <f t="shared" si="0"/>
        <v>1992214.5</v>
      </c>
      <c r="H12" s="17">
        <f t="shared" si="1"/>
        <v>148026.8559934551</v>
      </c>
      <c r="I12" s="17">
        <f t="shared" si="2"/>
        <v>1844187.644006545</v>
      </c>
    </row>
    <row r="13" spans="1:9" ht="15.75" customHeight="1" x14ac:dyDescent="0.25">
      <c r="A13" s="5">
        <f t="shared" si="3"/>
        <v>2035</v>
      </c>
      <c r="B13" s="49">
        <v>128570</v>
      </c>
      <c r="C13" s="50">
        <v>327092</v>
      </c>
      <c r="D13" s="50">
        <v>584670.5</v>
      </c>
      <c r="E13" s="50">
        <v>553597</v>
      </c>
      <c r="F13" s="50">
        <v>538337</v>
      </c>
      <c r="G13" s="17">
        <f t="shared" si="0"/>
        <v>2003696.5</v>
      </c>
      <c r="H13" s="17">
        <f t="shared" si="1"/>
        <v>147580.33851905275</v>
      </c>
      <c r="I13" s="17">
        <f t="shared" si="2"/>
        <v>1856116.1614809472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lrqLXCOSuCR1pz0EQSqlcb4ZYfq/E6KzMOqYAsvSYLPW/bh66DsF/BGF1dOT/EQVfdWqtS+YWbePUqbYzg6Ag==" saltValue="1BuKxJtjlfcJgQrW6cbAm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7.6678956102072828E-4</v>
      </c>
    </row>
    <row r="4" spans="1:8" ht="15.75" customHeight="1" x14ac:dyDescent="0.25">
      <c r="B4" s="19" t="s">
        <v>97</v>
      </c>
      <c r="C4" s="99">
        <v>6.4427525134935867E-2</v>
      </c>
    </row>
    <row r="5" spans="1:8" ht="15.75" customHeight="1" x14ac:dyDescent="0.25">
      <c r="B5" s="19" t="s">
        <v>98</v>
      </c>
      <c r="C5" s="99">
        <v>3.1018022905075229E-2</v>
      </c>
    </row>
    <row r="6" spans="1:8" ht="15.75" customHeight="1" x14ac:dyDescent="0.25">
      <c r="B6" s="19" t="s">
        <v>99</v>
      </c>
      <c r="C6" s="99">
        <v>0.1851606267612057</v>
      </c>
    </row>
    <row r="7" spans="1:8" ht="15.75" customHeight="1" x14ac:dyDescent="0.25">
      <c r="B7" s="19" t="s">
        <v>100</v>
      </c>
      <c r="C7" s="99">
        <v>0.44250568466396889</v>
      </c>
    </row>
    <row r="8" spans="1:8" ht="15.75" customHeight="1" x14ac:dyDescent="0.25">
      <c r="B8" s="19" t="s">
        <v>101</v>
      </c>
      <c r="C8" s="99">
        <v>1.07512557466712E-4</v>
      </c>
    </row>
    <row r="9" spans="1:8" ht="15.75" customHeight="1" x14ac:dyDescent="0.25">
      <c r="B9" s="19" t="s">
        <v>102</v>
      </c>
      <c r="C9" s="99">
        <v>0.17925163659115381</v>
      </c>
    </row>
    <row r="10" spans="1:8" ht="15.75" customHeight="1" x14ac:dyDescent="0.25">
      <c r="B10" s="19" t="s">
        <v>103</v>
      </c>
      <c r="C10" s="99">
        <v>9.6762201825173214E-2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106</v>
      </c>
      <c r="C15" s="99">
        <v>0.36070214212649582</v>
      </c>
      <c r="D15" s="99">
        <v>0.36070214212649582</v>
      </c>
      <c r="E15" s="99">
        <v>0.36070214212649582</v>
      </c>
      <c r="F15" s="99">
        <v>0.36070214212649582</v>
      </c>
    </row>
    <row r="16" spans="1:8" ht="15.75" customHeight="1" x14ac:dyDescent="0.25">
      <c r="B16" s="19" t="s">
        <v>107</v>
      </c>
      <c r="C16" s="99">
        <v>3.7287091450664667E-2</v>
      </c>
      <c r="D16" s="99">
        <v>3.7287091450664667E-2</v>
      </c>
      <c r="E16" s="99">
        <v>3.7287091450664667E-2</v>
      </c>
      <c r="F16" s="99">
        <v>3.7287091450664667E-2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0.104489465138261</v>
      </c>
      <c r="D19" s="99">
        <v>0.104489465138261</v>
      </c>
      <c r="E19" s="99">
        <v>0.104489465138261</v>
      </c>
      <c r="F19" s="99">
        <v>0.104489465138261</v>
      </c>
    </row>
    <row r="20" spans="1:8" ht="15.75" customHeight="1" x14ac:dyDescent="0.25">
      <c r="B20" s="19" t="s">
        <v>111</v>
      </c>
      <c r="C20" s="99">
        <v>3.0766079362013359E-2</v>
      </c>
      <c r="D20" s="99">
        <v>3.0766079362013359E-2</v>
      </c>
      <c r="E20" s="99">
        <v>3.0766079362013359E-2</v>
      </c>
      <c r="F20" s="99">
        <v>3.0766079362013359E-2</v>
      </c>
    </row>
    <row r="21" spans="1:8" ht="15.75" customHeight="1" x14ac:dyDescent="0.25">
      <c r="B21" s="19" t="s">
        <v>112</v>
      </c>
      <c r="C21" s="99">
        <v>0.28076527745822938</v>
      </c>
      <c r="D21" s="99">
        <v>0.28076527745822938</v>
      </c>
      <c r="E21" s="99">
        <v>0.28076527745822938</v>
      </c>
      <c r="F21" s="99">
        <v>0.28076527745822938</v>
      </c>
    </row>
    <row r="22" spans="1:8" ht="15.75" customHeight="1" x14ac:dyDescent="0.25">
      <c r="B22" s="19" t="s">
        <v>113</v>
      </c>
      <c r="C22" s="99">
        <v>1.2706881208333839E-2</v>
      </c>
      <c r="D22" s="99">
        <v>1.2706881208333839E-2</v>
      </c>
      <c r="E22" s="99">
        <v>1.2706881208333839E-2</v>
      </c>
      <c r="F22" s="99">
        <v>1.2706881208333839E-2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2.8053887999999999E-2</v>
      </c>
    </row>
    <row r="27" spans="1:8" ht="15.75" customHeight="1" x14ac:dyDescent="0.25">
      <c r="B27" s="19" t="s">
        <v>120</v>
      </c>
      <c r="C27" s="99">
        <v>2.2885193000000002E-2</v>
      </c>
    </row>
    <row r="28" spans="1:8" ht="15.75" customHeight="1" x14ac:dyDescent="0.25">
      <c r="B28" s="19" t="s">
        <v>121</v>
      </c>
      <c r="C28" s="99">
        <v>0.17241262399999999</v>
      </c>
    </row>
    <row r="29" spans="1:8" ht="15.75" customHeight="1" x14ac:dyDescent="0.25">
      <c r="B29" s="19" t="s">
        <v>122</v>
      </c>
      <c r="C29" s="99">
        <v>0.185358881</v>
      </c>
    </row>
    <row r="30" spans="1:8" ht="15.75" customHeight="1" x14ac:dyDescent="0.25">
      <c r="B30" s="19" t="s">
        <v>2</v>
      </c>
      <c r="C30" s="99">
        <v>0.10644221299999999</v>
      </c>
    </row>
    <row r="31" spans="1:8" ht="15.75" customHeight="1" x14ac:dyDescent="0.25">
      <c r="B31" s="19" t="s">
        <v>123</v>
      </c>
      <c r="C31" s="99">
        <v>0.22565471400000001</v>
      </c>
    </row>
    <row r="32" spans="1:8" ht="15.75" customHeight="1" x14ac:dyDescent="0.25">
      <c r="B32" s="19" t="s">
        <v>124</v>
      </c>
      <c r="C32" s="99">
        <v>2.5746142999999999E-2</v>
      </c>
    </row>
    <row r="33" spans="2:3" ht="15.75" customHeight="1" x14ac:dyDescent="0.25">
      <c r="B33" s="19" t="s">
        <v>125</v>
      </c>
      <c r="C33" s="99">
        <v>9.9438820999999997E-2</v>
      </c>
    </row>
    <row r="34" spans="2:3" ht="15.75" customHeight="1" x14ac:dyDescent="0.25">
      <c r="B34" s="19" t="s">
        <v>126</v>
      </c>
      <c r="C34" s="99">
        <v>0.13400752399999999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hmvsS4nOC3vob9IMvcXDlLv6wS2xicDr59SkL4mALdRoyOTMqxTyrPljzJW8LUEOh3oZTOb9Vpel7BpESlOa9g==" saltValue="YHZGOfYEwphaXCo4x3BRQ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132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133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137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138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Xf6hD7EC165CU4yDhZpKnGt98zAVq5hh67TA29GhmsJes9WuxNuS3V/DF+MeHXBz9qX283qlCqXKfPGlreYUQ==" saltValue="twI+1twKiAfzA8rCER5X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1.5739100000000006E-2</v>
      </c>
      <c r="D5" s="52">
        <f t="shared" si="0"/>
        <v>9.1313900000000059E-2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rqKL4viLMtqifw7fKZS1sjH9JBoRuTDGBfg9MEwARCNApKcmOL6+LXODqMnyUtdbM7y2WSh3VNt6xcpPxI78qg==" saltValue="mZg4hnF/ETBssie1uJ0YU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LB9TElpmrG8jHv8AtvvsioNKAl5UDa0xs9ZTKSwGWqtk8MtbQqC4JDlufwVvWTi9U+0MnAX3SmbdxVe9Raejw==" saltValue="zjPSgg+iYSw6T7itqxZGZ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6153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0.43396999999999997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0.62719999999999998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1.4142721183422214E-2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98110.334319999994</v>
      </c>
      <c r="C22" s="107">
        <v>98029.074359999999</v>
      </c>
      <c r="D22" s="107">
        <v>97835.277960000007</v>
      </c>
      <c r="E22" s="107">
        <v>97466.06379</v>
      </c>
      <c r="F22" s="107">
        <v>96921.835269999996</v>
      </c>
      <c r="G22" s="107">
        <v>96347.975090000007</v>
      </c>
      <c r="H22" s="107">
        <v>95679.103470000002</v>
      </c>
      <c r="I22" s="107">
        <v>94850.121780000001</v>
      </c>
      <c r="J22" s="107">
        <v>93681.443079999997</v>
      </c>
      <c r="K22" s="107">
        <v>91993.682570000004</v>
      </c>
      <c r="L22" s="107">
        <v>89430.391820000004</v>
      </c>
      <c r="M22" s="107">
        <v>85805.020550000001</v>
      </c>
      <c r="N22" s="107">
        <v>80444.589720000004</v>
      </c>
      <c r="O22" s="107">
        <v>73189.294370000003</v>
      </c>
    </row>
  </sheetData>
  <sheetProtection algorithmName="SHA-512" hashValue="1Ru3gE3CFYcE69j3LdnjckiUGFUnLd7nAAE+OPcB9t3kVMTKw9mdCj0uhMng6pMF5LIws47PXrerI9800o6Ozg==" saltValue="q2ZHOY/lLE9JlbcfLz8Sl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kYwrV5PnMijYf2u5hnqUf1sPzE5WkL+eoCMzUAAjVk4fA0GfKGtc4gVmUwaKHvSMmcRZkD50+3mvJu6IFhj9ZA==" saltValue="yBE+sptJXhXFHTvbtuOsq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221s61VijZ53P6XX4ITDMCUzQNHZ2y8QfI04Ym2/z6F6yjGj9JqkhveUvqUNAkE4o92l2sLOnXVmBZ2z3mEdVw==" saltValue="8b+3/5mb8gb+VtMXQNI5Y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13.0029542906315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13.0029542906315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13.0029542906315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13.0029542906315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13.0029542906315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13.0029542906315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0.20165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0.30086489999999999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0.30086489999999999</v>
      </c>
      <c r="C19" s="96">
        <v>0.95</v>
      </c>
      <c r="D19" s="56">
        <v>9.4026515569123248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4.2735719414984246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0.66650893535570011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0.28195290000000001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0.520675</v>
      </c>
      <c r="C29" s="96">
        <v>0.95</v>
      </c>
      <c r="D29" s="56">
        <v>112.6831812504641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0.80153059999999998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0.22192899999999999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2.98415E-2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7.1380600000000002E-2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054dvdNskoYz1ZV8VJjiuybgRuXGwwcr1gNYRZGACfUN7Kp/U7Bx4lVuAY3wSfFV4s3rHI1pZWy9bmW9c3/CEQ==" saltValue="Zy0cXWv5SqjzKatvwDXe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eNZ3HtCr3csKmfXsQXuzOoQW3/DprgOxDw1XCEGVx/9o+rVbFfgHYUW/nsp4seN0Ea3DFqODgaUsjA9cr4Rwg==" saltValue="4zRtNfHiKxeQQ2YGEzP4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cMQvSQxGi17ESmdjoys4EjAN4jYxx9y6cBKD4ZC0w3FB1H4TJpzfVBqDhuDyU0ap9K2Wo7+DmM+Ydj9TnOHqA==" saltValue="aps0n0NroTdItluwgKbg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237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sheetProtection algorithmName="SHA-512" hashValue="ulM7EBluJ6cxtEC0G2SqWxqO5NQO4DYikH82Fx4dHPxstKp8y/viAGaSnJF4MTblGUjpgiayuXIG7VRNmQFaMg==" saltValue="oVvWwmNZglaxqKotAEM7j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1.6E-2</v>
      </c>
      <c r="F2" s="60">
        <f>food_insecure</f>
        <v>1.6E-2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1.6E-2</v>
      </c>
      <c r="I15" s="60">
        <f t="shared" si="0"/>
        <v>1.6E-2</v>
      </c>
      <c r="J15" s="60">
        <f t="shared" si="0"/>
        <v>1.6E-2</v>
      </c>
      <c r="K15" s="60">
        <f t="shared" si="0"/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1.6E-2</v>
      </c>
      <c r="I16" s="60">
        <f t="shared" si="0"/>
        <v>1.6E-2</v>
      </c>
      <c r="J16" s="60">
        <f t="shared" si="0"/>
        <v>1.6E-2</v>
      </c>
      <c r="K16" s="60">
        <f t="shared" si="0"/>
        <v>1.6E-2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8Hyno/l65IpT425RShb+iP1z5k1EnJQQdn1fFMfutZMNZexeP6IC0OI8Ggrk3xoKGHFTki00SfZpGPmiGetDg==" saltValue="vxhuH+/8ZmBf5ceGa0Td/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ABCxBRhzpqe5dB0caDxzhGBYF93r4tU0ErDpCf7lP3IpjhgyEz8CE1CdKAU7QwUiejdqLTna3v9GZOfxJbHgQ==" saltValue="IkcHlHjaOIl6JuFjWcfq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yNvknzi/5FD99LuI8tu4/2vioek+mp86tJYClQ3eL7g70YaGDUkLwGqsxCSY9mKNDI6bepCsmZsyOKsB2J0Bw==" saltValue="sUIOc4TIhMFSTb69hKR0+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7ruNDhKNakAHsRx4k/Ba6p43TZbiybdO3usPup1UkUXkJyL09hu0LEhrY01CH3LSNgi9hUVVfVZQZtE36Iu/w==" saltValue="LY8Zi+cK6D1O7ihAJGDYp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BItwVrg6Ep+YOfRn2c4vPOpI9WsCPrZiySb9sCeC3t8IaN9hWDcWIpgEcFI03WUhPNnVq6A9kiUuO3/ne1nM6Q==" saltValue="BVCVIZMxHvVt6ClaGN6Xk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7/dIXI1VtrjPG8dC2uQkuAEnZDkKHEVHkkzLKYWl14CNKiI1okiRdZobTvwJBU4mxlYsZr47Mhvq0cjGHOFbmg==" saltValue="yL97Y+FqEVgud1Us0icBE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OV/Xqg9YOXmWAaoKKCD9QjzRE5walWcnybSS74Ac+bP55sVc/7LKlRSQ56cNr8dmDmiEtQamQZ6seLHYQW4nQ==" saltValue="v0QpZv4FYpQcNI2q2/TCs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9MOSoo4eV9V6iQ+cyokO2lggJeaWXINfhxH0+NXTwt/X4sHfiA6AvnBFWaURfW+EbHbbcnNATTBH5sdXsVKoUw==" saltValue="gtQda1g+2AFSYO5MzH9s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KsJcTdIHd9J6gezUo6Zb3n7W0uOdJrVmnz9XF6ymQpk4nTRvBMC6ycM54BH3FNcnGUQu3ZfUsnCBQm4ewslmw==" saltValue="xh8aWby1teVyXt9I1Ufu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1L1sdcIqAHmMuJehRMMFvQy7tSX3jY4Mk8Lxh7hkzVhb9ADWrVwKz28XA5ksSPLxiw/++RctyopxYgtk50omxA==" saltValue="GCt76dxWB/rMEjMgrJFk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cEw3LEjgmYUsJ02Y0CTkesrD08QDiYQ4vYzWsIEiyaYxuk6M0b1Ub5/qjWUId7eyy6jHAFljNOFbbZQbndOmA==" saltValue="erfebhUr00Q50DOu0654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a2bqa2ujWXRiIhxypzUldZF9uIUNFTJZufWLgBUo02nH8WZ75gQSfg+TA6jsq2C1MJVNRJE/sGz0hd3TYQV5Q==" saltValue="QtSy5R7JXE8eaS8WJfSB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nJNPbV8YOpKBadlxdM7PDdWpmo2A5ffSSu1WmkKMcdiFxj4M5ZMZuS3c6gwlBXZv6ucDN8OiLxyrwjjhVR68Q==" saltValue="4zRQSZHGmZOk15QtA3Ag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mhTfOV89IEerlmrCkmTZTobWnkGizMoB2bH3XZAzhZI/uPJjcKioY+vdtXJhmN0SgZmuFbcQ3NOQqO3JKy1FA==" saltValue="W6UOzRYDhlkykJYujPXd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X8N/lb7RjPNmjIYIsuclFUZoYe0fSNqROZetUpFfTeJIUoVrPpYwfDJlxcoH8AX2I1ys/kHqohlcSNlWyOmNWQ==" saltValue="XR/gIieLhS0jJ8TacdGo/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2025-07-30T03:15:38Z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