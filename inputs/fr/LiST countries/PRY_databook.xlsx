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155D8E21-9AA2-47FB-9BAD-9F256F73EA1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A36" i="2"/>
  <c r="A34" i="2"/>
  <c r="A26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9" i="2" l="1"/>
  <c r="I2" i="2"/>
  <c r="I8" i="2"/>
  <c r="A19" i="2"/>
  <c r="A22" i="2"/>
  <c r="A25" i="2"/>
  <c r="I6" i="2"/>
  <c r="I12" i="2"/>
  <c r="A35" i="2"/>
  <c r="I38" i="2"/>
  <c r="I3" i="2"/>
  <c r="I9" i="2"/>
  <c r="A23" i="2"/>
  <c r="A24" i="2"/>
  <c r="A40" i="2"/>
  <c r="I4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<sst xmlns="http://schemas.openxmlformats.org/spreadsheetml/2006/main" count="2169" uniqueCount="369">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</sst>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672592.5</v>
      </c>
    </row>
    <row r="8" spans="1:3" ht="15" customHeight="1" x14ac:dyDescent="0.25">
      <c r="B8" s="5" t="s">
        <v>37</v>
      </c>
      <c r="C8" s="44">
        <v>1.6E-2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0.66318046569824207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0.17399999999999999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0.1144</v>
      </c>
    </row>
    <row r="24" spans="1:3" ht="15" customHeight="1" x14ac:dyDescent="0.25">
      <c r="B24" s="15" t="s">
        <v>51</v>
      </c>
      <c r="C24" s="45">
        <v>0.50659999999999994</v>
      </c>
    </row>
    <row r="25" spans="1:3" ht="15" customHeight="1" x14ac:dyDescent="0.25">
      <c r="B25" s="15" t="s">
        <v>52</v>
      </c>
      <c r="C25" s="45">
        <v>0.32169999999999999</v>
      </c>
    </row>
    <row r="26" spans="1:3" ht="15" customHeight="1" x14ac:dyDescent="0.25">
      <c r="B26" s="15" t="s">
        <v>53</v>
      </c>
      <c r="C26" s="45">
        <v>5.7299999999999997E-2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0.247134217009016</v>
      </c>
    </row>
    <row r="30" spans="1:3" ht="14.25" customHeight="1" x14ac:dyDescent="0.25">
      <c r="B30" s="25" t="s">
        <v>56</v>
      </c>
      <c r="C30" s="97">
        <v>0.12625974442754401</v>
      </c>
    </row>
    <row r="31" spans="1:3" ht="14.25" customHeight="1" x14ac:dyDescent="0.25">
      <c r="B31" s="25" t="s">
        <v>57</v>
      </c>
      <c r="C31" s="97">
        <v>0.15756466930712501</v>
      </c>
    </row>
    <row r="32" spans="1:3" ht="14.25" customHeight="1" x14ac:dyDescent="0.25">
      <c r="B32" s="25" t="s">
        <v>58</v>
      </c>
      <c r="C32" s="97">
        <v>0.46904136925631501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9.6517900000000001</v>
      </c>
    </row>
    <row r="38" spans="1:5" ht="15" customHeight="1" x14ac:dyDescent="0.25">
      <c r="B38" s="11" t="s">
        <v>63</v>
      </c>
      <c r="C38" s="43">
        <v>15.57174</v>
      </c>
      <c r="D38" s="12"/>
      <c r="E38" s="13"/>
    </row>
    <row r="39" spans="1:5" ht="15" customHeight="1" x14ac:dyDescent="0.25">
      <c r="B39" s="11" t="s">
        <v>64</v>
      </c>
      <c r="C39" s="43">
        <v>18.157489999999999</v>
      </c>
      <c r="D39" s="12"/>
      <c r="E39" s="12"/>
    </row>
    <row r="40" spans="1:5" ht="15" customHeight="1" x14ac:dyDescent="0.25">
      <c r="B40" s="11" t="s">
        <v>65</v>
      </c>
      <c r="C40" s="98">
        <v>0.71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10.015330000000001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6.6461999999999997E-3</v>
      </c>
      <c r="D45" s="12"/>
    </row>
    <row r="46" spans="1:5" ht="15.75" customHeight="1" x14ac:dyDescent="0.25">
      <c r="B46" s="11" t="s">
        <v>70</v>
      </c>
      <c r="C46" s="45">
        <v>7.1412900000000001E-2</v>
      </c>
      <c r="D46" s="12"/>
    </row>
    <row r="47" spans="1:5" ht="15.75" customHeight="1" x14ac:dyDescent="0.25">
      <c r="B47" s="11" t="s">
        <v>71</v>
      </c>
      <c r="C47" s="45">
        <v>7.4680700000000003E-2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0.56980299999999995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8.0900145000000007E-2</v>
      </c>
    </row>
    <row r="63" spans="1:4" ht="15.75" customHeight="1" x14ac:dyDescent="0.3">
      <c r="A63" s="4"/>
    </row>
  </sheetData>
  <sheetProtection algorithmName="SHA-512" hashValue="nvO7JhVwvheR5yQs++oi4iSSzjqhmHe3QB3UyFryuVAx4g2qwhCmE/7rVfJxDn2Nm2qMjsrNkfenSFTOFbXxuw==" saltValue="zqEnpG5bmYBWsQCfO+oV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136695</v>
      </c>
      <c r="C2" s="49">
        <v>287354</v>
      </c>
      <c r="D2" s="49">
        <v>578966</v>
      </c>
      <c r="E2" s="49">
        <v>547535.5</v>
      </c>
      <c r="F2" s="49">
        <v>397018</v>
      </c>
      <c r="G2" s="17">
        <f t="shared" ref="G2:G13" si="0">C2+D2+E2+F2</f>
        <v>1810873.5</v>
      </c>
      <c r="H2" s="17">
        <f t="shared" ref="H2:H13" si="1">(B2 + stillbirth*B2/(1000-stillbirth))/(1-abortion)</f>
        <v>156906.69964892213</v>
      </c>
      <c r="I2" s="17">
        <f t="shared" ref="I2:I13" si="2">G2-H2</f>
        <v>1653966.8003510779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135786</v>
      </c>
      <c r="C3" s="50">
        <v>289685.5</v>
      </c>
      <c r="D3" s="50">
        <v>574550.99999999988</v>
      </c>
      <c r="E3" s="50">
        <v>554684.50000000012</v>
      </c>
      <c r="F3" s="50">
        <v>412006.49999999994</v>
      </c>
      <c r="G3" s="17">
        <f t="shared" si="0"/>
        <v>1830927.5</v>
      </c>
      <c r="H3" s="17">
        <f t="shared" si="1"/>
        <v>155863.29506220811</v>
      </c>
      <c r="I3" s="17">
        <f t="shared" si="2"/>
        <v>1675064.2049377919</v>
      </c>
    </row>
    <row r="4" spans="1:9" ht="15.75" customHeight="1" x14ac:dyDescent="0.25">
      <c r="A4" s="5">
        <f t="shared" si="3"/>
        <v>2026</v>
      </c>
      <c r="B4" s="49">
        <v>134692</v>
      </c>
      <c r="C4" s="50">
        <v>292438.5</v>
      </c>
      <c r="D4" s="50">
        <v>570163</v>
      </c>
      <c r="E4" s="50">
        <v>560512.5</v>
      </c>
      <c r="F4" s="50">
        <v>427706.5</v>
      </c>
      <c r="G4" s="17">
        <f t="shared" si="0"/>
        <v>1850820.5</v>
      </c>
      <c r="H4" s="17">
        <f t="shared" si="1"/>
        <v>154607.53640669092</v>
      </c>
      <c r="I4" s="17">
        <f t="shared" si="2"/>
        <v>1696212.963593309</v>
      </c>
    </row>
    <row r="5" spans="1:9" ht="15.75" customHeight="1" x14ac:dyDescent="0.25">
      <c r="A5" s="5">
        <f t="shared" si="3"/>
        <v>2027</v>
      </c>
      <c r="B5" s="49">
        <v>133752</v>
      </c>
      <c r="C5" s="50">
        <v>296112.5</v>
      </c>
      <c r="D5" s="50">
        <v>566020</v>
      </c>
      <c r="E5" s="50">
        <v>565031.5</v>
      </c>
      <c r="F5" s="50">
        <v>443664.5</v>
      </c>
      <c r="G5" s="17">
        <f t="shared" si="0"/>
        <v>1870828.5</v>
      </c>
      <c r="H5" s="17">
        <f t="shared" si="1"/>
        <v>153528.54816520453</v>
      </c>
      <c r="I5" s="17">
        <f t="shared" si="2"/>
        <v>1717299.9518347955</v>
      </c>
    </row>
    <row r="6" spans="1:9" ht="15.75" customHeight="1" x14ac:dyDescent="0.25">
      <c r="A6" s="5">
        <f t="shared" si="3"/>
        <v>2028</v>
      </c>
      <c r="B6" s="49">
        <v>132847</v>
      </c>
      <c r="C6" s="50">
        <v>300178.5</v>
      </c>
      <c r="D6" s="50">
        <v>562815</v>
      </c>
      <c r="E6" s="50">
        <v>568221</v>
      </c>
      <c r="F6" s="50">
        <v>459585.5</v>
      </c>
      <c r="G6" s="17">
        <f t="shared" si="0"/>
        <v>1890800</v>
      </c>
      <c r="H6" s="17">
        <f t="shared" si="1"/>
        <v>152489.73501781598</v>
      </c>
      <c r="I6" s="17">
        <f t="shared" si="2"/>
        <v>1738310.2649821839</v>
      </c>
    </row>
    <row r="7" spans="1:9" ht="15.75" customHeight="1" x14ac:dyDescent="0.25">
      <c r="A7" s="5">
        <f t="shared" si="3"/>
        <v>2029</v>
      </c>
      <c r="B7" s="49">
        <v>132003</v>
      </c>
      <c r="C7" s="50">
        <v>304485</v>
      </c>
      <c r="D7" s="50">
        <v>561043</v>
      </c>
      <c r="E7" s="50">
        <v>570051.99999999988</v>
      </c>
      <c r="F7" s="50">
        <v>474999.5</v>
      </c>
      <c r="G7" s="17">
        <f t="shared" si="0"/>
        <v>1910579.5</v>
      </c>
      <c r="H7" s="17">
        <f t="shared" si="1"/>
        <v>151520.94132014093</v>
      </c>
      <c r="I7" s="17">
        <f t="shared" si="2"/>
        <v>1759058.5586798592</v>
      </c>
    </row>
    <row r="8" spans="1:9" ht="15.75" customHeight="1" x14ac:dyDescent="0.25">
      <c r="A8" s="5">
        <f t="shared" si="3"/>
        <v>2030</v>
      </c>
      <c r="B8" s="49">
        <v>131254</v>
      </c>
      <c r="C8" s="50">
        <v>309638</v>
      </c>
      <c r="D8" s="50">
        <v>560643</v>
      </c>
      <c r="E8" s="50">
        <v>570429.5</v>
      </c>
      <c r="F8" s="50">
        <v>489104</v>
      </c>
      <c r="G8" s="17">
        <f t="shared" si="0"/>
        <v>1929814.5</v>
      </c>
      <c r="H8" s="17">
        <f t="shared" si="1"/>
        <v>150661.19430644589</v>
      </c>
      <c r="I8" s="17">
        <f t="shared" si="2"/>
        <v>1779153.3056935542</v>
      </c>
    </row>
    <row r="9" spans="1:9" ht="15.75" customHeight="1" x14ac:dyDescent="0.25">
      <c r="A9" s="5">
        <f t="shared" si="3"/>
        <v>2031</v>
      </c>
      <c r="B9" s="49">
        <v>130380</v>
      </c>
      <c r="C9" s="50">
        <v>315159.5</v>
      </c>
      <c r="D9" s="50">
        <v>561904</v>
      </c>
      <c r="E9" s="50">
        <v>569065.49999999988</v>
      </c>
      <c r="F9" s="50">
        <v>501645</v>
      </c>
      <c r="G9" s="17">
        <f t="shared" si="0"/>
        <v>1947774</v>
      </c>
      <c r="H9" s="17">
        <f t="shared" si="1"/>
        <v>149657.96481382981</v>
      </c>
      <c r="I9" s="17">
        <f t="shared" si="2"/>
        <v>1798116.0351861701</v>
      </c>
    </row>
    <row r="10" spans="1:9" ht="15.75" customHeight="1" x14ac:dyDescent="0.25">
      <c r="A10" s="5">
        <f t="shared" si="3"/>
        <v>2032</v>
      </c>
      <c r="B10" s="49">
        <v>129862</v>
      </c>
      <c r="C10" s="50">
        <v>319938.5</v>
      </c>
      <c r="D10" s="50">
        <v>565360.5</v>
      </c>
      <c r="E10" s="50">
        <v>566016.00000000012</v>
      </c>
      <c r="F10" s="50">
        <v>512853.00000000006</v>
      </c>
      <c r="G10" s="17">
        <f t="shared" si="0"/>
        <v>1964168</v>
      </c>
      <c r="H10" s="17">
        <f t="shared" si="1"/>
        <v>149063.37342118091</v>
      </c>
      <c r="I10" s="17">
        <f t="shared" si="2"/>
        <v>1815104.626578819</v>
      </c>
    </row>
    <row r="11" spans="1:9" ht="15.75" customHeight="1" x14ac:dyDescent="0.25">
      <c r="A11" s="5">
        <f t="shared" si="3"/>
        <v>2033</v>
      </c>
      <c r="B11" s="49">
        <v>129392</v>
      </c>
      <c r="C11" s="50">
        <v>323734</v>
      </c>
      <c r="D11" s="50">
        <v>570612.5</v>
      </c>
      <c r="E11" s="50">
        <v>561997.00000000012</v>
      </c>
      <c r="F11" s="50">
        <v>522710.5</v>
      </c>
      <c r="G11" s="17">
        <f t="shared" si="0"/>
        <v>1979054</v>
      </c>
      <c r="H11" s="17">
        <f t="shared" si="1"/>
        <v>148523.87930043769</v>
      </c>
      <c r="I11" s="17">
        <f t="shared" si="2"/>
        <v>1830530.1206995624</v>
      </c>
    </row>
    <row r="12" spans="1:9" ht="15.75" customHeight="1" x14ac:dyDescent="0.25">
      <c r="A12" s="5">
        <f t="shared" si="3"/>
        <v>2034</v>
      </c>
      <c r="B12" s="49">
        <v>128959</v>
      </c>
      <c r="C12" s="50">
        <v>326221.5</v>
      </c>
      <c r="D12" s="50">
        <v>577078</v>
      </c>
      <c r="E12" s="50">
        <v>557773.5</v>
      </c>
      <c r="F12" s="50">
        <v>531141.5</v>
      </c>
      <c r="G12" s="17">
        <f t="shared" si="0"/>
        <v>1992214.5</v>
      </c>
      <c r="H12" s="17">
        <f t="shared" si="1"/>
        <v>148026.8559934551</v>
      </c>
      <c r="I12" s="17">
        <f t="shared" si="2"/>
        <v>1844187.644006545</v>
      </c>
    </row>
    <row r="13" spans="1:9" ht="15.75" customHeight="1" x14ac:dyDescent="0.25">
      <c r="A13" s="5">
        <f t="shared" si="3"/>
        <v>2035</v>
      </c>
      <c r="B13" s="49">
        <v>128570</v>
      </c>
      <c r="C13" s="50">
        <v>327092</v>
      </c>
      <c r="D13" s="50">
        <v>584670.5</v>
      </c>
      <c r="E13" s="50">
        <v>553597</v>
      </c>
      <c r="F13" s="50">
        <v>538337</v>
      </c>
      <c r="G13" s="17">
        <f t="shared" si="0"/>
        <v>2003696.5</v>
      </c>
      <c r="H13" s="17">
        <f t="shared" si="1"/>
        <v>147580.33851905275</v>
      </c>
      <c r="I13" s="17">
        <f t="shared" si="2"/>
        <v>1856116.1614809472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9yqLJ6CuiJy0o+2w1Gev+NpedVjOZvMA38nBi6gRRZUfsNAFRp5PAMIQBiqOTIqCECF2dYryEKPyVvOZNPcrYQ==" saltValue="5GQiCFKMYi67DXLCLK6Ml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7.6678956102072828E-4</v>
      </c>
    </row>
    <row r="4" spans="1:8" ht="15.75" customHeight="1" x14ac:dyDescent="0.25">
      <c r="B4" s="19" t="s">
        <v>97</v>
      </c>
      <c r="C4" s="99">
        <v>6.4427525134935867E-2</v>
      </c>
    </row>
    <row r="5" spans="1:8" ht="15.75" customHeight="1" x14ac:dyDescent="0.25">
      <c r="B5" s="19" t="s">
        <v>98</v>
      </c>
      <c r="C5" s="99">
        <v>3.1018022905075229E-2</v>
      </c>
    </row>
    <row r="6" spans="1:8" ht="15.75" customHeight="1" x14ac:dyDescent="0.25">
      <c r="B6" s="19" t="s">
        <v>99</v>
      </c>
      <c r="C6" s="99">
        <v>0.1851606267612057</v>
      </c>
    </row>
    <row r="7" spans="1:8" ht="15.75" customHeight="1" x14ac:dyDescent="0.25">
      <c r="B7" s="19" t="s">
        <v>100</v>
      </c>
      <c r="C7" s="99">
        <v>0.44250568466396889</v>
      </c>
    </row>
    <row r="8" spans="1:8" ht="15.75" customHeight="1" x14ac:dyDescent="0.25">
      <c r="B8" s="19" t="s">
        <v>101</v>
      </c>
      <c r="C8" s="99">
        <v>1.07512557466712E-4</v>
      </c>
    </row>
    <row r="9" spans="1:8" ht="15.75" customHeight="1" x14ac:dyDescent="0.25">
      <c r="B9" s="19" t="s">
        <v>102</v>
      </c>
      <c r="C9" s="99">
        <v>0.17925163659115381</v>
      </c>
    </row>
    <row r="10" spans="1:8" ht="15.75" customHeight="1" x14ac:dyDescent="0.25">
      <c r="B10" s="19" t="s">
        <v>103</v>
      </c>
      <c r="C10" s="99">
        <v>9.6762201825173214E-2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0.1732830632560021</v>
      </c>
      <c r="D14" s="55">
        <v>0.1732830632560021</v>
      </c>
      <c r="E14" s="55">
        <v>0.1732830632560021</v>
      </c>
      <c r="F14" s="55">
        <v>0.1732830632560021</v>
      </c>
    </row>
    <row r="15" spans="1:8" ht="15.75" customHeight="1" x14ac:dyDescent="0.25">
      <c r="B15" s="19" t="s">
        <v>106</v>
      </c>
      <c r="C15" s="99">
        <v>0.36070214212649582</v>
      </c>
      <c r="D15" s="99">
        <v>0.36070214212649582</v>
      </c>
      <c r="E15" s="99">
        <v>0.36070214212649582</v>
      </c>
      <c r="F15" s="99">
        <v>0.36070214212649582</v>
      </c>
    </row>
    <row r="16" spans="1:8" ht="15.75" customHeight="1" x14ac:dyDescent="0.25">
      <c r="B16" s="19" t="s">
        <v>107</v>
      </c>
      <c r="C16" s="99">
        <v>3.7287091450664667E-2</v>
      </c>
      <c r="D16" s="99">
        <v>3.7287091450664667E-2</v>
      </c>
      <c r="E16" s="99">
        <v>3.7287091450664667E-2</v>
      </c>
      <c r="F16" s="99">
        <v>3.7287091450664667E-2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0.104489465138261</v>
      </c>
      <c r="D19" s="99">
        <v>0.104489465138261</v>
      </c>
      <c r="E19" s="99">
        <v>0.104489465138261</v>
      </c>
      <c r="F19" s="99">
        <v>0.104489465138261</v>
      </c>
    </row>
    <row r="20" spans="1:8" ht="15.75" customHeight="1" x14ac:dyDescent="0.25">
      <c r="B20" s="19" t="s">
        <v>111</v>
      </c>
      <c r="C20" s="99">
        <v>3.0766079362013359E-2</v>
      </c>
      <c r="D20" s="99">
        <v>3.0766079362013359E-2</v>
      </c>
      <c r="E20" s="99">
        <v>3.0766079362013359E-2</v>
      </c>
      <c r="F20" s="99">
        <v>3.0766079362013359E-2</v>
      </c>
    </row>
    <row r="21" spans="1:8" ht="15.75" customHeight="1" x14ac:dyDescent="0.25">
      <c r="B21" s="19" t="s">
        <v>112</v>
      </c>
      <c r="C21" s="99">
        <v>0.28076527745822938</v>
      </c>
      <c r="D21" s="99">
        <v>0.28076527745822938</v>
      </c>
      <c r="E21" s="99">
        <v>0.28076527745822938</v>
      </c>
      <c r="F21" s="99">
        <v>0.28076527745822938</v>
      </c>
    </row>
    <row r="22" spans="1:8" ht="15.75" customHeight="1" x14ac:dyDescent="0.25">
      <c r="B22" s="19" t="s">
        <v>113</v>
      </c>
      <c r="C22" s="99">
        <v>1.2706881208333839E-2</v>
      </c>
      <c r="D22" s="99">
        <v>1.2706881208333839E-2</v>
      </c>
      <c r="E22" s="99">
        <v>1.2706881208333839E-2</v>
      </c>
      <c r="F22" s="99">
        <v>1.2706881208333839E-2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2.8053887999999999E-2</v>
      </c>
    </row>
    <row r="27" spans="1:8" ht="15.75" customHeight="1" x14ac:dyDescent="0.25">
      <c r="B27" s="19" t="s">
        <v>120</v>
      </c>
      <c r="C27" s="99">
        <v>2.2885193000000002E-2</v>
      </c>
    </row>
    <row r="28" spans="1:8" ht="15.75" customHeight="1" x14ac:dyDescent="0.25">
      <c r="B28" s="19" t="s">
        <v>121</v>
      </c>
      <c r="C28" s="99">
        <v>0.17241262399999999</v>
      </c>
    </row>
    <row r="29" spans="1:8" ht="15.75" customHeight="1" x14ac:dyDescent="0.25">
      <c r="B29" s="19" t="s">
        <v>122</v>
      </c>
      <c r="C29" s="99">
        <v>0.185358881</v>
      </c>
    </row>
    <row r="30" spans="1:8" ht="15.75" customHeight="1" x14ac:dyDescent="0.25">
      <c r="B30" s="19" t="s">
        <v>2</v>
      </c>
      <c r="C30" s="99">
        <v>0.10644221299999999</v>
      </c>
    </row>
    <row r="31" spans="1:8" ht="15.75" customHeight="1" x14ac:dyDescent="0.25">
      <c r="B31" s="19" t="s">
        <v>123</v>
      </c>
      <c r="C31" s="99">
        <v>0.22565471400000001</v>
      </c>
    </row>
    <row r="32" spans="1:8" ht="15.75" customHeight="1" x14ac:dyDescent="0.25">
      <c r="B32" s="19" t="s">
        <v>124</v>
      </c>
      <c r="C32" s="99">
        <v>2.5746142999999999E-2</v>
      </c>
    </row>
    <row r="33" spans="2:3" ht="15.75" customHeight="1" x14ac:dyDescent="0.25">
      <c r="B33" s="19" t="s">
        <v>125</v>
      </c>
      <c r="C33" s="99">
        <v>9.9438820999999997E-2</v>
      </c>
    </row>
    <row r="34" spans="2:3" ht="15.75" customHeight="1" x14ac:dyDescent="0.25">
      <c r="B34" s="19" t="s">
        <v>126</v>
      </c>
      <c r="C34" s="99">
        <v>0.13400752399999999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BvsD9RFMSrIxGOhu8diDJgywN6HUu9xaT2eW2B+uDTsytNIQjTGAcSt4GPErrIbrzzMe8cSd+dJIUI0Lu8z7Cg==" saltValue="ib91C1loil1kv1HeFTRa7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0.67504211304196526</v>
      </c>
      <c r="D2" s="52">
        <f>IFERROR(1-_xlfn.NORM.DIST(_xlfn.NORM.INV(SUM(D4:D5), 0, 1) + 1, 0, 1, TRUE), "")</f>
        <v>0.67504211304196526</v>
      </c>
      <c r="E2" s="52">
        <f>IFERROR(1-_xlfn.NORM.DIST(_xlfn.NORM.INV(SUM(E4:E5), 0, 1) + 1, 0, 1, TRUE), "")</f>
        <v>0.75043817851002848</v>
      </c>
      <c r="F2" s="52">
        <f>IFERROR(1-_xlfn.NORM.DIST(_xlfn.NORM.INV(SUM(F4:F5), 0, 1) + 1, 0, 1, TRUE), "")</f>
        <v>0.66568741422070443</v>
      </c>
      <c r="G2" s="52">
        <f>IFERROR(1-_xlfn.NORM.DIST(_xlfn.NORM.INV(SUM(G4:G5), 0, 1) + 1, 0, 1, TRUE), "")</f>
        <v>0.74912990734345564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0.25196798695803474</v>
      </c>
      <c r="D3" s="52">
        <f>IFERROR(_xlfn.NORM.DIST(_xlfn.NORM.INV(SUM(D4:D5), 0, 1) + 1, 0, 1, TRUE) - SUM(D4:D5), "")</f>
        <v>0.25196798695803474</v>
      </c>
      <c r="E3" s="52">
        <f>IFERROR(_xlfn.NORM.DIST(_xlfn.NORM.INV(SUM(E4:E5), 0, 1) + 1, 0, 1, TRUE) - SUM(E4:E5), "")</f>
        <v>0.20267992148997147</v>
      </c>
      <c r="F3" s="52">
        <f>IFERROR(_xlfn.NORM.DIST(_xlfn.NORM.INV(SUM(F4:F5), 0, 1) + 1, 0, 1, TRUE) - SUM(F4:F5), "")</f>
        <v>0.25767178577929556</v>
      </c>
      <c r="G3" s="52">
        <f>IFERROR(_xlfn.NORM.DIST(_xlfn.NORM.INV(SUM(G4:G5), 0, 1) + 1, 0, 1, TRUE) - SUM(G4:G5), "")</f>
        <v>0.20358369265654436</v>
      </c>
    </row>
    <row r="4" spans="1:15" ht="15.75" customHeight="1" x14ac:dyDescent="0.25">
      <c r="B4" s="5" t="s">
        <v>132</v>
      </c>
      <c r="C4" s="45">
        <v>3.4070999999999997E-2</v>
      </c>
      <c r="D4" s="53">
        <v>3.4070999999999997E-2</v>
      </c>
      <c r="E4" s="53">
        <v>3.6088299999999997E-2</v>
      </c>
      <c r="F4" s="53">
        <v>6.3694899999999999E-2</v>
      </c>
      <c r="G4" s="53">
        <v>3.83731E-2</v>
      </c>
    </row>
    <row r="5" spans="1:15" ht="15.75" customHeight="1" x14ac:dyDescent="0.25">
      <c r="B5" s="5" t="s">
        <v>133</v>
      </c>
      <c r="C5" s="45">
        <v>3.8918899999999999E-2</v>
      </c>
      <c r="D5" s="53">
        <v>3.8918899999999999E-2</v>
      </c>
      <c r="E5" s="53">
        <v>1.07936E-2</v>
      </c>
      <c r="F5" s="53">
        <v>1.29459E-2</v>
      </c>
      <c r="G5" s="53">
        <v>8.913299999999999E-3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0.74089077144279414</v>
      </c>
      <c r="D8" s="52">
        <f>IFERROR(1-_xlfn.NORM.DIST(_xlfn.NORM.INV(SUM(D10:D11), 0, 1) + 1, 0, 1, TRUE), "")</f>
        <v>0.74089077144279414</v>
      </c>
      <c r="E8" s="52">
        <f>IFERROR(1-_xlfn.NORM.DIST(_xlfn.NORM.INV(SUM(E10:E11), 0, 1) + 1, 0, 1, TRUE), "")</f>
        <v>0.96677592100387766</v>
      </c>
      <c r="F8" s="52">
        <f>IFERROR(1-_xlfn.NORM.DIST(_xlfn.NORM.INV(SUM(F10:F11), 0, 1) + 1, 0, 1, TRUE), "")</f>
        <v>0.92383805480570158</v>
      </c>
      <c r="G8" s="52">
        <f>IFERROR(1-_xlfn.NORM.DIST(_xlfn.NORM.INV(SUM(G10:G11), 0, 1) + 1, 0, 1, TRUE), "")</f>
        <v>0.94012841859528262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0.20923702855720591</v>
      </c>
      <c r="D9" s="52">
        <f>IFERROR(_xlfn.NORM.DIST(_xlfn.NORM.INV(SUM(D10:D11), 0, 1) + 1, 0, 1, TRUE) - SUM(D10:D11), "")</f>
        <v>0.20923702855720591</v>
      </c>
      <c r="E9" s="52">
        <f>IFERROR(_xlfn.NORM.DIST(_xlfn.NORM.INV(SUM(E10:E11), 0, 1) + 1, 0, 1, TRUE) - SUM(E10:E11), "")</f>
        <v>3.0935578996122301E-2</v>
      </c>
      <c r="F9" s="52">
        <f>IFERROR(_xlfn.NORM.DIST(_xlfn.NORM.INV(SUM(F10:F11), 0, 1) + 1, 0, 1, TRUE) - SUM(F10:F11), "")</f>
        <v>6.8641045194298395E-2</v>
      </c>
      <c r="G9" s="52">
        <f>IFERROR(_xlfn.NORM.DIST(_xlfn.NORM.INV(SUM(G10:G11), 0, 1) + 1, 0, 1, TRUE) - SUM(G10:G11), "")</f>
        <v>5.4575181404717336E-2</v>
      </c>
    </row>
    <row r="10" spans="1:15" ht="15.75" customHeight="1" x14ac:dyDescent="0.25">
      <c r="B10" s="5" t="s">
        <v>137</v>
      </c>
      <c r="C10" s="45">
        <v>2.6520800000000001E-2</v>
      </c>
      <c r="D10" s="53">
        <v>2.6520800000000001E-2</v>
      </c>
      <c r="E10" s="53">
        <v>2.2885000000000002E-3</v>
      </c>
      <c r="F10" s="53">
        <v>5.0771999999999996E-3</v>
      </c>
      <c r="G10" s="53">
        <v>3.7767E-3</v>
      </c>
    </row>
    <row r="11" spans="1:15" ht="15.75" customHeight="1" x14ac:dyDescent="0.25">
      <c r="B11" s="5" t="s">
        <v>138</v>
      </c>
      <c r="C11" s="45">
        <v>2.3351400000000001E-2</v>
      </c>
      <c r="D11" s="53">
        <v>2.3351400000000001E-2</v>
      </c>
      <c r="E11" s="53">
        <v>0</v>
      </c>
      <c r="F11" s="53">
        <v>2.4437E-3</v>
      </c>
      <c r="G11" s="53">
        <v>1.5196999999999999E-3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0.33770807775</v>
      </c>
      <c r="D14" s="54">
        <v>0.33097332158499992</v>
      </c>
      <c r="E14" s="54">
        <v>0.33097332158499992</v>
      </c>
      <c r="F14" s="54">
        <v>0.254121780247</v>
      </c>
      <c r="G14" s="54">
        <v>0.254121780247</v>
      </c>
      <c r="H14" s="45">
        <v>0.32700000000000001</v>
      </c>
      <c r="I14" s="55">
        <v>0.32700000000000001</v>
      </c>
      <c r="J14" s="55">
        <v>0.32700000000000001</v>
      </c>
      <c r="K14" s="55">
        <v>0.32700000000000001</v>
      </c>
      <c r="L14" s="45">
        <v>0.223</v>
      </c>
      <c r="M14" s="55">
        <v>0.223</v>
      </c>
      <c r="N14" s="55">
        <v>0.223</v>
      </c>
      <c r="O14" s="55">
        <v>0.223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0.19242707582618324</v>
      </c>
      <c r="D15" s="52">
        <f t="shared" si="0"/>
        <v>0.18858959155909769</v>
      </c>
      <c r="E15" s="52">
        <f t="shared" si="0"/>
        <v>0.18858959155909769</v>
      </c>
      <c r="F15" s="52">
        <f t="shared" si="0"/>
        <v>0.14479935275008132</v>
      </c>
      <c r="G15" s="52">
        <f t="shared" si="0"/>
        <v>0.14479935275008132</v>
      </c>
      <c r="H15" s="52">
        <f t="shared" si="0"/>
        <v>0.18632558099999999</v>
      </c>
      <c r="I15" s="52">
        <f t="shared" si="0"/>
        <v>0.18632558099999999</v>
      </c>
      <c r="J15" s="52">
        <f t="shared" si="0"/>
        <v>0.18632558099999999</v>
      </c>
      <c r="K15" s="52">
        <f t="shared" si="0"/>
        <v>0.18632558099999999</v>
      </c>
      <c r="L15" s="52">
        <f t="shared" si="0"/>
        <v>0.127066069</v>
      </c>
      <c r="M15" s="52">
        <f t="shared" si="0"/>
        <v>0.127066069</v>
      </c>
      <c r="N15" s="52">
        <f t="shared" si="0"/>
        <v>0.127066069</v>
      </c>
      <c r="O15" s="52">
        <f t="shared" si="0"/>
        <v>0.127066069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MRK3GXZFzegCtroGetZ07lcviSo0gqWJT9cf7nAgBVl9dzr7FD8uHhHRUik3luv40Zra0uxsj+eGCXgndZaqg==" saltValue="jjmGBDhI6SBlZakiNqEG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0.64318549999999997</v>
      </c>
      <c r="D2" s="53">
        <v>0.30086489999999999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0.1938405</v>
      </c>
      <c r="D3" s="53">
        <v>0.2158948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0.1472349</v>
      </c>
      <c r="D4" s="53">
        <v>0.39192640000000001</v>
      </c>
      <c r="E4" s="53">
        <v>0.77740080000000011</v>
      </c>
      <c r="F4" s="53">
        <v>0.32832830000000002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1.5739100000000006E-2</v>
      </c>
      <c r="D5" s="52">
        <f t="shared" si="0"/>
        <v>9.1313900000000059E-2</v>
      </c>
      <c r="E5" s="52">
        <f>1-SUM(E2:E4)</f>
        <v>0.22259919999999989</v>
      </c>
      <c r="F5" s="52">
        <f>1-SUM(F2:F4)</f>
        <v>0.67167169999999998</v>
      </c>
      <c r="G5" s="52">
        <f>1-SUM(G2:G4)</f>
        <v>1</v>
      </c>
    </row>
  </sheetData>
  <sheetProtection algorithmName="SHA-512" hashValue="e2JBLAYR4hYADyTS37rAz3q03mluYU/9NofGj9KaNq3rPk30cEk1LWO9XS7s7rl7jFZnZlfFGulQTcKnvztX1A==" saltValue="hPT1bJtuhtVks0V00/JvC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3jy2PY42mVJLN6dw6wn66GIVcOH4H4pWYlw+kLuyLw3ezFVmg4SU6HxRkWaCwB3Tu00Zr8/sYzv+OF49ZOdyg==" saltValue="y3EzdEkg9cf5sy1vVdgP9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6153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0.43396999999999997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0.62719999999999998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1.4142721183422214E-2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98110.334319999994</v>
      </c>
      <c r="C22" s="107">
        <v>98029.074359999999</v>
      </c>
      <c r="D22" s="107">
        <v>97835.277960000007</v>
      </c>
      <c r="E22" s="107">
        <v>97466.06379</v>
      </c>
      <c r="F22" s="107">
        <v>96921.835269999996</v>
      </c>
      <c r="G22" s="107">
        <v>96347.975090000007</v>
      </c>
      <c r="H22" s="107">
        <v>95679.103470000002</v>
      </c>
      <c r="I22" s="107">
        <v>94850.121780000001</v>
      </c>
      <c r="J22" s="107">
        <v>93681.443079999997</v>
      </c>
      <c r="K22" s="107">
        <v>91993.682570000004</v>
      </c>
      <c r="L22" s="107">
        <v>89430.391820000004</v>
      </c>
      <c r="M22" s="107">
        <v>85805.020550000001</v>
      </c>
      <c r="N22" s="107">
        <v>80444.589720000004</v>
      </c>
      <c r="O22" s="107">
        <v>73189.294370000003</v>
      </c>
    </row>
  </sheetData>
  <sheetProtection algorithmName="SHA-512" hashValue="ay51a2DDZoYG5x63foIKWg03tsGTmhDqI/RSLlPF7zUdmPWq5MPPyEuvX/lPL+AlZ/5AwZqcUvq3cFI+YLweeQ==" saltValue="iWRYiOPcw93mWHO6EVMcB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soChvnufCRo/hkum2Rkj6DrvUzxq7dOVxPZMoL9kVBBKtyznBHc5NANo1xKKvV6I2QClgo8QEccGvEF/y4a+QA==" saltValue="oFQowKsBZ8wwLRRippTpF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UInpTWTCa+Y1cDbQhAdk+u0+o4siwUCNXjMkEVEXl6u0Qtn+TMKZUwZS/q06G7x786DobWKl8O9j/6v+ytAbJg==" saltValue="iUEYHIMx49kfWldHuqbXY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13.0029542906315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13.0029542906315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13.0029542906315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13.0029542906315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13.0029542906315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13.0029542906315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0.20165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0.30086489999999999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0.30086489999999999</v>
      </c>
      <c r="C19" s="96">
        <v>0.95</v>
      </c>
      <c r="D19" s="56">
        <v>9.4026515569123248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4.2735719414984246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0.66650893535570011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0.28195290000000001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0.520675</v>
      </c>
      <c r="C29" s="96">
        <v>0.95</v>
      </c>
      <c r="D29" s="56">
        <v>112.6831812504641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0.80153059999999998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0.22192899999999999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2.98415E-2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7.1380600000000002E-2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SqIZ07CCcNwiOebW8uU5TG6+ykoNiCXo0r0VBA8djpsrtiKIi01fHWKb+bXvzTPanGq8C1BYepgSOnNFFK+Skg==" saltValue="9OSXzMLjyF80T07fWp8N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0CO8P9OQOseR6UlFukVPRoHQPqcnRH/rgWMOyOSVEOpMrvJstVgILMzqlPjNN30Khjz5pc41V1KIZuGOlSZ+Q==" saltValue="Nu6eProM8zzV/ficgSUM/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y9VM2+JLyi0umoTjEsKxoWLx7W/4VSBYC0Gp5xOeM8RxMEU6WG22IA/4RDXsABc+gwCxPGxlipYcLOe2Lt7dA==" saltValue="Ewi6oXy8htwq8XjoXMT+O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6.8954080000000001E-2</v>
      </c>
      <c r="C3" s="21">
        <f>frac_mam_1_5months * 2.6</f>
        <v>6.8954080000000001E-2</v>
      </c>
      <c r="D3" s="21">
        <f>frac_mam_6_11months * 2.6</f>
        <v>5.9501000000000007E-3</v>
      </c>
      <c r="E3" s="21">
        <f>frac_mam_12_23months * 2.6</f>
        <v>1.3200719999999999E-2</v>
      </c>
      <c r="F3" s="21">
        <f>frac_mam_24_59months * 2.6</f>
        <v>9.8194200000000006E-3</v>
      </c>
    </row>
    <row r="4" spans="1:6" ht="15.75" customHeight="1" x14ac:dyDescent="0.25">
      <c r="A4" s="3" t="s">
        <v>237</v>
      </c>
      <c r="B4" s="21">
        <f>frac_sam_1month * 2.6</f>
        <v>6.0713640000000006E-2</v>
      </c>
      <c r="C4" s="21">
        <f>frac_sam_1_5months * 2.6</f>
        <v>6.0713640000000006E-2</v>
      </c>
      <c r="D4" s="21">
        <f>frac_sam_6_11months * 2.6</f>
        <v>0</v>
      </c>
      <c r="E4" s="21">
        <f>frac_sam_12_23months * 2.6</f>
        <v>6.3536199999999999E-3</v>
      </c>
      <c r="F4" s="21">
        <f>frac_sam_24_59months * 2.6</f>
        <v>3.9512200000000001E-3</v>
      </c>
    </row>
  </sheetData>
  <sheetProtection algorithmName="SHA-512" hashValue="t5qSk2DTKHpsyDo7TioPS6kKGkYJJpFRxLwj5+nJVgMuCqAAXP1NjaELr7jWnAGh1BZnbIzaDbX1CLsQKCyBoA==" saltValue="2UI/0e3TNuCGYfr6hZalV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1.6E-2</v>
      </c>
      <c r="F2" s="60">
        <f>food_insecure</f>
        <v>1.6E-2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1.6E-2</v>
      </c>
      <c r="F5" s="60">
        <f>food_insecure</f>
        <v>1.6E-2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1.6E-2</v>
      </c>
      <c r="F8" s="60">
        <f>food_insecure</f>
        <v>1.6E-2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1.6E-2</v>
      </c>
      <c r="F9" s="60">
        <f>food_insecure</f>
        <v>1.6E-2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1.6E-2</v>
      </c>
      <c r="I15" s="60">
        <f t="shared" si="0"/>
        <v>1.6E-2</v>
      </c>
      <c r="J15" s="60">
        <f t="shared" si="0"/>
        <v>1.6E-2</v>
      </c>
      <c r="K15" s="60">
        <f t="shared" si="0"/>
        <v>1.6E-2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1.6E-2</v>
      </c>
      <c r="I16" s="60">
        <f t="shared" si="0"/>
        <v>1.6E-2</v>
      </c>
      <c r="J16" s="60">
        <f t="shared" si="0"/>
        <v>1.6E-2</v>
      </c>
      <c r="K16" s="60">
        <f t="shared" si="0"/>
        <v>1.6E-2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0.17399999999999999</v>
      </c>
      <c r="M24" s="60">
        <f>famplan_unmet_need</f>
        <v>0.17399999999999999</v>
      </c>
      <c r="N24" s="60">
        <f>famplan_unmet_need</f>
        <v>0.17399999999999999</v>
      </c>
      <c r="O24" s="60">
        <f>famplan_unmet_need</f>
        <v>0.17399999999999999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0.16617328544311527</v>
      </c>
      <c r="M25" s="60">
        <f>(1-food_insecure)*(0.49)+food_insecure*(0.7)</f>
        <v>0.49335999999999997</v>
      </c>
      <c r="N25" s="60">
        <f>(1-food_insecure)*(0.49)+food_insecure*(0.7)</f>
        <v>0.49335999999999997</v>
      </c>
      <c r="O25" s="60">
        <f>(1-food_insecure)*(0.49)+food_insecure*(0.7)</f>
        <v>0.49335999999999997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7.1217122332763685E-2</v>
      </c>
      <c r="M26" s="60">
        <f>(1-food_insecure)*(0.21)+food_insecure*(0.3)</f>
        <v>0.21143999999999999</v>
      </c>
      <c r="N26" s="60">
        <f>(1-food_insecure)*(0.21)+food_insecure*(0.3)</f>
        <v>0.21143999999999999</v>
      </c>
      <c r="O26" s="60">
        <f>(1-food_insecure)*(0.21)+food_insecure*(0.3)</f>
        <v>0.21143999999999999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9.942912652587893E-2</v>
      </c>
      <c r="M27" s="60">
        <f>(1-food_insecure)*(0.3)</f>
        <v>0.29519999999999996</v>
      </c>
      <c r="N27" s="60">
        <f>(1-food_insecure)*(0.3)</f>
        <v>0.29519999999999996</v>
      </c>
      <c r="O27" s="60">
        <f>(1-food_insecure)*(0.3)</f>
        <v>0.29519999999999996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0.66318046569824207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SpnaVJXQEw0IiPhT8Xzh+G2zKTxP583GlzYf8anSv6u2HDtDOEvjngkEHrwp6mlWKG9/x2nZODBEKfjgDRlqA==" saltValue="dyJvUv1DRxfn2Pr/9vxAb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egpAdJc/KizP7lioclBMRTpU7JYj94s166ACoo40ZzLx4qU+EqQW5FGvP/c+axoUQoHLP+CWU4t5mlgUyT+55w==" saltValue="1q6Soijv0P4PMU8susSWK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0AFYpURYa9uWexRLiEIA4Cb7e8HBZTHLlr7vsWOWGh0rkk0d8Z+RHcQnQ8VYm+IG4NagD4c8BuXjzCOOSaFFA==" saltValue="UZd51Xl7GLjFAq230ytMQ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9s+I8UKuBQugujj58N9kUvrDP4/8amuvTDFUK+++7zSNWxJDoOxsdLSlDhgohdmpgwqmhgnxH94xRmVL6cFDw==" saltValue="BfPXg+uNGWYu/9n9Icp1T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LyA6xzjRWEed8SthT/zBmXsBGZwAgANpqPdf8DmdWW5D/7Q5cLoR9z2Fhy6coiiYuKZ3d8S9S3vrE+z7Cj06aQ==" saltValue="DNsr1WH1ZYOZt0vVBxXP1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kfNEmSXeEiaXfU+XCJuCShhPzTPzPanrT3VvdYit4L8Od0HFyHDbVqOv+1qONPZOjOgDufYmV0wpyRJnHAa8DQ==" saltValue="pEa3Jx+1Dkb5J8NuWh31w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mUkhiq6tommrZNCSWDtxFGYEnDvsq4pJ6kiLXjBYzQPEYmafltDyAZ42eGLI33yypTG2/KTLYLv4n9acInMlg==" saltValue="URyjFgF0yupefuG7Cmv+9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4MrN/yKaw/5QrsSmMOmbkOGZanrc4KfWvt3fq753GFeHqaeitDBQFKN5X+J0w+0VN6kHzGGkvXSjii2e8rdHA==" saltValue="s8RZ/HM1xyAxU1LpfOwj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5QmuYxXosAVADQq//LMoE9KFq35tsO5MJuJ0IFHonoBMxDFBo7/ZPr3qXOg3F9+pEq/FalGI0ZxIJUFBMmfyDg==" saltValue="yyhxcM1riGUH0TsHhrlu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fBBIw3MA114RaZS/wWFrz8zO6VxXtfnidbcPv9WJ5zl1ZtiPdnXu+yKM4R78u/HuI5y9KKBrkO0bopiIzEchA==" saltValue="HW2a+YuJPi9e2LAze9I3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AW0XT0t/FCqLXntGJvoI7cAeL8lDgXeOngl18OswI2or/Zid3hxzwCNiz8mzszquiWF9DVwUUqzEC08CW/GFA==" saltValue="Zp808MjqGw1ItwllXEq3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xbTde0KDmsEf7zPDmwZ6x7l6Xbqa/+fjOAe+yEtwScuBzC7watiihm7vjATSW/tQ/hdipMgoD3TwoPB8XCAXg==" saltValue="2U/qKATG+LPQ1/xQeU4D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F37oxB78wDwbXfFn07oV/83PV2MntXsC/jw3p8iLVwBcSKwrKMhxjGqj02TZ/qV5UKElag4Lj+ZwFpKFzKQsw==" saltValue="6vIUDQE0sem5ebkZ8DZj/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XWv0x7HBjavMNRtpcVZgykgIb6zAyR6h1ty8E/V5bj2tv9S/gurewu3GsYypTd9EqYprSCla4oiFwHtrl9JC+g==" saltValue="33bisEAbw2jqDF4Xt1rg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EcjnByDVJuLSQKBgW5Xhw/66PTDRQC1wVzn5OWeVNELTIF3giwwCOKH8IBW/h2PLZdL9pd3qvh3T6lDBzOH/CQ==" saltValue="d1zRaZhBzos7rbs2YVQUb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2026-04-29T07:05:57Z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