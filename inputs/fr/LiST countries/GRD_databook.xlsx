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5155A991-112F-4F2B-A388-AB42BACD4F08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2" i="2" l="1"/>
  <c r="A24" i="2"/>
  <c r="A36" i="2"/>
  <c r="I38" i="2"/>
  <c r="A26" i="2"/>
  <c r="I39" i="2"/>
  <c r="A31" i="2"/>
  <c r="A34" i="2"/>
  <c r="A40" i="2"/>
  <c r="I2" i="2"/>
  <c r="I6" i="2"/>
  <c r="A19" i="2"/>
  <c r="A35" i="2"/>
  <c r="I3" i="2"/>
  <c r="I7" i="2"/>
  <c r="I11" i="2"/>
  <c r="A23" i="2"/>
  <c r="A37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<sst xmlns="http://schemas.openxmlformats.org/spreadsheetml/2006/main" count="2169" uniqueCount="369">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</sst>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6770</v>
      </c>
    </row>
    <row r="8" spans="1:3" ht="15" customHeight="1" x14ac:dyDescent="0.25">
      <c r="B8" s="5" t="s">
        <v>37</v>
      </c>
      <c r="C8" s="44">
        <v>1.4999999999999999E-2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0.72301658630371091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0.17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7.2499999999999995E-2</v>
      </c>
    </row>
    <row r="24" spans="1:3" ht="15" customHeight="1" x14ac:dyDescent="0.25">
      <c r="B24" s="15" t="s">
        <v>51</v>
      </c>
      <c r="C24" s="45">
        <v>0.54660000000000009</v>
      </c>
    </row>
    <row r="25" spans="1:3" ht="15" customHeight="1" x14ac:dyDescent="0.25">
      <c r="B25" s="15" t="s">
        <v>52</v>
      </c>
      <c r="C25" s="45">
        <v>0.3503</v>
      </c>
    </row>
    <row r="26" spans="1:3" ht="15" customHeight="1" x14ac:dyDescent="0.25">
      <c r="B26" s="15" t="s">
        <v>53</v>
      </c>
      <c r="C26" s="45">
        <v>3.0599999999999999E-2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0.38027698235904311</v>
      </c>
    </row>
    <row r="30" spans="1:3" ht="14.25" customHeight="1" x14ac:dyDescent="0.25">
      <c r="B30" s="25" t="s">
        <v>56</v>
      </c>
      <c r="C30" s="97">
        <v>5.4660418264349912E-2</v>
      </c>
    </row>
    <row r="31" spans="1:3" ht="14.25" customHeight="1" x14ac:dyDescent="0.25">
      <c r="B31" s="25" t="s">
        <v>57</v>
      </c>
      <c r="C31" s="97">
        <v>6.1967733026657798E-2</v>
      </c>
    </row>
    <row r="32" spans="1:3" ht="14.25" customHeight="1" x14ac:dyDescent="0.25">
      <c r="B32" s="25" t="s">
        <v>58</v>
      </c>
      <c r="C32" s="97">
        <v>0.50309486634994893</v>
      </c>
    </row>
    <row r="33" spans="1:5" ht="13.25" customHeight="1" x14ac:dyDescent="0.25">
      <c r="B33" s="27" t="s">
        <v>59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10.28346</v>
      </c>
    </row>
    <row r="38" spans="1:5" ht="15" customHeight="1" x14ac:dyDescent="0.25">
      <c r="B38" s="11" t="s">
        <v>63</v>
      </c>
      <c r="C38" s="43">
        <v>14.41901</v>
      </c>
      <c r="D38" s="12"/>
      <c r="E38" s="13"/>
    </row>
    <row r="39" spans="1:5" ht="15" customHeight="1" x14ac:dyDescent="0.25">
      <c r="B39" s="11" t="s">
        <v>64</v>
      </c>
      <c r="C39" s="43">
        <v>16.18065</v>
      </c>
      <c r="D39" s="12"/>
      <c r="E39" s="12"/>
    </row>
    <row r="40" spans="1:5" ht="15" customHeight="1" x14ac:dyDescent="0.25">
      <c r="B40" s="11" t="s">
        <v>65</v>
      </c>
      <c r="C40" s="98">
        <v>0.21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9.0744000000000007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7.1989999999999997E-3</v>
      </c>
      <c r="D45" s="12"/>
    </row>
    <row r="46" spans="1:5" ht="15.75" customHeight="1" x14ac:dyDescent="0.25">
      <c r="B46" s="11" t="s">
        <v>70</v>
      </c>
      <c r="C46" s="45">
        <v>7.7351799999999998E-2</v>
      </c>
      <c r="D46" s="12"/>
    </row>
    <row r="47" spans="1:5" ht="15.75" customHeight="1" x14ac:dyDescent="0.25">
      <c r="B47" s="11" t="s">
        <v>71</v>
      </c>
      <c r="C47" s="45">
        <v>7.4154899999999996E-2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3.2</v>
      </c>
      <c r="D51" s="12"/>
    </row>
    <row r="52" spans="1:4" ht="15" customHeight="1" x14ac:dyDescent="0.25">
      <c r="B52" s="11" t="s">
        <v>75</v>
      </c>
      <c r="C52" s="98">
        <v>3.2</v>
      </c>
    </row>
    <row r="53" spans="1:4" ht="15.75" customHeight="1" x14ac:dyDescent="0.25">
      <c r="B53" s="11" t="s">
        <v>76</v>
      </c>
      <c r="C53" s="98">
        <v>3.2</v>
      </c>
    </row>
    <row r="54" spans="1:4" ht="15.75" customHeight="1" x14ac:dyDescent="0.25">
      <c r="B54" s="11" t="s">
        <v>77</v>
      </c>
      <c r="C54" s="98">
        <v>3.2</v>
      </c>
    </row>
    <row r="55" spans="1:4" ht="15.75" customHeight="1" x14ac:dyDescent="0.25">
      <c r="B55" s="11" t="s">
        <v>78</v>
      </c>
      <c r="C55" s="98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0.54805599999999999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2DljnNsISc0NpbtH6upRsIqw4uuTywGmH8gcRUSLXlFVZKnGBsUhNxUk4rrF5/xNuZD0lxnDFrkFzT65hWn8XQ==" saltValue="xhoWoLpAwbBlL/CAsyGH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1345</v>
      </c>
      <c r="C2" s="49">
        <v>4200.5</v>
      </c>
      <c r="D2" s="49">
        <v>8542</v>
      </c>
      <c r="E2" s="49">
        <v>10280.000000000002</v>
      </c>
      <c r="F2" s="49">
        <v>7280.5</v>
      </c>
      <c r="G2" s="17">
        <f t="shared" ref="G2:G13" si="0">C2+D2+E2+F2</f>
        <v>30303</v>
      </c>
      <c r="H2" s="17">
        <f t="shared" ref="H2:H13" si="1">(B2 + stillbirth*B2/(1000-stillbirth))/(1-abortion)</f>
        <v>1542.4054953359678</v>
      </c>
      <c r="I2" s="17">
        <f t="shared" ref="I2:I13" si="2">G2-H2</f>
        <v>28760.594504664034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1319</v>
      </c>
      <c r="C3" s="50">
        <v>4230</v>
      </c>
      <c r="D3" s="50">
        <v>8416</v>
      </c>
      <c r="E3" s="50">
        <v>10129.999999999998</v>
      </c>
      <c r="F3" s="50">
        <v>7680</v>
      </c>
      <c r="G3" s="17">
        <f t="shared" si="0"/>
        <v>30456</v>
      </c>
      <c r="H3" s="17">
        <f t="shared" si="1"/>
        <v>1512.5894783257556</v>
      </c>
      <c r="I3" s="17">
        <f t="shared" si="2"/>
        <v>28943.410521674243</v>
      </c>
    </row>
    <row r="4" spans="1:9" ht="15.75" customHeight="1" x14ac:dyDescent="0.25">
      <c r="A4" s="5">
        <f t="shared" si="3"/>
        <v>2026</v>
      </c>
      <c r="B4" s="49">
        <v>1296</v>
      </c>
      <c r="C4" s="50">
        <v>4249.5</v>
      </c>
      <c r="D4" s="50">
        <v>8314.4999999999982</v>
      </c>
      <c r="E4" s="50">
        <v>9931.5</v>
      </c>
      <c r="F4" s="50">
        <v>8115.5000000000009</v>
      </c>
      <c r="G4" s="17">
        <f t="shared" si="0"/>
        <v>30611</v>
      </c>
      <c r="H4" s="17">
        <f t="shared" si="1"/>
        <v>1486.213770970568</v>
      </c>
      <c r="I4" s="17">
        <f t="shared" si="2"/>
        <v>29124.786229029432</v>
      </c>
    </row>
    <row r="5" spans="1:9" ht="15.75" customHeight="1" x14ac:dyDescent="0.25">
      <c r="A5" s="5">
        <f t="shared" si="3"/>
        <v>2027</v>
      </c>
      <c r="B5" s="49">
        <v>1278</v>
      </c>
      <c r="C5" s="50">
        <v>4255.5</v>
      </c>
      <c r="D5" s="50">
        <v>8232.5</v>
      </c>
      <c r="E5" s="50">
        <v>9708.5</v>
      </c>
      <c r="F5" s="50">
        <v>8564</v>
      </c>
      <c r="G5" s="17">
        <f t="shared" si="0"/>
        <v>30760.5</v>
      </c>
      <c r="H5" s="17">
        <f t="shared" si="1"/>
        <v>1465.5719130404214</v>
      </c>
      <c r="I5" s="17">
        <f t="shared" si="2"/>
        <v>29294.928086959579</v>
      </c>
    </row>
    <row r="6" spans="1:9" ht="15.75" customHeight="1" x14ac:dyDescent="0.25">
      <c r="A6" s="5">
        <f t="shared" si="3"/>
        <v>2028</v>
      </c>
      <c r="B6" s="49">
        <v>1263</v>
      </c>
      <c r="C6" s="50">
        <v>4243.5</v>
      </c>
      <c r="D6" s="50">
        <v>8166.4999999999991</v>
      </c>
      <c r="E6" s="50">
        <v>9475.5</v>
      </c>
      <c r="F6" s="50">
        <v>9004</v>
      </c>
      <c r="G6" s="17">
        <f t="shared" si="0"/>
        <v>30889.5</v>
      </c>
      <c r="H6" s="17">
        <f t="shared" si="1"/>
        <v>1448.370364765299</v>
      </c>
      <c r="I6" s="17">
        <f t="shared" si="2"/>
        <v>29441.129635234702</v>
      </c>
    </row>
    <row r="7" spans="1:9" ht="15.75" customHeight="1" x14ac:dyDescent="0.25">
      <c r="A7" s="5">
        <f t="shared" si="3"/>
        <v>2029</v>
      </c>
      <c r="B7" s="49">
        <v>1248</v>
      </c>
      <c r="C7" s="50">
        <v>4197</v>
      </c>
      <c r="D7" s="50">
        <v>8111.9999999999982</v>
      </c>
      <c r="E7" s="50">
        <v>9250</v>
      </c>
      <c r="F7" s="50">
        <v>9400.5000000000018</v>
      </c>
      <c r="G7" s="17">
        <f t="shared" si="0"/>
        <v>30959.5</v>
      </c>
      <c r="H7" s="17">
        <f t="shared" si="1"/>
        <v>1431.1688164901766</v>
      </c>
      <c r="I7" s="17">
        <f t="shared" si="2"/>
        <v>29528.331183509825</v>
      </c>
    </row>
    <row r="8" spans="1:9" ht="15.75" customHeight="1" x14ac:dyDescent="0.25">
      <c r="A8" s="5">
        <f t="shared" si="3"/>
        <v>2030</v>
      </c>
      <c r="B8" s="49">
        <v>1235</v>
      </c>
      <c r="C8" s="50">
        <v>4111</v>
      </c>
      <c r="D8" s="50">
        <v>8063.0000000000009</v>
      </c>
      <c r="E8" s="50">
        <v>9049.5</v>
      </c>
      <c r="F8" s="50">
        <v>9727</v>
      </c>
      <c r="G8" s="17">
        <f t="shared" si="0"/>
        <v>30950.5</v>
      </c>
      <c r="H8" s="17">
        <f t="shared" si="1"/>
        <v>1416.2608079850706</v>
      </c>
      <c r="I8" s="17">
        <f t="shared" si="2"/>
        <v>29534.239192014931</v>
      </c>
    </row>
    <row r="9" spans="1:9" ht="15.75" customHeight="1" x14ac:dyDescent="0.25">
      <c r="A9" s="5">
        <f t="shared" si="3"/>
        <v>2031</v>
      </c>
      <c r="B9" s="49">
        <v>1222</v>
      </c>
      <c r="C9" s="50">
        <v>3989</v>
      </c>
      <c r="D9" s="50">
        <v>8068.5</v>
      </c>
      <c r="E9" s="50">
        <v>8828.5</v>
      </c>
      <c r="F9" s="50">
        <v>9955.5</v>
      </c>
      <c r="G9" s="17">
        <f t="shared" si="0"/>
        <v>30841.5</v>
      </c>
      <c r="H9" s="17">
        <f t="shared" si="1"/>
        <v>1401.3527994799647</v>
      </c>
      <c r="I9" s="17">
        <f t="shared" si="2"/>
        <v>29440.147200520034</v>
      </c>
    </row>
    <row r="10" spans="1:9" ht="15.75" customHeight="1" x14ac:dyDescent="0.25">
      <c r="A10" s="5">
        <f t="shared" si="3"/>
        <v>2032</v>
      </c>
      <c r="B10" s="49">
        <v>1209</v>
      </c>
      <c r="C10" s="50">
        <v>3811.5</v>
      </c>
      <c r="D10" s="50">
        <v>8122.4999999999991</v>
      </c>
      <c r="E10" s="50">
        <v>8597.0000000000018</v>
      </c>
      <c r="F10" s="50">
        <v>10064.499999999998</v>
      </c>
      <c r="G10" s="17">
        <f t="shared" si="0"/>
        <v>30595.5</v>
      </c>
      <c r="H10" s="17">
        <f t="shared" si="1"/>
        <v>1386.4447909748587</v>
      </c>
      <c r="I10" s="17">
        <f t="shared" si="2"/>
        <v>29209.05520902514</v>
      </c>
    </row>
    <row r="11" spans="1:9" ht="15.75" customHeight="1" x14ac:dyDescent="0.25">
      <c r="A11" s="5">
        <f t="shared" si="3"/>
        <v>2033</v>
      </c>
      <c r="B11" s="49">
        <v>1195</v>
      </c>
      <c r="C11" s="50">
        <v>3628.5</v>
      </c>
      <c r="D11" s="50">
        <v>8156.0000000000009</v>
      </c>
      <c r="E11" s="50">
        <v>8412.5000000000018</v>
      </c>
      <c r="F11" s="50">
        <v>10071</v>
      </c>
      <c r="G11" s="17">
        <f t="shared" si="0"/>
        <v>30268</v>
      </c>
      <c r="H11" s="17">
        <f t="shared" si="1"/>
        <v>1370.3900125847445</v>
      </c>
      <c r="I11" s="17">
        <f t="shared" si="2"/>
        <v>28897.609987415257</v>
      </c>
    </row>
    <row r="12" spans="1:9" ht="15.75" customHeight="1" x14ac:dyDescent="0.25">
      <c r="A12" s="5">
        <f t="shared" si="3"/>
        <v>2034</v>
      </c>
      <c r="B12" s="49">
        <v>1181</v>
      </c>
      <c r="C12" s="50">
        <v>3499</v>
      </c>
      <c r="D12" s="50">
        <v>8149.9999999999982</v>
      </c>
      <c r="E12" s="50">
        <v>8266</v>
      </c>
      <c r="F12" s="50">
        <v>9994</v>
      </c>
      <c r="G12" s="17">
        <f t="shared" si="0"/>
        <v>29909</v>
      </c>
      <c r="H12" s="17">
        <f t="shared" si="1"/>
        <v>1354.3352341946302</v>
      </c>
      <c r="I12" s="17">
        <f t="shared" si="2"/>
        <v>28554.66476580537</v>
      </c>
    </row>
    <row r="13" spans="1:9" ht="15.75" customHeight="1" x14ac:dyDescent="0.25">
      <c r="A13" s="5">
        <f t="shared" si="3"/>
        <v>2035</v>
      </c>
      <c r="B13" s="49">
        <v>1166</v>
      </c>
      <c r="C13" s="50">
        <v>3407.5</v>
      </c>
      <c r="D13" s="50">
        <v>8098.5</v>
      </c>
      <c r="E13" s="50">
        <v>8150.4999999999991</v>
      </c>
      <c r="F13" s="50">
        <v>9851.5</v>
      </c>
      <c r="G13" s="17">
        <f t="shared" si="0"/>
        <v>29508</v>
      </c>
      <c r="H13" s="17">
        <f t="shared" si="1"/>
        <v>1337.133685919508</v>
      </c>
      <c r="I13" s="17">
        <f t="shared" si="2"/>
        <v>28170.866314080493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s3snCKE4mwxddEJ6xbFHRotUaMNMlUdyILLIOLjKR2Fan4EDaXK1T3tJZ3MYshmk1Th/Jc44AIe1Rkppt1bHdQ==" saltValue="sF8Fzh+Rj1dQTFzVqnDYx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0.1055556</v>
      </c>
    </row>
    <row r="5" spans="1:8" ht="15.75" customHeight="1" x14ac:dyDescent="0.25">
      <c r="B5" s="19" t="s">
        <v>98</v>
      </c>
      <c r="C5" s="99">
        <v>4.8148100000000027E-2</v>
      </c>
    </row>
    <row r="6" spans="1:8" ht="15.75" customHeight="1" x14ac:dyDescent="0.25">
      <c r="B6" s="19" t="s">
        <v>99</v>
      </c>
      <c r="C6" s="99">
        <v>0.32037040000000022</v>
      </c>
    </row>
    <row r="7" spans="1:8" ht="15.75" customHeight="1" x14ac:dyDescent="0.25">
      <c r="B7" s="19" t="s">
        <v>100</v>
      </c>
      <c r="C7" s="99">
        <v>0.37222219999999978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0.14259260000000001</v>
      </c>
    </row>
    <row r="10" spans="1:8" ht="15.75" customHeight="1" x14ac:dyDescent="0.25">
      <c r="B10" s="19" t="s">
        <v>103</v>
      </c>
      <c r="C10" s="99">
        <v>1.11111E-2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</v>
      </c>
      <c r="D14" s="55">
        <v>0</v>
      </c>
      <c r="E14" s="55">
        <v>0</v>
      </c>
      <c r="F14" s="55">
        <v>0</v>
      </c>
    </row>
    <row r="15" spans="1:8" ht="15.75" customHeight="1" x14ac:dyDescent="0.25">
      <c r="B15" s="19" t="s">
        <v>106</v>
      </c>
      <c r="C15" s="99">
        <v>0.38426575950470021</v>
      </c>
      <c r="D15" s="99">
        <v>0.38426575950470021</v>
      </c>
      <c r="E15" s="99">
        <v>0.38426575950470021</v>
      </c>
      <c r="F15" s="99">
        <v>0.38426575950470021</v>
      </c>
    </row>
    <row r="16" spans="1:8" ht="15.75" customHeight="1" x14ac:dyDescent="0.25">
      <c r="B16" s="19" t="s">
        <v>107</v>
      </c>
      <c r="C16" s="99">
        <v>0</v>
      </c>
      <c r="D16" s="99">
        <v>0</v>
      </c>
      <c r="E16" s="99">
        <v>0</v>
      </c>
      <c r="F16" s="99">
        <v>0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111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112</v>
      </c>
      <c r="C21" s="99">
        <v>0.43363631745840392</v>
      </c>
      <c r="D21" s="99">
        <v>0.43363631745840392</v>
      </c>
      <c r="E21" s="99">
        <v>0.43363631745840392</v>
      </c>
      <c r="F21" s="99">
        <v>0.43363631745840392</v>
      </c>
    </row>
    <row r="22" spans="1:8" ht="15.75" customHeight="1" x14ac:dyDescent="0.25">
      <c r="B22" s="19" t="s">
        <v>113</v>
      </c>
      <c r="C22" s="99">
        <v>0.18209792303689601</v>
      </c>
      <c r="D22" s="99">
        <v>0.18209792303689601</v>
      </c>
      <c r="E22" s="99">
        <v>0.18209792303689601</v>
      </c>
      <c r="F22" s="99">
        <v>0.18209792303689601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5.0426016999999997E-2</v>
      </c>
    </row>
    <row r="27" spans="1:8" ht="15.75" customHeight="1" x14ac:dyDescent="0.25">
      <c r="B27" s="19" t="s">
        <v>120</v>
      </c>
      <c r="C27" s="99">
        <v>4.7548858999999999E-2</v>
      </c>
    </row>
    <row r="28" spans="1:8" ht="15.75" customHeight="1" x14ac:dyDescent="0.25">
      <c r="B28" s="19" t="s">
        <v>121</v>
      </c>
      <c r="C28" s="99">
        <v>0.12571258499999999</v>
      </c>
    </row>
    <row r="29" spans="1:8" ht="15.75" customHeight="1" x14ac:dyDescent="0.25">
      <c r="B29" s="19" t="s">
        <v>122</v>
      </c>
      <c r="C29" s="99">
        <v>0.196091977</v>
      </c>
    </row>
    <row r="30" spans="1:8" ht="15.75" customHeight="1" x14ac:dyDescent="0.25">
      <c r="B30" s="19" t="s">
        <v>2</v>
      </c>
      <c r="C30" s="99">
        <v>6.7403012999999998E-2</v>
      </c>
    </row>
    <row r="31" spans="1:8" ht="15.75" customHeight="1" x14ac:dyDescent="0.25">
      <c r="B31" s="19" t="s">
        <v>123</v>
      </c>
      <c r="C31" s="99">
        <v>0.119314141</v>
      </c>
    </row>
    <row r="32" spans="1:8" ht="15.75" customHeight="1" x14ac:dyDescent="0.25">
      <c r="B32" s="19" t="s">
        <v>124</v>
      </c>
      <c r="C32" s="99">
        <v>3.6527864E-2</v>
      </c>
    </row>
    <row r="33" spans="2:3" ht="15.75" customHeight="1" x14ac:dyDescent="0.25">
      <c r="B33" s="19" t="s">
        <v>125</v>
      </c>
      <c r="C33" s="99">
        <v>0.152312374</v>
      </c>
    </row>
    <row r="34" spans="2:3" ht="15.75" customHeight="1" x14ac:dyDescent="0.25">
      <c r="B34" s="19" t="s">
        <v>126</v>
      </c>
      <c r="C34" s="99">
        <v>0.204663171</v>
      </c>
    </row>
    <row r="35" spans="2:3" ht="15.75" customHeight="1" x14ac:dyDescent="0.25">
      <c r="B35" s="27" t="s">
        <v>59</v>
      </c>
      <c r="C35" s="48">
        <f>SUM(C26:C34)</f>
        <v>1.0000000009999999</v>
      </c>
    </row>
  </sheetData>
  <sheetProtection algorithmName="SHA-512" hashValue="t88kVr682zWlBFOEJ7DFhHh0BTg9tCiaw1E5y+D2YLSIZh2buXDlwmjhMALG9Ol3X2vOxjEmI1veA+HeHVIeUg==" saltValue="J5Doxxq2t/LbomTgtAcTd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132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133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137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138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0.62359459274999995</v>
      </c>
      <c r="D14" s="54">
        <v>0.59193918951699998</v>
      </c>
      <c r="E14" s="54">
        <v>0.59193918951699998</v>
      </c>
      <c r="F14" s="54">
        <v>0.38638310174000012</v>
      </c>
      <c r="G14" s="54">
        <v>0.38638310174000012</v>
      </c>
      <c r="H14" s="45">
        <v>0.27500000000000002</v>
      </c>
      <c r="I14" s="55">
        <v>0.27500000000000002</v>
      </c>
      <c r="J14" s="55">
        <v>0.27500000000000002</v>
      </c>
      <c r="K14" s="55">
        <v>0.27500000000000002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0.34176475812419399</v>
      </c>
      <c r="D15" s="52">
        <f t="shared" si="0"/>
        <v>0.32441582444992895</v>
      </c>
      <c r="E15" s="52">
        <f t="shared" si="0"/>
        <v>0.32441582444992895</v>
      </c>
      <c r="F15" s="52">
        <f t="shared" si="0"/>
        <v>0.2117595772072175</v>
      </c>
      <c r="G15" s="52">
        <f t="shared" si="0"/>
        <v>0.2117595772072175</v>
      </c>
      <c r="H15" s="52">
        <f t="shared" si="0"/>
        <v>0.1507154</v>
      </c>
      <c r="I15" s="52">
        <f t="shared" si="0"/>
        <v>0.1507154</v>
      </c>
      <c r="J15" s="52">
        <f t="shared" si="0"/>
        <v>0.1507154</v>
      </c>
      <c r="K15" s="52">
        <f t="shared" si="0"/>
        <v>0.1507154</v>
      </c>
      <c r="L15" s="52">
        <f t="shared" si="0"/>
        <v>0.12769704800000001</v>
      </c>
      <c r="M15" s="52">
        <f t="shared" si="0"/>
        <v>0.12769704800000001</v>
      </c>
      <c r="N15" s="52">
        <f t="shared" si="0"/>
        <v>0.12769704800000001</v>
      </c>
      <c r="O15" s="52">
        <f t="shared" si="0"/>
        <v>0.12769704800000001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fLTIx/09DEU6QqVsrTh11nh5A+rOw7fSvSs4ZtsFop9wJdNa8QWsd8HRG4H3I/DNew6XxmNVyHGwwO22cjoPw==" saltValue="upWVWnqZTTkOOZ+ah9LG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4.7142848888889088E-2</v>
      </c>
      <c r="D5" s="52">
        <f t="shared" si="0"/>
        <v>0.10430043258427002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+DyPxaHqZ21ni7DLuzeRMSHwzm86KJn+NlyhQ5OwIolug3QmAHQlevfoSnJC2NKV4PRZtD4oRdFTzK7ARj9YyA==" saltValue="id/YtljEAk9z6A4IeW+wR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5t9B0zAHvb7mchkwRH10wjS2lPawoP6FZzgpb6T3GVHtM2ZfFnMZ7ij/mh1ofWYMeJIwDEqhpe2SY1/qt5oohw==" saltValue="u78IxK0L9PRUzSLyJmJ8W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9689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0.53713999999999995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0.65400000000000003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1.4966337972755255E-2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98327.867119999995</v>
      </c>
      <c r="C22" s="107">
        <v>98152.186239999995</v>
      </c>
      <c r="D22" s="107">
        <v>97954.256450000001</v>
      </c>
      <c r="E22" s="107">
        <v>97651.482990000004</v>
      </c>
      <c r="F22" s="107">
        <v>97222.049079999997</v>
      </c>
      <c r="G22" s="107">
        <v>96744.434529999999</v>
      </c>
      <c r="H22" s="107">
        <v>96003.557990000001</v>
      </c>
      <c r="I22" s="107">
        <v>94976.10295</v>
      </c>
      <c r="J22" s="107">
        <v>93665.527919999993</v>
      </c>
      <c r="K22" s="107">
        <v>91702.632129999998</v>
      </c>
      <c r="L22" s="107">
        <v>88776.651070000007</v>
      </c>
      <c r="M22" s="107">
        <v>84132.44859</v>
      </c>
      <c r="N22" s="107">
        <v>77063.677089999997</v>
      </c>
      <c r="O22" s="107">
        <v>66525.796359999993</v>
      </c>
    </row>
  </sheetData>
  <sheetProtection algorithmName="SHA-512" hashValue="ugf9qFy2ez28WKaq4XDzWIYhz6S76mCMGE8zyh7AOnOpb3kTfFeGK3p3Cppk1wr4wIn3a6SKV40gG0Xg5E6Ixg==" saltValue="J/F1cT1Ytr0hUJm8waVlY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kgt/b9q7yTOp2o3b48aDx2j5KbmSPsKuNTFi4t43Zwwazpa1SuWXSJbUVMvc9bwlr6eqCohMxAj5t+NwzmLjiw==" saltValue="s5dGLOBJcO0ZvbPVuOD2L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gvOrqnjjKRObIPwVWIj4lJ0ViR6TDmY/rfRGL4cE3v6Dxd2HhkDQFsy0+Vxv9Ub0E/K3AFvfTsh7q6Bd3ULD8Q==" saltValue="HecLRmOTb0JxDBK1Kca8R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21.195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0.32855565777368906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13.8270149155654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13.8270149155654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13.8270149155654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13.8270149155654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13.8270149155654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13.8270149155654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0.34229166666666699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</v>
      </c>
      <c r="C18" s="96">
        <v>0.95</v>
      </c>
      <c r="D18" s="56">
        <v>21.195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</v>
      </c>
      <c r="C19" s="96">
        <v>0.95</v>
      </c>
      <c r="D19" s="56">
        <v>22.51730204343292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21.195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4.78860983208211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4.4421306161984946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9.2958524157825622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</v>
      </c>
      <c r="C29" s="96">
        <v>0.95</v>
      </c>
      <c r="D29" s="56">
        <v>196.59554063194781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123.05968780269725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1.5917274986535743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0.92326350000000001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2.4500000000000002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WK1KI2FbRdEDNYqNHgnT6D1J1ADy+uxSdAqRykuGvzTjSOl0bskvahXZBGInsmMUoMb9KKxaLnmw2rlqlUZIRg==" saltValue="UUfODdU/0XH6DoGWZ8y6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5eOFK3fffFOjZ1YV227at5xY5M9A8qAUs3Jr/JvZG0/5bWYlD5CqgZ0PbTtA96t7sTMNcBagFajjSH9TN0Q3iw==" saltValue="SKAZVRLLRcPqQtpsMy3MC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yns+Am73cLnEB8BJig7aO7hWvTbH0trz811kADEzAdCuvD/gmGCCjaTuCOA5CgR2fOXkQO71Y4vQaANSkyqRag==" saltValue="pJJIaUf2tcqyObKVdeNTX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237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MNGRG83Fi/GfDD2NdW+p50nqtDwtMsxocxJFwO9ARrphfNDVZhmz2glyF2Nw/bnZCKsPB5uHO/CtB+6zb0vfCw==" saltValue="PpKpxwr39AXEhkYIS1PlO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</v>
      </c>
      <c r="M24" s="60">
        <f>famplan_unmet_need</f>
        <v>0.17</v>
      </c>
      <c r="N24" s="60">
        <f>famplan_unmet_need</f>
        <v>0.17</v>
      </c>
      <c r="O24" s="60">
        <f>famplan_unmet_need</f>
        <v>0.17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0.13659437046432496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5.8540444484710692E-2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8.184859874725342E-2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0.7230165863037108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+aVoCh+x4zdprwvrxJHgYhZRd18oGxSVciBc9DX9nI3KPfHf+KlqaEulB/0i8ZNIq8rur7ku5onwdM7pU7R20A==" saltValue="Jq/IK/sXWU7B3Y5c/Pjjy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+XnZO9HRa7GRUUk6xjUG1OZJ5ig16hY8qtFfI52nwwY8I/mmjIuJX6lu8Qcbrc4xaMDAXALwIzlvxnQtNf1CAQ==" saltValue="02Cex3osJ7YgRE4dx5UzL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hryNu2Elviu7GfNACkCwZWIYZtIyht7QojAUnkxz0an/z+usSpULEzRfbxNlYXXSgFCC4WRTcKA79ChxHoCTw==" saltValue="Kwn9w0q6H9a3Bh6/Qso8O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n6JU0iiiO3Ml5mDew65uYdLrNjXOBA3K2kAELeI+QBkyYzKFdpSdoZ4c2nfuSiHI4ww/aUQVtjS6Ic8xrGoGA==" saltValue="/bpyW8SnJMQzR4puN/cKc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q70geTK/x/ex+dPNU+XpVuDfJZHQRCpLUnwiPEaMCgf/VCoF5LPOL1wRTOnaiGEj+hLA7WC1AqZIDkaLgSZ+xw==" saltValue="KO0jiuYnGnd/ScOC7gzPT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Wjuxzq2tT2QWUw5fyVm2EufPzk4z/w/eawX+WiVe56vAF3jCYgBycEWHTTv429OU+Fu5lb1766Mp9ip0ZTAnnw==" saltValue="SToyjJdIKRSV5XLOOf+dk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M9se8y1EE00ff3CN7y8hSjIPlnxxUOeznX7Z59K9VUQOsCQvu1ZAgUPHJVF9VNdACfTbSXYpNYtuw0xiI8BPxg==" saltValue="kssZI+0OPJJKXk/hlnJ6e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1UhwkCHc/zjQ9/mdVAKZvVQ8XmAucYdhp2VqjWLhXFWTQfoJVsUSCJwAA54MhrImV/Qf7k2FARrBbuwXyALIZA==" saltValue="zv5TW8XGnWAPwcZp4QD2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vt9/qbOpu9+etHM1t+ZrxN/3/F+Bn7ZCHzIzN6iXAQl9LjA4DydGFnnlr/26GLcVQSUIDuue6Kqb3JE1k6ZDqQ==" saltValue="sm4XBP+1KdHjXAY716Ko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lzarUQ6V0xy8NpVOcmUYcaJAsxes0rfz27ynCu+KPxcxzJcCAlQyPtQPX1tIDzM5JPnHWDKtui+WHyMpkteGA==" saltValue="Y0aUAKBdxrU4BZgWy+KD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XTCAujPPXzWbOK7WcSC/gzAxV0SDd4VaUTP3Q/w6Vz30NE4ZqxWRAFX5/fg75cPY4pcs4r7Un+RBrOrWPuUBbQ==" saltValue="Bp72cthkYLNR5EPh6Smo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Y5uaCgAOhkOe97JEsJD2BOj6RXwJlFfFKRFxGWFebELX8vcSDvSwZbctNf6xPoJpaOTCfCSDfEfK98PlI5QohQ==" saltValue="yJGne87laTIjSs/y3ylk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RFa+kTDZWGYS8+0sOAX4KS2RF6CP7Qyw4V0y0u0XT7QDyOMzSzV8NNHtSp6rSdVEvQHefKpILLShkMmgvA4YrA==" saltValue="v7oXtqU6iZidgFpdDAoY8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0/ImOYRNplUJr86lsPY01xcHg3oTyRm+Gl+yEj6KiU1nbasIUCLzJQ5tcJQtdG6OvD66o/q7ZJx37GUYT9pjDw==" saltValue="ZrYaXOUpcsOGZnbCPZTI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/W85xWKCmX88NaPn5o704owP3AORA19IbELF/xTqsm/in4+b3OMjElsuOIOw0WSGnxQVy3M0IU/vt2WT5o4QCA==" saltValue="gxwpvNNYIcXuIZwEFTkpm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