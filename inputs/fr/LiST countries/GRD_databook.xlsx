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fr\LiST countries\"/>
    </mc:Choice>
  </mc:AlternateContent>
  <xr:revisionPtr revIDLastSave="0" documentId="8_{6DBDB0E4-38D4-4285-AAF6-982FE16614F2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D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A37" i="2"/>
  <c r="A34" i="2"/>
  <c r="A31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I7" i="2" s="1"/>
  <c r="H6" i="2"/>
  <c r="G6" i="2"/>
  <c r="H5" i="2"/>
  <c r="G5" i="2"/>
  <c r="H4" i="2"/>
  <c r="G4" i="2"/>
  <c r="I4" i="2" s="1"/>
  <c r="H3" i="2"/>
  <c r="G3" i="2"/>
  <c r="I3" i="2" s="1"/>
  <c r="H2" i="2"/>
  <c r="G2" i="2"/>
  <c r="I2" i="2" s="1"/>
  <c r="A2" i="2"/>
  <c r="A39" i="2" s="1"/>
  <c r="C33" i="1"/>
  <c r="C20" i="1"/>
  <c r="A23" i="2" l="1"/>
  <c r="A40" i="2"/>
  <c r="A24" i="2"/>
  <c r="A25" i="2"/>
  <c r="A26" i="2"/>
  <c r="I6" i="2"/>
  <c r="I12" i="2"/>
  <c r="A35" i="2"/>
  <c r="A36" i="2"/>
  <c r="A19" i="2"/>
  <c r="A22" i="2"/>
  <c r="I39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<sst xmlns="http://schemas.openxmlformats.org/spreadsheetml/2006/main" count="2169" uniqueCount="369">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</sst>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6770</v>
      </c>
    </row>
    <row r="8" spans="1:3" ht="15" customHeight="1" x14ac:dyDescent="0.25">
      <c r="B8" s="5" t="s">
        <v>37</v>
      </c>
      <c r="C8" s="44">
        <v>1.4999999999999999E-2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0.72301658630371091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0.17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7.2499999999999995E-2</v>
      </c>
    </row>
    <row r="24" spans="1:3" ht="15" customHeight="1" x14ac:dyDescent="0.25">
      <c r="B24" s="15" t="s">
        <v>51</v>
      </c>
      <c r="C24" s="45">
        <v>0.54660000000000009</v>
      </c>
    </row>
    <row r="25" spans="1:3" ht="15" customHeight="1" x14ac:dyDescent="0.25">
      <c r="B25" s="15" t="s">
        <v>52</v>
      </c>
      <c r="C25" s="45">
        <v>0.3503</v>
      </c>
    </row>
    <row r="26" spans="1:3" ht="15" customHeight="1" x14ac:dyDescent="0.25">
      <c r="B26" s="15" t="s">
        <v>53</v>
      </c>
      <c r="C26" s="45">
        <v>3.0599999999999999E-2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0.38027698235904311</v>
      </c>
    </row>
    <row r="30" spans="1:3" ht="14.25" customHeight="1" x14ac:dyDescent="0.25">
      <c r="B30" s="25" t="s">
        <v>56</v>
      </c>
      <c r="C30" s="97">
        <v>5.4660418264349912E-2</v>
      </c>
    </row>
    <row r="31" spans="1:3" ht="14.25" customHeight="1" x14ac:dyDescent="0.25">
      <c r="B31" s="25" t="s">
        <v>57</v>
      </c>
      <c r="C31" s="97">
        <v>6.1967733026657798E-2</v>
      </c>
    </row>
    <row r="32" spans="1:3" ht="14.25" customHeight="1" x14ac:dyDescent="0.25">
      <c r="B32" s="25" t="s">
        <v>58</v>
      </c>
      <c r="C32" s="97">
        <v>0.50309486634994893</v>
      </c>
    </row>
    <row r="33" spans="1:5" ht="13.25" customHeight="1" x14ac:dyDescent="0.25">
      <c r="B33" s="27" t="s">
        <v>59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10.28346</v>
      </c>
    </row>
    <row r="38" spans="1:5" ht="15" customHeight="1" x14ac:dyDescent="0.25">
      <c r="B38" s="11" t="s">
        <v>63</v>
      </c>
      <c r="C38" s="43">
        <v>14.41901</v>
      </c>
      <c r="D38" s="12"/>
      <c r="E38" s="13"/>
    </row>
    <row r="39" spans="1:5" ht="15" customHeight="1" x14ac:dyDescent="0.25">
      <c r="B39" s="11" t="s">
        <v>64</v>
      </c>
      <c r="C39" s="43">
        <v>16.18065</v>
      </c>
      <c r="D39" s="12"/>
      <c r="E39" s="12"/>
    </row>
    <row r="40" spans="1:5" ht="15" customHeight="1" x14ac:dyDescent="0.25">
      <c r="B40" s="11" t="s">
        <v>65</v>
      </c>
      <c r="C40" s="98">
        <v>0.21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9.0744000000000007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7.1989999999999997E-3</v>
      </c>
      <c r="D45" s="12"/>
    </row>
    <row r="46" spans="1:5" ht="15.75" customHeight="1" x14ac:dyDescent="0.25">
      <c r="B46" s="11" t="s">
        <v>70</v>
      </c>
      <c r="C46" s="45">
        <v>7.7351799999999998E-2</v>
      </c>
      <c r="D46" s="12"/>
    </row>
    <row r="47" spans="1:5" ht="15.75" customHeight="1" x14ac:dyDescent="0.25">
      <c r="B47" s="11" t="s">
        <v>71</v>
      </c>
      <c r="C47" s="45">
        <v>7.4154899999999996E-2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3.2</v>
      </c>
      <c r="D51" s="12"/>
    </row>
    <row r="52" spans="1:4" ht="15" customHeight="1" x14ac:dyDescent="0.25">
      <c r="B52" s="11" t="s">
        <v>75</v>
      </c>
      <c r="C52" s="98">
        <v>3.2</v>
      </c>
    </row>
    <row r="53" spans="1:4" ht="15.75" customHeight="1" x14ac:dyDescent="0.25">
      <c r="B53" s="11" t="s">
        <v>76</v>
      </c>
      <c r="C53" s="98">
        <v>3.2</v>
      </c>
    </row>
    <row r="54" spans="1:4" ht="15.75" customHeight="1" x14ac:dyDescent="0.25">
      <c r="B54" s="11" t="s">
        <v>77</v>
      </c>
      <c r="C54" s="98">
        <v>3.2</v>
      </c>
    </row>
    <row r="55" spans="1:4" ht="15.75" customHeight="1" x14ac:dyDescent="0.25">
      <c r="B55" s="11" t="s">
        <v>78</v>
      </c>
      <c r="C55" s="98">
        <v>3.2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1.9375E-2</v>
      </c>
    </row>
    <row r="59" spans="1:4" ht="15.75" customHeight="1" x14ac:dyDescent="0.25">
      <c r="B59" s="11" t="s">
        <v>81</v>
      </c>
      <c r="C59" s="45">
        <v>0.54805599999999999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UaVz6Gpry7GNtvoR46kxgmZ6/msuzX47/JBa93TT5BZbGFvc/46EK+cYnwgWdiQtcVC6XC4kMwDBi0lTvJPrdg==" saltValue="wYxLJGqcstbBcBOY0E1DG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1345</v>
      </c>
      <c r="C2" s="49">
        <v>4200.5</v>
      </c>
      <c r="D2" s="49">
        <v>8542</v>
      </c>
      <c r="E2" s="49">
        <v>10280.000000000002</v>
      </c>
      <c r="F2" s="49">
        <v>7280.5</v>
      </c>
      <c r="G2" s="17">
        <f t="shared" ref="G2:G13" si="0">C2+D2+E2+F2</f>
        <v>30303</v>
      </c>
      <c r="H2" s="17">
        <f t="shared" ref="H2:H13" si="1">(B2 + stillbirth*B2/(1000-stillbirth))/(1-abortion)</f>
        <v>1542.4054953359678</v>
      </c>
      <c r="I2" s="17">
        <f t="shared" ref="I2:I13" si="2">G2-H2</f>
        <v>28760.594504664034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1319</v>
      </c>
      <c r="C3" s="50">
        <v>4230</v>
      </c>
      <c r="D3" s="50">
        <v>8416</v>
      </c>
      <c r="E3" s="50">
        <v>10129.999999999998</v>
      </c>
      <c r="F3" s="50">
        <v>7680</v>
      </c>
      <c r="G3" s="17">
        <f t="shared" si="0"/>
        <v>30456</v>
      </c>
      <c r="H3" s="17">
        <f t="shared" si="1"/>
        <v>1512.5894783257556</v>
      </c>
      <c r="I3" s="17">
        <f t="shared" si="2"/>
        <v>28943.410521674243</v>
      </c>
    </row>
    <row r="4" spans="1:9" ht="15.75" customHeight="1" x14ac:dyDescent="0.25">
      <c r="A4" s="5">
        <f t="shared" si="3"/>
        <v>2026</v>
      </c>
      <c r="B4" s="49">
        <v>1296</v>
      </c>
      <c r="C4" s="50">
        <v>4249.5</v>
      </c>
      <c r="D4" s="50">
        <v>8314.4999999999982</v>
      </c>
      <c r="E4" s="50">
        <v>9931.5</v>
      </c>
      <c r="F4" s="50">
        <v>8115.5000000000009</v>
      </c>
      <c r="G4" s="17">
        <f t="shared" si="0"/>
        <v>30611</v>
      </c>
      <c r="H4" s="17">
        <f t="shared" si="1"/>
        <v>1486.213770970568</v>
      </c>
      <c r="I4" s="17">
        <f t="shared" si="2"/>
        <v>29124.786229029432</v>
      </c>
    </row>
    <row r="5" spans="1:9" ht="15.75" customHeight="1" x14ac:dyDescent="0.25">
      <c r="A5" s="5">
        <f t="shared" si="3"/>
        <v>2027</v>
      </c>
      <c r="B5" s="49">
        <v>1278</v>
      </c>
      <c r="C5" s="50">
        <v>4255.5</v>
      </c>
      <c r="D5" s="50">
        <v>8232.5</v>
      </c>
      <c r="E5" s="50">
        <v>9708.5</v>
      </c>
      <c r="F5" s="50">
        <v>8564</v>
      </c>
      <c r="G5" s="17">
        <f t="shared" si="0"/>
        <v>30760.5</v>
      </c>
      <c r="H5" s="17">
        <f t="shared" si="1"/>
        <v>1465.5719130404214</v>
      </c>
      <c r="I5" s="17">
        <f t="shared" si="2"/>
        <v>29294.928086959579</v>
      </c>
    </row>
    <row r="6" spans="1:9" ht="15.75" customHeight="1" x14ac:dyDescent="0.25">
      <c r="A6" s="5">
        <f t="shared" si="3"/>
        <v>2028</v>
      </c>
      <c r="B6" s="49">
        <v>1263</v>
      </c>
      <c r="C6" s="50">
        <v>4243.5</v>
      </c>
      <c r="D6" s="50">
        <v>8166.4999999999991</v>
      </c>
      <c r="E6" s="50">
        <v>9475.5</v>
      </c>
      <c r="F6" s="50">
        <v>9004</v>
      </c>
      <c r="G6" s="17">
        <f t="shared" si="0"/>
        <v>30889.5</v>
      </c>
      <c r="H6" s="17">
        <f t="shared" si="1"/>
        <v>1448.370364765299</v>
      </c>
      <c r="I6" s="17">
        <f t="shared" si="2"/>
        <v>29441.129635234702</v>
      </c>
    </row>
    <row r="7" spans="1:9" ht="15.75" customHeight="1" x14ac:dyDescent="0.25">
      <c r="A7" s="5">
        <f t="shared" si="3"/>
        <v>2029</v>
      </c>
      <c r="B7" s="49">
        <v>1248</v>
      </c>
      <c r="C7" s="50">
        <v>4197</v>
      </c>
      <c r="D7" s="50">
        <v>8111.9999999999982</v>
      </c>
      <c r="E7" s="50">
        <v>9250</v>
      </c>
      <c r="F7" s="50">
        <v>9400.5000000000018</v>
      </c>
      <c r="G7" s="17">
        <f t="shared" si="0"/>
        <v>30959.5</v>
      </c>
      <c r="H7" s="17">
        <f t="shared" si="1"/>
        <v>1431.1688164901766</v>
      </c>
      <c r="I7" s="17">
        <f t="shared" si="2"/>
        <v>29528.331183509825</v>
      </c>
    </row>
    <row r="8" spans="1:9" ht="15.75" customHeight="1" x14ac:dyDescent="0.25">
      <c r="A8" s="5">
        <f t="shared" si="3"/>
        <v>2030</v>
      </c>
      <c r="B8" s="49">
        <v>1235</v>
      </c>
      <c r="C8" s="50">
        <v>4111</v>
      </c>
      <c r="D8" s="50">
        <v>8063.0000000000009</v>
      </c>
      <c r="E8" s="50">
        <v>9049.5</v>
      </c>
      <c r="F8" s="50">
        <v>9727</v>
      </c>
      <c r="G8" s="17">
        <f t="shared" si="0"/>
        <v>30950.5</v>
      </c>
      <c r="H8" s="17">
        <f t="shared" si="1"/>
        <v>1416.2608079850706</v>
      </c>
      <c r="I8" s="17">
        <f t="shared" si="2"/>
        <v>29534.239192014931</v>
      </c>
    </row>
    <row r="9" spans="1:9" ht="15.75" customHeight="1" x14ac:dyDescent="0.25">
      <c r="A9" s="5">
        <f t="shared" si="3"/>
        <v>2031</v>
      </c>
      <c r="B9" s="49">
        <v>1222</v>
      </c>
      <c r="C9" s="50">
        <v>3989</v>
      </c>
      <c r="D9" s="50">
        <v>8068.5</v>
      </c>
      <c r="E9" s="50">
        <v>8828.5</v>
      </c>
      <c r="F9" s="50">
        <v>9955.5</v>
      </c>
      <c r="G9" s="17">
        <f t="shared" si="0"/>
        <v>30841.5</v>
      </c>
      <c r="H9" s="17">
        <f t="shared" si="1"/>
        <v>1401.3527994799647</v>
      </c>
      <c r="I9" s="17">
        <f t="shared" si="2"/>
        <v>29440.147200520034</v>
      </c>
    </row>
    <row r="10" spans="1:9" ht="15.75" customHeight="1" x14ac:dyDescent="0.25">
      <c r="A10" s="5">
        <f t="shared" si="3"/>
        <v>2032</v>
      </c>
      <c r="B10" s="49">
        <v>1209</v>
      </c>
      <c r="C10" s="50">
        <v>3811.5</v>
      </c>
      <c r="D10" s="50">
        <v>8122.4999999999991</v>
      </c>
      <c r="E10" s="50">
        <v>8597.0000000000018</v>
      </c>
      <c r="F10" s="50">
        <v>10064.499999999998</v>
      </c>
      <c r="G10" s="17">
        <f t="shared" si="0"/>
        <v>30595.5</v>
      </c>
      <c r="H10" s="17">
        <f t="shared" si="1"/>
        <v>1386.4447909748587</v>
      </c>
      <c r="I10" s="17">
        <f t="shared" si="2"/>
        <v>29209.05520902514</v>
      </c>
    </row>
    <row r="11" spans="1:9" ht="15.75" customHeight="1" x14ac:dyDescent="0.25">
      <c r="A11" s="5">
        <f t="shared" si="3"/>
        <v>2033</v>
      </c>
      <c r="B11" s="49">
        <v>1195</v>
      </c>
      <c r="C11" s="50">
        <v>3628.5</v>
      </c>
      <c r="D11" s="50">
        <v>8156.0000000000009</v>
      </c>
      <c r="E11" s="50">
        <v>8412.5000000000018</v>
      </c>
      <c r="F11" s="50">
        <v>10071</v>
      </c>
      <c r="G11" s="17">
        <f t="shared" si="0"/>
        <v>30268</v>
      </c>
      <c r="H11" s="17">
        <f t="shared" si="1"/>
        <v>1370.3900125847445</v>
      </c>
      <c r="I11" s="17">
        <f t="shared" si="2"/>
        <v>28897.609987415257</v>
      </c>
    </row>
    <row r="12" spans="1:9" ht="15.75" customHeight="1" x14ac:dyDescent="0.25">
      <c r="A12" s="5">
        <f t="shared" si="3"/>
        <v>2034</v>
      </c>
      <c r="B12" s="49">
        <v>1181</v>
      </c>
      <c r="C12" s="50">
        <v>3499</v>
      </c>
      <c r="D12" s="50">
        <v>8149.9999999999982</v>
      </c>
      <c r="E12" s="50">
        <v>8266</v>
      </c>
      <c r="F12" s="50">
        <v>9994</v>
      </c>
      <c r="G12" s="17">
        <f t="shared" si="0"/>
        <v>29909</v>
      </c>
      <c r="H12" s="17">
        <f t="shared" si="1"/>
        <v>1354.3352341946302</v>
      </c>
      <c r="I12" s="17">
        <f t="shared" si="2"/>
        <v>28554.66476580537</v>
      </c>
    </row>
    <row r="13" spans="1:9" ht="15.75" customHeight="1" x14ac:dyDescent="0.25">
      <c r="A13" s="5">
        <f t="shared" si="3"/>
        <v>2035</v>
      </c>
      <c r="B13" s="49">
        <v>1166</v>
      </c>
      <c r="C13" s="50">
        <v>3407.5</v>
      </c>
      <c r="D13" s="50">
        <v>8098.5</v>
      </c>
      <c r="E13" s="50">
        <v>8150.4999999999991</v>
      </c>
      <c r="F13" s="50">
        <v>9851.5</v>
      </c>
      <c r="G13" s="17">
        <f t="shared" si="0"/>
        <v>29508</v>
      </c>
      <c r="H13" s="17">
        <f t="shared" si="1"/>
        <v>1337.133685919508</v>
      </c>
      <c r="I13" s="17">
        <f t="shared" si="2"/>
        <v>28170.866314080493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XKrOdv7xUTgGjBy8Q1x8r/xb7PGr4p7SDfCtINxVWRQWP6qd7i6ecqOQedsgZNQ8iPcxRE0G7AF0WE6pfN58yg==" saltValue="M7ew9T+RgM2owco0/63tA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0</v>
      </c>
    </row>
    <row r="4" spans="1:8" ht="15.75" customHeight="1" x14ac:dyDescent="0.25">
      <c r="B4" s="19" t="s">
        <v>97</v>
      </c>
      <c r="C4" s="99">
        <v>0.1055556</v>
      </c>
    </row>
    <row r="5" spans="1:8" ht="15.75" customHeight="1" x14ac:dyDescent="0.25">
      <c r="B5" s="19" t="s">
        <v>98</v>
      </c>
      <c r="C5" s="99">
        <v>4.8148100000000027E-2</v>
      </c>
    </row>
    <row r="6" spans="1:8" ht="15.75" customHeight="1" x14ac:dyDescent="0.25">
      <c r="B6" s="19" t="s">
        <v>99</v>
      </c>
      <c r="C6" s="99">
        <v>0.32037040000000022</v>
      </c>
    </row>
    <row r="7" spans="1:8" ht="15.75" customHeight="1" x14ac:dyDescent="0.25">
      <c r="B7" s="19" t="s">
        <v>100</v>
      </c>
      <c r="C7" s="99">
        <v>0.37222219999999978</v>
      </c>
    </row>
    <row r="8" spans="1:8" ht="15.75" customHeight="1" x14ac:dyDescent="0.25">
      <c r="B8" s="19" t="s">
        <v>101</v>
      </c>
      <c r="C8" s="99">
        <v>0</v>
      </c>
    </row>
    <row r="9" spans="1:8" ht="15.75" customHeight="1" x14ac:dyDescent="0.25">
      <c r="B9" s="19" t="s">
        <v>102</v>
      </c>
      <c r="C9" s="99">
        <v>0.14259260000000001</v>
      </c>
    </row>
    <row r="10" spans="1:8" ht="15.75" customHeight="1" x14ac:dyDescent="0.25">
      <c r="B10" s="19" t="s">
        <v>103</v>
      </c>
      <c r="C10" s="99">
        <v>1.11111E-2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</v>
      </c>
      <c r="D14" s="55">
        <v>0</v>
      </c>
      <c r="E14" s="55">
        <v>0</v>
      </c>
      <c r="F14" s="55">
        <v>0</v>
      </c>
    </row>
    <row r="15" spans="1:8" ht="15.75" customHeight="1" x14ac:dyDescent="0.25">
      <c r="B15" s="19" t="s">
        <v>106</v>
      </c>
      <c r="C15" s="99">
        <v>0.38426575950470021</v>
      </c>
      <c r="D15" s="99">
        <v>0.38426575950470021</v>
      </c>
      <c r="E15" s="99">
        <v>0.38426575950470021</v>
      </c>
      <c r="F15" s="99">
        <v>0.38426575950470021</v>
      </c>
    </row>
    <row r="16" spans="1:8" ht="15.75" customHeight="1" x14ac:dyDescent="0.25">
      <c r="B16" s="19" t="s">
        <v>107</v>
      </c>
      <c r="C16" s="99">
        <v>0</v>
      </c>
      <c r="D16" s="99">
        <v>0</v>
      </c>
      <c r="E16" s="99">
        <v>0</v>
      </c>
      <c r="F16" s="99">
        <v>0</v>
      </c>
    </row>
    <row r="17" spans="1:8" ht="15.75" customHeight="1" x14ac:dyDescent="0.25">
      <c r="B17" s="19" t="s">
        <v>108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109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110</v>
      </c>
      <c r="C19" s="99">
        <v>0</v>
      </c>
      <c r="D19" s="99">
        <v>0</v>
      </c>
      <c r="E19" s="99">
        <v>0</v>
      </c>
      <c r="F19" s="99">
        <v>0</v>
      </c>
    </row>
    <row r="20" spans="1:8" ht="15.75" customHeight="1" x14ac:dyDescent="0.25">
      <c r="B20" s="19" t="s">
        <v>111</v>
      </c>
      <c r="C20" s="99">
        <v>0</v>
      </c>
      <c r="D20" s="99">
        <v>0</v>
      </c>
      <c r="E20" s="99">
        <v>0</v>
      </c>
      <c r="F20" s="99">
        <v>0</v>
      </c>
    </row>
    <row r="21" spans="1:8" ht="15.75" customHeight="1" x14ac:dyDescent="0.25">
      <c r="B21" s="19" t="s">
        <v>112</v>
      </c>
      <c r="C21" s="99">
        <v>0.43363631745840392</v>
      </c>
      <c r="D21" s="99">
        <v>0.43363631745840392</v>
      </c>
      <c r="E21" s="99">
        <v>0.43363631745840392</v>
      </c>
      <c r="F21" s="99">
        <v>0.43363631745840392</v>
      </c>
    </row>
    <row r="22" spans="1:8" ht="15.75" customHeight="1" x14ac:dyDescent="0.25">
      <c r="B22" s="19" t="s">
        <v>113</v>
      </c>
      <c r="C22" s="99">
        <v>0.18209792303689601</v>
      </c>
      <c r="D22" s="99">
        <v>0.18209792303689601</v>
      </c>
      <c r="E22" s="99">
        <v>0.18209792303689601</v>
      </c>
      <c r="F22" s="99">
        <v>0.18209792303689601</v>
      </c>
    </row>
    <row r="23" spans="1:8" ht="15.75" customHeight="1" x14ac:dyDescent="0.25">
      <c r="B23" s="27" t="s">
        <v>59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5.0426016999999997E-2</v>
      </c>
    </row>
    <row r="27" spans="1:8" ht="15.75" customHeight="1" x14ac:dyDescent="0.25">
      <c r="B27" s="19" t="s">
        <v>120</v>
      </c>
      <c r="C27" s="99">
        <v>4.7548858999999999E-2</v>
      </c>
    </row>
    <row r="28" spans="1:8" ht="15.75" customHeight="1" x14ac:dyDescent="0.25">
      <c r="B28" s="19" t="s">
        <v>121</v>
      </c>
      <c r="C28" s="99">
        <v>0.12571258499999999</v>
      </c>
    </row>
    <row r="29" spans="1:8" ht="15.75" customHeight="1" x14ac:dyDescent="0.25">
      <c r="B29" s="19" t="s">
        <v>122</v>
      </c>
      <c r="C29" s="99">
        <v>0.196091977</v>
      </c>
    </row>
    <row r="30" spans="1:8" ht="15.75" customHeight="1" x14ac:dyDescent="0.25">
      <c r="B30" s="19" t="s">
        <v>2</v>
      </c>
      <c r="C30" s="99">
        <v>6.7403012999999998E-2</v>
      </c>
    </row>
    <row r="31" spans="1:8" ht="15.75" customHeight="1" x14ac:dyDescent="0.25">
      <c r="B31" s="19" t="s">
        <v>123</v>
      </c>
      <c r="C31" s="99">
        <v>0.119314141</v>
      </c>
    </row>
    <row r="32" spans="1:8" ht="15.75" customHeight="1" x14ac:dyDescent="0.25">
      <c r="B32" s="19" t="s">
        <v>124</v>
      </c>
      <c r="C32" s="99">
        <v>3.6527864E-2</v>
      </c>
    </row>
    <row r="33" spans="2:3" ht="15.75" customHeight="1" x14ac:dyDescent="0.25">
      <c r="B33" s="19" t="s">
        <v>125</v>
      </c>
      <c r="C33" s="99">
        <v>0.152312374</v>
      </c>
    </row>
    <row r="34" spans="2:3" ht="15.75" customHeight="1" x14ac:dyDescent="0.25">
      <c r="B34" s="19" t="s">
        <v>126</v>
      </c>
      <c r="C34" s="99">
        <v>0.204663171</v>
      </c>
    </row>
    <row r="35" spans="2:3" ht="15.75" customHeight="1" x14ac:dyDescent="0.25">
      <c r="B35" s="27" t="s">
        <v>59</v>
      </c>
      <c r="C35" s="48">
        <f>SUM(C26:C34)</f>
        <v>1.0000000009999999</v>
      </c>
    </row>
  </sheetData>
  <sheetProtection algorithmName="SHA-512" hashValue="y3C/RSNGP3yMaqAyHHOgaMhvCoANkM7IPmkaD9eFryXk9dz1NAv3ZAh4VnYgsbTyRrWqcZ63MHJvInQqW9QX/w==" saltValue="LBnFuNVJB5HX/2LP21VHb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0.56571320635899591</v>
      </c>
      <c r="D2" s="52">
        <f>IFERROR(1-_xlfn.NORM.DIST(_xlfn.NORM.INV(SUM(D4:D5), 0, 1) + 1, 0, 1, TRUE), "")</f>
        <v>0.56571320635899591</v>
      </c>
      <c r="E2" s="52">
        <f>IFERROR(1-_xlfn.NORM.DIST(_xlfn.NORM.INV(SUM(E4:E5), 0, 1) + 1, 0, 1, TRUE), "")</f>
        <v>0.5489003245052726</v>
      </c>
      <c r="F2" s="52">
        <f>IFERROR(1-_xlfn.NORM.DIST(_xlfn.NORM.INV(SUM(F4:F5), 0, 1) + 1, 0, 1, TRUE), "")</f>
        <v>0.40571757652982099</v>
      </c>
      <c r="G2" s="52">
        <f>IFERROR(1-_xlfn.NORM.DIST(_xlfn.NORM.INV(SUM(G4:G5), 0, 1) + 1, 0, 1, TRUE), "")</f>
        <v>0.42098878903416415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0.31237251692867529</v>
      </c>
      <c r="D3" s="52">
        <f>IFERROR(_xlfn.NORM.DIST(_xlfn.NORM.INV(SUM(D4:D5), 0, 1) + 1, 0, 1, TRUE) - SUM(D4:D5), "")</f>
        <v>0.31237251692867529</v>
      </c>
      <c r="E3" s="52">
        <f>IFERROR(_xlfn.NORM.DIST(_xlfn.NORM.INV(SUM(E4:E5), 0, 1) + 1, 0, 1, TRUE) - SUM(E4:E5), "")</f>
        <v>0.32035618765688967</v>
      </c>
      <c r="F3" s="52">
        <f>IFERROR(_xlfn.NORM.DIST(_xlfn.NORM.INV(SUM(F4:F5), 0, 1) + 1, 0, 1, TRUE) - SUM(F4:F5), "")</f>
        <v>0.37108079374044944</v>
      </c>
      <c r="G3" s="52">
        <f>IFERROR(_xlfn.NORM.DIST(_xlfn.NORM.INV(SUM(G4:G5), 0, 1) + 1, 0, 1, TRUE) - SUM(G4:G5), "")</f>
        <v>0.36733984610097042</v>
      </c>
    </row>
    <row r="4" spans="1:15" ht="15.75" customHeight="1" x14ac:dyDescent="0.25">
      <c r="B4" s="5" t="s">
        <v>132</v>
      </c>
      <c r="C4" s="45">
        <v>7.883543561643841E-2</v>
      </c>
      <c r="D4" s="53">
        <v>7.883543561643841E-2</v>
      </c>
      <c r="E4" s="53">
        <v>9.5080344594594593E-2</v>
      </c>
      <c r="F4" s="53">
        <v>0.15155733108108099</v>
      </c>
      <c r="G4" s="53">
        <v>0.14753636351351401</v>
      </c>
    </row>
    <row r="5" spans="1:15" ht="15.75" customHeight="1" x14ac:dyDescent="0.25">
      <c r="B5" s="5" t="s">
        <v>133</v>
      </c>
      <c r="C5" s="45">
        <v>4.3078841095890399E-2</v>
      </c>
      <c r="D5" s="53">
        <v>4.3078841095890399E-2</v>
      </c>
      <c r="E5" s="53">
        <v>3.5663143243243198E-2</v>
      </c>
      <c r="F5" s="53">
        <v>7.1644298648648602E-2</v>
      </c>
      <c r="G5" s="53">
        <v>6.4135001351351403E-2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0.74829542472685828</v>
      </c>
      <c r="D8" s="52">
        <f>IFERROR(1-_xlfn.NORM.DIST(_xlfn.NORM.INV(SUM(D10:D11), 0, 1) + 1, 0, 1, TRUE), "")</f>
        <v>0.74829542472685828</v>
      </c>
      <c r="E8" s="52">
        <f>IFERROR(1-_xlfn.NORM.DIST(_xlfn.NORM.INV(SUM(E10:E11), 0, 1) + 1, 0, 1, TRUE), "")</f>
        <v>0.78445700575695343</v>
      </c>
      <c r="F8" s="52">
        <f>IFERROR(1-_xlfn.NORM.DIST(_xlfn.NORM.INV(SUM(F10:F11), 0, 1) + 1, 0, 1, TRUE), "")</f>
        <v>0.83285025048157679</v>
      </c>
      <c r="G8" s="52">
        <f>IFERROR(1-_xlfn.NORM.DIST(_xlfn.NORM.INV(SUM(G10:G11), 0, 1) + 1, 0, 1, TRUE), "")</f>
        <v>0.86465701739449596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0.20415929445122397</v>
      </c>
      <c r="D9" s="52">
        <f>IFERROR(_xlfn.NORM.DIST(_xlfn.NORM.INV(SUM(D10:D11), 0, 1) + 1, 0, 1, TRUE) - SUM(D10:D11), "")</f>
        <v>0.20415929445122397</v>
      </c>
      <c r="E9" s="52">
        <f>IFERROR(_xlfn.NORM.DIST(_xlfn.NORM.INV(SUM(E10:E11), 0, 1) + 1, 0, 1, TRUE) - SUM(E10:E11), "")</f>
        <v>0.1786012861349385</v>
      </c>
      <c r="F9" s="52">
        <f>IFERROR(_xlfn.NORM.DIST(_xlfn.NORM.INV(SUM(F10:F11), 0, 1) + 1, 0, 1, TRUE) - SUM(F10:F11), "")</f>
        <v>0.14247096699343242</v>
      </c>
      <c r="G9" s="52">
        <f>IFERROR(_xlfn.NORM.DIST(_xlfn.NORM.INV(SUM(G10:G11), 0, 1) + 1, 0, 1, TRUE) - SUM(G10:G11), "")</f>
        <v>0.11754374206496343</v>
      </c>
    </row>
    <row r="10" spans="1:15" ht="15.75" customHeight="1" x14ac:dyDescent="0.25">
      <c r="B10" s="5" t="s">
        <v>137</v>
      </c>
      <c r="C10" s="45">
        <v>2.9596563013698601E-2</v>
      </c>
      <c r="D10" s="53">
        <v>2.9596563013698601E-2</v>
      </c>
      <c r="E10" s="53">
        <v>2.6053795945945899E-2</v>
      </c>
      <c r="F10" s="53">
        <v>1.7234675675675701E-2</v>
      </c>
      <c r="G10" s="53">
        <v>1.32244202702703E-2</v>
      </c>
    </row>
    <row r="11" spans="1:15" ht="15.75" customHeight="1" x14ac:dyDescent="0.25">
      <c r="B11" s="5" t="s">
        <v>138</v>
      </c>
      <c r="C11" s="45">
        <v>1.7948717808219199E-2</v>
      </c>
      <c r="D11" s="53">
        <v>1.7948717808219199E-2</v>
      </c>
      <c r="E11" s="53">
        <v>1.08879121621622E-2</v>
      </c>
      <c r="F11" s="53">
        <v>7.4441068493150686E-3</v>
      </c>
      <c r="G11" s="53">
        <v>4.57482027027027E-3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0.62359459274999995</v>
      </c>
      <c r="D14" s="54">
        <v>0.59193918951699998</v>
      </c>
      <c r="E14" s="54">
        <v>0.59193918951699998</v>
      </c>
      <c r="F14" s="54">
        <v>0.38638310174000012</v>
      </c>
      <c r="G14" s="54">
        <v>0.38638310174000012</v>
      </c>
      <c r="H14" s="45">
        <v>0.27500000000000002</v>
      </c>
      <c r="I14" s="55">
        <v>0.27500000000000002</v>
      </c>
      <c r="J14" s="55">
        <v>0.27500000000000002</v>
      </c>
      <c r="K14" s="55">
        <v>0.27500000000000002</v>
      </c>
      <c r="L14" s="45">
        <v>0.23300000000000001</v>
      </c>
      <c r="M14" s="55">
        <v>0.23300000000000001</v>
      </c>
      <c r="N14" s="55">
        <v>0.23300000000000001</v>
      </c>
      <c r="O14" s="55">
        <v>0.23300000000000001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0.34176475812419399</v>
      </c>
      <c r="D15" s="52">
        <f t="shared" si="0"/>
        <v>0.32441582444992895</v>
      </c>
      <c r="E15" s="52">
        <f t="shared" si="0"/>
        <v>0.32441582444992895</v>
      </c>
      <c r="F15" s="52">
        <f t="shared" si="0"/>
        <v>0.2117595772072175</v>
      </c>
      <c r="G15" s="52">
        <f t="shared" si="0"/>
        <v>0.2117595772072175</v>
      </c>
      <c r="H15" s="52">
        <f t="shared" si="0"/>
        <v>0.1507154</v>
      </c>
      <c r="I15" s="52">
        <f t="shared" si="0"/>
        <v>0.1507154</v>
      </c>
      <c r="J15" s="52">
        <f t="shared" si="0"/>
        <v>0.1507154</v>
      </c>
      <c r="K15" s="52">
        <f t="shared" si="0"/>
        <v>0.1507154</v>
      </c>
      <c r="L15" s="52">
        <f t="shared" si="0"/>
        <v>0.12769704800000001</v>
      </c>
      <c r="M15" s="52">
        <f t="shared" si="0"/>
        <v>0.12769704800000001</v>
      </c>
      <c r="N15" s="52">
        <f t="shared" si="0"/>
        <v>0.12769704800000001</v>
      </c>
      <c r="O15" s="52">
        <f t="shared" si="0"/>
        <v>0.12769704800000001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PbaRJxCIXUdHAVoMx8EG0NfWsW7gfpjxdP4fpJ7eiANk91o94KGJxsPdpLZtgn2AowVHUdF788M4gn6eWwHfMg==" saltValue="b+UgX2Qu9ruvuq6XkVbOh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0.53986826333333293</v>
      </c>
      <c r="D2" s="53">
        <v>0.36057784494382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0.118684952222222</v>
      </c>
      <c r="D3" s="53">
        <v>0.128159826966292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0.29430393555555601</v>
      </c>
      <c r="D4" s="53">
        <v>0.40696189550561801</v>
      </c>
      <c r="E4" s="53">
        <v>0.73861227826087006</v>
      </c>
      <c r="F4" s="53">
        <v>0.484822646739131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4.7142848888889088E-2</v>
      </c>
      <c r="D5" s="52">
        <f t="shared" si="0"/>
        <v>0.10430043258427002</v>
      </c>
      <c r="E5" s="52">
        <f>1-SUM(E2:E4)</f>
        <v>0.26138772173912994</v>
      </c>
      <c r="F5" s="52">
        <f>1-SUM(F2:F4)</f>
        <v>0.515177353260869</v>
      </c>
      <c r="G5" s="52">
        <f>1-SUM(G2:G4)</f>
        <v>1</v>
      </c>
    </row>
  </sheetData>
  <sheetProtection algorithmName="SHA-512" hashValue="rF+xIj32IzB4crxIGeLUHMKixGfpaWBnMjojaXnYg5X/PJjTkgnR+ASUW5+yDnNrxvMAGFCcTyWX6w93iaBcuA==" saltValue="PYvvDsagKcYrVzeWg8dc2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Dnr8MDQba872EYOZDM1Jm34nHBfs9o9zBGWVZeOBSK84dTmYZ4oHo/DVpq4vV1bFLMUOT6o8z9/fRGvof1a1CQ==" saltValue="VnEbHXGxO0oM4PW9VvsrT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9689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0.53713999999999995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0.65400000000000003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1.4966337972755255E-2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98327.867119999995</v>
      </c>
      <c r="C22" s="107">
        <v>98152.186239999995</v>
      </c>
      <c r="D22" s="107">
        <v>97954.256450000001</v>
      </c>
      <c r="E22" s="107">
        <v>97651.482990000004</v>
      </c>
      <c r="F22" s="107">
        <v>97222.049079999997</v>
      </c>
      <c r="G22" s="107">
        <v>96744.434529999999</v>
      </c>
      <c r="H22" s="107">
        <v>96003.557990000001</v>
      </c>
      <c r="I22" s="107">
        <v>94976.10295</v>
      </c>
      <c r="J22" s="107">
        <v>93665.527919999993</v>
      </c>
      <c r="K22" s="107">
        <v>91702.632129999998</v>
      </c>
      <c r="L22" s="107">
        <v>88776.651070000007</v>
      </c>
      <c r="M22" s="107">
        <v>84132.44859</v>
      </c>
      <c r="N22" s="107">
        <v>77063.677089999997</v>
      </c>
      <c r="O22" s="107">
        <v>66525.796359999993</v>
      </c>
    </row>
  </sheetData>
  <sheetProtection algorithmName="SHA-512" hashValue="fpQAB8xMcAWTi+RyttS7LjacucrTWBz5/SUs0VcDzZUuG5PDbFt104mHg7MS9CeDJroJPOWkt3gBmNPPOVr/EA==" saltValue="RrS75Y8JHvN1/z3AtkgTF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9ShW1gW2a7p45DAI5uXK7OdvE4/6nCTv2GaU4vf56P4cEKAooBEPqWF8IoLdGfyodpfy7SObHsSuuJ1uFcjAQQ==" saltValue="MPM7eAIiVLQz4lAeO/z7u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lYjSZwtI68WaNT9cTRG5Fj5v+FjmuVc6EFtMEMf6baHeal7S2MFwt6TSrxinf32LbLZg0SjW++Q6Js6rbctnjg==" saltValue="K2gHlNIEeMCydDEdGe9zq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19.75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19.75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21.195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0.48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0.79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0.5</v>
      </c>
      <c r="C9" s="96">
        <v>0.95</v>
      </c>
      <c r="D9" s="56">
        <v>0.32855565777368906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</v>
      </c>
      <c r="C10" s="96">
        <v>0.95</v>
      </c>
      <c r="D10" s="56">
        <v>13.8270149155654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13.8270149155654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13.8270149155654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13.8270149155654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</v>
      </c>
      <c r="C14" s="96">
        <v>0.95</v>
      </c>
      <c r="D14" s="56">
        <v>13.8270149155654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13.8270149155654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</v>
      </c>
      <c r="C16" s="96">
        <v>0.95</v>
      </c>
      <c r="D16" s="56">
        <v>2.5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0.34229166666666699</v>
      </c>
      <c r="C17" s="96">
        <v>0.95</v>
      </c>
      <c r="D17" s="56">
        <v>0.14000000000000001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</v>
      </c>
      <c r="C18" s="96">
        <v>0.95</v>
      </c>
      <c r="D18" s="56">
        <v>21.195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</v>
      </c>
      <c r="C19" s="96">
        <v>0.95</v>
      </c>
      <c r="D19" s="56">
        <v>22.51730204343292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7.48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21.195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</v>
      </c>
      <c r="C23" s="96">
        <v>0.95</v>
      </c>
      <c r="D23" s="56">
        <v>4.78860983208211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</v>
      </c>
      <c r="C26" s="96">
        <v>0.95</v>
      </c>
      <c r="D26" s="56">
        <v>4.4421306161984946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9.2958524157825622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</v>
      </c>
      <c r="C29" s="96">
        <v>0.95</v>
      </c>
      <c r="D29" s="56">
        <v>196.59554063194781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53.05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</v>
      </c>
      <c r="C31" s="96">
        <v>0.95</v>
      </c>
      <c r="D31" s="56">
        <v>123.05968780269725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</v>
      </c>
      <c r="C32" s="96">
        <v>0.95</v>
      </c>
      <c r="D32" s="56">
        <v>1.5917274986535743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0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0.92326350000000001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</v>
      </c>
      <c r="C38" s="96">
        <v>0.95</v>
      </c>
      <c r="D38" s="56">
        <v>2.4500000000000002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3.43</v>
      </c>
      <c r="E39" s="56" t="s">
        <v>230</v>
      </c>
      <c r="F39" s="96">
        <v>1</v>
      </c>
      <c r="G39" s="96">
        <v>1</v>
      </c>
    </row>
  </sheetData>
  <sheetProtection algorithmName="SHA-512" hashValue="8ZKT8DAnYb+7qTudL/+LeBpZa5xqVC71Vvt8znfACZo1WRDRfnNx+SRoRg2PSfYr8XTtntFDvvAq8uxACrt8mQ==" saltValue="Uy1nmaHixYJQ0cmWK2C4b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Jb0kfghv9yGo5QAyvBVi4jeH97vM8E4jzgElTMfTsyWpvsylXc213s+5tXqiXVYov4OP475rJVSb5NLlF/a/NA==" saltValue="/a+ZTG1HODLiG6NAHDwLb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Nl0i1YN1Mj0ngXGNCNJS6AxQJf+ryQ4i78XItGcMCKrok4fvpdxx+9llMvK+03V4iSiTVdpHhBH1RW1liogGXA==" saltValue="8BsOZHmE5PI5NZnbCkHt3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3.2</v>
      </c>
      <c r="C2" s="21">
        <f>'Données pop de l''année de ref'!C52</f>
        <v>3.2</v>
      </c>
      <c r="D2" s="21">
        <f>'Données pop de l''année de ref'!C53</f>
        <v>3.2</v>
      </c>
      <c r="E2" s="21">
        <f>'Données pop de l''année de ref'!C54</f>
        <v>3.2</v>
      </c>
      <c r="F2" s="21">
        <f>'Données pop de l''année de ref'!C55</f>
        <v>3.2</v>
      </c>
    </row>
    <row r="3" spans="1:6" ht="15.75" customHeight="1" x14ac:dyDescent="0.25">
      <c r="A3" s="3" t="s">
        <v>238</v>
      </c>
      <c r="B3" s="21">
        <f>frac_mam_1month * 2.6</f>
        <v>7.6951063835616368E-2</v>
      </c>
      <c r="C3" s="21">
        <f>frac_mam_1_5months * 2.6</f>
        <v>7.6951063835616368E-2</v>
      </c>
      <c r="D3" s="21">
        <f>frac_mam_6_11months * 2.6</f>
        <v>6.773986945945934E-2</v>
      </c>
      <c r="E3" s="21">
        <f>frac_mam_12_23months * 2.6</f>
        <v>4.4810156756756821E-2</v>
      </c>
      <c r="F3" s="21">
        <f>frac_mam_24_59months * 2.6</f>
        <v>3.438349270270278E-2</v>
      </c>
    </row>
    <row r="4" spans="1:6" ht="15.75" customHeight="1" x14ac:dyDescent="0.25">
      <c r="A4" s="3" t="s">
        <v>237</v>
      </c>
      <c r="B4" s="21">
        <f>frac_sam_1month * 2.6</f>
        <v>4.6666666301369918E-2</v>
      </c>
      <c r="C4" s="21">
        <f>frac_sam_1_5months * 2.6</f>
        <v>4.6666666301369918E-2</v>
      </c>
      <c r="D4" s="21">
        <f>frac_sam_6_11months * 2.6</f>
        <v>2.830857162162172E-2</v>
      </c>
      <c r="E4" s="21">
        <f>frac_sam_12_23months * 2.6</f>
        <v>1.935467780821918E-2</v>
      </c>
      <c r="F4" s="21">
        <f>frac_sam_24_59months * 2.6</f>
        <v>1.1894532702702703E-2</v>
      </c>
    </row>
  </sheetData>
  <sheetProtection algorithmName="SHA-512" hashValue="W9weoCc5a4Oi+Q5kbdBzgl+nR0UwNk87B2j1p3bIIWgMwciVF1T35VFoTvHKLhUUIQy4al0W9y3jg6vW6WUu7w==" saltValue="2Ks14ilJ7Qe3mU1QnjN0W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1.4999999999999999E-2</v>
      </c>
      <c r="F2" s="60">
        <f>food_insecure</f>
        <v>1.4999999999999999E-2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1.4999999999999999E-2</v>
      </c>
      <c r="F5" s="60">
        <f>food_insecure</f>
        <v>1.4999999999999999E-2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1.4999999999999999E-2</v>
      </c>
      <c r="F8" s="60">
        <f>food_insecure</f>
        <v>1.4999999999999999E-2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1.4999999999999999E-2</v>
      </c>
      <c r="F9" s="60">
        <f>food_insecure</f>
        <v>1.4999999999999999E-2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1.4999999999999999E-2</v>
      </c>
      <c r="I15" s="60">
        <f t="shared" si="0"/>
        <v>1.4999999999999999E-2</v>
      </c>
      <c r="J15" s="60">
        <f t="shared" si="0"/>
        <v>1.4999999999999999E-2</v>
      </c>
      <c r="K15" s="60">
        <f t="shared" si="0"/>
        <v>1.4999999999999999E-2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1.4999999999999999E-2</v>
      </c>
      <c r="I16" s="60">
        <f t="shared" si="0"/>
        <v>1.4999999999999999E-2</v>
      </c>
      <c r="J16" s="60">
        <f t="shared" si="0"/>
        <v>1.4999999999999999E-2</v>
      </c>
      <c r="K16" s="60">
        <f t="shared" si="0"/>
        <v>1.4999999999999999E-2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0.17</v>
      </c>
      <c r="M24" s="60">
        <f>famplan_unmet_need</f>
        <v>0.17</v>
      </c>
      <c r="N24" s="60">
        <f>famplan_unmet_need</f>
        <v>0.17</v>
      </c>
      <c r="O24" s="60">
        <f>famplan_unmet_need</f>
        <v>0.17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0.13659437046432496</v>
      </c>
      <c r="M25" s="60">
        <f>(1-food_insecure)*(0.49)+food_insecure*(0.7)</f>
        <v>0.49314999999999998</v>
      </c>
      <c r="N25" s="60">
        <f>(1-food_insecure)*(0.49)+food_insecure*(0.7)</f>
        <v>0.49314999999999998</v>
      </c>
      <c r="O25" s="60">
        <f>(1-food_insecure)*(0.49)+food_insecure*(0.7)</f>
        <v>0.49314999999999998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5.8540444484710692E-2</v>
      </c>
      <c r="M26" s="60">
        <f>(1-food_insecure)*(0.21)+food_insecure*(0.3)</f>
        <v>0.21134999999999998</v>
      </c>
      <c r="N26" s="60">
        <f>(1-food_insecure)*(0.21)+food_insecure*(0.3)</f>
        <v>0.21134999999999998</v>
      </c>
      <c r="O26" s="60">
        <f>(1-food_insecure)*(0.21)+food_insecure*(0.3)</f>
        <v>0.21134999999999998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8.184859874725342E-2</v>
      </c>
      <c r="M27" s="60">
        <f>(1-food_insecure)*(0.3)</f>
        <v>0.29549999999999998</v>
      </c>
      <c r="N27" s="60">
        <f>(1-food_insecure)*(0.3)</f>
        <v>0.29549999999999998</v>
      </c>
      <c r="O27" s="60">
        <f>(1-food_insecure)*(0.3)</f>
        <v>0.29549999999999998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0.7230165863037108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fyQMtWp9z0AHuWFIITCzGu2WjfD/hZzBNLdK7MWx7smnl/6+TY0JQOD0FiUrger+qKkJS9/N7fyxYvxQuEjaLA==" saltValue="33zYP0ExoMS25R3S3QfWW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sGQQL10y8k8Fk2Z5y7sGs4PYk1lIK0/mu4BL/J2pMkuXCqQtG/0JemjU46iWH8lqvd73wUxuwY4d6NRADwBWhA==" saltValue="6R27kw0sjw7qQn/hjqchj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GzF42Rel8ElnAgzs81vbrklsGXV/38voPWwmiW/j/xIz0caiOzLYY1x0tB1ZQnEzxd6LAxgeKlC/bGON1SOxXw==" saltValue="6BrVnMupGFqxDZbc1m/2f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SC6V/d18QScFd31eWTDQjgGngqxjSrFcMJ3zwTsW8l6ZFDChc3i0tF9u/nH/Ov+YPkGV1gATlZDzDhu2UvT0Ew==" saltValue="sQEDfRmkuGrTBRJ+B95RK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HlW8fvsVgZdkaVOc08SU5LxVvIXCvVgL+wq4zmOvk8KrIEs54qyv/aIPDnLlrtMdsNnqG824MwmWK5dTmEwu5g==" saltValue="XfN7/HC7N49N0YZTwrZwH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C5kKj9ib37uMwIaswWOmNMKFXirASdFB+ollqYIw7DNxwFlJXpcbvqrZ720e0MPSe6ArfGnGRzQ2J8W4nh5thw==" saltValue="/b1ormo6D6V/3Ok5GXeys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T2Xb4fxCRQPNVcTrJpuua9VgqzpdSbZfwABTINAFseO8g/O1vSSehFF3d43XHZhwUsvWgV9h8ZWqajRDUWYDAg==" saltValue="swuOV/pgxU4EEowAou/vaw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IBbTYDI6zVlPEAyrt/WbXtL6y5u5QOzB/0snqkiM1o64rfxTGwNUsnwK9jCCXI8ETGEiK2LyWgg6JZ8Z+mTmJw==" saltValue="tqE3y/mCg5Xjys1k+R+c4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e0B3DmfJT9vi/lbgttLC2drY3s20S8N20KioSjhZ2GELn+TMcK6WOqcg0hAkvlJEbzszkl84dFkIliEeOt9j0g==" saltValue="SQ7B7pZBKzdLtM5bkPPuw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oARdHWjyI7Hob5ltlUb50PfjM1CUN1g/cQGEvqbkdAg9HxTtUjkKGOZAWHNAisflULi1+QEeFGPAE1XrpEaxtw==" saltValue="VE0TksBPfoMj+wbG27SOi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nFDJCaKJXQxB0jI40O5ab3pgz+ZNlLqxusp3t1fM1kE9YiI6kfGBH3GB2vxwjpv/G/GE15bZIRcwEFh3RoDz2g==" saltValue="c/nvnkIkSFa7eYujPLqDa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0BkP5IICf8DL3GdMyzhOeW0wv1kMz0SgP8ugbXk2XBJ7Q8sfUGbDT1cOPamXJMurvmS+qIcE+nUOsaW24/eQQ==" saltValue="i35qtOq9V3hlaARTQin2V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YEnrJtCY+JbcVs/nWDrGaJsDrEN0n1Y/CnMnxwUv25ImVdemMTOOssehrHsuKG3pRi/F6qdxMc207xoTGQEJDQ==" saltValue="q+n2hWFAvFig7jY5iI9kz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V04sN8vllIOCngdEHUKX2k5d2Cob/l7QbKZtgNhYikAwNJbW5W0w2E/XMtXBC9MTdaCgYdmkBLJDHj7P7SGRdw==" saltValue="wPSm9CiUchhBok3xx5t8x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prtF/6KUUKtuGt4zqJYGUO0+dWToAMCDPEeyg1SHU+TM7LGZFKizRkndlXbgQDpLPCMeMr9SlLl1TOvhjxAnHw==" saltValue="IiWh9ju2LA9/AS9tIBQiY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2026-04-29T05:49:17Z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