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1D9284E-946B-4703-8759-A796AAC1E60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2" i="2"/>
  <c r="A26" i="2"/>
  <c r="I39" i="2"/>
  <c r="A31" i="2"/>
  <c r="A34" i="2"/>
  <c r="A40" i="2"/>
  <c r="I2" i="2"/>
  <c r="I6" i="2"/>
  <c r="A19" i="2"/>
  <c r="A35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<sst xmlns="http://schemas.openxmlformats.org/spreadsheetml/2006/main" count="2159" uniqueCount="368">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</sst>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6770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0.72301658630371091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7.2499999999999995E-2</v>
      </c>
    </row>
    <row r="24" spans="1:3" ht="15" customHeight="1" x14ac:dyDescent="0.25">
      <c r="B24" s="15" t="s">
        <v>51</v>
      </c>
      <c r="C24" s="45">
        <v>0.54660000000000009</v>
      </c>
    </row>
    <row r="25" spans="1:3" ht="15" customHeight="1" x14ac:dyDescent="0.25">
      <c r="B25" s="15" t="s">
        <v>52</v>
      </c>
      <c r="C25" s="45">
        <v>0.3503</v>
      </c>
    </row>
    <row r="26" spans="1:3" ht="15" customHeight="1" x14ac:dyDescent="0.25">
      <c r="B26" s="15" t="s">
        <v>53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9">
        <v>5.4660418264349912E-2</v>
      </c>
    </row>
    <row r="31" spans="1:3" ht="14.25" customHeight="1" x14ac:dyDescent="0.25">
      <c r="B31" s="25" t="s">
        <v>57</v>
      </c>
      <c r="C31" s="99">
        <v>6.1967733026657798E-2</v>
      </c>
    </row>
    <row r="32" spans="1:3" ht="14.25" customHeight="1" x14ac:dyDescent="0.25">
      <c r="B32" s="25" t="s">
        <v>58</v>
      </c>
      <c r="C32" s="99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10.28346</v>
      </c>
    </row>
    <row r="38" spans="1:5" ht="15" customHeight="1" x14ac:dyDescent="0.25">
      <c r="B38" s="11" t="s">
        <v>63</v>
      </c>
      <c r="C38" s="43">
        <v>14.41901</v>
      </c>
      <c r="D38" s="12"/>
      <c r="E38" s="13"/>
    </row>
    <row r="39" spans="1:5" ht="15" customHeight="1" x14ac:dyDescent="0.25">
      <c r="B39" s="11" t="s">
        <v>64</v>
      </c>
      <c r="C39" s="43">
        <v>16.18065</v>
      </c>
      <c r="D39" s="12"/>
      <c r="E39" s="12"/>
    </row>
    <row r="40" spans="1:5" ht="15" customHeight="1" x14ac:dyDescent="0.25">
      <c r="B40" s="11" t="s">
        <v>65</v>
      </c>
      <c r="C40" s="100">
        <v>0.21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7.1989999999999997E-3</v>
      </c>
      <c r="D45" s="12"/>
    </row>
    <row r="46" spans="1:5" ht="15.75" customHeight="1" x14ac:dyDescent="0.25">
      <c r="B46" s="11" t="s">
        <v>70</v>
      </c>
      <c r="C46" s="45">
        <v>7.7351799999999998E-2</v>
      </c>
      <c r="D46" s="12"/>
    </row>
    <row r="47" spans="1:5" ht="15.75" customHeight="1" x14ac:dyDescent="0.25">
      <c r="B47" s="11" t="s">
        <v>71</v>
      </c>
      <c r="C47" s="45">
        <v>7.4154899999999996E-2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0.54805599999999999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Unr7f5iakholP7GwTRrSWLUWjK6xY1K0zBsWfaW8zWG/LRxHjhF2vXpqCZ2kPii40crj+dpWku/DjyPn0WJlpA==" saltValue="4MjRO9LyEoTUKBzU/MWM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1345</v>
      </c>
      <c r="C2" s="49">
        <v>4200.5</v>
      </c>
      <c r="D2" s="49">
        <v>8542</v>
      </c>
      <c r="E2" s="49">
        <v>10280.000000000002</v>
      </c>
      <c r="F2" s="49">
        <v>7280.5</v>
      </c>
      <c r="G2" s="17">
        <f t="shared" ref="G2:G13" si="0">C2+D2+E2+F2</f>
        <v>30303</v>
      </c>
      <c r="H2" s="17">
        <f t="shared" ref="H2:H13" si="1">(B2 + stillbirth*B2/(1000-stillbirth))/(1-abortion)</f>
        <v>1542.4054953359678</v>
      </c>
      <c r="I2" s="17">
        <f t="shared" ref="I2:I13" si="2">G2-H2</f>
        <v>28760.594504664034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1319</v>
      </c>
      <c r="C3" s="50">
        <v>4230</v>
      </c>
      <c r="D3" s="50">
        <v>8416</v>
      </c>
      <c r="E3" s="50">
        <v>10129.999999999998</v>
      </c>
      <c r="F3" s="50">
        <v>7680</v>
      </c>
      <c r="G3" s="17">
        <f t="shared" si="0"/>
        <v>30456</v>
      </c>
      <c r="H3" s="17">
        <f t="shared" si="1"/>
        <v>1512.5894783257556</v>
      </c>
      <c r="I3" s="17">
        <f t="shared" si="2"/>
        <v>28943.410521674243</v>
      </c>
    </row>
    <row r="4" spans="1:9" ht="15.75" customHeight="1" x14ac:dyDescent="0.25">
      <c r="A4" s="5">
        <f t="shared" si="3"/>
        <v>2026</v>
      </c>
      <c r="B4" s="49">
        <v>1296</v>
      </c>
      <c r="C4" s="50">
        <v>4249.5</v>
      </c>
      <c r="D4" s="50">
        <v>8314.4999999999982</v>
      </c>
      <c r="E4" s="50">
        <v>9931.5</v>
      </c>
      <c r="F4" s="50">
        <v>8115.5000000000009</v>
      </c>
      <c r="G4" s="17">
        <f t="shared" si="0"/>
        <v>30611</v>
      </c>
      <c r="H4" s="17">
        <f t="shared" si="1"/>
        <v>1486.213770970568</v>
      </c>
      <c r="I4" s="17">
        <f t="shared" si="2"/>
        <v>29124.786229029432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4255.5</v>
      </c>
      <c r="D5" s="50">
        <v>8232.5</v>
      </c>
      <c r="E5" s="50">
        <v>9708.5</v>
      </c>
      <c r="F5" s="50">
        <v>8564</v>
      </c>
      <c r="G5" s="17">
        <f t="shared" si="0"/>
        <v>30760.5</v>
      </c>
      <c r="H5" s="17">
        <f t="shared" si="1"/>
        <v>1465.5719130404214</v>
      </c>
      <c r="I5" s="17">
        <f t="shared" si="2"/>
        <v>29294.928086959579</v>
      </c>
    </row>
    <row r="6" spans="1:9" ht="15.75" customHeight="1" x14ac:dyDescent="0.25">
      <c r="A6" s="5">
        <f t="shared" si="3"/>
        <v>2028</v>
      </c>
      <c r="B6" s="49">
        <v>1263</v>
      </c>
      <c r="C6" s="50">
        <v>4243.5</v>
      </c>
      <c r="D6" s="50">
        <v>8166.4999999999991</v>
      </c>
      <c r="E6" s="50">
        <v>9475.5</v>
      </c>
      <c r="F6" s="50">
        <v>9004</v>
      </c>
      <c r="G6" s="17">
        <f t="shared" si="0"/>
        <v>30889.5</v>
      </c>
      <c r="H6" s="17">
        <f t="shared" si="1"/>
        <v>1448.370364765299</v>
      </c>
      <c r="I6" s="17">
        <f t="shared" si="2"/>
        <v>29441.129635234702</v>
      </c>
    </row>
    <row r="7" spans="1:9" ht="15.75" customHeight="1" x14ac:dyDescent="0.25">
      <c r="A7" s="5">
        <f t="shared" si="3"/>
        <v>2029</v>
      </c>
      <c r="B7" s="49">
        <v>1248</v>
      </c>
      <c r="C7" s="50">
        <v>4197</v>
      </c>
      <c r="D7" s="50">
        <v>8111.9999999999982</v>
      </c>
      <c r="E7" s="50">
        <v>9250</v>
      </c>
      <c r="F7" s="50">
        <v>9400.5000000000018</v>
      </c>
      <c r="G7" s="17">
        <f t="shared" si="0"/>
        <v>30959.5</v>
      </c>
      <c r="H7" s="17">
        <f t="shared" si="1"/>
        <v>1431.1688164901766</v>
      </c>
      <c r="I7" s="17">
        <f t="shared" si="2"/>
        <v>29528.331183509825</v>
      </c>
    </row>
    <row r="8" spans="1:9" ht="15.75" customHeight="1" x14ac:dyDescent="0.25">
      <c r="A8" s="5">
        <f t="shared" si="3"/>
        <v>2030</v>
      </c>
      <c r="B8" s="49">
        <v>1235</v>
      </c>
      <c r="C8" s="50">
        <v>4111</v>
      </c>
      <c r="D8" s="50">
        <v>8063.0000000000009</v>
      </c>
      <c r="E8" s="50">
        <v>9049.5</v>
      </c>
      <c r="F8" s="50">
        <v>9727</v>
      </c>
      <c r="G8" s="17">
        <f t="shared" si="0"/>
        <v>30950.5</v>
      </c>
      <c r="H8" s="17">
        <f t="shared" si="1"/>
        <v>1416.2608079850706</v>
      </c>
      <c r="I8" s="17">
        <f t="shared" si="2"/>
        <v>29534.239192014931</v>
      </c>
    </row>
    <row r="9" spans="1:9" ht="15.75" customHeight="1" x14ac:dyDescent="0.25">
      <c r="A9" s="5">
        <f t="shared" si="3"/>
        <v>2031</v>
      </c>
      <c r="B9" s="49">
        <v>1222</v>
      </c>
      <c r="C9" s="50">
        <v>3989</v>
      </c>
      <c r="D9" s="50">
        <v>8068.5</v>
      </c>
      <c r="E9" s="50">
        <v>8828.5</v>
      </c>
      <c r="F9" s="50">
        <v>9955.5</v>
      </c>
      <c r="G9" s="17">
        <f t="shared" si="0"/>
        <v>30841.5</v>
      </c>
      <c r="H9" s="17">
        <f t="shared" si="1"/>
        <v>1401.3527994799647</v>
      </c>
      <c r="I9" s="17">
        <f t="shared" si="2"/>
        <v>29440.147200520034</v>
      </c>
    </row>
    <row r="10" spans="1:9" ht="15.75" customHeight="1" x14ac:dyDescent="0.25">
      <c r="A10" s="5">
        <f t="shared" si="3"/>
        <v>2032</v>
      </c>
      <c r="B10" s="49">
        <v>1209</v>
      </c>
      <c r="C10" s="50">
        <v>3811.5</v>
      </c>
      <c r="D10" s="50">
        <v>8122.4999999999991</v>
      </c>
      <c r="E10" s="50">
        <v>8597.0000000000018</v>
      </c>
      <c r="F10" s="50">
        <v>10064.499999999998</v>
      </c>
      <c r="G10" s="17">
        <f t="shared" si="0"/>
        <v>30595.5</v>
      </c>
      <c r="H10" s="17">
        <f t="shared" si="1"/>
        <v>1386.4447909748587</v>
      </c>
      <c r="I10" s="17">
        <f t="shared" si="2"/>
        <v>29209.05520902514</v>
      </c>
    </row>
    <row r="11" spans="1:9" ht="15.75" customHeight="1" x14ac:dyDescent="0.25">
      <c r="A11" s="5">
        <f t="shared" si="3"/>
        <v>2033</v>
      </c>
      <c r="B11" s="49">
        <v>1195</v>
      </c>
      <c r="C11" s="50">
        <v>3628.5</v>
      </c>
      <c r="D11" s="50">
        <v>8156.0000000000009</v>
      </c>
      <c r="E11" s="50">
        <v>8412.5000000000018</v>
      </c>
      <c r="F11" s="50">
        <v>10071</v>
      </c>
      <c r="G11" s="17">
        <f t="shared" si="0"/>
        <v>30268</v>
      </c>
      <c r="H11" s="17">
        <f t="shared" si="1"/>
        <v>1370.3900125847445</v>
      </c>
      <c r="I11" s="17">
        <f t="shared" si="2"/>
        <v>28897.609987415257</v>
      </c>
    </row>
    <row r="12" spans="1:9" ht="15.75" customHeight="1" x14ac:dyDescent="0.25">
      <c r="A12" s="5">
        <f t="shared" si="3"/>
        <v>2034</v>
      </c>
      <c r="B12" s="49">
        <v>1181</v>
      </c>
      <c r="C12" s="50">
        <v>3499</v>
      </c>
      <c r="D12" s="50">
        <v>8149.9999999999982</v>
      </c>
      <c r="E12" s="50">
        <v>8266</v>
      </c>
      <c r="F12" s="50">
        <v>9994</v>
      </c>
      <c r="G12" s="17">
        <f t="shared" si="0"/>
        <v>29909</v>
      </c>
      <c r="H12" s="17">
        <f t="shared" si="1"/>
        <v>1354.3352341946302</v>
      </c>
      <c r="I12" s="17">
        <f t="shared" si="2"/>
        <v>28554.66476580537</v>
      </c>
    </row>
    <row r="13" spans="1:9" ht="15.75" customHeight="1" x14ac:dyDescent="0.25">
      <c r="A13" s="5">
        <f t="shared" si="3"/>
        <v>2035</v>
      </c>
      <c r="B13" s="49">
        <v>1166</v>
      </c>
      <c r="C13" s="50">
        <v>3407.5</v>
      </c>
      <c r="D13" s="50">
        <v>8098.5</v>
      </c>
      <c r="E13" s="50">
        <v>8150.4999999999991</v>
      </c>
      <c r="F13" s="50">
        <v>9851.5</v>
      </c>
      <c r="G13" s="17">
        <f t="shared" si="0"/>
        <v>29508</v>
      </c>
      <c r="H13" s="17">
        <f t="shared" si="1"/>
        <v>1337.133685919508</v>
      </c>
      <c r="I13" s="17">
        <f t="shared" si="2"/>
        <v>28170.866314080493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nbsx4s1lasuyQlL5ziSt6dOTOy7ongFEEbhdFAvqxe/5vRBo2F0dRXOFLwM58sbxY61u8Duqssm7FlqKY08bA==" saltValue="tdYIQaXc0qurloY/W9a4J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0.1055556</v>
      </c>
    </row>
    <row r="5" spans="1:8" ht="15.75" customHeight="1" x14ac:dyDescent="0.25">
      <c r="B5" s="19" t="s">
        <v>98</v>
      </c>
      <c r="C5" s="101">
        <v>4.8148100000000027E-2</v>
      </c>
    </row>
    <row r="6" spans="1:8" ht="15.75" customHeight="1" x14ac:dyDescent="0.25">
      <c r="B6" s="19" t="s">
        <v>99</v>
      </c>
      <c r="C6" s="101">
        <v>0.32037040000000022</v>
      </c>
    </row>
    <row r="7" spans="1:8" ht="15.75" customHeight="1" x14ac:dyDescent="0.25">
      <c r="B7" s="19" t="s">
        <v>100</v>
      </c>
      <c r="C7" s="101">
        <v>0.37222219999999978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0.14259260000000001</v>
      </c>
    </row>
    <row r="10" spans="1:8" ht="15.75" customHeight="1" x14ac:dyDescent="0.25">
      <c r="B10" s="19" t="s">
        <v>103</v>
      </c>
      <c r="C10" s="101">
        <v>1.11111E-2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106</v>
      </c>
      <c r="C15" s="101">
        <v>0.38426575950470021</v>
      </c>
      <c r="D15" s="101">
        <v>0.38426575950470021</v>
      </c>
      <c r="E15" s="101">
        <v>0.38426575950470021</v>
      </c>
      <c r="F15" s="101">
        <v>0.38426575950470021</v>
      </c>
    </row>
    <row r="16" spans="1:8" ht="15.75" customHeight="1" x14ac:dyDescent="0.25">
      <c r="B16" s="19" t="s">
        <v>107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0.43363631745840392</v>
      </c>
      <c r="D21" s="101">
        <v>0.43363631745840392</v>
      </c>
      <c r="E21" s="101">
        <v>0.43363631745840392</v>
      </c>
      <c r="F21" s="101">
        <v>0.43363631745840392</v>
      </c>
    </row>
    <row r="22" spans="1:8" ht="15.75" customHeight="1" x14ac:dyDescent="0.25">
      <c r="B22" s="19" t="s">
        <v>113</v>
      </c>
      <c r="C22" s="101">
        <v>0.18209792303689601</v>
      </c>
      <c r="D22" s="101">
        <v>0.18209792303689601</v>
      </c>
      <c r="E22" s="101">
        <v>0.18209792303689601</v>
      </c>
      <c r="F22" s="101">
        <v>0.18209792303689601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5.0426016999999997E-2</v>
      </c>
    </row>
    <row r="27" spans="1:8" ht="15.75" customHeight="1" x14ac:dyDescent="0.25">
      <c r="B27" s="19" t="s">
        <v>120</v>
      </c>
      <c r="C27" s="101">
        <v>4.7548858999999999E-2</v>
      </c>
    </row>
    <row r="28" spans="1:8" ht="15.75" customHeight="1" x14ac:dyDescent="0.25">
      <c r="B28" s="19" t="s">
        <v>121</v>
      </c>
      <c r="C28" s="101">
        <v>0.12571258499999999</v>
      </c>
    </row>
    <row r="29" spans="1:8" ht="15.75" customHeight="1" x14ac:dyDescent="0.25">
      <c r="B29" s="19" t="s">
        <v>122</v>
      </c>
      <c r="C29" s="101">
        <v>0.196091977</v>
      </c>
    </row>
    <row r="30" spans="1:8" ht="15.75" customHeight="1" x14ac:dyDescent="0.25">
      <c r="B30" s="19" t="s">
        <v>2</v>
      </c>
      <c r="C30" s="101">
        <v>6.7403012999999998E-2</v>
      </c>
    </row>
    <row r="31" spans="1:8" ht="15.75" customHeight="1" x14ac:dyDescent="0.25">
      <c r="B31" s="19" t="s">
        <v>123</v>
      </c>
      <c r="C31" s="101">
        <v>0.119314141</v>
      </c>
    </row>
    <row r="32" spans="1:8" ht="15.75" customHeight="1" x14ac:dyDescent="0.25">
      <c r="B32" s="19" t="s">
        <v>124</v>
      </c>
      <c r="C32" s="101">
        <v>3.6527864E-2</v>
      </c>
    </row>
    <row r="33" spans="2:3" ht="15.75" customHeight="1" x14ac:dyDescent="0.25">
      <c r="B33" s="19" t="s">
        <v>125</v>
      </c>
      <c r="C33" s="101">
        <v>0.152312374</v>
      </c>
    </row>
    <row r="34" spans="2:3" ht="15.75" customHeight="1" x14ac:dyDescent="0.25">
      <c r="B34" s="19" t="s">
        <v>126</v>
      </c>
      <c r="C34" s="101">
        <v>0.204663171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q7/XSNeP24xiHvy1xDgY5tQGSdaG1hL7pbk4qXYhOngUsEtulrFJ2Xe9ZAPl/rN3KXsyg5a4pOweY4hMArE14w==" saltValue="bmipdigwkx5XSpYvJIJBV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132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133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137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E/NxA/ZvocpWT4QzCHzfd3okQLCk4HPUr1hYCVgBYxG2FRrloef0spatfbOYCS+s5Hr3zNOUs3FKmuLewa7XQ==" saltValue="D1SE0TclQcVDx0W9vjc4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h2aR48DnnBKO+0KzIybdzoi27blA/Ag7krXsuLkskcfDl8f5EYMuuwoQ1fBXGiFsNakRVlJgI9D4P6gh6bNpFw==" saltValue="cbkgTmZRn61AtrtXimGmi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dkdd7K+VJiwmSbD/46ZLm+msrL1jxZNLZEhiNEfWC++NY653x8afDtICKM1dfR8ZO0rYVSM1Bzs4UQ9pTX7yw==" saltValue="R/T6yYkFtv66TdYp4+o6R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9689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0.53713999999999995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0.65400000000000003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1.4966337972755255E-2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98327.867119999995</v>
      </c>
      <c r="C22" s="109">
        <v>98152.186239999995</v>
      </c>
      <c r="D22" s="109">
        <v>97954.256450000001</v>
      </c>
      <c r="E22" s="109">
        <v>97651.482990000004</v>
      </c>
      <c r="F22" s="109">
        <v>97222.049079999997</v>
      </c>
      <c r="G22" s="109">
        <v>96744.434529999999</v>
      </c>
      <c r="H22" s="109">
        <v>96003.557990000001</v>
      </c>
      <c r="I22" s="109">
        <v>94976.10295</v>
      </c>
      <c r="J22" s="109">
        <v>93665.527919999993</v>
      </c>
      <c r="K22" s="109">
        <v>91702.632129999998</v>
      </c>
      <c r="L22" s="109">
        <v>88776.651070000007</v>
      </c>
      <c r="M22" s="109">
        <v>84132.44859</v>
      </c>
      <c r="N22" s="109">
        <v>77063.677089999997</v>
      </c>
      <c r="O22" s="109">
        <v>66525.796359999993</v>
      </c>
    </row>
  </sheetData>
  <sheetProtection algorithmName="SHA-512" hashValue="Pzxedx8STC77WZ0IL2baeBQuPO5s0SXrWtK9Zx8jy6V2xx5X00Vp7IIMIF73s0oj47gi6nfwXX83jnD6cyZf5A==" saltValue="SPcM99X3I8aHxqX4MS9e7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X+d5fo4DXf2no+rq6ffJC1ed5U0EYWxCzVbw0RRp8pCwddXE1xwFShbaVVxUgKT02yrRNAtoy9EaeRRoYu2BwA==" saltValue="S3U6JfKR39mOcLkH9FESk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usauzQ9yK4Wf6snVbTRt9d6Mw8M7SkKZjjWiXHpjsp2GR5QPgxFUt4v8CjMtY2nGNH9hj4ArQAJ4FN6XDqPj1A==" saltValue="h8Ooc76ok1MTaUr9AQQjx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13.8270149155654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13.8270149155654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13.8270149155654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13.8270149155654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13.8270149155654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13.8270149155654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0.34229166666666699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</v>
      </c>
      <c r="C19" s="98">
        <v>0.95</v>
      </c>
      <c r="D19" s="56">
        <v>22.51730204343292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4.78860983208211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</v>
      </c>
      <c r="C29" s="98">
        <v>0.95</v>
      </c>
      <c r="D29" s="56">
        <v>196.59554063194781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0.92326350000000001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1jjZAqXyWn6lA47PI2XmjxtHi1l1NpLT+xznF3lhTaASe9MWJsEnwP/HIHwlcJ9cU3G7F9NQW4paoIfiwDwM1w==" saltValue="/fkG16o2ClhlFAeWkBU+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ooKECwrA7L767R+siYjAlOoZ3lcFn0/Lukn5czRq3fs169dUcb+4R91w0LmxRHTHVWJBbfK4vM5lUYs6gVIVw==" saltValue="/2/vgZte9z+JkTzIVYwb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K3RirPmaJNf2BE4mACtH0nM27pArxZB7nlIPG3N2fDu3XXTQnsDpYUdUvPtd8E+TlnEnfONsuu2fYHfQMGJ0A==" saltValue="FWeSH2uPE/5rBEpBPUuA5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9Xpcx+G4drhVwCeniNAhxpi3wNs+OV9ORpG0BaDNd/eo4pqYGE3uud99Z3vhxVQ+kV+zxmD31ZSSUthvOH6Nww==" saltValue="mALAVcu7HLSNIIJEyoCHt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IO4wCi3yNsN8korJYOw0x5tLyyuzMiZPFp1VNT6dUsyzRW6OSLT05DO7PjNeZPssK7ZXBNm9xAPtAYD3ObVOg==" saltValue="4kzvOe99uEbFuEHkhMUy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qxO5/17WY4W2wMzgnbTMPS43xScaFcfopWc0BtgIRQ6h5/pJl+t0HZz3rbGSVMTVF4Q6kXAEXZFWWTp1TslEQ==" saltValue="vD0ZKEvNSY+X983pRm+T8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lriiEZo0l41ttLzwfFh4CEQDyzSfaqNLyW3bSFd/GMsE7tvd/lic+qJEgZeYzQ0oRw01IX8mEUrzbIKWKLdpw==" saltValue="UAG80aGhEut29RVLV0dfJ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DKiBRr0GQcy9ty0d3xTjNPd+kN7ZWwy/bN1xbJmwlZqTrji/I1Mta2q5raaR4JNfPzVcLe9K02ASdRlnOz8Ag==" saltValue="GIi3339Y2IVsvKF5gE8kZ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/g+suiyN4hnIejfDZDV59nqzU4HI3GGOQDUJO0yiUAAQNl6MGBnWxDWK8k86xCalSTUnolI4t/vpged0bxZ+6A==" saltValue="A8nlK4C41egm2ew7Mn6or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TXQzBLPab70sWi3ojvYb+90mWnYxdNMPlEebnxImBH51oxtNrzMjvnZjfJcgRU1+UG/U41F5nap4091zLtayig==" saltValue="Oyy15DH4gh9CVl3B12KM2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h09LmkHsFfjnumUYhI0oSalxDLS6KlTCJUqdOOwNNTAk/cu495FqduMf0vcIt+m4vAp1S1BfcZcwVd7fkmjJQ==" saltValue="fQa3qqRQRz3M0YypRdwa/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kXUzpxHTrIrJMuCkPZgKEwA0y3OoRuBgHO/PJfI3hIiSxUDCAuPFSu59YU2nl9z+hB4iepAmJPr86b6YnYcyDg==" saltValue="787JqzUnMS9OEALtOnNI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4noUZPNjhQAksEn8StQF3qDlAt94XhKLIk/6fQCNIzwD2KcubO/poMgkfTjogejALF4RGHTHyZKwA91nTYSRig==" saltValue="Ymg5/pQOOCbBkGQX9phh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+j04Oy8MQuq/mvJH7v7ofltaP7ruF9tsFcOcPQgtKzKSzA45jnXsy9MVLSK7/HkdTMnxbeNkqj3oYwa/5PBqQ==" saltValue="aqYzYONtnqp7FwiSxY8P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1FApck2nXcjPma/z18NFdHTw/t1xkSkdMBVyaJUNaTrUHm4pdexOSec/Qn1NTaOh80N+3HMSNQm9h0rmB4BpQ==" saltValue="ixN+1Ib8IQ7/+OLw98Wo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oKh9IZr9cz/V9VWk9adDCDqIWjLKANptLPZLaGCrzVSU29f5noGftEyNEyWNSQj4YOa6LFj7wbclTsOQL7sJg==" saltValue="iSYElgCDZiwWpvo5AFH+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uIDAD0emViX8nnlPn9DWMgCcjVHQ2vXIqegCLIC49UnIDOnFcfQAXSkkiI9UnKfGZy9XU4gz2dVA26nQWCoUA==" saltValue="e8+CSvMunvYRtqStYc+68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aDI70qPSbVrWx17DQBbH4+E2V+gOoaCtJhUgrwL53pDH8RJLtr6Rk5HJOKBY6SjzaPuDR6JPr5T32sWP2YAMg==" saltValue="KMquo2NEV8wB6WkDxG/8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jSf1wLPqTSQbd6mgYoprz8x+WYSoFMxi4Tpf6WNOMcw0q+xnofzXGWrS+x40p+cQ6oWjaVOHibqfv3SJFnYTaA==" saltValue="Z3f5la4D4hgL7yEXQJiPU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2025-07-04T03:55:10Z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