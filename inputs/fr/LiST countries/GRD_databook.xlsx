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C1901C3-C65F-40EC-9FE6-6C80E7340E4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<sst xmlns="http://schemas.openxmlformats.org/spreadsheetml/2006/main" count="2102" uniqueCount="337">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</sst>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9580.8689575195313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0.72301658630371091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7.2499999999999995E-2</v>
      </c>
    </row>
    <row r="24" spans="1:3" ht="15" customHeight="1" x14ac:dyDescent="0.25">
      <c r="B24" s="15" t="s">
        <v>33</v>
      </c>
      <c r="C24" s="45">
        <v>0.54660000000000009</v>
      </c>
    </row>
    <row r="25" spans="1:3" ht="15" customHeight="1" x14ac:dyDescent="0.25">
      <c r="B25" s="15" t="s">
        <v>34</v>
      </c>
      <c r="C25" s="45">
        <v>0.3503</v>
      </c>
    </row>
    <row r="26" spans="1:3" ht="15" customHeight="1" x14ac:dyDescent="0.25">
      <c r="B26" s="15" t="s">
        <v>35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10.28346</v>
      </c>
    </row>
    <row r="38" spans="1:5" ht="15" customHeight="1" x14ac:dyDescent="0.25">
      <c r="B38" s="11" t="s">
        <v>45</v>
      </c>
      <c r="C38" s="43">
        <v>14.41901</v>
      </c>
      <c r="D38" s="12"/>
      <c r="E38" s="13"/>
    </row>
    <row r="39" spans="1:5" ht="15" customHeight="1" x14ac:dyDescent="0.25">
      <c r="B39" s="11" t="s">
        <v>46</v>
      </c>
      <c r="C39" s="43">
        <v>16.18065</v>
      </c>
      <c r="D39" s="12"/>
      <c r="E39" s="12"/>
    </row>
    <row r="40" spans="1:5" ht="15" customHeight="1" x14ac:dyDescent="0.25">
      <c r="B40" s="11" t="s">
        <v>47</v>
      </c>
      <c r="C40" s="100">
        <v>0.21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7.1989999999999997E-3</v>
      </c>
      <c r="D45" s="12"/>
    </row>
    <row r="46" spans="1:5" ht="15.75" customHeight="1" x14ac:dyDescent="0.25">
      <c r="B46" s="11" t="s">
        <v>52</v>
      </c>
      <c r="C46" s="45">
        <v>7.7351799999999998E-2</v>
      </c>
      <c r="D46" s="12"/>
    </row>
    <row r="47" spans="1:5" ht="15.75" customHeight="1" x14ac:dyDescent="0.25">
      <c r="B47" s="11" t="s">
        <v>53</v>
      </c>
      <c r="C47" s="45">
        <v>7.4154899999999996E-2</v>
      </c>
      <c r="D47" s="12"/>
      <c r="E47" s="13"/>
    </row>
    <row r="48" spans="1:5" ht="15" customHeight="1" x14ac:dyDescent="0.25">
      <c r="B48" s="11" t="s">
        <v>54</v>
      </c>
      <c r="C48" s="46">
        <v>0.84129429999999994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0.54805599999999999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WF/LQNnEq4hJe1PiU8xPdBV7MebCmgTAq6ecdKhlOqAmSqmFwvb1r4TXNpuSrzzagKIs1diB3wiQmuzm/FH9g==" saltValue="GY18Pu68Y0ldrdKjCsbt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1893</v>
      </c>
      <c r="C2" s="49">
        <v>5508.5000000000009</v>
      </c>
      <c r="D2" s="49">
        <v>8935</v>
      </c>
      <c r="E2" s="49">
        <v>10983.5</v>
      </c>
      <c r="F2" s="49">
        <v>6632.5</v>
      </c>
      <c r="G2" s="17">
        <f t="shared" ref="G2:G13" si="0">C2+D2+E2+F2</f>
        <v>32059.5</v>
      </c>
      <c r="H2" s="17">
        <f t="shared" ref="H2:H13" si="1">(B2 + stillbirth*B2/(1000-stillbirth))/(1-abortion)</f>
        <v>2170.8353923204363</v>
      </c>
      <c r="I2" s="17">
        <f t="shared" ref="I2:I13" si="2">G2-H2</f>
        <v>29888.664607679562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1860</v>
      </c>
      <c r="C3" s="50">
        <v>5621.5</v>
      </c>
      <c r="D3" s="50">
        <v>8812.5</v>
      </c>
      <c r="E3" s="50">
        <v>10824</v>
      </c>
      <c r="F3" s="50">
        <v>7022.5</v>
      </c>
      <c r="G3" s="17">
        <f t="shared" si="0"/>
        <v>32280.5</v>
      </c>
      <c r="H3" s="17">
        <f t="shared" si="1"/>
        <v>2132.991986115167</v>
      </c>
      <c r="I3" s="17">
        <f t="shared" si="2"/>
        <v>30147.508013884832</v>
      </c>
    </row>
    <row r="4" spans="1:9" ht="15.75" customHeight="1" x14ac:dyDescent="0.25">
      <c r="A4" s="5">
        <f t="shared" si="3"/>
        <v>2026</v>
      </c>
      <c r="B4" s="49">
        <v>1827</v>
      </c>
      <c r="C4" s="50">
        <v>5720.4999999999991</v>
      </c>
      <c r="D4" s="50">
        <v>8730.5</v>
      </c>
      <c r="E4" s="50">
        <v>10608.5</v>
      </c>
      <c r="F4" s="50">
        <v>7462</v>
      </c>
      <c r="G4" s="17">
        <f t="shared" si="0"/>
        <v>32521.5</v>
      </c>
      <c r="H4" s="17">
        <f t="shared" si="1"/>
        <v>2095.1485799098982</v>
      </c>
      <c r="I4" s="17">
        <f t="shared" si="2"/>
        <v>30426.351420090101</v>
      </c>
    </row>
    <row r="5" spans="1:9" ht="15.75" customHeight="1" x14ac:dyDescent="0.25">
      <c r="A5" s="5">
        <f t="shared" si="3"/>
        <v>2027</v>
      </c>
      <c r="B5" s="49">
        <v>1801</v>
      </c>
      <c r="C5" s="50">
        <v>5805</v>
      </c>
      <c r="D5" s="50">
        <v>8686.5</v>
      </c>
      <c r="E5" s="50">
        <v>10351.5</v>
      </c>
      <c r="F5" s="50">
        <v>7931.9999999999982</v>
      </c>
      <c r="G5" s="17">
        <f t="shared" si="0"/>
        <v>32775</v>
      </c>
      <c r="H5" s="17">
        <f t="shared" si="1"/>
        <v>2065.3325628996859</v>
      </c>
      <c r="I5" s="17">
        <f t="shared" si="2"/>
        <v>30709.667437100314</v>
      </c>
    </row>
    <row r="6" spans="1:9" ht="15.75" customHeight="1" x14ac:dyDescent="0.25">
      <c r="A6" s="5">
        <f t="shared" si="3"/>
        <v>2028</v>
      </c>
      <c r="B6" s="49">
        <v>1772</v>
      </c>
      <c r="C6" s="50">
        <v>5872</v>
      </c>
      <c r="D6" s="50">
        <v>8675</v>
      </c>
      <c r="E6" s="50">
        <v>10071.5</v>
      </c>
      <c r="F6" s="50">
        <v>8411.5</v>
      </c>
      <c r="G6" s="17">
        <f t="shared" si="0"/>
        <v>33030</v>
      </c>
      <c r="H6" s="17">
        <f t="shared" si="1"/>
        <v>2032.0762362344494</v>
      </c>
      <c r="I6" s="17">
        <f t="shared" si="2"/>
        <v>30997.92376376555</v>
      </c>
    </row>
    <row r="7" spans="1:9" ht="15.75" customHeight="1" x14ac:dyDescent="0.25">
      <c r="A7" s="5">
        <f t="shared" si="3"/>
        <v>2029</v>
      </c>
      <c r="B7" s="49">
        <v>1744</v>
      </c>
      <c r="C7" s="50">
        <v>5920</v>
      </c>
      <c r="D7" s="50">
        <v>8688.5</v>
      </c>
      <c r="E7" s="50">
        <v>9795</v>
      </c>
      <c r="F7" s="50">
        <v>8869.5</v>
      </c>
      <c r="G7" s="17">
        <f t="shared" si="0"/>
        <v>33273</v>
      </c>
      <c r="H7" s="17">
        <f t="shared" si="1"/>
        <v>1999.9666794542213</v>
      </c>
      <c r="I7" s="17">
        <f t="shared" si="2"/>
        <v>31273.033320545779</v>
      </c>
    </row>
    <row r="8" spans="1:9" ht="15.75" customHeight="1" x14ac:dyDescent="0.25">
      <c r="A8" s="5">
        <f t="shared" si="3"/>
        <v>2030</v>
      </c>
      <c r="B8" s="49">
        <v>1722</v>
      </c>
      <c r="C8" s="50">
        <v>5949</v>
      </c>
      <c r="D8" s="50">
        <v>8719.5</v>
      </c>
      <c r="E8" s="50">
        <v>9543.5</v>
      </c>
      <c r="F8" s="50">
        <v>9264</v>
      </c>
      <c r="G8" s="17">
        <f t="shared" si="0"/>
        <v>33476</v>
      </c>
      <c r="H8" s="17">
        <f t="shared" si="1"/>
        <v>1974.7377419840418</v>
      </c>
      <c r="I8" s="17">
        <f t="shared" si="2"/>
        <v>31501.262258015959</v>
      </c>
    </row>
    <row r="9" spans="1:9" ht="15.75" customHeight="1" x14ac:dyDescent="0.25">
      <c r="A9" s="5">
        <f t="shared" si="3"/>
        <v>2031</v>
      </c>
      <c r="B9" s="49">
        <v>1713</v>
      </c>
      <c r="C9" s="50">
        <v>5964</v>
      </c>
      <c r="D9" s="50">
        <v>8809</v>
      </c>
      <c r="E9" s="50">
        <v>9286.5</v>
      </c>
      <c r="F9" s="50">
        <v>9564.5</v>
      </c>
      <c r="G9" s="17">
        <f t="shared" si="0"/>
        <v>33624</v>
      </c>
      <c r="H9" s="17">
        <f t="shared" si="1"/>
        <v>1964.4168130189682</v>
      </c>
      <c r="I9" s="17">
        <f t="shared" si="2"/>
        <v>31659.583186981032</v>
      </c>
    </row>
    <row r="10" spans="1:9" ht="15.75" customHeight="1" x14ac:dyDescent="0.25">
      <c r="A10" s="5">
        <f t="shared" si="3"/>
        <v>2032</v>
      </c>
      <c r="B10" s="49">
        <v>1693</v>
      </c>
      <c r="C10" s="50">
        <v>5966.5</v>
      </c>
      <c r="D10" s="50">
        <v>8952.5</v>
      </c>
      <c r="E10" s="50">
        <v>9033.5</v>
      </c>
      <c r="F10" s="50">
        <v>9750.5</v>
      </c>
      <c r="G10" s="17">
        <f t="shared" si="0"/>
        <v>33703</v>
      </c>
      <c r="H10" s="17">
        <f t="shared" si="1"/>
        <v>1941.4814153188051</v>
      </c>
      <c r="I10" s="17">
        <f t="shared" si="2"/>
        <v>31761.518584681195</v>
      </c>
    </row>
    <row r="11" spans="1:9" ht="15.75" customHeight="1" x14ac:dyDescent="0.25">
      <c r="A11" s="5">
        <f t="shared" si="3"/>
        <v>2033</v>
      </c>
      <c r="B11" s="49">
        <v>1685</v>
      </c>
      <c r="C11" s="50">
        <v>5953</v>
      </c>
      <c r="D11" s="50">
        <v>9100</v>
      </c>
      <c r="E11" s="50">
        <v>8828.5</v>
      </c>
      <c r="F11" s="50">
        <v>9815</v>
      </c>
      <c r="G11" s="17">
        <f t="shared" si="0"/>
        <v>33696.5</v>
      </c>
      <c r="H11" s="17">
        <f t="shared" si="1"/>
        <v>1932.3072562387401</v>
      </c>
      <c r="I11" s="17">
        <f t="shared" si="2"/>
        <v>31764.192743761261</v>
      </c>
    </row>
    <row r="12" spans="1:9" ht="15.75" customHeight="1" x14ac:dyDescent="0.25">
      <c r="A12" s="5">
        <f t="shared" si="3"/>
        <v>2034</v>
      </c>
      <c r="B12" s="49">
        <v>1678</v>
      </c>
      <c r="C12" s="50">
        <v>5924</v>
      </c>
      <c r="D12" s="50">
        <v>9247</v>
      </c>
      <c r="E12" s="50">
        <v>8664.5</v>
      </c>
      <c r="F12" s="50">
        <v>9772.5</v>
      </c>
      <c r="G12" s="17">
        <f t="shared" si="0"/>
        <v>33608</v>
      </c>
      <c r="H12" s="17">
        <f t="shared" si="1"/>
        <v>1924.279867043683</v>
      </c>
      <c r="I12" s="17">
        <f t="shared" si="2"/>
        <v>31683.720132956318</v>
      </c>
    </row>
    <row r="13" spans="1:9" ht="15.75" customHeight="1" x14ac:dyDescent="0.25">
      <c r="A13" s="5">
        <f t="shared" si="3"/>
        <v>2035</v>
      </c>
      <c r="B13" s="49">
        <v>1676</v>
      </c>
      <c r="C13" s="50">
        <v>5881.5</v>
      </c>
      <c r="D13" s="50">
        <v>9379.5</v>
      </c>
      <c r="E13" s="50">
        <v>8543</v>
      </c>
      <c r="F13" s="50">
        <v>9645</v>
      </c>
      <c r="G13" s="17">
        <f t="shared" si="0"/>
        <v>33449</v>
      </c>
      <c r="H13" s="17">
        <f t="shared" si="1"/>
        <v>1921.9863272736668</v>
      </c>
      <c r="I13" s="17">
        <f t="shared" si="2"/>
        <v>31527.013672726334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67GBeW9+BSj9xJ/Bvz6pDGbG7fouukJJk85qlhCvLeHywTooiudk5HwtVmsKEla8JtAJILEHroo0XLFLJJfpA==" saltValue="mGBSgXJAHfkRTPo/M543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0.1055556</v>
      </c>
    </row>
    <row r="5" spans="1:8" ht="15.75" customHeight="1" x14ac:dyDescent="0.25">
      <c r="B5" s="19" t="s">
        <v>80</v>
      </c>
      <c r="C5" s="101">
        <v>4.8148100000000027E-2</v>
      </c>
    </row>
    <row r="6" spans="1:8" ht="15.75" customHeight="1" x14ac:dyDescent="0.25">
      <c r="B6" s="19" t="s">
        <v>81</v>
      </c>
      <c r="C6" s="101">
        <v>0.32037040000000022</v>
      </c>
    </row>
    <row r="7" spans="1:8" ht="15.75" customHeight="1" x14ac:dyDescent="0.25">
      <c r="B7" s="19" t="s">
        <v>82</v>
      </c>
      <c r="C7" s="101">
        <v>0.37222219999999978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0.14259260000000001</v>
      </c>
    </row>
    <row r="10" spans="1:8" ht="15.75" customHeight="1" x14ac:dyDescent="0.25">
      <c r="B10" s="19" t="s">
        <v>85</v>
      </c>
      <c r="C10" s="101">
        <v>1.11111E-2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88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89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95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5.0426016999999997E-2</v>
      </c>
    </row>
    <row r="27" spans="1:8" ht="15.75" customHeight="1" x14ac:dyDescent="0.25">
      <c r="B27" s="19" t="s">
        <v>102</v>
      </c>
      <c r="C27" s="101">
        <v>4.7548858999999999E-2</v>
      </c>
    </row>
    <row r="28" spans="1:8" ht="15.75" customHeight="1" x14ac:dyDescent="0.25">
      <c r="B28" s="19" t="s">
        <v>103</v>
      </c>
      <c r="C28" s="101">
        <v>0.12571258499999999</v>
      </c>
    </row>
    <row r="29" spans="1:8" ht="15.75" customHeight="1" x14ac:dyDescent="0.25">
      <c r="B29" s="19" t="s">
        <v>104</v>
      </c>
      <c r="C29" s="101">
        <v>0.196091977</v>
      </c>
    </row>
    <row r="30" spans="1:8" ht="15.75" customHeight="1" x14ac:dyDescent="0.25">
      <c r="B30" s="19" t="s">
        <v>2</v>
      </c>
      <c r="C30" s="101">
        <v>6.7403012999999998E-2</v>
      </c>
    </row>
    <row r="31" spans="1:8" ht="15.75" customHeight="1" x14ac:dyDescent="0.25">
      <c r="B31" s="19" t="s">
        <v>105</v>
      </c>
      <c r="C31" s="101">
        <v>0.119314141</v>
      </c>
    </row>
    <row r="32" spans="1:8" ht="15.75" customHeight="1" x14ac:dyDescent="0.25">
      <c r="B32" s="19" t="s">
        <v>106</v>
      </c>
      <c r="C32" s="101">
        <v>3.6527864E-2</v>
      </c>
    </row>
    <row r="33" spans="2:3" ht="15.75" customHeight="1" x14ac:dyDescent="0.25">
      <c r="B33" s="19" t="s">
        <v>107</v>
      </c>
      <c r="C33" s="101">
        <v>0.152312374</v>
      </c>
    </row>
    <row r="34" spans="2:3" ht="15.75" customHeight="1" x14ac:dyDescent="0.25">
      <c r="B34" s="19" t="s">
        <v>108</v>
      </c>
      <c r="C34" s="101">
        <v>0.204663171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92SR7KSmFbEmtuuNPBKRgLLnYVd8a6gGvg4zDwm3X41NFo0lJDPZPAg0+h0nPeClBN9OXvkoshC2wO6lLqCaUQ==" saltValue="s+a7BD9gUdmkxVUHGuGKe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a1gKXDTwXNn2iHHedfM8q2JWfGTM/noZKeYZP0GoXPW/hCrve3tXdeqqyJrQKmW3uA6TK5knnjMcR518fKs6w==" saltValue="HTV8M9QlK0DstitFW9xx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132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9FHFv1TGvq5mwOdq04Q9PJ8Lde4GtKGWvPpCu1rywTGso3mdb+Y2IrHrnWM3mK2WEQXdcdMP+tSppP5KL+RRsA==" saltValue="rrVq372we+eQVTLY2+bFI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ISDnuuPFo40h+l/wT3qnSP6FgvE/gDgR8pnhQ6BHGXfaPN0ZMcGoMuIw7TJ9a/H07nzjMZ3kRKI22llU5nXdA==" saltValue="H81mmwUC5/6cPOzNoRPv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tAwrcUX40QYtUaik+Vqqsk5yvIXXo3T1fs4DtsyMk7uiFfx5PyeC5vzAWnoIx0Vpdww0Zr3ys1Wrgx8yg0rfHw==" saltValue="OGesaXqsZDg3wECTTMOs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CPEMaNlJzgFQFk7T9BBQLpHxGXnwUq9eX/fxBkK7QXHDBoNu7PW/GAqLwL/j9NIhS069+Bj33E5S1h6U2HF5w==" saltValue="pDDB9KmaaExFnZ9sl/1X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ZL4q3GFh6U3KUBskx8hnfEAwOBAAJ4dbGdi+UEKHctawM3OexbC9w/y5bjKEJmNxsRcYlIhBSVZs7s5SpsJq3A==" saltValue="iL+1ZyxNEWDxU5SDdfNh4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94.372442366926933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40.694715471769477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984.17640503610096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3.4445543530752132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13.8270149155654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13.8270149155654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13.8270149155654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13.8270149155654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13.8270149155654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13.8270149155654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1.5337807154607439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0.34229166666666699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22.51730204343292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0.91493889999999989</v>
      </c>
      <c r="C19" s="98">
        <v>0.95</v>
      </c>
      <c r="D19" s="56">
        <v>22.51730204343292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0.92326350000000001</v>
      </c>
      <c r="C21" s="98">
        <v>0.95</v>
      </c>
      <c r="D21" s="56">
        <v>33.470736703655071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24.28824639048289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4.78860983208211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19.387683306056729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196.59554063194781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0.84398835910570635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3.3770645537978279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3.7025050938422202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OvhzjqNBcLqSlDKYJn4au4TjDBrf9xFDSYf1nGE6XJ021BlnxnJfvkPWrjAp+W4qRFeQrJzE9EG5h+t3Wpvx7Q==" saltValue="SD13K4ELJkHyCPySjIPb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9l4SFNf31F6UxlTfXcUAfmClJywZ70C5ZkcSktWVoBiUUywzDW2mG4lUcsrTuRpoy3FLSl0jNcAZVfwl2zlEA==" saltValue="TG6S4V16VCTPGKjE1ESF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WNHXYuNc4xCTGQAs8Uc5vFcq5lK2ql3v6pt3a4c5kvpcpyC4pALj30tTE8hl2UVYlRtg34lTDdJzhnf8qD57Q==" saltValue="xD8vkCm9NksBUncfujaU6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GS5JLFiYF0GYYTK75n1/Y6rLFBTJmwGrtreB/JsAlu7y3+TWa5oaahFvQkXeOWMYbN7+3GagkmtOWW/lpY+xjg==" saltValue="PGEga33Z92y5U/jLx+aq7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aSGy6LJoJtOgN8FTx/0PwIhYk2Zg7LXkRCQpPASXgLlKsjHbjGqwGWZD3j11A6TYvdGdZmwFuddPGpc5TChoA==" saltValue="p4eX6mGvjcghuDhUZuaU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Tfl8mlesIH7x26PCgXp3sIA44u8/e8RMdYduDLWweDqO0GuEfEEBFvKy9rtXgG0eWEIqmBj0GYJKvEmQhSWmg==" saltValue="dYzLW4cb9qyjJSmRTC3XM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7xxWsE7SlEhjHaFfuXhnKdlvhK2mUFizk4+Fk5zJ0HFXqkt2Wsk/e3MDI++SBFzb0hXpu1ttVKpx2H3qWzC3g==" saltValue="KyUCa9rP3+xUOCZHU3Q48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qjz886vVaA7llJHeiltzzBm8K24hw3kZtE+dNNu1ZGt3uGvmX6UEHV5VLpBizzgmSUSa/ol9hMsCnuIGe3E8Q==" saltValue="qlqsj5SybRhiBmSnZUxw2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5mkS2eu1PjAgR3MS8unBa8lzAvBX81tQtPYMSvXgO1w7rO8m8nknuEwEDREp9Zs5a1AKMfV5ilyD+le2XFn9w==" saltValue="WvzpfW80I4dOE2ftEXkr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8XjmpEd4xkcTX4lNW72iL8LEAchLkl5Gy8TcW+I29A9DV2ZaUXuKGHxwAGWHRkzfs+I+MB7uXaeASEsiCa+ZQ==" saltValue="NlgfoOHGaD2zQ4adD8mW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iXj4QMNwy4Q/MXoc+RHJl9Xl35k/OIyeec+GLInw6HgsO3KB5kPTS+CeS8pozRkw8nLWa4wtCpzxOJVUE5bXw==" saltValue="ml1atjbYW4S7fw51UxccW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KLXtiqbGkII8RlctH/iFGsPE4Ha9aQKEYBzWp6m5sFV4X5MZPNLzEcTKQ2ZU5zX7ESJTGQa+Glbb1IMdT6GzA==" saltValue="wLrygHi6U85XOY9KMNu/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vQKPQYp726hABYKwr4n7RGasFojfMDq3PUBREG/xY1kKb/ICb4yP0FLDhPXdL7gDCB7Ua3bQ3o9KZCv9DxhRA==" saltValue="QMCWK+6L5v3AprUEj6ai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TA3O73REHDmVW+IIZfC/krf0xI2AAHU9CBJ0CsOblDD5xQM4R6pO6F8ThStRxIu4wj3LtyzbFpORd0/VMgKYA==" saltValue="M3XQznnyu6KmQ3b+njW5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9CXXPMEulKBZb+CjhDUCJ2jT5s8fhgClOzWWGJYc0nGRcv7OxQvaGVPbZ5pfpEUcYzOfEF9U+13Ca3B8FqWawQ==" saltValue="vp24nj7HXvG2v+w690aa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yLTfydwgsWIQX918yx2ukAVPNEYIT7Kdq1qHEnCDbPiqpusyrLnkekD2/DvLUeKMl9bu8xATUtyPXb4oaQwBg==" saltValue="uNni88AkaYB7oyFFI1F6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MwoAEdms7PudcLzSwLtnqfmlgMkJ4ExuwS4ds9kRR+M0cRz+VwqtxhQBq3si7ifFlhT89jHzxfENkazte6jhg==" saltValue="o2IM+ctmukQcBkWftHqv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QTZ+eae/77f0R4n/vxQEJkoy3jht3M5QccENMIwXsuFLrEKZpjtKyKrw+IdAQbdoCL0OKNIHRU+46X5H7JqYA==" saltValue="N/Z3ma79ZiY+ilkX+WYM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gS6l+i67Vl89OAgStrLOIxdMlwT8UOuD40Ai9jfWzZ+xb6lHKoGdchr/74dnzr1P4gpSQpfEZzh9tQIhGK7lQ==" saltValue="mCZF26foa8Cyj9Ez+xjFw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2024-05-17T00:28:17Z</dcterms:modified>
</cp:coreProperties>
</file>