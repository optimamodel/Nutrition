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B22734E3-C244-4D2E-916A-BD6EFB45383A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I39" i="2" s="1"/>
  <c r="H38" i="2"/>
  <c r="G38" i="2"/>
  <c r="A31" i="2"/>
  <c r="H13" i="2"/>
  <c r="G13" i="2"/>
  <c r="I13" i="2" s="1"/>
  <c r="H12" i="2"/>
  <c r="G12" i="2"/>
  <c r="H11" i="2"/>
  <c r="G11" i="2"/>
  <c r="I11" i="2" s="1"/>
  <c r="H10" i="2"/>
  <c r="G10" i="2"/>
  <c r="I10" i="2" s="1"/>
  <c r="H9" i="2"/>
  <c r="G9" i="2"/>
  <c r="I9" i="2" s="1"/>
  <c r="H8" i="2"/>
  <c r="G8" i="2"/>
  <c r="H7" i="2"/>
  <c r="G7" i="2"/>
  <c r="I7" i="2" s="1"/>
  <c r="H6" i="2"/>
  <c r="G6" i="2"/>
  <c r="I6" i="2" s="1"/>
  <c r="H5" i="2"/>
  <c r="G5" i="2"/>
  <c r="I5" i="2" s="1"/>
  <c r="H4" i="2"/>
  <c r="G4" i="2"/>
  <c r="H3" i="2"/>
  <c r="G3" i="2"/>
  <c r="I3" i="2" s="1"/>
  <c r="H2" i="2"/>
  <c r="G2" i="2"/>
  <c r="I2" i="2" s="1"/>
  <c r="A2" i="2"/>
  <c r="A40" i="2" s="1"/>
  <c r="C33" i="1"/>
  <c r="C20" i="1"/>
  <c r="A32" i="2" l="1"/>
  <c r="A21" i="2"/>
  <c r="A24" i="2"/>
  <c r="A33" i="2"/>
  <c r="A17" i="2"/>
  <c r="A26" i="2"/>
  <c r="A36" i="2"/>
  <c r="A18" i="2"/>
  <c r="A27" i="2"/>
  <c r="A37" i="2"/>
  <c r="I4" i="2"/>
  <c r="I8" i="2"/>
  <c r="I12" i="2"/>
  <c r="A19" i="2"/>
  <c r="A28" i="2"/>
  <c r="I38" i="2"/>
  <c r="A23" i="2"/>
  <c r="A15" i="2"/>
  <c r="A3" i="2"/>
  <c r="A16" i="2"/>
  <c r="A25" i="2"/>
  <c r="A35" i="2"/>
  <c r="A20" i="2"/>
  <c r="A29" i="2"/>
  <c r="A34" i="2"/>
  <c r="A39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<sst xmlns="http://schemas.openxmlformats.org/spreadsheetml/2006/main" count="2101" uniqueCount="337">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</sst>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9580.8689575195313</v>
      </c>
    </row>
    <row r="8" spans="1:3" ht="15" customHeight="1" x14ac:dyDescent="0.25">
      <c r="B8" s="5" t="s">
        <v>19</v>
      </c>
      <c r="C8" s="44">
        <v>1.4999999999999999E-2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0.72301658630371091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0.17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7.2499999999999995E-2</v>
      </c>
    </row>
    <row r="24" spans="1:3" ht="15" customHeight="1" x14ac:dyDescent="0.25">
      <c r="B24" s="15" t="s">
        <v>33</v>
      </c>
      <c r="C24" s="45">
        <v>0.54660000000000009</v>
      </c>
    </row>
    <row r="25" spans="1:3" ht="15" customHeight="1" x14ac:dyDescent="0.25">
      <c r="B25" s="15" t="s">
        <v>34</v>
      </c>
      <c r="C25" s="45">
        <v>0.3503</v>
      </c>
    </row>
    <row r="26" spans="1:3" ht="15" customHeight="1" x14ac:dyDescent="0.25">
      <c r="B26" s="15" t="s">
        <v>35</v>
      </c>
      <c r="C26" s="45">
        <v>3.0599999999999999E-2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0.38027698235904311</v>
      </c>
    </row>
    <row r="30" spans="1:3" ht="14.25" customHeight="1" x14ac:dyDescent="0.25">
      <c r="B30" s="25" t="s">
        <v>38</v>
      </c>
      <c r="C30" s="99">
        <v>5.4660418264349912E-2</v>
      </c>
    </row>
    <row r="31" spans="1:3" ht="14.25" customHeight="1" x14ac:dyDescent="0.25">
      <c r="B31" s="25" t="s">
        <v>39</v>
      </c>
      <c r="C31" s="99">
        <v>6.1967733026657798E-2</v>
      </c>
    </row>
    <row r="32" spans="1:3" ht="14.25" customHeight="1" x14ac:dyDescent="0.25">
      <c r="B32" s="25" t="s">
        <v>40</v>
      </c>
      <c r="C32" s="99">
        <v>0.50309486634994893</v>
      </c>
    </row>
    <row r="33" spans="1:5" ht="13" customHeight="1" x14ac:dyDescent="0.25">
      <c r="B33" s="27" t="s">
        <v>41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10.28346</v>
      </c>
    </row>
    <row r="38" spans="1:5" ht="15" customHeight="1" x14ac:dyDescent="0.25">
      <c r="B38" s="11" t="s">
        <v>45</v>
      </c>
      <c r="C38" s="43">
        <v>14.41901</v>
      </c>
      <c r="D38" s="12"/>
      <c r="E38" s="13"/>
    </row>
    <row r="39" spans="1:5" ht="15" customHeight="1" x14ac:dyDescent="0.25">
      <c r="B39" s="11" t="s">
        <v>46</v>
      </c>
      <c r="C39" s="43">
        <v>16.18065</v>
      </c>
      <c r="D39" s="12"/>
      <c r="E39" s="12"/>
    </row>
    <row r="40" spans="1:5" ht="15" customHeight="1" x14ac:dyDescent="0.25">
      <c r="B40" s="11" t="s">
        <v>47</v>
      </c>
      <c r="C40" s="100">
        <v>0.21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9.0744000000000007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7.1989999999999997E-3</v>
      </c>
      <c r="D45" s="12"/>
    </row>
    <row r="46" spans="1:5" ht="15.75" customHeight="1" x14ac:dyDescent="0.25">
      <c r="B46" s="11" t="s">
        <v>52</v>
      </c>
      <c r="C46" s="45">
        <v>7.7351799999999998E-2</v>
      </c>
      <c r="D46" s="12"/>
    </row>
    <row r="47" spans="1:5" ht="15.75" customHeight="1" x14ac:dyDescent="0.25">
      <c r="B47" s="11" t="s">
        <v>53</v>
      </c>
      <c r="C47" s="45">
        <v>7.4154899999999996E-2</v>
      </c>
      <c r="D47" s="12"/>
      <c r="E47" s="13"/>
    </row>
    <row r="48" spans="1:5" ht="15" customHeight="1" x14ac:dyDescent="0.25">
      <c r="B48" s="11" t="s">
        <v>54</v>
      </c>
      <c r="C48" s="46">
        <v>0.84129429999999994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3.2</v>
      </c>
      <c r="D51" s="12"/>
    </row>
    <row r="52" spans="1:4" ht="15" customHeight="1" x14ac:dyDescent="0.25">
      <c r="B52" s="11" t="s">
        <v>57</v>
      </c>
      <c r="C52" s="100">
        <v>3.2</v>
      </c>
    </row>
    <row r="53" spans="1:4" ht="15.75" customHeight="1" x14ac:dyDescent="0.25">
      <c r="B53" s="11" t="s">
        <v>58</v>
      </c>
      <c r="C53" s="100">
        <v>3.2</v>
      </c>
    </row>
    <row r="54" spans="1:4" ht="15.75" customHeight="1" x14ac:dyDescent="0.25">
      <c r="B54" s="11" t="s">
        <v>59</v>
      </c>
      <c r="C54" s="100">
        <v>3.2</v>
      </c>
    </row>
    <row r="55" spans="1:4" ht="15.75" customHeight="1" x14ac:dyDescent="0.25">
      <c r="B55" s="11" t="s">
        <v>60</v>
      </c>
      <c r="C55" s="100">
        <v>3.2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1.9375E-2</v>
      </c>
    </row>
    <row r="59" spans="1:4" ht="15.75" customHeight="1" x14ac:dyDescent="0.25">
      <c r="B59" s="11" t="s">
        <v>63</v>
      </c>
      <c r="C59" s="45">
        <v>0.54805599999999999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HyOAEBM+u5nM9QByiDk37bOk9CfaK2GM7lUFEDOfHNH4PT1vm0RmGojDSMjVGIq5la61faeaViSAi7VT5IZsGQ==" saltValue="4LCX9wCrAc/GIW43XpRX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1893</v>
      </c>
      <c r="C2" s="49">
        <v>5508.5000000000009</v>
      </c>
      <c r="D2" s="49">
        <v>8935</v>
      </c>
      <c r="E2" s="49">
        <v>10983.5</v>
      </c>
      <c r="F2" s="49">
        <v>6632.5</v>
      </c>
      <c r="G2" s="17">
        <f t="shared" ref="G2:G13" si="0">C2+D2+E2+F2</f>
        <v>32059.5</v>
      </c>
      <c r="H2" s="17">
        <f t="shared" ref="H2:H13" si="1">(B2 + stillbirth*B2/(1000-stillbirth))/(1-abortion)</f>
        <v>2170.8353923204363</v>
      </c>
      <c r="I2" s="17">
        <f t="shared" ref="I2:I13" si="2">G2-H2</f>
        <v>29888.664607679562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1860</v>
      </c>
      <c r="C3" s="50">
        <v>5621.5</v>
      </c>
      <c r="D3" s="50">
        <v>8812.5</v>
      </c>
      <c r="E3" s="50">
        <v>10824</v>
      </c>
      <c r="F3" s="50">
        <v>7022.5</v>
      </c>
      <c r="G3" s="17">
        <f t="shared" si="0"/>
        <v>32280.5</v>
      </c>
      <c r="H3" s="17">
        <f t="shared" si="1"/>
        <v>2132.991986115167</v>
      </c>
      <c r="I3" s="17">
        <f t="shared" si="2"/>
        <v>30147.508013884832</v>
      </c>
    </row>
    <row r="4" spans="1:9" ht="15.75" customHeight="1" x14ac:dyDescent="0.25">
      <c r="A4" s="5">
        <f t="shared" si="3"/>
        <v>2026</v>
      </c>
      <c r="B4" s="49">
        <v>1827</v>
      </c>
      <c r="C4" s="50">
        <v>5720.4999999999991</v>
      </c>
      <c r="D4" s="50">
        <v>8730.5</v>
      </c>
      <c r="E4" s="50">
        <v>10608.5</v>
      </c>
      <c r="F4" s="50">
        <v>7462</v>
      </c>
      <c r="G4" s="17">
        <f t="shared" si="0"/>
        <v>32521.5</v>
      </c>
      <c r="H4" s="17">
        <f t="shared" si="1"/>
        <v>2095.1485799098982</v>
      </c>
      <c r="I4" s="17">
        <f t="shared" si="2"/>
        <v>30426.351420090101</v>
      </c>
    </row>
    <row r="5" spans="1:9" ht="15.75" customHeight="1" x14ac:dyDescent="0.25">
      <c r="A5" s="5">
        <f t="shared" si="3"/>
        <v>2027</v>
      </c>
      <c r="B5" s="49">
        <v>1801</v>
      </c>
      <c r="C5" s="50">
        <v>5805</v>
      </c>
      <c r="D5" s="50">
        <v>8686.5</v>
      </c>
      <c r="E5" s="50">
        <v>10351.5</v>
      </c>
      <c r="F5" s="50">
        <v>7931.9999999999982</v>
      </c>
      <c r="G5" s="17">
        <f t="shared" si="0"/>
        <v>32775</v>
      </c>
      <c r="H5" s="17">
        <f t="shared" si="1"/>
        <v>2065.3325628996859</v>
      </c>
      <c r="I5" s="17">
        <f t="shared" si="2"/>
        <v>30709.667437100314</v>
      </c>
    </row>
    <row r="6" spans="1:9" ht="15.75" customHeight="1" x14ac:dyDescent="0.25">
      <c r="A6" s="5">
        <f t="shared" si="3"/>
        <v>2028</v>
      </c>
      <c r="B6" s="49">
        <v>1772</v>
      </c>
      <c r="C6" s="50">
        <v>5872</v>
      </c>
      <c r="D6" s="50">
        <v>8675</v>
      </c>
      <c r="E6" s="50">
        <v>10071.5</v>
      </c>
      <c r="F6" s="50">
        <v>8411.5</v>
      </c>
      <c r="G6" s="17">
        <f t="shared" si="0"/>
        <v>33030</v>
      </c>
      <c r="H6" s="17">
        <f t="shared" si="1"/>
        <v>2032.0762362344494</v>
      </c>
      <c r="I6" s="17">
        <f t="shared" si="2"/>
        <v>30997.92376376555</v>
      </c>
    </row>
    <row r="7" spans="1:9" ht="15.75" customHeight="1" x14ac:dyDescent="0.25">
      <c r="A7" s="5">
        <f t="shared" si="3"/>
        <v>2029</v>
      </c>
      <c r="B7" s="49">
        <v>1744</v>
      </c>
      <c r="C7" s="50">
        <v>5920</v>
      </c>
      <c r="D7" s="50">
        <v>8688.5</v>
      </c>
      <c r="E7" s="50">
        <v>9795</v>
      </c>
      <c r="F7" s="50">
        <v>8869.5</v>
      </c>
      <c r="G7" s="17">
        <f t="shared" si="0"/>
        <v>33273</v>
      </c>
      <c r="H7" s="17">
        <f t="shared" si="1"/>
        <v>1999.9666794542213</v>
      </c>
      <c r="I7" s="17">
        <f t="shared" si="2"/>
        <v>31273.033320545779</v>
      </c>
    </row>
    <row r="8" spans="1:9" ht="15.75" customHeight="1" x14ac:dyDescent="0.25">
      <c r="A8" s="5">
        <f t="shared" si="3"/>
        <v>2030</v>
      </c>
      <c r="B8" s="49">
        <v>1722</v>
      </c>
      <c r="C8" s="50">
        <v>5949</v>
      </c>
      <c r="D8" s="50">
        <v>8719.5</v>
      </c>
      <c r="E8" s="50">
        <v>9543.5</v>
      </c>
      <c r="F8" s="50">
        <v>9264</v>
      </c>
      <c r="G8" s="17">
        <f t="shared" si="0"/>
        <v>33476</v>
      </c>
      <c r="H8" s="17">
        <f t="shared" si="1"/>
        <v>1974.7377419840418</v>
      </c>
      <c r="I8" s="17">
        <f t="shared" si="2"/>
        <v>31501.262258015959</v>
      </c>
    </row>
    <row r="9" spans="1:9" ht="15.75" customHeight="1" x14ac:dyDescent="0.25">
      <c r="A9" s="5">
        <f t="shared" si="3"/>
        <v>2031</v>
      </c>
      <c r="B9" s="49">
        <v>1713</v>
      </c>
      <c r="C9" s="50">
        <v>5964</v>
      </c>
      <c r="D9" s="50">
        <v>8809</v>
      </c>
      <c r="E9" s="50">
        <v>9286.5</v>
      </c>
      <c r="F9" s="50">
        <v>9564.5</v>
      </c>
      <c r="G9" s="17">
        <f t="shared" si="0"/>
        <v>33624</v>
      </c>
      <c r="H9" s="17">
        <f t="shared" si="1"/>
        <v>1964.4168130189682</v>
      </c>
      <c r="I9" s="17">
        <f t="shared" si="2"/>
        <v>31659.583186981032</v>
      </c>
    </row>
    <row r="10" spans="1:9" ht="15.75" customHeight="1" x14ac:dyDescent="0.25">
      <c r="A10" s="5">
        <f t="shared" si="3"/>
        <v>2032</v>
      </c>
      <c r="B10" s="49">
        <v>1693</v>
      </c>
      <c r="C10" s="50">
        <v>5966.5</v>
      </c>
      <c r="D10" s="50">
        <v>8952.5</v>
      </c>
      <c r="E10" s="50">
        <v>9033.5</v>
      </c>
      <c r="F10" s="50">
        <v>9750.5</v>
      </c>
      <c r="G10" s="17">
        <f t="shared" si="0"/>
        <v>33703</v>
      </c>
      <c r="H10" s="17">
        <f t="shared" si="1"/>
        <v>1941.4814153188051</v>
      </c>
      <c r="I10" s="17">
        <f t="shared" si="2"/>
        <v>31761.518584681195</v>
      </c>
    </row>
    <row r="11" spans="1:9" ht="15.75" customHeight="1" x14ac:dyDescent="0.25">
      <c r="A11" s="5">
        <f t="shared" si="3"/>
        <v>2033</v>
      </c>
      <c r="B11" s="49">
        <v>1685</v>
      </c>
      <c r="C11" s="50">
        <v>5953</v>
      </c>
      <c r="D11" s="50">
        <v>9100</v>
      </c>
      <c r="E11" s="50">
        <v>8828.5</v>
      </c>
      <c r="F11" s="50">
        <v>9815</v>
      </c>
      <c r="G11" s="17">
        <f t="shared" si="0"/>
        <v>33696.5</v>
      </c>
      <c r="H11" s="17">
        <f t="shared" si="1"/>
        <v>1932.3072562387401</v>
      </c>
      <c r="I11" s="17">
        <f t="shared" si="2"/>
        <v>31764.192743761261</v>
      </c>
    </row>
    <row r="12" spans="1:9" ht="15.75" customHeight="1" x14ac:dyDescent="0.25">
      <c r="A12" s="5">
        <f t="shared" si="3"/>
        <v>2034</v>
      </c>
      <c r="B12" s="49">
        <v>1678</v>
      </c>
      <c r="C12" s="50">
        <v>5924</v>
      </c>
      <c r="D12" s="50">
        <v>9247</v>
      </c>
      <c r="E12" s="50">
        <v>8664.5</v>
      </c>
      <c r="F12" s="50">
        <v>9772.5</v>
      </c>
      <c r="G12" s="17">
        <f t="shared" si="0"/>
        <v>33608</v>
      </c>
      <c r="H12" s="17">
        <f t="shared" si="1"/>
        <v>1924.279867043683</v>
      </c>
      <c r="I12" s="17">
        <f t="shared" si="2"/>
        <v>31683.720132956318</v>
      </c>
    </row>
    <row r="13" spans="1:9" ht="15.75" customHeight="1" x14ac:dyDescent="0.25">
      <c r="A13" s="5">
        <f t="shared" si="3"/>
        <v>2035</v>
      </c>
      <c r="B13" s="49">
        <v>1676</v>
      </c>
      <c r="C13" s="50">
        <v>5881.5</v>
      </c>
      <c r="D13" s="50">
        <v>9379.5</v>
      </c>
      <c r="E13" s="50">
        <v>8543</v>
      </c>
      <c r="F13" s="50">
        <v>9645</v>
      </c>
      <c r="G13" s="17">
        <f t="shared" si="0"/>
        <v>33449</v>
      </c>
      <c r="H13" s="17">
        <f t="shared" si="1"/>
        <v>1921.9863272736668</v>
      </c>
      <c r="I13" s="17">
        <f t="shared" si="2"/>
        <v>31527.013672726334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DiE8syKDqWUhPhjPcAY+1vUvXbf/X5EPzq5ViPaiLvwvnxfHhin0FQGDJtZZ+GUvc39zkuisAvZ4lt3CCx/rw==" saltValue="FoB8b8MOdqFafomKWn7Ak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0.1055556</v>
      </c>
    </row>
    <row r="5" spans="1:8" ht="15.75" customHeight="1" x14ac:dyDescent="0.25">
      <c r="B5" s="19" t="s">
        <v>80</v>
      </c>
      <c r="C5" s="101">
        <v>4.8148100000000027E-2</v>
      </c>
    </row>
    <row r="6" spans="1:8" ht="15.75" customHeight="1" x14ac:dyDescent="0.25">
      <c r="B6" s="19" t="s">
        <v>81</v>
      </c>
      <c r="C6" s="101">
        <v>0.32037040000000022</v>
      </c>
    </row>
    <row r="7" spans="1:8" ht="15.75" customHeight="1" x14ac:dyDescent="0.25">
      <c r="B7" s="19" t="s">
        <v>82</v>
      </c>
      <c r="C7" s="101">
        <v>0.37222219999999978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0.14259260000000001</v>
      </c>
    </row>
    <row r="10" spans="1:8" ht="15.75" customHeight="1" x14ac:dyDescent="0.25">
      <c r="B10" s="19" t="s">
        <v>85</v>
      </c>
      <c r="C10" s="101">
        <v>1.11111E-2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88</v>
      </c>
      <c r="C15" s="101">
        <v>0.38426575950470021</v>
      </c>
      <c r="D15" s="101">
        <v>0.38426575950470021</v>
      </c>
      <c r="E15" s="101">
        <v>0.38426575950470021</v>
      </c>
      <c r="F15" s="101">
        <v>0.38426575950470021</v>
      </c>
    </row>
    <row r="16" spans="1:8" ht="15.75" customHeight="1" x14ac:dyDescent="0.25">
      <c r="B16" s="19" t="s">
        <v>89</v>
      </c>
      <c r="C16" s="101">
        <v>0</v>
      </c>
      <c r="D16" s="101">
        <v>0</v>
      </c>
      <c r="E16" s="101">
        <v>0</v>
      </c>
      <c r="F16" s="101">
        <v>0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93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94</v>
      </c>
      <c r="C21" s="101">
        <v>0.43363631745840392</v>
      </c>
      <c r="D21" s="101">
        <v>0.43363631745840392</v>
      </c>
      <c r="E21" s="101">
        <v>0.43363631745840392</v>
      </c>
      <c r="F21" s="101">
        <v>0.43363631745840392</v>
      </c>
    </row>
    <row r="22" spans="1:8" ht="15.75" customHeight="1" x14ac:dyDescent="0.25">
      <c r="B22" s="19" t="s">
        <v>95</v>
      </c>
      <c r="C22" s="101">
        <v>0.18209792303689601</v>
      </c>
      <c r="D22" s="101">
        <v>0.18209792303689601</v>
      </c>
      <c r="E22" s="101">
        <v>0.18209792303689601</v>
      </c>
      <c r="F22" s="101">
        <v>0.18209792303689601</v>
      </c>
    </row>
    <row r="23" spans="1:8" ht="15.75" customHeight="1" x14ac:dyDescent="0.25">
      <c r="B23" s="27" t="s">
        <v>41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5.0426016999999997E-2</v>
      </c>
    </row>
    <row r="27" spans="1:8" ht="15.75" customHeight="1" x14ac:dyDescent="0.25">
      <c r="B27" s="19" t="s">
        <v>102</v>
      </c>
      <c r="C27" s="101">
        <v>4.7548858999999999E-2</v>
      </c>
    </row>
    <row r="28" spans="1:8" ht="15.75" customHeight="1" x14ac:dyDescent="0.25">
      <c r="B28" s="19" t="s">
        <v>103</v>
      </c>
      <c r="C28" s="101">
        <v>0.12571258499999999</v>
      </c>
    </row>
    <row r="29" spans="1:8" ht="15.75" customHeight="1" x14ac:dyDescent="0.25">
      <c r="B29" s="19" t="s">
        <v>104</v>
      </c>
      <c r="C29" s="101">
        <v>0.196091977</v>
      </c>
    </row>
    <row r="30" spans="1:8" ht="15.75" customHeight="1" x14ac:dyDescent="0.25">
      <c r="B30" s="19" t="s">
        <v>2</v>
      </c>
      <c r="C30" s="101">
        <v>6.7403012999999998E-2</v>
      </c>
    </row>
    <row r="31" spans="1:8" ht="15.75" customHeight="1" x14ac:dyDescent="0.25">
      <c r="B31" s="19" t="s">
        <v>105</v>
      </c>
      <c r="C31" s="101">
        <v>0.119314141</v>
      </c>
    </row>
    <row r="32" spans="1:8" ht="15.75" customHeight="1" x14ac:dyDescent="0.25">
      <c r="B32" s="19" t="s">
        <v>106</v>
      </c>
      <c r="C32" s="101">
        <v>3.6527864E-2</v>
      </c>
    </row>
    <row r="33" spans="2:3" ht="15.75" customHeight="1" x14ac:dyDescent="0.25">
      <c r="B33" s="19" t="s">
        <v>107</v>
      </c>
      <c r="C33" s="101">
        <v>0.152312374</v>
      </c>
    </row>
    <row r="34" spans="2:3" ht="15.75" customHeight="1" x14ac:dyDescent="0.25">
      <c r="B34" s="19" t="s">
        <v>108</v>
      </c>
      <c r="C34" s="101">
        <v>0.204663171</v>
      </c>
    </row>
    <row r="35" spans="2:3" ht="15.75" customHeight="1" x14ac:dyDescent="0.25">
      <c r="B35" s="27" t="s">
        <v>41</v>
      </c>
      <c r="C35" s="48">
        <f>SUM(C26:C34)</f>
        <v>1.0000000009999999</v>
      </c>
    </row>
  </sheetData>
  <sheetProtection algorithmName="SHA-512" hashValue="eC3xr+QcYpkdNvQGLkr83fPpZYkYUbKCAmILPb570N/hFqgvAA1blPYOEA6pGUcR4fKSLcuB3tKzfCZAoTNpew==" saltValue="oI6J6qweHrW/jHdJG+bzn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114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115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119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120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0.62359459274999995</v>
      </c>
      <c r="D14" s="54">
        <v>0.59193918951699998</v>
      </c>
      <c r="E14" s="54">
        <v>0.59193918951699998</v>
      </c>
      <c r="F14" s="54">
        <v>0.38638310174000012</v>
      </c>
      <c r="G14" s="54">
        <v>0.38638310174000012</v>
      </c>
      <c r="H14" s="45">
        <v>0.27500000000000002</v>
      </c>
      <c r="I14" s="55">
        <v>0.27500000000000002</v>
      </c>
      <c r="J14" s="55">
        <v>0.27500000000000002</v>
      </c>
      <c r="K14" s="55">
        <v>0.27500000000000002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0.34176475812419399</v>
      </c>
      <c r="D15" s="52">
        <f t="shared" si="0"/>
        <v>0.32441582444992895</v>
      </c>
      <c r="E15" s="52">
        <f t="shared" si="0"/>
        <v>0.32441582444992895</v>
      </c>
      <c r="F15" s="52">
        <f t="shared" si="0"/>
        <v>0.2117595772072175</v>
      </c>
      <c r="G15" s="52">
        <f t="shared" si="0"/>
        <v>0.2117595772072175</v>
      </c>
      <c r="H15" s="52">
        <f t="shared" si="0"/>
        <v>0.1507154</v>
      </c>
      <c r="I15" s="52">
        <f t="shared" si="0"/>
        <v>0.1507154</v>
      </c>
      <c r="J15" s="52">
        <f t="shared" si="0"/>
        <v>0.1507154</v>
      </c>
      <c r="K15" s="52">
        <f t="shared" si="0"/>
        <v>0.1507154</v>
      </c>
      <c r="L15" s="52">
        <f t="shared" si="0"/>
        <v>0.12769704800000001</v>
      </c>
      <c r="M15" s="52">
        <f t="shared" si="0"/>
        <v>0.12769704800000001</v>
      </c>
      <c r="N15" s="52">
        <f t="shared" si="0"/>
        <v>0.12769704800000001</v>
      </c>
      <c r="O15" s="52">
        <f t="shared" si="0"/>
        <v>0.12769704800000001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HyiVGjk1YEeyYEQmv8yo6y2Ot2OaUS7NDU/mjaiJec4ThKejnvCcwjH1DMGxqW4QJeD6+5ymLD+P5Qv3prqu8g==" saltValue="Cb92CxQfGH9pNi++Gu4e1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132</v>
      </c>
      <c r="C5" s="52">
        <v>4.7031312222222198E-2</v>
      </c>
      <c r="D5" s="52">
        <v>0.10405767555555601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8Vv8wwhpkKn6nFmGd0MIG9kaanTxAmrfB/QxtACppMPN1WWZcAwnMl4eLOzwe/KRIFeTFO8SMLeZgkLtxuDt8A==" saltValue="zcImVvzhcwLmMTMtUo+yk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iW99T5+i10KYNQwv89Be9uhRP+yLnC1w9ODQXHlrhZIog1HvVx72c314q+/erSmdSlV9yw1sB9x0EJdl0cZdnQ==" saltValue="Q4P56jOJ1s8D6kQXrbnSO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2EPDDMJMYhB5HteKNC3ILJFgNa4mPHx6PVv1zYalbrgAxSFfc8kX06DEkWhZlHygUC0plnapSNrj9WSWDQ2ZuA==" saltValue="ytaHK9MkkAepgQ8EihkMm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LxCBvdu46/AYO0TBKJVOKSeh4rZKfJhvMaT+smwS1gPrQaNWcL95A4Dln/0OtlR8X3mQ8CFguhNt7WGIiNfXxA==" saltValue="MwgBqenr1jbgSL6tr9JCP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9t6pvDEnKqRp4LnnlY+KT5/nsiz+Mzh3bHTbtBKgYzVPB3mYCwtAhCcQNz69qRUDOFuAz77yBTlbtYTT29FzyQ==" saltValue="K2U6+g9OEUUeV3BmqKrsL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94.372442366926933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40.694715471769477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984.17640503610096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3.4445543530752132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13.8270149155654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13.8270149155654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13.8270149155654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13.8270149155654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13.8270149155654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13.8270149155654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1.5337807154607439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0.34229166666666699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</v>
      </c>
      <c r="C18" s="98">
        <v>0.95</v>
      </c>
      <c r="D18" s="56">
        <v>22.51730204343292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</v>
      </c>
      <c r="C19" s="98">
        <v>0.95</v>
      </c>
      <c r="D19" s="56">
        <v>22.51730204343292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33.470736703655071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24.28824639048289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4.78860983208211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19.387683306056729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196.59554063194781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0.84398835910570635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3.3770645537978279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0.92326350000000001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3.7025050938422202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4eOYBAJyhCr6IOxBeDf8dXxGjNx/wRwMQq8jdrq0OaUuH9KJfNQe6ZCoSF0P6+Fv0Xp2ebojlGs73cOuqEpHMg==" saltValue="pfGwhsryjRqvKcmfnN8G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E1EZK4jPbnZko37xXdjUDzzZUwCwpgMOryqnSzzP3Z1+P8adghLcyEoCTxBHi55mNyPEIl7mnYtWh4DsU1on8A==" saltValue="LfYdtlpR+gvLoxUwoE+ot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YRJtxJ9D1HIC63N+XM+4h30+SF0WFrnVScGI6GH23W0HoUDlsbsWAjw963xSgI4TPZGvX5JuZDH9CqbJwATbZA==" saltValue="eVrnLJfrX9Fka8c4DwrRm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209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208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XRwsMefI+Gv3puXblXYZ9Rme0KuMB9Xu0ldArS6qzSnrP5TL/FuAjFwMiL76VEVufPhLmWvfYCSrWWMO0mnK7g==" saltValue="0mIz/tKJvBMlZDsTU0KAM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</v>
      </c>
      <c r="M24" s="60">
        <f>famplan_unmet_need</f>
        <v>0.17</v>
      </c>
      <c r="N24" s="60">
        <f>famplan_unmet_need</f>
        <v>0.17</v>
      </c>
      <c r="O24" s="60">
        <f>famplan_unmet_need</f>
        <v>0.17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0.13659437046432496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5.8540444484710692E-2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8.184859874725342E-2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0.7230165863037108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LDS8jYNu1CngT9LTRAppK++cuWUYPIBj1LLlHoAIpfKVE2W1J76DceyOMR3Cm1Y67s+dzZWfd+QxuoUxjIWSA==" saltValue="HkJAuitRZZBzX3/mgPg/K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Haxje84Em5OgNwIWXCbsbP9SK2gP2VqMLY35VLlhj8ldX0GfrS4ak5X5tYmwxZxjTy8MK01yBMBVDGyTNIKoqA==" saltValue="2CuHUROpSvV8HEf9EEWmE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AjNbQQ5IXaiWieu7s0Wy1+dKHLGH7N9f0sDyWOHA2Cy3iZafP4ONruXLUDhQDN4/MXt7ERz+sUpyPHXe9oSKFg==" saltValue="ge9N56HfWjfR/IN8FohXY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fNmFo6Ck5ALRYLqKuXe0UBtXzwnDyLZrtFoslIX1CjBq+X+/HvrHS8j3jVtC/xHUZnLVk61keZgMPS1Jg3vBrw==" saltValue="YdyK+llXDzoVj2ygvpgG3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tHBw8Zqpj03LBVZiqjToLeI36Qaqy8GEAEdkVGlL2GX/QrrCgvUDTOsDBudyTRyx68DdQcIEWXC61giZ9a2DdQ==" saltValue="L6FxS9H8UKwPzd6okQtvk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lqvai/vCvkezKsqTIkmybejUnfnguVtz/UmZAWYbbJ6VC85Ny25cu2A+O4NLMR0/RLdHFRh6MHQLb20e7a6hmQ==" saltValue="+aXEJ0+0iLXjVTL5oyEa4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X1igcuboaS3FBwL6r7LSIav2qw7dj5+8F6S8VZeeaNuL+hx9m34pSGkRh58CuBeeRcoO5zaUFFVGDakteOE8dw==" saltValue="JmQmJ+YUHugZtZcPGXfMx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I46gtu/XtpkQ0hKU1K71Zp9cGkyAKQjqBhRKXSeuZ+pmA4fPOyBCzmJDMtNFUZulZkkg7O4gvfUQrSChCFYQA==" saltValue="YUxVVSfZ2dclAADHVR/l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0rc6b2f9WwOkmDEHlTRv+YyV/vR1ZqEHBDKcM+ZStxU4pYFxSYPY0zq6uRUYso8ya9td0NZZCYji4FQwP8FJHA==" saltValue="nyW9WBTwCHD1nla9WOqC3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Hn0BuOxBF0vN0w9Woc11xujSPARCY8T//NEkS4FCCJjoTdtgnl+VnmakU5LxMHxZXV76pTH5tONVzlX/zpeW1A==" saltValue="OTQ4dmOgWFfanaHpeYqO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dbo+6jpZI8Bnm5X3kZD3NdQCRW2yvp0wbm0+0wuEb0kCu2gOLve4h3DNGS5QsG46HvA3hqTY2+Oi6nugszHUgA==" saltValue="7SL53f6PFL7KrycqbNpG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f62DXd/ZWPpg/7i+VqmCc0k4gp52Q1fKKgKDhhNZV8wUKbDotfLfDCbOURQjmYdS/uNkIl0MpQHpuAV07slnsQ==" saltValue="XAt6Odva3sChtxzWnYfS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3edYNPfGVQsojvT2lOEZvbHRadowk3toy+eqJwRRDPeLJPjkdkBJ4AWEuxhcxWm3OZvDn+iSNm1/mldd9PbQAw==" saltValue="H8ntVZPy/nNjebYYXB54m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0.10893279523983856</v>
      </c>
      <c r="G18" s="90">
        <f>MIN(MAX(1-0.89/(1-frac_sam_12_23months+(frac_sam_12_23months*0.89)),0),1)</f>
        <v>0.1092706246891999</v>
      </c>
      <c r="H18" s="90">
        <f>MIN(MAX(1-0.89/(1-frac_sam_24_59months+(frac_sam_24_59months*0.89)),0),1)</f>
        <v>0.10955189959787226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0.10744200236657098</v>
      </c>
      <c r="G20" s="90">
        <f>MIN(MAX(1-0.89/(1-frac_mam_12_23months+(frac_mam_12_23months*0.89)),0),1)</f>
        <v>0.10830952041594089</v>
      </c>
      <c r="H20" s="90">
        <f>MIN(MAX(1-0.89/(1-frac_mam_24_59months+(frac_mam_24_59months*0.89)),0),1)</f>
        <v>0.10870344317217706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9.8921979322001974E-3</v>
      </c>
      <c r="G73" s="90">
        <f>MIN(MAX(1-0.99/(1-frac_sam_12_23months+(frac_sam_12_23months*0.99)),0),1)</f>
        <v>9.9262978557254078E-3</v>
      </c>
      <c r="H73" s="90">
        <f>MIN(MAX(1-0.99/(1-frac_sam_24_59months+(frac_sam_24_59months*0.99)),0),1)</f>
        <v>9.9547072072605491E-3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9.742000201394041E-3</v>
      </c>
      <c r="G75" s="90">
        <f>MIN(MAX(1-0.99/(1-frac_mam_12_23months+(frac_mam_12_23months*0.99)),0),1)</f>
        <v>9.8293472993712383E-3</v>
      </c>
      <c r="H75" s="90">
        <f>MIN(MAX(1-0.99/(1-frac_mam_24_59months+(frac_mam_24_59months*0.99)),0),1)</f>
        <v>9.8690609233905713E-3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0.19825413228318445</v>
      </c>
      <c r="G128" s="90">
        <f>MIN(MAX(1-0.8/(1-frac_sam_12_23months+(frac_sam_12_23months*0.8)),0),1)</f>
        <v>0.19880716698883183</v>
      </c>
      <c r="H128" s="90">
        <f>MIN(MAX(1-0.8/(1-frac_sam_24_59months+(frac_sam_24_59months*0.8)),0),1)</f>
        <v>0.19926735841604293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0.19580955726063765</v>
      </c>
      <c r="G130" s="90">
        <f>MIN(MAX(1-0.8/(1-frac_mam_12_23months+(frac_mam_12_23months*0.8)),0),1)</f>
        <v>0.19723291392568032</v>
      </c>
      <c r="H130" s="90">
        <f>MIN(MAX(1-0.8/(1-frac_mam_24_59months+(frac_mam_24_59months*0.8)),0),1)</f>
        <v>0.19787848158653454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3THuEaNVbu7gYOWdV/23aRDmXeYrubgbBugRqEIYNDk6l7J8BS41kmUspu9awoh1tfITfK1chLFJX3XVkDCurg==" saltValue="92rK8qSvqJV1jD2k1z2H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fNYxAzA6df0oUxdCB8Q+AlysZxGSurFxRfEx1OWVud3s+zRB9ZMkelrI4cIw+wfzhrA8EbYLWdfwfPpNyUUqCQ==" saltValue="uEful45KhczXNkGDI0X9G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2024-08-06T09:07:12Z</dcterms:modified>
</cp:coreProperties>
</file>