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8EF34E8-6675-4D44-8F54-DC5B6726F648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<sst xmlns="http://schemas.openxmlformats.org/spreadsheetml/2006/main" count="2102" uniqueCount="337">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</sst>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2348513.28125</v>
      </c>
    </row>
    <row r="8" spans="1:3" ht="15" customHeight="1" x14ac:dyDescent="0.25">
      <c r="B8" s="5" t="s">
        <v>19</v>
      </c>
      <c r="C8" s="44">
        <v>0.33900000000000002</v>
      </c>
    </row>
    <row r="9" spans="1:3" ht="15" customHeight="1" x14ac:dyDescent="0.25">
      <c r="B9" s="5" t="s">
        <v>20</v>
      </c>
      <c r="C9" s="45">
        <v>0.54</v>
      </c>
    </row>
    <row r="10" spans="1:3" ht="15" customHeight="1" x14ac:dyDescent="0.25">
      <c r="B10" s="5" t="s">
        <v>21</v>
      </c>
      <c r="C10" s="45">
        <v>0.44076328277587901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0.14299999999999999</v>
      </c>
    </row>
    <row r="24" spans="1:3" ht="15" customHeight="1" x14ac:dyDescent="0.25">
      <c r="B24" s="15" t="s">
        <v>33</v>
      </c>
      <c r="C24" s="45">
        <v>0.49020000000000002</v>
      </c>
    </row>
    <row r="25" spans="1:3" ht="15" customHeight="1" x14ac:dyDescent="0.25">
      <c r="B25" s="15" t="s">
        <v>34</v>
      </c>
      <c r="C25" s="45">
        <v>0.31659999999999999</v>
      </c>
    </row>
    <row r="26" spans="1:3" ht="15" customHeight="1" x14ac:dyDescent="0.25">
      <c r="B26" s="15" t="s">
        <v>35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0.26023901489541001</v>
      </c>
    </row>
    <row r="30" spans="1:3" ht="14.25" customHeight="1" x14ac:dyDescent="0.25">
      <c r="B30" s="25" t="s">
        <v>38</v>
      </c>
      <c r="C30" s="99">
        <v>3.0772499372884701E-2</v>
      </c>
    </row>
    <row r="31" spans="1:3" ht="14.25" customHeight="1" x14ac:dyDescent="0.25">
      <c r="B31" s="25" t="s">
        <v>39</v>
      </c>
      <c r="C31" s="99">
        <v>5.3241858709985899E-2</v>
      </c>
    </row>
    <row r="32" spans="1:3" ht="14.25" customHeight="1" x14ac:dyDescent="0.25">
      <c r="B32" s="25" t="s">
        <v>40</v>
      </c>
      <c r="C32" s="99">
        <v>0.65574662702171904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24.99306</v>
      </c>
    </row>
    <row r="38" spans="1:5" ht="15" customHeight="1" x14ac:dyDescent="0.25">
      <c r="B38" s="11" t="s">
        <v>45</v>
      </c>
      <c r="C38" s="43">
        <v>35.713000000000001</v>
      </c>
      <c r="D38" s="12"/>
      <c r="E38" s="13"/>
    </row>
    <row r="39" spans="1:5" ht="15" customHeight="1" x14ac:dyDescent="0.25">
      <c r="B39" s="11" t="s">
        <v>46</v>
      </c>
      <c r="C39" s="43">
        <v>49.521970000000003</v>
      </c>
      <c r="D39" s="12"/>
      <c r="E39" s="12"/>
    </row>
    <row r="40" spans="1:5" ht="15" customHeight="1" x14ac:dyDescent="0.25">
      <c r="B40" s="11" t="s">
        <v>47</v>
      </c>
      <c r="C40" s="100">
        <v>3.57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8.0598000000000006E-3</v>
      </c>
      <c r="D45" s="12"/>
    </row>
    <row r="46" spans="1:5" ht="15.75" customHeight="1" x14ac:dyDescent="0.25">
      <c r="B46" s="11" t="s">
        <v>52</v>
      </c>
      <c r="C46" s="45">
        <v>8.5329799999999997E-2</v>
      </c>
      <c r="D46" s="12"/>
    </row>
    <row r="47" spans="1:5" ht="15.75" customHeight="1" x14ac:dyDescent="0.25">
      <c r="B47" s="11" t="s">
        <v>53</v>
      </c>
      <c r="C47" s="45">
        <v>0.16232050000000001</v>
      </c>
      <c r="D47" s="12"/>
      <c r="E47" s="13"/>
    </row>
    <row r="48" spans="1:5" ht="15" customHeight="1" x14ac:dyDescent="0.25">
      <c r="B48" s="11" t="s">
        <v>54</v>
      </c>
      <c r="C48" s="46">
        <v>0.74428989999999995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0.51205699999999998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tyPbfzoZW7qcboQwmW4AGKGUubWOgnZiTIX7USSoveUX4AlGD5BugndUk9CsVgGgESID8nyZ35bCgqfvbFU8NQ==" saltValue="ANG/kRFScBoUmmheIDBk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496655</v>
      </c>
      <c r="C2" s="49">
        <v>1157106.5</v>
      </c>
      <c r="D2" s="49">
        <v>1614829</v>
      </c>
      <c r="E2" s="49">
        <v>1188365</v>
      </c>
      <c r="F2" s="49">
        <v>790811</v>
      </c>
      <c r="G2" s="17">
        <f t="shared" ref="G2:G13" si="0">C2+D2+E2+F2</f>
        <v>4751111.5</v>
      </c>
      <c r="H2" s="17">
        <f t="shared" ref="H2:H13" si="1">(B2 + stillbirth*B2/(1000-stillbirth))/(1-abortion)</f>
        <v>575593.0502472216</v>
      </c>
      <c r="I2" s="17">
        <f t="shared" ref="I2:I13" si="2">G2-H2</f>
        <v>4175518.4497527783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498207</v>
      </c>
      <c r="C3" s="50">
        <v>1188586.5</v>
      </c>
      <c r="D3" s="50">
        <v>1661403</v>
      </c>
      <c r="E3" s="50">
        <v>1191023.5</v>
      </c>
      <c r="F3" s="50">
        <v>835030</v>
      </c>
      <c r="G3" s="17">
        <f t="shared" si="0"/>
        <v>4876043</v>
      </c>
      <c r="H3" s="17">
        <f t="shared" si="1"/>
        <v>577391.72420395957</v>
      </c>
      <c r="I3" s="17">
        <f t="shared" si="2"/>
        <v>4298651.2757960409</v>
      </c>
    </row>
    <row r="4" spans="1:9" ht="15.75" customHeight="1" x14ac:dyDescent="0.25">
      <c r="A4" s="5">
        <f t="shared" si="3"/>
        <v>2026</v>
      </c>
      <c r="B4" s="49">
        <v>503836</v>
      </c>
      <c r="C4" s="50">
        <v>1225384</v>
      </c>
      <c r="D4" s="50">
        <v>1701819.5</v>
      </c>
      <c r="E4" s="50">
        <v>1200031.5</v>
      </c>
      <c r="F4" s="50">
        <v>875042</v>
      </c>
      <c r="G4" s="17">
        <f t="shared" si="0"/>
        <v>5002277</v>
      </c>
      <c r="H4" s="17">
        <f t="shared" si="1"/>
        <v>583915.39411534998</v>
      </c>
      <c r="I4" s="17">
        <f t="shared" si="2"/>
        <v>4418361.6058846498</v>
      </c>
    </row>
    <row r="5" spans="1:9" ht="15.75" customHeight="1" x14ac:dyDescent="0.25">
      <c r="A5" s="5">
        <f t="shared" si="3"/>
        <v>2027</v>
      </c>
      <c r="B5" s="49">
        <v>507954</v>
      </c>
      <c r="C5" s="50">
        <v>1262562.5</v>
      </c>
      <c r="D5" s="50">
        <v>1736599.5</v>
      </c>
      <c r="E5" s="50">
        <v>1218753</v>
      </c>
      <c r="F5" s="50">
        <v>910412</v>
      </c>
      <c r="G5" s="17">
        <f t="shared" si="0"/>
        <v>5128327</v>
      </c>
      <c r="H5" s="17">
        <f t="shared" si="1"/>
        <v>588687.90658561222</v>
      </c>
      <c r="I5" s="17">
        <f t="shared" si="2"/>
        <v>4539639.0934143877</v>
      </c>
    </row>
    <row r="6" spans="1:9" ht="15.75" customHeight="1" x14ac:dyDescent="0.25">
      <c r="A6" s="5">
        <f t="shared" si="3"/>
        <v>2028</v>
      </c>
      <c r="B6" s="49">
        <v>512476</v>
      </c>
      <c r="C6" s="50">
        <v>1293652</v>
      </c>
      <c r="D6" s="50">
        <v>1769749</v>
      </c>
      <c r="E6" s="50">
        <v>1248221</v>
      </c>
      <c r="F6" s="50">
        <v>940871.49999999988</v>
      </c>
      <c r="G6" s="17">
        <f t="shared" si="0"/>
        <v>5252493.5</v>
      </c>
      <c r="H6" s="17">
        <f t="shared" si="1"/>
        <v>593928.63057554071</v>
      </c>
      <c r="I6" s="17">
        <f t="shared" si="2"/>
        <v>4658564.8694244595</v>
      </c>
    </row>
    <row r="7" spans="1:9" ht="15.75" customHeight="1" x14ac:dyDescent="0.25">
      <c r="A7" s="5">
        <f t="shared" si="3"/>
        <v>2029</v>
      </c>
      <c r="B7" s="49">
        <v>517058.99999999988</v>
      </c>
      <c r="C7" s="50">
        <v>1313644.5</v>
      </c>
      <c r="D7" s="50">
        <v>1803800</v>
      </c>
      <c r="E7" s="50">
        <v>1288382.5</v>
      </c>
      <c r="F7" s="50">
        <v>965744</v>
      </c>
      <c r="G7" s="17">
        <f t="shared" si="0"/>
        <v>5371571</v>
      </c>
      <c r="H7" s="17">
        <f t="shared" si="1"/>
        <v>599240.04986918101</v>
      </c>
      <c r="I7" s="17">
        <f t="shared" si="2"/>
        <v>4772330.9501308193</v>
      </c>
    </row>
    <row r="8" spans="1:9" ht="15.75" customHeight="1" x14ac:dyDescent="0.25">
      <c r="A8" s="5">
        <f t="shared" si="3"/>
        <v>2030</v>
      </c>
      <c r="B8" s="49">
        <v>522659.99999999988</v>
      </c>
      <c r="C8" s="50">
        <v>1323860.5</v>
      </c>
      <c r="D8" s="50">
        <v>1839474.5</v>
      </c>
      <c r="E8" s="50">
        <v>1335961</v>
      </c>
      <c r="F8" s="50">
        <v>982374</v>
      </c>
      <c r="G8" s="17">
        <f t="shared" si="0"/>
        <v>5481670</v>
      </c>
      <c r="H8" s="17">
        <f t="shared" si="1"/>
        <v>605731.26947722817</v>
      </c>
      <c r="I8" s="17">
        <f t="shared" si="2"/>
        <v>4875938.7305227723</v>
      </c>
    </row>
    <row r="9" spans="1:9" ht="15.75" customHeight="1" x14ac:dyDescent="0.25">
      <c r="A9" s="5">
        <f t="shared" si="3"/>
        <v>2031</v>
      </c>
      <c r="B9" s="49">
        <v>528818</v>
      </c>
      <c r="C9" s="50">
        <v>1328000</v>
      </c>
      <c r="D9" s="50">
        <v>1876647.5</v>
      </c>
      <c r="E9" s="50">
        <v>1386852.5</v>
      </c>
      <c r="F9" s="50">
        <v>988459.5</v>
      </c>
      <c r="G9" s="17">
        <f t="shared" si="0"/>
        <v>5579959.5</v>
      </c>
      <c r="H9" s="17">
        <f t="shared" si="1"/>
        <v>612868.01833392447</v>
      </c>
      <c r="I9" s="17">
        <f t="shared" si="2"/>
        <v>4967091.4816660751</v>
      </c>
    </row>
    <row r="10" spans="1:9" ht="15.75" customHeight="1" x14ac:dyDescent="0.25">
      <c r="A10" s="5">
        <f t="shared" si="3"/>
        <v>2032</v>
      </c>
      <c r="B10" s="49">
        <v>534114</v>
      </c>
      <c r="C10" s="50">
        <v>1329072</v>
      </c>
      <c r="D10" s="50">
        <v>1915226</v>
      </c>
      <c r="E10" s="50">
        <v>1438200</v>
      </c>
      <c r="F10" s="50">
        <v>987786</v>
      </c>
      <c r="G10" s="17">
        <f t="shared" si="0"/>
        <v>5670284</v>
      </c>
      <c r="H10" s="17">
        <f t="shared" si="1"/>
        <v>619005.76142341178</v>
      </c>
      <c r="I10" s="17">
        <f t="shared" si="2"/>
        <v>5051278.2385765882</v>
      </c>
    </row>
    <row r="11" spans="1:9" ht="15.75" customHeight="1" x14ac:dyDescent="0.25">
      <c r="A11" s="5">
        <f t="shared" si="3"/>
        <v>2033</v>
      </c>
      <c r="B11" s="49">
        <v>538307</v>
      </c>
      <c r="C11" s="50">
        <v>1329372.5</v>
      </c>
      <c r="D11" s="50">
        <v>1954295.5</v>
      </c>
      <c r="E11" s="50">
        <v>1488586</v>
      </c>
      <c r="F11" s="50">
        <v>985384.5</v>
      </c>
      <c r="G11" s="17">
        <f t="shared" si="0"/>
        <v>5757638.5</v>
      </c>
      <c r="H11" s="17">
        <f t="shared" si="1"/>
        <v>623865.19434905751</v>
      </c>
      <c r="I11" s="17">
        <f t="shared" si="2"/>
        <v>5133773.305650942</v>
      </c>
    </row>
    <row r="12" spans="1:9" ht="15.75" customHeight="1" x14ac:dyDescent="0.25">
      <c r="A12" s="5">
        <f t="shared" si="3"/>
        <v>2034</v>
      </c>
      <c r="B12" s="49">
        <v>542656</v>
      </c>
      <c r="C12" s="50">
        <v>1330596</v>
      </c>
      <c r="D12" s="50">
        <v>1992573.5</v>
      </c>
      <c r="E12" s="50">
        <v>1537194.5</v>
      </c>
      <c r="F12" s="50">
        <v>983776.5</v>
      </c>
      <c r="G12" s="17">
        <f t="shared" si="0"/>
        <v>5844140.5</v>
      </c>
      <c r="H12" s="17">
        <f t="shared" si="1"/>
        <v>628905.42182190111</v>
      </c>
      <c r="I12" s="17">
        <f t="shared" si="2"/>
        <v>5215235.0781780984</v>
      </c>
    </row>
    <row r="13" spans="1:9" ht="15.75" customHeight="1" x14ac:dyDescent="0.25">
      <c r="A13" s="5">
        <f t="shared" si="3"/>
        <v>2035</v>
      </c>
      <c r="B13" s="49">
        <v>545670</v>
      </c>
      <c r="C13" s="50">
        <v>1335004</v>
      </c>
      <c r="D13" s="50">
        <v>2028993</v>
      </c>
      <c r="E13" s="50">
        <v>1582820</v>
      </c>
      <c r="F13" s="50">
        <v>984799.5</v>
      </c>
      <c r="G13" s="17">
        <f t="shared" si="0"/>
        <v>5931616.5</v>
      </c>
      <c r="H13" s="17">
        <f t="shared" si="1"/>
        <v>632398.46518891666</v>
      </c>
      <c r="I13" s="17">
        <f t="shared" si="2"/>
        <v>5299218.0348110832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Gom+XOKXi+7129RHy1/j5TvON6/FGsh/J62L55+pVF2GlhpqndPoPdgNlfWo3pXar5QScbo7U14H2HauAlsYw==" saltValue="4BnJFQBHFC48ragZ8yeVT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7.6781645030920614E-3</v>
      </c>
    </row>
    <row r="4" spans="1:8" ht="15.75" customHeight="1" x14ac:dyDescent="0.25">
      <c r="B4" s="19" t="s">
        <v>79</v>
      </c>
      <c r="C4" s="101">
        <v>5.8812394804291353E-2</v>
      </c>
    </row>
    <row r="5" spans="1:8" ht="15.75" customHeight="1" x14ac:dyDescent="0.25">
      <c r="B5" s="19" t="s">
        <v>80</v>
      </c>
      <c r="C5" s="101">
        <v>7.8175276577129568E-2</v>
      </c>
    </row>
    <row r="6" spans="1:8" ht="15.75" customHeight="1" x14ac:dyDescent="0.25">
      <c r="B6" s="19" t="s">
        <v>81</v>
      </c>
      <c r="C6" s="101">
        <v>0.24960349261539741</v>
      </c>
    </row>
    <row r="7" spans="1:8" ht="15.75" customHeight="1" x14ac:dyDescent="0.25">
      <c r="B7" s="19" t="s">
        <v>82</v>
      </c>
      <c r="C7" s="101">
        <v>0.41445225906640448</v>
      </c>
    </row>
    <row r="8" spans="1:8" ht="15.75" customHeight="1" x14ac:dyDescent="0.25">
      <c r="B8" s="19" t="s">
        <v>83</v>
      </c>
      <c r="C8" s="101">
        <v>1.37938727358503E-3</v>
      </c>
    </row>
    <row r="9" spans="1:8" ht="15.75" customHeight="1" x14ac:dyDescent="0.25">
      <c r="B9" s="19" t="s">
        <v>84</v>
      </c>
      <c r="C9" s="101">
        <v>7.090718662675477E-2</v>
      </c>
    </row>
    <row r="10" spans="1:8" ht="15.75" customHeight="1" x14ac:dyDescent="0.25">
      <c r="B10" s="19" t="s">
        <v>85</v>
      </c>
      <c r="C10" s="101">
        <v>0.11899183853334561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88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89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90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91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92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93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94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95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3.5976796000000012E-2</v>
      </c>
    </row>
    <row r="27" spans="1:8" ht="15.75" customHeight="1" x14ac:dyDescent="0.25">
      <c r="B27" s="19" t="s">
        <v>102</v>
      </c>
      <c r="C27" s="101">
        <v>5.2873009999999986E-3</v>
      </c>
    </row>
    <row r="28" spans="1:8" ht="15.75" customHeight="1" x14ac:dyDescent="0.25">
      <c r="B28" s="19" t="s">
        <v>103</v>
      </c>
      <c r="C28" s="101">
        <v>0.15022722299999999</v>
      </c>
    </row>
    <row r="29" spans="1:8" ht="15.75" customHeight="1" x14ac:dyDescent="0.25">
      <c r="B29" s="19" t="s">
        <v>104</v>
      </c>
      <c r="C29" s="101">
        <v>0.123445323</v>
      </c>
    </row>
    <row r="30" spans="1:8" ht="15.75" customHeight="1" x14ac:dyDescent="0.25">
      <c r="B30" s="19" t="s">
        <v>2</v>
      </c>
      <c r="C30" s="101">
        <v>8.7992374999999998E-2</v>
      </c>
    </row>
    <row r="31" spans="1:8" ht="15.75" customHeight="1" x14ac:dyDescent="0.25">
      <c r="B31" s="19" t="s">
        <v>105</v>
      </c>
      <c r="C31" s="101">
        <v>8.5764472999999994E-2</v>
      </c>
    </row>
    <row r="32" spans="1:8" ht="15.75" customHeight="1" x14ac:dyDescent="0.25">
      <c r="B32" s="19" t="s">
        <v>106</v>
      </c>
      <c r="C32" s="101">
        <v>9.7807150000000006E-3</v>
      </c>
    </row>
    <row r="33" spans="2:3" ht="15.75" customHeight="1" x14ac:dyDescent="0.25">
      <c r="B33" s="19" t="s">
        <v>107</v>
      </c>
      <c r="C33" s="101">
        <v>0.11793519700000001</v>
      </c>
    </row>
    <row r="34" spans="2:3" ht="15.75" customHeight="1" x14ac:dyDescent="0.25">
      <c r="B34" s="19" t="s">
        <v>108</v>
      </c>
      <c r="C34" s="101">
        <v>0.38359059600000001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Ay6heYu02rzrA+xvk6sTKBbkhQSoMuB4R/UrrWR0cZzQwvW4W7xaii0Jn6E8QfE/fNh2FV7VTyilnm7j/Yb42w==" saltValue="tXpI5eCnjLSTAQ08mVj/F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114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115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119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120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n5QRyYL/zEwggTF8FRJc8N4GEeVLoPUAMW280AoLxdSV23U5BGj3BpcnP94LocnZl9Q7lE2OvPuxS8N/R2HlQ==" saltValue="sJIE39jo8Qx0V3zYCIP/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132</v>
      </c>
      <c r="C5" s="52">
        <v>5.6632000000000002E-3</v>
      </c>
      <c r="D5" s="52">
        <v>1.77837E-2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lvuyL+wbXCAMH0mLg8VIRQZsq1C4bo9lyChDePZ9SXcGhG87N8OUZGlOYnuRxOtNVV6juRr4lkG6mEfpGHL32Q==" saltValue="2x10ZuflNBsZ5Jec2RZA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RyBdxK8DilJDEOjSWxBESUDFvUX+VwNiN0J3IM/soryq2KNta9BW5ZmVZfLKGibtYYSwpusW0r45Ng4fEyV8Q==" saltValue="uApq37AWTik7Lg/rpBxDE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aNckgKU5hL8yZKFAIorYe12DBvNsE1Y2ZDfnQt7WLXl3ntyxUp/6rp1G+t273Bks+SWlFWnxpZFVJyqvUNR2Lg==" saltValue="DuOq96nYbGDLbVM8M27m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E/1J+0NbtyPJBnALtvFbZVcifXJ2EM9dafCYogFi0wAle2BGw8bUsE0+Dn8ygIxPa7sjGRYQNZT49USQ+Me5g==" saltValue="fRk6Lfwt9bsY6Z7v2sY5R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UuspU7+egiNSFciagmSvm1TNe/ZTOep/cXoaoBtmTa4+6YIqpoSYi1mo0oN+qbpTqrIIlKdrb45Kmm7VcizN+Q==" saltValue="EMyD8y6rvZq4iMhDgEFSz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38.160776266150833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0.78937462628340005</v>
      </c>
      <c r="C3" s="98">
        <v>0.95</v>
      </c>
      <c r="D3" s="56">
        <v>47.437843551227417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102.9076648678451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0.48473115959564478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0.39672310000000011</v>
      </c>
      <c r="C10" s="98">
        <v>0.95</v>
      </c>
      <c r="D10" s="56">
        <v>15.09709288172251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0.39672310000000011</v>
      </c>
      <c r="C11" s="98">
        <v>0.95</v>
      </c>
      <c r="D11" s="56">
        <v>15.09709288172251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0.39672310000000011</v>
      </c>
      <c r="C12" s="98">
        <v>0.95</v>
      </c>
      <c r="D12" s="56">
        <v>15.09709288172251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0.39672310000000011</v>
      </c>
      <c r="C13" s="98">
        <v>0.95</v>
      </c>
      <c r="D13" s="56">
        <v>15.09709288172251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0.39672310000000011</v>
      </c>
      <c r="C14" s="98">
        <v>0.95</v>
      </c>
      <c r="D14" s="56">
        <v>15.09709288172251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0.39672310000000011</v>
      </c>
      <c r="C15" s="98">
        <v>0.95</v>
      </c>
      <c r="D15" s="56">
        <v>15.09709288172251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0.89</v>
      </c>
      <c r="C16" s="98">
        <v>0.95</v>
      </c>
      <c r="D16" s="56">
        <v>0.29966946653826387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8.6839288888888894E-2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0.10766770564297</v>
      </c>
      <c r="C18" s="98">
        <v>0.95</v>
      </c>
      <c r="D18" s="56">
        <v>2.4661440905760248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0.3461786</v>
      </c>
      <c r="C19" s="98">
        <v>0.95</v>
      </c>
      <c r="D19" s="56">
        <v>2.4661440905760248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0.26926600000000001</v>
      </c>
      <c r="C21" s="98">
        <v>0.95</v>
      </c>
      <c r="D21" s="56">
        <v>3.3085818740876318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25.756145724245069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4.9613185520035712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0.75510698270866006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0.39672310000000011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21.789130572923639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0.45863829251558003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68.300854175426551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0.16</v>
      </c>
      <c r="C31" s="98">
        <v>0.95</v>
      </c>
      <c r="D31" s="56">
        <v>0.8470232226654113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0.58527783165992031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0.1671841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0.32846330000000001</v>
      </c>
      <c r="C38" s="98">
        <v>0.95</v>
      </c>
      <c r="D38" s="56">
        <v>5.2830002631247943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6TXHw6pK4FKvohF4Y0T21XJD7G7L/DnJBbvuotmzIqMqk0oulA+aMSIZ9CtRji6CZtuIVBAp6XsZX6iTRMgArw==" saltValue="W3P9C4FldOoWX7eS4NWd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QBk2wr4CSodCELIUTq02eWs5yFxePRpQdk89hZ7JbaQOv8meuLGWJSm5VGY7SQM4SvXcey9cfMV2iYAr8JNyw==" saltValue="/kh+9H+1AHhS1jPALcCj6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eUrM44ZP0FjYZe132ZrebAmwB2me4YSm++5hmpzQm6Zvb684SAbn2zLgNmqgn6GH2nbEmQy0abjbIMAVFq0SA==" saltValue="RPND9KANpPLJ3E3GGqOFC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208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sheetProtection algorithmName="SHA-512" hashValue="xtyke+zonyMnbJC3/7qc8p2AjrfPYxsg11RWgZ2a1Opu8pOgeX5u6NhXjGSjbKtUGnbdV7j7ik4sIwLFZE4soQ==" saltValue="N2ZqSdILf6NMds8GEFN9A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0.33900000000000002</v>
      </c>
      <c r="E2" s="60">
        <f>food_insecure</f>
        <v>0.33900000000000002</v>
      </c>
      <c r="F2" s="60">
        <f>food_insecure</f>
        <v>0.33900000000000002</v>
      </c>
      <c r="G2" s="60">
        <f>food_insecure</f>
        <v>0.33900000000000002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0.33900000000000002</v>
      </c>
      <c r="I15" s="60">
        <f>food_insecure</f>
        <v>0.33900000000000002</v>
      </c>
      <c r="J15" s="60">
        <f>food_insecure</f>
        <v>0.33900000000000002</v>
      </c>
      <c r="K15" s="60">
        <f>food_insecure</f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0.54</v>
      </c>
      <c r="D34" s="60">
        <f t="shared" si="3"/>
        <v>0.54</v>
      </c>
      <c r="E34" s="60">
        <f t="shared" si="3"/>
        <v>0.54</v>
      </c>
      <c r="F34" s="60">
        <f t="shared" si="3"/>
        <v>0.54</v>
      </c>
      <c r="G34" s="60">
        <f t="shared" si="3"/>
        <v>0.54</v>
      </c>
      <c r="H34" s="60">
        <f t="shared" si="3"/>
        <v>0.54</v>
      </c>
      <c r="I34" s="60">
        <f t="shared" si="3"/>
        <v>0.54</v>
      </c>
      <c r="J34" s="60">
        <f t="shared" si="3"/>
        <v>0.54</v>
      </c>
      <c r="K34" s="60">
        <f t="shared" si="3"/>
        <v>0.54</v>
      </c>
      <c r="L34" s="60">
        <f t="shared" si="3"/>
        <v>0.54</v>
      </c>
      <c r="M34" s="60">
        <f t="shared" si="3"/>
        <v>0.54</v>
      </c>
      <c r="N34" s="60">
        <f t="shared" si="3"/>
        <v>0.54</v>
      </c>
      <c r="O34" s="60">
        <f t="shared" si="3"/>
        <v>0.54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6VKJKDNgwmrMRnLF0HXppjqTsRihgJG6uKDC+/jmUSVGTH3Laz+2yzwKC7+lzFxayPBoJ/txUYsZON/e27JKg==" saltValue="+PN1kvv+lkzXkwjxmfzHG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J2zXZHtN/dM+tWpNw5QyBbZvwr2IQrKg0r7s0AXPvii+VW1cA1dVSw6MFDRzRFBOfBtPxLZ6Rbxsl3YFOVLjqQ==" saltValue="hs6ak3GgHFwKvBL+K5ODc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7oPvrBSmkuuttYuk+SnPUub5xVaRu/8dZvN0CaADZxW3ZJ82YvsBP5pBWxZrfRlW/rWmai6UuBfYbekQvmvxg==" saltValue="WCyRa+UdJsSxxI23IBOzZ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qstXVdmNAdbJwpt4hUBT62JtYA/FcEsjsNvRV8bivJ2AzUhAZOnK+1q4763UEfrB11BGi3FNirKco/5uogPCg==" saltValue="mnasHJWJqipbDHxYpeZ6C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FSriATNRw7JJKbVpoD8t7Vbcp1qZ7Mp3x6I9jZWZO0IoQvrpTrcu1P6afSM1jSPy4TiNO0RH1jxTc5iiUiI2w==" saltValue="Z6pOmTmdIN3cjPnoMqPEu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njKMzZbZhE5u/NotKIN87gXD6WgfondL+9QrY5jbQtgTLiPgTTGtNmYka1J+puVbNjyfl6mZB21lckX833CeQ==" saltValue="lSG1gLa3m9XdZZlq+XvWy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D/3YkoqeH/nbPdI3reMIX/JU88xc7CD8IO9kGgHUR4hlshL4wPiVSOC8CT9ooTDYx1i1pFJt6+r1/KtP5E+Jw==" saltValue="zKvH87XNDLDEszzCUV3uJ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SRWH8PisowVfAUFgEppy+yOz0P0XeHkBMt9RiV5IaOExOfsIXV3X2h63V6PttN56evGb1LWkRmhSFJ8++bOWg==" saltValue="BLabyw2K+zaLmCAm6cHr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AHk7WWN/Ah0venJgkuGC+FB7+Fdvh4UUDg0hWz309m3UMmj+NFbJYBw4jc4XFteWwMI2CUV9ffcDEaa1sPnEA==" saltValue="qtAJwXGcWkE9NTdIsTxS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yINhz13ISUAoIY6py5EhoXqAb7AMwTizUTi375h/akmp2FdFHh1usN5L91uscQH8sf8TVYBSD6nYVEC7N1zZA==" saltValue="xGIJu4oWgeuFi8GhIOQm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26rvN6V7VI4l6x5NWIkOUnRgsklUl4KvM0eFsfiP06qPm/JbbowV0NcCKkW68MnuayHJu5QBaG0SZ0MGohxzrg==" saltValue="M/WjxzW9BfbCIUBfW3n7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HMnA+BE0xJuG8kbGquuQsuTGDm7jFvr7PtGOo4b/lcnJflJhGWhDV0+8qsWFDoQtIGjDSi4hrFYzuyiWVp+ag==" saltValue="CNTPnaCdjnEuBR/fGDNh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CBZ8AqdJO3Zr+iJfdxStE/WM7M0J70zW9Y2ds5m9rzsi2SYOnTv0R/qgJ1am3OEOJCcsIi6KoHQ14c3cN7+Zw==" saltValue="GSAgZoCAGel4QfovvmMn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am9qZjvFkKBeOKpxOyYKJREoQ+WTd38VNYJaY5esx6pwfElIKjHfwsgaHe7mcAMWc3meC1BQfG/JIhthV9Swg==" saltValue="i/ewlTQIDxwaczcnQaCt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+3pYl3P+OOCvJbwQ5QrPW34HL57SXTUP/n8s2aaVB8pZSlacWWcqJ6SB97ziNttbM8GrYqjftLMEtcxpwXTBQ==" saltValue="nQMYNzwbNz0VJwC3PyN+p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2024-05-17T01:05:39Z</dcterms:modified>
</cp:coreProperties>
</file>