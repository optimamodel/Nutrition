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4BECFF1-AC5F-43BC-B4FB-02BB38BF4BE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6" i="2" l="1"/>
  <c r="A37" i="2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<sst xmlns="http://schemas.openxmlformats.org/spreadsheetml/2006/main" count="2169" uniqueCount="369">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</sst>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2348513.28125</v>
      </c>
    </row>
    <row r="8" spans="1:3" ht="15" customHeight="1" x14ac:dyDescent="0.25">
      <c r="B8" s="5" t="s">
        <v>37</v>
      </c>
      <c r="C8" s="44">
        <v>0.33900000000000002</v>
      </c>
    </row>
    <row r="9" spans="1:3" ht="15" customHeight="1" x14ac:dyDescent="0.25">
      <c r="B9" s="5" t="s">
        <v>38</v>
      </c>
      <c r="C9" s="45">
        <v>0.54</v>
      </c>
    </row>
    <row r="10" spans="1:3" ht="15" customHeight="1" x14ac:dyDescent="0.25">
      <c r="B10" s="5" t="s">
        <v>39</v>
      </c>
      <c r="C10" s="45">
        <v>0.44076328277587901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0.14299999999999999</v>
      </c>
    </row>
    <row r="24" spans="1:3" ht="15" customHeight="1" x14ac:dyDescent="0.25">
      <c r="B24" s="15" t="s">
        <v>51</v>
      </c>
      <c r="C24" s="45">
        <v>0.49020000000000002</v>
      </c>
    </row>
    <row r="25" spans="1:3" ht="15" customHeight="1" x14ac:dyDescent="0.25">
      <c r="B25" s="15" t="s">
        <v>52</v>
      </c>
      <c r="C25" s="45">
        <v>0.31659999999999999</v>
      </c>
    </row>
    <row r="26" spans="1:3" ht="15" customHeight="1" x14ac:dyDescent="0.25">
      <c r="B26" s="15" t="s">
        <v>53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0.26023901489541001</v>
      </c>
    </row>
    <row r="30" spans="1:3" ht="14.25" customHeight="1" x14ac:dyDescent="0.25">
      <c r="B30" s="25" t="s">
        <v>56</v>
      </c>
      <c r="C30" s="97">
        <v>3.0772499372884701E-2</v>
      </c>
    </row>
    <row r="31" spans="1:3" ht="14.25" customHeight="1" x14ac:dyDescent="0.25">
      <c r="B31" s="25" t="s">
        <v>57</v>
      </c>
      <c r="C31" s="97">
        <v>5.3241858709985899E-2</v>
      </c>
    </row>
    <row r="32" spans="1:3" ht="14.25" customHeight="1" x14ac:dyDescent="0.25">
      <c r="B32" s="25" t="s">
        <v>58</v>
      </c>
      <c r="C32" s="97">
        <v>0.65574662702171904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24.99306</v>
      </c>
    </row>
    <row r="38" spans="1:5" ht="15" customHeight="1" x14ac:dyDescent="0.25">
      <c r="B38" s="11" t="s">
        <v>63</v>
      </c>
      <c r="C38" s="43">
        <v>35.713000000000001</v>
      </c>
      <c r="D38" s="12"/>
      <c r="E38" s="13"/>
    </row>
    <row r="39" spans="1:5" ht="15" customHeight="1" x14ac:dyDescent="0.25">
      <c r="B39" s="11" t="s">
        <v>64</v>
      </c>
      <c r="C39" s="43">
        <v>49.521970000000003</v>
      </c>
      <c r="D39" s="12"/>
      <c r="E39" s="12"/>
    </row>
    <row r="40" spans="1:5" ht="15" customHeight="1" x14ac:dyDescent="0.25">
      <c r="B40" s="11" t="s">
        <v>65</v>
      </c>
      <c r="C40" s="98">
        <v>3.57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8.0598000000000006E-3</v>
      </c>
      <c r="D45" s="12"/>
    </row>
    <row r="46" spans="1:5" ht="15.75" customHeight="1" x14ac:dyDescent="0.25">
      <c r="B46" s="11" t="s">
        <v>70</v>
      </c>
      <c r="C46" s="45">
        <v>8.5329799999999997E-2</v>
      </c>
      <c r="D46" s="12"/>
    </row>
    <row r="47" spans="1:5" ht="15.75" customHeight="1" x14ac:dyDescent="0.25">
      <c r="B47" s="11" t="s">
        <v>71</v>
      </c>
      <c r="C47" s="45">
        <v>0.16232050000000001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0.51205699999999998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8z6QVqbnwouc/Qw9gDgpxCbDsRYG1h0RvmHue+7RyOhdoF7hsdr76ZENBGV8Z135emH1pzF1m/v/ycHSm70tAA==" saltValue="tbdYy41VaDUJ9hnptx4+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2355569</v>
      </c>
      <c r="C2" s="49">
        <v>561188</v>
      </c>
      <c r="D2" s="49">
        <v>1069095</v>
      </c>
      <c r="E2" s="49">
        <v>2007533.5</v>
      </c>
      <c r="F2" s="49">
        <v>1370348</v>
      </c>
      <c r="G2" s="17">
        <f t="shared" ref="G2:G13" si="0">C2+D2+E2+F2</f>
        <v>5008164.5</v>
      </c>
      <c r="H2" s="17">
        <f t="shared" ref="H2:H13" si="1">(B2 + stillbirth*B2/(1000-stillbirth))/(1-abortion)</f>
        <v>2729961.735566535</v>
      </c>
      <c r="I2" s="17">
        <f t="shared" ref="I2:I13" si="2">G2-H2</f>
        <v>2278202.764433465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497215</v>
      </c>
      <c r="C3" s="50">
        <v>943081.5</v>
      </c>
      <c r="D3" s="50">
        <v>1424072.5</v>
      </c>
      <c r="E3" s="50">
        <v>1075065</v>
      </c>
      <c r="F3" s="50">
        <v>961262</v>
      </c>
      <c r="G3" s="17">
        <f t="shared" si="0"/>
        <v>4403481</v>
      </c>
      <c r="H3" s="17">
        <f t="shared" si="1"/>
        <v>576242.05631408584</v>
      </c>
      <c r="I3" s="17">
        <f t="shared" si="2"/>
        <v>3827238.9436859144</v>
      </c>
    </row>
    <row r="4" spans="1:9" ht="15.75" customHeight="1" x14ac:dyDescent="0.25">
      <c r="A4" s="5">
        <f t="shared" si="3"/>
        <v>2026</v>
      </c>
      <c r="B4" s="49">
        <v>500731</v>
      </c>
      <c r="C4" s="50">
        <v>976099.5</v>
      </c>
      <c r="D4" s="50">
        <v>1484061.0000000002</v>
      </c>
      <c r="E4" s="50">
        <v>1047817.5000000001</v>
      </c>
      <c r="F4" s="50">
        <v>1005189.0000000001</v>
      </c>
      <c r="G4" s="17">
        <f t="shared" si="0"/>
        <v>4513167</v>
      </c>
      <c r="H4" s="17">
        <f t="shared" si="1"/>
        <v>580316.88726246904</v>
      </c>
      <c r="I4" s="17">
        <f t="shared" si="2"/>
        <v>3932850.1127375308</v>
      </c>
    </row>
    <row r="5" spans="1:9" ht="15.75" customHeight="1" x14ac:dyDescent="0.25">
      <c r="A5" s="5">
        <f t="shared" si="3"/>
        <v>2027</v>
      </c>
      <c r="B5" s="49">
        <v>505305</v>
      </c>
      <c r="C5" s="50">
        <v>1015498.5</v>
      </c>
      <c r="D5" s="50">
        <v>1541681</v>
      </c>
      <c r="E5" s="50">
        <v>1025359.5</v>
      </c>
      <c r="F5" s="50">
        <v>1042407.5</v>
      </c>
      <c r="G5" s="17">
        <f t="shared" si="0"/>
        <v>4624946.5</v>
      </c>
      <c r="H5" s="17">
        <f t="shared" si="1"/>
        <v>585617.87610146345</v>
      </c>
      <c r="I5" s="17">
        <f t="shared" si="2"/>
        <v>4039328.6238985364</v>
      </c>
    </row>
    <row r="6" spans="1:9" ht="15.75" customHeight="1" x14ac:dyDescent="0.25">
      <c r="A6" s="5">
        <f t="shared" si="3"/>
        <v>2028</v>
      </c>
      <c r="B6" s="49">
        <v>511119</v>
      </c>
      <c r="C6" s="50">
        <v>1056181</v>
      </c>
      <c r="D6" s="50">
        <v>1595650.5</v>
      </c>
      <c r="E6" s="50">
        <v>1022916.5</v>
      </c>
      <c r="F6" s="50">
        <v>1062114.5000000002</v>
      </c>
      <c r="G6" s="17">
        <f t="shared" si="0"/>
        <v>4736862.5</v>
      </c>
      <c r="H6" s="17">
        <f t="shared" si="1"/>
        <v>592355.94980280008</v>
      </c>
      <c r="I6" s="17">
        <f t="shared" si="2"/>
        <v>4144506.5501971999</v>
      </c>
    </row>
    <row r="7" spans="1:9" ht="15.75" customHeight="1" x14ac:dyDescent="0.25">
      <c r="A7" s="5">
        <f t="shared" si="3"/>
        <v>2029</v>
      </c>
      <c r="B7" s="49">
        <v>518464.00000000006</v>
      </c>
      <c r="C7" s="50">
        <v>1090633.5</v>
      </c>
      <c r="D7" s="50">
        <v>1648295</v>
      </c>
      <c r="E7" s="50">
        <v>1041830.5</v>
      </c>
      <c r="F7" s="50">
        <v>1064350.5</v>
      </c>
      <c r="G7" s="17">
        <f t="shared" si="0"/>
        <v>4845109.5</v>
      </c>
      <c r="H7" s="17">
        <f t="shared" si="1"/>
        <v>600868.35973336734</v>
      </c>
      <c r="I7" s="17">
        <f t="shared" si="2"/>
        <v>4244241.1402666327</v>
      </c>
    </row>
    <row r="8" spans="1:9" ht="15.75" customHeight="1" x14ac:dyDescent="0.25">
      <c r="A8" s="5">
        <f t="shared" si="3"/>
        <v>2030</v>
      </c>
      <c r="B8" s="49">
        <v>525707</v>
      </c>
      <c r="C8" s="50">
        <v>1112077</v>
      </c>
      <c r="D8" s="50">
        <v>1701426</v>
      </c>
      <c r="E8" s="50">
        <v>1071356.5</v>
      </c>
      <c r="F8" s="50">
        <v>1061668.5000000002</v>
      </c>
      <c r="G8" s="17">
        <f t="shared" si="0"/>
        <v>4946528</v>
      </c>
      <c r="H8" s="17">
        <f t="shared" si="1"/>
        <v>609262.55784461275</v>
      </c>
      <c r="I8" s="17">
        <f t="shared" si="2"/>
        <v>4337265.4421553873</v>
      </c>
    </row>
    <row r="9" spans="1:9" ht="15.75" customHeight="1" x14ac:dyDescent="0.25">
      <c r="A9" s="5">
        <f t="shared" si="3"/>
        <v>2031</v>
      </c>
      <c r="B9" s="49">
        <v>533092</v>
      </c>
      <c r="C9" s="50">
        <v>1118520</v>
      </c>
      <c r="D9" s="50">
        <v>1755792.5</v>
      </c>
      <c r="E9" s="50">
        <v>1109022</v>
      </c>
      <c r="F9" s="50">
        <v>1054888.5</v>
      </c>
      <c r="G9" s="17">
        <f t="shared" si="0"/>
        <v>5038223</v>
      </c>
      <c r="H9" s="17">
        <f t="shared" si="1"/>
        <v>617821.32535138447</v>
      </c>
      <c r="I9" s="17">
        <f t="shared" si="2"/>
        <v>4420401.6746486155</v>
      </c>
    </row>
    <row r="10" spans="1:9" ht="15.75" customHeight="1" x14ac:dyDescent="0.25">
      <c r="A10" s="5">
        <f t="shared" si="3"/>
        <v>2032</v>
      </c>
      <c r="B10" s="49">
        <v>540143</v>
      </c>
      <c r="C10" s="50">
        <v>1113000</v>
      </c>
      <c r="D10" s="50">
        <v>1811132</v>
      </c>
      <c r="E10" s="50">
        <v>1152015</v>
      </c>
      <c r="F10" s="50">
        <v>1041790</v>
      </c>
      <c r="G10" s="17">
        <f t="shared" si="0"/>
        <v>5117937</v>
      </c>
      <c r="H10" s="17">
        <f t="shared" si="1"/>
        <v>625993.00709684798</v>
      </c>
      <c r="I10" s="17">
        <f t="shared" si="2"/>
        <v>4491943.9929031525</v>
      </c>
    </row>
    <row r="11" spans="1:9" ht="15.75" customHeight="1" x14ac:dyDescent="0.25">
      <c r="A11" s="5">
        <f t="shared" si="3"/>
        <v>2033</v>
      </c>
      <c r="B11" s="49">
        <v>546702</v>
      </c>
      <c r="C11" s="50">
        <v>1099422</v>
      </c>
      <c r="D11" s="50">
        <v>1867262.5</v>
      </c>
      <c r="E11" s="50">
        <v>1199038</v>
      </c>
      <c r="F11" s="50">
        <v>1025046.4999999999</v>
      </c>
      <c r="G11" s="17">
        <f t="shared" si="0"/>
        <v>5190769</v>
      </c>
      <c r="H11" s="17">
        <f t="shared" si="1"/>
        <v>633594.49065499497</v>
      </c>
      <c r="I11" s="17">
        <f t="shared" si="2"/>
        <v>4557174.5093450053</v>
      </c>
    </row>
    <row r="12" spans="1:9" ht="15.75" customHeight="1" x14ac:dyDescent="0.25">
      <c r="A12" s="5">
        <f t="shared" si="3"/>
        <v>2034</v>
      </c>
      <c r="B12" s="49">
        <v>551936</v>
      </c>
      <c r="C12" s="50">
        <v>1083757</v>
      </c>
      <c r="D12" s="50">
        <v>1921063</v>
      </c>
      <c r="E12" s="50">
        <v>1252222</v>
      </c>
      <c r="F12" s="50">
        <v>1005788.5</v>
      </c>
      <c r="G12" s="17">
        <f t="shared" si="0"/>
        <v>5262830.5</v>
      </c>
      <c r="H12" s="17">
        <f t="shared" si="1"/>
        <v>639660.37950136513</v>
      </c>
      <c r="I12" s="17">
        <f t="shared" si="2"/>
        <v>4623170.1204986349</v>
      </c>
    </row>
    <row r="13" spans="1:9" ht="15.75" customHeight="1" x14ac:dyDescent="0.25">
      <c r="A13" s="5">
        <f t="shared" si="3"/>
        <v>2035</v>
      </c>
      <c r="B13" s="49">
        <v>557018</v>
      </c>
      <c r="C13" s="50">
        <v>1072336.5</v>
      </c>
      <c r="D13" s="50">
        <v>1967889.5000000002</v>
      </c>
      <c r="E13" s="50">
        <v>1310660.5</v>
      </c>
      <c r="F13" s="50">
        <v>982467</v>
      </c>
      <c r="G13" s="17">
        <f t="shared" si="0"/>
        <v>5333353.5</v>
      </c>
      <c r="H13" s="17">
        <f t="shared" si="1"/>
        <v>645550.10955815786</v>
      </c>
      <c r="I13" s="17">
        <f t="shared" si="2"/>
        <v>4687803.3904418424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K8xrMiuFe0QahZg7qUPpNEhDYBkQ1RaSBCzNHFXLgRsG4bsca6UT0FjatOwyM+DJKgGOtkxK7Dkox9hqKDRhw==" saltValue="RhrUp4yB23K5N1KZZjo4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7.6781645030920614E-3</v>
      </c>
    </row>
    <row r="4" spans="1:8" ht="15.75" customHeight="1" x14ac:dyDescent="0.25">
      <c r="B4" s="19" t="s">
        <v>97</v>
      </c>
      <c r="C4" s="99">
        <v>5.8812394804291353E-2</v>
      </c>
    </row>
    <row r="5" spans="1:8" ht="15.75" customHeight="1" x14ac:dyDescent="0.25">
      <c r="B5" s="19" t="s">
        <v>98</v>
      </c>
      <c r="C5" s="99">
        <v>7.8175276577129568E-2</v>
      </c>
    </row>
    <row r="6" spans="1:8" ht="15.75" customHeight="1" x14ac:dyDescent="0.25">
      <c r="B6" s="19" t="s">
        <v>99</v>
      </c>
      <c r="C6" s="99">
        <v>0.24960349261539741</v>
      </c>
    </row>
    <row r="7" spans="1:8" ht="15.75" customHeight="1" x14ac:dyDescent="0.25">
      <c r="B7" s="19" t="s">
        <v>100</v>
      </c>
      <c r="C7" s="99">
        <v>0.41445225906640448</v>
      </c>
    </row>
    <row r="8" spans="1:8" ht="15.75" customHeight="1" x14ac:dyDescent="0.25">
      <c r="B8" s="19" t="s">
        <v>101</v>
      </c>
      <c r="C8" s="99">
        <v>1.37938727358503E-3</v>
      </c>
    </row>
    <row r="9" spans="1:8" ht="15.75" customHeight="1" x14ac:dyDescent="0.25">
      <c r="B9" s="19" t="s">
        <v>102</v>
      </c>
      <c r="C9" s="99">
        <v>7.090718662675477E-2</v>
      </c>
    </row>
    <row r="10" spans="1:8" ht="15.75" customHeight="1" x14ac:dyDescent="0.25">
      <c r="B10" s="19" t="s">
        <v>103</v>
      </c>
      <c r="C10" s="99">
        <v>0.11899183853334561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106</v>
      </c>
      <c r="C15" s="99">
        <v>0.19832440760021011</v>
      </c>
      <c r="D15" s="99">
        <v>0.19832440760021011</v>
      </c>
      <c r="E15" s="99">
        <v>0.19832440760021011</v>
      </c>
      <c r="F15" s="99">
        <v>0.19832440760021011</v>
      </c>
    </row>
    <row r="16" spans="1:8" ht="15.75" customHeight="1" x14ac:dyDescent="0.25">
      <c r="B16" s="19" t="s">
        <v>107</v>
      </c>
      <c r="C16" s="99">
        <v>1.3637982633177439E-2</v>
      </c>
      <c r="D16" s="99">
        <v>1.3637982633177439E-2</v>
      </c>
      <c r="E16" s="99">
        <v>1.3637982633177439E-2</v>
      </c>
      <c r="F16" s="99">
        <v>1.3637982633177439E-2</v>
      </c>
    </row>
    <row r="17" spans="1:8" ht="15.75" customHeight="1" x14ac:dyDescent="0.25">
      <c r="B17" s="19" t="s">
        <v>108</v>
      </c>
      <c r="C17" s="99">
        <v>2.119301663174158E-3</v>
      </c>
      <c r="D17" s="99">
        <v>2.119301663174158E-3</v>
      </c>
      <c r="E17" s="99">
        <v>2.119301663174158E-3</v>
      </c>
      <c r="F17" s="99">
        <v>2.119301663174158E-3</v>
      </c>
    </row>
    <row r="18" spans="1:8" ht="15.75" customHeight="1" x14ac:dyDescent="0.25">
      <c r="B18" s="19" t="s">
        <v>109</v>
      </c>
      <c r="C18" s="99">
        <v>5.8880676578246922E-2</v>
      </c>
      <c r="D18" s="99">
        <v>5.8880676578246922E-2</v>
      </c>
      <c r="E18" s="99">
        <v>5.8880676578246922E-2</v>
      </c>
      <c r="F18" s="99">
        <v>5.8880676578246922E-2</v>
      </c>
    </row>
    <row r="19" spans="1:8" ht="15.75" customHeight="1" x14ac:dyDescent="0.25">
      <c r="B19" s="19" t="s">
        <v>110</v>
      </c>
      <c r="C19" s="99">
        <v>2.8333878533845368E-3</v>
      </c>
      <c r="D19" s="99">
        <v>2.8333878533845368E-3</v>
      </c>
      <c r="E19" s="99">
        <v>2.8333878533845368E-3</v>
      </c>
      <c r="F19" s="99">
        <v>2.8333878533845368E-3</v>
      </c>
    </row>
    <row r="20" spans="1:8" ht="15.75" customHeight="1" x14ac:dyDescent="0.25">
      <c r="B20" s="19" t="s">
        <v>111</v>
      </c>
      <c r="C20" s="99">
        <v>0.30756059391783608</v>
      </c>
      <c r="D20" s="99">
        <v>0.30756059391783608</v>
      </c>
      <c r="E20" s="99">
        <v>0.30756059391783608</v>
      </c>
      <c r="F20" s="99">
        <v>0.30756059391783608</v>
      </c>
    </row>
    <row r="21" spans="1:8" ht="15.75" customHeight="1" x14ac:dyDescent="0.25">
      <c r="B21" s="19" t="s">
        <v>112</v>
      </c>
      <c r="C21" s="99">
        <v>0.1054258064472985</v>
      </c>
      <c r="D21" s="99">
        <v>0.1054258064472985</v>
      </c>
      <c r="E21" s="99">
        <v>0.1054258064472985</v>
      </c>
      <c r="F21" s="99">
        <v>0.1054258064472985</v>
      </c>
    </row>
    <row r="22" spans="1:8" ht="15.75" customHeight="1" x14ac:dyDescent="0.25">
      <c r="B22" s="19" t="s">
        <v>113</v>
      </c>
      <c r="C22" s="99">
        <v>0.17023284027764241</v>
      </c>
      <c r="D22" s="99">
        <v>0.17023284027764241</v>
      </c>
      <c r="E22" s="99">
        <v>0.17023284027764241</v>
      </c>
      <c r="F22" s="99">
        <v>0.17023284027764241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3.5976796000000012E-2</v>
      </c>
    </row>
    <row r="27" spans="1:8" ht="15.75" customHeight="1" x14ac:dyDescent="0.25">
      <c r="B27" s="19" t="s">
        <v>120</v>
      </c>
      <c r="C27" s="99">
        <v>5.2873009999999986E-3</v>
      </c>
    </row>
    <row r="28" spans="1:8" ht="15.75" customHeight="1" x14ac:dyDescent="0.25">
      <c r="B28" s="19" t="s">
        <v>121</v>
      </c>
      <c r="C28" s="99">
        <v>0.15022722299999999</v>
      </c>
    </row>
    <row r="29" spans="1:8" ht="15.75" customHeight="1" x14ac:dyDescent="0.25">
      <c r="B29" s="19" t="s">
        <v>122</v>
      </c>
      <c r="C29" s="99">
        <v>0.123445323</v>
      </c>
    </row>
    <row r="30" spans="1:8" ht="15.75" customHeight="1" x14ac:dyDescent="0.25">
      <c r="B30" s="19" t="s">
        <v>2</v>
      </c>
      <c r="C30" s="99">
        <v>8.7992374999999998E-2</v>
      </c>
    </row>
    <row r="31" spans="1:8" ht="15.75" customHeight="1" x14ac:dyDescent="0.25">
      <c r="B31" s="19" t="s">
        <v>123</v>
      </c>
      <c r="C31" s="99">
        <v>8.5764472999999994E-2</v>
      </c>
    </row>
    <row r="32" spans="1:8" ht="15.75" customHeight="1" x14ac:dyDescent="0.25">
      <c r="B32" s="19" t="s">
        <v>124</v>
      </c>
      <c r="C32" s="99">
        <v>9.7807150000000006E-3</v>
      </c>
    </row>
    <row r="33" spans="2:3" ht="15.75" customHeight="1" x14ac:dyDescent="0.25">
      <c r="B33" s="19" t="s">
        <v>125</v>
      </c>
      <c r="C33" s="99">
        <v>0.11793519700000001</v>
      </c>
    </row>
    <row r="34" spans="2:3" ht="15.75" customHeight="1" x14ac:dyDescent="0.25">
      <c r="B34" s="19" t="s">
        <v>126</v>
      </c>
      <c r="C34" s="99">
        <v>0.38359059600000001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qDQBROyPcnWMXWZMH5dks8Yh6mDjns6GaPzhsl440Y6bE4YRnNHYjw/2CVuGCm9+BPV81M3imJ4i5hWjGW1lNw==" saltValue="0zSvW/YPTufcl/7jJ85E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132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133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137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138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B7+rYBM9GZMueV3fyNliaeW5JUu2vF8+mIQaCP0urPFTDcxWivSCoBVZgqBKYeO1qs75LVa+GI671KpHgNUFA==" saltValue="mF0YMT5dYv9SEoFPQeac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XfXNL9YH6StrMNiZ1hq8KfMahkKQJBxkhFXeumuaYWW2e8VwXmiHj2ArWBMyfVwR7X+VLqmMbC3fMQbboJ/s/A==" saltValue="fT+XDC/6oodzv4lghlHV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eGod0OfKQQbOUvxrQNmlWSnOzvWpqamwXvz2QUsLo3fXc2Z/pPHFZyiLcdVuMA3s1+TMvFZkeqoo6d3hGHWPA==" saltValue="p69jn0lvgQMjJCMCyPaS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1676.8214889672599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0.52639999999999998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0.61380000000000001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1.8404221201330232E-2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94197.735440000004</v>
      </c>
      <c r="C22" s="107">
        <v>93710.279790000001</v>
      </c>
      <c r="D22" s="107">
        <v>93086.861749999996</v>
      </c>
      <c r="E22" s="107">
        <v>92239.293489999996</v>
      </c>
      <c r="F22" s="107">
        <v>91001.323950000005</v>
      </c>
      <c r="G22" s="107">
        <v>89496.404930000004</v>
      </c>
      <c r="H22" s="107">
        <v>87403.599629999997</v>
      </c>
      <c r="I22" s="107">
        <v>84393.39344</v>
      </c>
      <c r="J22" s="107">
        <v>80110.121910000002</v>
      </c>
      <c r="K22" s="107">
        <v>74684.315640000001</v>
      </c>
      <c r="L22" s="107">
        <v>67868.859670000005</v>
      </c>
      <c r="M22" s="107">
        <v>60184.518989999997</v>
      </c>
      <c r="N22" s="107">
        <v>51361.249510000001</v>
      </c>
      <c r="O22" s="107">
        <v>41533.464840000001</v>
      </c>
    </row>
  </sheetData>
  <sheetProtection algorithmName="SHA-512" hashValue="eDJivTMeQpgUNvS9Fq+yuGILN5d6pyeDAWmUeUnVZay7bYDipPC7F+7UbvGtRlqSbzovRFaYuPtspiNpyKq6Kw==" saltValue="WIrtixOSkz7BxB3B3LJC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76QsEwKV07tuUrG2nmmsNuuuVpfnxRt6Q25/jJxaTVwW0fRYHYehZeeq8qJ569su1UH50AL0Mii5kTwe79fZrg==" saltValue="Pcp+yFe3xeRbzQMS0M5e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bVSMXqtA1DyJlOTaMuv1NEsdGJP9G4O33Ehn8tv+nekodSyF726/ItMTxYNc7mDosjNdj4ufCKOrjyv+HgJmQ==" saltValue="O6TZST7/n5c0PEtvG0RY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0.39672310000000011</v>
      </c>
      <c r="C10" s="96">
        <v>0.95</v>
      </c>
      <c r="D10" s="56">
        <v>15.09709288172251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15.09709288172251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15.09709288172251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15.09709288172251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0.42699999999999999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15.09709288172251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0.2755978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8.6839288888888894E-2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0.33603460000000002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0.33603460000000002</v>
      </c>
      <c r="C19" s="96">
        <v>0.95</v>
      </c>
      <c r="D19" s="56">
        <v>2.4661440905760248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0.38460499999999997</v>
      </c>
      <c r="C23" s="96">
        <v>0.95</v>
      </c>
      <c r="D23" s="56">
        <v>4.9613185520035712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0.85257555200732993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0.32846330000000001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0.1671841</v>
      </c>
      <c r="C29" s="96">
        <v>0.95</v>
      </c>
      <c r="D29" s="56">
        <v>68.300854175426551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8.9499999999999996E-2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0.16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0.42456090000000002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0.64379720000000007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1.3108E-3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0.26926600000000001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0.151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lLVmafULc3e/Rz+gWDeGI2ysFg10gVJJn1PtNq1ruGO5QlrnQjCEhhvuRHu8+ZkjNPKDosQDcGWxnM2/+V5AJg==" saltValue="XiMF++naeX4ES3B6xgMB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9yY/j/e4JbhwqXTucnK6cAD7nF/9j39xraxFJ043dtnKKtGLYA2+OaN2zyNtCIPalfrxrIhcQM4hbq2PsrhgQ==" saltValue="DrPQcb6KJpOKDqlqlFry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5Hpm4qTpCozR/cM9xoSt2ugMyfqi6xj4h19MujZkLLemWaAaUG5NKHbWTmzo4/bIUjGW56D5nEeRHnu/8sjdQ==" saltValue="/IcBBjNOZ3No77df5JdY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237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ZZmBMbHtV4Vofyl/0zj/ax5XpZRcddy3pOJf8w0IgvV+8FtbsIvuXYjfiaObyjIRK5B9oiADjBTBCHKGPBBngg==" saltValue="zSSWUCvRISXj2sr18t3u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Lk5xi3gqTE9WdhKWYv/Xg+oQ73jGqtngZYiDZgp9sJ3IlRQPRMEyeDINIv8VEZ3XIRZV8mfAi2ndn1e4CU8Ag==" saltValue="1wnwvrVoBNiT9BiP+cYZ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1zh8uXTuNaVtdAmdov1Ed1Str+t3uHY2mKpeAv1UZxS6Uk8HZR7QmmOhuKitSIlSDg9BueI08Y0ia4ZA1u86A==" saltValue="TBF6D3+ZTfIMqVCzvo2k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NOK8vKVew5/NTzmNK7q2OFxIUVGTbgXEo85NSgX2yn9Dzz3ajmRuEghaOXO0Ux5w95NpC+1uwNPvY8qsd415g==" saltValue="hg9voPstfgTsG1h2pQ0k5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2xf+xd30YAV0+l7FceQk9sIrJnxwqgpcUxfaI8Ultu7Mh9aCY/USL/y6RpRO1K7tokKqb633Ht4pkYQVst4+Q==" saltValue="WiYVjVlKjmAYbGt/ivj8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0hB6BCkyhk0H1QYPtnpFV/bOVUsd01NzxO65PBIsbK/LnHiaUfJmRmSNB1qGZaQACTghDGOr4VYwrU45MowqHA==" saltValue="BbGb0aANAZk+OWDbhsby5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3VfrRvIKllI95NV/EXkNE4sDlyL7+XvXCDIg9olld/kJEFh0zqzC76KMH7h7JuaYhIkH3Xv8RN065seKVXuBZw==" saltValue="cGntTS8oLxWujyLwenJNS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XzoJm90NxqCODPOvgg3bwEhNU+nWrtIXSM4EGS6pEpa+vjJyOFLUI6BMxjaz4+9DxLTlIC2PlxSvZKCnV523g==" saltValue="q7PQsOHTi1IYVZzyHVi8k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s6EaYIeN1IlLAx0fIrseHfVPGM5gLLUER9sZSpVpcmTKKb8TPeIbKLR8e8NkkizOyFOrPygtr26JEL+Qlb3wg==" saltValue="Smv/ZQtGCx1qaEWwnt0z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3K0mOKBMvQjXG6R7zVr6LusGQBjM2OB7r6AFzq9dtI+1WE0xWgO4DfMxXLqQY8ocHkK6V9R3MiDb8Xg44GfPw==" saltValue="z5GdUkT7dCuF8AXHTmr2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mPYc480EUKPiPFlWFZI+rm3mvCunDyOEXnNC6Ncvsc1MNCkh3OAPpzImVr6k4XAga95+KQVMN+mAgjJfSlsNQ==" saltValue="ylZqiVAmBbQOiNJOeHK1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SFIJxM//Ft47YlxpXq2mPwMx3bPdw3WOAL2Yd112Ux/elujpdPAh69CBpXbMBwlswesHsoSCOwVNghv1ULOAA==" saltValue="VMf9eO9wtOwYqPsebfKY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JBp746HpqG2vKIPxT1zlohM1IKvgDUDsXKM27OEiMJ1JXrQSp0GqY5oVtWFSMi/CQN/EC5icrKRV1hl9gyZ0A==" saltValue="BTae9ta+yUVBBnJQZAIw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E08gY+lBsXb4JysZTfQgDwZout36adSjptlfIxI6RBQnY0KU/zoaqmn/HdCOR6wexOPJLlX5TEXOcF5rYs36g==" saltValue="aNo/n5Umo/li8F+e6zYj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Aw6aFQz8RW+GCdCHa40f1yZoEmeN0zoaZRKEZ72RP7rM2gbl5cW2/gYLXGeMB7QGO+U2xWRCQNmlrU8uDSGZg==" saltValue="WVOrvK5NBIbsMFH5IVNH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+Zyv5jvqKr5vs2mP+CS99ZVTlvHT79q0qifga2ajFrzDkNeHS3KSyc9becFYN+APzf0QjI8RF5ENBCjjIRRcA==" saltValue="q09rLwB17IM8QoSoat3V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