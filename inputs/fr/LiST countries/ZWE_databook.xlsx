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FCB6B61-947C-4A6C-BB3E-C7DD071BDC1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5" i="2"/>
  <c r="A34" i="2"/>
  <c r="A31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36" i="2"/>
  <c r="I7" i="2"/>
  <c r="I13" i="2"/>
  <c r="A37" i="2"/>
  <c r="I11" i="2"/>
  <c r="I2" i="2"/>
  <c r="I8" i="2"/>
  <c r="A19" i="2"/>
  <c r="A22" i="2"/>
  <c r="I39" i="2"/>
  <c r="I3" i="2"/>
  <c r="I9" i="2"/>
  <c r="A23" i="2"/>
  <c r="I4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<sst xmlns="http://schemas.openxmlformats.org/spreadsheetml/2006/main" count="2169" uniqueCount="369">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</sst>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2348513.28125</v>
      </c>
    </row>
    <row r="8" spans="1:3" ht="15" customHeight="1" x14ac:dyDescent="0.25">
      <c r="B8" s="5" t="s">
        <v>37</v>
      </c>
      <c r="C8" s="44">
        <v>0.33900000000000002</v>
      </c>
    </row>
    <row r="9" spans="1:3" ht="15" customHeight="1" x14ac:dyDescent="0.25">
      <c r="B9" s="5" t="s">
        <v>38</v>
      </c>
      <c r="C9" s="45">
        <v>0.54</v>
      </c>
    </row>
    <row r="10" spans="1:3" ht="15" customHeight="1" x14ac:dyDescent="0.25">
      <c r="B10" s="5" t="s">
        <v>39</v>
      </c>
      <c r="C10" s="45">
        <v>0.44076328277587901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0.14299999999999999</v>
      </c>
    </row>
    <row r="24" spans="1:3" ht="15" customHeight="1" x14ac:dyDescent="0.25">
      <c r="B24" s="15" t="s">
        <v>51</v>
      </c>
      <c r="C24" s="45">
        <v>0.49020000000000002</v>
      </c>
    </row>
    <row r="25" spans="1:3" ht="15" customHeight="1" x14ac:dyDescent="0.25">
      <c r="B25" s="15" t="s">
        <v>52</v>
      </c>
      <c r="C25" s="45">
        <v>0.31659999999999999</v>
      </c>
    </row>
    <row r="26" spans="1:3" ht="15" customHeight="1" x14ac:dyDescent="0.25">
      <c r="B26" s="15" t="s">
        <v>53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0.26023901489541001</v>
      </c>
    </row>
    <row r="30" spans="1:3" ht="14.25" customHeight="1" x14ac:dyDescent="0.25">
      <c r="B30" s="25" t="s">
        <v>56</v>
      </c>
      <c r="C30" s="97">
        <v>3.0772499372884701E-2</v>
      </c>
    </row>
    <row r="31" spans="1:3" ht="14.25" customHeight="1" x14ac:dyDescent="0.25">
      <c r="B31" s="25" t="s">
        <v>57</v>
      </c>
      <c r="C31" s="97">
        <v>5.3241858709985899E-2</v>
      </c>
    </row>
    <row r="32" spans="1:3" ht="14.25" customHeight="1" x14ac:dyDescent="0.25">
      <c r="B32" s="25" t="s">
        <v>58</v>
      </c>
      <c r="C32" s="97">
        <v>0.65574662702171904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24.99306</v>
      </c>
    </row>
    <row r="38" spans="1:5" ht="15" customHeight="1" x14ac:dyDescent="0.25">
      <c r="B38" s="11" t="s">
        <v>63</v>
      </c>
      <c r="C38" s="43">
        <v>35.713000000000001</v>
      </c>
      <c r="D38" s="12"/>
      <c r="E38" s="13"/>
    </row>
    <row r="39" spans="1:5" ht="15" customHeight="1" x14ac:dyDescent="0.25">
      <c r="B39" s="11" t="s">
        <v>64</v>
      </c>
      <c r="C39" s="43">
        <v>49.521970000000003</v>
      </c>
      <c r="D39" s="12"/>
      <c r="E39" s="12"/>
    </row>
    <row r="40" spans="1:5" ht="15" customHeight="1" x14ac:dyDescent="0.25">
      <c r="B40" s="11" t="s">
        <v>65</v>
      </c>
      <c r="C40" s="98">
        <v>3.57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8.0598000000000006E-3</v>
      </c>
      <c r="D45" s="12"/>
    </row>
    <row r="46" spans="1:5" ht="15.75" customHeight="1" x14ac:dyDescent="0.25">
      <c r="B46" s="11" t="s">
        <v>70</v>
      </c>
      <c r="C46" s="45">
        <v>8.5329799999999997E-2</v>
      </c>
      <c r="D46" s="12"/>
    </row>
    <row r="47" spans="1:5" ht="15.75" customHeight="1" x14ac:dyDescent="0.25">
      <c r="B47" s="11" t="s">
        <v>71</v>
      </c>
      <c r="C47" s="45">
        <v>0.16232050000000001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0.51205699999999998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8ZAoyQSH/9v5YyvliTYiCbZLRzhRJxREgwxlbiZKc6mcRgqWzQ0VEI3lhA5pwhzDClxvJIIjcQZoF5yifcdeSg==" saltValue="ndV4jR1W18QfEc+Yed+7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497215</v>
      </c>
      <c r="C2" s="49">
        <v>943081.5</v>
      </c>
      <c r="D2" s="49">
        <v>1424072.5</v>
      </c>
      <c r="E2" s="49">
        <v>1075065</v>
      </c>
      <c r="F2" s="49">
        <v>961262</v>
      </c>
      <c r="G2" s="17">
        <f t="shared" ref="G2:G13" si="0">C2+D2+E2+F2</f>
        <v>4403481</v>
      </c>
      <c r="H2" s="17">
        <f t="shared" ref="H2:H13" si="1">(B2 + stillbirth*B2/(1000-stillbirth))/(1-abortion)</f>
        <v>576242.05631408584</v>
      </c>
      <c r="I2" s="17">
        <f t="shared" ref="I2:I13" si="2">G2-H2</f>
        <v>3827238.9436859144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500731</v>
      </c>
      <c r="C3" s="50">
        <v>976099.5</v>
      </c>
      <c r="D3" s="50">
        <v>1484061</v>
      </c>
      <c r="E3" s="50">
        <v>1047817.5</v>
      </c>
      <c r="F3" s="50">
        <v>1005189</v>
      </c>
      <c r="G3" s="17">
        <f t="shared" si="0"/>
        <v>4513167</v>
      </c>
      <c r="H3" s="17">
        <f t="shared" si="1"/>
        <v>580316.88726246904</v>
      </c>
      <c r="I3" s="17">
        <f t="shared" si="2"/>
        <v>3932850.1127375308</v>
      </c>
    </row>
    <row r="4" spans="1:9" ht="15.75" customHeight="1" x14ac:dyDescent="0.25">
      <c r="A4" s="5">
        <f t="shared" si="3"/>
        <v>2026</v>
      </c>
      <c r="B4" s="49">
        <v>505305</v>
      </c>
      <c r="C4" s="50">
        <v>1015498.5</v>
      </c>
      <c r="D4" s="50">
        <v>1541681</v>
      </c>
      <c r="E4" s="50">
        <v>1025359.5</v>
      </c>
      <c r="F4" s="50">
        <v>1042407.5</v>
      </c>
      <c r="G4" s="17">
        <f t="shared" si="0"/>
        <v>4624946.5</v>
      </c>
      <c r="H4" s="17">
        <f t="shared" si="1"/>
        <v>585617.87610146345</v>
      </c>
      <c r="I4" s="17">
        <f t="shared" si="2"/>
        <v>4039328.6238985364</v>
      </c>
    </row>
    <row r="5" spans="1:9" ht="15.75" customHeight="1" x14ac:dyDescent="0.25">
      <c r="A5" s="5">
        <f t="shared" si="3"/>
        <v>2027</v>
      </c>
      <c r="B5" s="49">
        <v>511119</v>
      </c>
      <c r="C5" s="50">
        <v>1056181</v>
      </c>
      <c r="D5" s="50">
        <v>1595650.5</v>
      </c>
      <c r="E5" s="50">
        <v>1022916.5</v>
      </c>
      <c r="F5" s="50">
        <v>1062114.5</v>
      </c>
      <c r="G5" s="17">
        <f t="shared" si="0"/>
        <v>4736862.5</v>
      </c>
      <c r="H5" s="17">
        <f t="shared" si="1"/>
        <v>592355.94980280008</v>
      </c>
      <c r="I5" s="17">
        <f t="shared" si="2"/>
        <v>4144506.5501971999</v>
      </c>
    </row>
    <row r="6" spans="1:9" ht="15.75" customHeight="1" x14ac:dyDescent="0.25">
      <c r="A6" s="5">
        <f t="shared" si="3"/>
        <v>2028</v>
      </c>
      <c r="B6" s="49">
        <v>518464.00000000012</v>
      </c>
      <c r="C6" s="50">
        <v>1090633.5</v>
      </c>
      <c r="D6" s="50">
        <v>1648295</v>
      </c>
      <c r="E6" s="50">
        <v>1041830.5</v>
      </c>
      <c r="F6" s="50">
        <v>1064350.5</v>
      </c>
      <c r="G6" s="17">
        <f t="shared" si="0"/>
        <v>4845109.5</v>
      </c>
      <c r="H6" s="17">
        <f t="shared" si="1"/>
        <v>600868.35973336734</v>
      </c>
      <c r="I6" s="17">
        <f t="shared" si="2"/>
        <v>4244241.1402666327</v>
      </c>
    </row>
    <row r="7" spans="1:9" ht="15.75" customHeight="1" x14ac:dyDescent="0.25">
      <c r="A7" s="5">
        <f t="shared" si="3"/>
        <v>2029</v>
      </c>
      <c r="B7" s="49">
        <v>525707</v>
      </c>
      <c r="C7" s="50">
        <v>1112077</v>
      </c>
      <c r="D7" s="50">
        <v>1701426</v>
      </c>
      <c r="E7" s="50">
        <v>1071356.5</v>
      </c>
      <c r="F7" s="50">
        <v>1061668.5</v>
      </c>
      <c r="G7" s="17">
        <f t="shared" si="0"/>
        <v>4946528</v>
      </c>
      <c r="H7" s="17">
        <f t="shared" si="1"/>
        <v>609262.55784461275</v>
      </c>
      <c r="I7" s="17">
        <f t="shared" si="2"/>
        <v>4337265.4421553873</v>
      </c>
    </row>
    <row r="8" spans="1:9" ht="15.75" customHeight="1" x14ac:dyDescent="0.25">
      <c r="A8" s="5">
        <f t="shared" si="3"/>
        <v>2030</v>
      </c>
      <c r="B8" s="49">
        <v>533092</v>
      </c>
      <c r="C8" s="50">
        <v>1118520</v>
      </c>
      <c r="D8" s="50">
        <v>1755792.5</v>
      </c>
      <c r="E8" s="50">
        <v>1109022</v>
      </c>
      <c r="F8" s="50">
        <v>1054888.5</v>
      </c>
      <c r="G8" s="17">
        <f t="shared" si="0"/>
        <v>5038223</v>
      </c>
      <c r="H8" s="17">
        <f t="shared" si="1"/>
        <v>617821.32535138447</v>
      </c>
      <c r="I8" s="17">
        <f t="shared" si="2"/>
        <v>4420401.6746486155</v>
      </c>
    </row>
    <row r="9" spans="1:9" ht="15.75" customHeight="1" x14ac:dyDescent="0.25">
      <c r="A9" s="5">
        <f t="shared" si="3"/>
        <v>2031</v>
      </c>
      <c r="B9" s="49">
        <v>540143</v>
      </c>
      <c r="C9" s="50">
        <v>1113000</v>
      </c>
      <c r="D9" s="50">
        <v>1811132</v>
      </c>
      <c r="E9" s="50">
        <v>1152015</v>
      </c>
      <c r="F9" s="50">
        <v>1041790</v>
      </c>
      <c r="G9" s="17">
        <f t="shared" si="0"/>
        <v>5117937</v>
      </c>
      <c r="H9" s="17">
        <f t="shared" si="1"/>
        <v>625993.00709684798</v>
      </c>
      <c r="I9" s="17">
        <f t="shared" si="2"/>
        <v>4491943.9929031525</v>
      </c>
    </row>
    <row r="10" spans="1:9" ht="15.75" customHeight="1" x14ac:dyDescent="0.25">
      <c r="A10" s="5">
        <f t="shared" si="3"/>
        <v>2032</v>
      </c>
      <c r="B10" s="49">
        <v>546702</v>
      </c>
      <c r="C10" s="50">
        <v>1099422</v>
      </c>
      <c r="D10" s="50">
        <v>1867262.5</v>
      </c>
      <c r="E10" s="50">
        <v>1199038</v>
      </c>
      <c r="F10" s="50">
        <v>1025046.5</v>
      </c>
      <c r="G10" s="17">
        <f t="shared" si="0"/>
        <v>5190769</v>
      </c>
      <c r="H10" s="17">
        <f t="shared" si="1"/>
        <v>633594.49065499497</v>
      </c>
      <c r="I10" s="17">
        <f t="shared" si="2"/>
        <v>4557174.5093450053</v>
      </c>
    </row>
    <row r="11" spans="1:9" ht="15.75" customHeight="1" x14ac:dyDescent="0.25">
      <c r="A11" s="5">
        <f t="shared" si="3"/>
        <v>2033</v>
      </c>
      <c r="B11" s="49">
        <v>551936</v>
      </c>
      <c r="C11" s="50">
        <v>1083757</v>
      </c>
      <c r="D11" s="50">
        <v>1921063</v>
      </c>
      <c r="E11" s="50">
        <v>1252222</v>
      </c>
      <c r="F11" s="50">
        <v>1005788.5</v>
      </c>
      <c r="G11" s="17">
        <f t="shared" si="0"/>
        <v>5262830.5</v>
      </c>
      <c r="H11" s="17">
        <f t="shared" si="1"/>
        <v>639660.37950136513</v>
      </c>
      <c r="I11" s="17">
        <f t="shared" si="2"/>
        <v>4623170.1204986349</v>
      </c>
    </row>
    <row r="12" spans="1:9" ht="15.75" customHeight="1" x14ac:dyDescent="0.25">
      <c r="A12" s="5">
        <f t="shared" si="3"/>
        <v>2034</v>
      </c>
      <c r="B12" s="49">
        <v>557018</v>
      </c>
      <c r="C12" s="50">
        <v>1072336.5</v>
      </c>
      <c r="D12" s="50">
        <v>1967889.5</v>
      </c>
      <c r="E12" s="50">
        <v>1310660.5</v>
      </c>
      <c r="F12" s="50">
        <v>982467</v>
      </c>
      <c r="G12" s="17">
        <f t="shared" si="0"/>
        <v>5333353.5</v>
      </c>
      <c r="H12" s="17">
        <f t="shared" si="1"/>
        <v>645550.10955815786</v>
      </c>
      <c r="I12" s="17">
        <f t="shared" si="2"/>
        <v>4687803.3904418424</v>
      </c>
    </row>
    <row r="13" spans="1:9" ht="15.75" customHeight="1" x14ac:dyDescent="0.25">
      <c r="A13" s="5">
        <f t="shared" si="3"/>
        <v>2035</v>
      </c>
      <c r="B13" s="49">
        <v>561188</v>
      </c>
      <c r="C13" s="50">
        <v>1069095</v>
      </c>
      <c r="D13" s="50">
        <v>2007533.5</v>
      </c>
      <c r="E13" s="50">
        <v>1370348</v>
      </c>
      <c r="F13" s="50">
        <v>958658</v>
      </c>
      <c r="G13" s="17">
        <f t="shared" si="0"/>
        <v>5405634.5</v>
      </c>
      <c r="H13" s="17">
        <f t="shared" si="1"/>
        <v>650382.88687748602</v>
      </c>
      <c r="I13" s="17">
        <f t="shared" si="2"/>
        <v>4755251.6131225135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IQhexUdMBOpwmPKVV7V6B3fCoZB/FOciH3p4qHMigFDMhrZF8e8eAZBHDVQ0Oim/U4c4u3Nqfvm8IlnS+0BdQ==" saltValue="kkcWDDnFU5cAdxeLzRPr2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7.6781645030920614E-3</v>
      </c>
    </row>
    <row r="4" spans="1:8" ht="15.75" customHeight="1" x14ac:dyDescent="0.25">
      <c r="B4" s="19" t="s">
        <v>97</v>
      </c>
      <c r="C4" s="99">
        <v>5.8812394804291353E-2</v>
      </c>
    </row>
    <row r="5" spans="1:8" ht="15.75" customHeight="1" x14ac:dyDescent="0.25">
      <c r="B5" s="19" t="s">
        <v>98</v>
      </c>
      <c r="C5" s="99">
        <v>7.8175276577129568E-2</v>
      </c>
    </row>
    <row r="6" spans="1:8" ht="15.75" customHeight="1" x14ac:dyDescent="0.25">
      <c r="B6" s="19" t="s">
        <v>99</v>
      </c>
      <c r="C6" s="99">
        <v>0.24960349261539741</v>
      </c>
    </row>
    <row r="7" spans="1:8" ht="15.75" customHeight="1" x14ac:dyDescent="0.25">
      <c r="B7" s="19" t="s">
        <v>100</v>
      </c>
      <c r="C7" s="99">
        <v>0.41445225906640448</v>
      </c>
    </row>
    <row r="8" spans="1:8" ht="15.75" customHeight="1" x14ac:dyDescent="0.25">
      <c r="B8" s="19" t="s">
        <v>101</v>
      </c>
      <c r="C8" s="99">
        <v>1.37938727358503E-3</v>
      </c>
    </row>
    <row r="9" spans="1:8" ht="15.75" customHeight="1" x14ac:dyDescent="0.25">
      <c r="B9" s="19" t="s">
        <v>102</v>
      </c>
      <c r="C9" s="99">
        <v>7.090718662675477E-2</v>
      </c>
    </row>
    <row r="10" spans="1:8" ht="15.75" customHeight="1" x14ac:dyDescent="0.25">
      <c r="B10" s="19" t="s">
        <v>103</v>
      </c>
      <c r="C10" s="99">
        <v>0.11899183853334561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106</v>
      </c>
      <c r="C15" s="99">
        <v>0.19832440760021011</v>
      </c>
      <c r="D15" s="99">
        <v>0.19832440760021011</v>
      </c>
      <c r="E15" s="99">
        <v>0.19832440760021011</v>
      </c>
      <c r="F15" s="99">
        <v>0.19832440760021011</v>
      </c>
    </row>
    <row r="16" spans="1:8" ht="15.75" customHeight="1" x14ac:dyDescent="0.25">
      <c r="B16" s="19" t="s">
        <v>107</v>
      </c>
      <c r="C16" s="99">
        <v>1.3637982633177439E-2</v>
      </c>
      <c r="D16" s="99">
        <v>1.3637982633177439E-2</v>
      </c>
      <c r="E16" s="99">
        <v>1.3637982633177439E-2</v>
      </c>
      <c r="F16" s="99">
        <v>1.3637982633177439E-2</v>
      </c>
    </row>
    <row r="17" spans="1:8" ht="15.75" customHeight="1" x14ac:dyDescent="0.25">
      <c r="B17" s="19" t="s">
        <v>108</v>
      </c>
      <c r="C17" s="99">
        <v>2.119301663174158E-3</v>
      </c>
      <c r="D17" s="99">
        <v>2.119301663174158E-3</v>
      </c>
      <c r="E17" s="99">
        <v>2.119301663174158E-3</v>
      </c>
      <c r="F17" s="99">
        <v>2.119301663174158E-3</v>
      </c>
    </row>
    <row r="18" spans="1:8" ht="15.75" customHeight="1" x14ac:dyDescent="0.25">
      <c r="B18" s="19" t="s">
        <v>109</v>
      </c>
      <c r="C18" s="99">
        <v>5.8880676578246922E-2</v>
      </c>
      <c r="D18" s="99">
        <v>5.8880676578246922E-2</v>
      </c>
      <c r="E18" s="99">
        <v>5.8880676578246922E-2</v>
      </c>
      <c r="F18" s="99">
        <v>5.8880676578246922E-2</v>
      </c>
    </row>
    <row r="19" spans="1:8" ht="15.75" customHeight="1" x14ac:dyDescent="0.25">
      <c r="B19" s="19" t="s">
        <v>110</v>
      </c>
      <c r="C19" s="99">
        <v>2.8333878533845368E-3</v>
      </c>
      <c r="D19" s="99">
        <v>2.8333878533845368E-3</v>
      </c>
      <c r="E19" s="99">
        <v>2.8333878533845368E-3</v>
      </c>
      <c r="F19" s="99">
        <v>2.8333878533845368E-3</v>
      </c>
    </row>
    <row r="20" spans="1:8" ht="15.75" customHeight="1" x14ac:dyDescent="0.25">
      <c r="B20" s="19" t="s">
        <v>111</v>
      </c>
      <c r="C20" s="99">
        <v>0.30756059391783608</v>
      </c>
      <c r="D20" s="99">
        <v>0.30756059391783608</v>
      </c>
      <c r="E20" s="99">
        <v>0.30756059391783608</v>
      </c>
      <c r="F20" s="99">
        <v>0.30756059391783608</v>
      </c>
    </row>
    <row r="21" spans="1:8" ht="15.75" customHeight="1" x14ac:dyDescent="0.25">
      <c r="B21" s="19" t="s">
        <v>112</v>
      </c>
      <c r="C21" s="99">
        <v>0.1054258064472985</v>
      </c>
      <c r="D21" s="99">
        <v>0.1054258064472985</v>
      </c>
      <c r="E21" s="99">
        <v>0.1054258064472985</v>
      </c>
      <c r="F21" s="99">
        <v>0.1054258064472985</v>
      </c>
    </row>
    <row r="22" spans="1:8" ht="15.75" customHeight="1" x14ac:dyDescent="0.25">
      <c r="B22" s="19" t="s">
        <v>113</v>
      </c>
      <c r="C22" s="99">
        <v>0.17023284027764241</v>
      </c>
      <c r="D22" s="99">
        <v>0.17023284027764241</v>
      </c>
      <c r="E22" s="99">
        <v>0.17023284027764241</v>
      </c>
      <c r="F22" s="99">
        <v>0.17023284027764241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3.5976796000000012E-2</v>
      </c>
    </row>
    <row r="27" spans="1:8" ht="15.75" customHeight="1" x14ac:dyDescent="0.25">
      <c r="B27" s="19" t="s">
        <v>120</v>
      </c>
      <c r="C27" s="99">
        <v>5.2873009999999986E-3</v>
      </c>
    </row>
    <row r="28" spans="1:8" ht="15.75" customHeight="1" x14ac:dyDescent="0.25">
      <c r="B28" s="19" t="s">
        <v>121</v>
      </c>
      <c r="C28" s="99">
        <v>0.15022722299999999</v>
      </c>
    </row>
    <row r="29" spans="1:8" ht="15.75" customHeight="1" x14ac:dyDescent="0.25">
      <c r="B29" s="19" t="s">
        <v>122</v>
      </c>
      <c r="C29" s="99">
        <v>0.123445323</v>
      </c>
    </row>
    <row r="30" spans="1:8" ht="15.75" customHeight="1" x14ac:dyDescent="0.25">
      <c r="B30" s="19" t="s">
        <v>2</v>
      </c>
      <c r="C30" s="99">
        <v>8.7992374999999998E-2</v>
      </c>
    </row>
    <row r="31" spans="1:8" ht="15.75" customHeight="1" x14ac:dyDescent="0.25">
      <c r="B31" s="19" t="s">
        <v>123</v>
      </c>
      <c r="C31" s="99">
        <v>8.5764472999999994E-2</v>
      </c>
    </row>
    <row r="32" spans="1:8" ht="15.75" customHeight="1" x14ac:dyDescent="0.25">
      <c r="B32" s="19" t="s">
        <v>124</v>
      </c>
      <c r="C32" s="99">
        <v>9.7807150000000006E-3</v>
      </c>
    </row>
    <row r="33" spans="2:3" ht="15.75" customHeight="1" x14ac:dyDescent="0.25">
      <c r="B33" s="19" t="s">
        <v>125</v>
      </c>
      <c r="C33" s="99">
        <v>0.11793519700000001</v>
      </c>
    </row>
    <row r="34" spans="2:3" ht="15.75" customHeight="1" x14ac:dyDescent="0.25">
      <c r="B34" s="19" t="s">
        <v>126</v>
      </c>
      <c r="C34" s="99">
        <v>0.38359059600000001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BpNpE5ucrm7CjJh4CZjDXdgIyy/Qvrmwdxvos5IdqLs3orRLCWhkciVYiAZJnsLE4qnC5UaU84rhXkqHxShe/A==" saltValue="XFMygPwMTVMhph3IuFcu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132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133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137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138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YQdoUzW3xxQ7F1YX86OOG6QUD9DTv7g5+0st7N9j85yuuOd6a3U/bqnPYhTxhIXtEcnDeqRcZvZYq1kGjnlEQ==" saltValue="/gXXMQGFdFitRA4zSjgq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NtFm66Jbd9MXkePXUWRyrIrW8JPcD0vYiKLN7b9qNCmqFLQqq3lscVR0MobNPrFl2PesYePmizfAlVakp0GoFQ==" saltValue="T3OLemgnlD1SFWEZG+VHX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BOYARgao5K0XKy9PB276J+/dZJlWQMGK94Gc/D//soDkYhoBssaViJ5Ssz8VT0JxrxhJKFMTPOz4p73LesnKg==" saltValue="HcE5RsjQ6H5ZOwvNYfnjS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1676.8214889672599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0.52639999999999998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0.61380000000000001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1.8404221201330232E-2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94197.735440000004</v>
      </c>
      <c r="C22" s="107">
        <v>93710.279790000001</v>
      </c>
      <c r="D22" s="107">
        <v>93086.861749999996</v>
      </c>
      <c r="E22" s="107">
        <v>92239.293489999996</v>
      </c>
      <c r="F22" s="107">
        <v>91001.323950000005</v>
      </c>
      <c r="G22" s="107">
        <v>89496.404930000004</v>
      </c>
      <c r="H22" s="107">
        <v>87403.599629999997</v>
      </c>
      <c r="I22" s="107">
        <v>84393.39344</v>
      </c>
      <c r="J22" s="107">
        <v>80110.121910000002</v>
      </c>
      <c r="K22" s="107">
        <v>74684.315640000001</v>
      </c>
      <c r="L22" s="107">
        <v>67868.859670000005</v>
      </c>
      <c r="M22" s="107">
        <v>60184.518989999997</v>
      </c>
      <c r="N22" s="107">
        <v>51361.249510000001</v>
      </c>
      <c r="O22" s="107">
        <v>41533.464840000001</v>
      </c>
    </row>
  </sheetData>
  <sheetProtection algorithmName="SHA-512" hashValue="nEE2xaYWRctMShCZ35SuEQgvbRBqwgaQX7Rhc6F3l4lBacZp3cEjHK+mSOg08k/VvXZuZfpSWNXcLfkhETMqMg==" saltValue="oIEBR5kKhvsaA5kPMf9y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NZB7Ln6HsrdWV6s17VnH0/YliDBTB7IAU7MrKuN5JDVi8yqUt0NcCaZoH5HpDudvrD6HvQ6FtYGUI4zKv9/nQ==" saltValue="Z37ge8+Fp9XO5WzcoumL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JgQZrzgG/rWUB8aYCd7jAfNQYzAi6c/+/Cvgi8X/Fh+dxV8ciLrU3vUdqs8VUiw905ygTm6eMQx1y4dgGCeOcA==" saltValue="3Ohf+g9wmo37iOiyZnrK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0.39672310000000011</v>
      </c>
      <c r="C10" s="96">
        <v>0.95</v>
      </c>
      <c r="D10" s="56">
        <v>15.09709288172251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15.09709288172251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15.09709288172251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15.09709288172251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0.42699999999999999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15.09709288172251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0.2755978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8.6839288888888894E-2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0.33603460000000002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0.33603460000000002</v>
      </c>
      <c r="C19" s="96">
        <v>0.95</v>
      </c>
      <c r="D19" s="56">
        <v>2.4661440905760248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0.38460499999999997</v>
      </c>
      <c r="C23" s="96">
        <v>0.95</v>
      </c>
      <c r="D23" s="56">
        <v>4.9613185520035712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0.85257555200732993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0.32846330000000001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0.1671841</v>
      </c>
      <c r="C29" s="96">
        <v>0.95</v>
      </c>
      <c r="D29" s="56">
        <v>68.300854175426551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8.9499999999999996E-2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0.16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0.42456090000000002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0.64379720000000007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1.3108E-3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0.26926600000000001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0.151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azNM31UBrk9mJUDPlWEigoZ75SJn8ZBPr7ELF2jvEpUh75sDC4XUnb2J7YbtKHyWbeHc38yiFr6ziMvENS4kEw==" saltValue="GSZ/pkgQGdFAc2cMFyFj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bGowqLAQthInE5/mQYwTGsSdc6bGqAAKbjeReuLVAb/VErfI5VJpvbk6UvP1jn2NK4fmbEEhwNvZBQ9Inr6tw==" saltValue="wJYAO76VpuyzZa1XQvWy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7kn3MiwHhHbEbd+TDu0SUuuGIEDjJYO5pXVznEdDFNSmtgzINRIkYGy6oa5YoqsSiXcB9HGXaH1sNWOrMZmzlQ==" saltValue="LFbe9Ky+xsm4j9GhciHMK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237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27PyRqCw1guLNdCvWtb3I+77Vkct8fFpyKcnvxoRaeJZ3tMoANEDcLuRxj2ZXn5nC6xtOHMuOolTLKjUejbyNw==" saltValue="Kh4J8ZoDhD4tlFLfVhjhX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iuw3a+oS52NAjTzTlYhjANuEBDw1hleQwlcvBQtfANXIQLpbYq+oglIksaKRX2wxaDtppcWROe7iw2f5N4rDw==" saltValue="/cNaYnfcdIGdiyVvwzYEU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pelM5lWDwm1KsZGzq89wuBfy9ydExJe2vT7MAI9Rkex6f5taiy+RWg0Gz8myR+0ZTR4D1m8SERiJOY4MevI9A==" saltValue="O/BG1+zZFkaub9LLZw+k4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bKuKmmiET+IPGWkzBTuOs2LMjGyfHFQTQCQiPsaH6CZUe6/IfezWUTsdgFYgjrsG/TlblHrOEBy4DRWyf3Dsw==" saltValue="nLa5EN+3FxxxVE1qelMo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hK4YRLanGT1POotijhXh9dNq3kOJYaMgRM7FiiLT2sD1DqfxaX+qr5NRROhyUIYv8nhsTlEKQRmUElIIF2HCw==" saltValue="0S2kn+CClWNxt/365Ut5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vrssd9n2/jurM9IpGk4uisLGdQml5L6zOw2LjZWNF5fW/yXaSHCXJnf3qXn8TE+JVZ/+apKabEBwdLX0WCV2CA==" saltValue="SzMbIkxiRSZ7b6Vrx5eji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dIvG28MQ5qf9kgNjieQph9UmDK3jz+NkKPScsNlnKG3o2uTKWXznXK435AYEzko2vFyknGIjwTWZpJ1DEQ6vrQ==" saltValue="eBmAgFcRt8Phi7VLB9LCX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+66e20byHrid6ZT0IzXoAVd4FSKWSd4FZhVupym5M6u71hCOdUPWOC+jrCWP0RLfWcxgMKFs3u2eD+Tx/JJaQ==" saltValue="Qg9Hlt+ZrBOJEhDqyd+pf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i7neOkw+pnME67U2SeDPB74wtAJQvrWGva0bJj7CsFePjRP2lwvt9HO7+g6plPa32aNboyPJTMJa5fKxUeY8g==" saltValue="7zVieE5PhE2tIAoXkjLC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kPInwZuHBJGr8FHPkTRScVxCKjYQxuOSuxFgOZaCC0oNZj3DJLwQU1HWhTn+OoNLGcTHgaVUrkjjuCr2uGBiw==" saltValue="sRgFpkl+lOUhQN8p3C+o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yPzhmq1r1Z0fMbTwNE/lCp5hE34XzC5ePO1t7GSSL22d4kfJjezC+CSLtz2GPiclSeR0oIiEayat94MWoELUg==" saltValue="3Mi+60qvcf9Iv7OC+48p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8rZNkI9KPvjj50e97htnGFptSjk+24+1NmdMm1F7U3ROpLYT4pg301WEsb9aUPpXMc11J/ZZKb73zbLnoUD3eQ==" saltValue="/VjJiv73mm73AO++3uTo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xWBl7JRUeXJJX013fxqxer1Z/01Fp5YzKcLAKleNQQuit/X2HFTrHIOf3633OzzvPJK5eSbZkkPe84vKXOMaw==" saltValue="aLiqZMjZIIC5uMQDkqa5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yA51ksbk/bwSfVNSjR87JEu/eSn8PwTOKvU1lXVfO5b1mfnNrWZ4rVRw6R/Zkp17rePoGgGvXVciYHD4iO02g==" saltValue="mK+Ge4rqBkb/n7dBQn8fk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YFvkMiTxRWqEOFMX1Nlp0HefPagVOT3BTeMzhExldGObc2iSy8pqUsWmLKr5vxtabHnct/zOWKORX4ptPMVJLQ==" saltValue="jywVfNgAV7qGyFPSqgrA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S2k6yFMquaXuVeUGOYyPQNrjtbA0IKDMcD/RSAJIDjBPof9tH/EZLz5A752tbiIAzMNt2hR0L60RGfKvdNbDg==" saltValue="5mWZXbX3wMbSUWgsojrq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