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F26A1815-E89C-4311-9E38-8F561469C0A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H38" i="2"/>
  <c r="G38" i="2"/>
  <c r="I38" i="2" s="1"/>
  <c r="A31" i="2"/>
  <c r="A15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I40" i="2" l="1"/>
  <c r="A23" i="2"/>
  <c r="A16" i="2"/>
  <c r="A24" i="2"/>
  <c r="A32" i="2"/>
  <c r="A17" i="2"/>
  <c r="A25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  <c r="A39" i="2"/>
  <c r="A19" i="2"/>
  <c r="A27" i="2"/>
  <c r="A35" i="2"/>
  <c r="A33" i="2"/>
  <c r="A20" i="2"/>
  <c r="A28" i="2"/>
  <c r="A36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<sst xmlns="http://schemas.openxmlformats.org/spreadsheetml/2006/main" count="2101" uniqueCount="337">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</sst>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2348513.28125</v>
      </c>
    </row>
    <row r="8" spans="1:3" ht="15" customHeight="1" x14ac:dyDescent="0.25">
      <c r="B8" s="5" t="s">
        <v>19</v>
      </c>
      <c r="C8" s="44">
        <v>0.33900000000000002</v>
      </c>
    </row>
    <row r="9" spans="1:3" ht="15" customHeight="1" x14ac:dyDescent="0.25">
      <c r="B9" s="5" t="s">
        <v>20</v>
      </c>
      <c r="C9" s="45">
        <v>0.54</v>
      </c>
    </row>
    <row r="10" spans="1:3" ht="15" customHeight="1" x14ac:dyDescent="0.25">
      <c r="B10" s="5" t="s">
        <v>21</v>
      </c>
      <c r="C10" s="45">
        <v>0.44076328277587901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0.14799999999999999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0.14299999999999999</v>
      </c>
    </row>
    <row r="24" spans="1:3" ht="15" customHeight="1" x14ac:dyDescent="0.25">
      <c r="B24" s="15" t="s">
        <v>33</v>
      </c>
      <c r="C24" s="45">
        <v>0.49020000000000002</v>
      </c>
    </row>
    <row r="25" spans="1:3" ht="15" customHeight="1" x14ac:dyDescent="0.25">
      <c r="B25" s="15" t="s">
        <v>34</v>
      </c>
      <c r="C25" s="45">
        <v>0.31659999999999999</v>
      </c>
    </row>
    <row r="26" spans="1:3" ht="15" customHeight="1" x14ac:dyDescent="0.25">
      <c r="B26" s="15" t="s">
        <v>35</v>
      </c>
      <c r="C26" s="45">
        <v>5.0199999999999988E-2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0.26023901489541001</v>
      </c>
    </row>
    <row r="30" spans="1:3" ht="14.25" customHeight="1" x14ac:dyDescent="0.25">
      <c r="B30" s="25" t="s">
        <v>38</v>
      </c>
      <c r="C30" s="99">
        <v>3.0772499372884701E-2</v>
      </c>
    </row>
    <row r="31" spans="1:3" ht="14.25" customHeight="1" x14ac:dyDescent="0.25">
      <c r="B31" s="25" t="s">
        <v>39</v>
      </c>
      <c r="C31" s="99">
        <v>5.3241858709985899E-2</v>
      </c>
    </row>
    <row r="32" spans="1:3" ht="14.25" customHeight="1" x14ac:dyDescent="0.25">
      <c r="B32" s="25" t="s">
        <v>40</v>
      </c>
      <c r="C32" s="99">
        <v>0.65574662702171904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24.99306</v>
      </c>
    </row>
    <row r="38" spans="1:5" ht="15" customHeight="1" x14ac:dyDescent="0.25">
      <c r="B38" s="11" t="s">
        <v>45</v>
      </c>
      <c r="C38" s="43">
        <v>35.713000000000001</v>
      </c>
      <c r="D38" s="12"/>
      <c r="E38" s="13"/>
    </row>
    <row r="39" spans="1:5" ht="15" customHeight="1" x14ac:dyDescent="0.25">
      <c r="B39" s="11" t="s">
        <v>46</v>
      </c>
      <c r="C39" s="43">
        <v>49.521970000000003</v>
      </c>
      <c r="D39" s="12"/>
      <c r="E39" s="12"/>
    </row>
    <row r="40" spans="1:5" ht="15" customHeight="1" x14ac:dyDescent="0.25">
      <c r="B40" s="11" t="s">
        <v>47</v>
      </c>
      <c r="C40" s="100">
        <v>3.57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19.479679999999998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8.0598000000000006E-3</v>
      </c>
      <c r="D45" s="12"/>
    </row>
    <row r="46" spans="1:5" ht="15.75" customHeight="1" x14ac:dyDescent="0.25">
      <c r="B46" s="11" t="s">
        <v>52</v>
      </c>
      <c r="C46" s="45">
        <v>8.5329799999999997E-2</v>
      </c>
      <c r="D46" s="12"/>
    </row>
    <row r="47" spans="1:5" ht="15.75" customHeight="1" x14ac:dyDescent="0.25">
      <c r="B47" s="11" t="s">
        <v>53</v>
      </c>
      <c r="C47" s="45">
        <v>0.16232050000000001</v>
      </c>
      <c r="D47" s="12"/>
      <c r="E47" s="13"/>
    </row>
    <row r="48" spans="1:5" ht="15" customHeight="1" x14ac:dyDescent="0.25">
      <c r="B48" s="11" t="s">
        <v>54</v>
      </c>
      <c r="C48" s="46">
        <v>0.74428989999999995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0.51205699999999998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0.12628009000000001</v>
      </c>
    </row>
    <row r="63" spans="1:4" ht="15.75" customHeight="1" x14ac:dyDescent="0.3">
      <c r="A63" s="4"/>
    </row>
  </sheetData>
  <sheetProtection algorithmName="SHA-512" hashValue="c+incF1AGNXlT2xgqJeIIQBittrBJUfP/zml9cpW9wI0hV53ryVUKkuvYTs6pSvSCirkwuwPFgsxhPfNf63cGg==" saltValue="oAtfD1JdIDXMdZHbRtrc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496655</v>
      </c>
      <c r="C2" s="49">
        <v>1157106.5</v>
      </c>
      <c r="D2" s="49">
        <v>1614829</v>
      </c>
      <c r="E2" s="49">
        <v>1188365</v>
      </c>
      <c r="F2" s="49">
        <v>790811</v>
      </c>
      <c r="G2" s="17">
        <f t="shared" ref="G2:G13" si="0">C2+D2+E2+F2</f>
        <v>4751111.5</v>
      </c>
      <c r="H2" s="17">
        <f t="shared" ref="H2:H13" si="1">(B2 + stillbirth*B2/(1000-stillbirth))/(1-abortion)</f>
        <v>575593.0502472216</v>
      </c>
      <c r="I2" s="17">
        <f t="shared" ref="I2:I13" si="2">G2-H2</f>
        <v>4175518.4497527783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498207</v>
      </c>
      <c r="C3" s="50">
        <v>1188586.5</v>
      </c>
      <c r="D3" s="50">
        <v>1661403</v>
      </c>
      <c r="E3" s="50">
        <v>1191023.5</v>
      </c>
      <c r="F3" s="50">
        <v>835030</v>
      </c>
      <c r="G3" s="17">
        <f t="shared" si="0"/>
        <v>4876043</v>
      </c>
      <c r="H3" s="17">
        <f t="shared" si="1"/>
        <v>577391.72420395957</v>
      </c>
      <c r="I3" s="17">
        <f t="shared" si="2"/>
        <v>4298651.2757960409</v>
      </c>
    </row>
    <row r="4" spans="1:9" ht="15.75" customHeight="1" x14ac:dyDescent="0.25">
      <c r="A4" s="5">
        <f t="shared" si="3"/>
        <v>2026</v>
      </c>
      <c r="B4" s="49">
        <v>503836</v>
      </c>
      <c r="C4" s="50">
        <v>1225384</v>
      </c>
      <c r="D4" s="50">
        <v>1701819.5</v>
      </c>
      <c r="E4" s="50">
        <v>1200031.5</v>
      </c>
      <c r="F4" s="50">
        <v>875042</v>
      </c>
      <c r="G4" s="17">
        <f t="shared" si="0"/>
        <v>5002277</v>
      </c>
      <c r="H4" s="17">
        <f t="shared" si="1"/>
        <v>583915.39411534998</v>
      </c>
      <c r="I4" s="17">
        <f t="shared" si="2"/>
        <v>4418361.6058846498</v>
      </c>
    </row>
    <row r="5" spans="1:9" ht="15.75" customHeight="1" x14ac:dyDescent="0.25">
      <c r="A5" s="5">
        <f t="shared" si="3"/>
        <v>2027</v>
      </c>
      <c r="B5" s="49">
        <v>507954</v>
      </c>
      <c r="C5" s="50">
        <v>1262562.5</v>
      </c>
      <c r="D5" s="50">
        <v>1736599.5</v>
      </c>
      <c r="E5" s="50">
        <v>1218753</v>
      </c>
      <c r="F5" s="50">
        <v>910412</v>
      </c>
      <c r="G5" s="17">
        <f t="shared" si="0"/>
        <v>5128327</v>
      </c>
      <c r="H5" s="17">
        <f t="shared" si="1"/>
        <v>588687.90658561222</v>
      </c>
      <c r="I5" s="17">
        <f t="shared" si="2"/>
        <v>4539639.0934143877</v>
      </c>
    </row>
    <row r="6" spans="1:9" ht="15.75" customHeight="1" x14ac:dyDescent="0.25">
      <c r="A6" s="5">
        <f t="shared" si="3"/>
        <v>2028</v>
      </c>
      <c r="B6" s="49">
        <v>512476</v>
      </c>
      <c r="C6" s="50">
        <v>1293652</v>
      </c>
      <c r="D6" s="50">
        <v>1769749</v>
      </c>
      <c r="E6" s="50">
        <v>1248221</v>
      </c>
      <c r="F6" s="50">
        <v>940871.49999999988</v>
      </c>
      <c r="G6" s="17">
        <f t="shared" si="0"/>
        <v>5252493.5</v>
      </c>
      <c r="H6" s="17">
        <f t="shared" si="1"/>
        <v>593928.63057554071</v>
      </c>
      <c r="I6" s="17">
        <f t="shared" si="2"/>
        <v>4658564.8694244595</v>
      </c>
    </row>
    <row r="7" spans="1:9" ht="15.75" customHeight="1" x14ac:dyDescent="0.25">
      <c r="A7" s="5">
        <f t="shared" si="3"/>
        <v>2029</v>
      </c>
      <c r="B7" s="49">
        <v>517058.99999999988</v>
      </c>
      <c r="C7" s="50">
        <v>1313644.5</v>
      </c>
      <c r="D7" s="50">
        <v>1803800</v>
      </c>
      <c r="E7" s="50">
        <v>1288382.5</v>
      </c>
      <c r="F7" s="50">
        <v>965744</v>
      </c>
      <c r="G7" s="17">
        <f t="shared" si="0"/>
        <v>5371571</v>
      </c>
      <c r="H7" s="17">
        <f t="shared" si="1"/>
        <v>599240.04986918101</v>
      </c>
      <c r="I7" s="17">
        <f t="shared" si="2"/>
        <v>4772330.9501308193</v>
      </c>
    </row>
    <row r="8" spans="1:9" ht="15.75" customHeight="1" x14ac:dyDescent="0.25">
      <c r="A8" s="5">
        <f t="shared" si="3"/>
        <v>2030</v>
      </c>
      <c r="B8" s="49">
        <v>522659.99999999988</v>
      </c>
      <c r="C8" s="50">
        <v>1323860.5</v>
      </c>
      <c r="D8" s="50">
        <v>1839474.5</v>
      </c>
      <c r="E8" s="50">
        <v>1335961</v>
      </c>
      <c r="F8" s="50">
        <v>982374</v>
      </c>
      <c r="G8" s="17">
        <f t="shared" si="0"/>
        <v>5481670</v>
      </c>
      <c r="H8" s="17">
        <f t="shared" si="1"/>
        <v>605731.26947722817</v>
      </c>
      <c r="I8" s="17">
        <f t="shared" si="2"/>
        <v>4875938.7305227723</v>
      </c>
    </row>
    <row r="9" spans="1:9" ht="15.75" customHeight="1" x14ac:dyDescent="0.25">
      <c r="A9" s="5">
        <f t="shared" si="3"/>
        <v>2031</v>
      </c>
      <c r="B9" s="49">
        <v>528818</v>
      </c>
      <c r="C9" s="50">
        <v>1328000</v>
      </c>
      <c r="D9" s="50">
        <v>1876647.5</v>
      </c>
      <c r="E9" s="50">
        <v>1386852.5</v>
      </c>
      <c r="F9" s="50">
        <v>988459.5</v>
      </c>
      <c r="G9" s="17">
        <f t="shared" si="0"/>
        <v>5579959.5</v>
      </c>
      <c r="H9" s="17">
        <f t="shared" si="1"/>
        <v>612868.01833392447</v>
      </c>
      <c r="I9" s="17">
        <f t="shared" si="2"/>
        <v>4967091.4816660751</v>
      </c>
    </row>
    <row r="10" spans="1:9" ht="15.75" customHeight="1" x14ac:dyDescent="0.25">
      <c r="A10" s="5">
        <f t="shared" si="3"/>
        <v>2032</v>
      </c>
      <c r="B10" s="49">
        <v>534114</v>
      </c>
      <c r="C10" s="50">
        <v>1329072</v>
      </c>
      <c r="D10" s="50">
        <v>1915226</v>
      </c>
      <c r="E10" s="50">
        <v>1438200</v>
      </c>
      <c r="F10" s="50">
        <v>987786</v>
      </c>
      <c r="G10" s="17">
        <f t="shared" si="0"/>
        <v>5670284</v>
      </c>
      <c r="H10" s="17">
        <f t="shared" si="1"/>
        <v>619005.76142341178</v>
      </c>
      <c r="I10" s="17">
        <f t="shared" si="2"/>
        <v>5051278.2385765882</v>
      </c>
    </row>
    <row r="11" spans="1:9" ht="15.75" customHeight="1" x14ac:dyDescent="0.25">
      <c r="A11" s="5">
        <f t="shared" si="3"/>
        <v>2033</v>
      </c>
      <c r="B11" s="49">
        <v>538307</v>
      </c>
      <c r="C11" s="50">
        <v>1329372.5</v>
      </c>
      <c r="D11" s="50">
        <v>1954295.5</v>
      </c>
      <c r="E11" s="50">
        <v>1488586</v>
      </c>
      <c r="F11" s="50">
        <v>985384.5</v>
      </c>
      <c r="G11" s="17">
        <f t="shared" si="0"/>
        <v>5757638.5</v>
      </c>
      <c r="H11" s="17">
        <f t="shared" si="1"/>
        <v>623865.19434905751</v>
      </c>
      <c r="I11" s="17">
        <f t="shared" si="2"/>
        <v>5133773.305650942</v>
      </c>
    </row>
    <row r="12" spans="1:9" ht="15.75" customHeight="1" x14ac:dyDescent="0.25">
      <c r="A12" s="5">
        <f t="shared" si="3"/>
        <v>2034</v>
      </c>
      <c r="B12" s="49">
        <v>542656</v>
      </c>
      <c r="C12" s="50">
        <v>1330596</v>
      </c>
      <c r="D12" s="50">
        <v>1992573.5</v>
      </c>
      <c r="E12" s="50">
        <v>1537194.5</v>
      </c>
      <c r="F12" s="50">
        <v>983776.5</v>
      </c>
      <c r="G12" s="17">
        <f t="shared" si="0"/>
        <v>5844140.5</v>
      </c>
      <c r="H12" s="17">
        <f t="shared" si="1"/>
        <v>628905.42182190111</v>
      </c>
      <c r="I12" s="17">
        <f t="shared" si="2"/>
        <v>5215235.0781780984</v>
      </c>
    </row>
    <row r="13" spans="1:9" ht="15.75" customHeight="1" x14ac:dyDescent="0.25">
      <c r="A13" s="5">
        <f t="shared" si="3"/>
        <v>2035</v>
      </c>
      <c r="B13" s="49">
        <v>545670</v>
      </c>
      <c r="C13" s="50">
        <v>1335004</v>
      </c>
      <c r="D13" s="50">
        <v>2028993</v>
      </c>
      <c r="E13" s="50">
        <v>1582820</v>
      </c>
      <c r="F13" s="50">
        <v>984799.5</v>
      </c>
      <c r="G13" s="17">
        <f t="shared" si="0"/>
        <v>5931616.5</v>
      </c>
      <c r="H13" s="17">
        <f t="shared" si="1"/>
        <v>632398.46518891666</v>
      </c>
      <c r="I13" s="17">
        <f t="shared" si="2"/>
        <v>5299218.0348110832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FS/SL6XKoleBb4jB2zNtmf3JrlzGfWgyLbCUbfB6f6vAA2E/3J7beEgbI7esaOzS9DDjX3RkR9XpJg4Qxqr+Og==" saltValue="AhZbt3h2C9ouYvltlRpX3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7.6781645030920614E-3</v>
      </c>
    </row>
    <row r="4" spans="1:8" ht="15.75" customHeight="1" x14ac:dyDescent="0.25">
      <c r="B4" s="19" t="s">
        <v>79</v>
      </c>
      <c r="C4" s="101">
        <v>5.8812394804291353E-2</v>
      </c>
    </row>
    <row r="5" spans="1:8" ht="15.75" customHeight="1" x14ac:dyDescent="0.25">
      <c r="B5" s="19" t="s">
        <v>80</v>
      </c>
      <c r="C5" s="101">
        <v>7.8175276577129568E-2</v>
      </c>
    </row>
    <row r="6" spans="1:8" ht="15.75" customHeight="1" x14ac:dyDescent="0.25">
      <c r="B6" s="19" t="s">
        <v>81</v>
      </c>
      <c r="C6" s="101">
        <v>0.24960349261539741</v>
      </c>
    </row>
    <row r="7" spans="1:8" ht="15.75" customHeight="1" x14ac:dyDescent="0.25">
      <c r="B7" s="19" t="s">
        <v>82</v>
      </c>
      <c r="C7" s="101">
        <v>0.41445225906640448</v>
      </c>
    </row>
    <row r="8" spans="1:8" ht="15.75" customHeight="1" x14ac:dyDescent="0.25">
      <c r="B8" s="19" t="s">
        <v>83</v>
      </c>
      <c r="C8" s="101">
        <v>1.37938727358503E-3</v>
      </c>
    </row>
    <row r="9" spans="1:8" ht="15.75" customHeight="1" x14ac:dyDescent="0.25">
      <c r="B9" s="19" t="s">
        <v>84</v>
      </c>
      <c r="C9" s="101">
        <v>7.090718662675477E-2</v>
      </c>
    </row>
    <row r="10" spans="1:8" ht="15.75" customHeight="1" x14ac:dyDescent="0.25">
      <c r="B10" s="19" t="s">
        <v>85</v>
      </c>
      <c r="C10" s="101">
        <v>0.11899183853334561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0.14098500302902989</v>
      </c>
      <c r="D14" s="55">
        <v>0.14098500302902989</v>
      </c>
      <c r="E14" s="55">
        <v>0.14098500302902989</v>
      </c>
      <c r="F14" s="55">
        <v>0.14098500302902989</v>
      </c>
    </row>
    <row r="15" spans="1:8" ht="15.75" customHeight="1" x14ac:dyDescent="0.25">
      <c r="B15" s="19" t="s">
        <v>88</v>
      </c>
      <c r="C15" s="101">
        <v>0.19832440760021011</v>
      </c>
      <c r="D15" s="101">
        <v>0.19832440760021011</v>
      </c>
      <c r="E15" s="101">
        <v>0.19832440760021011</v>
      </c>
      <c r="F15" s="101">
        <v>0.19832440760021011</v>
      </c>
    </row>
    <row r="16" spans="1:8" ht="15.75" customHeight="1" x14ac:dyDescent="0.25">
      <c r="B16" s="19" t="s">
        <v>89</v>
      </c>
      <c r="C16" s="101">
        <v>1.3637982633177439E-2</v>
      </c>
      <c r="D16" s="101">
        <v>1.3637982633177439E-2</v>
      </c>
      <c r="E16" s="101">
        <v>1.3637982633177439E-2</v>
      </c>
      <c r="F16" s="101">
        <v>1.3637982633177439E-2</v>
      </c>
    </row>
    <row r="17" spans="1:8" ht="15.75" customHeight="1" x14ac:dyDescent="0.25">
      <c r="B17" s="19" t="s">
        <v>90</v>
      </c>
      <c r="C17" s="101">
        <v>2.119301663174158E-3</v>
      </c>
      <c r="D17" s="101">
        <v>2.119301663174158E-3</v>
      </c>
      <c r="E17" s="101">
        <v>2.119301663174158E-3</v>
      </c>
      <c r="F17" s="101">
        <v>2.119301663174158E-3</v>
      </c>
    </row>
    <row r="18" spans="1:8" ht="15.75" customHeight="1" x14ac:dyDescent="0.25">
      <c r="B18" s="19" t="s">
        <v>91</v>
      </c>
      <c r="C18" s="101">
        <v>5.8880676578246922E-2</v>
      </c>
      <c r="D18" s="101">
        <v>5.8880676578246922E-2</v>
      </c>
      <c r="E18" s="101">
        <v>5.8880676578246922E-2</v>
      </c>
      <c r="F18" s="101">
        <v>5.8880676578246922E-2</v>
      </c>
    </row>
    <row r="19" spans="1:8" ht="15.75" customHeight="1" x14ac:dyDescent="0.25">
      <c r="B19" s="19" t="s">
        <v>92</v>
      </c>
      <c r="C19" s="101">
        <v>2.8333878533845368E-3</v>
      </c>
      <c r="D19" s="101">
        <v>2.8333878533845368E-3</v>
      </c>
      <c r="E19" s="101">
        <v>2.8333878533845368E-3</v>
      </c>
      <c r="F19" s="101">
        <v>2.8333878533845368E-3</v>
      </c>
    </row>
    <row r="20" spans="1:8" ht="15.75" customHeight="1" x14ac:dyDescent="0.25">
      <c r="B20" s="19" t="s">
        <v>93</v>
      </c>
      <c r="C20" s="101">
        <v>0.30756059391783608</v>
      </c>
      <c r="D20" s="101">
        <v>0.30756059391783608</v>
      </c>
      <c r="E20" s="101">
        <v>0.30756059391783608</v>
      </c>
      <c r="F20" s="101">
        <v>0.30756059391783608</v>
      </c>
    </row>
    <row r="21" spans="1:8" ht="15.75" customHeight="1" x14ac:dyDescent="0.25">
      <c r="B21" s="19" t="s">
        <v>94</v>
      </c>
      <c r="C21" s="101">
        <v>0.1054258064472985</v>
      </c>
      <c r="D21" s="101">
        <v>0.1054258064472985</v>
      </c>
      <c r="E21" s="101">
        <v>0.1054258064472985</v>
      </c>
      <c r="F21" s="101">
        <v>0.1054258064472985</v>
      </c>
    </row>
    <row r="22" spans="1:8" ht="15.75" customHeight="1" x14ac:dyDescent="0.25">
      <c r="B22" s="19" t="s">
        <v>95</v>
      </c>
      <c r="C22" s="101">
        <v>0.17023284027764241</v>
      </c>
      <c r="D22" s="101">
        <v>0.17023284027764241</v>
      </c>
      <c r="E22" s="101">
        <v>0.17023284027764241</v>
      </c>
      <c r="F22" s="101">
        <v>0.17023284027764241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3.5976796000000012E-2</v>
      </c>
    </row>
    <row r="27" spans="1:8" ht="15.75" customHeight="1" x14ac:dyDescent="0.25">
      <c r="B27" s="19" t="s">
        <v>102</v>
      </c>
      <c r="C27" s="101">
        <v>5.2873009999999986E-3</v>
      </c>
    </row>
    <row r="28" spans="1:8" ht="15.75" customHeight="1" x14ac:dyDescent="0.25">
      <c r="B28" s="19" t="s">
        <v>103</v>
      </c>
      <c r="C28" s="101">
        <v>0.15022722299999999</v>
      </c>
    </row>
    <row r="29" spans="1:8" ht="15.75" customHeight="1" x14ac:dyDescent="0.25">
      <c r="B29" s="19" t="s">
        <v>104</v>
      </c>
      <c r="C29" s="101">
        <v>0.123445323</v>
      </c>
    </row>
    <row r="30" spans="1:8" ht="15.75" customHeight="1" x14ac:dyDescent="0.25">
      <c r="B30" s="19" t="s">
        <v>2</v>
      </c>
      <c r="C30" s="101">
        <v>8.7992374999999998E-2</v>
      </c>
    </row>
    <row r="31" spans="1:8" ht="15.75" customHeight="1" x14ac:dyDescent="0.25">
      <c r="B31" s="19" t="s">
        <v>105</v>
      </c>
      <c r="C31" s="101">
        <v>8.5764472999999994E-2</v>
      </c>
    </row>
    <row r="32" spans="1:8" ht="15.75" customHeight="1" x14ac:dyDescent="0.25">
      <c r="B32" s="19" t="s">
        <v>106</v>
      </c>
      <c r="C32" s="101">
        <v>9.7807150000000006E-3</v>
      </c>
    </row>
    <row r="33" spans="2:3" ht="15.75" customHeight="1" x14ac:dyDescent="0.25">
      <c r="B33" s="19" t="s">
        <v>107</v>
      </c>
      <c r="C33" s="101">
        <v>0.11793519700000001</v>
      </c>
    </row>
    <row r="34" spans="2:3" ht="15.75" customHeight="1" x14ac:dyDescent="0.25">
      <c r="B34" s="19" t="s">
        <v>108</v>
      </c>
      <c r="C34" s="101">
        <v>0.38359059600000001</v>
      </c>
    </row>
    <row r="35" spans="2:3" ht="15.75" customHeight="1" x14ac:dyDescent="0.25">
      <c r="B35" s="27" t="s">
        <v>41</v>
      </c>
      <c r="C35" s="48">
        <f>SUM(C26:C34)</f>
        <v>0.99999999900000003</v>
      </c>
    </row>
  </sheetData>
  <sheetProtection algorithmName="SHA-512" hashValue="3jiMUb4z3n7tNoYyGl2ACdMdV8PMqBJrVpdqwn8RLCZhiLw+dbl8p15p2MqCRbMRFO35UnGsiobNyXXOcyQ70A==" saltValue="iqKvObot5PjHub13UM1xp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0.57790553256836363</v>
      </c>
      <c r="D2" s="52">
        <f>IFERROR(1-_xlfn.NORM.DIST(_xlfn.NORM.INV(SUM(D4:D5), 0, 1) + 1, 0, 1, TRUE), "")</f>
        <v>0.57790553256836363</v>
      </c>
      <c r="E2" s="52">
        <f>IFERROR(1-_xlfn.NORM.DIST(_xlfn.NORM.INV(SUM(E4:E5), 0, 1) + 1, 0, 1, TRUE), "")</f>
        <v>0.57759159533532234</v>
      </c>
      <c r="F2" s="52">
        <f>IFERROR(1-_xlfn.NORM.DIST(_xlfn.NORM.INV(SUM(F4:F5), 0, 1) + 1, 0, 1, TRUE), "")</f>
        <v>0.31549882770014459</v>
      </c>
      <c r="G2" s="52">
        <f>IFERROR(1-_xlfn.NORM.DIST(_xlfn.NORM.INV(SUM(G4:G5), 0, 1) + 1, 0, 1, TRUE), "")</f>
        <v>0.36954299522339773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0.30635116743163637</v>
      </c>
      <c r="D3" s="52">
        <f>IFERROR(_xlfn.NORM.DIST(_xlfn.NORM.INV(SUM(D4:D5), 0, 1) + 1, 0, 1, TRUE) - SUM(D4:D5), "")</f>
        <v>0.30635116743163637</v>
      </c>
      <c r="E3" s="52">
        <f>IFERROR(_xlfn.NORM.DIST(_xlfn.NORM.INV(SUM(E4:E5), 0, 1) + 1, 0, 1, TRUE) - SUM(E4:E5), "")</f>
        <v>0.30650860466467766</v>
      </c>
      <c r="F3" s="52">
        <f>IFERROR(_xlfn.NORM.DIST(_xlfn.NORM.INV(SUM(F4:F5), 0, 1) + 1, 0, 1, TRUE) - SUM(F4:F5), "")</f>
        <v>0.38285677229985543</v>
      </c>
      <c r="G3" s="52">
        <f>IFERROR(_xlfn.NORM.DIST(_xlfn.NORM.INV(SUM(G4:G5), 0, 1) + 1, 0, 1, TRUE) - SUM(G4:G5), "")</f>
        <v>0.37805050477660229</v>
      </c>
    </row>
    <row r="4" spans="1:15" ht="15.75" customHeight="1" x14ac:dyDescent="0.25">
      <c r="B4" s="5" t="s">
        <v>114</v>
      </c>
      <c r="C4" s="45">
        <v>8.6150800000000013E-2</v>
      </c>
      <c r="D4" s="53">
        <v>8.6150800000000013E-2</v>
      </c>
      <c r="E4" s="53">
        <v>9.2486499999999999E-2</v>
      </c>
      <c r="F4" s="53">
        <v>0.20753369999999999</v>
      </c>
      <c r="G4" s="53">
        <v>0.19701050000000001</v>
      </c>
    </row>
    <row r="5" spans="1:15" ht="15.75" customHeight="1" x14ac:dyDescent="0.25">
      <c r="B5" s="5" t="s">
        <v>115</v>
      </c>
      <c r="C5" s="45">
        <v>2.9592500000000001E-2</v>
      </c>
      <c r="D5" s="53">
        <v>2.9592500000000001E-2</v>
      </c>
      <c r="E5" s="53">
        <v>2.3413300000000001E-2</v>
      </c>
      <c r="F5" s="53">
        <v>9.4110700000000005E-2</v>
      </c>
      <c r="G5" s="53">
        <v>5.5396000000000001E-2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0.79254265195873708</v>
      </c>
      <c r="D8" s="52">
        <f>IFERROR(1-_xlfn.NORM.DIST(_xlfn.NORM.INV(SUM(D10:D11), 0, 1) + 1, 0, 1, TRUE), "")</f>
        <v>0.79254265195873708</v>
      </c>
      <c r="E8" s="52">
        <f>IFERROR(1-_xlfn.NORM.DIST(_xlfn.NORM.INV(SUM(E10:E11), 0, 1) + 1, 0, 1, TRUE), "")</f>
        <v>0.77011652423707055</v>
      </c>
      <c r="F8" s="52">
        <f>IFERROR(1-_xlfn.NORM.DIST(_xlfn.NORM.INV(SUM(F10:F11), 0, 1) + 1, 0, 1, TRUE), "")</f>
        <v>0.76022921967238788</v>
      </c>
      <c r="G8" s="52">
        <f>IFERROR(1-_xlfn.NORM.DIST(_xlfn.NORM.INV(SUM(G10:G11), 0, 1) + 1, 0, 1, TRUE), "")</f>
        <v>0.84893168095746219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0.17271654804126296</v>
      </c>
      <c r="D9" s="52">
        <f>IFERROR(_xlfn.NORM.DIST(_xlfn.NORM.INV(SUM(D10:D11), 0, 1) + 1, 0, 1, TRUE) - SUM(D10:D11), "")</f>
        <v>0.17271654804126296</v>
      </c>
      <c r="E9" s="52">
        <f>IFERROR(_xlfn.NORM.DIST(_xlfn.NORM.INV(SUM(E10:E11), 0, 1) + 1, 0, 1, TRUE) - SUM(E10:E11), "")</f>
        <v>0.18888637576292944</v>
      </c>
      <c r="F9" s="52">
        <f>IFERROR(_xlfn.NORM.DIST(_xlfn.NORM.INV(SUM(F10:F11), 0, 1) + 1, 0, 1, TRUE) - SUM(F10:F11), "")</f>
        <v>0.19586348032761211</v>
      </c>
      <c r="G9" s="52">
        <f>IFERROR(_xlfn.NORM.DIST(_xlfn.NORM.INV(SUM(G10:G11), 0, 1) + 1, 0, 1, TRUE) - SUM(G10:G11), "")</f>
        <v>0.12998451904253777</v>
      </c>
    </row>
    <row r="10" spans="1:15" ht="15.75" customHeight="1" x14ac:dyDescent="0.25">
      <c r="B10" s="5" t="s">
        <v>119</v>
      </c>
      <c r="C10" s="45">
        <v>2.6199299999999998E-2</v>
      </c>
      <c r="D10" s="53">
        <v>2.6199299999999998E-2</v>
      </c>
      <c r="E10" s="53">
        <v>3.6626800000000001E-2</v>
      </c>
      <c r="F10" s="53">
        <v>3.9041600000000003E-2</v>
      </c>
      <c r="G10" s="53">
        <v>1.9322599999999999E-2</v>
      </c>
    </row>
    <row r="11" spans="1:15" ht="15.75" customHeight="1" x14ac:dyDescent="0.25">
      <c r="B11" s="5" t="s">
        <v>120</v>
      </c>
      <c r="C11" s="45">
        <v>8.5415000000000005E-3</v>
      </c>
      <c r="D11" s="53">
        <v>8.5415000000000005E-3</v>
      </c>
      <c r="E11" s="53">
        <v>4.3702999999999997E-3</v>
      </c>
      <c r="F11" s="53">
        <v>4.8656999999999997E-3</v>
      </c>
      <c r="G11" s="53">
        <v>1.7612000000000001E-3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0.76416372425000001</v>
      </c>
      <c r="D14" s="54">
        <v>0.73473477243899987</v>
      </c>
      <c r="E14" s="54">
        <v>0.73473477243899987</v>
      </c>
      <c r="F14" s="54">
        <v>0.43763231825400001</v>
      </c>
      <c r="G14" s="54">
        <v>0.43763231825400001</v>
      </c>
      <c r="H14" s="45">
        <v>0.34</v>
      </c>
      <c r="I14" s="55">
        <v>0.34</v>
      </c>
      <c r="J14" s="55">
        <v>0.34</v>
      </c>
      <c r="K14" s="55">
        <v>0.34</v>
      </c>
      <c r="L14" s="45">
        <v>0.28399999999999997</v>
      </c>
      <c r="M14" s="55">
        <v>0.28399999999999997</v>
      </c>
      <c r="N14" s="55">
        <v>0.28399999999999997</v>
      </c>
      <c r="O14" s="55">
        <v>0.28399999999999997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0.39129538414828224</v>
      </c>
      <c r="D15" s="52">
        <f t="shared" si="0"/>
        <v>0.37622608337079694</v>
      </c>
      <c r="E15" s="52">
        <f t="shared" si="0"/>
        <v>0.37622608337079694</v>
      </c>
      <c r="F15" s="52">
        <f t="shared" si="0"/>
        <v>0.22409269198818849</v>
      </c>
      <c r="G15" s="52">
        <f t="shared" si="0"/>
        <v>0.22409269198818849</v>
      </c>
      <c r="H15" s="52">
        <f t="shared" si="0"/>
        <v>0.17409938</v>
      </c>
      <c r="I15" s="52">
        <f t="shared" si="0"/>
        <v>0.17409938</v>
      </c>
      <c r="J15" s="52">
        <f t="shared" si="0"/>
        <v>0.17409938</v>
      </c>
      <c r="K15" s="52">
        <f t="shared" si="0"/>
        <v>0.17409938</v>
      </c>
      <c r="L15" s="52">
        <f t="shared" si="0"/>
        <v>0.14542418799999998</v>
      </c>
      <c r="M15" s="52">
        <f t="shared" si="0"/>
        <v>0.14542418799999998</v>
      </c>
      <c r="N15" s="52">
        <f t="shared" si="0"/>
        <v>0.14542418799999998</v>
      </c>
      <c r="O15" s="52">
        <f t="shared" si="0"/>
        <v>0.14542418799999998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9ZdowgRgFp0mgz41DbSgNzUGL8wtBIo0ChLgDh6FIhUdiltFEnrqxpykYt4Tnmpog6i7pJXYfXJtoTkjXTJAPA==" saltValue="6ZiCwBD7oTEZD1AbLbsi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0.73495149999999998</v>
      </c>
      <c r="D2" s="53">
        <v>0.33603460000000002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0.1755929</v>
      </c>
      <c r="D3" s="53">
        <v>0.26254559999999999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8.37923E-2</v>
      </c>
      <c r="D4" s="53">
        <v>0.38363609999999998</v>
      </c>
      <c r="E4" s="53">
        <v>0.97589309999999996</v>
      </c>
      <c r="F4" s="53">
        <v>0.50347750000000002</v>
      </c>
      <c r="G4" s="53">
        <v>0</v>
      </c>
    </row>
    <row r="5" spans="1:7" x14ac:dyDescent="0.25">
      <c r="B5" s="3" t="s">
        <v>132</v>
      </c>
      <c r="C5" s="52">
        <v>5.6632000000000002E-3</v>
      </c>
      <c r="D5" s="52">
        <v>1.77837E-2</v>
      </c>
      <c r="E5" s="52">
        <f>1-SUM(E2:E4)</f>
        <v>2.4106900000000042E-2</v>
      </c>
      <c r="F5" s="52">
        <f>1-SUM(F2:F4)</f>
        <v>0.49652249999999998</v>
      </c>
      <c r="G5" s="52">
        <f>1-SUM(G2:G4)</f>
        <v>1</v>
      </c>
    </row>
  </sheetData>
  <sheetProtection algorithmName="SHA-512" hashValue="5auR4MXF3BHGsE8YS9HyIp95JhdU/YDJLFXRsLQwMhahRvdMO+XE0WqKIdDeDhLYr475FsdrfPsY25etZmwx9Q==" saltValue="bf38dDCSSxtrX3hU3f6YG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/osYQDz9ICfp+nOxbdoM354ezWVuOeaI5AilJr6fxUo0T0Zrs0pNtXwYKS1y1NsRsclRziAvEzZHAzixauWIlQ==" saltValue="/mQ9hc53jg6hZcXgxWRBe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fSD5geBAb0mUO1ujh37PC6KNxyIluMICe/oH0o2P+xnnVrAVoU4jnizZagHeLcq/wtDD0/tu7RF7gD/F+HsSag==" saltValue="ny8TwCuWsULE2NR4wmNau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e/sERguSDGvo+ofeyseOQln9fCX3w4rTPdLB6ztstAOYlSEBvbmq4vnIVHhj0u6hBmyKZiG5FiT7UaqlsZqxgw==" saltValue="tOjdEwfZEaS52TJR8vY0P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rrXXrhi8UORZEYUTYfyvNhXKPHUumf1D/EygvdCVWg36LinPf58pOZXV8kijJ6cz+AMvo4hncdocfCFgZ1mrUg==" saltValue="KJfOp7Dz4WbJPv9c1mlkq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38.160776266150833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47.437843551227417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102.9076648678451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0.48473115959564478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0.39672310000000011</v>
      </c>
      <c r="C10" s="98">
        <v>0.95</v>
      </c>
      <c r="D10" s="56">
        <v>15.09709288172251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15.09709288172251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15.09709288172251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15.09709288172251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0.39672310000000011</v>
      </c>
      <c r="C14" s="98">
        <v>0.95</v>
      </c>
      <c r="D14" s="56">
        <v>15.09709288172251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15.09709288172251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0.2755978</v>
      </c>
      <c r="C16" s="98">
        <v>0.95</v>
      </c>
      <c r="D16" s="56">
        <v>0.29966946653826387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8.6839288888888894E-2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0.33603460000000002</v>
      </c>
      <c r="C18" s="98">
        <v>0.95</v>
      </c>
      <c r="D18" s="56">
        <v>2.4661440905760248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0.33603460000000002</v>
      </c>
      <c r="C19" s="98">
        <v>0.95</v>
      </c>
      <c r="D19" s="56">
        <v>2.4661440905760248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3.3085818740876318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25.756145724245069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0.38460499999999997</v>
      </c>
      <c r="C23" s="98">
        <v>0.95</v>
      </c>
      <c r="D23" s="56">
        <v>4.9613185520035712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0.85257555200732993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0.39672310000000011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21.789130572923639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0.32846330000000001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0.1671841</v>
      </c>
      <c r="C29" s="98">
        <v>0.95</v>
      </c>
      <c r="D29" s="56">
        <v>68.300854175426551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8.9499999999999996E-2</v>
      </c>
      <c r="C31" s="98">
        <v>0.95</v>
      </c>
      <c r="D31" s="56">
        <v>0.8470232226654113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0.16</v>
      </c>
      <c r="C32" s="98">
        <v>0.95</v>
      </c>
      <c r="D32" s="56">
        <v>0.58527783165992031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0.42456090000000002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0.64379720000000007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1.3108E-3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0.26926600000000001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0.22490360000000001</v>
      </c>
      <c r="C38" s="98">
        <v>0.95</v>
      </c>
      <c r="D38" s="56">
        <v>5.2830002631247943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F7cWT5639yqV9nZfqHHD5T4VLTInqKFqnyNj5DIltX8+8M9fda+Fttow/mdR78NR48EMTMJr2YaRIGOj1GhLHQ==" saltValue="CZd15awHEtt44Ck24mod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h+mCraByjvWEgWWGreqxPlozZZ3NEGKArcCHudaonm/8GM4ndtOVwrziIGi/rTqgchy+Qf51nzNBK3hzv8ClXA==" saltValue="Rbesg09Jwi6O48LfN2xOy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IQB9RMeeKJaWIwACq35Tl6Yz1rgNgToZON64B37i+f4dl/TX/7hxMh7ctIaOH3fyeea/eNEaYlsGHQAd7KDFMQ==" saltValue="IO+LRTV2ahcd/7IJRhYIF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6.811818E-2</v>
      </c>
      <c r="C3" s="21">
        <f>frac_mam_1_5months * 2.6</f>
        <v>6.811818E-2</v>
      </c>
      <c r="D3" s="21">
        <f>frac_mam_6_11months * 2.6</f>
        <v>9.5229680000000011E-2</v>
      </c>
      <c r="E3" s="21">
        <f>frac_mam_12_23months * 2.6</f>
        <v>0.10150816000000001</v>
      </c>
      <c r="F3" s="21">
        <f>frac_mam_24_59months * 2.6</f>
        <v>5.023876E-2</v>
      </c>
    </row>
    <row r="4" spans="1:6" ht="15.75" customHeight="1" x14ac:dyDescent="0.25">
      <c r="A4" s="3" t="s">
        <v>208</v>
      </c>
      <c r="B4" s="21">
        <f>frac_sam_1month * 2.6</f>
        <v>2.2207900000000003E-2</v>
      </c>
      <c r="C4" s="21">
        <f>frac_sam_1_5months * 2.6</f>
        <v>2.2207900000000003E-2</v>
      </c>
      <c r="D4" s="21">
        <f>frac_sam_6_11months * 2.6</f>
        <v>1.1362779999999999E-2</v>
      </c>
      <c r="E4" s="21">
        <f>frac_sam_12_23months * 2.6</f>
        <v>1.265082E-2</v>
      </c>
      <c r="F4" s="21">
        <f>frac_sam_24_59months * 2.6</f>
        <v>4.5791200000000008E-3</v>
      </c>
    </row>
  </sheetData>
  <sheetProtection algorithmName="SHA-512" hashValue="dsNh7yRnOueSK4wKMQsrvrhx15AeYcubjJ62aPG+ftmzrk8bLUhyCfXpEwfGJ1WC//zm7ikPdG7XUIdzmNm8Zg==" saltValue="D8YBxicGU3DwA/zzh1FG6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0.33900000000000002</v>
      </c>
      <c r="E2" s="60">
        <f>food_insecure</f>
        <v>0.33900000000000002</v>
      </c>
      <c r="F2" s="60">
        <f>food_insecure</f>
        <v>0.33900000000000002</v>
      </c>
      <c r="G2" s="60">
        <f>food_insecure</f>
        <v>0.33900000000000002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0.33900000000000002</v>
      </c>
      <c r="F5" s="60">
        <f>food_insecure</f>
        <v>0.33900000000000002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0.33900000000000002</v>
      </c>
      <c r="F8" s="60">
        <f>food_insecure</f>
        <v>0.33900000000000002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0.33900000000000002</v>
      </c>
      <c r="F9" s="60">
        <f>food_insecure</f>
        <v>0.33900000000000002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0.33900000000000002</v>
      </c>
      <c r="I15" s="60">
        <f>food_insecure</f>
        <v>0.33900000000000002</v>
      </c>
      <c r="J15" s="60">
        <f>food_insecure</f>
        <v>0.33900000000000002</v>
      </c>
      <c r="K15" s="60">
        <f>food_insecure</f>
        <v>0.33900000000000002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0.54</v>
      </c>
      <c r="I19" s="60">
        <f>frac_malaria_risk</f>
        <v>0.54</v>
      </c>
      <c r="J19" s="60">
        <f>frac_malaria_risk</f>
        <v>0.54</v>
      </c>
      <c r="K19" s="60">
        <f>frac_malaria_risk</f>
        <v>0.54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0.14799999999999999</v>
      </c>
      <c r="M24" s="60">
        <f>famplan_unmet_need</f>
        <v>0.14799999999999999</v>
      </c>
      <c r="N24" s="60">
        <f>famplan_unmet_need</f>
        <v>0.14799999999999999</v>
      </c>
      <c r="O24" s="60">
        <f>famplan_unmet_need</f>
        <v>0.14799999999999999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0.3138380533390045</v>
      </c>
      <c r="M25" s="60">
        <f>(1-food_insecure)*(0.49)+food_insecure*(0.7)</f>
        <v>0.56119000000000008</v>
      </c>
      <c r="N25" s="60">
        <f>(1-food_insecure)*(0.49)+food_insecure*(0.7)</f>
        <v>0.56119000000000008</v>
      </c>
      <c r="O25" s="60">
        <f>(1-food_insecure)*(0.49)+food_insecure*(0.7)</f>
        <v>0.56119000000000008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0.13450202285957336</v>
      </c>
      <c r="M26" s="60">
        <f>(1-food_insecure)*(0.21)+food_insecure*(0.3)</f>
        <v>0.24051</v>
      </c>
      <c r="N26" s="60">
        <f>(1-food_insecure)*(0.21)+food_insecure*(0.3)</f>
        <v>0.24051</v>
      </c>
      <c r="O26" s="60">
        <f>(1-food_insecure)*(0.21)+food_insecure*(0.3)</f>
        <v>0.24051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0.11089664102554321</v>
      </c>
      <c r="M27" s="60">
        <f>(1-food_insecure)*(0.3)</f>
        <v>0.1983</v>
      </c>
      <c r="N27" s="60">
        <f>(1-food_insecure)*(0.3)</f>
        <v>0.1983</v>
      </c>
      <c r="O27" s="60">
        <f>(1-food_insecure)*(0.3)</f>
        <v>0.1983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0.44076328277587906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0.54</v>
      </c>
      <c r="D34" s="60">
        <f t="shared" si="3"/>
        <v>0.54</v>
      </c>
      <c r="E34" s="60">
        <f t="shared" si="3"/>
        <v>0.54</v>
      </c>
      <c r="F34" s="60">
        <f t="shared" si="3"/>
        <v>0.54</v>
      </c>
      <c r="G34" s="60">
        <f t="shared" si="3"/>
        <v>0.54</v>
      </c>
      <c r="H34" s="60">
        <f t="shared" si="3"/>
        <v>0.54</v>
      </c>
      <c r="I34" s="60">
        <f t="shared" si="3"/>
        <v>0.54</v>
      </c>
      <c r="J34" s="60">
        <f t="shared" si="3"/>
        <v>0.54</v>
      </c>
      <c r="K34" s="60">
        <f t="shared" si="3"/>
        <v>0.54</v>
      </c>
      <c r="L34" s="60">
        <f t="shared" si="3"/>
        <v>0.54</v>
      </c>
      <c r="M34" s="60">
        <f t="shared" si="3"/>
        <v>0.54</v>
      </c>
      <c r="N34" s="60">
        <f t="shared" si="3"/>
        <v>0.54</v>
      </c>
      <c r="O34" s="60">
        <f t="shared" si="3"/>
        <v>0.54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KVRbedaAPcILekvrKn7JSQ1hmI2c1jJXECVSuFB9Ij9Glj0LxRdq2HK/mQasqtP6w6zUeTdj38V/lhldIAKlA==" saltValue="r8eHfcg2kRwy8B6rz2GkS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r9SlcuynB5sZEV37CH132FF8ThYHe9I3hW1AmMpZz5OarGtd64SxwhjOue8fwwKkIjgDZkAeyRmnfDCX18jriQ==" saltValue="YjN6GeRvKWi0elCsQSijx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mKeX/7YjjLkoRJ9DWZl83x12zm+0WFS/SRZA5vzPqnr3FfQOoflNzNFGMNbez8vqbBrqlapItmfYKGKu8UnIw==" saltValue="BjsAuIxn7DJsIsM0XXab2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QilFIlWWWQwwKcow4fQZ8ZL0bbjdfkPhMU37+9mVqO1k1f44Kxt4pU1afXWf6KFWw9cEwaFgMEsk5nAqJ2g6g==" saltValue="2ZBP665tdwEc6/uMNKDdW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5TVm8jLZcXV07T69CVJVdwrZPH9LZjOMr4F3qmUaBho/07UGDU+woJN8XkMDCR+fZpwg99tcyjVLIRk91zYO1w==" saltValue="jea1ySYK72n2Y9mc0RD87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+HL/HzZrdjLG48N5H83JfXeHC002zYBo8Y9i3iuBsnk/krl1+o7OcRC009fbF9aMtlmQTG1jhcQJOAjwY3y75g==" saltValue="q3FXuxoQzdK+8bSGbn3ew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4Fc/KlczozTHtc16veXxxnobdH2LXLEjYzcnSKPEkifykGRhZP7voui6E2H/NvGNHCxPE5mMb5oeZXR0gTPz3g==" saltValue="b3K+Rh3HNTRNubWiZP3zx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+8YuLZ0u7si+pEDSxrnNLyeMicVRwOKDgjeevmRy3fUCR7dqvQGUv0Ol0sKX1HsWxL2YKasGqfPRZLA9oq3p6Q==" saltValue="5z/iiK4swywX1n7gRx8M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mCjsDO2HCsZZCPDrzIdhO53P8d8s7WBbRtUkM1wqs4tOd5sZWGKTkOqGUkMUqmyIkwhmwJzCvlKap71C94mNQ==" saltValue="fOaR3/IL7fX9MrFvyhtM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rnIUCQTSLU3Xr73KrMXDzSgHbkDWWEH7I9pyZtm2uIUKQu8rGH5lLqIssd1TpWlb5546gsWhmrU6ZMTgcNhrkw==" saltValue="13e7CaMNtcUBGTK80f4S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8iKbXJPsWfMbE0e4r1OoVp/1KB6XHfhroXRxCjhmKcW8LyXYwJ1LkVT9IojIHRDyLY6U8HHOFUWSIc+ARuJ/fQ==" saltValue="Lf6TJN3WNdlU+nfVhH1c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8Fk7qRAU6GNOHevwvn0gifKT01xjcj6nNMrluHjM4sNaxReBgiwM/ZpiLYjE9TLJSuMOJ3LF9Mv/b39x+tlyvQ==" saltValue="JbCopnD9hsYkm8/8oAFS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C1e5KUjH/tuUnmkZ+c4xFV4wnuLpHsakPH/1M1OsqlsbyqfUpe6ZoXS/ezMuIAsVpq7M8KuHCtVxYJuNkTEvKw==" saltValue="7l59fU1w803kE4pjK6tmH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0.10957194184832053</v>
      </c>
      <c r="G18" s="90">
        <f>MIN(MAX(1-0.89/(1-frac_sam_12_23months+(frac_sam_12_23months*0.89)),0),1)</f>
        <v>0.10952339287699941</v>
      </c>
      <c r="H18" s="90">
        <f>MIN(MAX(1-0.89/(1-frac_sam_24_59months+(frac_sam_24_59months*0.89)),0),1)</f>
        <v>0.10982754510996917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0.10639973098334587</v>
      </c>
      <c r="G20" s="90">
        <f>MIN(MAX(1-0.89/(1-frac_mam_12_23months+(frac_mam_12_23months*0.89)),0),1)</f>
        <v>0.10616134195127169</v>
      </c>
      <c r="H20" s="90">
        <f>MIN(MAX(1-0.89/(1-frac_mam_24_59months+(frac_mam_24_59months*0.89)),0),1)</f>
        <v>0.10810428815100492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9.9567321390646724E-3</v>
      </c>
      <c r="G73" s="90">
        <f>MIN(MAX(1-0.99/(1-frac_sam_12_23months+(frac_sam_12_23months*0.99)),0),1)</f>
        <v>9.9518272260573637E-3</v>
      </c>
      <c r="H73" s="90">
        <f>MIN(MAX(1-0.99/(1-frac_sam_24_59months+(frac_sam_24_59months*0.99)),0),1)</f>
        <v>9.9825638129138472E-3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9.6372618206125304E-3</v>
      </c>
      <c r="G75" s="90">
        <f>MIN(MAX(1-0.99/(1-frac_mam_12_23months+(frac_mam_12_23months*0.99)),0),1)</f>
        <v>9.613337200656491E-3</v>
      </c>
      <c r="H75" s="90">
        <f>MIN(MAX(1-0.99/(1-frac_mam_24_59months+(frac_mam_24_59months*0.99)),0),1)</f>
        <v>9.8086692899322925E-3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0.1993001402806136</v>
      </c>
      <c r="G128" s="90">
        <f>MIN(MAX(1-0.8/(1-frac_sam_12_23months+(frac_sam_12_23months*0.8)),0),1)</f>
        <v>0.19922072966086224</v>
      </c>
      <c r="H128" s="90">
        <f>MIN(MAX(1-0.8/(1-frac_sam_24_59months+(frac_sam_24_59months*0.8)),0),1)</f>
        <v>0.19971810870661078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0.19409646649178025</v>
      </c>
      <c r="G130" s="90">
        <f>MIN(MAX(1-0.8/(1-frac_mam_12_23months+(frac_mam_12_23months*0.8)),0),1)</f>
        <v>0.19370418425600988</v>
      </c>
      <c r="H130" s="90">
        <f>MIN(MAX(1-0.8/(1-frac_mam_24_59months+(frac_mam_24_59months*0.8)),0),1)</f>
        <v>0.1968963900372267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R1Bos82p6UzL9FdlDfox4e5CqCIm2Zkv3S4xC5hrFIJZ79CFunLFET+uTlPAo/bLN8NbpWkzmJwAQrbFZrrQsw==" saltValue="wWK64smsF8wbnMnfI/+U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l9AFu+8eFQONnygci/2S/NeWpJGGItcb7GZOpgdQbXrS5Sqnz8AhMdvZiJZ3kc+oDNZaR0BdD0d2hoYg29eFbw==" saltValue="Q9cKKpgoLWfqia0N5OSmy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2024-08-06T10:01:09Z</dcterms:modified>
</cp:coreProperties>
</file>