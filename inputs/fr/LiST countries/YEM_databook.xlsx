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70F2BFE-27D7-4C32-934D-C3D3085F3C2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<sst xmlns="http://schemas.openxmlformats.org/spreadsheetml/2006/main" count="2159" uniqueCount="368">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</sst>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4780675.4999999991</v>
      </c>
    </row>
    <row r="8" spans="1:3" ht="15" customHeight="1" x14ac:dyDescent="0.25">
      <c r="B8" s="5" t="s">
        <v>37</v>
      </c>
      <c r="C8" s="44">
        <v>0.48599999999999999</v>
      </c>
    </row>
    <row r="9" spans="1:3" ht="15" customHeight="1" x14ac:dyDescent="0.25">
      <c r="B9" s="5" t="s">
        <v>38</v>
      </c>
      <c r="C9" s="45">
        <v>0.47</v>
      </c>
    </row>
    <row r="10" spans="1:3" ht="15" customHeight="1" x14ac:dyDescent="0.25">
      <c r="B10" s="5" t="s">
        <v>39</v>
      </c>
      <c r="C10" s="45">
        <v>0.40195039999999999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8.5299999999999987E-2</v>
      </c>
    </row>
    <row r="24" spans="1:3" ht="15" customHeight="1" x14ac:dyDescent="0.25">
      <c r="B24" s="15" t="s">
        <v>51</v>
      </c>
      <c r="C24" s="45">
        <v>0.48899999999999999</v>
      </c>
    </row>
    <row r="25" spans="1:3" ht="15" customHeight="1" x14ac:dyDescent="0.25">
      <c r="B25" s="15" t="s">
        <v>52</v>
      </c>
      <c r="C25" s="45">
        <v>0.35580000000000001</v>
      </c>
    </row>
    <row r="26" spans="1:3" ht="15" customHeight="1" x14ac:dyDescent="0.25">
      <c r="B26" s="15" t="s">
        <v>53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0.206672123736343</v>
      </c>
    </row>
    <row r="30" spans="1:3" ht="14.25" customHeight="1" x14ac:dyDescent="0.25">
      <c r="B30" s="25" t="s">
        <v>56</v>
      </c>
      <c r="C30" s="99">
        <v>0.111375096799569</v>
      </c>
    </row>
    <row r="31" spans="1:3" ht="14.25" customHeight="1" x14ac:dyDescent="0.25">
      <c r="B31" s="25" t="s">
        <v>57</v>
      </c>
      <c r="C31" s="99">
        <v>0.12654954787338499</v>
      </c>
    </row>
    <row r="32" spans="1:3" ht="14.25" customHeight="1" x14ac:dyDescent="0.25">
      <c r="B32" s="25" t="s">
        <v>58</v>
      </c>
      <c r="C32" s="99">
        <v>0.55540323159070293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28.3093</v>
      </c>
    </row>
    <row r="38" spans="1:5" ht="15" customHeight="1" x14ac:dyDescent="0.25">
      <c r="B38" s="11" t="s">
        <v>63</v>
      </c>
      <c r="C38" s="43">
        <v>46.654730000000001</v>
      </c>
      <c r="D38" s="12"/>
      <c r="E38" s="13"/>
    </row>
    <row r="39" spans="1:5" ht="15" customHeight="1" x14ac:dyDescent="0.25">
      <c r="B39" s="11" t="s">
        <v>64</v>
      </c>
      <c r="C39" s="43">
        <v>61.908940000000001</v>
      </c>
      <c r="D39" s="12"/>
      <c r="E39" s="12"/>
    </row>
    <row r="40" spans="1:5" ht="15" customHeight="1" x14ac:dyDescent="0.25">
      <c r="B40" s="11" t="s">
        <v>65</v>
      </c>
      <c r="C40" s="100">
        <v>1.83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7.4885000000000004E-3</v>
      </c>
      <c r="D45" s="12"/>
    </row>
    <row r="46" spans="1:5" ht="15.75" customHeight="1" x14ac:dyDescent="0.25">
      <c r="B46" s="11" t="s">
        <v>70</v>
      </c>
      <c r="C46" s="45">
        <v>8.0462399999999989E-2</v>
      </c>
      <c r="D46" s="12"/>
    </row>
    <row r="47" spans="1:5" ht="15.75" customHeight="1" x14ac:dyDescent="0.25">
      <c r="B47" s="11" t="s">
        <v>71</v>
      </c>
      <c r="C47" s="45">
        <v>7.3879500000000001E-2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7.1760000000000002</v>
      </c>
      <c r="D51" s="12"/>
    </row>
    <row r="52" spans="1:4" ht="15" customHeight="1" x14ac:dyDescent="0.25">
      <c r="B52" s="11" t="s">
        <v>75</v>
      </c>
      <c r="C52" s="100">
        <v>7.1760000000000002</v>
      </c>
    </row>
    <row r="53" spans="1:4" ht="15.75" customHeight="1" x14ac:dyDescent="0.25">
      <c r="B53" s="11" t="s">
        <v>76</v>
      </c>
      <c r="C53" s="100">
        <v>11.622</v>
      </c>
    </row>
    <row r="54" spans="1:4" ht="15.75" customHeight="1" x14ac:dyDescent="0.25">
      <c r="B54" s="11" t="s">
        <v>77</v>
      </c>
      <c r="C54" s="100">
        <v>11.986000000000001</v>
      </c>
    </row>
    <row r="55" spans="1:4" ht="15.75" customHeight="1" x14ac:dyDescent="0.25">
      <c r="B55" s="11" t="s">
        <v>78</v>
      </c>
      <c r="C55" s="100">
        <v>6.3526666666666678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0.53084200000000004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n3PtkMY+t1cdi4HFjjaavLN7NOiGXLHT3hnpInCm+4UJPETK6btDQNpxTycN6W82pPyedvmS2Oyl7OImmVoIA==" saltValue="HkgTgZAB4lwYwBvc7xBv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9iCw4ypYVyDZSbDi4K1djbY1lo0WpLqd3nVcCmAd0+x0vP2JYEkkOri5BEeqU1VBfTgJ4ZovBzidh22BniD5w==" saltValue="55RgFfjDr3Oj8sgzCDfY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1.9833151046773551E-2</v>
      </c>
    </row>
    <row r="4" spans="1:8" ht="15.75" customHeight="1" x14ac:dyDescent="0.25">
      <c r="B4" s="19" t="s">
        <v>97</v>
      </c>
      <c r="C4" s="101">
        <v>6.3894030924347367E-2</v>
      </c>
    </row>
    <row r="5" spans="1:8" ht="15.75" customHeight="1" x14ac:dyDescent="0.25">
      <c r="B5" s="19" t="s">
        <v>98</v>
      </c>
      <c r="C5" s="101">
        <v>9.4246268158946475E-2</v>
      </c>
    </row>
    <row r="6" spans="1:8" ht="15.75" customHeight="1" x14ac:dyDescent="0.25">
      <c r="B6" s="19" t="s">
        <v>99</v>
      </c>
      <c r="C6" s="101">
        <v>0.23881032694278609</v>
      </c>
    </row>
    <row r="7" spans="1:8" ht="15.75" customHeight="1" x14ac:dyDescent="0.25">
      <c r="B7" s="19" t="s">
        <v>100</v>
      </c>
      <c r="C7" s="101">
        <v>0.3871881532303128</v>
      </c>
    </row>
    <row r="8" spans="1:8" ht="15.75" customHeight="1" x14ac:dyDescent="0.25">
      <c r="B8" s="19" t="s">
        <v>101</v>
      </c>
      <c r="C8" s="101">
        <v>5.8535036070138371E-3</v>
      </c>
    </row>
    <row r="9" spans="1:8" ht="15.75" customHeight="1" x14ac:dyDescent="0.25">
      <c r="B9" s="19" t="s">
        <v>102</v>
      </c>
      <c r="C9" s="101">
        <v>7.3348498268419438E-2</v>
      </c>
    </row>
    <row r="10" spans="1:8" ht="15.75" customHeight="1" x14ac:dyDescent="0.25">
      <c r="B10" s="19" t="s">
        <v>103</v>
      </c>
      <c r="C10" s="101">
        <v>0.1168260678214004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106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107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108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109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110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111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112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113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4.5856951999999999E-2</v>
      </c>
    </row>
    <row r="27" spans="1:8" ht="15.75" customHeight="1" x14ac:dyDescent="0.25">
      <c r="B27" s="19" t="s">
        <v>120</v>
      </c>
      <c r="C27" s="101">
        <v>2.7671261999999999E-2</v>
      </c>
    </row>
    <row r="28" spans="1:8" ht="15.75" customHeight="1" x14ac:dyDescent="0.25">
      <c r="B28" s="19" t="s">
        <v>121</v>
      </c>
      <c r="C28" s="101">
        <v>0.19152286900000001</v>
      </c>
    </row>
    <row r="29" spans="1:8" ht="15.75" customHeight="1" x14ac:dyDescent="0.25">
      <c r="B29" s="19" t="s">
        <v>122</v>
      </c>
      <c r="C29" s="101">
        <v>0.15015504499999999</v>
      </c>
    </row>
    <row r="30" spans="1:8" ht="15.75" customHeight="1" x14ac:dyDescent="0.25">
      <c r="B30" s="19" t="s">
        <v>2</v>
      </c>
      <c r="C30" s="101">
        <v>5.0148384999999997E-2</v>
      </c>
    </row>
    <row r="31" spans="1:8" ht="15.75" customHeight="1" x14ac:dyDescent="0.25">
      <c r="B31" s="19" t="s">
        <v>123</v>
      </c>
      <c r="C31" s="101">
        <v>3.0652005E-2</v>
      </c>
    </row>
    <row r="32" spans="1:8" ht="15.75" customHeight="1" x14ac:dyDescent="0.25">
      <c r="B32" s="19" t="s">
        <v>124</v>
      </c>
      <c r="C32" s="101">
        <v>8.6489898999999995E-2</v>
      </c>
    </row>
    <row r="33" spans="2:3" ht="15.75" customHeight="1" x14ac:dyDescent="0.25">
      <c r="B33" s="19" t="s">
        <v>125</v>
      </c>
      <c r="C33" s="101">
        <v>0.168218437</v>
      </c>
    </row>
    <row r="34" spans="2:3" ht="15.75" customHeight="1" x14ac:dyDescent="0.25">
      <c r="B34" s="19" t="s">
        <v>126</v>
      </c>
      <c r="C34" s="101">
        <v>0.24928514500000001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6tNOngyrIr+3P24CmdWgcCs54UPYCnjwPbifi6/mQ9ajss5msGXyfVYYuWvS3NEfJ4jhaLtvSv1pUisnuN0alg==" saltValue="wZow812mHFIWgaJSiFkRa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132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133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137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138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hjZVzo/13Kj3e3i9zPFDeQcp7EIxhvmtxyWLR2uL2TQYimWxjviJdwLiUHmOQDoaakFlUyZk/iAwAxMj5/N7g==" saltValue="RWOQI3xFp0t/LwIOfXij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6.2564600000000081E-2</v>
      </c>
      <c r="D5" s="52">
        <f t="shared" si="0"/>
        <v>6.814079999999989E-2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93xlO2jsi2sIIIhqy4X56kpqaY6XukZ6Hd39uC5lgFN2BskCE1EWCZ55r5yBw6TxtLYOdxcdf++A3MrkkyXCQg==" saltValue="9JUe5G1UB4sOydI+5wG+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EVkSbyNqK583w3wXf6f2UvhS98lGuAn1lXefw2wsFdUzYI+GQwi1bmOnN6j2AcyFtI8eiv0GBQGCeLQwznh9w==" saltValue="sSCLHqSiYX8Q96llEqCF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650.27221843476605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0.35046999999999995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5.2209999999999999E-2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1.9218898624999998E-2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94138.543510000003</v>
      </c>
      <c r="C22" s="109">
        <v>93543.137419999999</v>
      </c>
      <c r="D22" s="109">
        <v>92939.119000000006</v>
      </c>
      <c r="E22" s="109">
        <v>92284.929300000003</v>
      </c>
      <c r="F22" s="109">
        <v>91278.827590000001</v>
      </c>
      <c r="G22" s="109">
        <v>90260.442030000006</v>
      </c>
      <c r="H22" s="109">
        <v>89137.620219999997</v>
      </c>
      <c r="I22" s="109">
        <v>87800.377890000003</v>
      </c>
      <c r="J22" s="109">
        <v>85995.471919999996</v>
      </c>
      <c r="K22" s="109">
        <v>83536.083499999993</v>
      </c>
      <c r="L22" s="109">
        <v>79951.452929999999</v>
      </c>
      <c r="M22" s="109">
        <v>74893.748070000001</v>
      </c>
      <c r="N22" s="109">
        <v>67531.861359999995</v>
      </c>
      <c r="O22" s="109">
        <v>57922.792350000003</v>
      </c>
    </row>
  </sheetData>
  <sheetProtection algorithmName="SHA-512" hashValue="G87GnaQTszXyehxk6TAdwoXjXo0GhxYsjP/EqkyJmpVFy90vxXQYGEAmpr7vln3Att6Lz9RX7Swv4i3uksmyxg==" saltValue="ucRltFZ8OvVslRHeHpBzl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FVrXs5Mtf5KN2Ze91qosDlfkIHfoq/0DsDtiR+yMCWcJKkjqqxTDQgjz2C+M8Yj7ClB8s/oE5Xl6O685GXUUg==" saltValue="Mk4qYVV3G6G1tg/qrCbg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7+XQy2mBD2tVXjw6wXQhJ6DSiQVchvEjUnAblbyl0rVsR6qBNHpRVdA0cXgDoPR5f0X9EkpvRsh85tRj9n3J0A==" saltValue="aBye5qCUJSIsSrYpw2ek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5.5304300000000001E-2</v>
      </c>
      <c r="C10" s="98">
        <v>0.95</v>
      </c>
      <c r="D10" s="56">
        <v>13.539057252878379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13.539057252878379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13.539057252878379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13.539057252878379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5.5304300000000001E-2</v>
      </c>
      <c r="C14" s="98">
        <v>0.95</v>
      </c>
      <c r="D14" s="56">
        <v>13.539057252878379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13.539057252878379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0.95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0.28699999999999998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8.6708300000000002E-2</v>
      </c>
      <c r="C19" s="98">
        <v>0.95</v>
      </c>
      <c r="D19" s="56">
        <v>2.377996240315416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4.4606327668435339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0.21544450643631999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0.25274740000000001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0.21297360000000001</v>
      </c>
      <c r="C29" s="98">
        <v>0.95</v>
      </c>
      <c r="D29" s="56">
        <v>193.6128732031849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0.11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0.4861297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0.18614800000000001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4.8132400000000013E-2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0.57095980000000002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0.11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21ehMF2YJrGblnDuo5edfYG33bz7hHvtyxUyFQgtdAe/JA7Xpbysv0yCyoie53y6BoyZK92N0Vcpam5niGnAtg==" saltValue="Nkv16VcyjG2O8Io8MG03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9BB/hbupVAWg1a7kvj+D7yqS/rsltSGVcOY0cMKrDymsYkcHHU0+jYgIu18CNa5PwWdkzhlpXKvYdF/LME4vQ==" saltValue="bHsOsu9cu8ZlHwBRbK5Z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4G3nOz4Coq/38N3ZTREiYIf+PWBRTn8/T/GDAWYR/sUl+EWVtBkM8v3DzkXIt7f3ZxiXK2kTfb1AaBYGw9Gpw==" saltValue="VOBUPreqD/dWf0IP2Zmv2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7.1760000000000002</v>
      </c>
      <c r="C2" s="21">
        <f>'Données pop de l''année de ref'!C52</f>
        <v>7.1760000000000002</v>
      </c>
      <c r="D2" s="21">
        <f>'Données pop de l''année de ref'!C53</f>
        <v>11.622</v>
      </c>
      <c r="E2" s="21">
        <f>'Données pop de l''année de ref'!C54</f>
        <v>11.986000000000001</v>
      </c>
      <c r="F2" s="21">
        <f>'Données pop de l''année de ref'!C55</f>
        <v>6.3526666666666678</v>
      </c>
    </row>
    <row r="3" spans="1:6" ht="15.75" customHeight="1" x14ac:dyDescent="0.25">
      <c r="A3" s="3" t="s">
        <v>238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237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sheetProtection algorithmName="SHA-512" hashValue="dV55CeEDbxlkg7p0IGY0J7xbzCW3r0jZnwaVApGlunCQFAYR2MppWJddkbS4iGyKrA+4udXjau9EYKIKf1kwig==" saltValue="9cfIHXj09e7juqz1AITc7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0.48599999999999999</v>
      </c>
      <c r="F2" s="60">
        <f>food_insecure</f>
        <v>0.48599999999999999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0.48599999999999999</v>
      </c>
      <c r="F5" s="60">
        <f>food_insecure</f>
        <v>0.48599999999999999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0.14846896551724137</v>
      </c>
      <c r="D7" s="60">
        <f>diarrhoea_1_5mo*frac_diarrhea_severe</f>
        <v>0.14846896551724137</v>
      </c>
      <c r="E7" s="60">
        <f>diarrhoea_6_11mo*frac_diarrhea_severe</f>
        <v>0.24045517241379305</v>
      </c>
      <c r="F7" s="60">
        <f>diarrhoea_12_23mo*frac_diarrhea_severe</f>
        <v>0.24798620689655168</v>
      </c>
      <c r="G7" s="60">
        <f>diarrhoea_24_59mo*frac_diarrhea_severe</f>
        <v>0.13143448275862069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0.48599999999999999</v>
      </c>
      <c r="F8" s="60">
        <f>food_insecure</f>
        <v>0.48599999999999999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0.48599999999999999</v>
      </c>
      <c r="F9" s="60">
        <f>food_insecure</f>
        <v>0.48599999999999999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0.14846896551724137</v>
      </c>
      <c r="D12" s="60">
        <f>diarrhoea_1_5mo*frac_diarrhea_severe</f>
        <v>0.14846896551724137</v>
      </c>
      <c r="E12" s="60">
        <f>diarrhoea_6_11mo*frac_diarrhea_severe</f>
        <v>0.24045517241379305</v>
      </c>
      <c r="F12" s="60">
        <f>diarrhoea_12_23mo*frac_diarrhea_severe</f>
        <v>0.24798620689655168</v>
      </c>
      <c r="G12" s="60">
        <f>diarrhoea_24_59mo*frac_diarrhea_severe</f>
        <v>0.13143448275862069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0.48599999999999999</v>
      </c>
      <c r="I15" s="60">
        <f t="shared" si="0"/>
        <v>0.48599999999999999</v>
      </c>
      <c r="J15" s="60">
        <f t="shared" si="0"/>
        <v>0.48599999999999999</v>
      </c>
      <c r="K15" s="60">
        <f t="shared" si="0"/>
        <v>0.48599999999999999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0.48599999999999999</v>
      </c>
      <c r="I16" s="60">
        <f t="shared" si="0"/>
        <v>0.48599999999999999</v>
      </c>
      <c r="J16" s="60">
        <f t="shared" si="0"/>
        <v>0.48599999999999999</v>
      </c>
      <c r="K16" s="60">
        <f t="shared" si="0"/>
        <v>0.48599999999999999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0.35408124617600001</v>
      </c>
      <c r="M25" s="60">
        <f>(1-food_insecure)*(0.49)+food_insecure*(0.7)</f>
        <v>0.59206000000000003</v>
      </c>
      <c r="N25" s="60">
        <f>(1-food_insecure)*(0.49)+food_insecure*(0.7)</f>
        <v>0.59206000000000003</v>
      </c>
      <c r="O25" s="60">
        <f>(1-food_insecure)*(0.49)+food_insecure*(0.7)</f>
        <v>0.59206000000000003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0.15174910550399998</v>
      </c>
      <c r="M26" s="60">
        <f>(1-food_insecure)*(0.21)+food_insecure*(0.3)</f>
        <v>0.25373999999999997</v>
      </c>
      <c r="N26" s="60">
        <f>(1-food_insecure)*(0.21)+food_insecure*(0.3)</f>
        <v>0.25373999999999997</v>
      </c>
      <c r="O26" s="60">
        <f>(1-food_insecure)*(0.21)+food_insecure*(0.3)</f>
        <v>0.25373999999999997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9.2219248320000002E-2</v>
      </c>
      <c r="M27" s="60">
        <f>(1-food_insecure)*(0.3)</f>
        <v>0.1542</v>
      </c>
      <c r="N27" s="60">
        <f>(1-food_insecure)*(0.3)</f>
        <v>0.1542</v>
      </c>
      <c r="O27" s="60">
        <f>(1-food_insecure)*(0.3)</f>
        <v>0.1542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0.40195039999999999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0.47</v>
      </c>
      <c r="D34" s="60">
        <f t="shared" si="4"/>
        <v>0.47</v>
      </c>
      <c r="E34" s="60">
        <f t="shared" si="4"/>
        <v>0.47</v>
      </c>
      <c r="F34" s="60">
        <f t="shared" si="4"/>
        <v>0.47</v>
      </c>
      <c r="G34" s="60">
        <f t="shared" si="4"/>
        <v>0.47</v>
      </c>
      <c r="H34" s="60">
        <f t="shared" si="4"/>
        <v>0.47</v>
      </c>
      <c r="I34" s="60">
        <f t="shared" si="4"/>
        <v>0.47</v>
      </c>
      <c r="J34" s="60">
        <f t="shared" si="4"/>
        <v>0.47</v>
      </c>
      <c r="K34" s="60">
        <f t="shared" si="4"/>
        <v>0.47</v>
      </c>
      <c r="L34" s="60">
        <f t="shared" si="4"/>
        <v>0.47</v>
      </c>
      <c r="M34" s="60">
        <f t="shared" si="4"/>
        <v>0.47</v>
      </c>
      <c r="N34" s="60">
        <f t="shared" si="4"/>
        <v>0.47</v>
      </c>
      <c r="O34" s="60">
        <f t="shared" si="4"/>
        <v>0.47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ptSnnAwVmvmoLfE68AjWM2DKCzSJ8ZiCVSsoJAsDLoHGuwDaHrxERa4Hn8eVoDqE5sDMIvMGfojSZsPzjfgVw==" saltValue="z4vtbrKpAt2d8mCBHsoCJ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XhMRI8hAVDslNwrZwmjxNQjfQ8bSIuGE6/ylsN6FsYxlltR+w2RtPk81BUeqd4yZvR2qy1B/C35eQkeaCBW/TA==" saltValue="s6Fjqya9RHh9Hf47432N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qGx7IyIL6mw/+1AaUvMdbP+j5kuU1NfE/J0d//t+0AD0UKczCf/Jq4587lQR+tY7NAbXMLiXW2HQvv7AOkw9Q==" saltValue="qewZQJDkbFeO+y+zjXooi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i6nhaNUrJrGjafmiS4Awzf02wJ44tNjcDemzPos24oEcVBzyhPRnteqMdsBcuYKp/hZK0fs3nQ1uLUBc85mvg==" saltValue="3zSqGyFW4zEmBJclZZp5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TLVyWe5pTmt9AyrcZTeIPnhjf6MENDoH4yqu3xgUfk7P6P/LtlHApjKpnEy1ogIJdL5OOwaY97UQ0kP2L1aTzw==" saltValue="MewDmIbwC1dhjMNVA3VzO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RY2tIf3iyExYALkFUw+C/RO6mmWPtXGe+p2OqwpleEKxdsW9R0LgwQBZvzu0eGsdMrq4v/1WYlD/aU9JIYl+DQ==" saltValue="NtSIGcLsFQ1H0tgPMVF9u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Rx2uOMBEpMBWrhexUlIM2DL232MaqxBP6eDAFLPTmHt58WsqExAYvG2rV4q7mh4XwzyHAxTIdJ9c2/5gVaYDw==" saltValue="v+GLcnVo+AVzg+5PW25x4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lsmmFQwFPWMS8HeyqQvWrDLkoV6br5ivYzLLYXMcngTNXNcFivpFya1hHSmy6AaHg0Pb27gPQrSkKvLUCcY7Xw==" saltValue="/LC3NuHJ4vIT0WqhoqAm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Lq1ZpYLbxc91yPL8+js9lBG07c6ZKs+uVEjwdad+pYeczpEDbLkmkkZ0sMxDt3PXt1KMzvjzjeIrjI6SUHaZQ==" saltValue="IzxaAc/oRlR7g5fRXLhW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AuL/KkfE0+ckXuVjMBdigdITUcuiCJc4ZkDBM1hYnQK28Ya6LoHyRZB4EqnhLhoKcoa7lQdFFqonQCo5Kg+xQ==" saltValue="BZ9kGV9fC25NYTILgLK2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dyNBGZKQ4E0TXjF9LimcBvZUepDnntPBNZpznCEUSrKhWVf1gwwbRkQUztd8+ItGdPT4/erI3uzhl4R79nPmA==" saltValue="UjVzteyexGiN0Knna1gP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1VY5PsQ+1u+5B23sU2C0Jz6CoqIGHr5m/95vbw6DUseNoSSd7gXzO+U7GXzVGM3u/jrNQ1PhQ6k7OuiA0YtGA==" saltValue="adw0CJAA+z2gKrWbKdwQ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ZFeKbPaaQmruTEpLUAAMTkgCNV8ebFMu7Z/OyRjRxbjnp5hRZTfo10icrdlJl8JBdYR/zEX4uSLsdIMVawkow==" saltValue="80ZIYvZSfllJ/CXpQX87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Gs3mLahQs7+/bFlm+o7TF6ypNSiKZAjy9qIxzRf+4D9BaYCUUHgxfA6VDB6dASFsZcX0/yLToNN0XfBFVjlYA==" saltValue="8pngZ4LYqBGsrIHDZwpR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Ac1tHV6Z5sBRNGP70GLEixtf+qH5koStRhEuZfJVVX7R8FbddRT+Nzm3O2BNTWqkqBRystKDEnY5k+xb26umSg==" saltValue="kZaHZiOu6By4uR+9WgAcX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