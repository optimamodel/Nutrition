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EA5E524-9100-44F1-A510-C07D75523419}" xr6:coauthVersionLast="47" xr6:coauthVersionMax="47" xr10:uidLastSave="{00000000-0000-0000-0000-000000000000}"/>
  <bookViews>
    <workbookView xWindow="20" yWindow="38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G39" i="2"/>
  <c r="I39" i="2" s="1"/>
  <c r="H38" i="2"/>
  <c r="I38" i="2" s="1"/>
  <c r="G38" i="2"/>
  <c r="A32" i="2"/>
  <c r="A31" i="2"/>
  <c r="A23" i="2"/>
  <c r="A21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I6" i="2"/>
  <c r="H6" i="2"/>
  <c r="G6" i="2"/>
  <c r="H5" i="2"/>
  <c r="G5" i="2"/>
  <c r="I5" i="2" s="1"/>
  <c r="H4" i="2"/>
  <c r="I4" i="2" s="1"/>
  <c r="G4" i="2"/>
  <c r="H3" i="2"/>
  <c r="G3" i="2"/>
  <c r="H2" i="2"/>
  <c r="I2" i="2" s="1"/>
  <c r="G2" i="2"/>
  <c r="A2" i="2"/>
  <c r="A40" i="2" s="1"/>
  <c r="C33" i="1"/>
  <c r="C20" i="1"/>
  <c r="A15" i="2" l="1"/>
  <c r="A24" i="2"/>
  <c r="A33" i="2"/>
  <c r="A39" i="2"/>
  <c r="A16" i="2"/>
  <c r="A25" i="2"/>
  <c r="A34" i="2"/>
  <c r="A17" i="2"/>
  <c r="A26" i="2"/>
  <c r="A35" i="2"/>
  <c r="A18" i="2"/>
  <c r="A27" i="2"/>
  <c r="A3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9" i="2"/>
  <c r="A28" i="2"/>
  <c r="A37" i="2"/>
  <c r="I3" i="2"/>
  <c r="A20" i="2"/>
  <c r="A2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<sst xmlns="http://schemas.openxmlformats.org/spreadsheetml/2006/main" count="2101" uniqueCount="337">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</sst>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4795294.9375</v>
      </c>
    </row>
    <row r="8" spans="1:3" ht="15" customHeight="1" x14ac:dyDescent="0.25">
      <c r="B8" s="5" t="s">
        <v>19</v>
      </c>
      <c r="C8" s="44">
        <v>0.188</v>
      </c>
    </row>
    <row r="9" spans="1:3" ht="15" customHeight="1" x14ac:dyDescent="0.25">
      <c r="B9" s="5" t="s">
        <v>20</v>
      </c>
      <c r="C9" s="45">
        <v>0.47</v>
      </c>
    </row>
    <row r="10" spans="1:3" ht="15" customHeight="1" x14ac:dyDescent="0.25">
      <c r="B10" s="5" t="s">
        <v>21</v>
      </c>
      <c r="C10" s="45">
        <v>0.39787429809570302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8.5299999999999987E-2</v>
      </c>
    </row>
    <row r="24" spans="1:3" ht="15" customHeight="1" x14ac:dyDescent="0.25">
      <c r="B24" s="15" t="s">
        <v>33</v>
      </c>
      <c r="C24" s="45">
        <v>0.48899999999999999</v>
      </c>
    </row>
    <row r="25" spans="1:3" ht="15" customHeight="1" x14ac:dyDescent="0.25">
      <c r="B25" s="15" t="s">
        <v>34</v>
      </c>
      <c r="C25" s="45">
        <v>0.35580000000000001</v>
      </c>
    </row>
    <row r="26" spans="1:3" ht="15" customHeight="1" x14ac:dyDescent="0.25">
      <c r="B26" s="15" t="s">
        <v>35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0.206672123736343</v>
      </c>
    </row>
    <row r="30" spans="1:3" ht="14.25" customHeight="1" x14ac:dyDescent="0.25">
      <c r="B30" s="25" t="s">
        <v>38</v>
      </c>
      <c r="C30" s="99">
        <v>0.111375096799569</v>
      </c>
    </row>
    <row r="31" spans="1:3" ht="14.25" customHeight="1" x14ac:dyDescent="0.25">
      <c r="B31" s="25" t="s">
        <v>39</v>
      </c>
      <c r="C31" s="99">
        <v>0.12654954787338499</v>
      </c>
    </row>
    <row r="32" spans="1:3" ht="14.25" customHeight="1" x14ac:dyDescent="0.25">
      <c r="B32" s="25" t="s">
        <v>40</v>
      </c>
      <c r="C32" s="99">
        <v>0.55540323159070293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28.3093</v>
      </c>
    </row>
    <row r="38" spans="1:5" ht="15" customHeight="1" x14ac:dyDescent="0.25">
      <c r="B38" s="11" t="s">
        <v>45</v>
      </c>
      <c r="C38" s="43">
        <v>46.654730000000001</v>
      </c>
      <c r="D38" s="12"/>
      <c r="E38" s="13"/>
    </row>
    <row r="39" spans="1:5" ht="15" customHeight="1" x14ac:dyDescent="0.25">
      <c r="B39" s="11" t="s">
        <v>46</v>
      </c>
      <c r="C39" s="43">
        <v>61.908940000000001</v>
      </c>
      <c r="D39" s="12"/>
      <c r="E39" s="12"/>
    </row>
    <row r="40" spans="1:5" ht="15" customHeight="1" x14ac:dyDescent="0.25">
      <c r="B40" s="11" t="s">
        <v>47</v>
      </c>
      <c r="C40" s="100">
        <v>1.83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7.4885000000000004E-3</v>
      </c>
      <c r="D45" s="12"/>
    </row>
    <row r="46" spans="1:5" ht="15.75" customHeight="1" x14ac:dyDescent="0.25">
      <c r="B46" s="11" t="s">
        <v>52</v>
      </c>
      <c r="C46" s="45">
        <v>8.0462399999999989E-2</v>
      </c>
      <c r="D46" s="12"/>
    </row>
    <row r="47" spans="1:5" ht="15.75" customHeight="1" x14ac:dyDescent="0.25">
      <c r="B47" s="11" t="s">
        <v>53</v>
      </c>
      <c r="C47" s="45">
        <v>7.3879500000000001E-2</v>
      </c>
      <c r="D47" s="12"/>
      <c r="E47" s="13"/>
    </row>
    <row r="48" spans="1:5" ht="15" customHeight="1" x14ac:dyDescent="0.25">
      <c r="B48" s="11" t="s">
        <v>54</v>
      </c>
      <c r="C48" s="46">
        <v>0.83816959999999996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0.53084200000000004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MEJrneEoozDQAXI/vQ3uOeIoWdkcSg6cEyyJcUE6qJ4XaYiBYph5+5HVXCKuBlolwamHCjqR7lf5vR995X/u7g==" saltValue="92Gd2ILq397wyIBXDb2w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Xs59YfmX8wCWiSn4WGGwtwWAOHdgGKd0lJuOtHlQwnQwNmOeS2T5y94zALExtxroDfvQaY72cRBEF97w/LBag==" saltValue="OX8GkkfMzL9tP3S6GY+1Q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1.9833151046773551E-2</v>
      </c>
    </row>
    <row r="4" spans="1:8" ht="15.75" customHeight="1" x14ac:dyDescent="0.25">
      <c r="B4" s="19" t="s">
        <v>79</v>
      </c>
      <c r="C4" s="101">
        <v>6.3894030924347367E-2</v>
      </c>
    </row>
    <row r="5" spans="1:8" ht="15.75" customHeight="1" x14ac:dyDescent="0.25">
      <c r="B5" s="19" t="s">
        <v>80</v>
      </c>
      <c r="C5" s="101">
        <v>9.4246268158946475E-2</v>
      </c>
    </row>
    <row r="6" spans="1:8" ht="15.75" customHeight="1" x14ac:dyDescent="0.25">
      <c r="B6" s="19" t="s">
        <v>81</v>
      </c>
      <c r="C6" s="101">
        <v>0.23881032694278609</v>
      </c>
    </row>
    <row r="7" spans="1:8" ht="15.75" customHeight="1" x14ac:dyDescent="0.25">
      <c r="B7" s="19" t="s">
        <v>82</v>
      </c>
      <c r="C7" s="101">
        <v>0.3871881532303128</v>
      </c>
    </row>
    <row r="8" spans="1:8" ht="15.75" customHeight="1" x14ac:dyDescent="0.25">
      <c r="B8" s="19" t="s">
        <v>83</v>
      </c>
      <c r="C8" s="101">
        <v>5.8535036070138371E-3</v>
      </c>
    </row>
    <row r="9" spans="1:8" ht="15.75" customHeight="1" x14ac:dyDescent="0.25">
      <c r="B9" s="19" t="s">
        <v>84</v>
      </c>
      <c r="C9" s="101">
        <v>7.3348498268419438E-2</v>
      </c>
    </row>
    <row r="10" spans="1:8" ht="15.75" customHeight="1" x14ac:dyDescent="0.25">
      <c r="B10" s="19" t="s">
        <v>85</v>
      </c>
      <c r="C10" s="101">
        <v>0.1168260678214004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88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89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90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91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92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93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94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95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4.5856951999999999E-2</v>
      </c>
    </row>
    <row r="27" spans="1:8" ht="15.75" customHeight="1" x14ac:dyDescent="0.25">
      <c r="B27" s="19" t="s">
        <v>102</v>
      </c>
      <c r="C27" s="101">
        <v>2.7671261999999999E-2</v>
      </c>
    </row>
    <row r="28" spans="1:8" ht="15.75" customHeight="1" x14ac:dyDescent="0.25">
      <c r="B28" s="19" t="s">
        <v>103</v>
      </c>
      <c r="C28" s="101">
        <v>0.19152286900000001</v>
      </c>
    </row>
    <row r="29" spans="1:8" ht="15.75" customHeight="1" x14ac:dyDescent="0.25">
      <c r="B29" s="19" t="s">
        <v>104</v>
      </c>
      <c r="C29" s="101">
        <v>0.15015504499999999</v>
      </c>
    </row>
    <row r="30" spans="1:8" ht="15.75" customHeight="1" x14ac:dyDescent="0.25">
      <c r="B30" s="19" t="s">
        <v>2</v>
      </c>
      <c r="C30" s="101">
        <v>5.0148384999999997E-2</v>
      </c>
    </row>
    <row r="31" spans="1:8" ht="15.75" customHeight="1" x14ac:dyDescent="0.25">
      <c r="B31" s="19" t="s">
        <v>105</v>
      </c>
      <c r="C31" s="101">
        <v>3.0652005E-2</v>
      </c>
    </row>
    <row r="32" spans="1:8" ht="15.75" customHeight="1" x14ac:dyDescent="0.25">
      <c r="B32" s="19" t="s">
        <v>106</v>
      </c>
      <c r="C32" s="101">
        <v>8.6489898999999995E-2</v>
      </c>
    </row>
    <row r="33" spans="2:3" ht="15.75" customHeight="1" x14ac:dyDescent="0.25">
      <c r="B33" s="19" t="s">
        <v>107</v>
      </c>
      <c r="C33" s="101">
        <v>0.168218437</v>
      </c>
    </row>
    <row r="34" spans="2:3" ht="15.75" customHeight="1" x14ac:dyDescent="0.25">
      <c r="B34" s="19" t="s">
        <v>108</v>
      </c>
      <c r="C34" s="101">
        <v>0.24928514500000001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mt/CtFOPJ8ISYcNWN4bLG2Mp2kAQOmSMBzkj5yeAgB6JEi2uNRIEB8178uUUk25INa7Monzss4KWt66TitRBmA==" saltValue="tODmpM10u+va+7l0uMsA+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114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115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119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120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s8MPHW0CwdVm4wHd5uJj0H5nCtAHtDpIFTk5zQqSx9VPdsftRlZW2v1Xm5NyJSrysKN8ouGjadvPe7CrJ6DWQ==" saltValue="qSV+yiCIXTPSYjhwJ/gz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132</v>
      </c>
      <c r="C5" s="52">
        <v>6.2564599999999998E-2</v>
      </c>
      <c r="D5" s="52">
        <v>6.8140800000000001E-2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SvEJrfPNriPPdPkU5eWHIKMRx3yXwx1QAhpIsFgLO5xi6JgznN15N9z3oDycHskO3cdkdbw5BTXCzKVXSVo8bA==" saltValue="5yyfWKTxyWh8QGqUvcI8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rYMPX6EIzwWGQdlanU0T/ai+929PsI01iDGtLfwCKAxHxgOPM2cLu3TnAZzomvk6AqMZwSFi/Vuv23XxUZwbQ==" saltValue="YSM/6GT6U0HUlV/0YG5iQ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2y/rKE7uR34FtJcwtQ20sgwRX4gA3DgfdOUJUH6XhxDy5XCltpUZVe1eMkW7SWlgXMHYVyAK8h1O+aXP6Tv8Aw==" saltValue="ESSl2T7pGY2WKZhelQEm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7oTR7V0OKGHyX8HJ/rGSIuK4vlaEv7YG2xcmiSJNlkMdWxAqbz2k9jLpg2PhCNKQPhggA2d5fyz8NnrZX5bMJQ==" saltValue="lBCc84yImTbMpD0PNEhU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jBwOkA7H5v5Kb7X2XAJFzcUS8aoNZLSkTjGqmh4LbJeT+mn+BAihz0LKMRFeqZ+SY8baVDjc0/f5HDdSQNfq9A==" saltValue="PfKoEwLxPUY2FLpIa7vy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144.3361538195548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16.029464016122279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0.39315055793818598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0.2228318690689319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5.5304300000000001E-2</v>
      </c>
      <c r="C10" s="98">
        <v>0.95</v>
      </c>
      <c r="D10" s="56">
        <v>13.539057252878379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13.539057252878379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13.539057252878379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13.539057252878379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5.5304300000000001E-2</v>
      </c>
      <c r="C14" s="98">
        <v>0.95</v>
      </c>
      <c r="D14" s="56">
        <v>13.539057252878379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13.539057252878379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5.5080133892626542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0.95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0.28699999999999998</v>
      </c>
      <c r="C18" s="98">
        <v>0.95</v>
      </c>
      <c r="D18" s="56">
        <v>16.029464016122279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8.6708300000000002E-2</v>
      </c>
      <c r="C19" s="98">
        <v>0.95</v>
      </c>
      <c r="D19" s="56">
        <v>16.029464016122279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16.46619599914094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23.103382705538191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4.4606327668435339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0.21544450643631999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5.5304300000000001E-2</v>
      </c>
      <c r="C26" s="98">
        <v>0.95</v>
      </c>
      <c r="D26" s="56">
        <v>7.6264796156856711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30.36727751762248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0.25274740000000001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0.21297360000000001</v>
      </c>
      <c r="C29" s="98">
        <v>0.95</v>
      </c>
      <c r="D29" s="56">
        <v>193.6128732031849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398.07273654067848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0.06</v>
      </c>
      <c r="C32" s="98">
        <v>0.95</v>
      </c>
      <c r="D32" s="56">
        <v>1.4358697255793671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0.4861297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0.18614800000000001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4.8132400000000013E-2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0.57095980000000002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3.0000000000000001E-3</v>
      </c>
      <c r="C38" s="98">
        <v>0.95</v>
      </c>
      <c r="D38" s="56">
        <v>5.3874863984233787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201</v>
      </c>
      <c r="F39" s="98">
        <v>1</v>
      </c>
      <c r="G39" s="98">
        <v>1</v>
      </c>
    </row>
  </sheetData>
  <sheetProtection algorithmName="SHA-512" hashValue="pmY8qMzbo+xuJVH9e6aVpIDtDSMNCcBP0gkKUYzbdD4a0D20MlhPKMllh/mKYKEmAEB4CTIvpTQNuTCBRshgSQ==" saltValue="uHhUCumKN9SQ5bihfyb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d4mAa61fMU0GMEg6bJbaxxAW35XhtMafwr5YJry5pwYDiG1EH0fU0F8c2QNoS7mgShGTISRxhXHGK2c9M5RXHQ==" saltValue="jiH11FeMIoBSCcMovG2o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VZZI/S4/PkFThTkriPfbVfLGU7BAZZK4BkRB7Ag63BitYMM4uRxuQgKtZdOcDnh/1B6syp5Z24UlZl/fQz80w==" saltValue="96cRr5SapRSNmrhcKZoe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208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sheetProtection algorithmName="SHA-512" hashValue="ImxbF1lcTckLe/1WDhi5ccdlIMZU0zwAJy4DDqAhAf0k7IXNSaR9xnGRmxOuQfKbvr5KGMfRLToCL3w49pe/2Q==" saltValue="dsN0Q8BCV0lblhSaUrxY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0.188</v>
      </c>
      <c r="E2" s="60">
        <f>food_insecure</f>
        <v>0.188</v>
      </c>
      <c r="F2" s="60">
        <f>food_insecure</f>
        <v>0.188</v>
      </c>
      <c r="G2" s="60">
        <f>food_insecure</f>
        <v>0.188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0.188</v>
      </c>
      <c r="F5" s="60">
        <f>food_insecure</f>
        <v>0.188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0.188</v>
      </c>
      <c r="F8" s="60">
        <f>food_insecure</f>
        <v>0.188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0.188</v>
      </c>
      <c r="F9" s="60">
        <f>food_insecure</f>
        <v>0.188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0.188</v>
      </c>
      <c r="I15" s="60">
        <f>food_insecure</f>
        <v>0.188</v>
      </c>
      <c r="J15" s="60">
        <f>food_insecure</f>
        <v>0.188</v>
      </c>
      <c r="K15" s="60">
        <f>food_insecure</f>
        <v>0.188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0.31881351664428714</v>
      </c>
      <c r="M25" s="60">
        <f>(1-food_insecure)*(0.49)+food_insecure*(0.7)</f>
        <v>0.52947999999999995</v>
      </c>
      <c r="N25" s="60">
        <f>(1-food_insecure)*(0.49)+food_insecure*(0.7)</f>
        <v>0.52947999999999995</v>
      </c>
      <c r="O25" s="60">
        <f>(1-food_insecure)*(0.49)+food_insecure*(0.7)</f>
        <v>0.52947999999999995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0.13663436427612308</v>
      </c>
      <c r="M26" s="60">
        <f>(1-food_insecure)*(0.21)+food_insecure*(0.3)</f>
        <v>0.22692000000000001</v>
      </c>
      <c r="N26" s="60">
        <f>(1-food_insecure)*(0.21)+food_insecure*(0.3)</f>
        <v>0.22692000000000001</v>
      </c>
      <c r="O26" s="60">
        <f>(1-food_insecure)*(0.21)+food_insecure*(0.3)</f>
        <v>0.22692000000000001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0.14667782098388674</v>
      </c>
      <c r="M27" s="60">
        <f>(1-food_insecure)*(0.3)</f>
        <v>0.24360000000000001</v>
      </c>
      <c r="N27" s="60">
        <f>(1-food_insecure)*(0.3)</f>
        <v>0.24360000000000001</v>
      </c>
      <c r="O27" s="60">
        <f>(1-food_insecure)*(0.3)</f>
        <v>0.24360000000000001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0.39787429809570307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0.47</v>
      </c>
      <c r="D34" s="60">
        <f t="shared" si="3"/>
        <v>0.47</v>
      </c>
      <c r="E34" s="60">
        <f t="shared" si="3"/>
        <v>0.47</v>
      </c>
      <c r="F34" s="60">
        <f t="shared" si="3"/>
        <v>0.47</v>
      </c>
      <c r="G34" s="60">
        <f t="shared" si="3"/>
        <v>0.47</v>
      </c>
      <c r="H34" s="60">
        <f t="shared" si="3"/>
        <v>0.47</v>
      </c>
      <c r="I34" s="60">
        <f t="shared" si="3"/>
        <v>0.47</v>
      </c>
      <c r="J34" s="60">
        <f t="shared" si="3"/>
        <v>0.47</v>
      </c>
      <c r="K34" s="60">
        <f t="shared" si="3"/>
        <v>0.47</v>
      </c>
      <c r="L34" s="60">
        <f t="shared" si="3"/>
        <v>0.47</v>
      </c>
      <c r="M34" s="60">
        <f t="shared" si="3"/>
        <v>0.47</v>
      </c>
      <c r="N34" s="60">
        <f t="shared" si="3"/>
        <v>0.47</v>
      </c>
      <c r="O34" s="60">
        <f t="shared" si="3"/>
        <v>0.47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SUlubSjHMjNObiFYXE7mYMxWBiAKLr4/tc6HttGcgZ20Zd5BO3PPTUm2TDgHpWfiKYfM8rfIkdpeNSDwLUJ3A==" saltValue="ITfXwswjmoYX5WGzE2jR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9KADHr1MndnqSxsOz3UwuL6y520PlVvJIbXAlHCH+gvlPoVD2AryxYgGhIqwiShd0phqjq9N+Z4SbT3bLKM6FA==" saltValue="/PaPsTbs2laZzOzgYlVr/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ODD1I8GGFCH6Cei9DY+cVocpsYcYdFRGrNiV3Hi1mE1/ohgONNwIz6pcU4w2JZWO0I+NuBqDC0p4aqyIivAqw==" saltValue="r09qNZNQMSiNR8qY8FIE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wHi3qFoXC2SUdvpXB78ja5dvE5oKvwCtC1vicZ44RxoodDxMIBrjhVLOrAG3GuEt4m7iQCASfwhCwfz5bKV7w==" saltValue="ArcC0/ZsjbgPfY2b+hl1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5Ryvz8BWh/8jJ6HuPawYbOvx1dRytY4gQE0aRfI8aRwry37760qveSOeD7Tl0JxgfgkJlBBwN2mefgG0Kol+Q==" saltValue="P8Q/uxkpiLi1R79PcdWm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1p8HXKtX15xDJ/14nPujX465CmFq6/vorbI24r1dHXyu+vGk/w/QEHzlpSzjXkzX1BG4InZxtoZY4jCJFioPMQ==" saltValue="hca9LzdRmmtzeRyhiUVq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kn378QPz1ctWQFqP/vsFsyd3q8YlxDERKkt5c4+sAjneasNrXfkqoXpjGCRlt6zjzigDWzQkrPmk0EMvZSZqg==" saltValue="Du2IjDArYlbPxomp9g4pP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hweXPJ5QnrBFN6ZOnQ7yDI/YHZ6dDMErY2v9J1XV4iYZtQCTU60joBm5TI0uuGlc11t+BvJtGl9ZD4VFMus/Q==" saltValue="pro6hQnq0EmQG/hZOaSr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+4Gitm8T+KDz+rbhN11iHECDB+6O0vFRM9ygrz1VNeSh5y98J0FerTZfRBDnrRvPh/ENfibnSiBFT6rRd0/+g==" saltValue="7mlJDd1m1BZSdZmhbqHB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3al8Zdqjw7uD3ALtdMhWlF0DcoSCF3AwCK9EAygbRd6ATCxUrO/G4DzWDNcDbNxHGCHevN3rgPG0PPlROt68A==" saltValue="HFZzi/ksIZdGT4q/AegE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KtzFTm9Lbs5FmwJIU33NF9BJb+4fKqt819jB7mAhtk/Lj7yIyhHS7foGb127iTWskaoov2uzv6Tb7URYsZeuA==" saltValue="kTAZnqKc9f2R55ZAqAUv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XTubhmYsxRGaWVD5tOdlYxcG7NNF46SuUxWAACghWFs4sVfvo/Fgpyj1POG9Gc3EAlZoWY+ZDRALbi3wKL5tg==" saltValue="Eq+veUqYIrJmM7XTQI2u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0OZNGSxXtgFooVavwK0/iitMPTKxxXbYwIxhgli6MaI537KgvXlN0pPobdl4YVsfe2YPez3BJ1UAHUa8NAbDA==" saltValue="VRlwABCi2hYosGumHAvq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9.9916678882432386E-2</v>
      </c>
      <c r="G18" s="90">
        <f>MIN(MAX(1-0.89/(1-frac_sam_12_23months+(frac_sam_12_23months*0.89)),0),1)</f>
        <v>0.10379203915184165</v>
      </c>
      <c r="H18" s="90">
        <f>MIN(MAX(1-0.89/(1-frac_sam_24_59months+(frac_sam_24_59months*0.89)),0),1)</f>
        <v>0.10647139657217564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9.5084967830687428E-2</v>
      </c>
      <c r="G20" s="90">
        <f>MIN(MAX(1-0.89/(1-frac_mam_12_23months+(frac_mam_12_23months*0.89)),0),1)</f>
        <v>9.6522809976443136E-2</v>
      </c>
      <c r="H20" s="90">
        <f>MIN(MAX(1-0.89/(1-frac_mam_24_59months+(frac_mam_24_59months*0.89)),0),1)</f>
        <v>0.10063781412126649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8.9907333696505054E-3</v>
      </c>
      <c r="G73" s="90">
        <f>MIN(MAX(1-0.99/(1-frac_sam_12_23months+(frac_sam_12_23months*0.99)),0),1)</f>
        <v>9.3761843708219939E-3</v>
      </c>
      <c r="H73" s="90">
        <f>MIN(MAX(1-0.99/(1-frac_sam_24_59months+(frac_sam_24_59months*0.99)),0),1)</f>
        <v>9.6444564177207148E-3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8.5143718155271664E-3</v>
      </c>
      <c r="G75" s="90">
        <f>MIN(MAX(1-0.99/(1-frac_mam_12_23months+(frac_mam_12_23months*0.99)),0),1)</f>
        <v>8.6556448594042878E-3</v>
      </c>
      <c r="H75" s="90">
        <f>MIN(MAX(1-0.99/(1-frac_mam_24_59months+(frac_mam_24_59months*0.99)),0),1)</f>
        <v>9.0622300051164117E-3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0.18336643183211521</v>
      </c>
      <c r="G128" s="90">
        <f>MIN(MAX(1-0.8/(1-frac_sam_12_23months+(frac_sam_12_23months*0.8)),0),1)</f>
        <v>0.18979596631819784</v>
      </c>
      <c r="H128" s="90">
        <f>MIN(MAX(1-0.8/(1-frac_sam_24_59months+(frac_sam_24_59months*0.8)),0),1)</f>
        <v>0.1942143624279562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0.1752851771077143</v>
      </c>
      <c r="G130" s="90">
        <f>MIN(MAX(1-0.8/(1-frac_mam_12_23months+(frac_mam_12_23months*0.8)),0),1)</f>
        <v>0.17769763024997143</v>
      </c>
      <c r="H130" s="90">
        <f>MIN(MAX(1-0.8/(1-frac_mam_24_59months+(frac_mam_24_59months*0.8)),0),1)</f>
        <v>0.18456635259016585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HaK6EKENTTyCM3Q52tdSX/hkIllFXa8bhiumyWVy0eMdF9mK4yRcjoUhwhUVdljWEvW9jWmP3Hge1gn9iCa1g==" saltValue="yKB8M0TptY09sHlYBzDa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+0R6AyvrihEhPKNuytkH2qqXiLvUp2ON/0mS6gr4bS2l5KKq7FziaNaTGTEZ7UCRjhqlz7JHHxo3dnZwijA60w==" saltValue="lVkkY6YWjhfSd5GBPlHAi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2024-08-06T10:00:41Z</dcterms:modified>
</cp:coreProperties>
</file>