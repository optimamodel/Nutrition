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4E0C0AFA-9176-4384-AA9E-C8C5BD6A0BB6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6" i="2"/>
  <c r="A34" i="2"/>
  <c r="A31" i="2"/>
  <c r="A26" i="2"/>
  <c r="A25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6" i="2" l="1"/>
  <c r="I12" i="2"/>
  <c r="A35" i="2"/>
  <c r="I2" i="2"/>
  <c r="I8" i="2"/>
  <c r="A19" i="2"/>
  <c r="I3" i="2"/>
  <c r="I9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<sst xmlns="http://schemas.openxmlformats.org/spreadsheetml/2006/main" count="2169" uniqueCount="369">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</sst>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4780675.4999999991</v>
      </c>
    </row>
    <row r="8" spans="1:3" ht="15" customHeight="1" x14ac:dyDescent="0.25">
      <c r="B8" s="5" t="s">
        <v>37</v>
      </c>
      <c r="C8" s="44">
        <v>0.48599999999999999</v>
      </c>
    </row>
    <row r="9" spans="1:3" ht="15" customHeight="1" x14ac:dyDescent="0.25">
      <c r="B9" s="5" t="s">
        <v>38</v>
      </c>
      <c r="C9" s="45">
        <v>0.47</v>
      </c>
    </row>
    <row r="10" spans="1:3" ht="15" customHeight="1" x14ac:dyDescent="0.25">
      <c r="B10" s="5" t="s">
        <v>39</v>
      </c>
      <c r="C10" s="45">
        <v>0.40195039999999999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8.5299999999999987E-2</v>
      </c>
    </row>
    <row r="24" spans="1:3" ht="15" customHeight="1" x14ac:dyDescent="0.25">
      <c r="B24" s="15" t="s">
        <v>51</v>
      </c>
      <c r="C24" s="45">
        <v>0.48899999999999999</v>
      </c>
    </row>
    <row r="25" spans="1:3" ht="15" customHeight="1" x14ac:dyDescent="0.25">
      <c r="B25" s="15" t="s">
        <v>52</v>
      </c>
      <c r="C25" s="45">
        <v>0.35580000000000001</v>
      </c>
    </row>
    <row r="26" spans="1:3" ht="15" customHeight="1" x14ac:dyDescent="0.25">
      <c r="B26" s="15" t="s">
        <v>53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0.206672123736343</v>
      </c>
    </row>
    <row r="30" spans="1:3" ht="14.25" customHeight="1" x14ac:dyDescent="0.25">
      <c r="B30" s="25" t="s">
        <v>56</v>
      </c>
      <c r="C30" s="97">
        <v>0.111375096799569</v>
      </c>
    </row>
    <row r="31" spans="1:3" ht="14.25" customHeight="1" x14ac:dyDescent="0.25">
      <c r="B31" s="25" t="s">
        <v>57</v>
      </c>
      <c r="C31" s="97">
        <v>0.12654954787338499</v>
      </c>
    </row>
    <row r="32" spans="1:3" ht="14.25" customHeight="1" x14ac:dyDescent="0.25">
      <c r="B32" s="25" t="s">
        <v>58</v>
      </c>
      <c r="C32" s="97">
        <v>0.55540323159070293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28.3093</v>
      </c>
    </row>
    <row r="38" spans="1:5" ht="15" customHeight="1" x14ac:dyDescent="0.25">
      <c r="B38" s="11" t="s">
        <v>63</v>
      </c>
      <c r="C38" s="43">
        <v>46.654730000000001</v>
      </c>
      <c r="D38" s="12"/>
      <c r="E38" s="13"/>
    </row>
    <row r="39" spans="1:5" ht="15" customHeight="1" x14ac:dyDescent="0.25">
      <c r="B39" s="11" t="s">
        <v>64</v>
      </c>
      <c r="C39" s="43">
        <v>61.908940000000001</v>
      </c>
      <c r="D39" s="12"/>
      <c r="E39" s="12"/>
    </row>
    <row r="40" spans="1:5" ht="15" customHeight="1" x14ac:dyDescent="0.25">
      <c r="B40" s="11" t="s">
        <v>65</v>
      </c>
      <c r="C40" s="98">
        <v>1.83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7.4885000000000004E-3</v>
      </c>
      <c r="D45" s="12"/>
    </row>
    <row r="46" spans="1:5" ht="15.75" customHeight="1" x14ac:dyDescent="0.25">
      <c r="B46" s="11" t="s">
        <v>70</v>
      </c>
      <c r="C46" s="45">
        <v>8.0462399999999989E-2</v>
      </c>
      <c r="D46" s="12"/>
    </row>
    <row r="47" spans="1:5" ht="15.75" customHeight="1" x14ac:dyDescent="0.25">
      <c r="B47" s="11" t="s">
        <v>71</v>
      </c>
      <c r="C47" s="45">
        <v>7.3879500000000001E-2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7.1760000000000002</v>
      </c>
      <c r="D51" s="12"/>
    </row>
    <row r="52" spans="1:4" ht="15" customHeight="1" x14ac:dyDescent="0.25">
      <c r="B52" s="11" t="s">
        <v>75</v>
      </c>
      <c r="C52" s="98">
        <v>7.1760000000000002</v>
      </c>
    </row>
    <row r="53" spans="1:4" ht="15.75" customHeight="1" x14ac:dyDescent="0.25">
      <c r="B53" s="11" t="s">
        <v>76</v>
      </c>
      <c r="C53" s="98">
        <v>11.622</v>
      </c>
    </row>
    <row r="54" spans="1:4" ht="15.75" customHeight="1" x14ac:dyDescent="0.25">
      <c r="B54" s="11" t="s">
        <v>77</v>
      </c>
      <c r="C54" s="98">
        <v>11.986000000000001</v>
      </c>
    </row>
    <row r="55" spans="1:4" ht="15.75" customHeight="1" x14ac:dyDescent="0.25">
      <c r="B55" s="11" t="s">
        <v>78</v>
      </c>
      <c r="C55" s="98">
        <v>6.3526666666666678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0.53084200000000004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vWNuLqZtS3MiplhyDLbZtahbhB6Y1HBGc1c5bLG1EtY230RXaVbOsHMGbphWcNpZfGsLDlzDF9yjf0SSDKEXRg==" saltValue="AaRqmBNAiLdzhzDdPcGR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1016549</v>
      </c>
      <c r="C2" s="49">
        <v>2270733.5</v>
      </c>
      <c r="D2" s="49">
        <v>3144028</v>
      </c>
      <c r="E2" s="49">
        <v>2560148</v>
      </c>
      <c r="F2" s="49">
        <v>1338816.5</v>
      </c>
      <c r="G2" s="17">
        <f t="shared" ref="G2:G13" si="0">C2+D2+E2+F2</f>
        <v>9313726</v>
      </c>
      <c r="H2" s="17">
        <f t="shared" ref="H2:H13" si="1">(B2 + stillbirth*B2/(1000-stillbirth))/(1-abortion)</f>
        <v>1182871.3247692741</v>
      </c>
      <c r="I2" s="17">
        <f t="shared" ref="I2:I13" si="2">G2-H2</f>
        <v>8130854.6752307257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1014405</v>
      </c>
      <c r="C3" s="50">
        <v>2319414.5</v>
      </c>
      <c r="D3" s="50">
        <v>3189500</v>
      </c>
      <c r="E3" s="50">
        <v>2641868.5</v>
      </c>
      <c r="F3" s="50">
        <v>1417543</v>
      </c>
      <c r="G3" s="17">
        <f t="shared" si="0"/>
        <v>9568326</v>
      </c>
      <c r="H3" s="17">
        <f t="shared" si="1"/>
        <v>1180376.5349260836</v>
      </c>
      <c r="I3" s="17">
        <f t="shared" si="2"/>
        <v>8387949.4650739161</v>
      </c>
    </row>
    <row r="4" spans="1:9" ht="15.75" customHeight="1" x14ac:dyDescent="0.25">
      <c r="A4" s="5">
        <f t="shared" si="3"/>
        <v>2026</v>
      </c>
      <c r="B4" s="49">
        <v>1020679</v>
      </c>
      <c r="C4" s="50">
        <v>2365920</v>
      </c>
      <c r="D4" s="50">
        <v>3248643</v>
      </c>
      <c r="E4" s="50">
        <v>2710005</v>
      </c>
      <c r="F4" s="50">
        <v>1500106</v>
      </c>
      <c r="G4" s="17">
        <f t="shared" si="0"/>
        <v>9824674</v>
      </c>
      <c r="H4" s="17">
        <f t="shared" si="1"/>
        <v>1187677.0533384793</v>
      </c>
      <c r="I4" s="17">
        <f t="shared" si="2"/>
        <v>8636996.9466615207</v>
      </c>
    </row>
    <row r="5" spans="1:9" ht="15.75" customHeight="1" x14ac:dyDescent="0.25">
      <c r="A5" s="5">
        <f t="shared" si="3"/>
        <v>2027</v>
      </c>
      <c r="B5" s="49">
        <v>1021659</v>
      </c>
      <c r="C5" s="50">
        <v>2411228</v>
      </c>
      <c r="D5" s="50">
        <v>3318958</v>
      </c>
      <c r="E5" s="50">
        <v>2766280.5</v>
      </c>
      <c r="F5" s="50">
        <v>1586142</v>
      </c>
      <c r="G5" s="17">
        <f t="shared" si="0"/>
        <v>10082608.5</v>
      </c>
      <c r="H5" s="17">
        <f t="shared" si="1"/>
        <v>1188817.3957108331</v>
      </c>
      <c r="I5" s="17">
        <f t="shared" si="2"/>
        <v>8893791.1042891666</v>
      </c>
    </row>
    <row r="6" spans="1:9" ht="15.75" customHeight="1" x14ac:dyDescent="0.25">
      <c r="A6" s="5">
        <f t="shared" si="3"/>
        <v>2028</v>
      </c>
      <c r="B6" s="49">
        <v>1026999</v>
      </c>
      <c r="C6" s="50">
        <v>2456829</v>
      </c>
      <c r="D6" s="50">
        <v>3392740.5</v>
      </c>
      <c r="E6" s="50">
        <v>2816830</v>
      </c>
      <c r="F6" s="50">
        <v>1674821.5</v>
      </c>
      <c r="G6" s="17">
        <f t="shared" si="0"/>
        <v>10341221</v>
      </c>
      <c r="H6" s="17">
        <f t="shared" si="1"/>
        <v>1195031.0980254957</v>
      </c>
      <c r="I6" s="17">
        <f t="shared" si="2"/>
        <v>9146189.9019745048</v>
      </c>
    </row>
    <row r="7" spans="1:9" ht="15.75" customHeight="1" x14ac:dyDescent="0.25">
      <c r="A7" s="5">
        <f t="shared" si="3"/>
        <v>2029</v>
      </c>
      <c r="B7" s="49">
        <v>1031629</v>
      </c>
      <c r="C7" s="50">
        <v>2501464</v>
      </c>
      <c r="D7" s="50">
        <v>3468303</v>
      </c>
      <c r="E7" s="50">
        <v>2864022.5</v>
      </c>
      <c r="F7" s="50">
        <v>1764366</v>
      </c>
      <c r="G7" s="17">
        <f t="shared" si="0"/>
        <v>10598155.5</v>
      </c>
      <c r="H7" s="17">
        <f t="shared" si="1"/>
        <v>1200418.6339275346</v>
      </c>
      <c r="I7" s="17">
        <f t="shared" si="2"/>
        <v>9397736.8660724647</v>
      </c>
    </row>
    <row r="8" spans="1:9" ht="15.75" customHeight="1" x14ac:dyDescent="0.25">
      <c r="A8" s="5">
        <f t="shared" si="3"/>
        <v>2030</v>
      </c>
      <c r="B8" s="49">
        <v>1034670</v>
      </c>
      <c r="C8" s="50">
        <v>2543658</v>
      </c>
      <c r="D8" s="50">
        <v>3544819</v>
      </c>
      <c r="E8" s="50">
        <v>2908783.5</v>
      </c>
      <c r="F8" s="50">
        <v>1852834.5</v>
      </c>
      <c r="G8" s="17">
        <f t="shared" si="0"/>
        <v>10850095</v>
      </c>
      <c r="H8" s="17">
        <f t="shared" si="1"/>
        <v>1203957.1861258284</v>
      </c>
      <c r="I8" s="17">
        <f t="shared" si="2"/>
        <v>9646137.813874172</v>
      </c>
    </row>
    <row r="9" spans="1:9" ht="15.75" customHeight="1" x14ac:dyDescent="0.25">
      <c r="A9" s="5">
        <f t="shared" si="3"/>
        <v>2031</v>
      </c>
      <c r="B9" s="49">
        <v>1038234</v>
      </c>
      <c r="C9" s="50">
        <v>2581269.5</v>
      </c>
      <c r="D9" s="50">
        <v>3625805</v>
      </c>
      <c r="E9" s="50">
        <v>2948418.5</v>
      </c>
      <c r="F9" s="50">
        <v>1940453</v>
      </c>
      <c r="G9" s="17">
        <f t="shared" si="0"/>
        <v>11095946</v>
      </c>
      <c r="H9" s="17">
        <f t="shared" si="1"/>
        <v>1208104.3087942661</v>
      </c>
      <c r="I9" s="17">
        <f t="shared" si="2"/>
        <v>9887841.6912057344</v>
      </c>
    </row>
    <row r="10" spans="1:9" ht="15.75" customHeight="1" x14ac:dyDescent="0.25">
      <c r="A10" s="5">
        <f t="shared" si="3"/>
        <v>2032</v>
      </c>
      <c r="B10" s="49">
        <v>1044618</v>
      </c>
      <c r="C10" s="50">
        <v>2615007</v>
      </c>
      <c r="D10" s="50">
        <v>3710305</v>
      </c>
      <c r="E10" s="50">
        <v>2984321</v>
      </c>
      <c r="F10" s="50">
        <v>2026872.5</v>
      </c>
      <c r="G10" s="17">
        <f t="shared" si="0"/>
        <v>11336505.5</v>
      </c>
      <c r="H10" s="17">
        <f t="shared" si="1"/>
        <v>1215532.824819885</v>
      </c>
      <c r="I10" s="17">
        <f t="shared" si="2"/>
        <v>10120972.675180115</v>
      </c>
    </row>
    <row r="11" spans="1:9" ht="15.75" customHeight="1" x14ac:dyDescent="0.25">
      <c r="A11" s="5">
        <f t="shared" si="3"/>
        <v>2033</v>
      </c>
      <c r="B11" s="49">
        <v>1043928</v>
      </c>
      <c r="C11" s="50">
        <v>2645546.5</v>
      </c>
      <c r="D11" s="50">
        <v>3794083</v>
      </c>
      <c r="E11" s="50">
        <v>3020924</v>
      </c>
      <c r="F11" s="50">
        <v>2111233</v>
      </c>
      <c r="G11" s="17">
        <f t="shared" si="0"/>
        <v>11571786.5</v>
      </c>
      <c r="H11" s="17">
        <f t="shared" si="1"/>
        <v>1214729.930700575</v>
      </c>
      <c r="I11" s="17">
        <f t="shared" si="2"/>
        <v>10357056.569299426</v>
      </c>
    </row>
    <row r="12" spans="1:9" ht="15.75" customHeight="1" x14ac:dyDescent="0.25">
      <c r="A12" s="5">
        <f t="shared" si="3"/>
        <v>2034</v>
      </c>
      <c r="B12" s="49">
        <v>1047163</v>
      </c>
      <c r="C12" s="50">
        <v>2672100</v>
      </c>
      <c r="D12" s="50">
        <v>3875782</v>
      </c>
      <c r="E12" s="50">
        <v>3061605.5</v>
      </c>
      <c r="F12" s="50">
        <v>2193367.5</v>
      </c>
      <c r="G12" s="17">
        <f t="shared" si="0"/>
        <v>11802855</v>
      </c>
      <c r="H12" s="17">
        <f t="shared" si="1"/>
        <v>1218494.224144008</v>
      </c>
      <c r="I12" s="17">
        <f t="shared" si="2"/>
        <v>10584360.775855992</v>
      </c>
    </row>
    <row r="13" spans="1:9" ht="15.75" customHeight="1" x14ac:dyDescent="0.25">
      <c r="A13" s="5">
        <f t="shared" si="3"/>
        <v>2035</v>
      </c>
      <c r="B13" s="49">
        <v>1048339</v>
      </c>
      <c r="C13" s="50">
        <v>2694213</v>
      </c>
      <c r="D13" s="50">
        <v>3955011.5</v>
      </c>
      <c r="E13" s="50">
        <v>3108206.5</v>
      </c>
      <c r="F13" s="50">
        <v>2271131.5</v>
      </c>
      <c r="G13" s="17">
        <f t="shared" si="0"/>
        <v>12028562.5</v>
      </c>
      <c r="H13" s="17">
        <f t="shared" si="1"/>
        <v>1219862.6349908325</v>
      </c>
      <c r="I13" s="17">
        <f t="shared" si="2"/>
        <v>10808699.865009168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7WEkEX3nYE+JFgwuubP7QGSNGYiEtN9YmB5WEwkHZQMFRe+Go1yqRY1Lo3m/xToYGuzAEgVzV8bUvk2NDgObQ==" saltValue="eRLaHIvj28TLASQINqUMk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1.9833151046773551E-2</v>
      </c>
    </row>
    <row r="4" spans="1:8" ht="15.75" customHeight="1" x14ac:dyDescent="0.25">
      <c r="B4" s="19" t="s">
        <v>97</v>
      </c>
      <c r="C4" s="99">
        <v>6.3894030924347367E-2</v>
      </c>
    </row>
    <row r="5" spans="1:8" ht="15.75" customHeight="1" x14ac:dyDescent="0.25">
      <c r="B5" s="19" t="s">
        <v>98</v>
      </c>
      <c r="C5" s="99">
        <v>9.4246268158946475E-2</v>
      </c>
    </row>
    <row r="6" spans="1:8" ht="15.75" customHeight="1" x14ac:dyDescent="0.25">
      <c r="B6" s="19" t="s">
        <v>99</v>
      </c>
      <c r="C6" s="99">
        <v>0.23881032694278609</v>
      </c>
    </row>
    <row r="7" spans="1:8" ht="15.75" customHeight="1" x14ac:dyDescent="0.25">
      <c r="B7" s="19" t="s">
        <v>100</v>
      </c>
      <c r="C7" s="99">
        <v>0.3871881532303128</v>
      </c>
    </row>
    <row r="8" spans="1:8" ht="15.75" customHeight="1" x14ac:dyDescent="0.25">
      <c r="B8" s="19" t="s">
        <v>101</v>
      </c>
      <c r="C8" s="99">
        <v>5.8535036070138371E-3</v>
      </c>
    </row>
    <row r="9" spans="1:8" ht="15.75" customHeight="1" x14ac:dyDescent="0.25">
      <c r="B9" s="19" t="s">
        <v>102</v>
      </c>
      <c r="C9" s="99">
        <v>7.3348498268419438E-2</v>
      </c>
    </row>
    <row r="10" spans="1:8" ht="15.75" customHeight="1" x14ac:dyDescent="0.25">
      <c r="B10" s="19" t="s">
        <v>103</v>
      </c>
      <c r="C10" s="99">
        <v>0.1168260678214004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106</v>
      </c>
      <c r="C15" s="99">
        <v>0.27365859402163978</v>
      </c>
      <c r="D15" s="99">
        <v>0.27365859402163978</v>
      </c>
      <c r="E15" s="99">
        <v>0.27365859402163978</v>
      </c>
      <c r="F15" s="99">
        <v>0.27365859402163978</v>
      </c>
    </row>
    <row r="16" spans="1:8" ht="15.75" customHeight="1" x14ac:dyDescent="0.25">
      <c r="B16" s="19" t="s">
        <v>107</v>
      </c>
      <c r="C16" s="99">
        <v>2.222332884681676E-2</v>
      </c>
      <c r="D16" s="99">
        <v>2.222332884681676E-2</v>
      </c>
      <c r="E16" s="99">
        <v>2.222332884681676E-2</v>
      </c>
      <c r="F16" s="99">
        <v>2.222332884681676E-2</v>
      </c>
    </row>
    <row r="17" spans="1:8" ht="15.75" customHeight="1" x14ac:dyDescent="0.25">
      <c r="B17" s="19" t="s">
        <v>108</v>
      </c>
      <c r="C17" s="99">
        <v>0.1003526665338539</v>
      </c>
      <c r="D17" s="99">
        <v>0.1003526665338539</v>
      </c>
      <c r="E17" s="99">
        <v>0.1003526665338539</v>
      </c>
      <c r="F17" s="99">
        <v>0.1003526665338539</v>
      </c>
    </row>
    <row r="18" spans="1:8" ht="15.75" customHeight="1" x14ac:dyDescent="0.25">
      <c r="B18" s="19" t="s">
        <v>109</v>
      </c>
      <c r="C18" s="99">
        <v>2.0039177190359449E-2</v>
      </c>
      <c r="D18" s="99">
        <v>2.0039177190359449E-2</v>
      </c>
      <c r="E18" s="99">
        <v>2.0039177190359449E-2</v>
      </c>
      <c r="F18" s="99">
        <v>2.0039177190359449E-2</v>
      </c>
    </row>
    <row r="19" spans="1:8" ht="15.75" customHeight="1" x14ac:dyDescent="0.25">
      <c r="B19" s="19" t="s">
        <v>110</v>
      </c>
      <c r="C19" s="99">
        <v>9.4281445679250536E-2</v>
      </c>
      <c r="D19" s="99">
        <v>9.4281445679250536E-2</v>
      </c>
      <c r="E19" s="99">
        <v>9.4281445679250536E-2</v>
      </c>
      <c r="F19" s="99">
        <v>9.4281445679250536E-2</v>
      </c>
    </row>
    <row r="20" spans="1:8" ht="15.75" customHeight="1" x14ac:dyDescent="0.25">
      <c r="B20" s="19" t="s">
        <v>111</v>
      </c>
      <c r="C20" s="99">
        <v>2.3085155710167449E-3</v>
      </c>
      <c r="D20" s="99">
        <v>2.3085155710167449E-3</v>
      </c>
      <c r="E20" s="99">
        <v>2.3085155710167449E-3</v>
      </c>
      <c r="F20" s="99">
        <v>2.3085155710167449E-3</v>
      </c>
    </row>
    <row r="21" spans="1:8" ht="15.75" customHeight="1" x14ac:dyDescent="0.25">
      <c r="B21" s="19" t="s">
        <v>112</v>
      </c>
      <c r="C21" s="99">
        <v>0.1079376948710801</v>
      </c>
      <c r="D21" s="99">
        <v>0.1079376948710801</v>
      </c>
      <c r="E21" s="99">
        <v>0.1079376948710801</v>
      </c>
      <c r="F21" s="99">
        <v>0.1079376948710801</v>
      </c>
    </row>
    <row r="22" spans="1:8" ht="15.75" customHeight="1" x14ac:dyDescent="0.25">
      <c r="B22" s="19" t="s">
        <v>113</v>
      </c>
      <c r="C22" s="99">
        <v>0.21759765861955049</v>
      </c>
      <c r="D22" s="99">
        <v>0.21759765861955049</v>
      </c>
      <c r="E22" s="99">
        <v>0.21759765861955049</v>
      </c>
      <c r="F22" s="99">
        <v>0.21759765861955049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4.5856951999999999E-2</v>
      </c>
    </row>
    <row r="27" spans="1:8" ht="15.75" customHeight="1" x14ac:dyDescent="0.25">
      <c r="B27" s="19" t="s">
        <v>120</v>
      </c>
      <c r="C27" s="99">
        <v>2.7671261999999999E-2</v>
      </c>
    </row>
    <row r="28" spans="1:8" ht="15.75" customHeight="1" x14ac:dyDescent="0.25">
      <c r="B28" s="19" t="s">
        <v>121</v>
      </c>
      <c r="C28" s="99">
        <v>0.19152286900000001</v>
      </c>
    </row>
    <row r="29" spans="1:8" ht="15.75" customHeight="1" x14ac:dyDescent="0.25">
      <c r="B29" s="19" t="s">
        <v>122</v>
      </c>
      <c r="C29" s="99">
        <v>0.15015504499999999</v>
      </c>
    </row>
    <row r="30" spans="1:8" ht="15.75" customHeight="1" x14ac:dyDescent="0.25">
      <c r="B30" s="19" t="s">
        <v>2</v>
      </c>
      <c r="C30" s="99">
        <v>5.0148384999999997E-2</v>
      </c>
    </row>
    <row r="31" spans="1:8" ht="15.75" customHeight="1" x14ac:dyDescent="0.25">
      <c r="B31" s="19" t="s">
        <v>123</v>
      </c>
      <c r="C31" s="99">
        <v>3.0652005E-2</v>
      </c>
    </row>
    <row r="32" spans="1:8" ht="15.75" customHeight="1" x14ac:dyDescent="0.25">
      <c r="B32" s="19" t="s">
        <v>124</v>
      </c>
      <c r="C32" s="99">
        <v>8.6489898999999995E-2</v>
      </c>
    </row>
    <row r="33" spans="2:3" ht="15.75" customHeight="1" x14ac:dyDescent="0.25">
      <c r="B33" s="19" t="s">
        <v>125</v>
      </c>
      <c r="C33" s="99">
        <v>0.168218437</v>
      </c>
    </row>
    <row r="34" spans="2:3" ht="15.75" customHeight="1" x14ac:dyDescent="0.25">
      <c r="B34" s="19" t="s">
        <v>126</v>
      </c>
      <c r="C34" s="99">
        <v>0.24928514500000001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o59tC27+Idhq/6uxFiA3UQOcFtnaB1cQXLtCEcFng0x5ZwT4a2ommTl8RrmCuPEoUunxE6w3mbWdWGTFOaPl3A==" saltValue="aT/tbn4HkpcAmqAzM71da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132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133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137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138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ZSa7pmeVmsiQIIvNm358sDzwhhOatwN218n9/9kDXNf+nNPYrmQ0P5g14Y5APCljTQUCLjYJiP6DKsk90WBAw==" saltValue="3SavFJobOC3mEg46yTmQ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6.2564600000000081E-2</v>
      </c>
      <c r="D5" s="52">
        <f t="shared" si="0"/>
        <v>6.814079999999989E-2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hypV8LS5Aiy7woh4wIkJTdutSHCZg7F1xeD0dmMDmWadZLuf7ZA6v94s6DH/iMRBq2bTJQeLkUQnlfIeGDUwMg==" saltValue="4+6eRMx8D/n2/XF8xhaP3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zqyP83ymnObK0di3ag2wZ2VVmfKHG9qkTfQW5JsFs/wZV6+IXJ1nPEVqO7LnXN5uvNCgF1jcfBFwtduVXs15g==" saltValue="+1uUIwA9R6VJDf0EPDhAu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650.27221843476605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0.35046999999999995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5.2209999999999999E-2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1.9218898624999998E-2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94138.543510000003</v>
      </c>
      <c r="C22" s="107">
        <v>93543.137419999999</v>
      </c>
      <c r="D22" s="107">
        <v>92939.119000000006</v>
      </c>
      <c r="E22" s="107">
        <v>92284.929300000003</v>
      </c>
      <c r="F22" s="107">
        <v>91278.827590000001</v>
      </c>
      <c r="G22" s="107">
        <v>90260.442030000006</v>
      </c>
      <c r="H22" s="107">
        <v>89137.620219999997</v>
      </c>
      <c r="I22" s="107">
        <v>87800.377890000003</v>
      </c>
      <c r="J22" s="107">
        <v>85995.471919999996</v>
      </c>
      <c r="K22" s="107">
        <v>83536.083499999993</v>
      </c>
      <c r="L22" s="107">
        <v>79951.452929999999</v>
      </c>
      <c r="M22" s="107">
        <v>74893.748070000001</v>
      </c>
      <c r="N22" s="107">
        <v>67531.861359999995</v>
      </c>
      <c r="O22" s="107">
        <v>57922.792350000003</v>
      </c>
    </row>
  </sheetData>
  <sheetProtection algorithmName="SHA-512" hashValue="1l0EUhC86mK08pmc8Bh5x1lP6Llm80hA1OVk0e7EXQz3IdtvLax58A95bYnDQGSzQ6PNMWMUYrJHpnVHyH5zkg==" saltValue="Ay00AkE1/H3aC8B9JeNhd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oxGveAJWfb08f1PDicqkL9cdMfr8U2qO5e7Fq/b+OTtRnAFLxJAzMkZArs3gvkTWteB4d44B+UGrJ7ah+LIhvg==" saltValue="1tNonKwftxIdc0XrqHr4T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HxlhmStfgGUY7iTz/GHvfyMbnCZ5qvo9IxN77jfo/D2TKU3ov+kQz0kEorcA54NVTlUc+3iYf/IgdqsgVLDKow==" saltValue="jyDuWIKKRal3WzGgHZ8sp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5.5304300000000001E-2</v>
      </c>
      <c r="C10" s="96">
        <v>0.95</v>
      </c>
      <c r="D10" s="56">
        <v>13.539057252878379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13.539057252878379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13.539057252878379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13.539057252878379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5.5304300000000001E-2</v>
      </c>
      <c r="C14" s="96">
        <v>0.95</v>
      </c>
      <c r="D14" s="56">
        <v>13.539057252878379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13.539057252878379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0.95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0.28699999999999998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8.6708300000000002E-2</v>
      </c>
      <c r="C19" s="96">
        <v>0.95</v>
      </c>
      <c r="D19" s="56">
        <v>2.377996240315416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4.4606327668435339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0.21544450643631999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0.25274740000000001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0.21297360000000001</v>
      </c>
      <c r="C29" s="96">
        <v>0.95</v>
      </c>
      <c r="D29" s="56">
        <v>193.6128732031849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0.11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0.4861297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0.18614800000000001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4.8132400000000013E-2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0.57095980000000002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0.11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JkzceYLJmlk5tI1dYLrSeOv46KoGJjR2BYxCdaFBX59CJHCfDAZNNeVex3wPHWJrr+BsPxMxwYtq7SPIK2MKdA==" saltValue="1ZtHqDCku8+kXVDRYVwL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I6GNFLbnskiJsFEQ09o6ghWxwBpVdNAJs/DOBoE7k3+QzfnP1CSzr4+yaLdCLAyMYVyI8pcHnpqNTzuJ1llwg==" saltValue="8fI/6YtZuUlgJfX/aCLw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zwMKux9msadjF3/IpqWcY1xeT0SqEn1TlVgW3leDIvI7B4JUbr8DegbvIZ3pfbXPU0viY0IVkhFxkvXThellQ==" saltValue="U3iuCCCenJXu6Xj5BAJw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7.1760000000000002</v>
      </c>
      <c r="C2" s="21">
        <f>'Données pop de l''année de ref'!C52</f>
        <v>7.1760000000000002</v>
      </c>
      <c r="D2" s="21">
        <f>'Données pop de l''année de ref'!C53</f>
        <v>11.622</v>
      </c>
      <c r="E2" s="21">
        <f>'Données pop de l''année de ref'!C54</f>
        <v>11.986000000000001</v>
      </c>
      <c r="F2" s="21">
        <f>'Données pop de l''année de ref'!C55</f>
        <v>6.3526666666666678</v>
      </c>
    </row>
    <row r="3" spans="1:6" ht="15.75" customHeight="1" x14ac:dyDescent="0.25">
      <c r="A3" s="3" t="s">
        <v>238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237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sheetProtection algorithmName="SHA-512" hashValue="VNk4/1iccczHfb81uy7RlfvAnGBM2/fl61tg7Zm5pVRWaOYSrm+skyCoR2zBtjtePNijN0pZnZuXVT4lfE/jnQ==" saltValue="r6NfmqLyBaGP80oDtYKx2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0.48599999999999999</v>
      </c>
      <c r="F2" s="60">
        <f>food_insecure</f>
        <v>0.48599999999999999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0.48599999999999999</v>
      </c>
      <c r="F5" s="60">
        <f>food_insecure</f>
        <v>0.48599999999999999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0.14846896551724137</v>
      </c>
      <c r="D7" s="60">
        <f>diarrhoea_1_5mo*frac_diarrhea_severe</f>
        <v>0.14846896551724137</v>
      </c>
      <c r="E7" s="60">
        <f>diarrhoea_6_11mo*frac_diarrhea_severe</f>
        <v>0.24045517241379305</v>
      </c>
      <c r="F7" s="60">
        <f>diarrhoea_12_23mo*frac_diarrhea_severe</f>
        <v>0.24798620689655168</v>
      </c>
      <c r="G7" s="60">
        <f>diarrhoea_24_59mo*frac_diarrhea_severe</f>
        <v>0.13143448275862069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0.48599999999999999</v>
      </c>
      <c r="F8" s="60">
        <f>food_insecure</f>
        <v>0.48599999999999999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0.48599999999999999</v>
      </c>
      <c r="F9" s="60">
        <f>food_insecure</f>
        <v>0.48599999999999999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0.14846896551724137</v>
      </c>
      <c r="D12" s="60">
        <f>diarrhoea_1_5mo*frac_diarrhea_severe</f>
        <v>0.14846896551724137</v>
      </c>
      <c r="E12" s="60">
        <f>diarrhoea_6_11mo*frac_diarrhea_severe</f>
        <v>0.24045517241379305</v>
      </c>
      <c r="F12" s="60">
        <f>diarrhoea_12_23mo*frac_diarrhea_severe</f>
        <v>0.24798620689655168</v>
      </c>
      <c r="G12" s="60">
        <f>diarrhoea_24_59mo*frac_diarrhea_severe</f>
        <v>0.13143448275862069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0.48599999999999999</v>
      </c>
      <c r="I15" s="60">
        <f t="shared" si="0"/>
        <v>0.48599999999999999</v>
      </c>
      <c r="J15" s="60">
        <f t="shared" si="0"/>
        <v>0.48599999999999999</v>
      </c>
      <c r="K15" s="60">
        <f t="shared" si="0"/>
        <v>0.48599999999999999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0.48599999999999999</v>
      </c>
      <c r="I16" s="60">
        <f t="shared" si="0"/>
        <v>0.48599999999999999</v>
      </c>
      <c r="J16" s="60">
        <f t="shared" si="0"/>
        <v>0.48599999999999999</v>
      </c>
      <c r="K16" s="60">
        <f t="shared" si="0"/>
        <v>0.48599999999999999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0.35408124617600001</v>
      </c>
      <c r="M25" s="60">
        <f>(1-food_insecure)*(0.49)+food_insecure*(0.7)</f>
        <v>0.59206000000000003</v>
      </c>
      <c r="N25" s="60">
        <f>(1-food_insecure)*(0.49)+food_insecure*(0.7)</f>
        <v>0.59206000000000003</v>
      </c>
      <c r="O25" s="60">
        <f>(1-food_insecure)*(0.49)+food_insecure*(0.7)</f>
        <v>0.59206000000000003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0.15174910550399998</v>
      </c>
      <c r="M26" s="60">
        <f>(1-food_insecure)*(0.21)+food_insecure*(0.3)</f>
        <v>0.25373999999999997</v>
      </c>
      <c r="N26" s="60">
        <f>(1-food_insecure)*(0.21)+food_insecure*(0.3)</f>
        <v>0.25373999999999997</v>
      </c>
      <c r="O26" s="60">
        <f>(1-food_insecure)*(0.21)+food_insecure*(0.3)</f>
        <v>0.25373999999999997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9.2219248320000002E-2</v>
      </c>
      <c r="M27" s="60">
        <f>(1-food_insecure)*(0.3)</f>
        <v>0.1542</v>
      </c>
      <c r="N27" s="60">
        <f>(1-food_insecure)*(0.3)</f>
        <v>0.1542</v>
      </c>
      <c r="O27" s="60">
        <f>(1-food_insecure)*(0.3)</f>
        <v>0.1542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0.40195039999999999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0.47</v>
      </c>
      <c r="D34" s="60">
        <f t="shared" si="4"/>
        <v>0.47</v>
      </c>
      <c r="E34" s="60">
        <f t="shared" si="4"/>
        <v>0.47</v>
      </c>
      <c r="F34" s="60">
        <f t="shared" si="4"/>
        <v>0.47</v>
      </c>
      <c r="G34" s="60">
        <f t="shared" si="4"/>
        <v>0.47</v>
      </c>
      <c r="H34" s="60">
        <f t="shared" si="4"/>
        <v>0.47</v>
      </c>
      <c r="I34" s="60">
        <f t="shared" si="4"/>
        <v>0.47</v>
      </c>
      <c r="J34" s="60">
        <f t="shared" si="4"/>
        <v>0.47</v>
      </c>
      <c r="K34" s="60">
        <f t="shared" si="4"/>
        <v>0.47</v>
      </c>
      <c r="L34" s="60">
        <f t="shared" si="4"/>
        <v>0.47</v>
      </c>
      <c r="M34" s="60">
        <f t="shared" si="4"/>
        <v>0.47</v>
      </c>
      <c r="N34" s="60">
        <f t="shared" si="4"/>
        <v>0.47</v>
      </c>
      <c r="O34" s="60">
        <f t="shared" si="4"/>
        <v>0.47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o4wYq9qvOctEXFk6YJp0L5OXOCxgy3H3h6VJPWsIYpbZkyRqVxOGv87aCrT9mmakiZyxJ8Jml4U0sQdUUFNUA==" saltValue="XHkigjbZ9MzU1MYL+NaIr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XJ+wt1yKVuvBVljgkotBMrjrExU7Uq3Nd2sIdg0Zz3Q/dYfCinFgIcnKeConx2vRAlojRf3/Vq/fH6CnSYigEw==" saltValue="UwXHt2sy+Mv2BjwFQKBmQ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iCYwolblDThsVCGQfbmG4T24RYwJxzQqhnEBPzjvrMEy8sTLTRyo3JRFRwEHt46/3C0iGJVgx9d8QAUjTzbyw==" saltValue="EM1mi8PVClGgTqpwuCwRU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wrpuOo3WN3f+kWFS7xeJd49oYLhhrpSMbupus65Z8e2fJ73Ey06YmCEZcOtTwWDmfhufPFKjOGCysr2sozoig==" saltValue="JQUebojaa0dLDpG4xuBTl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U2wfGTs2/PesfXFlxAbWTQvkOoX3ZRrxtU9ocxW8hYSLlcNUCMjWXRq8NPrmPpVrM03JXm5aPa4BXXSobN8H6g==" saltValue="mWfOAjKI9EMud9zsVNaxj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6JMVZ/1vLW7I/wvHs91dgE3NgjUIMUMWf7/J5bBb+A5ksZVXo5qZShlf1NKTUrbW1QaKksItfsAHldSq6mmQBw==" saltValue="yOqkrglJJwXervizwakMh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G8xFEyU4YyQojwir7nyswMl9GwJ2Pgn9JleQwIrCCA/YjWh1iDes/MbKgjak/hwbjgMg3PfdEjbGxBq1ZFQig==" saltValue="QHxZ6UsvwXZD4t7jeL708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Rbqn15nyv89EFTnRte4Jil6k58V0PtpzZqxXCPnLyAM3r8+TzjgeX2C9rc+5gfHEmJMPo38z6ay+4DEZgrQSLg==" saltValue="v0eJxEEv+8xQ3toTt1Kq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/fpfc76iGd/4ETDV2dRcKEkQdhQIVfLWvb4kbwNhziHwPD+o5EfXa4DkLQZmoaOdvyrlhhPYH/OvoUlSuKeNNQ==" saltValue="M89GYR0jPNrx3QIhsjyS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1ZWeu4tbMnosUPpsyJADnEFRS0wtripbdeVlIEqaN/H6oN3F6ezRMw5bQUCNxEcaorxJyYXszh4YPDKtCH2Xtg==" saltValue="dEnwZSkLhYNdennpm2a2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MQvvNfRBroozgWgzTcex7NOjWnW5SM44FXN1aVlN4uvdXzeQD4zNfl6tXqzkilmo6oEH7i+9cahVO+dyWeDeA==" saltValue="AiB7wmB9E7PR4LFDrirm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dbEM3TOGtrrJdfq3v3eMZ4o7xwQ6GqXNh1Cpq9q7Wh8d0xCGS73R1bK9ubvfuAd5V5/DYvUUCA6ENXSeRPw1A==" saltValue="YChj1yoZ6cXmSxBSKsP8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L7KPexQkG2/6MvjmG/MkH++xUwwhqMhMFVGsLFhRlNfK2DClVBxMUo1WOR96Z5onfhdEsNxthSDx5deh2yw8g==" saltValue="bFXUPY/3qPs+KaEIryyy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xjfy1uwLkUPsp1VLUngcF116SAAM7TtL5pPgijFNjRW3KGpwMANg5ycGR9RDI96hsapJvGAYZFUXMF7UTebrRQ==" saltValue="imjeqb2cN7lAnYw0fPsO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PJ59NNJo05zR1r5l+Sk/NhzLf+nbg6a1D4zIa+2u8NKKusYV2EXao1r80cQzNQV4OIDOmnL4GWYI9BLzYcF7/g==" saltValue="lgLImNpEU8hAUdi7Wu0i0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2026-04-29T08:04:17Z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