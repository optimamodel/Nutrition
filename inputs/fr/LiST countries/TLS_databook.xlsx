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86F79B1-97C8-4B2E-9719-EDB38B1747B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36" i="2"/>
  <c r="A34" i="2"/>
  <c r="A23" i="2"/>
  <c r="A21" i="2"/>
  <c r="A20" i="2"/>
  <c r="A19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6" i="2" l="1"/>
  <c r="A28" i="2"/>
  <c r="A39" i="2"/>
  <c r="A15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1" i="2"/>
  <c r="A16" i="2"/>
  <c r="A32" i="2"/>
  <c r="A24" i="2"/>
  <c r="A17" i="2"/>
  <c r="A25" i="2"/>
  <c r="A33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<sst xmlns="http://schemas.openxmlformats.org/spreadsheetml/2006/main" count="2101" uniqueCount="337">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</sst>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158807.1201171875</v>
      </c>
    </row>
    <row r="8" spans="1:3" ht="15" customHeight="1" x14ac:dyDescent="0.25">
      <c r="B8" s="5" t="s">
        <v>19</v>
      </c>
      <c r="C8" s="44">
        <v>0.307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0.63727569580078092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0.05</v>
      </c>
    </row>
    <row r="24" spans="1:3" ht="15" customHeight="1" x14ac:dyDescent="0.25">
      <c r="B24" s="15" t="s">
        <v>33</v>
      </c>
      <c r="C24" s="45">
        <v>0.46779999999999999</v>
      </c>
    </row>
    <row r="25" spans="1:3" ht="15" customHeight="1" x14ac:dyDescent="0.25">
      <c r="B25" s="15" t="s">
        <v>34</v>
      </c>
      <c r="C25" s="45">
        <v>0.38690000000000002</v>
      </c>
    </row>
    <row r="26" spans="1:3" ht="15" customHeight="1" x14ac:dyDescent="0.25">
      <c r="B26" s="15" t="s">
        <v>35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0.245821801532287</v>
      </c>
    </row>
    <row r="30" spans="1:3" ht="14.25" customHeight="1" x14ac:dyDescent="0.25">
      <c r="B30" s="25" t="s">
        <v>38</v>
      </c>
      <c r="C30" s="99">
        <v>9.0628283207226698E-2</v>
      </c>
    </row>
    <row r="31" spans="1:3" ht="14.25" customHeight="1" x14ac:dyDescent="0.25">
      <c r="B31" s="25" t="s">
        <v>39</v>
      </c>
      <c r="C31" s="99">
        <v>0.12440493600631899</v>
      </c>
    </row>
    <row r="32" spans="1:3" ht="14.25" customHeight="1" x14ac:dyDescent="0.25">
      <c r="B32" s="25" t="s">
        <v>40</v>
      </c>
      <c r="C32" s="99">
        <v>0.53914497925416693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22.225660000000001</v>
      </c>
    </row>
    <row r="38" spans="1:5" ht="15" customHeight="1" x14ac:dyDescent="0.25">
      <c r="B38" s="11" t="s">
        <v>45</v>
      </c>
      <c r="C38" s="43">
        <v>43.078240000000001</v>
      </c>
      <c r="D38" s="12"/>
      <c r="E38" s="13"/>
    </row>
    <row r="39" spans="1:5" ht="15" customHeight="1" x14ac:dyDescent="0.25">
      <c r="B39" s="11" t="s">
        <v>46</v>
      </c>
      <c r="C39" s="43">
        <v>50.548969999999997</v>
      </c>
      <c r="D39" s="12"/>
      <c r="E39" s="12"/>
    </row>
    <row r="40" spans="1:5" ht="15" customHeight="1" x14ac:dyDescent="0.25">
      <c r="B40" s="11" t="s">
        <v>47</v>
      </c>
      <c r="C40" s="100">
        <v>2.04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6.1151E-3</v>
      </c>
      <c r="D45" s="12"/>
    </row>
    <row r="46" spans="1:5" ht="15.75" customHeight="1" x14ac:dyDescent="0.25">
      <c r="B46" s="11" t="s">
        <v>52</v>
      </c>
      <c r="C46" s="45">
        <v>6.5706000000000001E-2</v>
      </c>
      <c r="D46" s="12"/>
    </row>
    <row r="47" spans="1:5" ht="15.75" customHeight="1" x14ac:dyDescent="0.25">
      <c r="B47" s="11" t="s">
        <v>53</v>
      </c>
      <c r="C47" s="45">
        <v>7.5186000000000003E-2</v>
      </c>
      <c r="D47" s="12"/>
      <c r="E47" s="13"/>
    </row>
    <row r="48" spans="1:5" ht="15" customHeight="1" x14ac:dyDescent="0.25">
      <c r="B48" s="11" t="s">
        <v>54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0.595418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zmuIuBUZkNkF22ikOtHfZj3kjODVN3zSruTQjd3iy4eipDMxBK70CGKBpDujkgMvgFQ7U/tTW2uxNmXxbA8Osw==" saltValue="j9K78K6lgrK/kpGOzBdY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PnmoIE0yELwqQWyDdHIteS8E6b5n3XVLaljIVX0WUSGHoOHGe9L+H2fSAjflLriL4HPl2q/+wl47scBH7CUSg==" saltValue="xF3tO+gQa9DZOyTePLx+I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1.211166661965745E-2</v>
      </c>
    </row>
    <row r="4" spans="1:8" ht="15.75" customHeight="1" x14ac:dyDescent="0.25">
      <c r="B4" s="19" t="s">
        <v>79</v>
      </c>
      <c r="C4" s="101">
        <v>6.0140451444212033E-2</v>
      </c>
    </row>
    <row r="5" spans="1:8" ht="15.75" customHeight="1" x14ac:dyDescent="0.25">
      <c r="B5" s="19" t="s">
        <v>80</v>
      </c>
      <c r="C5" s="101">
        <v>8.0966120780000275E-2</v>
      </c>
    </row>
    <row r="6" spans="1:8" ht="15.75" customHeight="1" x14ac:dyDescent="0.25">
      <c r="B6" s="19" t="s">
        <v>81</v>
      </c>
      <c r="C6" s="101">
        <v>0.23734577736489759</v>
      </c>
    </row>
    <row r="7" spans="1:8" ht="15.75" customHeight="1" x14ac:dyDescent="0.25">
      <c r="B7" s="19" t="s">
        <v>82</v>
      </c>
      <c r="C7" s="101">
        <v>0.39154340758184181</v>
      </c>
    </row>
    <row r="8" spans="1:8" ht="15.75" customHeight="1" x14ac:dyDescent="0.25">
      <c r="B8" s="19" t="s">
        <v>83</v>
      </c>
      <c r="C8" s="101">
        <v>2.095209403917522E-3</v>
      </c>
    </row>
    <row r="9" spans="1:8" ht="15.75" customHeight="1" x14ac:dyDescent="0.25">
      <c r="B9" s="19" t="s">
        <v>84</v>
      </c>
      <c r="C9" s="101">
        <v>9.3685606167444854E-2</v>
      </c>
    </row>
    <row r="10" spans="1:8" ht="15.75" customHeight="1" x14ac:dyDescent="0.25">
      <c r="B10" s="19" t="s">
        <v>85</v>
      </c>
      <c r="C10" s="101">
        <v>0.1221117606380285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88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89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93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94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95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4.8008347E-2</v>
      </c>
    </row>
    <row r="27" spans="1:8" ht="15.75" customHeight="1" x14ac:dyDescent="0.25">
      <c r="B27" s="19" t="s">
        <v>102</v>
      </c>
      <c r="C27" s="101">
        <v>1.9052040999999999E-2</v>
      </c>
    </row>
    <row r="28" spans="1:8" ht="15.75" customHeight="1" x14ac:dyDescent="0.25">
      <c r="B28" s="19" t="s">
        <v>103</v>
      </c>
      <c r="C28" s="101">
        <v>0.22942046699999999</v>
      </c>
    </row>
    <row r="29" spans="1:8" ht="15.75" customHeight="1" x14ac:dyDescent="0.25">
      <c r="B29" s="19" t="s">
        <v>104</v>
      </c>
      <c r="C29" s="101">
        <v>0.138432112</v>
      </c>
    </row>
    <row r="30" spans="1:8" ht="15.75" customHeight="1" x14ac:dyDescent="0.25">
      <c r="B30" s="19" t="s">
        <v>2</v>
      </c>
      <c r="C30" s="101">
        <v>5.0081873999999998E-2</v>
      </c>
    </row>
    <row r="31" spans="1:8" ht="15.75" customHeight="1" x14ac:dyDescent="0.25">
      <c r="B31" s="19" t="s">
        <v>105</v>
      </c>
      <c r="C31" s="101">
        <v>7.0297943000000002E-2</v>
      </c>
    </row>
    <row r="32" spans="1:8" ht="15.75" customHeight="1" x14ac:dyDescent="0.25">
      <c r="B32" s="19" t="s">
        <v>106</v>
      </c>
      <c r="C32" s="101">
        <v>0.149011013</v>
      </c>
    </row>
    <row r="33" spans="2:3" ht="15.75" customHeight="1" x14ac:dyDescent="0.25">
      <c r="B33" s="19" t="s">
        <v>107</v>
      </c>
      <c r="C33" s="101">
        <v>0.122429312</v>
      </c>
    </row>
    <row r="34" spans="2:3" ht="15.75" customHeight="1" x14ac:dyDescent="0.25">
      <c r="B34" s="19" t="s">
        <v>108</v>
      </c>
      <c r="C34" s="101">
        <v>0.17326689100000001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yzNdo1x9daIAfiJ3PX28Ttyg7QwG9EHr0SnztvnGMURBRENkGA0+84UWJy3/1m8L+lQwfiHr2/o+vi/T0AAgyA==" saltValue="XOIDynw61AG3dV0ugCL7z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114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115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119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120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txHL4IEw5Wcz3yC0jnwEJyWRsGFK6+VVkLUmhLbRKX1seAcR0Vm3QQZM3XwtzyvY9383Krk3YxwRq+tDgsYaQ==" saltValue="oZu0Zd9M1FmlPD4vucEB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132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DRQXJHhVkrvvDWrD+H0wBuNFYDTJ5F+gyblKTeKkk0UEouy90z4mNLkYL9ZcZ/cMFvRL6ZwFDuFsx08P1C7vxw==" saltValue="EtdvbTY1tv13h6DhPxBA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7h1XKlhre7pzNbJ+zs3lkAqQgIOGJLHolpXRvZZPCfGTH3tW3oa43mfCGf06z6SOSJxfMzj20eK0bSaAydrpw==" saltValue="itfmlu6hZAJvlZdoUN/S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8s/FPSlH4W0/xUf0u6Fm3zi/L7JSICgwcWV3Mbt1mheJPGz/Jz03SbHUAYoCvY1LuCw/nUAuUUAsDhLy/qKWGg==" saltValue="S1JKxOVX1v9fTElOdKNo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M14aWVb7AES8nJjw2plmv7OydxsjsEmDhcuRPdhDSzwLByWAfRDDCZCWoKYSTJ6QVqMoKWP4+e47ijbFd2Gog==" saltValue="eUZmFoai7K1Jcvfdv8dy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fnnEPmb1Gwma4swu1FNzFTxBhHhDRUwnxHyI1J4HaqkQaWRlNg/zpcFpAAZiOvnewPjKsCDuwBt6Sb917i017A==" saltValue="i10wnkZLLcDvvNTN1oK85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0.58266586520635255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1.899427422400078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0.76169932167312793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0.1285596</v>
      </c>
      <c r="C10" s="98">
        <v>0.95</v>
      </c>
      <c r="D10" s="56">
        <v>13.598395744825829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13.598395744825829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13.598395744825829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13.598395744825829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0.1285596</v>
      </c>
      <c r="C14" s="98">
        <v>0.95</v>
      </c>
      <c r="D14" s="56">
        <v>13.598395744825829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13.598395744825829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0.60126389999999996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0.45200000000000001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0.48992069999999999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23.23689431241996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0.6364107</v>
      </c>
      <c r="C23" s="98">
        <v>0.95</v>
      </c>
      <c r="D23" s="56">
        <v>4.4977193243106921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0.34695807796153999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7.2999999999999995E-2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0.69885220000000003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0.2760224</v>
      </c>
      <c r="C29" s="98">
        <v>0.95</v>
      </c>
      <c r="D29" s="56">
        <v>33.321934882307978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5.5599999999999997E-2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0.65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0.28407529999999998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0.25466349999999999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6.3324999999999996E-3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0.71562439999999994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0.40300000000000002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oTwmIoK2eQfaE6bWhUlA4JFrN1drmjaIl8fhJEbPybiredTu0RSNErJCmjGMqtqfYi9u1A6PW4vVYDyyuLrP6w==" saltValue="QublxpNN0LD5V1GPNZ7r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g1cOu1hc2ZqNeOiTg6nF53fR/uOcLJhrSSZrytp8v9SbKhFmi1gj1U4hQIklANbNP888/TBh0q0UkLfl4ea0A==" saltValue="wRqsJGyBgcWa0vLFS6BA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PpRSDWTRQ+xVsIArEBwUaEvbVlH97b305LmmbRGu8fhDL1C/g3k4SXEPZZAEcEO4QumX1LjT33VcLTk4Ck4+g==" saltValue="0HjdGhXKsRvaY7sIML/j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208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cwJuZtJ2digl/5kKm/2Pf60bVZZZiGXpO2C1q1ppj+IUWZ7AAO90n6WpMZYV5PLc8BxSzw6D+X6se/0fNm63Pg==" saltValue="RBYOOiRX+cre5lq77UI+7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FcamyAws1AHZ762hZjUU11wwUddzxp98rG12XTVyNrS8HAFvG7aO7Xt5jJIj/0CJlNZ7bNimrDdPJ7Yv8jMGw==" saltValue="wjjHT49Gx4RUhU3G/my1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PFUxOmD7GjbxTvQH54iKXt/uGRfrcw8G+zlm6LgiK+WeCRQLXhHYsUg5Q9kk6s/eaWnEupd0sfYABNdIsNp06g==" saltValue="IQEbmog3wsYRiJh4mFEc0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A++M14HXzw3uBymbu4ncZpx7aMxfQ7rkL2SuS2tgJ/D0m5Kqqihr6Tztz5yli4BSIm9jWM7KfwEUHIW8TuVRg==" saltValue="IqV+MKYvnzxQ3wbAmSAU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v3BM5mPoaRp5cE+N3ZXSsAQsj+jKejnDQSppSRdwQ74UxdX6JtJwT62DzS+L1nke8GeoL0YovPBAudltj4lQw==" saltValue="xmvUV/fhhCpLHXzP7oLn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TR79Q+sWYjCydE1q4LcePFP4jMwfHLVcvtdu67iNgCef2ZJ90Bms9l0JVqSfMo62NIea3MhS7BwqddicqbdiQ==" saltValue="BWsuga0ZvY3KlzdyY7Rr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bjqf5tqdES1Js6oaWdLxz4URXK2Ykcmxuf76N5QkppykPM7FrKjlnQiMlvSkguwdhpRmVn95I3uocHXJkf7pA==" saltValue="1KB0mjLuoUYvMIEOXqFI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7h/K4J290CWHa4KirPxLimQKeAvQcRfXHB005e+jukaD6UYx9N4revboi2inmpdPZG3bJlmGD2t6Euy3hc5QA==" saltValue="fk98qxIFzuM+0AdwwMPV6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Yps/HIoLsAJLC66ff6wF/anCtd9LC69KpYjbkhByaXQ+4NThKABnAQEAY8eBxB8YoQiqq+BXG0UJccYDl2tsg==" saltValue="czap1FfUplELkA54KpCK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/2GdWleLGDD5vwFW5ZsPa09viMl0Bg+WsWyw02IS9iDFX25MGP6DTUPOF04mlbCWijrPiNI5heBHn5FNRylIg==" saltValue="01jTfxI8huxyYmBYOGPn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QMbtOFD4XwkpJmMZ1tBTlikl//phSewyjW8yubTM+3PhoDCAFfhaZbYyNC7H7O6bWLi45qxQ7U4wbPFAXVmpw==" saltValue="d9TB5ZzbhXrhZO9LxAuZ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+gRcrTkg39MidpLgrSXYGVtQ7t1PXFSGJAWgVmtRLuwdxg8ylx0PLHsL19sVGKASWG2EyYjXLEZYbscJeFmuNQ==" saltValue="vgIaIgd21PonAKWfNbrN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HlvWLfTXS9BBFjSACg95i79NZM8qtQTD1zQdf9R2r36TAduMym2wBzOD5JjyvSRzXUnz+e5eFd6khqWSS4/BA==" saltValue="ISL9kF75sOMzxKm+kkve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6N8afLvwmxa6VERXQbGfAhtxprHR5XBh8P/f7aYZ4RyI4OUot6RrI/+4jxnXkU7SDl3Ks2ulBzFb52etl9XEw==" saltValue="BtUd+XBhzKPbAzLBplFw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9.75713657066275E-2</v>
      </c>
      <c r="G18" s="90">
        <f>MIN(MAX(1-0.89/(1-frac_sam_12_23months+(frac_sam_12_23months*0.89)),0),1)</f>
        <v>9.8828082523018002E-2</v>
      </c>
      <c r="H18" s="90">
        <f>MIN(MAX(1-0.89/(1-frac_sam_24_59months+(frac_sam_24_59months*0.89)),0),1)</f>
        <v>0.10150149891608617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9.5370974448354628E-2</v>
      </c>
      <c r="G20" s="90">
        <f>MIN(MAX(1-0.89/(1-frac_mam_12_23months+(frac_mam_12_23months*0.89)),0),1)</f>
        <v>9.5504910836164747E-2</v>
      </c>
      <c r="H20" s="90">
        <f>MIN(MAX(1-0.89/(1-frac_mam_24_59months+(frac_mam_24_59months*0.89)),0),1)</f>
        <v>9.5681281471891699E-2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8.7589275188517668E-3</v>
      </c>
      <c r="G73" s="90">
        <f>MIN(MAX(1-0.99/(1-frac_sam_12_23months+(frac_sam_12_23months*0.99)),0),1)</f>
        <v>8.8830022234529515E-3</v>
      </c>
      <c r="H73" s="90">
        <f>MIN(MAX(1-0.99/(1-frac_sam_24_59months+(frac_sam_24_59months*0.99)),0),1)</f>
        <v>9.1479970791004117E-3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8.5424403953890948E-3</v>
      </c>
      <c r="G75" s="90">
        <f>MIN(MAX(1-0.99/(1-frac_mam_12_23months+(frac_mam_12_23months*0.99)),0),1)</f>
        <v>8.5555904172335273E-3</v>
      </c>
      <c r="H75" s="90">
        <f>MIN(MAX(1-0.99/(1-frac_mam_24_59months+(frac_mam_24_59months*0.99)),0),1)</f>
        <v>8.572912089703344E-3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0.17945285957703949</v>
      </c>
      <c r="G128" s="90">
        <f>MIN(MAX(1-0.8/(1-frac_sam_12_23months+(frac_sam_12_23months*0.8)),0),1)</f>
        <v>0.18155203556090926</v>
      </c>
      <c r="H128" s="90">
        <f>MIN(MAX(1-0.8/(1-frac_sam_24_59months+(frac_sam_24_59months*0.8)),0),1)</f>
        <v>0.18600135599964107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0.17576556233950869</v>
      </c>
      <c r="G130" s="90">
        <f>MIN(MAX(1-0.8/(1-frac_mam_12_23months+(frac_mam_12_23months*0.8)),0),1)</f>
        <v>0.17599043786343704</v>
      </c>
      <c r="H130" s="90">
        <f>MIN(MAX(1-0.8/(1-frac_mam_24_59months+(frac_mam_24_59months*0.8)),0),1)</f>
        <v>0.17628647372605077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F++ba1eoEfTq+kEdyh+93HHMt9V82UYBx8Cea9NC7k4zlMTDGDYiPJseDkZBpc58fwYto3lh2qu31oauaiLmA==" saltValue="WzLTgX9kELJQYrRBHktl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FzofZtpmIQOuHFuYLNHgQGR6uYFWmr3l4FDzf4hiZxtr7raEQXi+NTt8SBK6JXt/rF0gvEZgIEC5R+2eCW94Q==" saltValue="XU6Ul81xnrpCDQ2ABw7mi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2024-08-06T09:52:02Z</dcterms:modified>
</cp:coreProperties>
</file>