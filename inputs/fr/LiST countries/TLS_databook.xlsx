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7B8762D-3E05-4965-97F9-76BD8C449C8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<sst xmlns="http://schemas.openxmlformats.org/spreadsheetml/2006/main" count="2102" uniqueCount="337">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</sst>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158807.1201171875</v>
      </c>
    </row>
    <row r="8" spans="1:3" ht="15" customHeight="1" x14ac:dyDescent="0.25">
      <c r="B8" s="5" t="s">
        <v>19</v>
      </c>
      <c r="C8" s="44">
        <v>0.307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0.63727569580078092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0.53900000000000003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0.05</v>
      </c>
    </row>
    <row r="24" spans="1:3" ht="15" customHeight="1" x14ac:dyDescent="0.25">
      <c r="B24" s="15" t="s">
        <v>33</v>
      </c>
      <c r="C24" s="45">
        <v>0.46779999999999999</v>
      </c>
    </row>
    <row r="25" spans="1:3" ht="15" customHeight="1" x14ac:dyDescent="0.25">
      <c r="B25" s="15" t="s">
        <v>34</v>
      </c>
      <c r="C25" s="45">
        <v>0.38690000000000002</v>
      </c>
    </row>
    <row r="26" spans="1:3" ht="15" customHeight="1" x14ac:dyDescent="0.25">
      <c r="B26" s="15" t="s">
        <v>35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0.245821801532287</v>
      </c>
    </row>
    <row r="30" spans="1:3" ht="14.25" customHeight="1" x14ac:dyDescent="0.25">
      <c r="B30" s="25" t="s">
        <v>38</v>
      </c>
      <c r="C30" s="99">
        <v>9.0628283207226698E-2</v>
      </c>
    </row>
    <row r="31" spans="1:3" ht="14.25" customHeight="1" x14ac:dyDescent="0.25">
      <c r="B31" s="25" t="s">
        <v>39</v>
      </c>
      <c r="C31" s="99">
        <v>0.12440493600631899</v>
      </c>
    </row>
    <row r="32" spans="1:3" ht="14.25" customHeight="1" x14ac:dyDescent="0.25">
      <c r="B32" s="25" t="s">
        <v>40</v>
      </c>
      <c r="C32" s="99">
        <v>0.53914497925416693</v>
      </c>
    </row>
    <row r="33" spans="1:5" ht="13" customHeight="1" x14ac:dyDescent="0.25">
      <c r="B33" s="27" t="s">
        <v>41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22.225660000000001</v>
      </c>
    </row>
    <row r="38" spans="1:5" ht="15" customHeight="1" x14ac:dyDescent="0.25">
      <c r="B38" s="11" t="s">
        <v>45</v>
      </c>
      <c r="C38" s="43">
        <v>43.078240000000001</v>
      </c>
      <c r="D38" s="12"/>
      <c r="E38" s="13"/>
    </row>
    <row r="39" spans="1:5" ht="15" customHeight="1" x14ac:dyDescent="0.25">
      <c r="B39" s="11" t="s">
        <v>46</v>
      </c>
      <c r="C39" s="43">
        <v>50.548969999999997</v>
      </c>
      <c r="D39" s="12"/>
      <c r="E39" s="12"/>
    </row>
    <row r="40" spans="1:5" ht="15" customHeight="1" x14ac:dyDescent="0.25">
      <c r="B40" s="11" t="s">
        <v>47</v>
      </c>
      <c r="C40" s="100">
        <v>2.04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6.1151E-3</v>
      </c>
      <c r="D45" s="12"/>
    </row>
    <row r="46" spans="1:5" ht="15.75" customHeight="1" x14ac:dyDescent="0.25">
      <c r="B46" s="11" t="s">
        <v>52</v>
      </c>
      <c r="C46" s="45">
        <v>6.5706000000000001E-2</v>
      </c>
      <c r="D46" s="12"/>
    </row>
    <row r="47" spans="1:5" ht="15.75" customHeight="1" x14ac:dyDescent="0.25">
      <c r="B47" s="11" t="s">
        <v>53</v>
      </c>
      <c r="C47" s="45">
        <v>7.5186000000000003E-2</v>
      </c>
      <c r="D47" s="12"/>
      <c r="E47" s="13"/>
    </row>
    <row r="48" spans="1:5" ht="15" customHeight="1" x14ac:dyDescent="0.25">
      <c r="B48" s="11" t="s">
        <v>54</v>
      </c>
      <c r="C48" s="46">
        <v>0.85299289999999994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0.595418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AmRVrjuGet3KWUGnjWn0DzJmbwYC3Z8LBGUxZ97LDR1aMzZiAs1aM835BQInuhoQuV3KYfWO8BN+gksZruGNww==" saltValue="xYxY3mTN5wO6F3xXoc4s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ZMkVKDRu3zYmlhwlUG7Huu2z4e/mtTxH5aSb35NVUpB9FiC9y8AJ21n3bDo7F+yd+8PF83r07SwQTsko4LlVQ==" saltValue="DTwfm5CI7AG8o2sgyCL1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1.211166661965745E-2</v>
      </c>
    </row>
    <row r="4" spans="1:8" ht="15.75" customHeight="1" x14ac:dyDescent="0.25">
      <c r="B4" s="19" t="s">
        <v>79</v>
      </c>
      <c r="C4" s="101">
        <v>6.0140451444212033E-2</v>
      </c>
    </row>
    <row r="5" spans="1:8" ht="15.75" customHeight="1" x14ac:dyDescent="0.25">
      <c r="B5" s="19" t="s">
        <v>80</v>
      </c>
      <c r="C5" s="101">
        <v>8.0966120780000275E-2</v>
      </c>
    </row>
    <row r="6" spans="1:8" ht="15.75" customHeight="1" x14ac:dyDescent="0.25">
      <c r="B6" s="19" t="s">
        <v>81</v>
      </c>
      <c r="C6" s="101">
        <v>0.23734577736489759</v>
      </c>
    </row>
    <row r="7" spans="1:8" ht="15.75" customHeight="1" x14ac:dyDescent="0.25">
      <c r="B7" s="19" t="s">
        <v>82</v>
      </c>
      <c r="C7" s="101">
        <v>0.39154340758184181</v>
      </c>
    </row>
    <row r="8" spans="1:8" ht="15.75" customHeight="1" x14ac:dyDescent="0.25">
      <c r="B8" s="19" t="s">
        <v>83</v>
      </c>
      <c r="C8" s="101">
        <v>2.095209403917522E-3</v>
      </c>
    </row>
    <row r="9" spans="1:8" ht="15.75" customHeight="1" x14ac:dyDescent="0.25">
      <c r="B9" s="19" t="s">
        <v>84</v>
      </c>
      <c r="C9" s="101">
        <v>9.3685606167444854E-2</v>
      </c>
    </row>
    <row r="10" spans="1:8" ht="15.75" customHeight="1" x14ac:dyDescent="0.25">
      <c r="B10" s="19" t="s">
        <v>85</v>
      </c>
      <c r="C10" s="101">
        <v>0.1221117606380285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88</v>
      </c>
      <c r="C15" s="101">
        <v>0.26263023034971061</v>
      </c>
      <c r="D15" s="101">
        <v>0.26263023034971061</v>
      </c>
      <c r="E15" s="101">
        <v>0.26263023034971061</v>
      </c>
      <c r="F15" s="101">
        <v>0.26263023034971061</v>
      </c>
    </row>
    <row r="16" spans="1:8" ht="15.75" customHeight="1" x14ac:dyDescent="0.25">
      <c r="B16" s="19" t="s">
        <v>89</v>
      </c>
      <c r="C16" s="101">
        <v>3.0839661308733311E-2</v>
      </c>
      <c r="D16" s="101">
        <v>3.0839661308733311E-2</v>
      </c>
      <c r="E16" s="101">
        <v>3.0839661308733311E-2</v>
      </c>
      <c r="F16" s="101">
        <v>3.0839661308733311E-2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9.223166814531164E-2</v>
      </c>
      <c r="D19" s="101">
        <v>9.223166814531164E-2</v>
      </c>
      <c r="E19" s="101">
        <v>9.223166814531164E-2</v>
      </c>
      <c r="F19" s="101">
        <v>9.223166814531164E-2</v>
      </c>
    </row>
    <row r="20" spans="1:8" ht="15.75" customHeight="1" x14ac:dyDescent="0.25">
      <c r="B20" s="19" t="s">
        <v>93</v>
      </c>
      <c r="C20" s="101">
        <v>6.1898808544440694E-3</v>
      </c>
      <c r="D20" s="101">
        <v>6.1898808544440694E-3</v>
      </c>
      <c r="E20" s="101">
        <v>6.1898808544440694E-3</v>
      </c>
      <c r="F20" s="101">
        <v>6.1898808544440694E-3</v>
      </c>
    </row>
    <row r="21" spans="1:8" ht="15.75" customHeight="1" x14ac:dyDescent="0.25">
      <c r="B21" s="19" t="s">
        <v>94</v>
      </c>
      <c r="C21" s="101">
        <v>0.14044849122108119</v>
      </c>
      <c r="D21" s="101">
        <v>0.14044849122108119</v>
      </c>
      <c r="E21" s="101">
        <v>0.14044849122108119</v>
      </c>
      <c r="F21" s="101">
        <v>0.14044849122108119</v>
      </c>
    </row>
    <row r="22" spans="1:8" ht="15.75" customHeight="1" x14ac:dyDescent="0.25">
      <c r="B22" s="19" t="s">
        <v>95</v>
      </c>
      <c r="C22" s="101">
        <v>0.2616173474286661</v>
      </c>
      <c r="D22" s="101">
        <v>0.2616173474286661</v>
      </c>
      <c r="E22" s="101">
        <v>0.2616173474286661</v>
      </c>
      <c r="F22" s="101">
        <v>0.2616173474286661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4.8008347E-2</v>
      </c>
    </row>
    <row r="27" spans="1:8" ht="15.75" customHeight="1" x14ac:dyDescent="0.25">
      <c r="B27" s="19" t="s">
        <v>102</v>
      </c>
      <c r="C27" s="101">
        <v>1.9052040999999999E-2</v>
      </c>
    </row>
    <row r="28" spans="1:8" ht="15.75" customHeight="1" x14ac:dyDescent="0.25">
      <c r="B28" s="19" t="s">
        <v>103</v>
      </c>
      <c r="C28" s="101">
        <v>0.22942046699999999</v>
      </c>
    </row>
    <row r="29" spans="1:8" ht="15.75" customHeight="1" x14ac:dyDescent="0.25">
      <c r="B29" s="19" t="s">
        <v>104</v>
      </c>
      <c r="C29" s="101">
        <v>0.138432112</v>
      </c>
    </row>
    <row r="30" spans="1:8" ht="15.75" customHeight="1" x14ac:dyDescent="0.25">
      <c r="B30" s="19" t="s">
        <v>2</v>
      </c>
      <c r="C30" s="101">
        <v>5.0081873999999998E-2</v>
      </c>
    </row>
    <row r="31" spans="1:8" ht="15.75" customHeight="1" x14ac:dyDescent="0.25">
      <c r="B31" s="19" t="s">
        <v>105</v>
      </c>
      <c r="C31" s="101">
        <v>7.0297943000000002E-2</v>
      </c>
    </row>
    <row r="32" spans="1:8" ht="15.75" customHeight="1" x14ac:dyDescent="0.25">
      <c r="B32" s="19" t="s">
        <v>106</v>
      </c>
      <c r="C32" s="101">
        <v>0.149011013</v>
      </c>
    </row>
    <row r="33" spans="2:3" ht="15.75" customHeight="1" x14ac:dyDescent="0.25">
      <c r="B33" s="19" t="s">
        <v>107</v>
      </c>
      <c r="C33" s="101">
        <v>0.122429312</v>
      </c>
    </row>
    <row r="34" spans="2:3" ht="15.75" customHeight="1" x14ac:dyDescent="0.25">
      <c r="B34" s="19" t="s">
        <v>108</v>
      </c>
      <c r="C34" s="101">
        <v>0.17326689100000001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4Lx4PPOTB4I5QuxbKfhjOtpdJ/r6xA6H9QNMn/ktRKXeB6TVQeFeFgOgEGhm0z967jFsVFDnqIbqzK9wNR+W8Q==" saltValue="BeuAfXEaS7mOr5vSCduUT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114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115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119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120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Gk4Qz493IWusCE1qosZmDiY7kKuB2cWvC895t6wjIlI9yV1ghgSNVmF/r2ihGeJz/UwjMhrNpkB1G8fAehd6Q==" saltValue="b3Maiq6vaYHO2V5olr6k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132</v>
      </c>
      <c r="C5" s="52">
        <v>4.5728400000000002E-2</v>
      </c>
      <c r="D5" s="52">
        <v>6.9823800000000005E-2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3hA6SBq5rzuMSWUdXmbe1skBHvfiZpmhwZXfOKLZ4XDZgjyUvADA80vOD5yPPfN3UfFeu8gj+0yhIjiFj+T9zA==" saltValue="oGSz3HG5cTWN+cZc8OQe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Jgz+cNiRDC8faX79u1Biw9w1esnw8pRs7xhLBh49LMVecIIayHQBu36Cbjda4WZoMEEasW+pxWMg8qy0uCd3w==" saltValue="HIJQvMSBySYFM8+msQKg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axQxgu/1rRjFqzqLzKqETTIHByAb1FYwk0jU3cwTRS4ewLHxjUjDMztlg4NEzhHVBa6WtKSUxLG98H4/rUb2gw==" saltValue="Ze4nzWb9kYMJDMDHnRr1G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BbX1HRb95S3J1Dwza9bfUV0X0WFHt542Hcq3aiwM310kgiGrG48sDDryDb+36MzEbdf21QiEjy4YG1a4c5nQYg==" saltValue="3VSVwDU8SyvjXvU5KwyPa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w5hlypkDSVN47nfDhLMTDb074CKHL10dib4PYND7NwOeGLxBJ98TsQhw7nyyXQ48y+1k/QVkwjVgBCelHOlH+A==" saltValue="CW8XP8W+sE/R8SuDsqzjL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40.561070613111141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0.208830442457</v>
      </c>
      <c r="C3" s="98">
        <v>0.95</v>
      </c>
      <c r="D3" s="56">
        <v>42.580683844805243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140.5387212287504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0.58266586520635255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0.1285596</v>
      </c>
      <c r="C10" s="98">
        <v>0.95</v>
      </c>
      <c r="D10" s="56">
        <v>13.598395744825829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0.1285596</v>
      </c>
      <c r="C11" s="98">
        <v>0.95</v>
      </c>
      <c r="D11" s="56">
        <v>13.598395744825829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0.1285596</v>
      </c>
      <c r="C12" s="98">
        <v>0.95</v>
      </c>
      <c r="D12" s="56">
        <v>13.598395744825829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0.1285596</v>
      </c>
      <c r="C13" s="98">
        <v>0.95</v>
      </c>
      <c r="D13" s="56">
        <v>13.598395744825829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0.1285596</v>
      </c>
      <c r="C14" s="98">
        <v>0.95</v>
      </c>
      <c r="D14" s="56">
        <v>13.598395744825829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0.1285596</v>
      </c>
      <c r="C15" s="98">
        <v>0.95</v>
      </c>
      <c r="D15" s="56">
        <v>13.598395744825829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0.85</v>
      </c>
      <c r="C16" s="98">
        <v>0.95</v>
      </c>
      <c r="D16" s="56">
        <v>0.33763848267590918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6.110295270761E-2</v>
      </c>
      <c r="C18" s="98">
        <v>0.95</v>
      </c>
      <c r="D18" s="56">
        <v>3.3223485837494819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0.58378350000000001</v>
      </c>
      <c r="C19" s="98">
        <v>0.95</v>
      </c>
      <c r="D19" s="56">
        <v>3.3223485837494819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0.71562439999999994</v>
      </c>
      <c r="C21" s="98">
        <v>0.95</v>
      </c>
      <c r="D21" s="56">
        <v>5.0226201787989284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23.23689431241996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4.4977193243106921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0.46301802950131998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0.1285596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19.667951390170739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0.36309770879371001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73.779165565353139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0.65</v>
      </c>
      <c r="C31" s="98">
        <v>0.95</v>
      </c>
      <c r="D31" s="56">
        <v>2.1818074410904882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0.6799284291458918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0.2760224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0.69885220000000003</v>
      </c>
      <c r="C38" s="98">
        <v>0.95</v>
      </c>
      <c r="D38" s="56">
        <v>3.7635013828042281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6CUijklYJSk9x4DmHFITM6CL+1Dy77VliUrtTxNu4V70YjDTc/OCStd7HRlAkukVoann/uYbrec5eiixd4Eh/g==" saltValue="DnfTLBLG884TYL3d+8M9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P7fhA6PrnGx1w0OzUUYgoK9yOfu2hmjxWVaTqiVQHPCZq37Atq0WEn2hZvcvc7yc1Thl5exiEa2arBmZg+9GQ==" saltValue="aKd4EyRzDaJ8NEAlzHC/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nUbqi2od+xH2yrgNAY8agH1TmVVy4QF0OPJP4see+QsP1oV24fYQAIho4u4ASAJ6Ymhf2bnXXms24PTL+gjJA==" saltValue="R+Wf1+5sd97GH4jdukxo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208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sheetProtection algorithmName="SHA-512" hashValue="JjP0+ABTH16gJy68FL9M1+Ru2jVxbhQd2Dpgejah91rwKc/5EduamNygUPhJ993x+6NKLCkK6gYzHT1LO3D4OA==" saltValue="169a0R+v3MRmn+W7YkNws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0.307</v>
      </c>
      <c r="E2" s="60">
        <f>food_insecure</f>
        <v>0.307</v>
      </c>
      <c r="F2" s="60">
        <f>food_insecure</f>
        <v>0.307</v>
      </c>
      <c r="G2" s="60">
        <f>food_insecure</f>
        <v>0.307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0.307</v>
      </c>
      <c r="F5" s="60">
        <f>food_insecure</f>
        <v>0.307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0.307</v>
      </c>
      <c r="F8" s="60">
        <f>food_insecure</f>
        <v>0.307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0.307</v>
      </c>
      <c r="F9" s="60">
        <f>food_insecure</f>
        <v>0.307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0.307</v>
      </c>
      <c r="I15" s="60">
        <f>food_insecure</f>
        <v>0.307</v>
      </c>
      <c r="J15" s="60">
        <f>food_insecure</f>
        <v>0.307</v>
      </c>
      <c r="K15" s="60">
        <f>food_insecure</f>
        <v>0.307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0.53900000000000003</v>
      </c>
      <c r="M24" s="60">
        <f>famplan_unmet_need</f>
        <v>0.53900000000000003</v>
      </c>
      <c r="N24" s="60">
        <f>famplan_unmet_need</f>
        <v>0.53900000000000003</v>
      </c>
      <c r="O24" s="60">
        <f>famplan_unmet_need</f>
        <v>0.53900000000000003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0.20111974494934101</v>
      </c>
      <c r="M25" s="60">
        <f>(1-food_insecure)*(0.49)+food_insecure*(0.7)</f>
        <v>0.55447000000000002</v>
      </c>
      <c r="N25" s="60">
        <f>(1-food_insecure)*(0.49)+food_insecure*(0.7)</f>
        <v>0.55447000000000002</v>
      </c>
      <c r="O25" s="60">
        <f>(1-food_insecure)*(0.49)+food_insecure*(0.7)</f>
        <v>0.55447000000000002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8.6194176406860445E-2</v>
      </c>
      <c r="M26" s="60">
        <f>(1-food_insecure)*(0.21)+food_insecure*(0.3)</f>
        <v>0.23763000000000001</v>
      </c>
      <c r="N26" s="60">
        <f>(1-food_insecure)*(0.21)+food_insecure*(0.3)</f>
        <v>0.23763000000000001</v>
      </c>
      <c r="O26" s="60">
        <f>(1-food_insecure)*(0.21)+food_insecure*(0.3)</f>
        <v>0.23763000000000001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7.5410382843017654E-2</v>
      </c>
      <c r="M27" s="60">
        <f>(1-food_insecure)*(0.3)</f>
        <v>0.2079</v>
      </c>
      <c r="N27" s="60">
        <f>(1-food_insecure)*(0.3)</f>
        <v>0.2079</v>
      </c>
      <c r="O27" s="60">
        <f>(1-food_insecure)*(0.3)</f>
        <v>0.2079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0.63727569580078092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GKsARgXTuTC1mfmtgoVapEdsrgxIk9lSRf2sDnnvMI6TsX6NdmniENPKT3Lw359FbJ36u9j2yhUUWbonKj6zQ==" saltValue="h1udsrORKlQKCW4kTWKJn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WUqZkr/5ezLbmawm8w6UdXBv3wneDcnFPUICRmI7te0wI9V2RsLy9mmn+K07N6C68F67vTSmUBOVnDMyRxATAg==" saltValue="22ahTOMn+vel995UJxTwn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2ezfSjgSQZtigcwu3z8BKrTzA33Nd93mv+atoNAaa3XDGB+bnECMh7p6vC05uabvhKNl1ryrXqSjUCL5EbiIg==" saltValue="DqW4xmJlOwMh4WYFpR44j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/QN4muOFcQyGSnDxy3vdQyrw0AidGuZyt+rSewjNJgy1NQKFlicUAnKQCF1rC8iifknGJCZH1L8T5LAGW7w0A==" saltValue="KHwKLzVnJqitE6IqraH3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DzkiVGtX/H8WTyas7dnKJjZqaJlAwmPc8mziWg7OQdIDB3i3sb1TRDzijb+71BmZN7DLsy0t+LkJEBCk5uQfA==" saltValue="lEY/L/9wYKSOoCJOYJcnp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3h+KgDq18uQBL7aKJmpFg8uTE6RGL3V4vq8gpK1UUO9DVaBcExHYOVYi74eVjpk/yAX43R+xfx24ax1rJjcYg==" saltValue="RFrIOo46bDfQYxG4lAdCD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Y88wzBNApkJb2A7iLSumbbnUBYBgjgSGOhvLFatg0fHSRA0Nf+KzlipvJaWDDBAKoGT/VYEwvLN7nHUjvSS8DQ==" saltValue="S5ej+gYs28U5ofsXujkbI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eBA4L7J45lGCfE/1JyxkTBMCr7SznTmDl7dEciDZTzygG4VkZ5HfaHUh9dFS46GkK71gswze5yOqFeG5DWl0w==" saltValue="FU6AHceVjKZtjwrkD2G+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IZn5Uz/Nu/iqVzU6fTnkRSzZieY0FPpwo6k7I8GLItqtT3g5//6aWEXHIc0V2CQgvG96TIAgu/dPXK4/UXnbQ==" saltValue="8ir88Gl6LnC8AqTr0+4I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15QORwIgZxO/wJQ4vdTYK0RyTP4PC1t+yCeA6YnA+vC2vBEb/Z7e+vIMgXsDJYQtDgXQgWmbtfNp/2XJ4ad9UQ==" saltValue="L9dmBwl/37dMIfHn0lBz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xaw+fSe9swkNFpbOBdfgAJNvyWe8GBF0MJ6ZVVe2aIniJekWGMKJHH/QDoj+tRwloWnFG/fhROjR5QQj5pPS/A==" saltValue="i6YhhD/b+mEZZ/dlVvHj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A/H9xBPiUascyz+952B3+i+b1xm8JrIbbOKQlaOqH194Cj7XKT4CMF9gFakaBMeBhacY5q+QIqN4BTXbJxztA==" saltValue="c+GJemiTDjKeJIz9v0Fi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euA8KQDQenz9d4SdXq2EpVCq3mnrj8Ib7x453nHBoOS3buO4HT0E0D0sZ13hGLir97aLTO5+4wq+yZPBBKabA==" saltValue="+U5SK3FPrIL57bFgimo4p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xmB5f6DyGwRcgQqtzxYlz+5CwDnmMej8SBY5FecWAmZul4ITCF7LT6E7dFIG29L+W/i9EkVM0uxTlMyihr06g==" saltValue="ob7gCHm39v5cWuczWf/g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ZCAwn1oo6GD/IjSYP1qlvgfkN3R2G5UlTXcSWUTexcj3GBgRM6u+YzF203GsoKdG5TEYnT1g90Ow8sgr8rHhw==" saltValue="eUwt7VGkIgVjGIYrnIM9n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2024-05-17T00:58:42Z</dcterms:modified>
</cp:coreProperties>
</file>