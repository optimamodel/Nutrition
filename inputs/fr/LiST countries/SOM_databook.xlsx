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420A45A-BE81-4337-8D5F-811082806B6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<sst xmlns="http://schemas.openxmlformats.org/spreadsheetml/2006/main" count="2102" uniqueCount="337">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</sst>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3470339.28125</v>
      </c>
    </row>
    <row r="8" spans="1:3" ht="15" customHeight="1" x14ac:dyDescent="0.25">
      <c r="B8" s="5" t="s">
        <v>19</v>
      </c>
      <c r="C8" s="44">
        <v>0.45200000000000001</v>
      </c>
    </row>
    <row r="9" spans="1:3" ht="15" customHeight="1" x14ac:dyDescent="0.25">
      <c r="B9" s="5" t="s">
        <v>20</v>
      </c>
      <c r="C9" s="45">
        <v>0.28079999999999999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0.63600000000000001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8.2100000000000006E-2</v>
      </c>
    </row>
    <row r="24" spans="1:3" ht="15" customHeight="1" x14ac:dyDescent="0.25">
      <c r="B24" s="15" t="s">
        <v>33</v>
      </c>
      <c r="C24" s="45">
        <v>0.47660000000000002</v>
      </c>
    </row>
    <row r="25" spans="1:3" ht="15" customHeight="1" x14ac:dyDescent="0.25">
      <c r="B25" s="15" t="s">
        <v>34</v>
      </c>
      <c r="C25" s="45">
        <v>0.3337</v>
      </c>
    </row>
    <row r="26" spans="1:3" ht="15" customHeight="1" x14ac:dyDescent="0.25">
      <c r="B26" s="15" t="s">
        <v>35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0.18812535867607999</v>
      </c>
    </row>
    <row r="30" spans="1:3" ht="14.25" customHeight="1" x14ac:dyDescent="0.25">
      <c r="B30" s="25" t="s">
        <v>38</v>
      </c>
      <c r="C30" s="99">
        <v>7.529214782846369E-2</v>
      </c>
    </row>
    <row r="31" spans="1:3" ht="14.25" customHeight="1" x14ac:dyDescent="0.25">
      <c r="B31" s="25" t="s">
        <v>39</v>
      </c>
      <c r="C31" s="99">
        <v>0.10030682254742999</v>
      </c>
    </row>
    <row r="32" spans="1:3" ht="14.25" customHeight="1" x14ac:dyDescent="0.25">
      <c r="B32" s="25" t="s">
        <v>40</v>
      </c>
      <c r="C32" s="99">
        <v>0.63627567094802595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35.95326</v>
      </c>
    </row>
    <row r="38" spans="1:5" ht="15" customHeight="1" x14ac:dyDescent="0.25">
      <c r="B38" s="11" t="s">
        <v>45</v>
      </c>
      <c r="C38" s="43">
        <v>71.129549999999995</v>
      </c>
      <c r="D38" s="12"/>
      <c r="E38" s="13"/>
    </row>
    <row r="39" spans="1:5" ht="15" customHeight="1" x14ac:dyDescent="0.25">
      <c r="B39" s="11" t="s">
        <v>46</v>
      </c>
      <c r="C39" s="43">
        <v>111.78455</v>
      </c>
      <c r="D39" s="12"/>
      <c r="E39" s="12"/>
    </row>
    <row r="40" spans="1:5" ht="15" customHeight="1" x14ac:dyDescent="0.25">
      <c r="B40" s="11" t="s">
        <v>47</v>
      </c>
      <c r="C40" s="100">
        <v>6.21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7.9459999999999999E-3</v>
      </c>
      <c r="D45" s="12"/>
    </row>
    <row r="46" spans="1:5" ht="15.75" customHeight="1" x14ac:dyDescent="0.25">
      <c r="B46" s="11" t="s">
        <v>52</v>
      </c>
      <c r="C46" s="45">
        <v>8.5378900000000008E-2</v>
      </c>
      <c r="D46" s="12"/>
    </row>
    <row r="47" spans="1:5" ht="15.75" customHeight="1" x14ac:dyDescent="0.25">
      <c r="B47" s="11" t="s">
        <v>53</v>
      </c>
      <c r="C47" s="45">
        <v>7.3444099999999998E-2</v>
      </c>
      <c r="D47" s="12"/>
      <c r="E47" s="13"/>
    </row>
    <row r="48" spans="1:5" ht="15" customHeight="1" x14ac:dyDescent="0.25">
      <c r="B48" s="11" t="s">
        <v>54</v>
      </c>
      <c r="C48" s="46">
        <v>0.83323099999999994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0.44861699999999999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aB310l5LthWWRqgItv1jAmT6RS42orofWQb1n/tMB+ijfyvorcvgyuI/F9bIf0d3tbc427IWTSqeebWW9mdwA==" saltValue="KQeWtaOAmA4WP+lI6y+m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788171</v>
      </c>
      <c r="C2" s="49">
        <v>1223081.5</v>
      </c>
      <c r="D2" s="49">
        <v>1533694.5</v>
      </c>
      <c r="E2" s="49">
        <v>968702</v>
      </c>
      <c r="F2" s="49">
        <v>581133.5</v>
      </c>
      <c r="G2" s="17">
        <f t="shared" ref="G2:G13" si="0">C2+D2+E2+F2</f>
        <v>4306611.5</v>
      </c>
      <c r="H2" s="17">
        <f t="shared" ref="H2:H13" si="1">(B2 + stillbirth*B2/(1000-stillbirth))/(1-abortion)</f>
        <v>921473.27187210461</v>
      </c>
      <c r="I2" s="17">
        <f t="shared" ref="I2:I13" si="2">G2-H2</f>
        <v>3385138.2281278954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802917</v>
      </c>
      <c r="C3" s="50">
        <v>1262536</v>
      </c>
      <c r="D3" s="50">
        <v>1584121.5</v>
      </c>
      <c r="E3" s="50">
        <v>1006439</v>
      </c>
      <c r="F3" s="50">
        <v>604449.5</v>
      </c>
      <c r="G3" s="17">
        <f t="shared" si="0"/>
        <v>4457546</v>
      </c>
      <c r="H3" s="17">
        <f t="shared" si="1"/>
        <v>938713.24247115757</v>
      </c>
      <c r="I3" s="17">
        <f t="shared" si="2"/>
        <v>3518832.7575288424</v>
      </c>
    </row>
    <row r="4" spans="1:9" ht="15.75" customHeight="1" x14ac:dyDescent="0.25">
      <c r="A4" s="5">
        <f t="shared" si="3"/>
        <v>2026</v>
      </c>
      <c r="B4" s="49">
        <v>817449</v>
      </c>
      <c r="C4" s="50">
        <v>1304922.5</v>
      </c>
      <c r="D4" s="50">
        <v>1636026.5</v>
      </c>
      <c r="E4" s="50">
        <v>1045455</v>
      </c>
      <c r="F4" s="50">
        <v>628383</v>
      </c>
      <c r="G4" s="17">
        <f t="shared" si="0"/>
        <v>4614787</v>
      </c>
      <c r="H4" s="17">
        <f t="shared" si="1"/>
        <v>955703.01954598702</v>
      </c>
      <c r="I4" s="17">
        <f t="shared" si="2"/>
        <v>3659083.9804540128</v>
      </c>
    </row>
    <row r="5" spans="1:9" ht="15.75" customHeight="1" x14ac:dyDescent="0.25">
      <c r="A5" s="5">
        <f t="shared" si="3"/>
        <v>2027</v>
      </c>
      <c r="B5" s="49">
        <v>832330</v>
      </c>
      <c r="C5" s="50">
        <v>1349322.5</v>
      </c>
      <c r="D5" s="50">
        <v>1689014.5</v>
      </c>
      <c r="E5" s="50">
        <v>1086815.5</v>
      </c>
      <c r="F5" s="50">
        <v>652642.5</v>
      </c>
      <c r="G5" s="17">
        <f t="shared" si="0"/>
        <v>4777795</v>
      </c>
      <c r="H5" s="17">
        <f t="shared" si="1"/>
        <v>973100.82250845176</v>
      </c>
      <c r="I5" s="17">
        <f t="shared" si="2"/>
        <v>3804694.1774915485</v>
      </c>
    </row>
    <row r="6" spans="1:9" ht="15.75" customHeight="1" x14ac:dyDescent="0.25">
      <c r="A6" s="5">
        <f t="shared" si="3"/>
        <v>2028</v>
      </c>
      <c r="B6" s="49">
        <v>844515</v>
      </c>
      <c r="C6" s="50">
        <v>1395404</v>
      </c>
      <c r="D6" s="50">
        <v>1743170.5</v>
      </c>
      <c r="E6" s="50">
        <v>1131228.5</v>
      </c>
      <c r="F6" s="50">
        <v>676623</v>
      </c>
      <c r="G6" s="17">
        <f t="shared" si="0"/>
        <v>4946426</v>
      </c>
      <c r="H6" s="17">
        <f t="shared" si="1"/>
        <v>987346.65471714956</v>
      </c>
      <c r="I6" s="17">
        <f t="shared" si="2"/>
        <v>3959079.3452828503</v>
      </c>
    </row>
    <row r="7" spans="1:9" ht="15.75" customHeight="1" x14ac:dyDescent="0.25">
      <c r="A7" s="5">
        <f t="shared" si="3"/>
        <v>2029</v>
      </c>
      <c r="B7" s="49">
        <v>860312</v>
      </c>
      <c r="C7" s="50">
        <v>1443579</v>
      </c>
      <c r="D7" s="50">
        <v>1798745.5</v>
      </c>
      <c r="E7" s="50">
        <v>1179953</v>
      </c>
      <c r="F7" s="50">
        <v>699774</v>
      </c>
      <c r="G7" s="17">
        <f t="shared" si="0"/>
        <v>5122051.5</v>
      </c>
      <c r="H7" s="17">
        <f t="shared" si="1"/>
        <v>1005815.3794935796</v>
      </c>
      <c r="I7" s="17">
        <f t="shared" si="2"/>
        <v>4116236.1205064203</v>
      </c>
    </row>
    <row r="8" spans="1:9" ht="15.75" customHeight="1" x14ac:dyDescent="0.25">
      <c r="A8" s="5">
        <f t="shared" si="3"/>
        <v>2030</v>
      </c>
      <c r="B8" s="49">
        <v>870711</v>
      </c>
      <c r="C8" s="50">
        <v>1493482</v>
      </c>
      <c r="D8" s="50">
        <v>1855985</v>
      </c>
      <c r="E8" s="50">
        <v>1235872.5</v>
      </c>
      <c r="F8" s="50">
        <v>720703.5</v>
      </c>
      <c r="G8" s="17">
        <f t="shared" si="0"/>
        <v>5306043</v>
      </c>
      <c r="H8" s="17">
        <f t="shared" si="1"/>
        <v>1017973.1479907688</v>
      </c>
      <c r="I8" s="17">
        <f t="shared" si="2"/>
        <v>4288069.8520092312</v>
      </c>
    </row>
    <row r="9" spans="1:9" ht="15.75" customHeight="1" x14ac:dyDescent="0.25">
      <c r="A9" s="5">
        <f t="shared" si="3"/>
        <v>2031</v>
      </c>
      <c r="B9" s="49">
        <v>886799</v>
      </c>
      <c r="C9" s="50">
        <v>1542389</v>
      </c>
      <c r="D9" s="50">
        <v>1916422</v>
      </c>
      <c r="E9" s="50">
        <v>1298255.5</v>
      </c>
      <c r="F9" s="50">
        <v>736413.5</v>
      </c>
      <c r="G9" s="17">
        <f t="shared" si="0"/>
        <v>5493480</v>
      </c>
      <c r="H9" s="17">
        <f t="shared" si="1"/>
        <v>1036782.0891949978</v>
      </c>
      <c r="I9" s="17">
        <f t="shared" si="2"/>
        <v>4456697.9108050019</v>
      </c>
    </row>
    <row r="10" spans="1:9" ht="15.75" customHeight="1" x14ac:dyDescent="0.25">
      <c r="A10" s="5">
        <f t="shared" si="3"/>
        <v>2032</v>
      </c>
      <c r="B10" s="49">
        <v>898403</v>
      </c>
      <c r="C10" s="50">
        <v>1589354</v>
      </c>
      <c r="D10" s="50">
        <v>1980235.5</v>
      </c>
      <c r="E10" s="50">
        <v>1358492.5</v>
      </c>
      <c r="F10" s="50">
        <v>747612.5</v>
      </c>
      <c r="G10" s="17">
        <f t="shared" si="0"/>
        <v>5675694.5</v>
      </c>
      <c r="H10" s="17">
        <f t="shared" si="1"/>
        <v>1050348.6576767154</v>
      </c>
      <c r="I10" s="17">
        <f t="shared" si="2"/>
        <v>4625345.8423232846</v>
      </c>
    </row>
    <row r="11" spans="1:9" ht="15.75" customHeight="1" x14ac:dyDescent="0.25">
      <c r="A11" s="5">
        <f t="shared" si="3"/>
        <v>2033</v>
      </c>
      <c r="B11" s="49">
        <v>911797</v>
      </c>
      <c r="C11" s="50">
        <v>1635852.5</v>
      </c>
      <c r="D11" s="50">
        <v>2046728.5</v>
      </c>
      <c r="E11" s="50">
        <v>1410116.5</v>
      </c>
      <c r="F11" s="50">
        <v>763291.5</v>
      </c>
      <c r="G11" s="17">
        <f t="shared" si="0"/>
        <v>5855989</v>
      </c>
      <c r="H11" s="17">
        <f t="shared" si="1"/>
        <v>1066007.9663844134</v>
      </c>
      <c r="I11" s="17">
        <f t="shared" si="2"/>
        <v>4789981.0336155863</v>
      </c>
    </row>
    <row r="12" spans="1:9" ht="15.75" customHeight="1" x14ac:dyDescent="0.25">
      <c r="A12" s="5">
        <f t="shared" si="3"/>
        <v>2034</v>
      </c>
      <c r="B12" s="49">
        <v>926299</v>
      </c>
      <c r="C12" s="50">
        <v>1681536</v>
      </c>
      <c r="D12" s="50">
        <v>2115944.5</v>
      </c>
      <c r="E12" s="50">
        <v>1458030.5</v>
      </c>
      <c r="F12" s="50">
        <v>789915</v>
      </c>
      <c r="G12" s="17">
        <f t="shared" si="0"/>
        <v>6045426</v>
      </c>
      <c r="H12" s="17">
        <f t="shared" si="1"/>
        <v>1082962.6696007068</v>
      </c>
      <c r="I12" s="17">
        <f t="shared" si="2"/>
        <v>4962463.3303992935</v>
      </c>
    </row>
    <row r="13" spans="1:9" ht="15.75" customHeight="1" x14ac:dyDescent="0.25">
      <c r="A13" s="5">
        <f t="shared" si="3"/>
        <v>2035</v>
      </c>
      <c r="B13" s="49">
        <v>936502</v>
      </c>
      <c r="C13" s="50">
        <v>1726130</v>
      </c>
      <c r="D13" s="50">
        <v>2187908</v>
      </c>
      <c r="E13" s="50">
        <v>1507323</v>
      </c>
      <c r="F13" s="50">
        <v>822475</v>
      </c>
      <c r="G13" s="17">
        <f t="shared" si="0"/>
        <v>6243836</v>
      </c>
      <c r="H13" s="17">
        <f t="shared" si="1"/>
        <v>1094891.2888887941</v>
      </c>
      <c r="I13" s="17">
        <f t="shared" si="2"/>
        <v>5148944.7111112056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GnVVGGnZNSCMwHAjEio0O4PN2bWmfO4R4qfLIu+fCmrAgerkFKNbELvNVpIJrJHw6Ib89BoHY/vKvCLjCubqw==" saltValue="ymAzT3GfX3zyH9eVpCq03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1.5791600634152171E-2</v>
      </c>
    </row>
    <row r="4" spans="1:8" ht="15.75" customHeight="1" x14ac:dyDescent="0.25">
      <c r="B4" s="19" t="s">
        <v>79</v>
      </c>
      <c r="C4" s="101">
        <v>7.4360170060622177E-2</v>
      </c>
    </row>
    <row r="5" spans="1:8" ht="15.75" customHeight="1" x14ac:dyDescent="0.25">
      <c r="B5" s="19" t="s">
        <v>80</v>
      </c>
      <c r="C5" s="101">
        <v>0.1080931803242427</v>
      </c>
    </row>
    <row r="6" spans="1:8" ht="15.75" customHeight="1" x14ac:dyDescent="0.25">
      <c r="B6" s="19" t="s">
        <v>81</v>
      </c>
      <c r="C6" s="101">
        <v>0.2606542151687094</v>
      </c>
    </row>
    <row r="7" spans="1:8" ht="15.75" customHeight="1" x14ac:dyDescent="0.25">
      <c r="B7" s="19" t="s">
        <v>82</v>
      </c>
      <c r="C7" s="101">
        <v>0.37045158189520122</v>
      </c>
    </row>
    <row r="8" spans="1:8" ht="15.75" customHeight="1" x14ac:dyDescent="0.25">
      <c r="B8" s="19" t="s">
        <v>83</v>
      </c>
      <c r="C8" s="101">
        <v>1.2418729629592231E-2</v>
      </c>
    </row>
    <row r="9" spans="1:8" ht="15.75" customHeight="1" x14ac:dyDescent="0.25">
      <c r="B9" s="19" t="s">
        <v>84</v>
      </c>
      <c r="C9" s="101">
        <v>4.1450001515076752E-2</v>
      </c>
    </row>
    <row r="10" spans="1:8" ht="15.75" customHeight="1" x14ac:dyDescent="0.25">
      <c r="B10" s="19" t="s">
        <v>85</v>
      </c>
      <c r="C10" s="101">
        <v>0.1167805207724034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88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89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90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91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92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93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94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95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8.9486848999999993E-2</v>
      </c>
    </row>
    <row r="27" spans="1:8" ht="15.75" customHeight="1" x14ac:dyDescent="0.25">
      <c r="B27" s="19" t="s">
        <v>102</v>
      </c>
      <c r="C27" s="101">
        <v>8.7680180000000007E-3</v>
      </c>
    </row>
    <row r="28" spans="1:8" ht="15.75" customHeight="1" x14ac:dyDescent="0.25">
      <c r="B28" s="19" t="s">
        <v>103</v>
      </c>
      <c r="C28" s="101">
        <v>0.157124918</v>
      </c>
    </row>
    <row r="29" spans="1:8" ht="15.75" customHeight="1" x14ac:dyDescent="0.25">
      <c r="B29" s="19" t="s">
        <v>104</v>
      </c>
      <c r="C29" s="101">
        <v>0.169393875</v>
      </c>
    </row>
    <row r="30" spans="1:8" ht="15.75" customHeight="1" x14ac:dyDescent="0.25">
      <c r="B30" s="19" t="s">
        <v>2</v>
      </c>
      <c r="C30" s="101">
        <v>0.105381207</v>
      </c>
    </row>
    <row r="31" spans="1:8" ht="15.75" customHeight="1" x14ac:dyDescent="0.25">
      <c r="B31" s="19" t="s">
        <v>105</v>
      </c>
      <c r="C31" s="101">
        <v>0.109725931</v>
      </c>
    </row>
    <row r="32" spans="1:8" ht="15.75" customHeight="1" x14ac:dyDescent="0.25">
      <c r="B32" s="19" t="s">
        <v>106</v>
      </c>
      <c r="C32" s="101">
        <v>1.8930017E-2</v>
      </c>
    </row>
    <row r="33" spans="2:3" ht="15.75" customHeight="1" x14ac:dyDescent="0.25">
      <c r="B33" s="19" t="s">
        <v>107</v>
      </c>
      <c r="C33" s="101">
        <v>8.4558286999999996E-2</v>
      </c>
    </row>
    <row r="34" spans="2:3" ht="15.75" customHeight="1" x14ac:dyDescent="0.25">
      <c r="B34" s="19" t="s">
        <v>108</v>
      </c>
      <c r="C34" s="101">
        <v>0.25663089700000002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z7+bCVBm8Fpn+pMSRVZqmIeWnRIlqmPxaYZeUXiZswkKDLBRAsqoMaUnZ1AR7bqmRrZypPLOJpjZpjxVHM6WDA==" saltValue="3iL82XaCexeb5En2Ddee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114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115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119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120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TEJsL8s2jOxc5w6HiKepFXLNswZfJjpv8i7RAIStXl+O29ZR79nLihytR6KvUtRKmQyEwywPkM5cGtaM5GP4A==" saltValue="ct8krGQLZgV2LHod8Z/K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132</v>
      </c>
      <c r="C5" s="52">
        <v>6.6058699999999998E-2</v>
      </c>
      <c r="D5" s="52">
        <v>8.8361499999999996E-2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yZT4cNgzfsSe+W5m6Ql1jyDrgGVn+8+mwU+98ynFh+D0YxBDQfe5Q1CnIZCBhTyLcRgggWOUWAqQIExKG27KIw==" saltValue="6w9p9CgJ3eRa2amr9xub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BoSCZal7Xtl44oDA1fdgeZ/OBac57rn7UvSaHJHEJK+9DeiapEQVLwfVbj57c3NIF8FlvezJq3EM70Wqc2H2w==" saltValue="a5RzboBuRKtFgjO8xFtz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dPyqHR0jZtswIAVa7Rg3paYMpSb29YYxnUKYnOa6yNH9FHYo7bcs72t8rAou3b01e9g7R5w6JA+9QZkEKbgXsQ==" saltValue="cMQtOtHexG+mFjsghZMk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OsEzAfT2LenIl4/CVWAcBfpDbVhibvd+OrQdrVzDCeWGPTRtajrCuebxbP2sC6rYUmvxlwUEMft7DoG8+61rGA==" saltValue="40ljipqoi4tZVdoHG6m7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mevdNQG94xRU20laOaa2FIb1b7WQdkIoRjUSNgkeIxVE29kLDeH7O5+9WSjTwmkCRxdiS6DqbT2ag3VKpV4Pg==" saltValue="rbdRUj2q/VtBLSScHlyO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34.366415838237913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6.4618918253400007E-2</v>
      </c>
      <c r="C3" s="98">
        <v>0.95</v>
      </c>
      <c r="D3" s="56">
        <v>54.628292958829128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43.420880966861567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6.3480009307688934E-2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17.31204218632346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17.31204218632346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17.31204218632346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17.31204218632346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17.31204218632346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17.31204218632346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0.56999999999999995</v>
      </c>
      <c r="C16" s="98">
        <v>0.95</v>
      </c>
      <c r="D16" s="56">
        <v>0.2381343220498644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1.17940157896E-2</v>
      </c>
      <c r="C18" s="98">
        <v>0.95</v>
      </c>
      <c r="D18" s="56">
        <v>1.112664901153791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0.40575800000000001</v>
      </c>
      <c r="C19" s="98">
        <v>0.95</v>
      </c>
      <c r="D19" s="56">
        <v>1.112664901153791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0.49360460000000012</v>
      </c>
      <c r="C21" s="98">
        <v>0.95</v>
      </c>
      <c r="D21" s="56">
        <v>0.64162710769956899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29.476348850423271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5.6282823713961951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8.9371163075200002E-2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25.070390436942869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7.0084667285600005E-2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59.64079630542151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0.28000000000000003</v>
      </c>
      <c r="C31" s="98">
        <v>0.95</v>
      </c>
      <c r="D31" s="56">
        <v>4.2824862757030893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0.4330445396250559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0.28000000000000003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0.13218150000000001</v>
      </c>
      <c r="C38" s="98">
        <v>0.95</v>
      </c>
      <c r="D38" s="56">
        <v>4.7393339240000776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kb6T3SsmWVliyCe7fhVh/Gm87Jz/zPvFDqYwLGIt06/undbqCnKqGAegnmpH9dMnh5aMynDV/+As0HCm8Qxb+w==" saltValue="PSJmVwWqFSiAqaFH4Qqy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0xQXUrmBtYDjcAxD3kbcLZQdPZuJmt2iDvkMPYad4TuSlPrS5AQ/MaGF4176zc2zpVk7U/glIp4SDOBNCnFEA==" saltValue="kxVDSdANWSoDwk6/pz+1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sCQQeca5E86wZeAUZJxVs4l0GUB9C9nyVl+t3oHUsCz58wMDckci/coMVptLqJ8aWyIzh9cnh6iRi6BrmB0QA==" saltValue="JJV9Zorq+Nc1dq+Ysn9n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208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mZLsfvzpw/UTxMZ9w2ZPelBA+Zlfy2/Afq3XH7c5K3Pz1qQ6zpVnifvYeSK48bChkUrfwNZXRMtw5cjM/Fzvtg==" saltValue="wMUZFKanhOyPFH/eKkbE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0.63600000000000001</v>
      </c>
      <c r="M24" s="60">
        <f>famplan_unmet_need</f>
        <v>0.63600000000000001</v>
      </c>
      <c r="N24" s="60">
        <f>famplan_unmet_need</f>
        <v>0.63600000000000001</v>
      </c>
      <c r="O24" s="60">
        <f>famplan_unmet_need</f>
        <v>0.63600000000000001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0.3942166543388641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0.168949994716656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0.11080014014448003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0.28079999999999999</v>
      </c>
      <c r="D34" s="60">
        <f t="shared" si="3"/>
        <v>0.28079999999999999</v>
      </c>
      <c r="E34" s="60">
        <f t="shared" si="3"/>
        <v>0.28079999999999999</v>
      </c>
      <c r="F34" s="60">
        <f t="shared" si="3"/>
        <v>0.28079999999999999</v>
      </c>
      <c r="G34" s="60">
        <f t="shared" si="3"/>
        <v>0.28079999999999999</v>
      </c>
      <c r="H34" s="60">
        <f t="shared" si="3"/>
        <v>0.28079999999999999</v>
      </c>
      <c r="I34" s="60">
        <f t="shared" si="3"/>
        <v>0.28079999999999999</v>
      </c>
      <c r="J34" s="60">
        <f t="shared" si="3"/>
        <v>0.28079999999999999</v>
      </c>
      <c r="K34" s="60">
        <f t="shared" si="3"/>
        <v>0.28079999999999999</v>
      </c>
      <c r="L34" s="60">
        <f t="shared" si="3"/>
        <v>0.28079999999999999</v>
      </c>
      <c r="M34" s="60">
        <f t="shared" si="3"/>
        <v>0.28079999999999999</v>
      </c>
      <c r="N34" s="60">
        <f t="shared" si="3"/>
        <v>0.28079999999999999</v>
      </c>
      <c r="O34" s="60">
        <f t="shared" si="3"/>
        <v>0.28079999999999999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TF5QYBOu9bs0T0e5NorJ4cylA0HMwdaUXVx6TWKhiMWhCxxl1QbfJv36ygwBCQGKtYSScrANMEUszACKQGuwA==" saltValue="Y1lGKzOdhPLTtXwXP0Mz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jO+TtN5T695Ulp+8t3m+1VKkL0cwkfOuEvn+16r0KCBSBdVXOhRkDMnxqZPCIrGVLwTYpOiytzaFie+AlUGAA==" saltValue="zMBtEBskuxtfnHmu7cjdn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WqtcGcM3r6r0wBMQMFJBOkepS1MhfJZvru2iU0vXz+RdO2Y8PrmYBrGT7aCK4eY1beXK0ouQ543gPJ4hS58Cw==" saltValue="nKuw1fBkrY/lVj2hpwql1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BMvMUkgOcGns4Qale6UNx80BTxxmW1fRzcqQ8aCNvmdAu6OQCJPFtcFYqllKUH0hUuzFCPimQfFk+upRsmioQ==" saltValue="OLEpI5kUp4t6zglnOrkF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yLQIDHjR8fTHjFFEzlAvAh5Z9tdFAlvxfsnnzs4oUyBHxachPtIbGSo7ar81i3qkTGm6cl0PnWUpqdF5bzYNw==" saltValue="ZjSyfiOzRBioOnA1zWRO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ogCY0FZIjsm0fgvrcXfNp9uB+gTHmh1wL4dKBZ1woVGOokrDQuLc+/Tq07cGopWg4KWCmgXuEwIR++EfE/bLA==" saltValue="3Z5716052wH7hQbH3PY8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zMZc3hnlkH4NCdaVoVK6hJA0sLVMJ2xZO8yNUtTiR3I6cPIEXI61Wztj+PmvsEuLxboBYE5au+9wEdbH5BU4tw==" saltValue="64HTY7pKf5Zu1SrIJLqgt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bUQ2TgS+liPuXiuoUKwN1WlyKK3yD3PjV2Gx3fxuSWzjGIpUy7ILVCTGqRuh/sezhuSLNs9yKCU6MUUbyqKbQ==" saltValue="OYzIg1pcsLix5BtZeBJs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0OS8PSR4d3ruqtdH5Pc2NDMDoXEuEUv4lVg0AQYocgZJzGFBFiCdoYqs3A/e8Rt+yf6IVzs5WJ8aTDhtwvwgg==" saltValue="rhnPCyN6o5W34fizqa4L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DtXhh2ViIItX71rcLkZ+Fv6I6sgpFczXYDrsDn7g5y96Lo2wSRPTl+K5VahaG1PsuEl+LfbC9na9bXrnPOFLA==" saltValue="2wo1HRXFm2tKASk3UR9n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LNJHKqMgsIJQwnqh7s1AS6NmLC1VhxKL+SqCuY7JJSJUlkEwn3L1m29eeTNx819MAIdIqznE7UAqAp9W63Wdw==" saltValue="Dbi9PwiOyZ8R8/H38qhx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z6u0e+4wCiNipfqw9Q7RMptI/nnfdKpT0LgYtvsidSCYW/k4YQvyoNxjQmc3DYsGBH+kZrU5/glvCoebr1MwQ==" saltValue="9hYl9pE3T/R3OQwKh/4P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vE9x9RakFjdvnQcmNrXujgnEDeP1ZvVrKUdquBVAE5GFbQbfSqYF6UdNJPNWMvoKdDHUSkY4znSxmFUECrAfg==" saltValue="4qX0++QIORuLYi7hpNnB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6oKY3CCQe1UPRD3VwGVrPu91FLngW8xi57IrgAry2yPZ6oltoqRhO0vQIJYuFdxrj04RMD5XE1ckkUXAQHEag==" saltValue="gxsID7tQXot1jMw80ukh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lBh6jp9uOQN5seKEHfyoGrqwdvbuRBypILfveN/gLeE6lXYX8g/iBN5xw5zcJ2VSXGxtqSUIvuZZy95emNl7w==" saltValue="GlYUG2c6//1sv9mlBBQyM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2024-05-17T00:52:01Z</dcterms:modified>
</cp:coreProperties>
</file>