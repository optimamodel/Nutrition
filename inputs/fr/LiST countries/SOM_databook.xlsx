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F8DB87F6-092E-4FE7-BF06-21DA9BEC4A21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I39" i="2" s="1"/>
  <c r="A39" i="2"/>
  <c r="H38" i="2"/>
  <c r="G38" i="2"/>
  <c r="I38" i="2" s="1"/>
  <c r="A32" i="2"/>
  <c r="A31" i="2"/>
  <c r="A29" i="2"/>
  <c r="A28" i="2"/>
  <c r="A21" i="2"/>
  <c r="A20" i="2"/>
  <c r="A19" i="2"/>
  <c r="A18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H2" i="2"/>
  <c r="G2" i="2"/>
  <c r="I2" i="2" s="1"/>
  <c r="A2" i="2"/>
  <c r="A40" i="2" s="1"/>
  <c r="C33" i="1"/>
  <c r="C20" i="1"/>
  <c r="A23" i="2" l="1"/>
  <c r="A34" i="2"/>
  <c r="A35" i="2"/>
  <c r="A24" i="2"/>
  <c r="A15" i="2"/>
  <c r="A26" i="2"/>
  <c r="A3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6" i="2"/>
  <c r="A27" i="2"/>
  <c r="A37" i="2"/>
  <c r="A17" i="2"/>
  <c r="A25" i="2"/>
  <c r="A33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<sst xmlns="http://schemas.openxmlformats.org/spreadsheetml/2006/main" count="2101" uniqueCount="337">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</sst>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3470339.28125</v>
      </c>
    </row>
    <row r="8" spans="1:3" ht="15" customHeight="1" x14ac:dyDescent="0.25">
      <c r="B8" s="5" t="s">
        <v>19</v>
      </c>
      <c r="C8" s="44">
        <v>0.45200000000000001</v>
      </c>
    </row>
    <row r="9" spans="1:3" ht="15" customHeight="1" x14ac:dyDescent="0.25">
      <c r="B9" s="5" t="s">
        <v>20</v>
      </c>
      <c r="C9" s="45">
        <v>0.28079999999999999</v>
      </c>
    </row>
    <row r="10" spans="1:3" ht="15" customHeight="1" x14ac:dyDescent="0.25">
      <c r="B10" s="5" t="s">
        <v>21</v>
      </c>
      <c r="C10" s="45">
        <v>0.32603321079999997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0.63600000000000001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8.2100000000000006E-2</v>
      </c>
    </row>
    <row r="24" spans="1:3" ht="15" customHeight="1" x14ac:dyDescent="0.25">
      <c r="B24" s="15" t="s">
        <v>33</v>
      </c>
      <c r="C24" s="45">
        <v>0.47660000000000002</v>
      </c>
    </row>
    <row r="25" spans="1:3" ht="15" customHeight="1" x14ac:dyDescent="0.25">
      <c r="B25" s="15" t="s">
        <v>34</v>
      </c>
      <c r="C25" s="45">
        <v>0.3337</v>
      </c>
    </row>
    <row r="26" spans="1:3" ht="15" customHeight="1" x14ac:dyDescent="0.25">
      <c r="B26" s="15" t="s">
        <v>35</v>
      </c>
      <c r="C26" s="45">
        <v>0.1076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0.18812535867607999</v>
      </c>
    </row>
    <row r="30" spans="1:3" ht="14.25" customHeight="1" x14ac:dyDescent="0.25">
      <c r="B30" s="25" t="s">
        <v>38</v>
      </c>
      <c r="C30" s="99">
        <v>7.529214782846369E-2</v>
      </c>
    </row>
    <row r="31" spans="1:3" ht="14.25" customHeight="1" x14ac:dyDescent="0.25">
      <c r="B31" s="25" t="s">
        <v>39</v>
      </c>
      <c r="C31" s="99">
        <v>0.10030682254742999</v>
      </c>
    </row>
    <row r="32" spans="1:3" ht="14.25" customHeight="1" x14ac:dyDescent="0.25">
      <c r="B32" s="25" t="s">
        <v>40</v>
      </c>
      <c r="C32" s="99">
        <v>0.63627567094802595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35.95326</v>
      </c>
    </row>
    <row r="38" spans="1:5" ht="15" customHeight="1" x14ac:dyDescent="0.25">
      <c r="B38" s="11" t="s">
        <v>45</v>
      </c>
      <c r="C38" s="43">
        <v>71.129549999999995</v>
      </c>
      <c r="D38" s="12"/>
      <c r="E38" s="13"/>
    </row>
    <row r="39" spans="1:5" ht="15" customHeight="1" x14ac:dyDescent="0.25">
      <c r="B39" s="11" t="s">
        <v>46</v>
      </c>
      <c r="C39" s="43">
        <v>111.78455</v>
      </c>
      <c r="D39" s="12"/>
      <c r="E39" s="12"/>
    </row>
    <row r="40" spans="1:5" ht="15" customHeight="1" x14ac:dyDescent="0.25">
      <c r="B40" s="11" t="s">
        <v>47</v>
      </c>
      <c r="C40" s="100">
        <v>6.21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28.025130000000001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7.9459999999999999E-3</v>
      </c>
      <c r="D45" s="12"/>
    </row>
    <row r="46" spans="1:5" ht="15.75" customHeight="1" x14ac:dyDescent="0.25">
      <c r="B46" s="11" t="s">
        <v>52</v>
      </c>
      <c r="C46" s="45">
        <v>8.5378900000000008E-2</v>
      </c>
      <c r="D46" s="12"/>
    </row>
    <row r="47" spans="1:5" ht="15.75" customHeight="1" x14ac:dyDescent="0.25">
      <c r="B47" s="11" t="s">
        <v>53</v>
      </c>
      <c r="C47" s="45">
        <v>7.3444099999999998E-2</v>
      </c>
      <c r="D47" s="12"/>
      <c r="E47" s="13"/>
    </row>
    <row r="48" spans="1:5" ht="15" customHeight="1" x14ac:dyDescent="0.25">
      <c r="B48" s="11" t="s">
        <v>54</v>
      </c>
      <c r="C48" s="46">
        <v>0.83323099999999994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3.3</v>
      </c>
      <c r="D51" s="12"/>
    </row>
    <row r="52" spans="1:4" ht="15" customHeight="1" x14ac:dyDescent="0.25">
      <c r="B52" s="11" t="s">
        <v>57</v>
      </c>
      <c r="C52" s="100">
        <v>3.3</v>
      </c>
    </row>
    <row r="53" spans="1:4" ht="15.75" customHeight="1" x14ac:dyDescent="0.25">
      <c r="B53" s="11" t="s">
        <v>58</v>
      </c>
      <c r="C53" s="100">
        <v>3.3</v>
      </c>
    </row>
    <row r="54" spans="1:4" ht="15.75" customHeight="1" x14ac:dyDescent="0.25">
      <c r="B54" s="11" t="s">
        <v>59</v>
      </c>
      <c r="C54" s="100">
        <v>3.3</v>
      </c>
    </row>
    <row r="55" spans="1:4" ht="15.75" customHeight="1" x14ac:dyDescent="0.25">
      <c r="B55" s="11" t="s">
        <v>60</v>
      </c>
      <c r="C55" s="100">
        <v>3.3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2.181818181818182E-2</v>
      </c>
    </row>
    <row r="59" spans="1:4" ht="15.75" customHeight="1" x14ac:dyDescent="0.25">
      <c r="B59" s="11" t="s">
        <v>63</v>
      </c>
      <c r="C59" s="45">
        <v>0.44861699999999999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HN1poFbcyizP2+bbrhcoLVyODHHWpCuXdDEJcoxsRl+7DePYR3zeqghDYVnlpHn5KtRaEay0LPgnQW3Du3ECwg==" saltValue="Ra2nGoDffRQvHgN526tN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788171</v>
      </c>
      <c r="C2" s="49">
        <v>1223081.5</v>
      </c>
      <c r="D2" s="49">
        <v>1533694.5</v>
      </c>
      <c r="E2" s="49">
        <v>968702</v>
      </c>
      <c r="F2" s="49">
        <v>581133.5</v>
      </c>
      <c r="G2" s="17">
        <f t="shared" ref="G2:G13" si="0">C2+D2+E2+F2</f>
        <v>4306611.5</v>
      </c>
      <c r="H2" s="17">
        <f t="shared" ref="H2:H13" si="1">(B2 + stillbirth*B2/(1000-stillbirth))/(1-abortion)</f>
        <v>921473.27187210461</v>
      </c>
      <c r="I2" s="17">
        <f t="shared" ref="I2:I13" si="2">G2-H2</f>
        <v>3385138.2281278954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802917</v>
      </c>
      <c r="C3" s="50">
        <v>1262536</v>
      </c>
      <c r="D3" s="50">
        <v>1584121.5</v>
      </c>
      <c r="E3" s="50">
        <v>1006439</v>
      </c>
      <c r="F3" s="50">
        <v>604449.5</v>
      </c>
      <c r="G3" s="17">
        <f t="shared" si="0"/>
        <v>4457546</v>
      </c>
      <c r="H3" s="17">
        <f t="shared" si="1"/>
        <v>938713.24247115757</v>
      </c>
      <c r="I3" s="17">
        <f t="shared" si="2"/>
        <v>3518832.7575288424</v>
      </c>
    </row>
    <row r="4" spans="1:9" ht="15.75" customHeight="1" x14ac:dyDescent="0.25">
      <c r="A4" s="5">
        <f t="shared" si="3"/>
        <v>2026</v>
      </c>
      <c r="B4" s="49">
        <v>817449</v>
      </c>
      <c r="C4" s="50">
        <v>1304922.5</v>
      </c>
      <c r="D4" s="50">
        <v>1636026.5</v>
      </c>
      <c r="E4" s="50">
        <v>1045455</v>
      </c>
      <c r="F4" s="50">
        <v>628383</v>
      </c>
      <c r="G4" s="17">
        <f t="shared" si="0"/>
        <v>4614787</v>
      </c>
      <c r="H4" s="17">
        <f t="shared" si="1"/>
        <v>955703.01954598702</v>
      </c>
      <c r="I4" s="17">
        <f t="shared" si="2"/>
        <v>3659083.9804540128</v>
      </c>
    </row>
    <row r="5" spans="1:9" ht="15.75" customHeight="1" x14ac:dyDescent="0.25">
      <c r="A5" s="5">
        <f t="shared" si="3"/>
        <v>2027</v>
      </c>
      <c r="B5" s="49">
        <v>832330</v>
      </c>
      <c r="C5" s="50">
        <v>1349322.5</v>
      </c>
      <c r="D5" s="50">
        <v>1689014.5</v>
      </c>
      <c r="E5" s="50">
        <v>1086815.5</v>
      </c>
      <c r="F5" s="50">
        <v>652642.5</v>
      </c>
      <c r="G5" s="17">
        <f t="shared" si="0"/>
        <v>4777795</v>
      </c>
      <c r="H5" s="17">
        <f t="shared" si="1"/>
        <v>973100.82250845176</v>
      </c>
      <c r="I5" s="17">
        <f t="shared" si="2"/>
        <v>3804694.1774915485</v>
      </c>
    </row>
    <row r="6" spans="1:9" ht="15.75" customHeight="1" x14ac:dyDescent="0.25">
      <c r="A6" s="5">
        <f t="shared" si="3"/>
        <v>2028</v>
      </c>
      <c r="B6" s="49">
        <v>844515</v>
      </c>
      <c r="C6" s="50">
        <v>1395404</v>
      </c>
      <c r="D6" s="50">
        <v>1743170.5</v>
      </c>
      <c r="E6" s="50">
        <v>1131228.5</v>
      </c>
      <c r="F6" s="50">
        <v>676623</v>
      </c>
      <c r="G6" s="17">
        <f t="shared" si="0"/>
        <v>4946426</v>
      </c>
      <c r="H6" s="17">
        <f t="shared" si="1"/>
        <v>987346.65471714956</v>
      </c>
      <c r="I6" s="17">
        <f t="shared" si="2"/>
        <v>3959079.3452828503</v>
      </c>
    </row>
    <row r="7" spans="1:9" ht="15.75" customHeight="1" x14ac:dyDescent="0.25">
      <c r="A7" s="5">
        <f t="shared" si="3"/>
        <v>2029</v>
      </c>
      <c r="B7" s="49">
        <v>860312</v>
      </c>
      <c r="C7" s="50">
        <v>1443579</v>
      </c>
      <c r="D7" s="50">
        <v>1798745.5</v>
      </c>
      <c r="E7" s="50">
        <v>1179953</v>
      </c>
      <c r="F7" s="50">
        <v>699774</v>
      </c>
      <c r="G7" s="17">
        <f t="shared" si="0"/>
        <v>5122051.5</v>
      </c>
      <c r="H7" s="17">
        <f t="shared" si="1"/>
        <v>1005815.3794935796</v>
      </c>
      <c r="I7" s="17">
        <f t="shared" si="2"/>
        <v>4116236.1205064203</v>
      </c>
    </row>
    <row r="8" spans="1:9" ht="15.75" customHeight="1" x14ac:dyDescent="0.25">
      <c r="A8" s="5">
        <f t="shared" si="3"/>
        <v>2030</v>
      </c>
      <c r="B8" s="49">
        <v>870711</v>
      </c>
      <c r="C8" s="50">
        <v>1493482</v>
      </c>
      <c r="D8" s="50">
        <v>1855985</v>
      </c>
      <c r="E8" s="50">
        <v>1235872.5</v>
      </c>
      <c r="F8" s="50">
        <v>720703.5</v>
      </c>
      <c r="G8" s="17">
        <f t="shared" si="0"/>
        <v>5306043</v>
      </c>
      <c r="H8" s="17">
        <f t="shared" si="1"/>
        <v>1017973.1479907688</v>
      </c>
      <c r="I8" s="17">
        <f t="shared" si="2"/>
        <v>4288069.8520092312</v>
      </c>
    </row>
    <row r="9" spans="1:9" ht="15.75" customHeight="1" x14ac:dyDescent="0.25">
      <c r="A9" s="5">
        <f t="shared" si="3"/>
        <v>2031</v>
      </c>
      <c r="B9" s="49">
        <v>886799</v>
      </c>
      <c r="C9" s="50">
        <v>1542389</v>
      </c>
      <c r="D9" s="50">
        <v>1916422</v>
      </c>
      <c r="E9" s="50">
        <v>1298255.5</v>
      </c>
      <c r="F9" s="50">
        <v>736413.5</v>
      </c>
      <c r="G9" s="17">
        <f t="shared" si="0"/>
        <v>5493480</v>
      </c>
      <c r="H9" s="17">
        <f t="shared" si="1"/>
        <v>1036782.0891949978</v>
      </c>
      <c r="I9" s="17">
        <f t="shared" si="2"/>
        <v>4456697.9108050019</v>
      </c>
    </row>
    <row r="10" spans="1:9" ht="15.75" customHeight="1" x14ac:dyDescent="0.25">
      <c r="A10" s="5">
        <f t="shared" si="3"/>
        <v>2032</v>
      </c>
      <c r="B10" s="49">
        <v>898403</v>
      </c>
      <c r="C10" s="50">
        <v>1589354</v>
      </c>
      <c r="D10" s="50">
        <v>1980235.5</v>
      </c>
      <c r="E10" s="50">
        <v>1358492.5</v>
      </c>
      <c r="F10" s="50">
        <v>747612.5</v>
      </c>
      <c r="G10" s="17">
        <f t="shared" si="0"/>
        <v>5675694.5</v>
      </c>
      <c r="H10" s="17">
        <f t="shared" si="1"/>
        <v>1050348.6576767154</v>
      </c>
      <c r="I10" s="17">
        <f t="shared" si="2"/>
        <v>4625345.8423232846</v>
      </c>
    </row>
    <row r="11" spans="1:9" ht="15.75" customHeight="1" x14ac:dyDescent="0.25">
      <c r="A11" s="5">
        <f t="shared" si="3"/>
        <v>2033</v>
      </c>
      <c r="B11" s="49">
        <v>911797</v>
      </c>
      <c r="C11" s="50">
        <v>1635852.5</v>
      </c>
      <c r="D11" s="50">
        <v>2046728.5</v>
      </c>
      <c r="E11" s="50">
        <v>1410116.5</v>
      </c>
      <c r="F11" s="50">
        <v>763291.5</v>
      </c>
      <c r="G11" s="17">
        <f t="shared" si="0"/>
        <v>5855989</v>
      </c>
      <c r="H11" s="17">
        <f t="shared" si="1"/>
        <v>1066007.9663844134</v>
      </c>
      <c r="I11" s="17">
        <f t="shared" si="2"/>
        <v>4789981.0336155863</v>
      </c>
    </row>
    <row r="12" spans="1:9" ht="15.75" customHeight="1" x14ac:dyDescent="0.25">
      <c r="A12" s="5">
        <f t="shared" si="3"/>
        <v>2034</v>
      </c>
      <c r="B12" s="49">
        <v>926299</v>
      </c>
      <c r="C12" s="50">
        <v>1681536</v>
      </c>
      <c r="D12" s="50">
        <v>2115944.5</v>
      </c>
      <c r="E12" s="50">
        <v>1458030.5</v>
      </c>
      <c r="F12" s="50">
        <v>789915</v>
      </c>
      <c r="G12" s="17">
        <f t="shared" si="0"/>
        <v>6045426</v>
      </c>
      <c r="H12" s="17">
        <f t="shared" si="1"/>
        <v>1082962.6696007068</v>
      </c>
      <c r="I12" s="17">
        <f t="shared" si="2"/>
        <v>4962463.3303992935</v>
      </c>
    </row>
    <row r="13" spans="1:9" ht="15.75" customHeight="1" x14ac:dyDescent="0.25">
      <c r="A13" s="5">
        <f t="shared" si="3"/>
        <v>2035</v>
      </c>
      <c r="B13" s="49">
        <v>936502</v>
      </c>
      <c r="C13" s="50">
        <v>1726130</v>
      </c>
      <c r="D13" s="50">
        <v>2187908</v>
      </c>
      <c r="E13" s="50">
        <v>1507323</v>
      </c>
      <c r="F13" s="50">
        <v>822475</v>
      </c>
      <c r="G13" s="17">
        <f t="shared" si="0"/>
        <v>6243836</v>
      </c>
      <c r="H13" s="17">
        <f t="shared" si="1"/>
        <v>1094891.2888887941</v>
      </c>
      <c r="I13" s="17">
        <f t="shared" si="2"/>
        <v>5148944.7111112056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y4gCGTMkv9+Ir+9INl81d386PV4m8oDLrC6YrrGv4ewWbFZcDzIVk153fPQFfEdDW1nPsu0bXVipRZpgUnReSQ==" saltValue="OO0SSNnXjQHRrl4hRA9wL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1.5791600634152171E-2</v>
      </c>
    </row>
    <row r="4" spans="1:8" ht="15.75" customHeight="1" x14ac:dyDescent="0.25">
      <c r="B4" s="19" t="s">
        <v>79</v>
      </c>
      <c r="C4" s="101">
        <v>7.4360170060622177E-2</v>
      </c>
    </row>
    <row r="5" spans="1:8" ht="15.75" customHeight="1" x14ac:dyDescent="0.25">
      <c r="B5" s="19" t="s">
        <v>80</v>
      </c>
      <c r="C5" s="101">
        <v>0.1080931803242427</v>
      </c>
    </row>
    <row r="6" spans="1:8" ht="15.75" customHeight="1" x14ac:dyDescent="0.25">
      <c r="B6" s="19" t="s">
        <v>81</v>
      </c>
      <c r="C6" s="101">
        <v>0.2606542151687094</v>
      </c>
    </row>
    <row r="7" spans="1:8" ht="15.75" customHeight="1" x14ac:dyDescent="0.25">
      <c r="B7" s="19" t="s">
        <v>82</v>
      </c>
      <c r="C7" s="101">
        <v>0.37045158189520122</v>
      </c>
    </row>
    <row r="8" spans="1:8" ht="15.75" customHeight="1" x14ac:dyDescent="0.25">
      <c r="B8" s="19" t="s">
        <v>83</v>
      </c>
      <c r="C8" s="101">
        <v>1.2418729629592231E-2</v>
      </c>
    </row>
    <row r="9" spans="1:8" ht="15.75" customHeight="1" x14ac:dyDescent="0.25">
      <c r="B9" s="19" t="s">
        <v>84</v>
      </c>
      <c r="C9" s="101">
        <v>4.1450001515076752E-2</v>
      </c>
    </row>
    <row r="10" spans="1:8" ht="15.75" customHeight="1" x14ac:dyDescent="0.25">
      <c r="B10" s="19" t="s">
        <v>85</v>
      </c>
      <c r="C10" s="101">
        <v>0.1167805207724034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0.2010018346567341</v>
      </c>
      <c r="D14" s="55">
        <v>0.2010018346567341</v>
      </c>
      <c r="E14" s="55">
        <v>0.2010018346567341</v>
      </c>
      <c r="F14" s="55">
        <v>0.2010018346567341</v>
      </c>
    </row>
    <row r="15" spans="1:8" ht="15.75" customHeight="1" x14ac:dyDescent="0.25">
      <c r="B15" s="19" t="s">
        <v>88</v>
      </c>
      <c r="C15" s="101">
        <v>0.30084294976052228</v>
      </c>
      <c r="D15" s="101">
        <v>0.30084294976052228</v>
      </c>
      <c r="E15" s="101">
        <v>0.30084294976052228</v>
      </c>
      <c r="F15" s="101">
        <v>0.30084294976052228</v>
      </c>
    </row>
    <row r="16" spans="1:8" ht="15.75" customHeight="1" x14ac:dyDescent="0.25">
      <c r="B16" s="19" t="s">
        <v>89</v>
      </c>
      <c r="C16" s="101">
        <v>3.4190173389727387E-2</v>
      </c>
      <c r="D16" s="101">
        <v>3.4190173389727387E-2</v>
      </c>
      <c r="E16" s="101">
        <v>3.4190173389727387E-2</v>
      </c>
      <c r="F16" s="101">
        <v>3.4190173389727387E-2</v>
      </c>
    </row>
    <row r="17" spans="1:8" ht="15.75" customHeight="1" x14ac:dyDescent="0.25">
      <c r="B17" s="19" t="s">
        <v>90</v>
      </c>
      <c r="C17" s="101">
        <v>0.2374778766969679</v>
      </c>
      <c r="D17" s="101">
        <v>0.2374778766969679</v>
      </c>
      <c r="E17" s="101">
        <v>0.2374778766969679</v>
      </c>
      <c r="F17" s="101">
        <v>0.2374778766969679</v>
      </c>
    </row>
    <row r="18" spans="1:8" ht="15.75" customHeight="1" x14ac:dyDescent="0.25">
      <c r="B18" s="19" t="s">
        <v>91</v>
      </c>
      <c r="C18" s="101">
        <v>1.3984937283047651E-2</v>
      </c>
      <c r="D18" s="101">
        <v>1.3984937283047651E-2</v>
      </c>
      <c r="E18" s="101">
        <v>1.3984937283047651E-2</v>
      </c>
      <c r="F18" s="101">
        <v>1.3984937283047651E-2</v>
      </c>
    </row>
    <row r="19" spans="1:8" ht="15.75" customHeight="1" x14ac:dyDescent="0.25">
      <c r="B19" s="19" t="s">
        <v>92</v>
      </c>
      <c r="C19" s="101">
        <v>1.7556101314376321E-2</v>
      </c>
      <c r="D19" s="101">
        <v>1.7556101314376321E-2</v>
      </c>
      <c r="E19" s="101">
        <v>1.7556101314376321E-2</v>
      </c>
      <c r="F19" s="101">
        <v>1.7556101314376321E-2</v>
      </c>
    </row>
    <row r="20" spans="1:8" ht="15.75" customHeight="1" x14ac:dyDescent="0.25">
      <c r="B20" s="19" t="s">
        <v>93</v>
      </c>
      <c r="C20" s="101">
        <v>8.1484501164904828E-4</v>
      </c>
      <c r="D20" s="101">
        <v>8.1484501164904828E-4</v>
      </c>
      <c r="E20" s="101">
        <v>8.1484501164904828E-4</v>
      </c>
      <c r="F20" s="101">
        <v>8.1484501164904828E-4</v>
      </c>
    </row>
    <row r="21" spans="1:8" ht="15.75" customHeight="1" x14ac:dyDescent="0.25">
      <c r="B21" s="19" t="s">
        <v>94</v>
      </c>
      <c r="C21" s="101">
        <v>3.9162183154674388E-2</v>
      </c>
      <c r="D21" s="101">
        <v>3.9162183154674388E-2</v>
      </c>
      <c r="E21" s="101">
        <v>3.9162183154674388E-2</v>
      </c>
      <c r="F21" s="101">
        <v>3.9162183154674388E-2</v>
      </c>
    </row>
    <row r="22" spans="1:8" ht="15.75" customHeight="1" x14ac:dyDescent="0.25">
      <c r="B22" s="19" t="s">
        <v>95</v>
      </c>
      <c r="C22" s="101">
        <v>0.15496909873230089</v>
      </c>
      <c r="D22" s="101">
        <v>0.15496909873230089</v>
      </c>
      <c r="E22" s="101">
        <v>0.15496909873230089</v>
      </c>
      <c r="F22" s="101">
        <v>0.15496909873230089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8.9486848999999993E-2</v>
      </c>
    </row>
    <row r="27" spans="1:8" ht="15.75" customHeight="1" x14ac:dyDescent="0.25">
      <c r="B27" s="19" t="s">
        <v>102</v>
      </c>
      <c r="C27" s="101">
        <v>8.7680180000000007E-3</v>
      </c>
    </row>
    <row r="28" spans="1:8" ht="15.75" customHeight="1" x14ac:dyDescent="0.25">
      <c r="B28" s="19" t="s">
        <v>103</v>
      </c>
      <c r="C28" s="101">
        <v>0.157124918</v>
      </c>
    </row>
    <row r="29" spans="1:8" ht="15.75" customHeight="1" x14ac:dyDescent="0.25">
      <c r="B29" s="19" t="s">
        <v>104</v>
      </c>
      <c r="C29" s="101">
        <v>0.169393875</v>
      </c>
    </row>
    <row r="30" spans="1:8" ht="15.75" customHeight="1" x14ac:dyDescent="0.25">
      <c r="B30" s="19" t="s">
        <v>2</v>
      </c>
      <c r="C30" s="101">
        <v>0.105381207</v>
      </c>
    </row>
    <row r="31" spans="1:8" ht="15.75" customHeight="1" x14ac:dyDescent="0.25">
      <c r="B31" s="19" t="s">
        <v>105</v>
      </c>
      <c r="C31" s="101">
        <v>0.109725931</v>
      </c>
    </row>
    <row r="32" spans="1:8" ht="15.75" customHeight="1" x14ac:dyDescent="0.25">
      <c r="B32" s="19" t="s">
        <v>106</v>
      </c>
      <c r="C32" s="101">
        <v>1.8930017E-2</v>
      </c>
    </row>
    <row r="33" spans="2:3" ht="15.75" customHeight="1" x14ac:dyDescent="0.25">
      <c r="B33" s="19" t="s">
        <v>107</v>
      </c>
      <c r="C33" s="101">
        <v>8.4558286999999996E-2</v>
      </c>
    </row>
    <row r="34" spans="2:3" ht="15.75" customHeight="1" x14ac:dyDescent="0.25">
      <c r="B34" s="19" t="s">
        <v>108</v>
      </c>
      <c r="C34" s="101">
        <v>0.25663089700000002</v>
      </c>
    </row>
    <row r="35" spans="2:3" ht="15.75" customHeight="1" x14ac:dyDescent="0.25">
      <c r="B35" s="27" t="s">
        <v>41</v>
      </c>
      <c r="C35" s="48">
        <f>SUM(C26:C34)</f>
        <v>0.99999999900000014</v>
      </c>
    </row>
  </sheetData>
  <sheetProtection algorithmName="SHA-512" hashValue="8GPn/51NQha6193NCdlCzvYSqjwmUddUHV7iSun1DJPiPHNLVNuoREbZH7iq926+DYbyIccmzRRmJENv4E+y7Q==" saltValue="I0xuVR/J+MShS7v0MtEzL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0.45099278679019061</v>
      </c>
      <c r="D2" s="52">
        <f>IFERROR(1-_xlfn.NORM.DIST(_xlfn.NORM.INV(SUM(D4:D5), 0, 1) + 1, 0, 1, TRUE), "")</f>
        <v>0.45099278679019061</v>
      </c>
      <c r="E2" s="52">
        <f>IFERROR(1-_xlfn.NORM.DIST(_xlfn.NORM.INV(SUM(E4:E5), 0, 1) + 1, 0, 1, TRUE), "")</f>
        <v>0.43475175427181845</v>
      </c>
      <c r="F2" s="52">
        <f>IFERROR(1-_xlfn.NORM.DIST(_xlfn.NORM.INV(SUM(F4:F5), 0, 1) + 1, 0, 1, TRUE), "")</f>
        <v>0.23747052903367605</v>
      </c>
      <c r="G2" s="52">
        <f>IFERROR(1-_xlfn.NORM.DIST(_xlfn.NORM.INV(SUM(G4:G5), 0, 1) + 1, 0, 1, TRUE), "")</f>
        <v>0.15618031269856791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0.35872221320980935</v>
      </c>
      <c r="D3" s="52">
        <f>IFERROR(_xlfn.NORM.DIST(_xlfn.NORM.INV(SUM(D4:D5), 0, 1) + 1, 0, 1, TRUE) - SUM(D4:D5), "")</f>
        <v>0.35872221320980935</v>
      </c>
      <c r="E3" s="52">
        <f>IFERROR(_xlfn.NORM.DIST(_xlfn.NORM.INV(SUM(E4:E5), 0, 1) + 1, 0, 1, TRUE) - SUM(E4:E5), "")</f>
        <v>0.36358944572818153</v>
      </c>
      <c r="F3" s="52">
        <f>IFERROR(_xlfn.NORM.DIST(_xlfn.NORM.INV(SUM(F4:F5), 0, 1) + 1, 0, 1, TRUE) - SUM(F4:F5), "")</f>
        <v>0.37491317096632393</v>
      </c>
      <c r="G3" s="52">
        <f>IFERROR(_xlfn.NORM.DIST(_xlfn.NORM.INV(SUM(G4:G5), 0, 1) + 1, 0, 1, TRUE) - SUM(G4:G5), "")</f>
        <v>0.33971818730143211</v>
      </c>
    </row>
    <row r="4" spans="1:15" ht="15.75" customHeight="1" x14ac:dyDescent="0.25">
      <c r="B4" s="5" t="s">
        <v>114</v>
      </c>
      <c r="C4" s="45">
        <v>9.96306E-2</v>
      </c>
      <c r="D4" s="53">
        <v>9.96306E-2</v>
      </c>
      <c r="E4" s="53">
        <v>0.1168129</v>
      </c>
      <c r="F4" s="53">
        <v>0.17034659999999999</v>
      </c>
      <c r="G4" s="53">
        <v>0.20210420000000001</v>
      </c>
    </row>
    <row r="5" spans="1:15" ht="15.75" customHeight="1" x14ac:dyDescent="0.25">
      <c r="B5" s="5" t="s">
        <v>115</v>
      </c>
      <c r="C5" s="45">
        <v>9.065440000000001E-2</v>
      </c>
      <c r="D5" s="53">
        <v>9.065440000000001E-2</v>
      </c>
      <c r="E5" s="53">
        <v>8.4845900000000002E-2</v>
      </c>
      <c r="F5" s="53">
        <v>0.21726970000000001</v>
      </c>
      <c r="G5" s="53">
        <v>0.30199730000000002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0.42934375461594565</v>
      </c>
      <c r="D8" s="52">
        <f>IFERROR(1-_xlfn.NORM.DIST(_xlfn.NORM.INV(SUM(D10:D11), 0, 1) + 1, 0, 1, TRUE), "")</f>
        <v>0.42934375461594565</v>
      </c>
      <c r="E8" s="52">
        <f>IFERROR(1-_xlfn.NORM.DIST(_xlfn.NORM.INV(SUM(E10:E11), 0, 1) + 1, 0, 1, TRUE), "")</f>
        <v>0.48366293850542863</v>
      </c>
      <c r="F8" s="52">
        <f>IFERROR(1-_xlfn.NORM.DIST(_xlfn.NORM.INV(SUM(F10:F11), 0, 1) + 1, 0, 1, TRUE), "")</f>
        <v>0.53511361318555606</v>
      </c>
      <c r="G8" s="52">
        <f>IFERROR(1-_xlfn.NORM.DIST(_xlfn.NORM.INV(SUM(G10:G11), 0, 1) + 1, 0, 1, TRUE), "")</f>
        <v>0.585005654917791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0.36510494538405436</v>
      </c>
      <c r="D9" s="52">
        <f>IFERROR(_xlfn.NORM.DIST(_xlfn.NORM.INV(SUM(D10:D11), 0, 1) + 1, 0, 1, TRUE) - SUM(D10:D11), "")</f>
        <v>0.36510494538405436</v>
      </c>
      <c r="E9" s="52">
        <f>IFERROR(_xlfn.NORM.DIST(_xlfn.NORM.INV(SUM(E10:E11), 0, 1) + 1, 0, 1, TRUE) - SUM(E10:E11), "")</f>
        <v>0.3475671614945714</v>
      </c>
      <c r="F9" s="52">
        <f>IFERROR(_xlfn.NORM.DIST(_xlfn.NORM.INV(SUM(F10:F11), 0, 1) + 1, 0, 1, TRUE) - SUM(F10:F11), "")</f>
        <v>0.32661768681444392</v>
      </c>
      <c r="G9" s="52">
        <f>IFERROR(_xlfn.NORM.DIST(_xlfn.NORM.INV(SUM(G10:G11), 0, 1) + 1, 0, 1, TRUE) - SUM(G10:G11), "")</f>
        <v>0.30275714508220902</v>
      </c>
    </row>
    <row r="10" spans="1:15" ht="15.75" customHeight="1" x14ac:dyDescent="0.25">
      <c r="B10" s="5" t="s">
        <v>119</v>
      </c>
      <c r="C10" s="45">
        <v>0.13083819999999999</v>
      </c>
      <c r="D10" s="53">
        <v>0.13083819999999999</v>
      </c>
      <c r="E10" s="53">
        <v>9.9680599999999994E-2</v>
      </c>
      <c r="F10" s="53">
        <v>7.4148699999999998E-2</v>
      </c>
      <c r="G10" s="53">
        <v>8.3290199999999995E-2</v>
      </c>
    </row>
    <row r="11" spans="1:15" ht="15.75" customHeight="1" x14ac:dyDescent="0.25">
      <c r="B11" s="5" t="s">
        <v>120</v>
      </c>
      <c r="C11" s="45">
        <v>7.4713100000000005E-2</v>
      </c>
      <c r="D11" s="53">
        <v>7.4713100000000005E-2</v>
      </c>
      <c r="E11" s="53">
        <v>6.9089299999999992E-2</v>
      </c>
      <c r="F11" s="53">
        <v>6.4119999999999996E-2</v>
      </c>
      <c r="G11" s="53">
        <v>2.8947000000000001E-2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0.74150201124999993</v>
      </c>
      <c r="D14" s="54">
        <v>0.73545943398099989</v>
      </c>
      <c r="E14" s="54">
        <v>0.73545943398099989</v>
      </c>
      <c r="F14" s="54">
        <v>0.55012899585999997</v>
      </c>
      <c r="G14" s="54">
        <v>0.55012899585999997</v>
      </c>
      <c r="H14" s="45">
        <v>0.46800000000000003</v>
      </c>
      <c r="I14" s="55">
        <v>0.46800000000000003</v>
      </c>
      <c r="J14" s="55">
        <v>0.46800000000000003</v>
      </c>
      <c r="K14" s="55">
        <v>0.46800000000000003</v>
      </c>
      <c r="L14" s="45">
        <v>0.441</v>
      </c>
      <c r="M14" s="55">
        <v>0.441</v>
      </c>
      <c r="N14" s="55">
        <v>0.441</v>
      </c>
      <c r="O14" s="55">
        <v>0.441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0.33265040778094118</v>
      </c>
      <c r="D15" s="52">
        <f t="shared" si="0"/>
        <v>0.32993960489425422</v>
      </c>
      <c r="E15" s="52">
        <f t="shared" si="0"/>
        <v>0.32993960489425422</v>
      </c>
      <c r="F15" s="52">
        <f t="shared" si="0"/>
        <v>0.2467972197357256</v>
      </c>
      <c r="G15" s="52">
        <f t="shared" si="0"/>
        <v>0.2467972197357256</v>
      </c>
      <c r="H15" s="52">
        <f t="shared" si="0"/>
        <v>0.20995275600000002</v>
      </c>
      <c r="I15" s="52">
        <f t="shared" si="0"/>
        <v>0.20995275600000002</v>
      </c>
      <c r="J15" s="52">
        <f t="shared" si="0"/>
        <v>0.20995275600000002</v>
      </c>
      <c r="K15" s="52">
        <f t="shared" si="0"/>
        <v>0.20995275600000002</v>
      </c>
      <c r="L15" s="52">
        <f t="shared" si="0"/>
        <v>0.19784009699999999</v>
      </c>
      <c r="M15" s="52">
        <f t="shared" si="0"/>
        <v>0.19784009699999999</v>
      </c>
      <c r="N15" s="52">
        <f t="shared" si="0"/>
        <v>0.19784009699999999</v>
      </c>
      <c r="O15" s="52">
        <f t="shared" si="0"/>
        <v>0.19784009699999999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MTfvK4FLcQJOa2+G0b6wc2NPKyvnQYPfUYA/++yNrF+rpZKBsyjIm0WfGfJRHqP/p23mNvavlEjGWkScdEczag==" saltValue="VezxhH56DbWx35NnhaST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0.15265190000000001</v>
      </c>
      <c r="D2" s="53">
        <v>8.8158799999999996E-2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0.2251524</v>
      </c>
      <c r="D3" s="53">
        <v>0.15170239999999999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0.55613709999999994</v>
      </c>
      <c r="D4" s="53">
        <v>0.67177730000000002</v>
      </c>
      <c r="E4" s="53">
        <v>0.80430029999999997</v>
      </c>
      <c r="F4" s="53">
        <v>0.4316934</v>
      </c>
      <c r="G4" s="53">
        <v>0</v>
      </c>
    </row>
    <row r="5" spans="1:7" x14ac:dyDescent="0.25">
      <c r="B5" s="3" t="s">
        <v>132</v>
      </c>
      <c r="C5" s="52">
        <v>6.6058699999999998E-2</v>
      </c>
      <c r="D5" s="52">
        <v>8.8361499999999996E-2</v>
      </c>
      <c r="E5" s="52">
        <f>1-SUM(E2:E4)</f>
        <v>0.19569970000000003</v>
      </c>
      <c r="F5" s="52">
        <f>1-SUM(F2:F4)</f>
        <v>0.5683066</v>
      </c>
      <c r="G5" s="52">
        <f>1-SUM(G2:G4)</f>
        <v>1</v>
      </c>
    </row>
  </sheetData>
  <sheetProtection algorithmName="SHA-512" hashValue="JOA+vNgKQQRJLjIalMav98vVJ7BZcW4KcDcQGggiAaC1OavYgT34CZQIR9kez0kteLZjmdTPZ5Wos0jFKGc4wg==" saltValue="6TmYiVFgxSh3gGwJVV6f2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xqRhm03tqirEzkxykLLKKBDHScImny9EmoD0frcH5wDvWS5DGO5L4V1js0nc8k3BAy8yNw2252hzxFmxaAvsXg==" saltValue="DEhr8+RXt5ecRLwDZ6nUo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5xF2sxtwgFSnlV8qMV4Z2aLQcB2yj6LZMzUPblGfr2WfA+YS/t7rr56/RL9E6lrF5DoI80sILI92tVVQwkJcFA==" saltValue="RR+GFpUb30P8B32W7Jg4q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z+J2Ncqzf4bJVgL0tCESlGPQt9vo4or/GWOF4aN2nW06E6gp7ia4P/nijc6tdFyFa+e3QcXY0XwBRgrbZBd72A==" saltValue="5jw1tmPBc/dkqCwsoyBWq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McQwZdJ4/wk0qmaCNGqs5RoylRVfWCEzqwEckt+4d2xbhNjZ/o4KRTQgt22Q/Q0mgJjF0Br3OSw+SuwMWxSx1Q==" saltValue="FtUDguPCyC1r7II9tkpF3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65.60734264525216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19.75203299904819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7.2861200073283072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6.3480009307688934E-2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0.19283527130965261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0.78848199824391296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0.41709554979569308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17.31204218632346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17.31204218632346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17.31204218632346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17.31204218632346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17.31204218632346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17.31204218632346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2.4867E-2</v>
      </c>
      <c r="C16" s="98">
        <v>0.95</v>
      </c>
      <c r="D16" s="56">
        <v>2.503642449664842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8.8158799999999996E-2</v>
      </c>
      <c r="C18" s="98">
        <v>0.95</v>
      </c>
      <c r="D18" s="56">
        <v>7.2861200073283072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8.8158799999999996E-2</v>
      </c>
      <c r="C19" s="98">
        <v>0.95</v>
      </c>
      <c r="D19" s="56">
        <v>7.2861200073283072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7.4846345450640612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29.476348850423271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0.1048504</v>
      </c>
      <c r="C23" s="98">
        <v>0.95</v>
      </c>
      <c r="D23" s="56">
        <v>5.6282823713961951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6.69694158544E-2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3.4665816434934871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13.803307962555669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0.13218150000000001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0.11</v>
      </c>
      <c r="C29" s="98">
        <v>0.95</v>
      </c>
      <c r="D29" s="56">
        <v>88.005851455993124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0.20100000000000001</v>
      </c>
      <c r="C31" s="98">
        <v>0.95</v>
      </c>
      <c r="D31" s="56">
        <v>180.94215297303569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0.28000000000000003</v>
      </c>
      <c r="C32" s="98">
        <v>0.95</v>
      </c>
      <c r="D32" s="56">
        <v>0.65266805708153031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0.25097639999999999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0.34730299999999997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4.4943200000000003E-2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0.49360460000000012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2.4488574538288082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3.4277904548683669</v>
      </c>
      <c r="E39" s="56" t="s">
        <v>201</v>
      </c>
      <c r="F39" s="98">
        <v>1</v>
      </c>
      <c r="G39" s="98">
        <v>1</v>
      </c>
    </row>
  </sheetData>
  <sheetProtection algorithmName="SHA-512" hashValue="ki4s5iPPzoxRmbrqSLYm80AEQrM9O98msjLZHfJXqPENLRRVZw0cbCqsQKY9NoIhUJ/iQvLcTOzLZPah1b6pbA==" saltValue="WI2wLa7ttp6vatV4OGDaE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L6aw/WYAFP5YZXxxcdHnI/S3EHH/y4rtPtp6ZwGInt3aw7TAjgDBKJZPJfEBsCs9IsED4DU/v4GjM7ZmKFPUBg==" saltValue="yYe/ivSaL6zcWiQPnd1WA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05rjh5TgDxyGc+p9EQ1ncUi5mkTI8Id2j4S9ray0mYR146F8ujFAPMxteUwNnbO04uFao+yuN8orp62F3PWeMg==" saltValue="kaAo6uAJ5KnN3s9rkJLuc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3.3</v>
      </c>
      <c r="C2" s="21">
        <f>'Données pop de l''année de ref'!C52</f>
        <v>3.3</v>
      </c>
      <c r="D2" s="21">
        <f>'Données pop de l''année de ref'!C53</f>
        <v>3.3</v>
      </c>
      <c r="E2" s="21">
        <f>'Données pop de l''année de ref'!C54</f>
        <v>3.3</v>
      </c>
      <c r="F2" s="21">
        <f>'Données pop de l''année de ref'!C55</f>
        <v>3.3</v>
      </c>
    </row>
    <row r="3" spans="1:6" ht="15.75" customHeight="1" x14ac:dyDescent="0.25">
      <c r="A3" s="3" t="s">
        <v>209</v>
      </c>
      <c r="B3" s="21">
        <f>frac_mam_1month * 2.6</f>
        <v>0.34017932000000001</v>
      </c>
      <c r="C3" s="21">
        <f>frac_mam_1_5months * 2.6</f>
        <v>0.34017932000000001</v>
      </c>
      <c r="D3" s="21">
        <f>frac_mam_6_11months * 2.6</f>
        <v>0.25916956000000002</v>
      </c>
      <c r="E3" s="21">
        <f>frac_mam_12_23months * 2.6</f>
        <v>0.19278661999999999</v>
      </c>
      <c r="F3" s="21">
        <f>frac_mam_24_59months * 2.6</f>
        <v>0.21655452</v>
      </c>
    </row>
    <row r="4" spans="1:6" ht="15.75" customHeight="1" x14ac:dyDescent="0.25">
      <c r="A4" s="3" t="s">
        <v>208</v>
      </c>
      <c r="B4" s="21">
        <f>frac_sam_1month * 2.6</f>
        <v>0.19425406000000001</v>
      </c>
      <c r="C4" s="21">
        <f>frac_sam_1_5months * 2.6</f>
        <v>0.19425406000000001</v>
      </c>
      <c r="D4" s="21">
        <f>frac_sam_6_11months * 2.6</f>
        <v>0.17963217999999997</v>
      </c>
      <c r="E4" s="21">
        <f>frac_sam_12_23months * 2.6</f>
        <v>0.166712</v>
      </c>
      <c r="F4" s="21">
        <f>frac_sam_24_59months * 2.6</f>
        <v>7.5262200000000001E-2</v>
      </c>
    </row>
  </sheetData>
  <sheetProtection algorithmName="SHA-512" hashValue="CqHR2dpMsva0MCt04fHo+b/PBleSt+RJkQMEZTj2nI0o/71h1vnD4CXm0UfXa6/na0SdRiI0bMZs02KgDtr6hQ==" saltValue="5BCsKaX847xUjKSt7pZPT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0.45200000000000001</v>
      </c>
      <c r="E2" s="60">
        <f>food_insecure</f>
        <v>0.45200000000000001</v>
      </c>
      <c r="F2" s="60">
        <f>food_insecure</f>
        <v>0.45200000000000001</v>
      </c>
      <c r="G2" s="60">
        <f>food_insecure</f>
        <v>0.45200000000000001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0.45200000000000001</v>
      </c>
      <c r="F5" s="60">
        <f>food_insecure</f>
        <v>0.45200000000000001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0.45200000000000001</v>
      </c>
      <c r="F8" s="60">
        <f>food_insecure</f>
        <v>0.45200000000000001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0.45200000000000001</v>
      </c>
      <c r="F9" s="60">
        <f>food_insecure</f>
        <v>0.45200000000000001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0.45200000000000001</v>
      </c>
      <c r="I15" s="60">
        <f>food_insecure</f>
        <v>0.45200000000000001</v>
      </c>
      <c r="J15" s="60">
        <f>food_insecure</f>
        <v>0.45200000000000001</v>
      </c>
      <c r="K15" s="60">
        <f>food_insecure</f>
        <v>0.45200000000000001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0.28079999999999999</v>
      </c>
      <c r="I19" s="60">
        <f>frac_malaria_risk</f>
        <v>0.28079999999999999</v>
      </c>
      <c r="J19" s="60">
        <f>frac_malaria_risk</f>
        <v>0.28079999999999999</v>
      </c>
      <c r="K19" s="60">
        <f>frac_malaria_risk</f>
        <v>0.28079999999999999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0.63600000000000001</v>
      </c>
      <c r="M24" s="60">
        <f>famplan_unmet_need</f>
        <v>0.63600000000000001</v>
      </c>
      <c r="N24" s="60">
        <f>famplan_unmet_need</f>
        <v>0.63600000000000001</v>
      </c>
      <c r="O24" s="60">
        <f>famplan_unmet_need</f>
        <v>0.63600000000000001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0.3942166543388641</v>
      </c>
      <c r="M25" s="60">
        <f>(1-food_insecure)*(0.49)+food_insecure*(0.7)</f>
        <v>0.58492000000000011</v>
      </c>
      <c r="N25" s="60">
        <f>(1-food_insecure)*(0.49)+food_insecure*(0.7)</f>
        <v>0.58492000000000011</v>
      </c>
      <c r="O25" s="60">
        <f>(1-food_insecure)*(0.49)+food_insecure*(0.7)</f>
        <v>0.58492000000000011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0.168949994716656</v>
      </c>
      <c r="M26" s="60">
        <f>(1-food_insecure)*(0.21)+food_insecure*(0.3)</f>
        <v>0.25068000000000001</v>
      </c>
      <c r="N26" s="60">
        <f>(1-food_insecure)*(0.21)+food_insecure*(0.3)</f>
        <v>0.25068000000000001</v>
      </c>
      <c r="O26" s="60">
        <f>(1-food_insecure)*(0.21)+food_insecure*(0.3)</f>
        <v>0.25068000000000001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0.11080014014448003</v>
      </c>
      <c r="M27" s="60">
        <f>(1-food_insecure)*(0.3)</f>
        <v>0.16440000000000002</v>
      </c>
      <c r="N27" s="60">
        <f>(1-food_insecure)*(0.3)</f>
        <v>0.16440000000000002</v>
      </c>
      <c r="O27" s="60">
        <f>(1-food_insecure)*(0.3)</f>
        <v>0.16440000000000002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0.28079999999999999</v>
      </c>
      <c r="D34" s="60">
        <f t="shared" si="3"/>
        <v>0.28079999999999999</v>
      </c>
      <c r="E34" s="60">
        <f t="shared" si="3"/>
        <v>0.28079999999999999</v>
      </c>
      <c r="F34" s="60">
        <f t="shared" si="3"/>
        <v>0.28079999999999999</v>
      </c>
      <c r="G34" s="60">
        <f t="shared" si="3"/>
        <v>0.28079999999999999</v>
      </c>
      <c r="H34" s="60">
        <f t="shared" si="3"/>
        <v>0.28079999999999999</v>
      </c>
      <c r="I34" s="60">
        <f t="shared" si="3"/>
        <v>0.28079999999999999</v>
      </c>
      <c r="J34" s="60">
        <f t="shared" si="3"/>
        <v>0.28079999999999999</v>
      </c>
      <c r="K34" s="60">
        <f t="shared" si="3"/>
        <v>0.28079999999999999</v>
      </c>
      <c r="L34" s="60">
        <f t="shared" si="3"/>
        <v>0.28079999999999999</v>
      </c>
      <c r="M34" s="60">
        <f t="shared" si="3"/>
        <v>0.28079999999999999</v>
      </c>
      <c r="N34" s="60">
        <f t="shared" si="3"/>
        <v>0.28079999999999999</v>
      </c>
      <c r="O34" s="60">
        <f t="shared" si="3"/>
        <v>0.28079999999999999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/VsKIe8lVGkWFA7nk+wfKu3eqSOrB6mkMtaavIJuwGpddg5JjDbPz5kmI3QABz0RFn9vxks0bGGwS/zqUdsshQ==" saltValue="GQ34VYFs9sImuZ/ls+UoS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5wOTIs10ifcuX4aDSdj1Zui53aatVBSBafxNehjstBYIN+rLgiUZ/JYT28NeYbbsg6+wE7yGAaIwfHd8XJucMw==" saltValue="CbbkzzkHXQXGYQjzvm0Ah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1DjhJIqcwCH8pLg3RGoNUsOraynRmx+ryXYLUeir2FcYs5TzRYDoWMMNqabrbT0GKBlaXQKOUaZ0so2+yTnHbQ==" saltValue="6ssUP/GjWu/f/QkLb47pd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QFd8BQhErnyAoVUdqLdJrzcj8B7zqPVJZ4wEhPIw2M0dNKQebgLN9K2h9T4j54L22zZuXeFUHsExCYmOWut1A==" saltValue="xpIE+Un1a/3HrA3duByhV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v1NSUhJXdmstgInsBKQTwvajzhwNhbW1HEe4jkhtVNIcAS4bkKTA4+ecPXRcdAZZ7NYu/I90x5svEsaUF4yg+A==" saltValue="0JNni+Ae2JL/YToCecSKd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13ffPaum/OxhuKMAGDfwtty+I33Q04/vEImS05IZEiH5t1utn6Sltgni2HVTPlo9FAKBMxReyFGR/GJBfrRmhw==" saltValue="pBYR67RHigg/sTosFvywp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IvTk4ffhvRapmdsLNfoh+8yJO1NpGMF4oIxroub3OrpoKbTtLaJ/QJddEUbMH8xhkN59n56t7YBDemmjxsNCuA==" saltValue="T85+lHPHtzlKdgPrEiPyx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62ZaA99C9AHqpU9UTCsfdBvNanLhNDkexScC3sxzHBQxB5YauQoytm5VuJJ0hMO1962xvgCd6objdqJ/xj03Tg==" saltValue="jXieBFM2uiXXzvanUbI2k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aXyf5UN7SpWsNCDE4cvE8aMqzhzLyRMkz4tHBTqvJK12Cz+I8KGA76BJFjCo4xePfQ0U58+RbOXBeIhBFG0qVg==" saltValue="1EicA1LDVxKMS2iPM+Q+2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+2+iDHq8E1rePedL6qpHwW9ld5U9TOOj7aUkV+7dqydcy2IaaaYyRuOaHa24Mp928Yyb4jmQqYBH9wF24JNKzA==" saltValue="NAvNqoJnFQEbV66pE7gp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u31OV4GY6A41jeqrQq4P/iv3vCRlbwjd4y4XBrKj/gHxj3xIqL6dts96MVpJUeU8QMH6y4BKl70VazBrtp+fgg==" saltValue="uBk5wB4f54b3IoUQMV0p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5xpncWH9MTBpSqwwETw1XlsI9KQY3V+j9OAhsnh5FwBLOzfV/BRZI7/HAdyduN9TJUoEyg4s7R3PbtOfhqkk2A==" saltValue="slemriEVeJYwpKu7NiY/6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9eQB0W9Z0HRnK4KT8LBPKfPsOdQN6p9/mCsgHqsNv8ClVBpsB+45G2kMOTDaybyYwBE1Q5ipUVABw3rvKS3tw==" saltValue="N4+TYe4zmQQnUhPHCNbqQ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0.10318435987139085</v>
      </c>
      <c r="G18" s="90">
        <f>MIN(MAX(1-0.89/(1-frac_sam_12_23months+(frac_sam_12_23months*0.89)),0),1)</f>
        <v>0.10367806210765773</v>
      </c>
      <c r="H18" s="90">
        <f>MIN(MAX(1-0.89/(1-frac_sam_24_59months+(frac_sam_24_59months*0.89)),0),1)</f>
        <v>0.10715703622002071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0.10013307980219843</v>
      </c>
      <c r="G20" s="90">
        <f>MIN(MAX(1-0.89/(1-frac_mam_12_23months+(frac_mam_12_23months*0.89)),0),1)</f>
        <v>0.10268114709285892</v>
      </c>
      <c r="H20" s="90">
        <f>MIN(MAX(1-0.89/(1-frac_mam_24_59months+(frac_mam_24_59months*0.89)),0),1)</f>
        <v>0.1017704913032218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9.3155430434799236E-3</v>
      </c>
      <c r="G73" s="90">
        <f>MIN(MAX(1-0.99/(1-frac_sam_12_23months+(frac_sam_12_23months*0.99)),0),1)</f>
        <v>9.3648047127817824E-3</v>
      </c>
      <c r="H73" s="90">
        <f>MIN(MAX(1-0.99/(1-frac_sam_24_59months+(frac_sam_24_59months*0.99)),0),1)</f>
        <v>9.7133417210280015E-3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9.0121773924978221E-3</v>
      </c>
      <c r="G75" s="90">
        <f>MIN(MAX(1-0.99/(1-frac_mam_12_23months+(frac_mam_12_23months*0.99)),0),1)</f>
        <v>9.265383161164098E-3</v>
      </c>
      <c r="H75" s="90">
        <f>MIN(MAX(1-0.99/(1-frac_mam_24_59months+(frac_mam_24_59months*0.99)),0),1)</f>
        <v>9.1747396590114993E-3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0.18879082519178447</v>
      </c>
      <c r="G128" s="90">
        <f>MIN(MAX(1-0.8/(1-frac_sam_12_23months+(frac_sam_12_23months*0.8)),0),1)</f>
        <v>0.18960752692528993</v>
      </c>
      <c r="H128" s="90">
        <f>MIN(MAX(1-0.8/(1-frac_sam_24_59months+(frac_sam_24_59months*0.8)),0),1)</f>
        <v>0.19534151013879741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0.18372667708149792</v>
      </c>
      <c r="G130" s="90">
        <f>MIN(MAX(1-0.8/(1-frac_mam_12_23months+(frac_mam_12_23months*0.8)),0),1)</f>
        <v>0.1879576226752927</v>
      </c>
      <c r="H130" s="90">
        <f>MIN(MAX(1-0.8/(1-frac_mam_24_59months+(frac_mam_24_59months*0.8)),0),1)</f>
        <v>0.1864478151628961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NCrM9DwkkRjR6lph7UQKuTL1UIAJZlZe24R7u58E68sNNnqQdLTqBbvw9LU+K14kya7kPEoGkkwrq1QKv6g8mw==" saltValue="BxJwNKs7EqNhRX8ZiyFi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Dz5sD1XeM2inJGjcKIxuooW9gHFXt6sbJj1fY5cgXrxR85t3kBvczKDqzX94SbVQT/Oqm/E1EHHn6MbDjpYu5A==" saltValue="PETge27Uk2fUGhlGDQ2u/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2024-08-06T09:44:23Z</dcterms:modified>
</cp:coreProperties>
</file>