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B2E07281-4CFC-4C5A-9637-CDE14C36D1D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<sst xmlns="http://schemas.openxmlformats.org/spreadsheetml/2006/main" count="2102" uniqueCount="337">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</sst>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4307000.125</v>
      </c>
    </row>
    <row r="8" spans="1:3" ht="15" customHeight="1" x14ac:dyDescent="0.25">
      <c r="B8" s="5" t="s">
        <v>19</v>
      </c>
      <c r="C8" s="44">
        <v>0.49700000000000011</v>
      </c>
    </row>
    <row r="9" spans="1:3" ht="15" customHeight="1" x14ac:dyDescent="0.25">
      <c r="B9" s="5" t="s">
        <v>20</v>
      </c>
      <c r="C9" s="45">
        <v>0.9</v>
      </c>
    </row>
    <row r="10" spans="1:3" ht="15" customHeight="1" x14ac:dyDescent="0.25">
      <c r="B10" s="5" t="s">
        <v>21</v>
      </c>
      <c r="C10" s="45">
        <v>0.26102539062500002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0.54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0.14249999999999999</v>
      </c>
    </row>
    <row r="24" spans="1:3" ht="15" customHeight="1" x14ac:dyDescent="0.25">
      <c r="B24" s="15" t="s">
        <v>33</v>
      </c>
      <c r="C24" s="45">
        <v>0.43409999999999999</v>
      </c>
    </row>
    <row r="25" spans="1:3" ht="15" customHeight="1" x14ac:dyDescent="0.25">
      <c r="B25" s="15" t="s">
        <v>34</v>
      </c>
      <c r="C25" s="45">
        <v>0.32079999999999997</v>
      </c>
    </row>
    <row r="26" spans="1:3" ht="15" customHeight="1" x14ac:dyDescent="0.25">
      <c r="B26" s="15" t="s">
        <v>35</v>
      </c>
      <c r="C26" s="45">
        <v>0.1026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0.18152033947509999</v>
      </c>
    </row>
    <row r="30" spans="1:3" ht="14.25" customHeight="1" x14ac:dyDescent="0.25">
      <c r="B30" s="25" t="s">
        <v>38</v>
      </c>
      <c r="C30" s="99">
        <v>6.3697307314517504E-2</v>
      </c>
    </row>
    <row r="31" spans="1:3" ht="14.25" customHeight="1" x14ac:dyDescent="0.25">
      <c r="B31" s="25" t="s">
        <v>39</v>
      </c>
      <c r="C31" s="99">
        <v>0.122289508790448</v>
      </c>
    </row>
    <row r="32" spans="1:3" ht="14.25" customHeight="1" x14ac:dyDescent="0.25">
      <c r="B32" s="25" t="s">
        <v>40</v>
      </c>
      <c r="C32" s="99">
        <v>0.63249284441993503</v>
      </c>
    </row>
    <row r="33" spans="1:5" ht="13" customHeight="1" x14ac:dyDescent="0.25">
      <c r="B33" s="27" t="s">
        <v>41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33.42812</v>
      </c>
    </row>
    <row r="38" spans="1:5" ht="15" customHeight="1" x14ac:dyDescent="0.25">
      <c r="B38" s="11" t="s">
        <v>45</v>
      </c>
      <c r="C38" s="43">
        <v>61.631399999999999</v>
      </c>
      <c r="D38" s="12"/>
      <c r="E38" s="13"/>
    </row>
    <row r="39" spans="1:5" ht="15" customHeight="1" x14ac:dyDescent="0.25">
      <c r="B39" s="11" t="s">
        <v>46</v>
      </c>
      <c r="C39" s="43">
        <v>97.066919999999996</v>
      </c>
      <c r="D39" s="12"/>
      <c r="E39" s="12"/>
    </row>
    <row r="40" spans="1:5" ht="15" customHeight="1" x14ac:dyDescent="0.25">
      <c r="B40" s="11" t="s">
        <v>47</v>
      </c>
      <c r="C40" s="100">
        <v>4.4000000000000004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5.2124000000000007E-3</v>
      </c>
      <c r="D45" s="12"/>
    </row>
    <row r="46" spans="1:5" ht="15.75" customHeight="1" x14ac:dyDescent="0.25">
      <c r="B46" s="11" t="s">
        <v>52</v>
      </c>
      <c r="C46" s="45">
        <v>5.6006399999999998E-2</v>
      </c>
      <c r="D46" s="12"/>
    </row>
    <row r="47" spans="1:5" ht="15.75" customHeight="1" x14ac:dyDescent="0.25">
      <c r="B47" s="11" t="s">
        <v>53</v>
      </c>
      <c r="C47" s="45">
        <v>7.6044899999999999E-2</v>
      </c>
      <c r="D47" s="12"/>
      <c r="E47" s="13"/>
    </row>
    <row r="48" spans="1:5" ht="15" customHeight="1" x14ac:dyDescent="0.25">
      <c r="B48" s="11" t="s">
        <v>54</v>
      </c>
      <c r="C48" s="46">
        <v>0.86273630000000001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0.40586299999999997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Bm6bktKTiQe+8XX/Pm6cB/TeT/wtUfQ8x5lKKvkKY9w3Z9uJ4dLIj5mdJIWvRk/blixSovd1ipIllhMfGkwmGg==" saltValue="cSuPS/gK6k0yW/JWQFwL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974125</v>
      </c>
      <c r="C2" s="49">
        <v>1638677.5</v>
      </c>
      <c r="D2" s="49">
        <v>1890205</v>
      </c>
      <c r="E2" s="49">
        <v>1265558.5</v>
      </c>
      <c r="F2" s="49">
        <v>780952.5</v>
      </c>
      <c r="G2" s="17">
        <f t="shared" ref="G2:G13" si="0">C2+D2+E2+F2</f>
        <v>5575393.5</v>
      </c>
      <c r="H2" s="17">
        <f t="shared" ref="H2:H13" si="1">(B2 + stillbirth*B2/(1000-stillbirth))/(1-abortion)</f>
        <v>1133464.1440337237</v>
      </c>
      <c r="I2" s="17">
        <f t="shared" ref="I2:I13" si="2">G2-H2</f>
        <v>4441929.3559662765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995183</v>
      </c>
      <c r="C3" s="50">
        <v>1694470.5</v>
      </c>
      <c r="D3" s="50">
        <v>1972308.5</v>
      </c>
      <c r="E3" s="50">
        <v>1296365</v>
      </c>
      <c r="F3" s="50">
        <v>811575</v>
      </c>
      <c r="G3" s="17">
        <f t="shared" si="0"/>
        <v>5774719</v>
      </c>
      <c r="H3" s="17">
        <f t="shared" si="1"/>
        <v>1157966.633904184</v>
      </c>
      <c r="I3" s="17">
        <f t="shared" si="2"/>
        <v>4616752.3660958158</v>
      </c>
    </row>
    <row r="4" spans="1:9" ht="15.75" customHeight="1" x14ac:dyDescent="0.25">
      <c r="A4" s="5">
        <f t="shared" si="3"/>
        <v>2026</v>
      </c>
      <c r="B4" s="49">
        <v>1013097</v>
      </c>
      <c r="C4" s="50">
        <v>1750502</v>
      </c>
      <c r="D4" s="50">
        <v>2059751.5</v>
      </c>
      <c r="E4" s="50">
        <v>1328253.5</v>
      </c>
      <c r="F4" s="50">
        <v>841395.5</v>
      </c>
      <c r="G4" s="17">
        <f t="shared" si="0"/>
        <v>5979902.5</v>
      </c>
      <c r="H4" s="17">
        <f t="shared" si="1"/>
        <v>1178810.8547959793</v>
      </c>
      <c r="I4" s="17">
        <f t="shared" si="2"/>
        <v>4801091.6452040207</v>
      </c>
    </row>
    <row r="5" spans="1:9" ht="15.75" customHeight="1" x14ac:dyDescent="0.25">
      <c r="A5" s="5">
        <f t="shared" si="3"/>
        <v>2027</v>
      </c>
      <c r="B5" s="49">
        <v>1031556</v>
      </c>
      <c r="C5" s="50">
        <v>1806156.5</v>
      </c>
      <c r="D5" s="50">
        <v>2149573</v>
      </c>
      <c r="E5" s="50">
        <v>1363598</v>
      </c>
      <c r="F5" s="50">
        <v>870372.5</v>
      </c>
      <c r="G5" s="17">
        <f t="shared" si="0"/>
        <v>6189700</v>
      </c>
      <c r="H5" s="17">
        <f t="shared" si="1"/>
        <v>1200289.2221869391</v>
      </c>
      <c r="I5" s="17">
        <f t="shared" si="2"/>
        <v>4989410.7778130611</v>
      </c>
    </row>
    <row r="6" spans="1:9" ht="15.75" customHeight="1" x14ac:dyDescent="0.25">
      <c r="A6" s="5">
        <f t="shared" si="3"/>
        <v>2028</v>
      </c>
      <c r="B6" s="49">
        <v>1051442</v>
      </c>
      <c r="C6" s="50">
        <v>1860621.5</v>
      </c>
      <c r="D6" s="50">
        <v>2241021.5</v>
      </c>
      <c r="E6" s="50">
        <v>1403520.5</v>
      </c>
      <c r="F6" s="50">
        <v>898117.5</v>
      </c>
      <c r="G6" s="17">
        <f t="shared" si="0"/>
        <v>6403281</v>
      </c>
      <c r="H6" s="17">
        <f t="shared" si="1"/>
        <v>1223428.0061913065</v>
      </c>
      <c r="I6" s="17">
        <f t="shared" si="2"/>
        <v>5179852.9938086933</v>
      </c>
    </row>
    <row r="7" spans="1:9" ht="15.75" customHeight="1" x14ac:dyDescent="0.25">
      <c r="A7" s="5">
        <f t="shared" si="3"/>
        <v>2029</v>
      </c>
      <c r="B7" s="49">
        <v>1069812</v>
      </c>
      <c r="C7" s="50">
        <v>1914701</v>
      </c>
      <c r="D7" s="50">
        <v>2333172</v>
      </c>
      <c r="E7" s="50">
        <v>1449537.5</v>
      </c>
      <c r="F7" s="50">
        <v>924388.50000000012</v>
      </c>
      <c r="G7" s="17">
        <f t="shared" si="0"/>
        <v>6621799</v>
      </c>
      <c r="H7" s="17">
        <f t="shared" si="1"/>
        <v>1244802.8157135954</v>
      </c>
      <c r="I7" s="17">
        <f t="shared" si="2"/>
        <v>5376996.1842864044</v>
      </c>
    </row>
    <row r="8" spans="1:9" ht="15.75" customHeight="1" x14ac:dyDescent="0.25">
      <c r="A8" s="5">
        <f t="shared" si="3"/>
        <v>2030</v>
      </c>
      <c r="B8" s="49">
        <v>1087522</v>
      </c>
      <c r="C8" s="50">
        <v>1967613.5</v>
      </c>
      <c r="D8" s="50">
        <v>2426191</v>
      </c>
      <c r="E8" s="50">
        <v>1502488.5</v>
      </c>
      <c r="F8" s="50">
        <v>949184.5</v>
      </c>
      <c r="G8" s="17">
        <f t="shared" si="0"/>
        <v>6845477.5</v>
      </c>
      <c r="H8" s="17">
        <f t="shared" si="1"/>
        <v>1265409.6680075382</v>
      </c>
      <c r="I8" s="17">
        <f t="shared" si="2"/>
        <v>5580067.8319924623</v>
      </c>
    </row>
    <row r="9" spans="1:9" ht="15.75" customHeight="1" x14ac:dyDescent="0.25">
      <c r="A9" s="5">
        <f t="shared" si="3"/>
        <v>2031</v>
      </c>
      <c r="B9" s="49">
        <v>1109163</v>
      </c>
      <c r="C9" s="50">
        <v>2019718.5</v>
      </c>
      <c r="D9" s="50">
        <v>2520341.5</v>
      </c>
      <c r="E9" s="50">
        <v>1560383.5</v>
      </c>
      <c r="F9" s="50">
        <v>972234</v>
      </c>
      <c r="G9" s="17">
        <f t="shared" si="0"/>
        <v>7072677.5</v>
      </c>
      <c r="H9" s="17">
        <f t="shared" si="1"/>
        <v>1290590.5200963707</v>
      </c>
      <c r="I9" s="17">
        <f t="shared" si="2"/>
        <v>5782086.979903629</v>
      </c>
    </row>
    <row r="10" spans="1:9" ht="15.75" customHeight="1" x14ac:dyDescent="0.25">
      <c r="A10" s="5">
        <f t="shared" si="3"/>
        <v>2032</v>
      </c>
      <c r="B10" s="49">
        <v>1126364</v>
      </c>
      <c r="C10" s="50">
        <v>2071319.5</v>
      </c>
      <c r="D10" s="50">
        <v>2615062.5</v>
      </c>
      <c r="E10" s="50">
        <v>1622970</v>
      </c>
      <c r="F10" s="50">
        <v>995379</v>
      </c>
      <c r="G10" s="17">
        <f t="shared" si="0"/>
        <v>7304731</v>
      </c>
      <c r="H10" s="17">
        <f t="shared" si="1"/>
        <v>1310605.1144672409</v>
      </c>
      <c r="I10" s="17">
        <f t="shared" si="2"/>
        <v>5994125.8855327591</v>
      </c>
    </row>
    <row r="11" spans="1:9" ht="15.75" customHeight="1" x14ac:dyDescent="0.25">
      <c r="A11" s="5">
        <f t="shared" si="3"/>
        <v>2033</v>
      </c>
      <c r="B11" s="49">
        <v>1143541</v>
      </c>
      <c r="C11" s="50">
        <v>2123472</v>
      </c>
      <c r="D11" s="50">
        <v>2708550.5</v>
      </c>
      <c r="E11" s="50">
        <v>1691117.5</v>
      </c>
      <c r="F11" s="50">
        <v>1019838.5</v>
      </c>
      <c r="G11" s="17">
        <f t="shared" si="0"/>
        <v>7542978.5</v>
      </c>
      <c r="H11" s="17">
        <f t="shared" si="1"/>
        <v>1330591.7831207172</v>
      </c>
      <c r="I11" s="17">
        <f t="shared" si="2"/>
        <v>6212386.7168792831</v>
      </c>
    </row>
    <row r="12" spans="1:9" ht="15.75" customHeight="1" x14ac:dyDescent="0.25">
      <c r="A12" s="5">
        <f t="shared" si="3"/>
        <v>2034</v>
      </c>
      <c r="B12" s="49">
        <v>1162537</v>
      </c>
      <c r="C12" s="50">
        <v>2176982</v>
      </c>
      <c r="D12" s="50">
        <v>2799563</v>
      </c>
      <c r="E12" s="50">
        <v>1764895.5</v>
      </c>
      <c r="F12" s="50">
        <v>1044968.5</v>
      </c>
      <c r="G12" s="17">
        <f t="shared" si="0"/>
        <v>7786409</v>
      </c>
      <c r="H12" s="17">
        <f t="shared" si="1"/>
        <v>1352694.988438376</v>
      </c>
      <c r="I12" s="17">
        <f t="shared" si="2"/>
        <v>6433714.0115616238</v>
      </c>
    </row>
    <row r="13" spans="1:9" ht="15.75" customHeight="1" x14ac:dyDescent="0.25">
      <c r="A13" s="5">
        <f t="shared" si="3"/>
        <v>2035</v>
      </c>
      <c r="B13" s="49">
        <v>1177551</v>
      </c>
      <c r="C13" s="50">
        <v>2231318.5</v>
      </c>
      <c r="D13" s="50">
        <v>2888994</v>
      </c>
      <c r="E13" s="50">
        <v>1845323.5</v>
      </c>
      <c r="F13" s="50">
        <v>1071507</v>
      </c>
      <c r="G13" s="17">
        <f t="shared" si="0"/>
        <v>8037143</v>
      </c>
      <c r="H13" s="17">
        <f t="shared" si="1"/>
        <v>1370164.8518116828</v>
      </c>
      <c r="I13" s="17">
        <f t="shared" si="2"/>
        <v>6666978.1481883172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e4M9wKM9rltA6oDftZPdalhJmSm8mx3dWdplPW0cHkF5XpnA/INfETjoKv0CLIt+f+Qg5s1yKVQKCkLOJFIGCg==" saltValue="/nX5tFdq0WrHGVEcQFyxh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2.5390799999999981E-2</v>
      </c>
    </row>
    <row r="4" spans="1:8" ht="15.75" customHeight="1" x14ac:dyDescent="0.25">
      <c r="B4" s="19" t="s">
        <v>79</v>
      </c>
      <c r="C4" s="101">
        <v>6.3736599999999907E-2</v>
      </c>
    </row>
    <row r="5" spans="1:8" ht="15.75" customHeight="1" x14ac:dyDescent="0.25">
      <c r="B5" s="19" t="s">
        <v>80</v>
      </c>
      <c r="C5" s="101">
        <v>0.1035504000000001</v>
      </c>
    </row>
    <row r="6" spans="1:8" ht="15.75" customHeight="1" x14ac:dyDescent="0.25">
      <c r="B6" s="19" t="s">
        <v>81</v>
      </c>
      <c r="C6" s="101">
        <v>0.24952009999999991</v>
      </c>
    </row>
    <row r="7" spans="1:8" ht="15.75" customHeight="1" x14ac:dyDescent="0.25">
      <c r="B7" s="19" t="s">
        <v>82</v>
      </c>
      <c r="C7" s="101">
        <v>0.38443950000000021</v>
      </c>
    </row>
    <row r="8" spans="1:8" ht="15.75" customHeight="1" x14ac:dyDescent="0.25">
      <c r="B8" s="19" t="s">
        <v>83</v>
      </c>
      <c r="C8" s="101">
        <v>6.0205000000000067E-3</v>
      </c>
    </row>
    <row r="9" spans="1:8" ht="15.75" customHeight="1" x14ac:dyDescent="0.25">
      <c r="B9" s="19" t="s">
        <v>84</v>
      </c>
      <c r="C9" s="101">
        <v>5.4902399999999983E-2</v>
      </c>
    </row>
    <row r="10" spans="1:8" ht="15.75" customHeight="1" x14ac:dyDescent="0.25">
      <c r="B10" s="19" t="s">
        <v>85</v>
      </c>
      <c r="C10" s="101">
        <v>0.11243969999999991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88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89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90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91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92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93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94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95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8.8798472000000003E-2</v>
      </c>
    </row>
    <row r="27" spans="1:8" ht="15.75" customHeight="1" x14ac:dyDescent="0.25">
      <c r="B27" s="19" t="s">
        <v>102</v>
      </c>
      <c r="C27" s="101">
        <v>8.9405939999999996E-3</v>
      </c>
    </row>
    <row r="28" spans="1:8" ht="15.75" customHeight="1" x14ac:dyDescent="0.25">
      <c r="B28" s="19" t="s">
        <v>103</v>
      </c>
      <c r="C28" s="101">
        <v>0.15585153099999999</v>
      </c>
    </row>
    <row r="29" spans="1:8" ht="15.75" customHeight="1" x14ac:dyDescent="0.25">
      <c r="B29" s="19" t="s">
        <v>104</v>
      </c>
      <c r="C29" s="101">
        <v>0.170199079</v>
      </c>
    </row>
    <row r="30" spans="1:8" ht="15.75" customHeight="1" x14ac:dyDescent="0.25">
      <c r="B30" s="19" t="s">
        <v>2</v>
      </c>
      <c r="C30" s="101">
        <v>0.10628299300000001</v>
      </c>
    </row>
    <row r="31" spans="1:8" ht="15.75" customHeight="1" x14ac:dyDescent="0.25">
      <c r="B31" s="19" t="s">
        <v>105</v>
      </c>
      <c r="C31" s="101">
        <v>0.108972139</v>
      </c>
    </row>
    <row r="32" spans="1:8" ht="15.75" customHeight="1" x14ac:dyDescent="0.25">
      <c r="B32" s="19" t="s">
        <v>106</v>
      </c>
      <c r="C32" s="101">
        <v>1.8807035E-2</v>
      </c>
    </row>
    <row r="33" spans="2:3" ht="15.75" customHeight="1" x14ac:dyDescent="0.25">
      <c r="B33" s="19" t="s">
        <v>107</v>
      </c>
      <c r="C33" s="101">
        <v>8.4353397999999996E-2</v>
      </c>
    </row>
    <row r="34" spans="2:3" ht="15.75" customHeight="1" x14ac:dyDescent="0.25">
      <c r="B34" s="19" t="s">
        <v>108</v>
      </c>
      <c r="C34" s="101">
        <v>0.25779475800000001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xDCb7FDqry04uS085y5a8AJhGu4FV33zeW5TaOcKNOGl4qd75JFSstHVJ7UVeFJ2utftNt6JmQwFuDTtrnSxmw==" saltValue="1oCtDxg5cQv3gZPFsqYe4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114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115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119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120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0.88340230725000013</v>
      </c>
      <c r="D14" s="54">
        <v>0.86865575759299996</v>
      </c>
      <c r="E14" s="54">
        <v>0.86865575759299996</v>
      </c>
      <c r="F14" s="54">
        <v>0.85659057522600013</v>
      </c>
      <c r="G14" s="54">
        <v>0.85659057522600013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0.35854031062740677</v>
      </c>
      <c r="D15" s="52">
        <f t="shared" si="0"/>
        <v>0.35255523174396775</v>
      </c>
      <c r="E15" s="52">
        <f t="shared" si="0"/>
        <v>0.35255523174396775</v>
      </c>
      <c r="F15" s="52">
        <f t="shared" si="0"/>
        <v>0.34765842063295005</v>
      </c>
      <c r="G15" s="52">
        <f t="shared" si="0"/>
        <v>0.34765842063295005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scjKMF6t4Zv43FZEgyUAzklMMYaTY29QdFfxTA0WVigh/EhUK6gAUrngIys8je8xZP+jYar6mwrg8ctS+8dtw==" saltValue="4gpHFoA6CfbBo9RNJbNT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132</v>
      </c>
      <c r="C5" s="52">
        <v>2.8139399999999998E-2</v>
      </c>
      <c r="D5" s="52">
        <v>2.8129100000000001E-2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hVZ15FfJCsGoghAS/BpkdfQUxOXaEu14JmVQTyUPZ9D0y6LEbKR0+pDCqH3+pPI2Uq3liFij/KmNAo/6YDiwiw==" saltValue="Y6S1ojJOrMvUS5p8j4dYl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AzNcud6sH+X3KFs4ko+cTzm+LiAYeam937ATZqW4RXC8M/sb4tdJK3G3b7dgWZIj/F/VZst7lxxG2wSsopa1g==" saltValue="JLETX4HpQmEXlANysBLd3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3m6FFYtGmgt3t7OL9Na6SPVIy8FLmxSnRtnt+a5/RZaue4aGZ6opc9KTTPIBAYx5002ozsNWqxVUZvV/eIkDkA==" saltValue="7Ur4AnrzTlLucri8xkF9p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jKaP8DjVbLz5IzNtnER5KP5Uf8UPuDrIpmC4IQDjFnxtaWgK/swGKVtyfxw1jU8T4JCyqaU1jscrGIbP7YGGcg==" saltValue="vzYrj3RwH9tilM4A19RBU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kt/5bptpyjWtM6dQDhrdhnkO9ilBPg+ZUwW8kUpct6KimUntnHtGBwk9wxKlhYuH5gyh65G/nECv1uXBz01u2Q==" saltValue="/Y9NlKQ5RD72O7n6N9cAv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36.571690758964152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0.19641786778459999</v>
      </c>
      <c r="C3" s="98">
        <v>0.95</v>
      </c>
      <c r="D3" s="56">
        <v>44.673915322947977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77.994484382723172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0.2047995797130811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0.28031230000000001</v>
      </c>
      <c r="C10" s="98">
        <v>0.95</v>
      </c>
      <c r="D10" s="56">
        <v>14.198977192068339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0.28031230000000001</v>
      </c>
      <c r="C11" s="98">
        <v>0.95</v>
      </c>
      <c r="D11" s="56">
        <v>14.198977192068339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0.28031230000000001</v>
      </c>
      <c r="C12" s="98">
        <v>0.95</v>
      </c>
      <c r="D12" s="56">
        <v>14.198977192068339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0.28031230000000001</v>
      </c>
      <c r="C13" s="98">
        <v>0.95</v>
      </c>
      <c r="D13" s="56">
        <v>14.198977192068339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0.28031230000000001</v>
      </c>
      <c r="C14" s="98">
        <v>0.95</v>
      </c>
      <c r="D14" s="56">
        <v>14.198977192068339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0.28031230000000001</v>
      </c>
      <c r="C15" s="98">
        <v>0.95</v>
      </c>
      <c r="D15" s="56">
        <v>14.198977192068339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0.83</v>
      </c>
      <c r="C16" s="98">
        <v>0.95</v>
      </c>
      <c r="D16" s="56">
        <v>0.25525323351447138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0.12279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8.414515719577001E-2</v>
      </c>
      <c r="C18" s="98">
        <v>0.95</v>
      </c>
      <c r="D18" s="56">
        <v>1.899304380682495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0.50208550000000007</v>
      </c>
      <c r="C19" s="98">
        <v>0.95</v>
      </c>
      <c r="D19" s="56">
        <v>1.899304380682495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0.52630830000000006</v>
      </c>
      <c r="C21" s="98">
        <v>0.95</v>
      </c>
      <c r="D21" s="56">
        <v>1.901510417689166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24.209172725963409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4.6647271427629606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0.63762425791924005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0.28031230000000001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20.51058971486929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0.50002352472347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64.674005141426761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0.85</v>
      </c>
      <c r="C31" s="98">
        <v>0.95</v>
      </c>
      <c r="D31" s="56">
        <v>2.213974651533833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0.49047047831897028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0.85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0.2174344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0.21443380000000001</v>
      </c>
      <c r="C38" s="98">
        <v>0.95</v>
      </c>
      <c r="D38" s="56">
        <v>3.8385823182066949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w0s04fSE7wwE4F+EssipDW9cg6JLhHFuA1ldmq5m2VepGLSVEP+V0hB/53dHRR5Qp5POXh8Z8Izpgs9T9MRVTQ==" saltValue="NJw9jQ0oWPZi1gsmCfQ2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/glF94EuI7poZcONiHtqABBhmVfHCwKz2hi/ijFl8vShViWw7YPHlR6xmFVEnHNAFJnk8rRPdhnEk8FlPWvnBw==" saltValue="FhbmEMdXrWk4iVmcaoux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baRzupiHq0npKBOJuPw0+5q1zZZ82/8jnkjm85r5tCfSMygTrQ7BG4xYruhquLFFg78VySu8NNafG9p08+6gjA==" saltValue="ERiDR5oc+adkXKBqLozkH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208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sheetProtection algorithmName="SHA-512" hashValue="hhQtb6BfioKKY4RHikS1bTNXqfadwz1nKoOBSXPK14ouj7ioczlIHmUevQxoLBEPBKAjjpt+jea044byQIjCkQ==" saltValue="Q2iD4/Z3trWuKG4xU7jiW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0.49700000000000011</v>
      </c>
      <c r="E2" s="60">
        <f>food_insecure</f>
        <v>0.49700000000000011</v>
      </c>
      <c r="F2" s="60">
        <f>food_insecure</f>
        <v>0.49700000000000011</v>
      </c>
      <c r="G2" s="60">
        <f>food_insecure</f>
        <v>0.49700000000000011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0.49700000000000011</v>
      </c>
      <c r="I15" s="60">
        <f>food_insecure</f>
        <v>0.49700000000000011</v>
      </c>
      <c r="J15" s="60">
        <f>food_insecure</f>
        <v>0.49700000000000011</v>
      </c>
      <c r="K15" s="60">
        <f>food_insecure</f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0.54</v>
      </c>
      <c r="M24" s="60">
        <f>famplan_unmet_need</f>
        <v>0.54</v>
      </c>
      <c r="N24" s="60">
        <f>famplan_unmet_need</f>
        <v>0.54</v>
      </c>
      <c r="O24" s="60">
        <f>famplan_unmet_need</f>
        <v>0.54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0.43922433857421878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0.18823900224609377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0.11151126855468747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0.26102539062500002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0.9</v>
      </c>
      <c r="D34" s="60">
        <f t="shared" si="3"/>
        <v>0.9</v>
      </c>
      <c r="E34" s="60">
        <f t="shared" si="3"/>
        <v>0.9</v>
      </c>
      <c r="F34" s="60">
        <f t="shared" si="3"/>
        <v>0.9</v>
      </c>
      <c r="G34" s="60">
        <f t="shared" si="3"/>
        <v>0.9</v>
      </c>
      <c r="H34" s="60">
        <f t="shared" si="3"/>
        <v>0.9</v>
      </c>
      <c r="I34" s="60">
        <f t="shared" si="3"/>
        <v>0.9</v>
      </c>
      <c r="J34" s="60">
        <f t="shared" si="3"/>
        <v>0.9</v>
      </c>
      <c r="K34" s="60">
        <f t="shared" si="3"/>
        <v>0.9</v>
      </c>
      <c r="L34" s="60">
        <f t="shared" si="3"/>
        <v>0.9</v>
      </c>
      <c r="M34" s="60">
        <f t="shared" si="3"/>
        <v>0.9</v>
      </c>
      <c r="N34" s="60">
        <f t="shared" si="3"/>
        <v>0.9</v>
      </c>
      <c r="O34" s="60">
        <f t="shared" si="3"/>
        <v>0.9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9y8O+2L2pvm+Czn1A/OhUDoY2Ku3t0RduxX9xfMjDYXtvU2fKf1f/Xqw/LvsJ083YXq91WKXHasifNcXqy3w7Q==" saltValue="FWCUyvaaK8Bi2i5TtZWGV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TYaHTrz5q6dW8qmYzgu9CpBn1hBLPV0jsuAN1mXhS3bf+ugcuHXTyOOzdn7P2pCEDuzyZoloGCE+oTLMgf4LsQ==" saltValue="3v0BR74BUGbYvTGrQSxAH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sRw9k0206przlBBq4AKQuu8S1yzxRqyv2tfwTT2nC0a94ahLl2nYklnufmfeAJaHqxqAl5ca0W22UzPWSrLbA==" saltValue="RMJZeNf54X1lGJcwPUbxw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gvsViPXZJXrDpHQdwv/xNxuXaUs0dbIMkQK5i+Mg6ilVch+4QNPm6nC4zbKwjE/98JEIwj1fXuHVHqJ7uS/rg==" saltValue="An6xOPC3FM0qee0FJq36u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Hs7PTnLpw/2sTOwMl2sUTBVtoJKa8jUOM+Blj3sMkcO/RVDmzOnH+nQ2rjYOdxa6S1POQJ4sjNZFNyTDotid3A==" saltValue="+YCMEDaT7fH0xCdZw9EyV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HnZdFMIMa9mxf/6EpH2iT+JghJSt2GmNAE62OZX/MVCwQ1EbzJgiNBxs/YWPqNaQd6wDCNoBswFYiugXJQHVJA==" saltValue="gMej0Bm2RSi5LaMz7aMHf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akJFbqSLUfxhf3zVgJhdTSq1gZHyPGZm3topWY1y++QQauXFzUSxTurPN2ug80IWu6Yqge4M7iMS0T7QDp0KQ==" saltValue="zXJsc3mAdc22hlJ5pLwWJ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oR934M6kCs4sM0/eEJjk8+SlgTeRkpEG8jzQOu1/KXIWVyeu1bxUdGEnSNGkPi6hg2enV6bPaNFUfXWbcHCYQ==" saltValue="ydWQljnmDs++q9hw+mGS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TwF/HM6VvySfMUveSauuEXPIr4Ce3WepG4d4tbu1FjkOdIa//TsaJJKZXWTWRA/u/ldeCfq/OEL3bVqZWQHsg==" saltValue="DAVetdB3qMO5WfxmVLqa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1LrnsD6+owmIZ9nGkAZTM4t2+WvFIHJWJLy7BWFbFywoo764H3kFtDkz9Si0IC37GFmW9dpS25ICLXjoQEKZcQ==" saltValue="7MBpwtgVlymUngNPrhaT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BZqxpr6KXGlzTXEcnft8KudLMMb3tgnnR1yvZhDRuJghXMOk9jHPVm4gSl7TjZ5enM5Vt2lnkQbjsTzqJIXDeA==" saltValue="qlv1IBlfS2eBq0agO4hR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WSJaaMTD3ia2lGauPP3h5Lc0C4RmHwK+xXe7asx0HwZNc87MYl3gx4jc8jUsESQH+yDPMS3SmE1+jbdOQBAlQ==" saltValue="+jo2LEJIRIcJKKZeUIZe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5EMlwLQWJM6U/Gyqi7V/e5wcpnViZl35QYBEC/KnWFMLspmkIB1ruMhuex8Pb9GqSRwr+m19jut3aARyOM1DA==" saltValue="e4sPHJctsCdzeUQQjgjXN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Scc91gcV6bT0RNJxZqhjEh7UP3rjc6oRjk1K1Vt6afibT5vzmTUh8lTaMkyoCd4kZpaQPd3UYLylSNErxUOHQ==" saltValue="ce8TNRTQ/cDDKDgohxUD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lO/5SzFGGwMq/+kLAdrNmFcM+sBrNAy12WK5foGh5fzWmOQpdg0NBOMsFUNaMRgp57YXpuAzVpK1hI+wnOKyTw==" saltValue="HgF8ACv72/Vs0DqvCKfaB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2024-05-17T00:40:01Z</dcterms:modified>
</cp:coreProperties>
</file>