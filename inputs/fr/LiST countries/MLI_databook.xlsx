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618C30DD-A3D2-4BEF-BD3F-86ADAF87D85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26" i="2"/>
  <c r="A23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28" i="2" l="1"/>
  <c r="A29" i="2"/>
  <c r="A3" i="2"/>
  <c r="A18" i="2"/>
  <c r="A20" i="2"/>
  <c r="A36" i="2"/>
  <c r="A39" i="2"/>
  <c r="A15" i="2"/>
  <c r="A31" i="2"/>
  <c r="A34" i="2"/>
  <c r="A21" i="2"/>
  <c r="A37" i="2"/>
  <c r="A16" i="2"/>
  <c r="A24" i="2"/>
  <c r="A32" i="2"/>
  <c r="A17" i="2"/>
  <c r="A25" i="2"/>
  <c r="A33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<sst xmlns="http://schemas.openxmlformats.org/spreadsheetml/2006/main" count="2101" uniqueCount="337">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</sst>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4307000.125</v>
      </c>
    </row>
    <row r="8" spans="1:3" ht="15" customHeight="1" x14ac:dyDescent="0.25">
      <c r="B8" s="5" t="s">
        <v>19</v>
      </c>
      <c r="C8" s="44">
        <v>0.49700000000000011</v>
      </c>
    </row>
    <row r="9" spans="1:3" ht="15" customHeight="1" x14ac:dyDescent="0.25">
      <c r="B9" s="5" t="s">
        <v>20</v>
      </c>
      <c r="C9" s="45">
        <v>0.9</v>
      </c>
    </row>
    <row r="10" spans="1:3" ht="15" customHeight="1" x14ac:dyDescent="0.25">
      <c r="B10" s="5" t="s">
        <v>21</v>
      </c>
      <c r="C10" s="45">
        <v>0.26102539062500002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0.54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0.14249999999999999</v>
      </c>
    </row>
    <row r="24" spans="1:3" ht="15" customHeight="1" x14ac:dyDescent="0.25">
      <c r="B24" s="15" t="s">
        <v>33</v>
      </c>
      <c r="C24" s="45">
        <v>0.43409999999999999</v>
      </c>
    </row>
    <row r="25" spans="1:3" ht="15" customHeight="1" x14ac:dyDescent="0.25">
      <c r="B25" s="15" t="s">
        <v>34</v>
      </c>
      <c r="C25" s="45">
        <v>0.32079999999999997</v>
      </c>
    </row>
    <row r="26" spans="1:3" ht="15" customHeight="1" x14ac:dyDescent="0.25">
      <c r="B26" s="15" t="s">
        <v>35</v>
      </c>
      <c r="C26" s="45">
        <v>0.1026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0.18152033947509999</v>
      </c>
    </row>
    <row r="30" spans="1:3" ht="14.25" customHeight="1" x14ac:dyDescent="0.25">
      <c r="B30" s="25" t="s">
        <v>38</v>
      </c>
      <c r="C30" s="99">
        <v>6.3697307314517504E-2</v>
      </c>
    </row>
    <row r="31" spans="1:3" ht="14.25" customHeight="1" x14ac:dyDescent="0.25">
      <c r="B31" s="25" t="s">
        <v>39</v>
      </c>
      <c r="C31" s="99">
        <v>0.122289508790448</v>
      </c>
    </row>
    <row r="32" spans="1:3" ht="14.25" customHeight="1" x14ac:dyDescent="0.25">
      <c r="B32" s="25" t="s">
        <v>40</v>
      </c>
      <c r="C32" s="99">
        <v>0.63249284441993503</v>
      </c>
    </row>
    <row r="33" spans="1:5" ht="13" customHeight="1" x14ac:dyDescent="0.25">
      <c r="B33" s="27" t="s">
        <v>41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33.42812</v>
      </c>
    </row>
    <row r="38" spans="1:5" ht="15" customHeight="1" x14ac:dyDescent="0.25">
      <c r="B38" s="11" t="s">
        <v>45</v>
      </c>
      <c r="C38" s="43">
        <v>61.631399999999999</v>
      </c>
      <c r="D38" s="12"/>
      <c r="E38" s="13"/>
    </row>
    <row r="39" spans="1:5" ht="15" customHeight="1" x14ac:dyDescent="0.25">
      <c r="B39" s="11" t="s">
        <v>46</v>
      </c>
      <c r="C39" s="43">
        <v>97.066919999999996</v>
      </c>
      <c r="D39" s="12"/>
      <c r="E39" s="12"/>
    </row>
    <row r="40" spans="1:5" ht="15" customHeight="1" x14ac:dyDescent="0.25">
      <c r="B40" s="11" t="s">
        <v>47</v>
      </c>
      <c r="C40" s="100">
        <v>4.4000000000000004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5.2124000000000007E-3</v>
      </c>
      <c r="D45" s="12"/>
    </row>
    <row r="46" spans="1:5" ht="15.75" customHeight="1" x14ac:dyDescent="0.25">
      <c r="B46" s="11" t="s">
        <v>52</v>
      </c>
      <c r="C46" s="45">
        <v>5.6006399999999998E-2</v>
      </c>
      <c r="D46" s="12"/>
    </row>
    <row r="47" spans="1:5" ht="15.75" customHeight="1" x14ac:dyDescent="0.25">
      <c r="B47" s="11" t="s">
        <v>53</v>
      </c>
      <c r="C47" s="45">
        <v>7.6044899999999999E-2</v>
      </c>
      <c r="D47" s="12"/>
      <c r="E47" s="13"/>
    </row>
    <row r="48" spans="1:5" ht="15" customHeight="1" x14ac:dyDescent="0.25">
      <c r="B48" s="11" t="s">
        <v>54</v>
      </c>
      <c r="C48" s="46">
        <v>0.86273630000000001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0.40586299999999997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kaIfrGXy0JN+F4pm1Acw+n0cjOuHUIYalRXlbQODWYRaYIA0YUxJn8CT+Z+L4V+RbZZ/WnK/pvoAhKu81MFpcA==" saltValue="DR16v391L53XOTWRwpaa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974125</v>
      </c>
      <c r="C2" s="49">
        <v>1638677.5</v>
      </c>
      <c r="D2" s="49">
        <v>1890205</v>
      </c>
      <c r="E2" s="49">
        <v>1265558.5</v>
      </c>
      <c r="F2" s="49">
        <v>780952.5</v>
      </c>
      <c r="G2" s="17">
        <f t="shared" ref="G2:G13" si="0">C2+D2+E2+F2</f>
        <v>5575393.5</v>
      </c>
      <c r="H2" s="17">
        <f t="shared" ref="H2:H13" si="1">(B2 + stillbirth*B2/(1000-stillbirth))/(1-abortion)</f>
        <v>1133464.1440337237</v>
      </c>
      <c r="I2" s="17">
        <f t="shared" ref="I2:I13" si="2">G2-H2</f>
        <v>4441929.3559662765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995183</v>
      </c>
      <c r="C3" s="50">
        <v>1694470.5</v>
      </c>
      <c r="D3" s="50">
        <v>1972308.5</v>
      </c>
      <c r="E3" s="50">
        <v>1296365</v>
      </c>
      <c r="F3" s="50">
        <v>811575</v>
      </c>
      <c r="G3" s="17">
        <f t="shared" si="0"/>
        <v>5774719</v>
      </c>
      <c r="H3" s="17">
        <f t="shared" si="1"/>
        <v>1157966.633904184</v>
      </c>
      <c r="I3" s="17">
        <f t="shared" si="2"/>
        <v>4616752.3660958158</v>
      </c>
    </row>
    <row r="4" spans="1:9" ht="15.75" customHeight="1" x14ac:dyDescent="0.25">
      <c r="A4" s="5">
        <f t="shared" si="3"/>
        <v>2026</v>
      </c>
      <c r="B4" s="49">
        <v>1013097</v>
      </c>
      <c r="C4" s="50">
        <v>1750502</v>
      </c>
      <c r="D4" s="50">
        <v>2059751.5</v>
      </c>
      <c r="E4" s="50">
        <v>1328253.5</v>
      </c>
      <c r="F4" s="50">
        <v>841395.5</v>
      </c>
      <c r="G4" s="17">
        <f t="shared" si="0"/>
        <v>5979902.5</v>
      </c>
      <c r="H4" s="17">
        <f t="shared" si="1"/>
        <v>1178810.8547959793</v>
      </c>
      <c r="I4" s="17">
        <f t="shared" si="2"/>
        <v>4801091.6452040207</v>
      </c>
    </row>
    <row r="5" spans="1:9" ht="15.75" customHeight="1" x14ac:dyDescent="0.25">
      <c r="A5" s="5">
        <f t="shared" si="3"/>
        <v>2027</v>
      </c>
      <c r="B5" s="49">
        <v>1031556</v>
      </c>
      <c r="C5" s="50">
        <v>1806156.5</v>
      </c>
      <c r="D5" s="50">
        <v>2149573</v>
      </c>
      <c r="E5" s="50">
        <v>1363598</v>
      </c>
      <c r="F5" s="50">
        <v>870372.5</v>
      </c>
      <c r="G5" s="17">
        <f t="shared" si="0"/>
        <v>6189700</v>
      </c>
      <c r="H5" s="17">
        <f t="shared" si="1"/>
        <v>1200289.2221869391</v>
      </c>
      <c r="I5" s="17">
        <f t="shared" si="2"/>
        <v>4989410.7778130611</v>
      </c>
    </row>
    <row r="6" spans="1:9" ht="15.75" customHeight="1" x14ac:dyDescent="0.25">
      <c r="A6" s="5">
        <f t="shared" si="3"/>
        <v>2028</v>
      </c>
      <c r="B6" s="49">
        <v>1051442</v>
      </c>
      <c r="C6" s="50">
        <v>1860621.5</v>
      </c>
      <c r="D6" s="50">
        <v>2241021.5</v>
      </c>
      <c r="E6" s="50">
        <v>1403520.5</v>
      </c>
      <c r="F6" s="50">
        <v>898117.5</v>
      </c>
      <c r="G6" s="17">
        <f t="shared" si="0"/>
        <v>6403281</v>
      </c>
      <c r="H6" s="17">
        <f t="shared" si="1"/>
        <v>1223428.0061913065</v>
      </c>
      <c r="I6" s="17">
        <f t="shared" si="2"/>
        <v>5179852.9938086933</v>
      </c>
    </row>
    <row r="7" spans="1:9" ht="15.75" customHeight="1" x14ac:dyDescent="0.25">
      <c r="A7" s="5">
        <f t="shared" si="3"/>
        <v>2029</v>
      </c>
      <c r="B7" s="49">
        <v>1069812</v>
      </c>
      <c r="C7" s="50">
        <v>1914701</v>
      </c>
      <c r="D7" s="50">
        <v>2333172</v>
      </c>
      <c r="E7" s="50">
        <v>1449537.5</v>
      </c>
      <c r="F7" s="50">
        <v>924388.50000000012</v>
      </c>
      <c r="G7" s="17">
        <f t="shared" si="0"/>
        <v>6621799</v>
      </c>
      <c r="H7" s="17">
        <f t="shared" si="1"/>
        <v>1244802.8157135954</v>
      </c>
      <c r="I7" s="17">
        <f t="shared" si="2"/>
        <v>5376996.1842864044</v>
      </c>
    </row>
    <row r="8" spans="1:9" ht="15.75" customHeight="1" x14ac:dyDescent="0.25">
      <c r="A8" s="5">
        <f t="shared" si="3"/>
        <v>2030</v>
      </c>
      <c r="B8" s="49">
        <v>1087522</v>
      </c>
      <c r="C8" s="50">
        <v>1967613.5</v>
      </c>
      <c r="D8" s="50">
        <v>2426191</v>
      </c>
      <c r="E8" s="50">
        <v>1502488.5</v>
      </c>
      <c r="F8" s="50">
        <v>949184.5</v>
      </c>
      <c r="G8" s="17">
        <f t="shared" si="0"/>
        <v>6845477.5</v>
      </c>
      <c r="H8" s="17">
        <f t="shared" si="1"/>
        <v>1265409.6680075382</v>
      </c>
      <c r="I8" s="17">
        <f t="shared" si="2"/>
        <v>5580067.8319924623</v>
      </c>
    </row>
    <row r="9" spans="1:9" ht="15.75" customHeight="1" x14ac:dyDescent="0.25">
      <c r="A9" s="5">
        <f t="shared" si="3"/>
        <v>2031</v>
      </c>
      <c r="B9" s="49">
        <v>1109163</v>
      </c>
      <c r="C9" s="50">
        <v>2019718.5</v>
      </c>
      <c r="D9" s="50">
        <v>2520341.5</v>
      </c>
      <c r="E9" s="50">
        <v>1560383.5</v>
      </c>
      <c r="F9" s="50">
        <v>972234</v>
      </c>
      <c r="G9" s="17">
        <f t="shared" si="0"/>
        <v>7072677.5</v>
      </c>
      <c r="H9" s="17">
        <f t="shared" si="1"/>
        <v>1290590.5200963707</v>
      </c>
      <c r="I9" s="17">
        <f t="shared" si="2"/>
        <v>5782086.979903629</v>
      </c>
    </row>
    <row r="10" spans="1:9" ht="15.75" customHeight="1" x14ac:dyDescent="0.25">
      <c r="A10" s="5">
        <f t="shared" si="3"/>
        <v>2032</v>
      </c>
      <c r="B10" s="49">
        <v>1126364</v>
      </c>
      <c r="C10" s="50">
        <v>2071319.5</v>
      </c>
      <c r="D10" s="50">
        <v>2615062.5</v>
      </c>
      <c r="E10" s="50">
        <v>1622970</v>
      </c>
      <c r="F10" s="50">
        <v>995379</v>
      </c>
      <c r="G10" s="17">
        <f t="shared" si="0"/>
        <v>7304731</v>
      </c>
      <c r="H10" s="17">
        <f t="shared" si="1"/>
        <v>1310605.1144672409</v>
      </c>
      <c r="I10" s="17">
        <f t="shared" si="2"/>
        <v>5994125.8855327591</v>
      </c>
    </row>
    <row r="11" spans="1:9" ht="15.75" customHeight="1" x14ac:dyDescent="0.25">
      <c r="A11" s="5">
        <f t="shared" si="3"/>
        <v>2033</v>
      </c>
      <c r="B11" s="49">
        <v>1143541</v>
      </c>
      <c r="C11" s="50">
        <v>2123472</v>
      </c>
      <c r="D11" s="50">
        <v>2708550.5</v>
      </c>
      <c r="E11" s="50">
        <v>1691117.5</v>
      </c>
      <c r="F11" s="50">
        <v>1019838.5</v>
      </c>
      <c r="G11" s="17">
        <f t="shared" si="0"/>
        <v>7542978.5</v>
      </c>
      <c r="H11" s="17">
        <f t="shared" si="1"/>
        <v>1330591.7831207172</v>
      </c>
      <c r="I11" s="17">
        <f t="shared" si="2"/>
        <v>6212386.7168792831</v>
      </c>
    </row>
    <row r="12" spans="1:9" ht="15.75" customHeight="1" x14ac:dyDescent="0.25">
      <c r="A12" s="5">
        <f t="shared" si="3"/>
        <v>2034</v>
      </c>
      <c r="B12" s="49">
        <v>1162537</v>
      </c>
      <c r="C12" s="50">
        <v>2176982</v>
      </c>
      <c r="D12" s="50">
        <v>2799563</v>
      </c>
      <c r="E12" s="50">
        <v>1764895.5</v>
      </c>
      <c r="F12" s="50">
        <v>1044968.5</v>
      </c>
      <c r="G12" s="17">
        <f t="shared" si="0"/>
        <v>7786409</v>
      </c>
      <c r="H12" s="17">
        <f t="shared" si="1"/>
        <v>1352694.988438376</v>
      </c>
      <c r="I12" s="17">
        <f t="shared" si="2"/>
        <v>6433714.0115616238</v>
      </c>
    </row>
    <row r="13" spans="1:9" ht="15.75" customHeight="1" x14ac:dyDescent="0.25">
      <c r="A13" s="5">
        <f t="shared" si="3"/>
        <v>2035</v>
      </c>
      <c r="B13" s="49">
        <v>1177551</v>
      </c>
      <c r="C13" s="50">
        <v>2231318.5</v>
      </c>
      <c r="D13" s="50">
        <v>2888994</v>
      </c>
      <c r="E13" s="50">
        <v>1845323.5</v>
      </c>
      <c r="F13" s="50">
        <v>1071507</v>
      </c>
      <c r="G13" s="17">
        <f t="shared" si="0"/>
        <v>8037143</v>
      </c>
      <c r="H13" s="17">
        <f t="shared" si="1"/>
        <v>1370164.8518116828</v>
      </c>
      <c r="I13" s="17">
        <f t="shared" si="2"/>
        <v>6666978.1481883172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t3LJvwTIJkKkYS9T+igMONfY1Tn/DKdQqkJdXgFHh2tbsAaTEcYaugRCmKrOOzbjm18bV4bW2LZ1kcDEsXLKQ==" saltValue="9L6k4n1eg7tzn9VeBauuM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2.5390799999999981E-2</v>
      </c>
    </row>
    <row r="4" spans="1:8" ht="15.75" customHeight="1" x14ac:dyDescent="0.25">
      <c r="B4" s="19" t="s">
        <v>79</v>
      </c>
      <c r="C4" s="101">
        <v>6.3736599999999907E-2</v>
      </c>
    </row>
    <row r="5" spans="1:8" ht="15.75" customHeight="1" x14ac:dyDescent="0.25">
      <c r="B5" s="19" t="s">
        <v>80</v>
      </c>
      <c r="C5" s="101">
        <v>0.1035504000000001</v>
      </c>
    </row>
    <row r="6" spans="1:8" ht="15.75" customHeight="1" x14ac:dyDescent="0.25">
      <c r="B6" s="19" t="s">
        <v>81</v>
      </c>
      <c r="C6" s="101">
        <v>0.24952009999999991</v>
      </c>
    </row>
    <row r="7" spans="1:8" ht="15.75" customHeight="1" x14ac:dyDescent="0.25">
      <c r="B7" s="19" t="s">
        <v>82</v>
      </c>
      <c r="C7" s="101">
        <v>0.38443950000000021</v>
      </c>
    </row>
    <row r="8" spans="1:8" ht="15.75" customHeight="1" x14ac:dyDescent="0.25">
      <c r="B8" s="19" t="s">
        <v>83</v>
      </c>
      <c r="C8" s="101">
        <v>6.0205000000000067E-3</v>
      </c>
    </row>
    <row r="9" spans="1:8" ht="15.75" customHeight="1" x14ac:dyDescent="0.25">
      <c r="B9" s="19" t="s">
        <v>84</v>
      </c>
      <c r="C9" s="101">
        <v>5.4902399999999983E-2</v>
      </c>
    </row>
    <row r="10" spans="1:8" ht="15.75" customHeight="1" x14ac:dyDescent="0.25">
      <c r="B10" s="19" t="s">
        <v>85</v>
      </c>
      <c r="C10" s="101">
        <v>0.11243969999999991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88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89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90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91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92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93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94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95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8.8798472000000003E-2</v>
      </c>
    </row>
    <row r="27" spans="1:8" ht="15.75" customHeight="1" x14ac:dyDescent="0.25">
      <c r="B27" s="19" t="s">
        <v>102</v>
      </c>
      <c r="C27" s="101">
        <v>8.9405939999999996E-3</v>
      </c>
    </row>
    <row r="28" spans="1:8" ht="15.75" customHeight="1" x14ac:dyDescent="0.25">
      <c r="B28" s="19" t="s">
        <v>103</v>
      </c>
      <c r="C28" s="101">
        <v>0.15585153099999999</v>
      </c>
    </row>
    <row r="29" spans="1:8" ht="15.75" customHeight="1" x14ac:dyDescent="0.25">
      <c r="B29" s="19" t="s">
        <v>104</v>
      </c>
      <c r="C29" s="101">
        <v>0.170199079</v>
      </c>
    </row>
    <row r="30" spans="1:8" ht="15.75" customHeight="1" x14ac:dyDescent="0.25">
      <c r="B30" s="19" t="s">
        <v>2</v>
      </c>
      <c r="C30" s="101">
        <v>0.10628299300000001</v>
      </c>
    </row>
    <row r="31" spans="1:8" ht="15.75" customHeight="1" x14ac:dyDescent="0.25">
      <c r="B31" s="19" t="s">
        <v>105</v>
      </c>
      <c r="C31" s="101">
        <v>0.108972139</v>
      </c>
    </row>
    <row r="32" spans="1:8" ht="15.75" customHeight="1" x14ac:dyDescent="0.25">
      <c r="B32" s="19" t="s">
        <v>106</v>
      </c>
      <c r="C32" s="101">
        <v>1.8807035E-2</v>
      </c>
    </row>
    <row r="33" spans="2:3" ht="15.75" customHeight="1" x14ac:dyDescent="0.25">
      <c r="B33" s="19" t="s">
        <v>107</v>
      </c>
      <c r="C33" s="101">
        <v>8.4353397999999996E-2</v>
      </c>
    </row>
    <row r="34" spans="2:3" ht="15.75" customHeight="1" x14ac:dyDescent="0.25">
      <c r="B34" s="19" t="s">
        <v>108</v>
      </c>
      <c r="C34" s="101">
        <v>0.25779475800000001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JAwFLe7Tq9AmkaXWJwGsHe/XVcS/JgM9R0HCB3uv4d4P+/1xU4osXlw+Hg1yQVTpDwIV9OuiIGreVqS28v//+Q==" saltValue="bioELB8Bhiav1pSIF50Ds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114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115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119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120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0.88340230725000013</v>
      </c>
      <c r="D14" s="54">
        <v>0.86865575759299996</v>
      </c>
      <c r="E14" s="54">
        <v>0.86865575759299996</v>
      </c>
      <c r="F14" s="54">
        <v>0.85659057522600013</v>
      </c>
      <c r="G14" s="54">
        <v>0.85659057522600013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0.35854031062740677</v>
      </c>
      <c r="D15" s="52">
        <f t="shared" si="0"/>
        <v>0.35255523174396775</v>
      </c>
      <c r="E15" s="52">
        <f t="shared" si="0"/>
        <v>0.35255523174396775</v>
      </c>
      <c r="F15" s="52">
        <f t="shared" si="0"/>
        <v>0.34765842063295005</v>
      </c>
      <c r="G15" s="52">
        <f t="shared" si="0"/>
        <v>0.34765842063295005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Z5fanOasZ8uJfDzf6gH22GoU2hXa6X8D1mOYD0j/qaK4nPDNlYn+v2IqJ+gHIQwIr6bdCRSBrzstnpDNyB3bQ==" saltValue="OYhh2yTxWjtjcaUc/vqc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132</v>
      </c>
      <c r="C5" s="52">
        <v>2.8139399999999998E-2</v>
      </c>
      <c r="D5" s="52">
        <v>2.8129100000000001E-2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1yb4cbS3VUPBRz/CXvRFN5XrFBeVjOC18v7mcLvgsQCacSYU2/hctOwbQLV9g64r8Bob8ToLpAh5wUOdQj4AHA==" saltValue="Z165+zW9JQZpt5/DvLB/B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3hAWnPPtvf9KOT6+hXtQm1W9BSfn9S7d5jgR/DpnSuiEv3mnmnesgx2uyrxFRXqLhXGS7hFaoCnpL4CKEtBRA==" saltValue="qFtrUmVgciohABejeAHlR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6sKY7FaxQbt6TgbxPiY+FlHF3aq9nNfar0Ioy+qSnSS+zJQS3rQYqfnYHfCDksBJlQ+2rYvBR3uFwJpzEax1Sw==" saltValue="Xz0MggWQfqeKQLD7i2ZeP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+SQkrDcrZlLymRAd+qHQEbZxhs0PIJItZ4yjTOqFrEpHQvX8CdsWnOdeoYpJ9JVq0dUKSM3Xei0y7T1f09PMYg==" saltValue="KIFYqPAWzackJXrnIbRZF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HMrBC6yl4UKALFyptxs3innNxD631KrWzJhRrmeWwPHYoXroGcvvIUMR1sUs8zWXN0+drJjpvnCwCKb+q7K4fQ==" saltValue="vABdG/8ExnXo5tfXIXZIl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46.32880693632174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6.4278423769884219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0.2047995797130811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0.2139553248340432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0.78848199824391296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0.419850339385831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0.28031230000000001</v>
      </c>
      <c r="C10" s="98">
        <v>0.95</v>
      </c>
      <c r="D10" s="56">
        <v>14.198977192068339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14.198977192068339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14.198977192068339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14.198977192068339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0.28031230000000001</v>
      </c>
      <c r="C14" s="98">
        <v>0.95</v>
      </c>
      <c r="D14" s="56">
        <v>14.198977192068339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14.198977192068339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0.7607335999999999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0.12279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0.17799999999999999</v>
      </c>
      <c r="C18" s="98">
        <v>0.95</v>
      </c>
      <c r="D18" s="56">
        <v>6.4278423769884219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0.34721740000000001</v>
      </c>
      <c r="C19" s="98">
        <v>0.95</v>
      </c>
      <c r="D19" s="56">
        <v>6.4278423769884219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24.209172725963409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0.85079989999999994</v>
      </c>
      <c r="C23" s="98">
        <v>0.95</v>
      </c>
      <c r="D23" s="56">
        <v>4.6647271427629606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0.47779756487578001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0.28031230000000001</v>
      </c>
      <c r="C26" s="98">
        <v>0.95</v>
      </c>
      <c r="D26" s="56">
        <v>1.259857105889731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21.89373473422777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0.21443380000000001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0.2174344</v>
      </c>
      <c r="C29" s="98">
        <v>0.95</v>
      </c>
      <c r="D29" s="56">
        <v>204.3668205339699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0.41820000000000002</v>
      </c>
      <c r="C31" s="98">
        <v>0.95</v>
      </c>
      <c r="D31" s="56">
        <v>174.23309547064821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0.85</v>
      </c>
      <c r="C32" s="98">
        <v>0.95</v>
      </c>
      <c r="D32" s="56">
        <v>0.47566033589714318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0.17300869999999999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0.64071500000000003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4.764E-3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0.52630830000000006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0.15360070000000001</v>
      </c>
      <c r="C38" s="98">
        <v>0.95</v>
      </c>
      <c r="D38" s="56">
        <v>1.105588888842008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YEvED64w8IEWclIBvsRxPxTmxZZhw2y5RkL25kc8l7BpNcr1L6N9vvOS++ocv5JMqp8lg9/MXTlLhNrwvwIEHA==" saltValue="9HOT21mTE7FTFVUEr8d+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iRhIREz/b+t4tbe1H2idBGHM/Ueb40OKol673KUMWyXYGCdfrRzOAAQvF5PcGjRQlUx9iRqVEUgx0udmnk0ewA==" saltValue="tCl9265SYesqesxIUX0LF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byfFv95HZv/GRh2ZaYG5yTHCfRAmc27Ev19NxNo6fbyzCDRKf0Mcb6VVI1IanPsoK15hQXRtlHnl+p045MU5+A==" saltValue="s98lFKrWTyWBzEgQTKgIp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208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sheetProtection algorithmName="SHA-512" hashValue="22KJmN/NV8YA7VFuLN0vJ9hXeIIiZMeLMDyNWariRM1NtUNSu4v67cJOV1lSnx1YZwpDrK8nTKsJgf9nBHWCPA==" saltValue="AXb2cD5TYrK4HSxo1QpBx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0.49700000000000011</v>
      </c>
      <c r="E2" s="60">
        <f>food_insecure</f>
        <v>0.49700000000000011</v>
      </c>
      <c r="F2" s="60">
        <f>food_insecure</f>
        <v>0.49700000000000011</v>
      </c>
      <c r="G2" s="60">
        <f>food_insecure</f>
        <v>0.49700000000000011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0.49700000000000011</v>
      </c>
      <c r="I15" s="60">
        <f>food_insecure</f>
        <v>0.49700000000000011</v>
      </c>
      <c r="J15" s="60">
        <f>food_insecure</f>
        <v>0.49700000000000011</v>
      </c>
      <c r="K15" s="60">
        <f>food_insecure</f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</v>
      </c>
      <c r="M24" s="60">
        <f>famplan_unmet_need</f>
        <v>0.54</v>
      </c>
      <c r="N24" s="60">
        <f>famplan_unmet_need</f>
        <v>0.54</v>
      </c>
      <c r="O24" s="60">
        <f>famplan_unmet_need</f>
        <v>0.54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0.43922433857421878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0.18823900224609377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0.11151126855468747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0.26102539062500002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0.9</v>
      </c>
      <c r="D34" s="60">
        <f t="shared" si="3"/>
        <v>0.9</v>
      </c>
      <c r="E34" s="60">
        <f t="shared" si="3"/>
        <v>0.9</v>
      </c>
      <c r="F34" s="60">
        <f t="shared" si="3"/>
        <v>0.9</v>
      </c>
      <c r="G34" s="60">
        <f t="shared" si="3"/>
        <v>0.9</v>
      </c>
      <c r="H34" s="60">
        <f t="shared" si="3"/>
        <v>0.9</v>
      </c>
      <c r="I34" s="60">
        <f t="shared" si="3"/>
        <v>0.9</v>
      </c>
      <c r="J34" s="60">
        <f t="shared" si="3"/>
        <v>0.9</v>
      </c>
      <c r="K34" s="60">
        <f t="shared" si="3"/>
        <v>0.9</v>
      </c>
      <c r="L34" s="60">
        <f t="shared" si="3"/>
        <v>0.9</v>
      </c>
      <c r="M34" s="60">
        <f t="shared" si="3"/>
        <v>0.9</v>
      </c>
      <c r="N34" s="60">
        <f t="shared" si="3"/>
        <v>0.9</v>
      </c>
      <c r="O34" s="60">
        <f t="shared" si="3"/>
        <v>0.9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0nvZiu0ICiAm9ZPMyGw7y+e1CE01ETJ89i7Ks3pqyeKsHHUG7fJj8wGJNYzKcMtKUsBr6shXRzj8eBh4SQhyw==" saltValue="+uy2Is+Vjul0GLIi4PXQQ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Qr/mjf9R8o1HDG257eXix+WFdNc4omDslcEgYgBGJhh93P62UVoF4UI2vDSMySGwPBhCf5nH7s9caCPZb0VETQ==" saltValue="FNk01cYBJe1sKHzdY2BIm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w5KzA1W14SJD+YoC+Ls0JLo1ZQ0NfizD9bA/9JKkMgwOzq2sLRh+nxiohrWw6CvdiRr3rluyeU3+grkczyUAA==" saltValue="f+SpeGjIApfT1gzjhEK1O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2pyHCMkkL0v3eurqPOyeL3/2TdgCNhwXfe01PDN3mqAHPk2ixAnDuV7wCKsJu6YE/hvqy0T9llRZ2V4YzQl4/w==" saltValue="Hi/b8zdkJNil1Uvq7w9A6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MAnuJUtsBDu2XWyrDeCAsd7v0tHWp2KIpPqRljuIsGgSf4KNn/d7eu3yhE/dZDSRWxeW26u0edTVLeIe4dW3JQ==" saltValue="iKvPDlC7Cxnkb4ESvuqEe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mghvP1b8R+nWKzmSdkS1oEdaM3xvUjDC+ijHN9S3eOlH9jeWGTffcpsNfgKOZ0UUqbxpkGniV03hHF0f/G9KbA==" saltValue="Dx+S0ykSlcFiZsmLCRTbg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vZoyDijKwVLPDDGnG1ZjgRFngDdaq7QW/UloYg19TtPKo5vNaGXv3Wsse02towuTZbC1viA9VsaagA4DD8ang==" saltValue="IBTZzoC4FzNzGuO25Hpbs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NH52oQbitpgiVMwJi/okdVlgD37xs2okLENQUUHOTRtRtbsDoHdpEXCn4FWJKEAWfHX7MAVNg2apEHw7g5G/Q==" saltValue="ijQdoW44Zls2oDLIogcq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BLfvPe1Q9OpAvG6pu038+GjNCvyQ9gZh/9t3nGaqH5k7bCYsQzLSzdJhxoH3S9uNXgBf5lHwsU82y1xkF1qWA==" saltValue="EF7Iz01rvEwMd/dn+n4O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/pxPUIqsVZJI9aOIv+dyF9yUozYE8UUHmM5duxMNIc0ydVAxNFYSvUmhtTMjmfjIpUUX648MPAMPWmyh0a636Q==" saltValue="UjDmAq4u+QhkvpoxjHYC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JAWpwmmyPzjxbH00pQWJFBgYUyQqKUqQA8IM/Uo0rnW4WIB7djsotxs9ue7k+6J8oA84y9gOTKDSb7q7AoWg4w==" saltValue="nkzP3TtwbtPIb2ANhgyn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a3Wr03qXjtzDfgG1zgg78knrtXqqSm8ZCi2RmOoXzI8e1tGtskfMEuXLCDNy7F/QuTBitTnexFKf86MxWUuAA==" saltValue="kWq6BS7wD0lSNgs0j9ek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FkbJ4+moNIt1xR7Fqy1AxNfHPya1pjx6ebVKs9iiKOilxClbmF6+D5J9eJmN4JNLjiiVrSYuAjxHcx+NITTCQ==" saltValue="xN6Y9RrJRj3sAoR/6u0cU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0.10616740493456134</v>
      </c>
      <c r="G18" s="90">
        <f>MIN(MAX(1-0.89/(1-frac_sam_12_23months+(frac_sam_12_23months*0.89)),0),1)</f>
        <v>0.10560358098639233</v>
      </c>
      <c r="H18" s="90">
        <f>MIN(MAX(1-0.89/(1-frac_sam_24_59months+(frac_sam_24_59months*0.89)),0),1)</f>
        <v>0.10850556737822414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9.7544369659478658E-2</v>
      </c>
      <c r="G20" s="90">
        <f>MIN(MAX(1-0.89/(1-frac_mam_12_23months+(frac_mam_12_23months*0.89)),0),1)</f>
        <v>0.10099688475622304</v>
      </c>
      <c r="H20" s="90">
        <f>MIN(MAX(1-0.89/(1-frac_mam_24_59months+(frac_mam_24_59months*0.89)),0),1)</f>
        <v>0.10562537131558014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9.6139455351974545E-3</v>
      </c>
      <c r="G73" s="90">
        <f>MIN(MAX(1-0.99/(1-frac_sam_12_23months+(frac_sam_12_23months*0.99)),0),1)</f>
        <v>9.5574058701741738E-3</v>
      </c>
      <c r="H73" s="90">
        <f>MIN(MAX(1-0.99/(1-frac_sam_24_59months+(frac_sam_24_59months*0.99)),0),1)</f>
        <v>9.8491079351056277E-3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8.7562656704182062E-3</v>
      </c>
      <c r="G75" s="90">
        <f>MIN(MAX(1-0.99/(1-frac_mam_12_23months+(frac_mam_12_23months*0.99)),0),1)</f>
        <v>9.0978688271504682E-3</v>
      </c>
      <c r="H75" s="90">
        <f>MIN(MAX(1-0.99/(1-frac_mam_24_59months+(frac_mam_24_59months*0.99)),0),1)</f>
        <v>9.5595897767497551E-3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0.19371416336616909</v>
      </c>
      <c r="G128" s="90">
        <f>MIN(MAX(1-0.8/(1-frac_sam_12_23months+(frac_sam_12_23months*0.8)),0),1)</f>
        <v>0.19278568348904668</v>
      </c>
      <c r="H128" s="90">
        <f>MIN(MAX(1-0.8/(1-frac_sam_24_59months+(frac_sam_24_59months*0.8)),0),1)</f>
        <v>0.19755425771993429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0.1794077124884238</v>
      </c>
      <c r="G130" s="90">
        <f>MIN(MAX(1-0.8/(1-frac_mam_12_23months+(frac_mam_12_23months*0.8)),0),1)</f>
        <v>0.1851632238251103</v>
      </c>
      <c r="H130" s="90">
        <f>MIN(MAX(1-0.8/(1-frac_mam_24_59months+(frac_mam_24_59months*0.8)),0),1)</f>
        <v>0.19282158477414513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W3ZdpdNdh8wOrLr8SnWBYYSaIQ/36NwAvezyOCCFqh7QO/kt64xhmBV+k4+i2UtjfMKIS/XuXl/T7ZVE6rjMQ==" saltValue="TgxsF0+RPALuOl10GVsQ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7Up89dC6pbVgp5W89DXuRZVozZvqMTQ+M3OJNMj0iP2icmav4/sYB1Vuf6p0L7JrujbJRgrwlsolJK2SOI9XpA==" saltValue="2dAe3txhqGybGZIRfZVl7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2024-08-06T09:25:45Z</dcterms:modified>
</cp:coreProperties>
</file>