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588B31E3-0FD9-4A7A-8150-1A272A161EC7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11" i="2" l="1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A23" i="2"/>
  <c r="A37" i="2"/>
  <c r="A24" i="2"/>
  <c r="I38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<sst xmlns="http://schemas.openxmlformats.org/spreadsheetml/2006/main" count="2169" uniqueCount="369">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</sst>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4248418</v>
      </c>
    </row>
    <row r="8" spans="1:3" ht="15" customHeight="1" x14ac:dyDescent="0.25">
      <c r="B8" s="5" t="s">
        <v>37</v>
      </c>
      <c r="C8" s="44">
        <v>0.25900000000000001</v>
      </c>
    </row>
    <row r="9" spans="1:3" ht="15" customHeight="1" x14ac:dyDescent="0.25">
      <c r="B9" s="5" t="s">
        <v>38</v>
      </c>
      <c r="C9" s="45">
        <v>0.9</v>
      </c>
    </row>
    <row r="10" spans="1:3" ht="15" customHeight="1" x14ac:dyDescent="0.25">
      <c r="B10" s="5" t="s">
        <v>39</v>
      </c>
      <c r="C10" s="45">
        <v>0.29840820000000001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0.54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0.14249999999999999</v>
      </c>
    </row>
    <row r="24" spans="1:3" ht="15" customHeight="1" x14ac:dyDescent="0.25">
      <c r="B24" s="15" t="s">
        <v>51</v>
      </c>
      <c r="C24" s="45">
        <v>0.43409999999999999</v>
      </c>
    </row>
    <row r="25" spans="1:3" ht="15" customHeight="1" x14ac:dyDescent="0.25">
      <c r="B25" s="15" t="s">
        <v>52</v>
      </c>
      <c r="C25" s="45">
        <v>0.32079999999999997</v>
      </c>
    </row>
    <row r="26" spans="1:3" ht="15" customHeight="1" x14ac:dyDescent="0.25">
      <c r="B26" s="15" t="s">
        <v>53</v>
      </c>
      <c r="C26" s="45">
        <v>0.1026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0.18152033947509999</v>
      </c>
    </row>
    <row r="30" spans="1:3" ht="14.25" customHeight="1" x14ac:dyDescent="0.25">
      <c r="B30" s="25" t="s">
        <v>56</v>
      </c>
      <c r="C30" s="97">
        <v>6.3697307314517504E-2</v>
      </c>
    </row>
    <row r="31" spans="1:3" ht="14.25" customHeight="1" x14ac:dyDescent="0.25">
      <c r="B31" s="25" t="s">
        <v>57</v>
      </c>
      <c r="C31" s="97">
        <v>0.122289508790448</v>
      </c>
    </row>
    <row r="32" spans="1:3" ht="14.25" customHeight="1" x14ac:dyDescent="0.25">
      <c r="B32" s="25" t="s">
        <v>58</v>
      </c>
      <c r="C32" s="97">
        <v>0.63249284441993503</v>
      </c>
    </row>
    <row r="33" spans="1:5" ht="13.25" customHeight="1" x14ac:dyDescent="0.25">
      <c r="B33" s="27" t="s">
        <v>59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33.42812</v>
      </c>
    </row>
    <row r="38" spans="1:5" ht="15" customHeight="1" x14ac:dyDescent="0.25">
      <c r="B38" s="11" t="s">
        <v>63</v>
      </c>
      <c r="C38" s="43">
        <v>61.631399999999999</v>
      </c>
      <c r="D38" s="12"/>
      <c r="E38" s="13"/>
    </row>
    <row r="39" spans="1:5" ht="15" customHeight="1" x14ac:dyDescent="0.25">
      <c r="B39" s="11" t="s">
        <v>64</v>
      </c>
      <c r="C39" s="43">
        <v>97.066919999999996</v>
      </c>
      <c r="D39" s="12"/>
      <c r="E39" s="12"/>
    </row>
    <row r="40" spans="1:5" ht="15" customHeight="1" x14ac:dyDescent="0.25">
      <c r="B40" s="11" t="s">
        <v>65</v>
      </c>
      <c r="C40" s="98">
        <v>4.4000000000000004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5.2124000000000007E-3</v>
      </c>
      <c r="D45" s="12"/>
    </row>
    <row r="46" spans="1:5" ht="15.75" customHeight="1" x14ac:dyDescent="0.25">
      <c r="B46" s="11" t="s">
        <v>70</v>
      </c>
      <c r="C46" s="45">
        <v>5.6006399999999998E-2</v>
      </c>
      <c r="D46" s="12"/>
    </row>
    <row r="47" spans="1:5" ht="15.75" customHeight="1" x14ac:dyDescent="0.25">
      <c r="B47" s="11" t="s">
        <v>71</v>
      </c>
      <c r="C47" s="45">
        <v>7.6044899999999999E-2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3.0939999999999999</v>
      </c>
      <c r="D51" s="12"/>
    </row>
    <row r="52" spans="1:4" ht="15" customHeight="1" x14ac:dyDescent="0.25">
      <c r="B52" s="11" t="s">
        <v>75</v>
      </c>
      <c r="C52" s="98">
        <v>3.0939999999999999</v>
      </c>
    </row>
    <row r="53" spans="1:4" ht="15.75" customHeight="1" x14ac:dyDescent="0.25">
      <c r="B53" s="11" t="s">
        <v>76</v>
      </c>
      <c r="C53" s="98">
        <v>7.072000000000001</v>
      </c>
    </row>
    <row r="54" spans="1:4" ht="15.75" customHeight="1" x14ac:dyDescent="0.25">
      <c r="B54" s="11" t="s">
        <v>77</v>
      </c>
      <c r="C54" s="98">
        <v>6.8900000000000006</v>
      </c>
    </row>
    <row r="55" spans="1:4" ht="15.75" customHeight="1" x14ac:dyDescent="0.25">
      <c r="B55" s="11" t="s">
        <v>78</v>
      </c>
      <c r="C55" s="98">
        <v>3.336666666666666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0.40586299999999997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FKrqbVG7GMjMh/Jyg3FKSZX6ohHMfaEBeOfI/+s16o6cqduwiUhAMPBi1vQhgUF66KEN1avE+FhwV9w0OQMFYQ==" saltValue="CXzwJivxjOeRb4WHMzwd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967695</v>
      </c>
      <c r="C2" s="49">
        <v>1371454.5</v>
      </c>
      <c r="D2" s="49">
        <v>1942986.9999999998</v>
      </c>
      <c r="E2" s="49">
        <v>1307359.5</v>
      </c>
      <c r="F2" s="49">
        <v>918365</v>
      </c>
      <c r="G2" s="17">
        <f t="shared" ref="G2:G13" si="0">C2+D2+E2+F2</f>
        <v>5540166</v>
      </c>
      <c r="H2" s="17">
        <f t="shared" ref="H2:H13" si="1">(B2 + stillbirth*B2/(1000-stillbirth))/(1-abortion)</f>
        <v>1125982.3789151437</v>
      </c>
      <c r="I2" s="17">
        <f t="shared" ref="I2:I13" si="2">G2-H2</f>
        <v>4414183.6210848559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987043</v>
      </c>
      <c r="C3" s="50">
        <v>1420039</v>
      </c>
      <c r="D3" s="50">
        <v>2025220.5</v>
      </c>
      <c r="E3" s="50">
        <v>1341044.5</v>
      </c>
      <c r="F3" s="50">
        <v>952585.49999999988</v>
      </c>
      <c r="G3" s="17">
        <f t="shared" si="0"/>
        <v>5738889.5</v>
      </c>
      <c r="H3" s="17">
        <f t="shared" si="1"/>
        <v>1148495.1614212538</v>
      </c>
      <c r="I3" s="17">
        <f t="shared" si="2"/>
        <v>4590394.3385787457</v>
      </c>
    </row>
    <row r="4" spans="1:9" ht="15.75" customHeight="1" x14ac:dyDescent="0.25">
      <c r="A4" s="5">
        <f t="shared" si="3"/>
        <v>2026</v>
      </c>
      <c r="B4" s="49">
        <v>1005407</v>
      </c>
      <c r="C4" s="50">
        <v>1468691.5</v>
      </c>
      <c r="D4" s="50">
        <v>2112341.5</v>
      </c>
      <c r="E4" s="50">
        <v>1375257.5000000002</v>
      </c>
      <c r="F4" s="50">
        <v>985893</v>
      </c>
      <c r="G4" s="17">
        <f t="shared" si="0"/>
        <v>5942183.5</v>
      </c>
      <c r="H4" s="17">
        <f t="shared" si="1"/>
        <v>1169862.9895141937</v>
      </c>
      <c r="I4" s="17">
        <f t="shared" si="2"/>
        <v>4772320.5104858065</v>
      </c>
    </row>
    <row r="5" spans="1:9" ht="15.75" customHeight="1" x14ac:dyDescent="0.25">
      <c r="A5" s="5">
        <f t="shared" si="3"/>
        <v>2027</v>
      </c>
      <c r="B5" s="49">
        <v>1024663</v>
      </c>
      <c r="C5" s="50">
        <v>1517378</v>
      </c>
      <c r="D5" s="50">
        <v>2201857.5</v>
      </c>
      <c r="E5" s="50">
        <v>1412424</v>
      </c>
      <c r="F5" s="50">
        <v>1018072</v>
      </c>
      <c r="G5" s="17">
        <f t="shared" si="0"/>
        <v>6149731.5</v>
      </c>
      <c r="H5" s="17">
        <f t="shared" si="1"/>
        <v>1192268.7234369589</v>
      </c>
      <c r="I5" s="17">
        <f t="shared" si="2"/>
        <v>4957462.7765630409</v>
      </c>
    </row>
    <row r="6" spans="1:9" ht="15.75" customHeight="1" x14ac:dyDescent="0.25">
      <c r="A6" s="5">
        <f t="shared" si="3"/>
        <v>2028</v>
      </c>
      <c r="B6" s="49">
        <v>1045172</v>
      </c>
      <c r="C6" s="50">
        <v>1564148.5</v>
      </c>
      <c r="D6" s="50">
        <v>2293091</v>
      </c>
      <c r="E6" s="50">
        <v>1453878.5</v>
      </c>
      <c r="F6" s="50">
        <v>1049143.5</v>
      </c>
      <c r="G6" s="17">
        <f t="shared" si="0"/>
        <v>6360261.5</v>
      </c>
      <c r="H6" s="17">
        <f t="shared" si="1"/>
        <v>1216132.4125220224</v>
      </c>
      <c r="I6" s="17">
        <f t="shared" si="2"/>
        <v>5144129.0874779774</v>
      </c>
    </row>
    <row r="7" spans="1:9" ht="15.75" customHeight="1" x14ac:dyDescent="0.25">
      <c r="A7" s="5">
        <f t="shared" si="3"/>
        <v>2029</v>
      </c>
      <c r="B7" s="49">
        <v>1065256</v>
      </c>
      <c r="C7" s="50">
        <v>1608317.5</v>
      </c>
      <c r="D7" s="50">
        <v>2384692</v>
      </c>
      <c r="E7" s="50">
        <v>1500731.0000000002</v>
      </c>
      <c r="F7" s="50">
        <v>1078764.9999999998</v>
      </c>
      <c r="G7" s="17">
        <f t="shared" si="0"/>
        <v>6572505.5</v>
      </c>
      <c r="H7" s="17">
        <f t="shared" si="1"/>
        <v>1239501.5836948936</v>
      </c>
      <c r="I7" s="17">
        <f t="shared" si="2"/>
        <v>5333003.9163051061</v>
      </c>
    </row>
    <row r="8" spans="1:9" ht="15.75" customHeight="1" x14ac:dyDescent="0.25">
      <c r="A8" s="5">
        <f t="shared" si="3"/>
        <v>2030</v>
      </c>
      <c r="B8" s="49">
        <v>1081148</v>
      </c>
      <c r="C8" s="50">
        <v>1650741</v>
      </c>
      <c r="D8" s="50">
        <v>2477322</v>
      </c>
      <c r="E8" s="50">
        <v>1553654</v>
      </c>
      <c r="F8" s="50">
        <v>1106489</v>
      </c>
      <c r="G8" s="17">
        <f t="shared" si="0"/>
        <v>6788206</v>
      </c>
      <c r="H8" s="17">
        <f t="shared" si="1"/>
        <v>1257993.0628962116</v>
      </c>
      <c r="I8" s="17">
        <f t="shared" si="2"/>
        <v>5530212.9371037884</v>
      </c>
    </row>
    <row r="9" spans="1:9" ht="15.75" customHeight="1" x14ac:dyDescent="0.25">
      <c r="A9" s="5">
        <f t="shared" si="3"/>
        <v>2031</v>
      </c>
      <c r="B9" s="49">
        <v>1100180</v>
      </c>
      <c r="C9" s="50">
        <v>1691731.5</v>
      </c>
      <c r="D9" s="50">
        <v>2571679.5</v>
      </c>
      <c r="E9" s="50">
        <v>1610947.5</v>
      </c>
      <c r="F9" s="50">
        <v>1134001.4999999998</v>
      </c>
      <c r="G9" s="17">
        <f t="shared" si="0"/>
        <v>7008360</v>
      </c>
      <c r="H9" s="17">
        <f t="shared" si="1"/>
        <v>1280138.1567899624</v>
      </c>
      <c r="I9" s="17">
        <f t="shared" si="2"/>
        <v>5728221.8432100378</v>
      </c>
    </row>
    <row r="10" spans="1:9" ht="15.75" customHeight="1" x14ac:dyDescent="0.25">
      <c r="A10" s="5">
        <f t="shared" si="3"/>
        <v>2032</v>
      </c>
      <c r="B10" s="49">
        <v>1116377</v>
      </c>
      <c r="C10" s="50">
        <v>1731936.5</v>
      </c>
      <c r="D10" s="50">
        <v>2666327.5000000005</v>
      </c>
      <c r="E10" s="50">
        <v>1672391.9999999998</v>
      </c>
      <c r="F10" s="50">
        <v>1162383.5</v>
      </c>
      <c r="G10" s="17">
        <f t="shared" si="0"/>
        <v>7233039.5</v>
      </c>
      <c r="H10" s="17">
        <f t="shared" si="1"/>
        <v>1298984.5253165008</v>
      </c>
      <c r="I10" s="17">
        <f t="shared" si="2"/>
        <v>5934054.974683499</v>
      </c>
    </row>
    <row r="11" spans="1:9" ht="15.75" customHeight="1" x14ac:dyDescent="0.25">
      <c r="A11" s="5">
        <f t="shared" si="3"/>
        <v>2033</v>
      </c>
      <c r="B11" s="49">
        <v>1134421</v>
      </c>
      <c r="C11" s="50">
        <v>1771259</v>
      </c>
      <c r="D11" s="50">
        <v>2758678</v>
      </c>
      <c r="E11" s="50">
        <v>1738804.5</v>
      </c>
      <c r="F11" s="50">
        <v>1191715.5</v>
      </c>
      <c r="G11" s="17">
        <f t="shared" si="0"/>
        <v>7460457</v>
      </c>
      <c r="H11" s="17">
        <f t="shared" si="1"/>
        <v>1319980.0105108491</v>
      </c>
      <c r="I11" s="17">
        <f t="shared" si="2"/>
        <v>6140476.9894891512</v>
      </c>
    </row>
    <row r="12" spans="1:9" ht="15.75" customHeight="1" x14ac:dyDescent="0.25">
      <c r="A12" s="5">
        <f t="shared" si="3"/>
        <v>2034</v>
      </c>
      <c r="B12" s="49">
        <v>1146652</v>
      </c>
      <c r="C12" s="50">
        <v>1805599.5</v>
      </c>
      <c r="D12" s="50">
        <v>2848144</v>
      </c>
      <c r="E12" s="50">
        <v>1810354.5</v>
      </c>
      <c r="F12" s="50">
        <v>1222629.5</v>
      </c>
      <c r="G12" s="17">
        <f t="shared" si="0"/>
        <v>7686727.5</v>
      </c>
      <c r="H12" s="17">
        <f t="shared" si="1"/>
        <v>1334211.6542379647</v>
      </c>
      <c r="I12" s="17">
        <f t="shared" si="2"/>
        <v>6352515.8457620349</v>
      </c>
    </row>
    <row r="13" spans="1:9" ht="15.75" customHeight="1" x14ac:dyDescent="0.25">
      <c r="A13" s="5">
        <f t="shared" si="3"/>
        <v>2035</v>
      </c>
      <c r="B13" s="49">
        <v>1156068</v>
      </c>
      <c r="C13" s="50">
        <v>1836647.5</v>
      </c>
      <c r="D13" s="50">
        <v>2936005</v>
      </c>
      <c r="E13" s="50">
        <v>1888125</v>
      </c>
      <c r="F13" s="50">
        <v>1254329</v>
      </c>
      <c r="G13" s="17">
        <f t="shared" si="0"/>
        <v>7915106.5</v>
      </c>
      <c r="H13" s="17">
        <f t="shared" si="1"/>
        <v>1345167.8440290298</v>
      </c>
      <c r="I13" s="17">
        <f t="shared" si="2"/>
        <v>6569938.6559709702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1EIJ1PjHp3jm95CEU7w2lWqNO3F1SSgJMYD/NUgJ/RArCx0c7Cm1aapIh4nNjVvsC4PRXCahoqbzibCuXyOzDg==" saltValue="y0AQMzVnWcbtJ5h18Jo89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2.5390799999999981E-2</v>
      </c>
    </row>
    <row r="4" spans="1:8" ht="15.75" customHeight="1" x14ac:dyDescent="0.25">
      <c r="B4" s="19" t="s">
        <v>97</v>
      </c>
      <c r="C4" s="99">
        <v>6.3736599999999907E-2</v>
      </c>
    </row>
    <row r="5" spans="1:8" ht="15.75" customHeight="1" x14ac:dyDescent="0.25">
      <c r="B5" s="19" t="s">
        <v>98</v>
      </c>
      <c r="C5" s="99">
        <v>0.1035504000000001</v>
      </c>
    </row>
    <row r="6" spans="1:8" ht="15.75" customHeight="1" x14ac:dyDescent="0.25">
      <c r="B6" s="19" t="s">
        <v>99</v>
      </c>
      <c r="C6" s="99">
        <v>0.24952009999999991</v>
      </c>
    </row>
    <row r="7" spans="1:8" ht="15.75" customHeight="1" x14ac:dyDescent="0.25">
      <c r="B7" s="19" t="s">
        <v>100</v>
      </c>
      <c r="C7" s="99">
        <v>0.38443950000000021</v>
      </c>
    </row>
    <row r="8" spans="1:8" ht="15.75" customHeight="1" x14ac:dyDescent="0.25">
      <c r="B8" s="19" t="s">
        <v>101</v>
      </c>
      <c r="C8" s="99">
        <v>6.0205000000000067E-3</v>
      </c>
    </row>
    <row r="9" spans="1:8" ht="15.75" customHeight="1" x14ac:dyDescent="0.25">
      <c r="B9" s="19" t="s">
        <v>102</v>
      </c>
      <c r="C9" s="99">
        <v>5.4902399999999983E-2</v>
      </c>
    </row>
    <row r="10" spans="1:8" ht="15.75" customHeight="1" x14ac:dyDescent="0.25">
      <c r="B10" s="19" t="s">
        <v>103</v>
      </c>
      <c r="C10" s="99">
        <v>0.11243969999999991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106</v>
      </c>
      <c r="C15" s="99">
        <v>0.2947634005842989</v>
      </c>
      <c r="D15" s="99">
        <v>0.2947634005842989</v>
      </c>
      <c r="E15" s="99">
        <v>0.2947634005842989</v>
      </c>
      <c r="F15" s="99">
        <v>0.2947634005842989</v>
      </c>
    </row>
    <row r="16" spans="1:8" ht="15.75" customHeight="1" x14ac:dyDescent="0.25">
      <c r="B16" s="19" t="s">
        <v>107</v>
      </c>
      <c r="C16" s="99">
        <v>3.2142176249219757E-2</v>
      </c>
      <c r="D16" s="99">
        <v>3.2142176249219757E-2</v>
      </c>
      <c r="E16" s="99">
        <v>3.2142176249219757E-2</v>
      </c>
      <c r="F16" s="99">
        <v>3.2142176249219757E-2</v>
      </c>
    </row>
    <row r="17" spans="1:8" ht="15.75" customHeight="1" x14ac:dyDescent="0.25">
      <c r="B17" s="19" t="s">
        <v>108</v>
      </c>
      <c r="C17" s="99">
        <v>3.1880501168348979E-2</v>
      </c>
      <c r="D17" s="99">
        <v>3.1880501168348979E-2</v>
      </c>
      <c r="E17" s="99">
        <v>3.1880501168348979E-2</v>
      </c>
      <c r="F17" s="99">
        <v>3.1880501168348979E-2</v>
      </c>
    </row>
    <row r="18" spans="1:8" ht="15.75" customHeight="1" x14ac:dyDescent="0.25">
      <c r="B18" s="19" t="s">
        <v>109</v>
      </c>
      <c r="C18" s="99">
        <v>0.16534944985290101</v>
      </c>
      <c r="D18" s="99">
        <v>0.16534944985290101</v>
      </c>
      <c r="E18" s="99">
        <v>0.16534944985290101</v>
      </c>
      <c r="F18" s="99">
        <v>0.16534944985290101</v>
      </c>
    </row>
    <row r="19" spans="1:8" ht="15.75" customHeight="1" x14ac:dyDescent="0.25">
      <c r="B19" s="19" t="s">
        <v>110</v>
      </c>
      <c r="C19" s="99">
        <v>1.8349752001866389E-2</v>
      </c>
      <c r="D19" s="99">
        <v>1.8349752001866389E-2</v>
      </c>
      <c r="E19" s="99">
        <v>1.8349752001866389E-2</v>
      </c>
      <c r="F19" s="99">
        <v>1.8349752001866389E-2</v>
      </c>
    </row>
    <row r="20" spans="1:8" ht="15.75" customHeight="1" x14ac:dyDescent="0.25">
      <c r="B20" s="19" t="s">
        <v>111</v>
      </c>
      <c r="C20" s="99">
        <v>1.5672880574274729E-2</v>
      </c>
      <c r="D20" s="99">
        <v>1.5672880574274729E-2</v>
      </c>
      <c r="E20" s="99">
        <v>1.5672880574274729E-2</v>
      </c>
      <c r="F20" s="99">
        <v>1.5672880574274729E-2</v>
      </c>
    </row>
    <row r="21" spans="1:8" ht="15.75" customHeight="1" x14ac:dyDescent="0.25">
      <c r="B21" s="19" t="s">
        <v>112</v>
      </c>
      <c r="C21" s="99">
        <v>7.5533540386639578E-2</v>
      </c>
      <c r="D21" s="99">
        <v>7.5533540386639578E-2</v>
      </c>
      <c r="E21" s="99">
        <v>7.5533540386639578E-2</v>
      </c>
      <c r="F21" s="99">
        <v>7.5533540386639578E-2</v>
      </c>
    </row>
    <row r="22" spans="1:8" ht="15.75" customHeight="1" x14ac:dyDescent="0.25">
      <c r="B22" s="19" t="s">
        <v>113</v>
      </c>
      <c r="C22" s="99">
        <v>0.16886530396813459</v>
      </c>
      <c r="D22" s="99">
        <v>0.16886530396813459</v>
      </c>
      <c r="E22" s="99">
        <v>0.16886530396813459</v>
      </c>
      <c r="F22" s="99">
        <v>0.16886530396813459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8.8798472000000003E-2</v>
      </c>
    </row>
    <row r="27" spans="1:8" ht="15.75" customHeight="1" x14ac:dyDescent="0.25">
      <c r="B27" s="19" t="s">
        <v>120</v>
      </c>
      <c r="C27" s="99">
        <v>8.9405939999999996E-3</v>
      </c>
    </row>
    <row r="28" spans="1:8" ht="15.75" customHeight="1" x14ac:dyDescent="0.25">
      <c r="B28" s="19" t="s">
        <v>121</v>
      </c>
      <c r="C28" s="99">
        <v>0.15585153099999999</v>
      </c>
    </row>
    <row r="29" spans="1:8" ht="15.75" customHeight="1" x14ac:dyDescent="0.25">
      <c r="B29" s="19" t="s">
        <v>122</v>
      </c>
      <c r="C29" s="99">
        <v>0.170199079</v>
      </c>
    </row>
    <row r="30" spans="1:8" ht="15.75" customHeight="1" x14ac:dyDescent="0.25">
      <c r="B30" s="19" t="s">
        <v>2</v>
      </c>
      <c r="C30" s="99">
        <v>0.10628299300000001</v>
      </c>
    </row>
    <row r="31" spans="1:8" ht="15.75" customHeight="1" x14ac:dyDescent="0.25">
      <c r="B31" s="19" t="s">
        <v>123</v>
      </c>
      <c r="C31" s="99">
        <v>0.108972139</v>
      </c>
    </row>
    <row r="32" spans="1:8" ht="15.75" customHeight="1" x14ac:dyDescent="0.25">
      <c r="B32" s="19" t="s">
        <v>124</v>
      </c>
      <c r="C32" s="99">
        <v>1.8807035E-2</v>
      </c>
    </row>
    <row r="33" spans="2:3" ht="15.75" customHeight="1" x14ac:dyDescent="0.25">
      <c r="B33" s="19" t="s">
        <v>125</v>
      </c>
      <c r="C33" s="99">
        <v>8.4353397999999996E-2</v>
      </c>
    </row>
    <row r="34" spans="2:3" ht="15.75" customHeight="1" x14ac:dyDescent="0.25">
      <c r="B34" s="19" t="s">
        <v>126</v>
      </c>
      <c r="C34" s="99">
        <v>0.25779475800000001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1+nE4jiKQW/3nmfCb55+7QZphop4Z+U1WEm5XP6VdMosUmUZw7O4+HS+XR2jHTcauDEu66FRh28jDUVDkuE3ZQ==" saltValue="zT2a/WOCbHSG9HAufA01N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132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133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137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138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0.88340230725000013</v>
      </c>
      <c r="D14" s="54">
        <v>0.86865575759299996</v>
      </c>
      <c r="E14" s="54">
        <v>0.86865575759299996</v>
      </c>
      <c r="F14" s="54">
        <v>0.85659057522600013</v>
      </c>
      <c r="G14" s="54">
        <v>0.85659057522600013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0.35854031062740677</v>
      </c>
      <c r="D15" s="52">
        <f t="shared" si="0"/>
        <v>0.35255523174396775</v>
      </c>
      <c r="E15" s="52">
        <f t="shared" si="0"/>
        <v>0.35255523174396775</v>
      </c>
      <c r="F15" s="52">
        <f t="shared" si="0"/>
        <v>0.34765842063295005</v>
      </c>
      <c r="G15" s="52">
        <f t="shared" si="0"/>
        <v>0.34765842063295005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QwnjTf8s1OweM7JXuciYhaSz4CftDDlesoRPod75ZJ7W8jyKd8ye5qLctP4avF28h2IWR1FYpxR0hV6d5noiow==" saltValue="isoTtIbLZc/V/KjTXh7/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2.8139299999999978E-2</v>
      </c>
      <c r="D5" s="52">
        <f t="shared" si="0"/>
        <v>2.8129000000000071E-2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VmFIxCJNiKAl91/s7Wf0pb83Ah8CLqIBiOgd/+ZFv/apxADtt/FezkYSfibOXp7JFrJWdkTLcvYQMjYQu0eM4g==" saltValue="Nl32zR8jXvkRyAZzeLv2g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ldJdCuRGlGjf2O+6JZ2W9I6qOH2bMuZ3JaxZfhwbFhNoq8/Ayfx9JBoHYEIwUwQqgbCzyVhnqrmgDfvtpXFohA==" saltValue="pZDlx0sK2ZxK0ISBv2wpH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833.29725509307104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0.38020000000000004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0.52363000000000004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2.2861690599383398E-2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90556.550409999996</v>
      </c>
      <c r="C22" s="107">
        <v>89299.466709999993</v>
      </c>
      <c r="D22" s="107">
        <v>88538.110260000001</v>
      </c>
      <c r="E22" s="107">
        <v>87946.478520000004</v>
      </c>
      <c r="F22" s="107">
        <v>87151.389460000006</v>
      </c>
      <c r="G22" s="107">
        <v>86151.818369999994</v>
      </c>
      <c r="H22" s="107">
        <v>84892.036080000005</v>
      </c>
      <c r="I22" s="107">
        <v>83253.688800000004</v>
      </c>
      <c r="J22" s="107">
        <v>81102.464080000005</v>
      </c>
      <c r="K22" s="107">
        <v>78306.822390000001</v>
      </c>
      <c r="L22" s="107">
        <v>74454.921520000004</v>
      </c>
      <c r="M22" s="107">
        <v>69357.25546</v>
      </c>
      <c r="N22" s="107">
        <v>62195.856039999999</v>
      </c>
      <c r="O22" s="107">
        <v>52987.173470000002</v>
      </c>
    </row>
  </sheetData>
  <sheetProtection algorithmName="SHA-512" hashValue="WC0AtDR9SBdJ/3MOHHfrokOuLbpPwEQvO27yHItF4ifdyBFU6X/n/OTqnqMFnkU6VLDeGgp32QHzwp2zIIB4TQ==" saltValue="GyAd1S3DqTu4IqnaX07jD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TB27TFiTFJZgw0Du52EEAg+3uLtYvRBDVq3b4X3tL0LRs/cKARSWnhtTU6+WF37jBYTI2EhXuN+Ha9GTKaY4Ng==" saltValue="rc2wtN8VAfM3dNglEBECa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D0+nS+M/bLbyWHwJBDjX704i8R2V2NHHqxF/pW6Vw8EG92973BFBmoG6F65IOs6dS05ThHEsgy73wswc7FeK4w==" saltValue="rsn1yAuiG0hZgOXWk9xh3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6.4277828886844528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0.2139553248340432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0.78848199824391296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0.25711131554737809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0.28031230000000001</v>
      </c>
      <c r="C10" s="96">
        <v>0.95</v>
      </c>
      <c r="D10" s="56">
        <v>14.198977192068339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14.198977192068339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14.198977192068339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14.198977192068339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0.28031230000000001</v>
      </c>
      <c r="C14" s="96">
        <v>0.95</v>
      </c>
      <c r="D14" s="56">
        <v>14.198977192068339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14.198977192068339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0.7607335999999999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0.12279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0.17799999999999999</v>
      </c>
      <c r="C18" s="96">
        <v>0.95</v>
      </c>
      <c r="D18" s="56">
        <v>6.4277828886844528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0.34721740000000001</v>
      </c>
      <c r="C19" s="96">
        <v>0.95</v>
      </c>
      <c r="D19" s="56">
        <v>6.4278423769884219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6.4277828886844528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0.85079989999999994</v>
      </c>
      <c r="C23" s="96">
        <v>0.95</v>
      </c>
      <c r="D23" s="56">
        <v>4.6647271427629606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0.47779756487578001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0.28031230000000001</v>
      </c>
      <c r="C26" s="96">
        <v>0.95</v>
      </c>
      <c r="D26" s="56">
        <v>1.2598454461821527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21.89376196990424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0.21443380000000001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0.2174344</v>
      </c>
      <c r="C29" s="96">
        <v>0.95</v>
      </c>
      <c r="D29" s="56">
        <v>204.3668205339699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62.971272229822162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0.41820000000000002</v>
      </c>
      <c r="C31" s="96">
        <v>0.95</v>
      </c>
      <c r="D31" s="56">
        <v>173.97437166513339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0.76</v>
      </c>
      <c r="C32" s="96">
        <v>0.95</v>
      </c>
      <c r="D32" s="56">
        <v>0.47565593376264947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0.173008689916163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0.64071500000000003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4.764E-3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0.52630830000000006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0.15360070000000001</v>
      </c>
      <c r="C38" s="96">
        <v>0.95</v>
      </c>
      <c r="D38" s="56">
        <v>1.1055786568537258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414KiK4qHTVsY2NkFouKqbXzkjisnb0Mg1EHI64XsSHeOU+oTpt+fXl552ioQtxCgxueufJ/Fi/ORyAe7VdOVA==" saltValue="XkJsds1YGu0UJvjAkQis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t3I27oHhQuqXvHSQrP+SQjaU4Z2OFeIlD0Pfu722g3MCFzk80rQ4vyfnBdsnFNPRlfqll8Qsc5SMf23pYrxVBQ==" saltValue="e7rs0RhgLCCuo4VufE6sS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2bj41h856TVeT3ZuPUPpRLqi2uDWc9xuaOlvsrde793T6QsdtfqbBy7bOPo1YjiqSPfq/S+42iisGtRbAe/0Ow==" saltValue="Rz2ySjFfIyCi/z5hwpTZZ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3.0939999999999999</v>
      </c>
      <c r="C2" s="21">
        <f>'Données pop de l''année de ref'!C52</f>
        <v>3.0939999999999999</v>
      </c>
      <c r="D2" s="21">
        <f>'Données pop de l''année de ref'!C53</f>
        <v>7.072000000000001</v>
      </c>
      <c r="E2" s="21">
        <f>'Données pop de l''année de ref'!C54</f>
        <v>6.8900000000000006</v>
      </c>
      <c r="F2" s="21">
        <f>'Données pop de l''année de ref'!C55</f>
        <v>3.336666666666666</v>
      </c>
    </row>
    <row r="3" spans="1:6" ht="15.75" customHeight="1" x14ac:dyDescent="0.25">
      <c r="A3" s="3" t="s">
        <v>238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237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sheetProtection algorithmName="SHA-512" hashValue="MmC8wcgcpJ9vuHHEU2t59ccHefLJ+3oeHxK0TX1HCKLGDmybcaWyoBVpXZOn9u8nj57mrB6dxV8vGnrgzy2sTA==" saltValue="0HL3tGWPnp3hgFmHDOMaq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0.25900000000000001</v>
      </c>
      <c r="F2" s="60">
        <f>food_insecure</f>
        <v>0.25900000000000001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0.25900000000000001</v>
      </c>
      <c r="F5" s="60">
        <f>food_insecure</f>
        <v>0.25900000000000001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6.7505454545454549E-2</v>
      </c>
      <c r="D7" s="60">
        <f>diarrhoea_1_5mo*frac_diarrhea_severe</f>
        <v>6.7505454545454549E-2</v>
      </c>
      <c r="E7" s="60">
        <f>diarrhoea_6_11mo*frac_diarrhea_severe</f>
        <v>0.15429818181818186</v>
      </c>
      <c r="F7" s="60">
        <f>diarrhoea_12_23mo*frac_diarrhea_severe</f>
        <v>0.15032727272727275</v>
      </c>
      <c r="G7" s="60">
        <f>diarrhoea_24_59mo*frac_diarrhea_severe</f>
        <v>7.279999999999999E-2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0.25900000000000001</v>
      </c>
      <c r="F8" s="60">
        <f>food_insecure</f>
        <v>0.25900000000000001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0.25900000000000001</v>
      </c>
      <c r="F9" s="60">
        <f>food_insecure</f>
        <v>0.25900000000000001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6.7505454545454549E-2</v>
      </c>
      <c r="D12" s="60">
        <f>diarrhoea_1_5mo*frac_diarrhea_severe</f>
        <v>6.7505454545454549E-2</v>
      </c>
      <c r="E12" s="60">
        <f>diarrhoea_6_11mo*frac_diarrhea_severe</f>
        <v>0.15429818181818186</v>
      </c>
      <c r="F12" s="60">
        <f>diarrhoea_12_23mo*frac_diarrhea_severe</f>
        <v>0.15032727272727275</v>
      </c>
      <c r="G12" s="60">
        <f>diarrhoea_24_59mo*frac_diarrhea_severe</f>
        <v>7.279999999999999E-2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0.25900000000000001</v>
      </c>
      <c r="I15" s="60">
        <f t="shared" si="0"/>
        <v>0.25900000000000001</v>
      </c>
      <c r="J15" s="60">
        <f t="shared" si="0"/>
        <v>0.25900000000000001</v>
      </c>
      <c r="K15" s="60">
        <f t="shared" si="0"/>
        <v>0.25900000000000001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0.25900000000000001</v>
      </c>
      <c r="I16" s="60">
        <f t="shared" si="0"/>
        <v>0.25900000000000001</v>
      </c>
      <c r="J16" s="60">
        <f t="shared" si="0"/>
        <v>0.25900000000000001</v>
      </c>
      <c r="K16" s="60">
        <f t="shared" si="0"/>
        <v>0.25900000000000001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0.54</v>
      </c>
      <c r="M24" s="60">
        <f>famplan_unmet_need</f>
        <v>0.54</v>
      </c>
      <c r="N24" s="60">
        <f>famplan_unmet_need</f>
        <v>0.54</v>
      </c>
      <c r="O24" s="60">
        <f>famplan_unmet_need</f>
        <v>0.54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0.38193956000199997</v>
      </c>
      <c r="M25" s="60">
        <f>(1-food_insecure)*(0.49)+food_insecure*(0.7)</f>
        <v>0.54438999999999993</v>
      </c>
      <c r="N25" s="60">
        <f>(1-food_insecure)*(0.49)+food_insecure*(0.7)</f>
        <v>0.54438999999999993</v>
      </c>
      <c r="O25" s="60">
        <f>(1-food_insecure)*(0.49)+food_insecure*(0.7)</f>
        <v>0.54438999999999993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0.163688382858</v>
      </c>
      <c r="M26" s="60">
        <f>(1-food_insecure)*(0.21)+food_insecure*(0.3)</f>
        <v>0.23331000000000002</v>
      </c>
      <c r="N26" s="60">
        <f>(1-food_insecure)*(0.21)+food_insecure*(0.3)</f>
        <v>0.23331000000000002</v>
      </c>
      <c r="O26" s="60">
        <f>(1-food_insecure)*(0.21)+food_insecure*(0.3)</f>
        <v>0.23331000000000002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0.15596385714</v>
      </c>
      <c r="M27" s="60">
        <f>(1-food_insecure)*(0.3)</f>
        <v>0.2223</v>
      </c>
      <c r="N27" s="60">
        <f>(1-food_insecure)*(0.3)</f>
        <v>0.2223</v>
      </c>
      <c r="O27" s="60">
        <f>(1-food_insecure)*(0.3)</f>
        <v>0.2223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0.29840820000000001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</v>
      </c>
      <c r="D34" s="60">
        <f t="shared" si="4"/>
        <v>0.9</v>
      </c>
      <c r="E34" s="60">
        <f t="shared" si="4"/>
        <v>0.9</v>
      </c>
      <c r="F34" s="60">
        <f t="shared" si="4"/>
        <v>0.9</v>
      </c>
      <c r="G34" s="60">
        <f t="shared" si="4"/>
        <v>0.9</v>
      </c>
      <c r="H34" s="60">
        <f t="shared" si="4"/>
        <v>0.9</v>
      </c>
      <c r="I34" s="60">
        <f t="shared" si="4"/>
        <v>0.9</v>
      </c>
      <c r="J34" s="60">
        <f t="shared" si="4"/>
        <v>0.9</v>
      </c>
      <c r="K34" s="60">
        <f t="shared" si="4"/>
        <v>0.9</v>
      </c>
      <c r="L34" s="60">
        <f t="shared" si="4"/>
        <v>0.9</v>
      </c>
      <c r="M34" s="60">
        <f t="shared" si="4"/>
        <v>0.9</v>
      </c>
      <c r="N34" s="60">
        <f t="shared" si="4"/>
        <v>0.9</v>
      </c>
      <c r="O34" s="60">
        <f t="shared" si="4"/>
        <v>0.9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6/jn5ToZFMh6CVpDqiyByJ9gjT7E2xtvV3aF+2pl6qg9v+xN99GKWRzTauEibqalmnI1wSqAlP42/s/TCYQbdg==" saltValue="oMnRZJqi4ZLTcvZLbNC0N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2Xo04yEie9fHDgJS46cihW7sA1QqYX9AZ3xU4CZNlw5qHM8vmShtebcF2ieaUReMw8y5fWA8LkOm/LjyA1gK1g==" saltValue="RJSEqbG/ABlk+paFHHKHk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GwvbS5/R34LMHPJsFmXkd+68tdwzpU2slcMXmcxyrCeFijOPVaWuArEiyFyXNDGyuktWJn2BoFCcOhSSE4evQ==" saltValue="TvHT3jNVkXTLw/DulwuSy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bd8wEmZUN/0h3UoPnuYqHhs1spLSSv8bpI0NY9e9tzj70o7HXGe5EmIzFl+se035HVwUjRsKWqWHJUk4u7VIA==" saltValue="USzaA8/SDflTp0XP99Jed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Wpy3gegoTctDygckiDyj+lo7LRSO+EdJo4v6ZNqXmerajMf2nlgNy3WAX502MzpbgmhH6G+Y/LemJ2xP9POqkg==" saltValue="eI+f9V9fU2/byqYzYXFXr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wCVrtqIeVVbuFyvi8f5KP4u+LflGpT6jOIO1illT3VlKKwyk+a3tENWF9t4VOIJwDolFuNR9f25fqt0hX2l1Uw==" saltValue="tlRhczzlaoFdxW/n7dUCi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MUvIL5hzx65wLYNLf/TvDHXevJflQXOH/+DZlDqTOh0/0oJUCKh+YDs3PK8v2exW3NyTtvin5sGWk1dIa6t4Q==" saltValue="eBs55PDkdqIrQ9Euh07W+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LcY93mJs1fqk9ONuh9bihmUVgivkXT15a2ulqBZ4ApjD3csoCwBxzmku7iiqvb0gx4MTTZ3WkBg3yJTucP90aA==" saltValue="9hEliSsRXqJJzGPeYOF6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94k49MUUwrPzyFYKwzajJz/xynZBDCudRFBatsjPUMokeoZTyTyo3F7dl5Gq88AT84Ik1PB3zFZRwsBX47O56A==" saltValue="PSCl/7f+gI1hFa5FPu4ec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CXF0bquD4roRiNicE+WibOZWhaOE1it7rm8CrZOoEPtrw3dMxdIUprFkJnH+NoSejE/yBusgSqTn3sabe1ynQ==" saltValue="Z85JxLeb2U4SJf8P6t9J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jLpXktw8yFRnr1RMsQ5jtEuoeDTsC+c5d74w/OoNTFiTGVGQW+JbjIf9HbwHBffCrNj+68cx5vZCT+F/hYPwxQ==" saltValue="jncBOR98OnJ9/Q++9xEy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KIkZt2SEVpm95Sj6vGpm7hHfS8TSvax6u6ci3d77JwJpWalgdfdH8Y8VevYqbuf3dXKaYKFY0Br5yCq0yNMrg==" saltValue="0YMBVgzJlNU64DWZ1usk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HvIbS87txy8q+ysTG6INT0fifHyYuIw6FjIxZxZOHwcRyvPSPSV/wJ4K5nUzogNCptCwIX8OKJAlMtdXx0gig==" saltValue="/FEidHrqPkNnGoscaRZuy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5uMPCW9CwRbFvc/nKP2onty4wQG7FzEHZcVpyd3RXD4476Tcj3/JSqAueUP0SkbUlX3kShXBbiQDiE6QVa8z6g==" saltValue="NODYowe2kpoZYwSsdcNA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BcwYhjzoUBEScAYddSoZgRWI7S6z3+6FmIMXLIxBqlCIiPi9EXePnv+a2uVq5gk8Eyl4dtk5zWCz7MJ03rrvhg==" saltValue="P7bHDZX+p3cyGDml9+UfI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