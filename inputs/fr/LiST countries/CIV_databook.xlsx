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44549BC-9E7B-4BEA-8322-FB73A071F10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3" i="2" l="1"/>
  <c r="A35" i="2"/>
  <c r="A22" i="2"/>
  <c r="A26" i="2"/>
  <c r="A36" i="2"/>
  <c r="A19" i="2"/>
  <c r="I9" i="2"/>
  <c r="I13" i="2"/>
  <c r="A37" i="2"/>
  <c r="I4" i="2"/>
  <c r="I8" i="2"/>
  <c r="I12" i="2"/>
  <c r="A25" i="2"/>
  <c r="A31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<sst xmlns="http://schemas.openxmlformats.org/spreadsheetml/2006/main" count="2159" uniqueCount="368">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</sst>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4637010</v>
      </c>
    </row>
    <row r="8" spans="1:3" ht="15" customHeight="1" x14ac:dyDescent="0.25">
      <c r="B8" s="5" t="s">
        <v>37</v>
      </c>
      <c r="C8" s="44">
        <v>0.34100000000000003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0.24519759999999999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0.13689999999999999</v>
      </c>
    </row>
    <row r="24" spans="1:3" ht="15" customHeight="1" x14ac:dyDescent="0.25">
      <c r="B24" s="15" t="s">
        <v>51</v>
      </c>
      <c r="C24" s="45">
        <v>0.45260000000000011</v>
      </c>
    </row>
    <row r="25" spans="1:3" ht="15" customHeight="1" x14ac:dyDescent="0.25">
      <c r="B25" s="15" t="s">
        <v>52</v>
      </c>
      <c r="C25" s="45">
        <v>0.30809999999999998</v>
      </c>
    </row>
    <row r="26" spans="1:3" ht="15" customHeight="1" x14ac:dyDescent="0.25">
      <c r="B26" s="15" t="s">
        <v>53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0.2268357</v>
      </c>
    </row>
    <row r="30" spans="1:3" ht="14.25" customHeight="1" x14ac:dyDescent="0.25">
      <c r="B30" s="25" t="s">
        <v>56</v>
      </c>
      <c r="C30" s="99">
        <v>4.6049300000000001E-2</v>
      </c>
    </row>
    <row r="31" spans="1:3" ht="14.25" customHeight="1" x14ac:dyDescent="0.25">
      <c r="B31" s="25" t="s">
        <v>57</v>
      </c>
      <c r="C31" s="99">
        <v>6.9075899999999996E-2</v>
      </c>
    </row>
    <row r="32" spans="1:3" ht="14.25" customHeight="1" x14ac:dyDescent="0.25">
      <c r="B32" s="25" t="s">
        <v>58</v>
      </c>
      <c r="C32" s="99">
        <v>0.65803900000000004</v>
      </c>
    </row>
    <row r="33" spans="1:5" ht="13.25" customHeight="1" x14ac:dyDescent="0.25">
      <c r="B33" s="27" t="s">
        <v>59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5.3631900000000003</v>
      </c>
    </row>
    <row r="38" spans="1:5" ht="15" customHeight="1" x14ac:dyDescent="0.25">
      <c r="B38" s="11" t="s">
        <v>63</v>
      </c>
      <c r="C38" s="43">
        <v>6.2443299999999997</v>
      </c>
      <c r="D38" s="12"/>
      <c r="E38" s="13"/>
    </row>
    <row r="39" spans="1:5" ht="15" customHeight="1" x14ac:dyDescent="0.25">
      <c r="B39" s="11" t="s">
        <v>64</v>
      </c>
      <c r="C39" s="43">
        <v>7.6475099999999996</v>
      </c>
      <c r="D39" s="12"/>
      <c r="E39" s="12"/>
    </row>
    <row r="40" spans="1:5" ht="15" customHeight="1" x14ac:dyDescent="0.25">
      <c r="B40" s="11" t="s">
        <v>65</v>
      </c>
      <c r="C40" s="100">
        <v>0.22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71</v>
      </c>
      <c r="C47" s="45">
        <v>7.41401E-2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1.5860000000000001</v>
      </c>
      <c r="D51" s="12"/>
    </row>
    <row r="52" spans="1:4" ht="15" customHeight="1" x14ac:dyDescent="0.25">
      <c r="B52" s="11" t="s">
        <v>75</v>
      </c>
      <c r="C52" s="100">
        <v>1.5860000000000001</v>
      </c>
    </row>
    <row r="53" spans="1:4" ht="15.75" customHeight="1" x14ac:dyDescent="0.25">
      <c r="B53" s="11" t="s">
        <v>76</v>
      </c>
      <c r="C53" s="100">
        <v>4.524</v>
      </c>
    </row>
    <row r="54" spans="1:4" ht="15.75" customHeight="1" x14ac:dyDescent="0.25">
      <c r="B54" s="11" t="s">
        <v>77</v>
      </c>
      <c r="C54" s="100">
        <v>4.55</v>
      </c>
    </row>
    <row r="55" spans="1:4" ht="15.75" customHeight="1" x14ac:dyDescent="0.25">
      <c r="B55" s="11" t="s">
        <v>78</v>
      </c>
      <c r="C55" s="100">
        <v>2.4006666666666669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0.54813400000000001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7T5cdAxpezKA55MKNtNC5qkqCvsOhVyo/WXPTPFpWOwV8N9RN9wdw/1o028gQnJkaQwSAF701J9kGVP5euU14g==" saltValue="bDimmhgPIy85CJgBF6Y1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6PkzrrI5mXirODaDUd/EjjSvnkTwNEFpu7Ri+z1WonXA/iJFV0qlRbA/T2nf9wmXiQormG4iZmFLHGqxPWxMQ==" saltValue="2wmkcbf/M/p0WlYXvlJ1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2.2469799999999981E-2</v>
      </c>
    </row>
    <row r="5" spans="1:8" ht="15.75" customHeight="1" x14ac:dyDescent="0.25">
      <c r="B5" s="19" t="s">
        <v>98</v>
      </c>
      <c r="C5" s="101">
        <v>2.4460900000000049E-2</v>
      </c>
    </row>
    <row r="6" spans="1:8" ht="15.75" customHeight="1" x14ac:dyDescent="0.25">
      <c r="B6" s="19" t="s">
        <v>99</v>
      </c>
      <c r="C6" s="101">
        <v>0.10187679999999991</v>
      </c>
    </row>
    <row r="7" spans="1:8" ht="15.75" customHeight="1" x14ac:dyDescent="0.25">
      <c r="B7" s="19" t="s">
        <v>100</v>
      </c>
      <c r="C7" s="101">
        <v>0.41340200000000021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0.39500150000000001</v>
      </c>
    </row>
    <row r="10" spans="1:8" ht="15.75" customHeight="1" x14ac:dyDescent="0.25">
      <c r="B10" s="19" t="s">
        <v>103</v>
      </c>
      <c r="C10" s="101">
        <v>4.2788999999999952E-2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106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107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111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112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113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4.3847376999999993E-2</v>
      </c>
    </row>
    <row r="27" spans="1:8" ht="15.75" customHeight="1" x14ac:dyDescent="0.25">
      <c r="B27" s="19" t="s">
        <v>120</v>
      </c>
      <c r="C27" s="101">
        <v>3.4044087000000001E-2</v>
      </c>
    </row>
    <row r="28" spans="1:8" ht="15.75" customHeight="1" x14ac:dyDescent="0.25">
      <c r="B28" s="19" t="s">
        <v>121</v>
      </c>
      <c r="C28" s="101">
        <v>4.3283602999999997E-2</v>
      </c>
    </row>
    <row r="29" spans="1:8" ht="15.75" customHeight="1" x14ac:dyDescent="0.25">
      <c r="B29" s="19" t="s">
        <v>122</v>
      </c>
      <c r="C29" s="101">
        <v>0.177569167</v>
      </c>
    </row>
    <row r="30" spans="1:8" ht="15.75" customHeight="1" x14ac:dyDescent="0.25">
      <c r="B30" s="19" t="s">
        <v>2</v>
      </c>
      <c r="C30" s="101">
        <v>3.1893660999999997E-2</v>
      </c>
    </row>
    <row r="31" spans="1:8" ht="15.75" customHeight="1" x14ac:dyDescent="0.25">
      <c r="B31" s="19" t="s">
        <v>123</v>
      </c>
      <c r="C31" s="101">
        <v>9.3503550000000005E-2</v>
      </c>
    </row>
    <row r="32" spans="1:8" ht="15.75" customHeight="1" x14ac:dyDescent="0.25">
      <c r="B32" s="19" t="s">
        <v>124</v>
      </c>
      <c r="C32" s="101">
        <v>7.8392814000000005E-2</v>
      </c>
    </row>
    <row r="33" spans="2:3" ht="15.75" customHeight="1" x14ac:dyDescent="0.25">
      <c r="B33" s="19" t="s">
        <v>125</v>
      </c>
      <c r="C33" s="101">
        <v>0.15751110600000001</v>
      </c>
    </row>
    <row r="34" spans="2:3" ht="15.75" customHeight="1" x14ac:dyDescent="0.25">
      <c r="B34" s="19" t="s">
        <v>126</v>
      </c>
      <c r="C34" s="101">
        <v>0.33995463500000001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ssv9iBECzTTLEoYV9jz6OEJMmRyq05yhbvpOyDSTXhhJZjfV4Q3ouMtQ/9OyvsE7KsHtrhsFvC93M/JgsRaeMw==" saltValue="QNgqR9ymRdxZPjHD3Su3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132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133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137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bz3k/R5dFxNcihQIbobpTU65m1rZXwJdkmVzD3nMi4R/FXx9o3NEQzKejOjlrphX8vY/gK+wAnxYPyz1+o83Q==" saltValue="UgHzXTev0Od0ixDBjZX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9LPtgyVNIYSh4a1VDVHeWU4+PoV4V3TmST/JTzwaC5uNY7mcbGQ1Sq1YNv5KOybaD0TKcs022/O7vpX9rC+0nQ==" saltValue="ZX4d+uBaflsywS2o7owP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7JIomQIjormdX7OtODj7UJw2r/uItloBeRC9QDi1x1fPYIDuO/o+EoWVbAuzJ0Yf5ABzLXS46KDbhBM2zt4ZA==" saltValue="Wt54sw3MhSWd9iFzMb8D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2486.4121939424799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0.31214999999999998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0.58029000000000008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1.2964714354519241E-2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92069.397580000004</v>
      </c>
      <c r="C22" s="109">
        <v>90749.257360000003</v>
      </c>
      <c r="D22" s="109">
        <v>89790.536429999993</v>
      </c>
      <c r="E22" s="109">
        <v>89178.959210000001</v>
      </c>
      <c r="F22" s="109">
        <v>88374.46819</v>
      </c>
      <c r="G22" s="109">
        <v>87395.65986</v>
      </c>
      <c r="H22" s="109">
        <v>86127.279179999998</v>
      </c>
      <c r="I22" s="109">
        <v>84387.821970000005</v>
      </c>
      <c r="J22" s="109">
        <v>81916.292199999996</v>
      </c>
      <c r="K22" s="109">
        <v>78625.321379999994</v>
      </c>
      <c r="L22" s="109">
        <v>74160.815640000001</v>
      </c>
      <c r="M22" s="109">
        <v>68437.283880000003</v>
      </c>
      <c r="N22" s="109">
        <v>60724.808649999999</v>
      </c>
      <c r="O22" s="109">
        <v>51151.459410000003</v>
      </c>
    </row>
  </sheetData>
  <sheetProtection algorithmName="SHA-512" hashValue="z4y5UjmRH97+RFzYp5mHWYFmm6o8RqI1iA6L0SXPoS4GfQ7eLJ5gJ7TD3nPQAa7q9lLgCnm9b0sy21zQa1NcRg==" saltValue="Cey4tVC7MzOj0RQ/7NhLD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AFcwi3Dma4lPLxk/ZW0q6YEoNUD/6PX3eTpiFpiiwjwuuCl8N+tXw8sYKLxzyXlXWTT2X/HUJ58z2zoqgyCKw==" saltValue="evuXwud1R7ruQ5R2qqwj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z9X4QsVWCStd8DLYs1CnFlvjpcEvuM/CW7uzkYfcIznhzkoafhD1q4NmO5cIKOYJywqRJ8OzEqUkznaHFp0kA==" saltValue="z6+GZqf4fKzJTBoAZzqh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14.30692084199827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14.30692084199827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14.30692084199827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14.30692084199827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14.30692084199827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14.30692084199827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0.31415611111111102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0.185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0.224714</v>
      </c>
      <c r="C19" s="98">
        <v>0.95</v>
      </c>
      <c r="D19" s="56">
        <v>11.223012790221791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4.7321919239691654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0.93597991376873002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0.56282260000000006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0.75648280000000001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0.72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0.21814959119999999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0.20890819999999999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3.2008099999999998E-2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0.107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OJOdYCqwdvf+nLzqHbe5hYunCwGkWvglagSbEEEK+5CrLLUrib4tGMsfQJ+k2uYNn7KWUwrXnMln4Rv3t5WYdA==" saltValue="VcYTMQllrLr/km09y/7d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EhSZl89FDqeAl9GB5U/3IVUK7lX0UW0VmVJ3bZ0lTBcMQ/9WOPG9kVlmYEYu81T/61Zt1Qw8/cCClxC9dHNXA==" saltValue="3AAJCQNhA7rXAp6YAyfa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+zQ0vWOfDEU5WEMZiQ0b9+1O2Dr24/59osqkg6qzbwdJDrpCytfwQBujhfHfiJC/46H3o6pjml56m3H7p7kLw==" saltValue="iriCe+7z0n7rSsL2uhAI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1.5860000000000001</v>
      </c>
      <c r="C2" s="21">
        <f>'Données pop de l''année de ref'!C52</f>
        <v>1.5860000000000001</v>
      </c>
      <c r="D2" s="21">
        <f>'Données pop de l''année de ref'!C53</f>
        <v>4.524</v>
      </c>
      <c r="E2" s="21">
        <f>'Données pop de l''année de ref'!C54</f>
        <v>4.55</v>
      </c>
      <c r="F2" s="21">
        <f>'Données pop de l''année de ref'!C55</f>
        <v>2.4006666666666669</v>
      </c>
    </row>
    <row r="3" spans="1:6" ht="15.75" customHeight="1" x14ac:dyDescent="0.25">
      <c r="A3" s="3" t="s">
        <v>238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M9hlKFUHW7JimUnqIKgcPchkJCQpgsG5pNg52JNXMn83ysnUk2d/J18flqPjIJkZMnILuxaLGdPt05vXS55faQ==" saltValue="k1EjJAkuJj1OeZYJGUl1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dGLSBgPWzPujPF5OCN8SmIyO03Fi8Cj/wTdA5ybR3Od1UDOmWJW/LJ5QAHdLqpL2UliiTIpB3UghJMgDFck5w==" saltValue="od4GY68xmnYyyPR4uws9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TPjt4tK5m9ngt/g6DATg3j/zo2i+Opa2VXkTOEgjPyAko4VVk3cUXOdZUQ87agDPJB3d6wBRMebcsBvnWtvqg==" saltValue="Fpqztk7IqpS3tZoFlLP+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BmhQIuSVVT+g6xqHSYs0BiUTNt8oLOxYhNlUbXdHEwyeoLzAy0rkyc+4w+WAf6rV5tPX3HAl8U4S4RAwkn2Zg==" saltValue="TElJcCDBJdYBmuPu95yu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IUJQO+Tjt4jLh5tGW7We+sxcoW14mwyv66C/5MvvjSU2vuN6mUU7TV7Vmv2xJQ/uDUPSo3zU3sj/yz8IF+C7A==" saltValue="r5xSr5/23+L3siYmkli5I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36uIBolSH7coPdneNfvEGHzwaZmFLp+ivSa0weka33XOFl+LWkAic+Xsyubb7kGLOo3QTEP1rSX4j4z4pdmTLA==" saltValue="3QjSNo3vKRriP6OLwAIg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9w7zUFq9c5JEBcGA4xxGY1jTcmfhgbW5HsUrH/Lw7n/jwsi0eEo9ObNIZYNmU6avPffN5NKC0m3etHCKj6PrSg==" saltValue="/IpEHpTaDzuG8u2f/cdt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EAT9iTtTnmwMpS+R+Y3SbN6FkguL6tfWYg9blLY4qbGeG5sKP/oAYBibVSOgvzXk3ScTGzVSViBnyJao9F0Eg==" saltValue="Nqc2FUPPO6kll+bRzglQs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pLx1WaDZ941TS0SCM3F2bGwPRdbPWEJWqKewSK+3j4ZsCg5RCxhimtnJoexLDI3JNR6FNlT6bxSIbhwNxlE1w==" saltValue="F6d7XWjBjz9x6MpfO0zg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6As9U9cHfP/p11ix+5qP1dSnf+w2f9ZzF6gFQincRUPXG5oNO1V3yIi818IAxy9bb9O1ji/OqKY/oODwWELXQ==" saltValue="DggwZKuNrlxauAtEd25X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1AGdy/hVSJX3NMsRgBuZyWMBqrgS/sRsT/OQvA3mgm+xqjXfTWfxNiA+YlHXVTNqE1bQYCii/vxODMFjcswDw==" saltValue="xfFpAT2zrdO0o435fDN/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Vz5igmgN8fsLJuTdJf60t/EgXkIIQMDoqNcWkhB7n09SFuBo9coV3PhrKlT4tMNKELpIOcWBoDbHjWWblYzng==" saltValue="Al2wkfCBFITYYwbKkF0u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qtsKNN+cTIKvtmUd05AieMr4Y7X88Wvpud/SlDUhhDLNnuepAGMubciu6VizCmOy5/9J+Xj1RhroZT0J9prmg==" saltValue="fU3R1SqgZxYeFBTcEswb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iYgpdURN7xX3y9oG3CmZ0ALIuuSkpG+954ZN36U+HgoojXy4TAgbe9RZIE4J54FiCA0zm0Q65zwrGiY6UdH9w==" saltValue="FueyQAvpr7Td4vh2X99N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khkBvl15gY3CTnHA57hNPIeRcEQYbhuaiseUwLTSPlD0Ftr3lNBmHmRwAltBXQIbnbXxhBWrW4v3R1j2q7Pdw==" saltValue="1jzPfq1OcTRCDVW9nu+V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4WreQAQhB4BWQ37RE43LCVM0XVMURdu4NdvxICssfGVfOa9EzHN6G9XhPHBYGH29+fJ92UZH/67rWs2honcXQ==" saltValue="GoVxluX5Ozh4VYPyWkZu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