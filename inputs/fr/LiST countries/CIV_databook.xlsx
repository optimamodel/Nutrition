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D256CCB6-1915-4C0D-9F92-A21EB070877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6" i="2"/>
  <c r="A34" i="2"/>
  <c r="A31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9" i="2" l="1"/>
  <c r="I6" i="2"/>
  <c r="I12" i="2"/>
  <c r="A35" i="2"/>
  <c r="A22" i="2"/>
  <c r="I11" i="2"/>
  <c r="A19" i="2"/>
  <c r="I3" i="2"/>
  <c r="I9" i="2"/>
  <c r="A23" i="2"/>
  <c r="A24" i="2"/>
  <c r="A40" i="2"/>
  <c r="A25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<sst xmlns="http://schemas.openxmlformats.org/spreadsheetml/2006/main" count="2169" uniqueCount="369">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</sst>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4637010</v>
      </c>
    </row>
    <row r="8" spans="1:3" ht="15" customHeight="1" x14ac:dyDescent="0.25">
      <c r="B8" s="5" t="s">
        <v>37</v>
      </c>
      <c r="C8" s="44">
        <v>0.34100000000000003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0.24519759999999999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0.13689999999999999</v>
      </c>
    </row>
    <row r="24" spans="1:3" ht="15" customHeight="1" x14ac:dyDescent="0.25">
      <c r="B24" s="15" t="s">
        <v>51</v>
      </c>
      <c r="C24" s="45">
        <v>0.45260000000000011</v>
      </c>
    </row>
    <row r="25" spans="1:3" ht="15" customHeight="1" x14ac:dyDescent="0.25">
      <c r="B25" s="15" t="s">
        <v>52</v>
      </c>
      <c r="C25" s="45">
        <v>0.30809999999999998</v>
      </c>
    </row>
    <row r="26" spans="1:3" ht="15" customHeight="1" x14ac:dyDescent="0.25">
      <c r="B26" s="15" t="s">
        <v>53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0.2268357</v>
      </c>
    </row>
    <row r="30" spans="1:3" ht="14.25" customHeight="1" x14ac:dyDescent="0.25">
      <c r="B30" s="25" t="s">
        <v>56</v>
      </c>
      <c r="C30" s="97">
        <v>4.6049300000000001E-2</v>
      </c>
    </row>
    <row r="31" spans="1:3" ht="14.25" customHeight="1" x14ac:dyDescent="0.25">
      <c r="B31" s="25" t="s">
        <v>57</v>
      </c>
      <c r="C31" s="97">
        <v>6.9075899999999996E-2</v>
      </c>
    </row>
    <row r="32" spans="1:3" ht="14.25" customHeight="1" x14ac:dyDescent="0.25">
      <c r="B32" s="25" t="s">
        <v>58</v>
      </c>
      <c r="C32" s="97">
        <v>0.65803900000000004</v>
      </c>
    </row>
    <row r="33" spans="1:5" ht="13.25" customHeight="1" x14ac:dyDescent="0.25">
      <c r="B33" s="27" t="s">
        <v>59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5.3631900000000003</v>
      </c>
    </row>
    <row r="38" spans="1:5" ht="15" customHeight="1" x14ac:dyDescent="0.25">
      <c r="B38" s="11" t="s">
        <v>63</v>
      </c>
      <c r="C38" s="43">
        <v>6.2443299999999997</v>
      </c>
      <c r="D38" s="12"/>
      <c r="E38" s="13"/>
    </row>
    <row r="39" spans="1:5" ht="15" customHeight="1" x14ac:dyDescent="0.25">
      <c r="B39" s="11" t="s">
        <v>64</v>
      </c>
      <c r="C39" s="43">
        <v>7.6475099999999996</v>
      </c>
      <c r="D39" s="12"/>
      <c r="E39" s="12"/>
    </row>
    <row r="40" spans="1:5" ht="15" customHeight="1" x14ac:dyDescent="0.25">
      <c r="B40" s="11" t="s">
        <v>65</v>
      </c>
      <c r="C40" s="98">
        <v>0.22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7.2145000000000004E-3</v>
      </c>
      <c r="D45" s="12"/>
    </row>
    <row r="46" spans="1:5" ht="15.75" customHeight="1" x14ac:dyDescent="0.25">
      <c r="B46" s="11" t="s">
        <v>70</v>
      </c>
      <c r="C46" s="45">
        <v>7.7518500000000004E-2</v>
      </c>
      <c r="D46" s="12"/>
    </row>
    <row r="47" spans="1:5" ht="15.75" customHeight="1" x14ac:dyDescent="0.25">
      <c r="B47" s="11" t="s">
        <v>71</v>
      </c>
      <c r="C47" s="45">
        <v>7.41401E-2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1.5860000000000001</v>
      </c>
      <c r="D51" s="12"/>
    </row>
    <row r="52" spans="1:4" ht="15" customHeight="1" x14ac:dyDescent="0.25">
      <c r="B52" s="11" t="s">
        <v>75</v>
      </c>
      <c r="C52" s="98">
        <v>1.5860000000000001</v>
      </c>
    </row>
    <row r="53" spans="1:4" ht="15.75" customHeight="1" x14ac:dyDescent="0.25">
      <c r="B53" s="11" t="s">
        <v>76</v>
      </c>
      <c r="C53" s="98">
        <v>4.524</v>
      </c>
    </row>
    <row r="54" spans="1:4" ht="15.75" customHeight="1" x14ac:dyDescent="0.25">
      <c r="B54" s="11" t="s">
        <v>77</v>
      </c>
      <c r="C54" s="98">
        <v>4.55</v>
      </c>
    </row>
    <row r="55" spans="1:4" ht="15.75" customHeight="1" x14ac:dyDescent="0.25">
      <c r="B55" s="11" t="s">
        <v>78</v>
      </c>
      <c r="C55" s="98">
        <v>2.4006666666666669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0.54813400000000001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OquodqBbqvNA09V6rtf+A7xo9y8y4phgGjm8UX8sHX3OdZld7RYcwMZcopd8jsVx8rvGW3HINAplq0U0Y0Aklg==" saltValue="QZ0z07O5EbxqoNCObrT2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1007981</v>
      </c>
      <c r="C2" s="49">
        <v>1656966.5</v>
      </c>
      <c r="D2" s="49">
        <v>2466048.5</v>
      </c>
      <c r="E2" s="49">
        <v>2161676</v>
      </c>
      <c r="F2" s="49">
        <v>1481389.0000000002</v>
      </c>
      <c r="G2" s="17">
        <f t="shared" ref="G2:G13" si="0">C2+D2+E2+F2</f>
        <v>7766080</v>
      </c>
      <c r="H2" s="17">
        <f t="shared" ref="H2:H13" si="1">(B2 + stillbirth*B2/(1000-stillbirth))/(1-abortion)</f>
        <v>1150291.8679159624</v>
      </c>
      <c r="I2" s="17">
        <f t="shared" ref="I2:I13" si="2">G2-H2</f>
        <v>6615788.1320840381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1017551</v>
      </c>
      <c r="C3" s="50">
        <v>1732287</v>
      </c>
      <c r="D3" s="50">
        <v>2543638</v>
      </c>
      <c r="E3" s="50">
        <v>2169543.5</v>
      </c>
      <c r="F3" s="50">
        <v>1555078.5</v>
      </c>
      <c r="G3" s="17">
        <f t="shared" si="0"/>
        <v>8000547</v>
      </c>
      <c r="H3" s="17">
        <f t="shared" si="1"/>
        <v>1161212.9995404233</v>
      </c>
      <c r="I3" s="17">
        <f t="shared" si="2"/>
        <v>6839334.000459577</v>
      </c>
    </row>
    <row r="4" spans="1:9" ht="15.75" customHeight="1" x14ac:dyDescent="0.25">
      <c r="A4" s="5">
        <f t="shared" si="3"/>
        <v>2026</v>
      </c>
      <c r="B4" s="49">
        <v>1028953</v>
      </c>
      <c r="C4" s="50">
        <v>1793160</v>
      </c>
      <c r="D4" s="50">
        <v>2644324.4999999995</v>
      </c>
      <c r="E4" s="50">
        <v>2169354.0000000005</v>
      </c>
      <c r="F4" s="50">
        <v>1626603.5</v>
      </c>
      <c r="G4" s="17">
        <f t="shared" si="0"/>
        <v>8233442</v>
      </c>
      <c r="H4" s="17">
        <f t="shared" si="1"/>
        <v>1174224.7803953975</v>
      </c>
      <c r="I4" s="17">
        <f t="shared" si="2"/>
        <v>7059217.2196046021</v>
      </c>
    </row>
    <row r="5" spans="1:9" ht="15.75" customHeight="1" x14ac:dyDescent="0.25">
      <c r="A5" s="5">
        <f t="shared" si="3"/>
        <v>2027</v>
      </c>
      <c r="B5" s="49">
        <v>1041753.9999999999</v>
      </c>
      <c r="C5" s="50">
        <v>1836287.5</v>
      </c>
      <c r="D5" s="50">
        <v>2765998.4999999995</v>
      </c>
      <c r="E5" s="50">
        <v>2162914.5</v>
      </c>
      <c r="F5" s="50">
        <v>1694704</v>
      </c>
      <c r="G5" s="17">
        <f t="shared" si="0"/>
        <v>8459904.5</v>
      </c>
      <c r="H5" s="17">
        <f t="shared" si="1"/>
        <v>1188833.0777752013</v>
      </c>
      <c r="I5" s="17">
        <f t="shared" si="2"/>
        <v>7271071.4222247992</v>
      </c>
    </row>
    <row r="6" spans="1:9" ht="15.75" customHeight="1" x14ac:dyDescent="0.25">
      <c r="A6" s="5">
        <f t="shared" si="3"/>
        <v>2028</v>
      </c>
      <c r="B6" s="49">
        <v>1055080</v>
      </c>
      <c r="C6" s="50">
        <v>1874506.5</v>
      </c>
      <c r="D6" s="50">
        <v>2898871.5</v>
      </c>
      <c r="E6" s="50">
        <v>2157620</v>
      </c>
      <c r="F6" s="50">
        <v>1758264.5</v>
      </c>
      <c r="G6" s="17">
        <f t="shared" si="0"/>
        <v>8689262.5</v>
      </c>
      <c r="H6" s="17">
        <f t="shared" si="1"/>
        <v>1204040.4967958459</v>
      </c>
      <c r="I6" s="17">
        <f t="shared" si="2"/>
        <v>7485222.0032041539</v>
      </c>
    </row>
    <row r="7" spans="1:9" ht="15.75" customHeight="1" x14ac:dyDescent="0.25">
      <c r="A7" s="5">
        <f t="shared" si="3"/>
        <v>2029</v>
      </c>
      <c r="B7" s="49">
        <v>1069934</v>
      </c>
      <c r="C7" s="50">
        <v>1932710</v>
      </c>
      <c r="D7" s="50">
        <v>3034207.5</v>
      </c>
      <c r="E7" s="50">
        <v>2159835.5</v>
      </c>
      <c r="F7" s="50">
        <v>1815879</v>
      </c>
      <c r="G7" s="17">
        <f t="shared" si="0"/>
        <v>8942632</v>
      </c>
      <c r="H7" s="17">
        <f t="shared" si="1"/>
        <v>1220991.6450873553</v>
      </c>
      <c r="I7" s="17">
        <f t="shared" si="2"/>
        <v>7721640.3549126443</v>
      </c>
    </row>
    <row r="8" spans="1:9" ht="15.75" customHeight="1" x14ac:dyDescent="0.25">
      <c r="A8" s="5">
        <f t="shared" si="3"/>
        <v>2030</v>
      </c>
      <c r="B8" s="49">
        <v>1088188</v>
      </c>
      <c r="C8" s="50">
        <v>2004597.5</v>
      </c>
      <c r="D8" s="50">
        <v>3170563</v>
      </c>
      <c r="E8" s="50">
        <v>2168435.0000000005</v>
      </c>
      <c r="F8" s="50">
        <v>1866803</v>
      </c>
      <c r="G8" s="17">
        <f t="shared" si="0"/>
        <v>9210398.5</v>
      </c>
      <c r="H8" s="17">
        <f t="shared" si="1"/>
        <v>1241822.819243354</v>
      </c>
      <c r="I8" s="17">
        <f t="shared" si="2"/>
        <v>7968575.6807566462</v>
      </c>
    </row>
    <row r="9" spans="1:9" ht="15.75" customHeight="1" x14ac:dyDescent="0.25">
      <c r="A9" s="5">
        <f t="shared" si="3"/>
        <v>2031</v>
      </c>
      <c r="B9" s="49">
        <v>1106870</v>
      </c>
      <c r="C9" s="50">
        <v>2072992.0000000002</v>
      </c>
      <c r="D9" s="50">
        <v>3306380.5</v>
      </c>
      <c r="E9" s="50">
        <v>2183667</v>
      </c>
      <c r="F9" s="50">
        <v>1910133.5</v>
      </c>
      <c r="G9" s="17">
        <f t="shared" si="0"/>
        <v>9473173</v>
      </c>
      <c r="H9" s="17">
        <f t="shared" si="1"/>
        <v>1263142.4201846474</v>
      </c>
      <c r="I9" s="17">
        <f t="shared" si="2"/>
        <v>8210030.5798153523</v>
      </c>
    </row>
    <row r="10" spans="1:9" ht="15.75" customHeight="1" x14ac:dyDescent="0.25">
      <c r="A10" s="5">
        <f t="shared" si="3"/>
        <v>2032</v>
      </c>
      <c r="B10" s="49">
        <v>1126736</v>
      </c>
      <c r="C10" s="50">
        <v>2140690.5</v>
      </c>
      <c r="D10" s="50">
        <v>3433941</v>
      </c>
      <c r="E10" s="50">
        <v>2210833</v>
      </c>
      <c r="F10" s="50">
        <v>1944451</v>
      </c>
      <c r="G10" s="17">
        <f t="shared" si="0"/>
        <v>9729915.5</v>
      </c>
      <c r="H10" s="17">
        <f t="shared" si="1"/>
        <v>1285813.1830740457</v>
      </c>
      <c r="I10" s="17">
        <f t="shared" si="2"/>
        <v>8444102.3169259541</v>
      </c>
    </row>
    <row r="11" spans="1:9" ht="15.75" customHeight="1" x14ac:dyDescent="0.25">
      <c r="A11" s="5">
        <f t="shared" si="3"/>
        <v>2033</v>
      </c>
      <c r="B11" s="49">
        <v>1153646</v>
      </c>
      <c r="C11" s="50">
        <v>2195838.5</v>
      </c>
      <c r="D11" s="50">
        <v>3557734.5</v>
      </c>
      <c r="E11" s="50">
        <v>2254428.5</v>
      </c>
      <c r="F11" s="50">
        <v>1969161</v>
      </c>
      <c r="G11" s="17">
        <f t="shared" si="0"/>
        <v>9977162.5</v>
      </c>
      <c r="H11" s="17">
        <f t="shared" si="1"/>
        <v>1316522.4466074046</v>
      </c>
      <c r="I11" s="17">
        <f t="shared" si="2"/>
        <v>8660640.0533925947</v>
      </c>
    </row>
    <row r="12" spans="1:9" ht="15.75" customHeight="1" x14ac:dyDescent="0.25">
      <c r="A12" s="5">
        <f t="shared" si="3"/>
        <v>2034</v>
      </c>
      <c r="B12" s="49">
        <v>1171560</v>
      </c>
      <c r="C12" s="50">
        <v>2218609</v>
      </c>
      <c r="D12" s="50">
        <v>3700533</v>
      </c>
      <c r="E12" s="50">
        <v>2313455.5</v>
      </c>
      <c r="F12" s="50">
        <v>1984934.4999999998</v>
      </c>
      <c r="G12" s="17">
        <f t="shared" si="0"/>
        <v>10217532</v>
      </c>
      <c r="H12" s="17">
        <f t="shared" si="1"/>
        <v>1336965.6181769546</v>
      </c>
      <c r="I12" s="17">
        <f t="shared" si="2"/>
        <v>8880566.3818230461</v>
      </c>
    </row>
    <row r="13" spans="1:9" ht="15.75" customHeight="1" x14ac:dyDescent="0.25">
      <c r="A13" s="5">
        <f t="shared" si="3"/>
        <v>2035</v>
      </c>
      <c r="B13" s="49">
        <v>1193342</v>
      </c>
      <c r="C13" s="50">
        <v>2221778.5</v>
      </c>
      <c r="D13" s="50">
        <v>3851374.5</v>
      </c>
      <c r="E13" s="50">
        <v>2388996.5</v>
      </c>
      <c r="F13" s="50">
        <v>1992500</v>
      </c>
      <c r="G13" s="17">
        <f t="shared" si="0"/>
        <v>10454649.5</v>
      </c>
      <c r="H13" s="17">
        <f t="shared" si="1"/>
        <v>1361822.8897594006</v>
      </c>
      <c r="I13" s="17">
        <f t="shared" si="2"/>
        <v>9092826.6102405991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i3rHTcDk35V9xlk8FRvfRZJuqZUmcKzO+xziFISk9NgYOw5pCiE8WdTbw4g5ojsXOH6VQEl9YWakuaxZw6Dlw==" saltValue="mgPK0PKKr9wbnjCU5+hG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2.2469799999999981E-2</v>
      </c>
    </row>
    <row r="5" spans="1:8" ht="15.75" customHeight="1" x14ac:dyDescent="0.25">
      <c r="B5" s="19" t="s">
        <v>98</v>
      </c>
      <c r="C5" s="99">
        <v>2.4460900000000049E-2</v>
      </c>
    </row>
    <row r="6" spans="1:8" ht="15.75" customHeight="1" x14ac:dyDescent="0.25">
      <c r="B6" s="19" t="s">
        <v>99</v>
      </c>
      <c r="C6" s="99">
        <v>0.10187679999999991</v>
      </c>
    </row>
    <row r="7" spans="1:8" ht="15.75" customHeight="1" x14ac:dyDescent="0.25">
      <c r="B7" s="19" t="s">
        <v>100</v>
      </c>
      <c r="C7" s="99">
        <v>0.41340200000000021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0.39500150000000001</v>
      </c>
    </row>
    <row r="10" spans="1:8" ht="15.75" customHeight="1" x14ac:dyDescent="0.25">
      <c r="B10" s="19" t="s">
        <v>103</v>
      </c>
      <c r="C10" s="99">
        <v>4.2788999999999952E-2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106</v>
      </c>
      <c r="C15" s="99">
        <v>0.1594063741512792</v>
      </c>
      <c r="D15" s="99">
        <v>0.1594063741512792</v>
      </c>
      <c r="E15" s="99">
        <v>0.1594063741512792</v>
      </c>
      <c r="F15" s="99">
        <v>0.1594063741512792</v>
      </c>
    </row>
    <row r="16" spans="1:8" ht="15.75" customHeight="1" x14ac:dyDescent="0.25">
      <c r="B16" s="19" t="s">
        <v>107</v>
      </c>
      <c r="C16" s="99">
        <v>4.5121886732581648E-2</v>
      </c>
      <c r="D16" s="99">
        <v>4.5121886732581648E-2</v>
      </c>
      <c r="E16" s="99">
        <v>4.5121886732581648E-2</v>
      </c>
      <c r="F16" s="99">
        <v>4.5121886732581648E-2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3.5873226357410631E-3</v>
      </c>
      <c r="D19" s="99">
        <v>3.5873226357410631E-3</v>
      </c>
      <c r="E19" s="99">
        <v>3.5873226357410631E-3</v>
      </c>
      <c r="F19" s="99">
        <v>3.5873226357410631E-3</v>
      </c>
    </row>
    <row r="20" spans="1:8" ht="15.75" customHeight="1" x14ac:dyDescent="0.25">
      <c r="B20" s="19" t="s">
        <v>111</v>
      </c>
      <c r="C20" s="99">
        <v>0.42885433690608749</v>
      </c>
      <c r="D20" s="99">
        <v>0.42885433690608749</v>
      </c>
      <c r="E20" s="99">
        <v>0.42885433690608749</v>
      </c>
      <c r="F20" s="99">
        <v>0.42885433690608749</v>
      </c>
    </row>
    <row r="21" spans="1:8" ht="15.75" customHeight="1" x14ac:dyDescent="0.25">
      <c r="B21" s="19" t="s">
        <v>112</v>
      </c>
      <c r="C21" s="99">
        <v>0.21280453826937559</v>
      </c>
      <c r="D21" s="99">
        <v>0.21280453826937559</v>
      </c>
      <c r="E21" s="99">
        <v>0.21280453826937559</v>
      </c>
      <c r="F21" s="99">
        <v>0.21280453826937559</v>
      </c>
    </row>
    <row r="22" spans="1:8" ht="15.75" customHeight="1" x14ac:dyDescent="0.25">
      <c r="B22" s="19" t="s">
        <v>113</v>
      </c>
      <c r="C22" s="99">
        <v>8.354147156804044E-2</v>
      </c>
      <c r="D22" s="99">
        <v>8.354147156804044E-2</v>
      </c>
      <c r="E22" s="99">
        <v>8.354147156804044E-2</v>
      </c>
      <c r="F22" s="99">
        <v>8.354147156804044E-2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4.3847376999999993E-2</v>
      </c>
    </row>
    <row r="27" spans="1:8" ht="15.75" customHeight="1" x14ac:dyDescent="0.25">
      <c r="B27" s="19" t="s">
        <v>120</v>
      </c>
      <c r="C27" s="99">
        <v>3.4044087000000001E-2</v>
      </c>
    </row>
    <row r="28" spans="1:8" ht="15.75" customHeight="1" x14ac:dyDescent="0.25">
      <c r="B28" s="19" t="s">
        <v>121</v>
      </c>
      <c r="C28" s="99">
        <v>4.3283602999999997E-2</v>
      </c>
    </row>
    <row r="29" spans="1:8" ht="15.75" customHeight="1" x14ac:dyDescent="0.25">
      <c r="B29" s="19" t="s">
        <v>122</v>
      </c>
      <c r="C29" s="99">
        <v>0.177569167</v>
      </c>
    </row>
    <row r="30" spans="1:8" ht="15.75" customHeight="1" x14ac:dyDescent="0.25">
      <c r="B30" s="19" t="s">
        <v>2</v>
      </c>
      <c r="C30" s="99">
        <v>3.1893660999999997E-2</v>
      </c>
    </row>
    <row r="31" spans="1:8" ht="15.75" customHeight="1" x14ac:dyDescent="0.25">
      <c r="B31" s="19" t="s">
        <v>123</v>
      </c>
      <c r="C31" s="99">
        <v>9.3503550000000005E-2</v>
      </c>
    </row>
    <row r="32" spans="1:8" ht="15.75" customHeight="1" x14ac:dyDescent="0.25">
      <c r="B32" s="19" t="s">
        <v>124</v>
      </c>
      <c r="C32" s="99">
        <v>7.8392814000000005E-2</v>
      </c>
    </row>
    <row r="33" spans="2:3" ht="15.75" customHeight="1" x14ac:dyDescent="0.25">
      <c r="B33" s="19" t="s">
        <v>125</v>
      </c>
      <c r="C33" s="99">
        <v>0.15751110600000001</v>
      </c>
    </row>
    <row r="34" spans="2:3" ht="15.75" customHeight="1" x14ac:dyDescent="0.25">
      <c r="B34" s="19" t="s">
        <v>126</v>
      </c>
      <c r="C34" s="99">
        <v>0.33995463500000001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6u16IBESk7UKv03sjweoRmftXvcDBnYVdgkzrwSmdPC/8xyhW0mpr5zNyAUj4zL7tJw7GsKQT3urj37J9PbhqQ==" saltValue="GvKZGKFCdmT6DHQjFVMT6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132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133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137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138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QNmdI7w01cqo5LKoeE1wSLnZsz2I10f4pI3WB+Y89/EG2Tth2aQWoAP2qNveVq66PiOl6BnlrMYvwA7plxRwQ==" saltValue="EgUtvTo1fY65gxXPJS5Y/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9.9093499999999946E-2</v>
      </c>
      <c r="D5" s="52">
        <f t="shared" si="0"/>
        <v>0.16993820000000004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1+af34+ZM0ZVKpWkl1K66i/2dDQPqn1D4vSzWQ+8cya80uQKFsq6Mz11VtOKdFlS/mRImzbgJE02rqXTDF7lwQ==" saltValue="x3ecswXmsh1KLTrMboh2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1t8pftm3wSR0gsiYL2xnMCv4ldMSgxJHFI5EnYJVgqlgJalYSWoIWHkju/E4qxLSC8ByeMQfbaykIrk5i5+Pg==" saltValue="EYqhARkoxEzBqurloI2EB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2486.4121939424799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0.31214999999999998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0.58029000000000008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1.2964714354519241E-2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92069.397580000004</v>
      </c>
      <c r="C22" s="107">
        <v>90749.257360000003</v>
      </c>
      <c r="D22" s="107">
        <v>89790.536429999993</v>
      </c>
      <c r="E22" s="107">
        <v>89178.959210000001</v>
      </c>
      <c r="F22" s="107">
        <v>88374.46819</v>
      </c>
      <c r="G22" s="107">
        <v>87395.65986</v>
      </c>
      <c r="H22" s="107">
        <v>86127.279179999998</v>
      </c>
      <c r="I22" s="107">
        <v>84387.821970000005</v>
      </c>
      <c r="J22" s="107">
        <v>81916.292199999996</v>
      </c>
      <c r="K22" s="107">
        <v>78625.321379999994</v>
      </c>
      <c r="L22" s="107">
        <v>74160.815640000001</v>
      </c>
      <c r="M22" s="107">
        <v>68437.283880000003</v>
      </c>
      <c r="N22" s="107">
        <v>60724.808649999999</v>
      </c>
      <c r="O22" s="107">
        <v>51151.459410000003</v>
      </c>
    </row>
  </sheetData>
  <sheetProtection algorithmName="SHA-512" hashValue="kP5RsoyG6QHCnjJ+uak8LCACFCwdGsIIGi245nHcearIUAm2G54xX9RQXd946l9VGC4xfRb+oG7U+RXPds2FDw==" saltValue="8BMU2GNsqKllKHAMs2F6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yLgGMFv51SSdc0hNLS+PxNvCLFV/ckbUxFIMMrNSVviFG2Ubz/OHwXDV4VZFuMTSeqGWDpN7zFMIaD+becLCg==" saltValue="T9HOQPrDSCzgy3ikfNGvI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T8l0YGCSHb02Wu4mrPtx87tFiu/o5ZAP4WyQN5a+sUI2u9KVLQgbAzShDmyWs3wZNtgMg9IMqs6cS5Uu9MEXA==" saltValue="hT7TEIR76b72nOQq0x/FA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14.30692084199827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14.30692084199827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14.30692084199827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14.30692084199827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14.30692084199827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14.30692084199827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0.31415611111111102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0.185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0.224714</v>
      </c>
      <c r="C19" s="96">
        <v>0.95</v>
      </c>
      <c r="D19" s="56">
        <v>11.223012790221791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4.7321919239691654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0.93597991376873002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0.56282260000000006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0.75648280000000001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44.783843336315748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126.62714253872848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0.72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0.21814959119999999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0.20890819999999999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3.2008099999999998E-2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0.107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td207DkfZwEpk3dk2iLCcMyr8RigbGDHe9RM9fPZbLXdkyjKPb4Fevf3j5pc+UdEgfVleWmkXU1akAE93PR9bQ==" saltValue="wNWS6v0zx0tJ8qb3tRoe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T8wL0x306Exv/irLRUU3Hj2/AHtmgESb2U+pTiOa3TVOvACsW2zAqdLXVLk1/kka1vV5TCjeXKAlLRrnhWZrQ==" saltValue="Y5C3k3oP9Uq2upcPnk6I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CYMdDnMfO2p6M3F9Yk5GK0tyKtBIEvMUBx+HhY2E9tHdbxgDTbGSQB/rZXc7+8y31h3bZEWoP82VrR7nYQXjg==" saltValue="bJc/LnTEWHjcxhQNX4XFk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1.5860000000000001</v>
      </c>
      <c r="C2" s="21">
        <f>'Données pop de l''année de ref'!C52</f>
        <v>1.5860000000000001</v>
      </c>
      <c r="D2" s="21">
        <f>'Données pop de l''année de ref'!C53</f>
        <v>4.524</v>
      </c>
      <c r="E2" s="21">
        <f>'Données pop de l''année de ref'!C54</f>
        <v>4.55</v>
      </c>
      <c r="F2" s="21">
        <f>'Données pop de l''année de ref'!C55</f>
        <v>2.4006666666666669</v>
      </c>
    </row>
    <row r="3" spans="1:6" ht="15.75" customHeight="1" x14ac:dyDescent="0.25">
      <c r="A3" s="3" t="s">
        <v>238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237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pvV6kYKnITW6k1e8qs/MLbFK1S4B1oXHf2HYh/JQYeRh4WehhzHRsqVITNxxScd4Rs3Apx41+JVjkPB35cgCPw==" saltValue="dd0UWK8TU1m39JMvLw9r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0.34100000000000003</v>
      </c>
      <c r="F2" s="60">
        <f>food_insecure</f>
        <v>0.34100000000000003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0.34100000000000003</v>
      </c>
      <c r="F5" s="60">
        <f>food_insecure</f>
        <v>0.34100000000000003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3.0728750000000003E-2</v>
      </c>
      <c r="D7" s="60">
        <f>diarrhoea_1_5mo*frac_diarrhea_severe</f>
        <v>3.0728750000000003E-2</v>
      </c>
      <c r="E7" s="60">
        <f>diarrhoea_6_11mo*frac_diarrhea_severe</f>
        <v>8.7652499999999994E-2</v>
      </c>
      <c r="F7" s="60">
        <f>diarrhoea_12_23mo*frac_diarrhea_severe</f>
        <v>8.8156249999999992E-2</v>
      </c>
      <c r="G7" s="60">
        <f>diarrhoea_24_59mo*frac_diarrhea_severe</f>
        <v>4.6512916666666675E-2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0.34100000000000003</v>
      </c>
      <c r="F8" s="60">
        <f>food_insecure</f>
        <v>0.34100000000000003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0.34100000000000003</v>
      </c>
      <c r="F9" s="60">
        <f>food_insecure</f>
        <v>0.34100000000000003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3.0728750000000003E-2</v>
      </c>
      <c r="D12" s="60">
        <f>diarrhoea_1_5mo*frac_diarrhea_severe</f>
        <v>3.0728750000000003E-2</v>
      </c>
      <c r="E12" s="60">
        <f>diarrhoea_6_11mo*frac_diarrhea_severe</f>
        <v>8.7652499999999994E-2</v>
      </c>
      <c r="F12" s="60">
        <f>diarrhoea_12_23mo*frac_diarrhea_severe</f>
        <v>8.8156249999999992E-2</v>
      </c>
      <c r="G12" s="60">
        <f>diarrhoea_24_59mo*frac_diarrhea_severe</f>
        <v>4.6512916666666675E-2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0.34100000000000003</v>
      </c>
      <c r="I15" s="60">
        <f t="shared" si="0"/>
        <v>0.34100000000000003</v>
      </c>
      <c r="J15" s="60">
        <f t="shared" si="0"/>
        <v>0.34100000000000003</v>
      </c>
      <c r="K15" s="60">
        <f t="shared" si="0"/>
        <v>0.34100000000000003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0.34100000000000003</v>
      </c>
      <c r="I16" s="60">
        <f t="shared" si="0"/>
        <v>0.34100000000000003</v>
      </c>
      <c r="J16" s="60">
        <f t="shared" si="0"/>
        <v>0.34100000000000003</v>
      </c>
      <c r="K16" s="60">
        <f t="shared" si="0"/>
        <v>0.34100000000000003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0.42390457586399999</v>
      </c>
      <c r="M25" s="60">
        <f>(1-food_insecure)*(0.49)+food_insecure*(0.7)</f>
        <v>0.56161000000000005</v>
      </c>
      <c r="N25" s="60">
        <f>(1-food_insecure)*(0.49)+food_insecure*(0.7)</f>
        <v>0.56161000000000005</v>
      </c>
      <c r="O25" s="60">
        <f>(1-food_insecure)*(0.49)+food_insecure*(0.7)</f>
        <v>0.56161000000000005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0.181673389656</v>
      </c>
      <c r="M26" s="60">
        <f>(1-food_insecure)*(0.21)+food_insecure*(0.3)</f>
        <v>0.24069000000000002</v>
      </c>
      <c r="N26" s="60">
        <f>(1-food_insecure)*(0.21)+food_insecure*(0.3)</f>
        <v>0.24069000000000002</v>
      </c>
      <c r="O26" s="60">
        <f>(1-food_insecure)*(0.21)+food_insecure*(0.3)</f>
        <v>0.24069000000000002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0.14922443448</v>
      </c>
      <c r="M27" s="60">
        <f>(1-food_insecure)*(0.3)</f>
        <v>0.19770000000000001</v>
      </c>
      <c r="N27" s="60">
        <f>(1-food_insecure)*(0.3)</f>
        <v>0.19770000000000001</v>
      </c>
      <c r="O27" s="60">
        <f>(1-food_insecure)*(0.3)</f>
        <v>0.19770000000000001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0.24519760000000002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7vCnhth+FL4Diik/+HSsT6M/03JqITyHcC4vSy+E/vefVplGGp6DCxHwRGsiamgBmQvFIZgdnyOEJzYXMBuWg==" saltValue="LAuEQVUSZDXu5Ywb1RWPg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oiyg5x3D8Tma8SBP4qt9Olk8P29EIu0Nnzy4aw+oc+3dVi1xFsKVJ3coBx1CxK7csiS+htsGctedl9DKrF7iA==" saltValue="kaxzVYE9S5FQPYnZyRvi+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cd0v0BqeCB0Pav1kvrdxsggoN2U2q0BazEpxQDEik9gXNYE9Fubhag0kaRQ/dsHk7/q98qKilgJPnLe8IDBIg==" saltValue="j1sJ1u95+CNpc5lli6iac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4SyBMh78poIDNU4McrCBtFejWqxYMslPVsWEffn15auaYcgT7TmTp3yVKNoYxw5/tTnFG3loyp5JionFx2z4g==" saltValue="YvV9R3BMZDxAt1wVlK1/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EXfQCzvZm76OlCvzKOnNlA1sdUd//96MBSA+w9waTzBc58qJnhmVfGMpoyTPuweLcbGXyjzk8zjprM4Z6/bk/w==" saltValue="MOl2pRE3b1zSs8AhzV+S4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f7vTNyYKUZjXDTUdXF2OQx3vmqiFBVN/yzcfA/k+C5ZZIlzeht6HdcTIKXQ4/M0m/+CUWHWqotKxLSlarii2cA==" saltValue="46ZSGSKUtUbY8DQUHezy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L8+/gudmKsUOjKKfg3kKux+mUl7tYteWKJ7yhi/Z1sy55R3ogxA3O5vcfutfZ7lyPoIDjjZsKo0QbmqDenucw==" saltValue="sZvPVyWji1ldfddQ8l2k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YZPqFiPMgw4rB4vC8ckF0Ynqy2o0wGfXwBYa43gQxZaH9FdP6HbZN97HfL0v1tGW5HF+KxbByNLN6p3VKroLAg==" saltValue="AC/U2FZawBPSxub+SCjx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22uM6NWoLYhAex//v/CaCQhiP5WDOHuFbu/KSDsbsBG4Jn4UzFTmlPva83l8kA3z/q2b5qWlqEKr3BAwrni3A==" saltValue="NC9s/uZ928WHNmo+PYpk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hdTx7nkUFZS6AzY9KSGDR2PIXjH6PM/cUK6G7ZMpLqofOw6dKwN96PxnUcd11aqQyEDv/pTVCQcG8u0nRSSAA==" saltValue="LhWO0C9GrL8dRYDo9pn4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rvls/VpgVmJOZWJhN/Jt+gZ5tXPa8ZRyGu3uakLCp3NR0qVVmNsPQWaDtBDwCvGsl/gyeq67M+Bp5hFRJfwtA==" saltValue="T5ywMArPWYOOjfw4X7Cu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xzBJuSYRlHMSaux6NOVx/sZF4MZ0F0fiuqMnep2sZY8mm0aadCI7nOo4UixgQbFgjw9oCz7DYxAtntRyALbDg==" saltValue="DG9jbL9GBd7c1b6ygnLC+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nVTRMUVkEk/F+W/Sux4Kud+wyZQcvEoc3MTMOtYAmSXa0f1jrsZCb8cE/Ryg+jZBWyMRQWCa0081NjlMzNFAQ==" saltValue="TdQbUiuIy59cu7sGFIKJ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2Fmd6VCY9fxp8fO7VmCtEJSOmGzSMN+AkqV+vEddGkrxcl+Q9tE1Likep7eVQLNUwscHQsHgIRwl2z2QsksjQ==" saltValue="Wk47aazdnnBwqCFM8W7P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eL/Hkn5BgPrtotwb+3w4M4anp1OrMqXugw2Fui3dIUQRITeLendEI/ubaypDqE89aK573GOoXIhHEoLf7qo5g==" saltValue="20E4njQh+V/s/3qzzifAb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2026-04-29T05:05:17Z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