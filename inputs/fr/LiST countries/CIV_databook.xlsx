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56A00838-1136-4CE5-874C-E1BED4FD8EA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I38" i="2" s="1"/>
  <c r="H13" i="2"/>
  <c r="G13" i="2"/>
  <c r="H12" i="2"/>
  <c r="G12" i="2"/>
  <c r="I12" i="2" s="1"/>
  <c r="H11" i="2"/>
  <c r="G11" i="2"/>
  <c r="I11" i="2" s="1"/>
  <c r="H10" i="2"/>
  <c r="G10" i="2"/>
  <c r="I10" i="2" s="1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I3" i="2" s="1"/>
  <c r="H2" i="2"/>
  <c r="G2" i="2"/>
  <c r="I2" i="2" s="1"/>
  <c r="A2" i="2"/>
  <c r="A40" i="2" s="1"/>
  <c r="C33" i="1"/>
  <c r="C20" i="1"/>
  <c r="A31" i="2" l="1"/>
  <c r="A17" i="2"/>
  <c r="A27" i="2"/>
  <c r="A15" i="2"/>
  <c r="A16" i="2"/>
  <c r="A33" i="2"/>
  <c r="A23" i="2"/>
  <c r="A24" i="2"/>
  <c r="A32" i="2"/>
  <c r="A19" i="2"/>
  <c r="A35" i="2"/>
  <c r="I5" i="2"/>
  <c r="I9" i="2"/>
  <c r="I13" i="2"/>
  <c r="A25" i="2"/>
  <c r="I39" i="2"/>
  <c r="A3" i="2"/>
  <c r="A18" i="2"/>
  <c r="A26" i="2"/>
  <c r="A34" i="2"/>
  <c r="A39" i="2"/>
  <c r="A20" i="2"/>
  <c r="A28" i="2"/>
  <c r="A36" i="2"/>
  <c r="A21" i="2"/>
  <c r="A29" i="2"/>
  <c r="A37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<sst xmlns="http://schemas.openxmlformats.org/spreadsheetml/2006/main" count="2101" uniqueCount="337">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</sst>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301295.630859375</v>
      </c>
    </row>
    <row r="8" spans="1:3" ht="15" customHeight="1" x14ac:dyDescent="0.25">
      <c r="B8" s="5" t="s">
        <v>19</v>
      </c>
      <c r="C8" s="44">
        <v>1.4E-2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0.33406288146972701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0.68900000000000006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0.13689999999999999</v>
      </c>
    </row>
    <row r="24" spans="1:3" ht="15" customHeight="1" x14ac:dyDescent="0.25">
      <c r="B24" s="15" t="s">
        <v>33</v>
      </c>
      <c r="C24" s="45">
        <v>0.45260000000000011</v>
      </c>
    </row>
    <row r="25" spans="1:3" ht="15" customHeight="1" x14ac:dyDescent="0.25">
      <c r="B25" s="15" t="s">
        <v>34</v>
      </c>
      <c r="C25" s="45">
        <v>0.30809999999999998</v>
      </c>
    </row>
    <row r="26" spans="1:3" ht="15" customHeight="1" x14ac:dyDescent="0.25">
      <c r="B26" s="15" t="s">
        <v>35</v>
      </c>
      <c r="C26" s="45">
        <v>0.1024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0.2268357</v>
      </c>
    </row>
    <row r="30" spans="1:3" ht="14.25" customHeight="1" x14ac:dyDescent="0.25">
      <c r="B30" s="25" t="s">
        <v>38</v>
      </c>
      <c r="C30" s="99">
        <v>4.6049300000000001E-2</v>
      </c>
    </row>
    <row r="31" spans="1:3" ht="14.25" customHeight="1" x14ac:dyDescent="0.25">
      <c r="B31" s="25" t="s">
        <v>39</v>
      </c>
      <c r="C31" s="99">
        <v>6.9075899999999996E-2</v>
      </c>
    </row>
    <row r="32" spans="1:3" ht="14.25" customHeight="1" x14ac:dyDescent="0.25">
      <c r="B32" s="25" t="s">
        <v>40</v>
      </c>
      <c r="C32" s="99">
        <v>0.65803900000000004</v>
      </c>
    </row>
    <row r="33" spans="1:5" ht="13" customHeight="1" x14ac:dyDescent="0.25">
      <c r="B33" s="27" t="s">
        <v>41</v>
      </c>
      <c r="C33" s="48">
        <f>SUM(C29:C32)</f>
        <v>0.99999990000000005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5.3631900000000003</v>
      </c>
    </row>
    <row r="38" spans="1:5" ht="15" customHeight="1" x14ac:dyDescent="0.25">
      <c r="B38" s="11" t="s">
        <v>45</v>
      </c>
      <c r="C38" s="43">
        <v>6.2443299999999997</v>
      </c>
      <c r="D38" s="12"/>
      <c r="E38" s="13"/>
    </row>
    <row r="39" spans="1:5" ht="15" customHeight="1" x14ac:dyDescent="0.25">
      <c r="B39" s="11" t="s">
        <v>46</v>
      </c>
      <c r="C39" s="43">
        <v>7.6475099999999996</v>
      </c>
      <c r="D39" s="12"/>
      <c r="E39" s="12"/>
    </row>
    <row r="40" spans="1:5" ht="15" customHeight="1" x14ac:dyDescent="0.25">
      <c r="B40" s="11" t="s">
        <v>47</v>
      </c>
      <c r="C40" s="100">
        <v>0.22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4.2240700000000002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7.2145000000000004E-3</v>
      </c>
      <c r="D45" s="12"/>
    </row>
    <row r="46" spans="1:5" ht="15.75" customHeight="1" x14ac:dyDescent="0.25">
      <c r="B46" s="11" t="s">
        <v>52</v>
      </c>
      <c r="C46" s="45">
        <v>7.7518500000000004E-2</v>
      </c>
      <c r="D46" s="12"/>
    </row>
    <row r="47" spans="1:5" ht="15.75" customHeight="1" x14ac:dyDescent="0.25">
      <c r="B47" s="11" t="s">
        <v>53</v>
      </c>
      <c r="C47" s="45">
        <v>7.41401E-2</v>
      </c>
      <c r="D47" s="12"/>
      <c r="E47" s="13"/>
    </row>
    <row r="48" spans="1:5" ht="15" customHeight="1" x14ac:dyDescent="0.25">
      <c r="B48" s="11" t="s">
        <v>54</v>
      </c>
      <c r="C48" s="46">
        <v>0.84112690000000001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0.54813400000000001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0.15460177999999999</v>
      </c>
    </row>
    <row r="63" spans="1:4" ht="15.75" customHeight="1" x14ac:dyDescent="0.3">
      <c r="A63" s="4"/>
    </row>
  </sheetData>
  <sheetProtection algorithmName="SHA-512" hashValue="wDIK/J6vAzr9k3i8IoDCDyxO/Lysbje0adrZs5FuioRQH3hNiDLPLFaDLvB/rgLIX/KP8bkQYjxK8lKnciQk/g==" saltValue="5E3PLjUDcoekLLNPU9NE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974998</v>
      </c>
      <c r="C2" s="49">
        <v>1986264.5</v>
      </c>
      <c r="D2" s="49">
        <v>2598987</v>
      </c>
      <c r="E2" s="49">
        <v>1771321</v>
      </c>
      <c r="F2" s="49">
        <v>1186631.5</v>
      </c>
      <c r="G2" s="17">
        <f t="shared" ref="G2:G13" si="0">C2+D2+E2+F2</f>
        <v>7543204</v>
      </c>
      <c r="H2" s="17">
        <f t="shared" ref="H2:H13" si="1">(B2 + stillbirth*B2/(1000-stillbirth))/(1-abortion)</f>
        <v>1112652.193478178</v>
      </c>
      <c r="I2" s="17">
        <f t="shared" ref="I2:I13" si="2">G2-H2</f>
        <v>6430551.8065218218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989981</v>
      </c>
      <c r="C3" s="50">
        <v>2036863</v>
      </c>
      <c r="D3" s="50">
        <v>2684621.5</v>
      </c>
      <c r="E3" s="50">
        <v>1826042.5</v>
      </c>
      <c r="F3" s="50">
        <v>1219585.5</v>
      </c>
      <c r="G3" s="17">
        <f t="shared" si="0"/>
        <v>7767112.5</v>
      </c>
      <c r="H3" s="17">
        <f t="shared" si="1"/>
        <v>1129750.5545157224</v>
      </c>
      <c r="I3" s="17">
        <f t="shared" si="2"/>
        <v>6637361.9454842778</v>
      </c>
    </row>
    <row r="4" spans="1:9" ht="15.75" customHeight="1" x14ac:dyDescent="0.25">
      <c r="A4" s="5">
        <f t="shared" si="3"/>
        <v>2026</v>
      </c>
      <c r="B4" s="49">
        <v>1004962</v>
      </c>
      <c r="C4" s="50">
        <v>2083487.5</v>
      </c>
      <c r="D4" s="50">
        <v>2769715.5</v>
      </c>
      <c r="E4" s="50">
        <v>1890099.5</v>
      </c>
      <c r="F4" s="50">
        <v>1245990</v>
      </c>
      <c r="G4" s="17">
        <f t="shared" si="0"/>
        <v>7989292.5</v>
      </c>
      <c r="H4" s="17">
        <f t="shared" si="1"/>
        <v>1146846.633185111</v>
      </c>
      <c r="I4" s="17">
        <f t="shared" si="2"/>
        <v>6842445.866814889</v>
      </c>
    </row>
    <row r="5" spans="1:9" ht="15.75" customHeight="1" x14ac:dyDescent="0.25">
      <c r="A5" s="5">
        <f t="shared" si="3"/>
        <v>2027</v>
      </c>
      <c r="B5" s="49">
        <v>1020230</v>
      </c>
      <c r="C5" s="50">
        <v>2125720.5</v>
      </c>
      <c r="D5" s="50">
        <v>2853192</v>
      </c>
      <c r="E5" s="50">
        <v>1962788.5</v>
      </c>
      <c r="F5" s="50">
        <v>1263327</v>
      </c>
      <c r="G5" s="17">
        <f t="shared" si="0"/>
        <v>8205028</v>
      </c>
      <c r="H5" s="17">
        <f t="shared" si="1"/>
        <v>1164270.2316848256</v>
      </c>
      <c r="I5" s="17">
        <f t="shared" si="2"/>
        <v>7040757.7683151746</v>
      </c>
    </row>
    <row r="6" spans="1:9" ht="15.75" customHeight="1" x14ac:dyDescent="0.25">
      <c r="A6" s="5">
        <f t="shared" si="3"/>
        <v>2028</v>
      </c>
      <c r="B6" s="49">
        <v>1037875</v>
      </c>
      <c r="C6" s="50">
        <v>2163898.5</v>
      </c>
      <c r="D6" s="50">
        <v>2933881</v>
      </c>
      <c r="E6" s="50">
        <v>2037931.5</v>
      </c>
      <c r="F6" s="50">
        <v>1275059</v>
      </c>
      <c r="G6" s="17">
        <f t="shared" si="0"/>
        <v>8410770</v>
      </c>
      <c r="H6" s="17">
        <f t="shared" si="1"/>
        <v>1184406.4247374497</v>
      </c>
      <c r="I6" s="17">
        <f t="shared" si="2"/>
        <v>7226363.5752625503</v>
      </c>
    </row>
    <row r="7" spans="1:9" ht="15.75" customHeight="1" x14ac:dyDescent="0.25">
      <c r="A7" s="5">
        <f t="shared" si="3"/>
        <v>2029</v>
      </c>
      <c r="B7" s="49">
        <v>1055006</v>
      </c>
      <c r="C7" s="50">
        <v>2199257.5</v>
      </c>
      <c r="D7" s="50">
        <v>3013314.5</v>
      </c>
      <c r="E7" s="50">
        <v>2110937</v>
      </c>
      <c r="F7" s="50">
        <v>1290639.5</v>
      </c>
      <c r="G7" s="17">
        <f t="shared" si="0"/>
        <v>8614148.5</v>
      </c>
      <c r="H7" s="17">
        <f t="shared" si="1"/>
        <v>1203956.0491740895</v>
      </c>
      <c r="I7" s="17">
        <f t="shared" si="2"/>
        <v>7410192.450825911</v>
      </c>
    </row>
    <row r="8" spans="1:9" ht="15.75" customHeight="1" x14ac:dyDescent="0.25">
      <c r="A8" s="5">
        <f t="shared" si="3"/>
        <v>2030</v>
      </c>
      <c r="B8" s="49">
        <v>1068104</v>
      </c>
      <c r="C8" s="50">
        <v>2232459</v>
      </c>
      <c r="D8" s="50">
        <v>3094021.5</v>
      </c>
      <c r="E8" s="50">
        <v>2184677</v>
      </c>
      <c r="F8" s="50">
        <v>1314420.5</v>
      </c>
      <c r="G8" s="17">
        <f t="shared" si="0"/>
        <v>8825578</v>
      </c>
      <c r="H8" s="17">
        <f t="shared" si="1"/>
        <v>1218903.2782249972</v>
      </c>
      <c r="I8" s="17">
        <f t="shared" si="2"/>
        <v>7606674.7217750028</v>
      </c>
    </row>
    <row r="9" spans="1:9" ht="15.75" customHeight="1" x14ac:dyDescent="0.25">
      <c r="A9" s="5">
        <f t="shared" si="3"/>
        <v>2031</v>
      </c>
      <c r="B9" s="49">
        <v>1085163</v>
      </c>
      <c r="C9" s="50">
        <v>2266813.5</v>
      </c>
      <c r="D9" s="50">
        <v>3175581.5</v>
      </c>
      <c r="E9" s="50">
        <v>2259689</v>
      </c>
      <c r="F9" s="50">
        <v>1343216.5</v>
      </c>
      <c r="G9" s="17">
        <f t="shared" si="0"/>
        <v>9045300.5</v>
      </c>
      <c r="H9" s="17">
        <f t="shared" si="1"/>
        <v>1238370.7374080359</v>
      </c>
      <c r="I9" s="17">
        <f t="shared" si="2"/>
        <v>7806929.7625919636</v>
      </c>
    </row>
    <row r="10" spans="1:9" ht="15.75" customHeight="1" x14ac:dyDescent="0.25">
      <c r="A10" s="5">
        <f t="shared" si="3"/>
        <v>2032</v>
      </c>
      <c r="B10" s="49">
        <v>1100286</v>
      </c>
      <c r="C10" s="50">
        <v>2303095.5</v>
      </c>
      <c r="D10" s="50">
        <v>3254177</v>
      </c>
      <c r="E10" s="50">
        <v>2336106</v>
      </c>
      <c r="F10" s="50">
        <v>1375903</v>
      </c>
      <c r="G10" s="17">
        <f t="shared" si="0"/>
        <v>9269281.5</v>
      </c>
      <c r="H10" s="17">
        <f t="shared" si="1"/>
        <v>1255628.8642164709</v>
      </c>
      <c r="I10" s="17">
        <f t="shared" si="2"/>
        <v>8013652.6357835289</v>
      </c>
    </row>
    <row r="11" spans="1:9" ht="15.75" customHeight="1" x14ac:dyDescent="0.25">
      <c r="A11" s="5">
        <f t="shared" si="3"/>
        <v>2033</v>
      </c>
      <c r="B11" s="49">
        <v>1115956</v>
      </c>
      <c r="C11" s="50">
        <v>2339788.5</v>
      </c>
      <c r="D11" s="50">
        <v>3327577.5</v>
      </c>
      <c r="E11" s="50">
        <v>2416008.5</v>
      </c>
      <c r="F11" s="50">
        <v>1413037</v>
      </c>
      <c r="G11" s="17">
        <f t="shared" si="0"/>
        <v>9496411.5</v>
      </c>
      <c r="H11" s="17">
        <f t="shared" si="1"/>
        <v>1273511.2187154575</v>
      </c>
      <c r="I11" s="17">
        <f t="shared" si="2"/>
        <v>8222900.2812845428</v>
      </c>
    </row>
    <row r="12" spans="1:9" ht="15.75" customHeight="1" x14ac:dyDescent="0.25">
      <c r="A12" s="5">
        <f t="shared" si="3"/>
        <v>2034</v>
      </c>
      <c r="B12" s="49">
        <v>1124540</v>
      </c>
      <c r="C12" s="50">
        <v>2378723</v>
      </c>
      <c r="D12" s="50">
        <v>3397090</v>
      </c>
      <c r="E12" s="50">
        <v>2499016</v>
      </c>
      <c r="F12" s="50">
        <v>1454483.5</v>
      </c>
      <c r="G12" s="17">
        <f t="shared" si="0"/>
        <v>9729312.5</v>
      </c>
      <c r="H12" s="17">
        <f t="shared" si="1"/>
        <v>1283307.1428392164</v>
      </c>
      <c r="I12" s="17">
        <f t="shared" si="2"/>
        <v>8446005.3571607843</v>
      </c>
    </row>
    <row r="13" spans="1:9" ht="15.75" customHeight="1" x14ac:dyDescent="0.25">
      <c r="A13" s="5">
        <f t="shared" si="3"/>
        <v>2035</v>
      </c>
      <c r="B13" s="49">
        <v>1138011</v>
      </c>
      <c r="C13" s="50">
        <v>2418844.5</v>
      </c>
      <c r="D13" s="50">
        <v>3464964</v>
      </c>
      <c r="E13" s="50">
        <v>2582725.5</v>
      </c>
      <c r="F13" s="50">
        <v>1500562.5</v>
      </c>
      <c r="G13" s="17">
        <f t="shared" si="0"/>
        <v>9967096.5</v>
      </c>
      <c r="H13" s="17">
        <f t="shared" si="1"/>
        <v>1298680.0335511407</v>
      </c>
      <c r="I13" s="17">
        <f t="shared" si="2"/>
        <v>8668416.4664488584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l2xyF76ifQIxrMIeSJBWUnzJ1t26LYKsJQak4fLrRZXrr4Pc3zjbVEx7PBEFe8peXpj3jakiuxEiCal561LhhQ==" saltValue="n1SCMzZuidNP6eCGlgx6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2.2469799999999981E-2</v>
      </c>
    </row>
    <row r="5" spans="1:8" ht="15.75" customHeight="1" x14ac:dyDescent="0.25">
      <c r="B5" s="19" t="s">
        <v>80</v>
      </c>
      <c r="C5" s="101">
        <v>2.4460900000000049E-2</v>
      </c>
    </row>
    <row r="6" spans="1:8" ht="15.75" customHeight="1" x14ac:dyDescent="0.25">
      <c r="B6" s="19" t="s">
        <v>81</v>
      </c>
      <c r="C6" s="101">
        <v>0.10187679999999991</v>
      </c>
    </row>
    <row r="7" spans="1:8" ht="15.75" customHeight="1" x14ac:dyDescent="0.25">
      <c r="B7" s="19" t="s">
        <v>82</v>
      </c>
      <c r="C7" s="101">
        <v>0.41340200000000021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0.39500150000000001</v>
      </c>
    </row>
    <row r="10" spans="1:8" ht="15.75" customHeight="1" x14ac:dyDescent="0.25">
      <c r="B10" s="19" t="s">
        <v>85</v>
      </c>
      <c r="C10" s="101">
        <v>4.2788999999999952E-2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6.6684069736894405E-2</v>
      </c>
      <c r="D14" s="55">
        <v>6.6684069736894405E-2</v>
      </c>
      <c r="E14" s="55">
        <v>6.6684069736894405E-2</v>
      </c>
      <c r="F14" s="55">
        <v>6.6684069736894405E-2</v>
      </c>
    </row>
    <row r="15" spans="1:8" ht="15.75" customHeight="1" x14ac:dyDescent="0.25">
      <c r="B15" s="19" t="s">
        <v>88</v>
      </c>
      <c r="C15" s="101">
        <v>0.1594063741512792</v>
      </c>
      <c r="D15" s="101">
        <v>0.1594063741512792</v>
      </c>
      <c r="E15" s="101">
        <v>0.1594063741512792</v>
      </c>
      <c r="F15" s="101">
        <v>0.1594063741512792</v>
      </c>
    </row>
    <row r="16" spans="1:8" ht="15.75" customHeight="1" x14ac:dyDescent="0.25">
      <c r="B16" s="19" t="s">
        <v>89</v>
      </c>
      <c r="C16" s="101">
        <v>4.5121886732581648E-2</v>
      </c>
      <c r="D16" s="101">
        <v>4.5121886732581648E-2</v>
      </c>
      <c r="E16" s="101">
        <v>4.5121886732581648E-2</v>
      </c>
      <c r="F16" s="101">
        <v>4.5121886732581648E-2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3.5873226357410631E-3</v>
      </c>
      <c r="D19" s="101">
        <v>3.5873226357410631E-3</v>
      </c>
      <c r="E19" s="101">
        <v>3.5873226357410631E-3</v>
      </c>
      <c r="F19" s="101">
        <v>3.5873226357410631E-3</v>
      </c>
    </row>
    <row r="20" spans="1:8" ht="15.75" customHeight="1" x14ac:dyDescent="0.25">
      <c r="B20" s="19" t="s">
        <v>93</v>
      </c>
      <c r="C20" s="101">
        <v>0.42885433690608749</v>
      </c>
      <c r="D20" s="101">
        <v>0.42885433690608749</v>
      </c>
      <c r="E20" s="101">
        <v>0.42885433690608749</v>
      </c>
      <c r="F20" s="101">
        <v>0.42885433690608749</v>
      </c>
    </row>
    <row r="21" spans="1:8" ht="15.75" customHeight="1" x14ac:dyDescent="0.25">
      <c r="B21" s="19" t="s">
        <v>94</v>
      </c>
      <c r="C21" s="101">
        <v>0.21280453826937559</v>
      </c>
      <c r="D21" s="101">
        <v>0.21280453826937559</v>
      </c>
      <c r="E21" s="101">
        <v>0.21280453826937559</v>
      </c>
      <c r="F21" s="101">
        <v>0.21280453826937559</v>
      </c>
    </row>
    <row r="22" spans="1:8" ht="15.75" customHeight="1" x14ac:dyDescent="0.25">
      <c r="B22" s="19" t="s">
        <v>95</v>
      </c>
      <c r="C22" s="101">
        <v>8.354147156804044E-2</v>
      </c>
      <c r="D22" s="101">
        <v>8.354147156804044E-2</v>
      </c>
      <c r="E22" s="101">
        <v>8.354147156804044E-2</v>
      </c>
      <c r="F22" s="101">
        <v>8.354147156804044E-2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4.3847376999999993E-2</v>
      </c>
    </row>
    <row r="27" spans="1:8" ht="15.75" customHeight="1" x14ac:dyDescent="0.25">
      <c r="B27" s="19" t="s">
        <v>102</v>
      </c>
      <c r="C27" s="101">
        <v>3.4044087000000001E-2</v>
      </c>
    </row>
    <row r="28" spans="1:8" ht="15.75" customHeight="1" x14ac:dyDescent="0.25">
      <c r="B28" s="19" t="s">
        <v>103</v>
      </c>
      <c r="C28" s="101">
        <v>4.3283602999999997E-2</v>
      </c>
    </row>
    <row r="29" spans="1:8" ht="15.75" customHeight="1" x14ac:dyDescent="0.25">
      <c r="B29" s="19" t="s">
        <v>104</v>
      </c>
      <c r="C29" s="101">
        <v>0.177569167</v>
      </c>
    </row>
    <row r="30" spans="1:8" ht="15.75" customHeight="1" x14ac:dyDescent="0.25">
      <c r="B30" s="19" t="s">
        <v>2</v>
      </c>
      <c r="C30" s="101">
        <v>3.1893660999999997E-2</v>
      </c>
    </row>
    <row r="31" spans="1:8" ht="15.75" customHeight="1" x14ac:dyDescent="0.25">
      <c r="B31" s="19" t="s">
        <v>105</v>
      </c>
      <c r="C31" s="101">
        <v>9.3503550000000005E-2</v>
      </c>
    </row>
    <row r="32" spans="1:8" ht="15.75" customHeight="1" x14ac:dyDescent="0.25">
      <c r="B32" s="19" t="s">
        <v>106</v>
      </c>
      <c r="C32" s="101">
        <v>7.8392814000000005E-2</v>
      </c>
    </row>
    <row r="33" spans="2:3" ht="15.75" customHeight="1" x14ac:dyDescent="0.25">
      <c r="B33" s="19" t="s">
        <v>107</v>
      </c>
      <c r="C33" s="101">
        <v>0.15751110600000001</v>
      </c>
    </row>
    <row r="34" spans="2:3" ht="15.75" customHeight="1" x14ac:dyDescent="0.25">
      <c r="B34" s="19" t="s">
        <v>108</v>
      </c>
      <c r="C34" s="101">
        <v>0.33995463500000001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WGC39u1WklUnlyukgdnCb9b7CHlH5hEKvVnp92PvwXw8IGBl0umkSQRvnx2m2Jp8zPd6PDzDjSKr2AsSA9MIMg==" saltValue="iMrI+B+xIfviBF/S+QBtv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0.93833849674838177</v>
      </c>
      <c r="D2" s="52">
        <f>IFERROR(1-_xlfn.NORM.DIST(_xlfn.NORM.INV(SUM(D4:D5), 0, 1) + 1, 0, 1, TRUE), "")</f>
        <v>0.93833849674838177</v>
      </c>
      <c r="E2" s="52">
        <f>IFERROR(1-_xlfn.NORM.DIST(_xlfn.NORM.INV(SUM(E4:E5), 0, 1) + 1, 0, 1, TRUE), "")</f>
        <v>0.97657306715428949</v>
      </c>
      <c r="F2" s="52">
        <f>IFERROR(1-_xlfn.NORM.DIST(_xlfn.NORM.INV(SUM(F4:F5), 0, 1) + 1, 0, 1, TRUE), "")</f>
        <v>0.76771311952628396</v>
      </c>
      <c r="G2" s="52">
        <f>IFERROR(1-_xlfn.NORM.DIST(_xlfn.NORM.INV(SUM(G4:G5), 0, 1) + 1, 0, 1, TRUE), "")</f>
        <v>0.76772716564738364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5.6134303251618188E-2</v>
      </c>
      <c r="D3" s="52">
        <f>IFERROR(_xlfn.NORM.DIST(_xlfn.NORM.INV(SUM(D4:D5), 0, 1) + 1, 0, 1, TRUE) - SUM(D4:D5), "")</f>
        <v>5.6134303251618188E-2</v>
      </c>
      <c r="E3" s="52">
        <f>IFERROR(_xlfn.NORM.DIST(_xlfn.NORM.INV(SUM(E4:E5), 0, 1) + 1, 0, 1, TRUE) - SUM(E4:E5), "")</f>
        <v>2.2021132845710556E-2</v>
      </c>
      <c r="F3" s="52">
        <f>IFERROR(_xlfn.NORM.DIST(_xlfn.NORM.INV(SUM(F4:F5), 0, 1) + 1, 0, 1, TRUE) - SUM(F4:F5), "")</f>
        <v>0.190590980473716</v>
      </c>
      <c r="G3" s="52">
        <f>IFERROR(_xlfn.NORM.DIST(_xlfn.NORM.INV(SUM(G4:G5), 0, 1) + 1, 0, 1, TRUE) - SUM(G4:G5), "")</f>
        <v>0.19058103435261639</v>
      </c>
    </row>
    <row r="4" spans="1:15" ht="15.75" customHeight="1" x14ac:dyDescent="0.25">
      <c r="B4" s="5" t="s">
        <v>114</v>
      </c>
      <c r="C4" s="45">
        <v>5.5271999999999986E-3</v>
      </c>
      <c r="D4" s="53">
        <v>5.5271999999999986E-3</v>
      </c>
      <c r="E4" s="53">
        <v>0</v>
      </c>
      <c r="F4" s="53">
        <v>3.6424100000000001E-2</v>
      </c>
      <c r="G4" s="53">
        <v>3.7740099999999999E-2</v>
      </c>
    </row>
    <row r="5" spans="1:15" ht="15.75" customHeight="1" x14ac:dyDescent="0.25">
      <c r="B5" s="5" t="s">
        <v>115</v>
      </c>
      <c r="C5" s="45">
        <v>0</v>
      </c>
      <c r="D5" s="53">
        <v>0</v>
      </c>
      <c r="E5" s="53">
        <v>1.4058E-3</v>
      </c>
      <c r="F5" s="53">
        <v>5.2718000000000001E-3</v>
      </c>
      <c r="G5" s="53">
        <v>3.9516999999999998E-3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0.86844675866203558</v>
      </c>
      <c r="D8" s="52">
        <f>IFERROR(1-_xlfn.NORM.DIST(_xlfn.NORM.INV(SUM(D10:D11), 0, 1) + 1, 0, 1, TRUE), "")</f>
        <v>0.86844675866203558</v>
      </c>
      <c r="E8" s="52">
        <f>IFERROR(1-_xlfn.NORM.DIST(_xlfn.NORM.INV(SUM(E10:E11), 0, 1) + 1, 0, 1, TRUE), "")</f>
        <v>0.94854474794398136</v>
      </c>
      <c r="F8" s="52">
        <f>IFERROR(1-_xlfn.NORM.DIST(_xlfn.NORM.INV(SUM(F10:F11), 0, 1) + 1, 0, 1, TRUE), "")</f>
        <v>0.83838136775660943</v>
      </c>
      <c r="G8" s="52">
        <f>IFERROR(1-_xlfn.NORM.DIST(_xlfn.NORM.INV(SUM(G10:G11), 0, 1) + 1, 0, 1, TRUE), "")</f>
        <v>0.85944426429782506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0.1145113413379644</v>
      </c>
      <c r="D9" s="52">
        <f>IFERROR(_xlfn.NORM.DIST(_xlfn.NORM.INV(SUM(D10:D11), 0, 1) + 1, 0, 1, TRUE) - SUM(D10:D11), "")</f>
        <v>0.1145113413379644</v>
      </c>
      <c r="E9" s="52">
        <f>IFERROR(_xlfn.NORM.DIST(_xlfn.NORM.INV(SUM(E10:E11), 0, 1) + 1, 0, 1, TRUE) - SUM(E10:E11), "")</f>
        <v>4.7197352056018639E-2</v>
      </c>
      <c r="F9" s="52">
        <f>IFERROR(_xlfn.NORM.DIST(_xlfn.NORM.INV(SUM(F10:F11), 0, 1) + 1, 0, 1, TRUE) - SUM(F10:F11), "")</f>
        <v>0.13820323224339057</v>
      </c>
      <c r="G9" s="52">
        <f>IFERROR(_xlfn.NORM.DIST(_xlfn.NORM.INV(SUM(G10:G11), 0, 1) + 1, 0, 1, TRUE) - SUM(G10:G11), "")</f>
        <v>0.12169303570217489</v>
      </c>
    </row>
    <row r="10" spans="1:15" ht="15.75" customHeight="1" x14ac:dyDescent="0.25">
      <c r="B10" s="5" t="s">
        <v>119</v>
      </c>
      <c r="C10" s="45">
        <v>1.52268E-2</v>
      </c>
      <c r="D10" s="53">
        <v>1.52268E-2</v>
      </c>
      <c r="E10" s="53">
        <v>4.2579000000000002E-3</v>
      </c>
      <c r="F10" s="53">
        <v>1.9031300000000001E-2</v>
      </c>
      <c r="G10" s="53">
        <v>1.83561E-2</v>
      </c>
    </row>
    <row r="11" spans="1:15" ht="15.75" customHeight="1" x14ac:dyDescent="0.25">
      <c r="B11" s="5" t="s">
        <v>120</v>
      </c>
      <c r="C11" s="45">
        <v>1.8151E-3</v>
      </c>
      <c r="D11" s="53">
        <v>1.8151E-3</v>
      </c>
      <c r="E11" s="53">
        <v>0</v>
      </c>
      <c r="F11" s="53">
        <v>4.3841000000000001E-3</v>
      </c>
      <c r="G11" s="53">
        <v>5.0659999999999995E-4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0.95296559150000004</v>
      </c>
      <c r="D14" s="54">
        <v>0.95116511860899999</v>
      </c>
      <c r="E14" s="54">
        <v>0.95116511860899999</v>
      </c>
      <c r="F14" s="54">
        <v>0.76734861546599997</v>
      </c>
      <c r="G14" s="54">
        <v>0.76734861546599997</v>
      </c>
      <c r="H14" s="45">
        <v>0.247</v>
      </c>
      <c r="I14" s="55">
        <v>0.247</v>
      </c>
      <c r="J14" s="55">
        <v>0.247</v>
      </c>
      <c r="K14" s="55">
        <v>0.247</v>
      </c>
      <c r="L14" s="45">
        <v>0.14599999999999999</v>
      </c>
      <c r="M14" s="55">
        <v>0.14599999999999999</v>
      </c>
      <c r="N14" s="55">
        <v>0.14599999999999999</v>
      </c>
      <c r="O14" s="55">
        <v>0.14599999999999999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0.52235284153126105</v>
      </c>
      <c r="D15" s="52">
        <f t="shared" si="0"/>
        <v>0.52136594112362566</v>
      </c>
      <c r="E15" s="52">
        <f t="shared" si="0"/>
        <v>0.52136594112362566</v>
      </c>
      <c r="F15" s="52">
        <f t="shared" si="0"/>
        <v>0.42060986598984046</v>
      </c>
      <c r="G15" s="52">
        <f t="shared" si="0"/>
        <v>0.42060986598984046</v>
      </c>
      <c r="H15" s="52">
        <f t="shared" si="0"/>
        <v>0.13538909800000001</v>
      </c>
      <c r="I15" s="52">
        <f t="shared" si="0"/>
        <v>0.13538909800000001</v>
      </c>
      <c r="J15" s="52">
        <f t="shared" si="0"/>
        <v>0.13538909800000001</v>
      </c>
      <c r="K15" s="52">
        <f t="shared" si="0"/>
        <v>0.13538909800000001</v>
      </c>
      <c r="L15" s="52">
        <f t="shared" si="0"/>
        <v>8.0027563999999995E-2</v>
      </c>
      <c r="M15" s="52">
        <f t="shared" si="0"/>
        <v>8.0027563999999995E-2</v>
      </c>
      <c r="N15" s="52">
        <f t="shared" si="0"/>
        <v>8.0027563999999995E-2</v>
      </c>
      <c r="O15" s="52">
        <f t="shared" si="0"/>
        <v>8.0027563999999995E-2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vBGegigomZlSRDqypdy5tnSMoINz2BU/TZoTeVv4ykf5opLQYujuRjlB4Lojekl1V4zQ9W9H/NP/8f7hJD/Bw==" saltValue="vxpAlpmRX/n6X5yoMeGl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0.43854949999999998</v>
      </c>
      <c r="D2" s="53">
        <v>0.224714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8.4648000000000001E-2</v>
      </c>
      <c r="D3" s="53">
        <v>0.1454685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0.37770900000000002</v>
      </c>
      <c r="D4" s="53">
        <v>0.45987929999999999</v>
      </c>
      <c r="E4" s="53">
        <v>0.60442529999999994</v>
      </c>
      <c r="F4" s="53">
        <v>0.4598352</v>
      </c>
      <c r="G4" s="53">
        <v>0</v>
      </c>
    </row>
    <row r="5" spans="1:7" x14ac:dyDescent="0.25">
      <c r="B5" s="3" t="s">
        <v>132</v>
      </c>
      <c r="C5" s="52">
        <v>9.9093500000000001E-2</v>
      </c>
      <c r="D5" s="52">
        <v>0.16993820000000001</v>
      </c>
      <c r="E5" s="52">
        <f>1-SUM(E2:E4)</f>
        <v>0.39557470000000006</v>
      </c>
      <c r="F5" s="52">
        <f>1-SUM(F2:F4)</f>
        <v>0.5401648</v>
      </c>
      <c r="G5" s="52">
        <f>1-SUM(G2:G4)</f>
        <v>1</v>
      </c>
    </row>
  </sheetData>
  <sheetProtection algorithmName="SHA-512" hashValue="JGeFk2pwXAEvMtaAksFDRKqaVycXbH6xUPgkxZWDZ+NCz/hWTlofoB3l4egjFDJBVbawbAQsBTUthjoZ3IjG7w==" saltValue="NQz2td33B2Ag1HlyVxdfa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YdYrqqZbg1oUJLnwSnJa00tdnS1c/BB5vIRvCWuA+Ko0NNSDfcBj8uM4nhT6SMz4oI/qUpUHBVSf6+5wN74QA==" saltValue="i8UPTS+dkRoDKW8RqZLWq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EqJ0rBfWnWjN0TxIMQ9GHhsQeXnCF2UwTr5l3BmYFlOduhXe4qqh0gCZMLa0p9saXEhOWqGxBp/k274FlgkxGw==" saltValue="XgpIo6hO/0P/nYhI6yZf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H1Jsffegug0IEJhQV31rAeZHwUhAimGlTsozZcFl4uzyo0PqHQcaXgHQ/NwLohXQjK5t2HH+dU8+ecZQu/3J6w==" saltValue="m5TDB/5dFkYJtzFrJNVq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cjr1h4W1JyN6MdWKrWVzcCUV6O6+mCE4+HHJt2jPvMCjmhg/KIcIiOR5w1tY0e2WTsFrZr/Le0WkIPyZXNEt2Q==" saltValue="N+hWjuzSFjgsUdvbkQui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65.60734264525216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11.223012790221791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0.31097639397510651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0.2139553248340432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0.33594128499662412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14.30692084199827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14.30692084199827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14.30692084199827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14.30692084199827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14.30692084199827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14.30692084199827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2.503642449664842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0.31415611111111102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0.185</v>
      </c>
      <c r="C18" s="98">
        <v>0.95</v>
      </c>
      <c r="D18" s="56">
        <v>11.223012790221791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0.224714</v>
      </c>
      <c r="C19" s="98">
        <v>0.95</v>
      </c>
      <c r="D19" s="56">
        <v>11.223012790221791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7.4846345450640612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24.452045938305751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4.7321919239691654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0.93597991376873002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2.3140232557158318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13.803307962555669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0.56282260000000006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0.75648280000000001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318.91097169190363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0.3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0.85956929999999998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0.20890819999999999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3.2008099999999998E-2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0.107</v>
      </c>
      <c r="C38" s="98">
        <v>0.95</v>
      </c>
      <c r="D38" s="56">
        <v>0.85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8O2peLaMhfPk4OzJ02gw2qSjwarR5waghsF4ekq+BkJgPn4n45E87pih3uyNaXRrX8fx3NRhmrY/DTZ8IaitMQ==" saltValue="3ozEO+EHxbUR/Ziapksj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4d9QKyMff6KPBJ4jAsRZ8xMQ7SsWkutSqzMgHmL6NVazkl8Lwoxw1QLjZCMNp37Vfr2Zcb6vAL8CBK2cW9Gh0w==" saltValue="LKYqJlsG1dPREPF34jJ+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vz2KzQR302YfapAhnVC1pl5DSRv0UjVwNjCfxR0QxlAVdgFRclqG5285jbD+BSxDEdAiB3SnMDfnWnYFQXRdQQ==" saltValue="wtr4r98BNwTPdGwBiLRyy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3.9589680000000002E-2</v>
      </c>
      <c r="C3" s="21">
        <f>frac_mam_1_5months * 2.6</f>
        <v>3.9589680000000002E-2</v>
      </c>
      <c r="D3" s="21">
        <f>frac_mam_6_11months * 2.6</f>
        <v>1.107054E-2</v>
      </c>
      <c r="E3" s="21">
        <f>frac_mam_12_23months * 2.6</f>
        <v>4.9481380000000005E-2</v>
      </c>
      <c r="F3" s="21">
        <f>frac_mam_24_59months * 2.6</f>
        <v>4.7725860000000002E-2</v>
      </c>
    </row>
    <row r="4" spans="1:6" ht="15.75" customHeight="1" x14ac:dyDescent="0.25">
      <c r="A4" s="3" t="s">
        <v>208</v>
      </c>
      <c r="B4" s="21">
        <f>frac_sam_1month * 2.6</f>
        <v>4.7192600000000003E-3</v>
      </c>
      <c r="C4" s="21">
        <f>frac_sam_1_5months * 2.6</f>
        <v>4.7192600000000003E-3</v>
      </c>
      <c r="D4" s="21">
        <f>frac_sam_6_11months * 2.6</f>
        <v>0</v>
      </c>
      <c r="E4" s="21">
        <f>frac_sam_12_23months * 2.6</f>
        <v>1.1398660000000001E-2</v>
      </c>
      <c r="F4" s="21">
        <f>frac_sam_24_59months * 2.6</f>
        <v>1.3171599999999999E-3</v>
      </c>
    </row>
  </sheetData>
  <sheetProtection algorithmName="SHA-512" hashValue="I8VnBApUU1Ia5qT1IBlQSdWGuR2RRa6QMCWmei33X227WoltQYbYzOkC7Rm/KS3ptiUg72qeDwodAvy10EEpoQ==" saltValue="XgMaGy/t8scV8FmpXh5BN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1.4E-2</v>
      </c>
      <c r="E2" s="60">
        <f>food_insecure</f>
        <v>1.4E-2</v>
      </c>
      <c r="F2" s="60">
        <f>food_insecure</f>
        <v>1.4E-2</v>
      </c>
      <c r="G2" s="60">
        <f>food_insecure</f>
        <v>1.4E-2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1.4E-2</v>
      </c>
      <c r="F5" s="60">
        <f>food_insecure</f>
        <v>1.4E-2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1.4E-2</v>
      </c>
      <c r="F8" s="60">
        <f>food_insecure</f>
        <v>1.4E-2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1.4E-2</v>
      </c>
      <c r="F9" s="60">
        <f>food_insecure</f>
        <v>1.4E-2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1.4E-2</v>
      </c>
      <c r="I15" s="60">
        <f>food_insecure</f>
        <v>1.4E-2</v>
      </c>
      <c r="J15" s="60">
        <f>food_insecure</f>
        <v>1.4E-2</v>
      </c>
      <c r="K15" s="60">
        <f>food_insecure</f>
        <v>1.4E-2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0.68900000000000006</v>
      </c>
      <c r="M24" s="60">
        <f>famplan_unmet_need</f>
        <v>0.68900000000000006</v>
      </c>
      <c r="N24" s="60">
        <f>famplan_unmet_need</f>
        <v>0.68900000000000006</v>
      </c>
      <c r="O24" s="60">
        <f>famplan_unmet_need</f>
        <v>0.68900000000000006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0.32826704320831274</v>
      </c>
      <c r="M25" s="60">
        <f>(1-food_insecure)*(0.49)+food_insecure*(0.7)</f>
        <v>0.49293999999999993</v>
      </c>
      <c r="N25" s="60">
        <f>(1-food_insecure)*(0.49)+food_insecure*(0.7)</f>
        <v>0.49293999999999993</v>
      </c>
      <c r="O25" s="60">
        <f>(1-food_insecure)*(0.49)+food_insecure*(0.7)</f>
        <v>0.49293999999999993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0.14068587566070545</v>
      </c>
      <c r="M26" s="60">
        <f>(1-food_insecure)*(0.21)+food_insecure*(0.3)</f>
        <v>0.21126</v>
      </c>
      <c r="N26" s="60">
        <f>(1-food_insecure)*(0.21)+food_insecure*(0.3)</f>
        <v>0.21126</v>
      </c>
      <c r="O26" s="60">
        <f>(1-food_insecure)*(0.21)+food_insecure*(0.3)</f>
        <v>0.21126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0.19698419966125474</v>
      </c>
      <c r="M27" s="60">
        <f>(1-food_insecure)*(0.3)</f>
        <v>0.29580000000000001</v>
      </c>
      <c r="N27" s="60">
        <f>(1-food_insecure)*(0.3)</f>
        <v>0.29580000000000001</v>
      </c>
      <c r="O27" s="60">
        <f>(1-food_insecure)*(0.3)</f>
        <v>0.29580000000000001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0.33406288146972701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6pBT1EsFQq7Oewp8CD4EM4vYDFGR/V1CM7U8+bq7HWk9RYaKOJT+lZA4iTs74+cH7NcfkP/UPBEX8qpSe5p+KQ==" saltValue="8/FEwuzqh6TkJPF/SCIs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U2UArnwamMYi3d6uFje5s+9njm7oLr4DQkU1+7RtBx/lM+9LMMjA73P4Xd4Q7H9on170weO2EsJeVRnzEW6sYQ==" saltValue="/T5xKeT1np9spxc6jLVX6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Ryi5svvNKpcdfaAM7i3yiyxEqKNYtuAMJPvR+YCKd/N8csxnLW9zy/keT5UcloG3HbXztD5upV3rkKF+N7YJQ==" saltValue="U/MkylEj9lF7lOXoQ0wtc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niV+BKGm9fF3UKgGJmQfDrwfprtc1u+1hvpAC5gDwa5kieIH4ia5yaNq3MPaiIRJQ8f0MVxfuPh0lA7VuIhEMA==" saltValue="8/b8CZG44vMbC6FUtqqV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VQjiiA2syJ7Dujo694pv4gghA9HD+TGUNGUOrwHsHdblHtLFKUbp1gnxCOeY2C8MoLNcEDOqNkbilPf0P8tzRQ==" saltValue="QmU7Lqp3gRP6/k6jtlbOc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n+trsyO29/Nvh/jTpxUm9jQVDoSAOeeBkHCUHCXz7fym/V9DzzzbLOk/lNAaAyAzGKNNbw4VdDqMeTW5XS3I8A==" saltValue="jv6XjhVuiKb+T/pOK6EFk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Hd7FYdCB3EQEU8h/uP8J0tM1xVNitGrzxUOmVBoGP9UQTJCvQXCx0yLW64xTSjQVsrCTpBzh8+e3mMaui9otVw==" saltValue="SSwjxQix7wvUe6bo8Ulen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buUq7XpVXrY6WCd+WXFK1AJEVTztQV6ua06Av07R5OKGapvu5zlHb2bbQed5VEs/8L/5MWRYZJucrKqRqzvyA==" saltValue="oVePJYyiSDBo1SEV9zU+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/j55ZDKPQslNE1qqM6x47ULtxETkuSH5vPSoJ3kT7AVnn4DX3ydIDu3JX1yICg6H6zj5LFlvZDFAJryhmp5prg==" saltValue="QLq2WK+gOa1JWA8gjhQz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SE1jGVOghJKNSzvDB6OPz1WOy7p+VSLHSk0Uso6lLc3NeDysJ0I9okHxptCHiXpodZrFalJzbyjIFsfzwosf/A==" saltValue="DpgcWsziOUYfQm2dTB8r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PbJQbs6eaCK+pMBbekEwEQ1vFiPJ3vEJfxeZqUx0LeWRkb/FQhJt04m+Sg/eqMek0WGREJSxblkTwic3JJPbdg==" saltValue="JPtM/DTw7TEttyU6n0Sz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FKE6MguiWGwRG8WPgICl0lgp9b6dkXAkFPdS52KNeSd028b7ifrn5MuydgbIDbwd6DYTTia8kI7Uai3T23DTA==" saltValue="Z/e4yLoSHjcg/TDCHbue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C5J6Z26gNcPTzh99iiDn8MvtIUASmAV9mYvxOvtEe0bMeQTmzUN8fR7y32uhfMOp3i5Ta9acKijUOfvpFPjr+Q==" saltValue="kY5MeIntwZDhxcS8IaZ5H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0.10957058952636967</v>
      </c>
      <c r="H18" s="90">
        <f>MIN(MAX(1-0.89/(1-frac_sam_24_59months+(frac_sam_24_59months*0.89)),0),1)</f>
        <v>0.10995040109605148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0.10958295625964032</v>
      </c>
      <c r="G20" s="90">
        <f>MIN(MAX(1-0.89/(1-frac_mam_12_23months+(frac_mam_12_23months*0.89)),0),1)</f>
        <v>0.10813292711934752</v>
      </c>
      <c r="H20" s="90">
        <f>MIN(MAX(1-0.89/(1-frac_mam_24_59months+(frac_mam_24_59months*0.89)),0),1)</f>
        <v>0.10819930189260185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9.9565955071035939E-3</v>
      </c>
      <c r="H73" s="90">
        <f>MIN(MAX(1-0.99/(1-frac_sam_24_59months+(frac_sam_24_59months*0.99)),0),1)</f>
        <v>9.9949846345921411E-3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9.9578449950820103E-3</v>
      </c>
      <c r="G75" s="90">
        <f>MIN(MAX(1-0.99/(1-frac_mam_12_23months+(frac_mam_12_23months*0.99)),0),1)</f>
        <v>9.8115542663271826E-3</v>
      </c>
      <c r="H75" s="90">
        <f>MIN(MAX(1-0.99/(1-frac_mam_24_59months+(frac_mam_24_59months*0.99)),0),1)</f>
        <v>9.8182412461814694E-3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0.19929792840958804</v>
      </c>
      <c r="H128" s="90">
        <f>MIN(MAX(1-0.8/(1-frac_sam_24_59months+(frac_sam_24_59months*0.8)),0),1)</f>
        <v>0.19991893578657383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0.19931815535473685</v>
      </c>
      <c r="G130" s="90">
        <f>MIN(MAX(1-0.8/(1-frac_mam_12_23months+(frac_mam_12_23months*0.8)),0),1)</f>
        <v>0.19694335762439141</v>
      </c>
      <c r="H130" s="90">
        <f>MIN(MAX(1-0.8/(1-frac_mam_24_59months+(frac_mam_24_59months*0.8)),0),1)</f>
        <v>0.1970522019849712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HphrfGr3ETrSCPR2lqKFeAPDUNR9HNfpWD28NBhV0QfI/XsKQNQbmAA3bj+wf1un4svXncQw0LE8CjZmdS6Cg==" saltValue="5ipZnCr9MrayOEQNyhTG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Vbiio/SHKm+ncWat/gYu4mOBu7MKZCwDSs2+7yjhLOhHQt/2cV1pLXXOVckg2CWEFH7z8S965GrBtV7KBz0FzA==" saltValue="vZ9sLcU7Dlm4Oqw6wDOsE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2024-08-06T08:51:56Z</dcterms:modified>
</cp:coreProperties>
</file>