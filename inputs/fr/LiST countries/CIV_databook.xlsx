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3244D0B-3482-445B-A8CD-C99DF329AF7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<sst xmlns="http://schemas.openxmlformats.org/spreadsheetml/2006/main" count="2169" uniqueCount="369">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</sst>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4637010</v>
      </c>
    </row>
    <row r="8" spans="1:3" ht="15" customHeight="1" x14ac:dyDescent="0.25">
      <c r="B8" s="5" t="s">
        <v>37</v>
      </c>
      <c r="C8" s="44">
        <v>0.34100000000000003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0.24519759999999999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0.13689999999999999</v>
      </c>
    </row>
    <row r="24" spans="1:3" ht="15" customHeight="1" x14ac:dyDescent="0.25">
      <c r="B24" s="15" t="s">
        <v>51</v>
      </c>
      <c r="C24" s="45">
        <v>0.45260000000000011</v>
      </c>
    </row>
    <row r="25" spans="1:3" ht="15" customHeight="1" x14ac:dyDescent="0.25">
      <c r="B25" s="15" t="s">
        <v>52</v>
      </c>
      <c r="C25" s="45">
        <v>0.30809999999999998</v>
      </c>
    </row>
    <row r="26" spans="1:3" ht="15" customHeight="1" x14ac:dyDescent="0.25">
      <c r="B26" s="15" t="s">
        <v>53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0.2268357</v>
      </c>
    </row>
    <row r="30" spans="1:3" ht="14.25" customHeight="1" x14ac:dyDescent="0.25">
      <c r="B30" s="25" t="s">
        <v>56</v>
      </c>
      <c r="C30" s="97">
        <v>4.6049300000000001E-2</v>
      </c>
    </row>
    <row r="31" spans="1:3" ht="14.25" customHeight="1" x14ac:dyDescent="0.25">
      <c r="B31" s="25" t="s">
        <v>57</v>
      </c>
      <c r="C31" s="97">
        <v>6.9075899999999996E-2</v>
      </c>
    </row>
    <row r="32" spans="1:3" ht="14.25" customHeight="1" x14ac:dyDescent="0.25">
      <c r="B32" s="25" t="s">
        <v>58</v>
      </c>
      <c r="C32" s="97">
        <v>0.65803900000000004</v>
      </c>
    </row>
    <row r="33" spans="1:5" ht="13.25" customHeight="1" x14ac:dyDescent="0.25">
      <c r="B33" s="27" t="s">
        <v>59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5.3631900000000003</v>
      </c>
    </row>
    <row r="38" spans="1:5" ht="15" customHeight="1" x14ac:dyDescent="0.25">
      <c r="B38" s="11" t="s">
        <v>63</v>
      </c>
      <c r="C38" s="43">
        <v>6.2443299999999997</v>
      </c>
      <c r="D38" s="12"/>
      <c r="E38" s="13"/>
    </row>
    <row r="39" spans="1:5" ht="15" customHeight="1" x14ac:dyDescent="0.25">
      <c r="B39" s="11" t="s">
        <v>64</v>
      </c>
      <c r="C39" s="43">
        <v>7.6475099999999996</v>
      </c>
      <c r="D39" s="12"/>
      <c r="E39" s="12"/>
    </row>
    <row r="40" spans="1:5" ht="15" customHeight="1" x14ac:dyDescent="0.25">
      <c r="B40" s="11" t="s">
        <v>65</v>
      </c>
      <c r="C40" s="98">
        <v>0.22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71</v>
      </c>
      <c r="C47" s="45">
        <v>7.41401E-2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1.5860000000000001</v>
      </c>
      <c r="D51" s="12"/>
    </row>
    <row r="52" spans="1:4" ht="15" customHeight="1" x14ac:dyDescent="0.25">
      <c r="B52" s="11" t="s">
        <v>75</v>
      </c>
      <c r="C52" s="98">
        <v>1.5860000000000001</v>
      </c>
    </row>
    <row r="53" spans="1:4" ht="15.75" customHeight="1" x14ac:dyDescent="0.25">
      <c r="B53" s="11" t="s">
        <v>76</v>
      </c>
      <c r="C53" s="98">
        <v>4.524</v>
      </c>
    </row>
    <row r="54" spans="1:4" ht="15.75" customHeight="1" x14ac:dyDescent="0.25">
      <c r="B54" s="11" t="s">
        <v>77</v>
      </c>
      <c r="C54" s="98">
        <v>4.55</v>
      </c>
    </row>
    <row r="55" spans="1:4" ht="15.75" customHeight="1" x14ac:dyDescent="0.25">
      <c r="B55" s="11" t="s">
        <v>78</v>
      </c>
      <c r="C55" s="98">
        <v>2.4006666666666669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0.54813400000000001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zht6DBRxXx+f+UvRAGaiJqwmWz5kXc9U4kBF5lQWKnmY+eGkh97AupWaJ2OodeOQuzKhSUpoDK0Qruf6FfW50w==" saltValue="xp2a8i/JfY3ywAhRLb/c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I/ODAF1NopCOLRHw+IXhMmFdJx2crG4Lz5ywo1J0ImPyznMyFNDdFf0JkrDW1e+SZWhqdQhzFYLah1d28fX2A==" saltValue="QAsMN8NO+vnVhUVqJC3J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2.2469799999999981E-2</v>
      </c>
    </row>
    <row r="5" spans="1:8" ht="15.75" customHeight="1" x14ac:dyDescent="0.25">
      <c r="B5" s="19" t="s">
        <v>98</v>
      </c>
      <c r="C5" s="99">
        <v>2.4460900000000049E-2</v>
      </c>
    </row>
    <row r="6" spans="1:8" ht="15.75" customHeight="1" x14ac:dyDescent="0.25">
      <c r="B6" s="19" t="s">
        <v>99</v>
      </c>
      <c r="C6" s="99">
        <v>0.10187679999999991</v>
      </c>
    </row>
    <row r="7" spans="1:8" ht="15.75" customHeight="1" x14ac:dyDescent="0.25">
      <c r="B7" s="19" t="s">
        <v>100</v>
      </c>
      <c r="C7" s="99">
        <v>0.41340200000000021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0.39500150000000001</v>
      </c>
    </row>
    <row r="10" spans="1:8" ht="15.75" customHeight="1" x14ac:dyDescent="0.25">
      <c r="B10" s="19" t="s">
        <v>103</v>
      </c>
      <c r="C10" s="99">
        <v>4.2788999999999952E-2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106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107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111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112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113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4.3847376999999993E-2</v>
      </c>
    </row>
    <row r="27" spans="1:8" ht="15.75" customHeight="1" x14ac:dyDescent="0.25">
      <c r="B27" s="19" t="s">
        <v>120</v>
      </c>
      <c r="C27" s="99">
        <v>3.4044087000000001E-2</v>
      </c>
    </row>
    <row r="28" spans="1:8" ht="15.75" customHeight="1" x14ac:dyDescent="0.25">
      <c r="B28" s="19" t="s">
        <v>121</v>
      </c>
      <c r="C28" s="99">
        <v>4.3283602999999997E-2</v>
      </c>
    </row>
    <row r="29" spans="1:8" ht="15.75" customHeight="1" x14ac:dyDescent="0.25">
      <c r="B29" s="19" t="s">
        <v>122</v>
      </c>
      <c r="C29" s="99">
        <v>0.177569167</v>
      </c>
    </row>
    <row r="30" spans="1:8" ht="15.75" customHeight="1" x14ac:dyDescent="0.25">
      <c r="B30" s="19" t="s">
        <v>2</v>
      </c>
      <c r="C30" s="99">
        <v>3.1893660999999997E-2</v>
      </c>
    </row>
    <row r="31" spans="1:8" ht="15.75" customHeight="1" x14ac:dyDescent="0.25">
      <c r="B31" s="19" t="s">
        <v>123</v>
      </c>
      <c r="C31" s="99">
        <v>9.3503550000000005E-2</v>
      </c>
    </row>
    <row r="32" spans="1:8" ht="15.75" customHeight="1" x14ac:dyDescent="0.25">
      <c r="B32" s="19" t="s">
        <v>124</v>
      </c>
      <c r="C32" s="99">
        <v>7.8392814000000005E-2</v>
      </c>
    </row>
    <row r="33" spans="2:3" ht="15.75" customHeight="1" x14ac:dyDescent="0.25">
      <c r="B33" s="19" t="s">
        <v>125</v>
      </c>
      <c r="C33" s="99">
        <v>0.15751110600000001</v>
      </c>
    </row>
    <row r="34" spans="2:3" ht="15.75" customHeight="1" x14ac:dyDescent="0.25">
      <c r="B34" s="19" t="s">
        <v>126</v>
      </c>
      <c r="C34" s="99">
        <v>0.33995463500000001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4HgO5n9+YG+EtLxdOtHr0qmpo3wj5dYXcK11siIlwNt0JZOfd+wcByMk5PsmdAs/z5Szo4x21kSaWB98kRJ5ig==" saltValue="k4uLwr6fa1tnQemscDDl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132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133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137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8/Sx8urLaiRYkGtUcCXBaTJlI4/VS6aBheZIupjE6CshQ4e3lojX0GryWAqSKnd6iZqX3Kki94Cg3RD39Jexg==" saltValue="OAdqGOFITN1MSW9TVABJ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nK8BY/7HK2QsrYqWvmYdBhjGbsEYtL58GIWQP3UnuLAvMlU0BFkWJeLiJ1zlNlKOCUg+It8EK2coqtCfGKJF6w==" saltValue="rHPZhCG3VT0dDg6MkSo00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1N2Z/AF/DezM2QU0kLecu8elQ4+32meogfw2Tb5qKtFRuyqfw3PPG71h6rgt6xIG5bvYGMsl1uffFMIQvRGRQ==" saltValue="NUaAB0uHsicbyjQD+XcW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2486.4121939424799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0.31214999999999998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0.58029000000000008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1.2964714354519241E-2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92069.397580000004</v>
      </c>
      <c r="C22" s="107">
        <v>90749.257360000003</v>
      </c>
      <c r="D22" s="107">
        <v>89790.536429999993</v>
      </c>
      <c r="E22" s="107">
        <v>89178.959210000001</v>
      </c>
      <c r="F22" s="107">
        <v>88374.46819</v>
      </c>
      <c r="G22" s="107">
        <v>87395.65986</v>
      </c>
      <c r="H22" s="107">
        <v>86127.279179999998</v>
      </c>
      <c r="I22" s="107">
        <v>84387.821970000005</v>
      </c>
      <c r="J22" s="107">
        <v>81916.292199999996</v>
      </c>
      <c r="K22" s="107">
        <v>78625.321379999994</v>
      </c>
      <c r="L22" s="107">
        <v>74160.815640000001</v>
      </c>
      <c r="M22" s="107">
        <v>68437.283880000003</v>
      </c>
      <c r="N22" s="107">
        <v>60724.808649999999</v>
      </c>
      <c r="O22" s="107">
        <v>51151.459410000003</v>
      </c>
    </row>
  </sheetData>
  <sheetProtection algorithmName="SHA-512" hashValue="qIAzi7XZhkLoJ4ix/tsEYcPrq2bmGcxNs7OrbawIJ62JUqUGoEfhhxdfm/ESqH6wbwJAhg46tw28LSsstNMjww==" saltValue="nMde1oZ7w1d5e0eyUSe//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rMq/YAToHD7wxTrDMiBECEWUz3y7iFunazJd1zUAYxrLVN17CacWu8S9gQ1mbu1Pk4uF4fca3leOfr8QRdBfw==" saltValue="6yEHV/9TlPkc0rTWEpSg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3JsY4G1+IH9PBEZRd8r51NTOjNaBUZBiGxXQR3RssU0qBa7Th+I5/dO6gl/wPba9WhSbzNwUuqUTurolIYb4rQ==" saltValue="iWzG6ngqe83eG7UJXRK4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14.30692084199827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14.30692084199827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14.30692084199827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14.30692084199827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14.30692084199827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14.30692084199827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0.31415611111111102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0.185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0.224714</v>
      </c>
      <c r="C19" s="96">
        <v>0.95</v>
      </c>
      <c r="D19" s="56">
        <v>11.223012790221791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4.7321919239691654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0.93597991376873002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0.56282260000000006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0.75648280000000001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0.72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0.21814959119999999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0.20890819999999999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3.2008099999999998E-2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0.107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af0YGZM/A0JUsYA7Mg6BcM/teA/79149iYAKbpV/Z0dqvL7NTbjfIcLbQUXj3CLFd9ix0GVZMYn2QJcxNISYEw==" saltValue="zeBoSf9RBH6j1hbUCoMu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w0vp3y+s9orf0lIBY23aCkgdcLYnzJ1MhW0tTxl4F9XxN0P9z0TW9q60/PnZvSWwkDnWYhnIijUuWQ/dvlmKw==" saltValue="mIMHBIfnZC7D0EG+rsAY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KQ6isbM+bimNpM0cM7ViQsKppU82SkSPGJH8OAjlRP9T4oWNSqtU/dcaY77FsbJdsf9qT9Pszait5PsODwGbQ==" saltValue="u+WdYpfJoPTcmpUxPwDYc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1.5860000000000001</v>
      </c>
      <c r="C2" s="21">
        <f>'Données pop de l''année de ref'!C52</f>
        <v>1.5860000000000001</v>
      </c>
      <c r="D2" s="21">
        <f>'Données pop de l''année de ref'!C53</f>
        <v>4.524</v>
      </c>
      <c r="E2" s="21">
        <f>'Données pop de l''année de ref'!C54</f>
        <v>4.55</v>
      </c>
      <c r="F2" s="21">
        <f>'Données pop de l''année de ref'!C55</f>
        <v>2.4006666666666669</v>
      </c>
    </row>
    <row r="3" spans="1:6" ht="15.75" customHeight="1" x14ac:dyDescent="0.25">
      <c r="A3" s="3" t="s">
        <v>238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3hHyFZ27cHxU/UNJ8FlDM/RhRjqI1jAmlV84oFd0oRFGMpHf6c3sC9AaI4tN+/kQBsJVCX2haAcwWHbEI4NwNg==" saltValue="pAyasIJ9FV6GBGyfamNs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POnsQBrqWV/dhQ/Ppd/BlusQUHCU0607FDCoX/bHFd2VoskY65FNo3AoJnySPkS2NXD1gOM6dYgEJLernL0cw==" saltValue="iETsktom8moJADcX0Tr5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a5H+yvlYaGn3Vo3gg8LBq0n1IlgVHfiRPpuJZDcuf9MwPVNhv8iC7+Bnzk+H8xX3AIf819QWkBnWwN6743/Jw==" saltValue="O6b0nc9CdMlSrVYjy+oW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ysB2Av8mWv8kqzueJxnordgLWo80B2Y7hPZ1Uuo5oy7uvqmvl8IHArykb/YdQVKHl1gc34jN+yZwwOzpWQGTg==" saltValue="BRGcQXgjsIk1j4X5eOBV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dx+i3rCKjp1Gj1qrXJwlX3REW1vsXLjuTl/XQbfHPorL0q2ZuOB0fyRaZFgOlzKempxzgyAOOmA36yrV35MVg==" saltValue="RYmWiW1WjrsMntC12+I/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1tmM81p86DPGwDJUNRjh6FRab4OGCcnJh+ILxbN4PtoiVyYSMyNb3bu4GWWu3rLiZh/EY7D0uZnyi7YIVNYDUw==" saltValue="oWThwPzOGmKbyWZq519k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WhufFKpGP+8MD0Kxsc/hbGHW0tvfrf2YpMQ/lhfPz4WXMLPOjcApEOCCRxDtraiLnPaF9JjEiuXEhfG8RBT3IQ==" saltValue="FMrm3etG3zp9cyW3OIBT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avDsDpzvXGuIPH0iBfzOt1hyFSqFsJ16fVtoCq91BPdoBvU4aBGfhdQFYb7cMeg1tbqCD2oWygYA3FOEDp4zg==" saltValue="h10TwYj/C/Vv4fc0gUael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XHwvdwXME8FJSrFqsT7CPE0kR9TNQzYaO5rJO1IvJbuyRT2GbWaJZRFWUA0ctcUfDJnM/LSWERVqd5e1DB3yA==" saltValue="6eBFf5ig341Re1qRaARy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p0O2hWdyLJPus2lxEC7gIu1FUwZFRqcpGPi6T/Lh29d6ezUdTjd78ieA9BLKnCd/RIjdUpqg/3DopQfArX8ug==" saltValue="lAVZD+YDKMPkue5zxBVI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XcHvswhnBSsUhh4cBQWoTrZTIFwj/ucNfbV8CEj6XzvHKGdhDw15oXMFDu1f+K7Nbye8H3ikROt87f6zs7XjQ==" saltValue="PiCuw8d75GHkxV4zVEH0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uAhibgnCD/VqHZKGQtkutHTy6V7mJWcV/dve7ksNGgUF6rI/OWDn2grYTFUrMFhsRKusIAEuc5Riu9NbdPCWg==" saltValue="ECSIZJi6Vr5Z+hm7c5b6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OXi3jo5N2ejU4l2epwEgmUW/B4j2S0/WPjqT4L0oczSO1iIr5Y0LWSKZ5YXDA3c0Upj8YEb0rKCP0am5qedQg==" saltValue="qOvr3NkZ4s9sQr9/8MMq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xo0arP7zd63BpPFBzrWuWmuKFWur3DiZnqIjndqZDYRXCqfQo1UVdTMIGPf6+bK+EBD8TV+8VqrPfBtqsJh/Q==" saltValue="04Eit2Fs6NGXTs9aaES1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cLNPmJ1e/OySQdXhdp516cHWofotZ8+iCQ1kUYDH8cMP/aVrgVOaD0sGxLOFeBW2zEKkTHTNX0sklNapkVwKQ==" saltValue="1cDWECz+PlWB/xC3KDtg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Cf6+yoiDSS2KkVrR5KVP5s+St8kOQxNtO+uSEcQKSajE7RLJ3xGB61zRM2A2/vTG5Olrzu86QvzFrlm2+CRRQ==" saltValue="FrvI5YbByABsEu2iolzcG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