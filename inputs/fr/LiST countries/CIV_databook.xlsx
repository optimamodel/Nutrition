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E71D9AE4-8494-4A00-8E80-70B7A715152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<sst xmlns="http://schemas.openxmlformats.org/spreadsheetml/2006/main" count="2102" uniqueCount="337">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</sst>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301295.630859375</v>
      </c>
    </row>
    <row r="8" spans="1:3" ht="15" customHeight="1" x14ac:dyDescent="0.25">
      <c r="B8" s="5" t="s">
        <v>19</v>
      </c>
      <c r="C8" s="44">
        <v>1.4E-2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0.33406288146972701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0.68900000000000006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0.13689999999999999</v>
      </c>
    </row>
    <row r="24" spans="1:3" ht="15" customHeight="1" x14ac:dyDescent="0.25">
      <c r="B24" s="15" t="s">
        <v>33</v>
      </c>
      <c r="C24" s="45">
        <v>0.45260000000000011</v>
      </c>
    </row>
    <row r="25" spans="1:3" ht="15" customHeight="1" x14ac:dyDescent="0.25">
      <c r="B25" s="15" t="s">
        <v>34</v>
      </c>
      <c r="C25" s="45">
        <v>0.30809999999999998</v>
      </c>
    </row>
    <row r="26" spans="1:3" ht="15" customHeight="1" x14ac:dyDescent="0.25">
      <c r="B26" s="15" t="s">
        <v>35</v>
      </c>
      <c r="C26" s="45">
        <v>0.1024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0.2268357</v>
      </c>
    </row>
    <row r="30" spans="1:3" ht="14.25" customHeight="1" x14ac:dyDescent="0.25">
      <c r="B30" s="25" t="s">
        <v>38</v>
      </c>
      <c r="C30" s="99">
        <v>4.6049300000000001E-2</v>
      </c>
    </row>
    <row r="31" spans="1:3" ht="14.25" customHeight="1" x14ac:dyDescent="0.25">
      <c r="B31" s="25" t="s">
        <v>39</v>
      </c>
      <c r="C31" s="99">
        <v>6.9075899999999996E-2</v>
      </c>
    </row>
    <row r="32" spans="1:3" ht="14.25" customHeight="1" x14ac:dyDescent="0.25">
      <c r="B32" s="25" t="s">
        <v>40</v>
      </c>
      <c r="C32" s="99">
        <v>0.65803900000000004</v>
      </c>
    </row>
    <row r="33" spans="1:5" ht="13" customHeight="1" x14ac:dyDescent="0.25">
      <c r="B33" s="27" t="s">
        <v>41</v>
      </c>
      <c r="C33" s="48">
        <f>SUM(C29:C32)</f>
        <v>0.99999990000000005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5.3631900000000003</v>
      </c>
    </row>
    <row r="38" spans="1:5" ht="15" customHeight="1" x14ac:dyDescent="0.25">
      <c r="B38" s="11" t="s">
        <v>45</v>
      </c>
      <c r="C38" s="43">
        <v>6.2443299999999997</v>
      </c>
      <c r="D38" s="12"/>
      <c r="E38" s="13"/>
    </row>
    <row r="39" spans="1:5" ht="15" customHeight="1" x14ac:dyDescent="0.25">
      <c r="B39" s="11" t="s">
        <v>46</v>
      </c>
      <c r="C39" s="43">
        <v>7.6475099999999996</v>
      </c>
      <c r="D39" s="12"/>
      <c r="E39" s="12"/>
    </row>
    <row r="40" spans="1:5" ht="15" customHeight="1" x14ac:dyDescent="0.25">
      <c r="B40" s="11" t="s">
        <v>47</v>
      </c>
      <c r="C40" s="100">
        <v>0.22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7.2145000000000004E-3</v>
      </c>
      <c r="D45" s="12"/>
    </row>
    <row r="46" spans="1:5" ht="15.75" customHeight="1" x14ac:dyDescent="0.25">
      <c r="B46" s="11" t="s">
        <v>52</v>
      </c>
      <c r="C46" s="45">
        <v>7.7518500000000004E-2</v>
      </c>
      <c r="D46" s="12"/>
    </row>
    <row r="47" spans="1:5" ht="15.75" customHeight="1" x14ac:dyDescent="0.25">
      <c r="B47" s="11" t="s">
        <v>53</v>
      </c>
      <c r="C47" s="45">
        <v>7.41401E-2</v>
      </c>
      <c r="D47" s="12"/>
      <c r="E47" s="13"/>
    </row>
    <row r="48" spans="1:5" ht="15" customHeight="1" x14ac:dyDescent="0.25">
      <c r="B48" s="11" t="s">
        <v>54</v>
      </c>
      <c r="C48" s="46">
        <v>0.84112690000000001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0.54813400000000001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0.15460177999999999</v>
      </c>
    </row>
    <row r="63" spans="1:4" ht="15.75" customHeight="1" x14ac:dyDescent="0.3">
      <c r="A63" s="4"/>
    </row>
  </sheetData>
  <sheetProtection algorithmName="SHA-512" hashValue="KGmB9NjI9u+IzlyjvapDFhvcD4RoKVdyIqONFpVzZz6GwLOdBprWVdx1gg78gGE3IsmYmrORCZQviA0LvPsPig==" saltValue="Zh07lAV8o8VBLFy32c2k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974998</v>
      </c>
      <c r="C2" s="49">
        <v>1986264.5</v>
      </c>
      <c r="D2" s="49">
        <v>2598987</v>
      </c>
      <c r="E2" s="49">
        <v>1771321</v>
      </c>
      <c r="F2" s="49">
        <v>1186631.5</v>
      </c>
      <c r="G2" s="17">
        <f t="shared" ref="G2:G13" si="0">C2+D2+E2+F2</f>
        <v>7543204</v>
      </c>
      <c r="H2" s="17">
        <f t="shared" ref="H2:H13" si="1">(B2 + stillbirth*B2/(1000-stillbirth))/(1-abortion)</f>
        <v>1112652.193478178</v>
      </c>
      <c r="I2" s="17">
        <f t="shared" ref="I2:I13" si="2">G2-H2</f>
        <v>6430551.8065218218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989981</v>
      </c>
      <c r="C3" s="50">
        <v>2036863</v>
      </c>
      <c r="D3" s="50">
        <v>2684621.5</v>
      </c>
      <c r="E3" s="50">
        <v>1826042.5</v>
      </c>
      <c r="F3" s="50">
        <v>1219585.5</v>
      </c>
      <c r="G3" s="17">
        <f t="shared" si="0"/>
        <v>7767112.5</v>
      </c>
      <c r="H3" s="17">
        <f t="shared" si="1"/>
        <v>1129750.5545157224</v>
      </c>
      <c r="I3" s="17">
        <f t="shared" si="2"/>
        <v>6637361.9454842778</v>
      </c>
    </row>
    <row r="4" spans="1:9" ht="15.75" customHeight="1" x14ac:dyDescent="0.25">
      <c r="A4" s="5">
        <f t="shared" si="3"/>
        <v>2026</v>
      </c>
      <c r="B4" s="49">
        <v>1004962</v>
      </c>
      <c r="C4" s="50">
        <v>2083487.5</v>
      </c>
      <c r="D4" s="50">
        <v>2769715.5</v>
      </c>
      <c r="E4" s="50">
        <v>1890099.5</v>
      </c>
      <c r="F4" s="50">
        <v>1245990</v>
      </c>
      <c r="G4" s="17">
        <f t="shared" si="0"/>
        <v>7989292.5</v>
      </c>
      <c r="H4" s="17">
        <f t="shared" si="1"/>
        <v>1146846.633185111</v>
      </c>
      <c r="I4" s="17">
        <f t="shared" si="2"/>
        <v>6842445.866814889</v>
      </c>
    </row>
    <row r="5" spans="1:9" ht="15.75" customHeight="1" x14ac:dyDescent="0.25">
      <c r="A5" s="5">
        <f t="shared" si="3"/>
        <v>2027</v>
      </c>
      <c r="B5" s="49">
        <v>1020230</v>
      </c>
      <c r="C5" s="50">
        <v>2125720.5</v>
      </c>
      <c r="D5" s="50">
        <v>2853192</v>
      </c>
      <c r="E5" s="50">
        <v>1962788.5</v>
      </c>
      <c r="F5" s="50">
        <v>1263327</v>
      </c>
      <c r="G5" s="17">
        <f t="shared" si="0"/>
        <v>8205028</v>
      </c>
      <c r="H5" s="17">
        <f t="shared" si="1"/>
        <v>1164270.2316848256</v>
      </c>
      <c r="I5" s="17">
        <f t="shared" si="2"/>
        <v>7040757.7683151746</v>
      </c>
    </row>
    <row r="6" spans="1:9" ht="15.75" customHeight="1" x14ac:dyDescent="0.25">
      <c r="A6" s="5">
        <f t="shared" si="3"/>
        <v>2028</v>
      </c>
      <c r="B6" s="49">
        <v>1037875</v>
      </c>
      <c r="C6" s="50">
        <v>2163898.5</v>
      </c>
      <c r="D6" s="50">
        <v>2933881</v>
      </c>
      <c r="E6" s="50">
        <v>2037931.5</v>
      </c>
      <c r="F6" s="50">
        <v>1275059</v>
      </c>
      <c r="G6" s="17">
        <f t="shared" si="0"/>
        <v>8410770</v>
      </c>
      <c r="H6" s="17">
        <f t="shared" si="1"/>
        <v>1184406.4247374497</v>
      </c>
      <c r="I6" s="17">
        <f t="shared" si="2"/>
        <v>7226363.5752625503</v>
      </c>
    </row>
    <row r="7" spans="1:9" ht="15.75" customHeight="1" x14ac:dyDescent="0.25">
      <c r="A7" s="5">
        <f t="shared" si="3"/>
        <v>2029</v>
      </c>
      <c r="B7" s="49">
        <v>1055006</v>
      </c>
      <c r="C7" s="50">
        <v>2199257.5</v>
      </c>
      <c r="D7" s="50">
        <v>3013314.5</v>
      </c>
      <c r="E7" s="50">
        <v>2110937</v>
      </c>
      <c r="F7" s="50">
        <v>1290639.5</v>
      </c>
      <c r="G7" s="17">
        <f t="shared" si="0"/>
        <v>8614148.5</v>
      </c>
      <c r="H7" s="17">
        <f t="shared" si="1"/>
        <v>1203956.0491740895</v>
      </c>
      <c r="I7" s="17">
        <f t="shared" si="2"/>
        <v>7410192.450825911</v>
      </c>
    </row>
    <row r="8" spans="1:9" ht="15.75" customHeight="1" x14ac:dyDescent="0.25">
      <c r="A8" s="5">
        <f t="shared" si="3"/>
        <v>2030</v>
      </c>
      <c r="B8" s="49">
        <v>1068104</v>
      </c>
      <c r="C8" s="50">
        <v>2232459</v>
      </c>
      <c r="D8" s="50">
        <v>3094021.5</v>
      </c>
      <c r="E8" s="50">
        <v>2184677</v>
      </c>
      <c r="F8" s="50">
        <v>1314420.5</v>
      </c>
      <c r="G8" s="17">
        <f t="shared" si="0"/>
        <v>8825578</v>
      </c>
      <c r="H8" s="17">
        <f t="shared" si="1"/>
        <v>1218903.2782249972</v>
      </c>
      <c r="I8" s="17">
        <f t="shared" si="2"/>
        <v>7606674.7217750028</v>
      </c>
    </row>
    <row r="9" spans="1:9" ht="15.75" customHeight="1" x14ac:dyDescent="0.25">
      <c r="A9" s="5">
        <f t="shared" si="3"/>
        <v>2031</v>
      </c>
      <c r="B9" s="49">
        <v>1085163</v>
      </c>
      <c r="C9" s="50">
        <v>2266813.5</v>
      </c>
      <c r="D9" s="50">
        <v>3175581.5</v>
      </c>
      <c r="E9" s="50">
        <v>2259689</v>
      </c>
      <c r="F9" s="50">
        <v>1343216.5</v>
      </c>
      <c r="G9" s="17">
        <f t="shared" si="0"/>
        <v>9045300.5</v>
      </c>
      <c r="H9" s="17">
        <f t="shared" si="1"/>
        <v>1238370.7374080359</v>
      </c>
      <c r="I9" s="17">
        <f t="shared" si="2"/>
        <v>7806929.7625919636</v>
      </c>
    </row>
    <row r="10" spans="1:9" ht="15.75" customHeight="1" x14ac:dyDescent="0.25">
      <c r="A10" s="5">
        <f t="shared" si="3"/>
        <v>2032</v>
      </c>
      <c r="B10" s="49">
        <v>1100286</v>
      </c>
      <c r="C10" s="50">
        <v>2303095.5</v>
      </c>
      <c r="D10" s="50">
        <v>3254177</v>
      </c>
      <c r="E10" s="50">
        <v>2336106</v>
      </c>
      <c r="F10" s="50">
        <v>1375903</v>
      </c>
      <c r="G10" s="17">
        <f t="shared" si="0"/>
        <v>9269281.5</v>
      </c>
      <c r="H10" s="17">
        <f t="shared" si="1"/>
        <v>1255628.8642164709</v>
      </c>
      <c r="I10" s="17">
        <f t="shared" si="2"/>
        <v>8013652.6357835289</v>
      </c>
    </row>
    <row r="11" spans="1:9" ht="15.75" customHeight="1" x14ac:dyDescent="0.25">
      <c r="A11" s="5">
        <f t="shared" si="3"/>
        <v>2033</v>
      </c>
      <c r="B11" s="49">
        <v>1115956</v>
      </c>
      <c r="C11" s="50">
        <v>2339788.5</v>
      </c>
      <c r="D11" s="50">
        <v>3327577.5</v>
      </c>
      <c r="E11" s="50">
        <v>2416008.5</v>
      </c>
      <c r="F11" s="50">
        <v>1413037</v>
      </c>
      <c r="G11" s="17">
        <f t="shared" si="0"/>
        <v>9496411.5</v>
      </c>
      <c r="H11" s="17">
        <f t="shared" si="1"/>
        <v>1273511.2187154575</v>
      </c>
      <c r="I11" s="17">
        <f t="shared" si="2"/>
        <v>8222900.2812845428</v>
      </c>
    </row>
    <row r="12" spans="1:9" ht="15.75" customHeight="1" x14ac:dyDescent="0.25">
      <c r="A12" s="5">
        <f t="shared" si="3"/>
        <v>2034</v>
      </c>
      <c r="B12" s="49">
        <v>1124540</v>
      </c>
      <c r="C12" s="50">
        <v>2378723</v>
      </c>
      <c r="D12" s="50">
        <v>3397090</v>
      </c>
      <c r="E12" s="50">
        <v>2499016</v>
      </c>
      <c r="F12" s="50">
        <v>1454483.5</v>
      </c>
      <c r="G12" s="17">
        <f t="shared" si="0"/>
        <v>9729312.5</v>
      </c>
      <c r="H12" s="17">
        <f t="shared" si="1"/>
        <v>1283307.1428392164</v>
      </c>
      <c r="I12" s="17">
        <f t="shared" si="2"/>
        <v>8446005.3571607843</v>
      </c>
    </row>
    <row r="13" spans="1:9" ht="15.75" customHeight="1" x14ac:dyDescent="0.25">
      <c r="A13" s="5">
        <f t="shared" si="3"/>
        <v>2035</v>
      </c>
      <c r="B13" s="49">
        <v>1138011</v>
      </c>
      <c r="C13" s="50">
        <v>2418844.5</v>
      </c>
      <c r="D13" s="50">
        <v>3464964</v>
      </c>
      <c r="E13" s="50">
        <v>2582725.5</v>
      </c>
      <c r="F13" s="50">
        <v>1500562.5</v>
      </c>
      <c r="G13" s="17">
        <f t="shared" si="0"/>
        <v>9967096.5</v>
      </c>
      <c r="H13" s="17">
        <f t="shared" si="1"/>
        <v>1298680.0335511407</v>
      </c>
      <c r="I13" s="17">
        <f t="shared" si="2"/>
        <v>8668416.4664488584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Rzun5owtmTP5CgAFTCU/KEUAH4pWhZQdVyKXdh3t2P+Yc8dsM8AmdhexVWgHLdGlkFl+ynKWcjVYOeZcmf7xg==" saltValue="pYL13W5CB/j6QVhiX4bH0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2.2469799999999981E-2</v>
      </c>
    </row>
    <row r="5" spans="1:8" ht="15.75" customHeight="1" x14ac:dyDescent="0.25">
      <c r="B5" s="19" t="s">
        <v>80</v>
      </c>
      <c r="C5" s="101">
        <v>2.4460900000000049E-2</v>
      </c>
    </row>
    <row r="6" spans="1:8" ht="15.75" customHeight="1" x14ac:dyDescent="0.25">
      <c r="B6" s="19" t="s">
        <v>81</v>
      </c>
      <c r="C6" s="101">
        <v>0.10187679999999991</v>
      </c>
    </row>
    <row r="7" spans="1:8" ht="15.75" customHeight="1" x14ac:dyDescent="0.25">
      <c r="B7" s="19" t="s">
        <v>82</v>
      </c>
      <c r="C7" s="101">
        <v>0.41340200000000021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0.39500150000000001</v>
      </c>
    </row>
    <row r="10" spans="1:8" ht="15.75" customHeight="1" x14ac:dyDescent="0.25">
      <c r="B10" s="19" t="s">
        <v>85</v>
      </c>
      <c r="C10" s="101">
        <v>4.2788999999999952E-2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88</v>
      </c>
      <c r="C15" s="101">
        <v>0.1594063741512792</v>
      </c>
      <c r="D15" s="101">
        <v>0.1594063741512792</v>
      </c>
      <c r="E15" s="101">
        <v>0.1594063741512792</v>
      </c>
      <c r="F15" s="101">
        <v>0.1594063741512792</v>
      </c>
    </row>
    <row r="16" spans="1:8" ht="15.75" customHeight="1" x14ac:dyDescent="0.25">
      <c r="B16" s="19" t="s">
        <v>89</v>
      </c>
      <c r="C16" s="101">
        <v>4.5121886732581648E-2</v>
      </c>
      <c r="D16" s="101">
        <v>4.5121886732581648E-2</v>
      </c>
      <c r="E16" s="101">
        <v>4.5121886732581648E-2</v>
      </c>
      <c r="F16" s="101">
        <v>4.5121886732581648E-2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3.5873226357410631E-3</v>
      </c>
      <c r="D19" s="101">
        <v>3.5873226357410631E-3</v>
      </c>
      <c r="E19" s="101">
        <v>3.5873226357410631E-3</v>
      </c>
      <c r="F19" s="101">
        <v>3.5873226357410631E-3</v>
      </c>
    </row>
    <row r="20" spans="1:8" ht="15.75" customHeight="1" x14ac:dyDescent="0.25">
      <c r="B20" s="19" t="s">
        <v>93</v>
      </c>
      <c r="C20" s="101">
        <v>0.42885433690608749</v>
      </c>
      <c r="D20" s="101">
        <v>0.42885433690608749</v>
      </c>
      <c r="E20" s="101">
        <v>0.42885433690608749</v>
      </c>
      <c r="F20" s="101">
        <v>0.42885433690608749</v>
      </c>
    </row>
    <row r="21" spans="1:8" ht="15.75" customHeight="1" x14ac:dyDescent="0.25">
      <c r="B21" s="19" t="s">
        <v>94</v>
      </c>
      <c r="C21" s="101">
        <v>0.21280453826937559</v>
      </c>
      <c r="D21" s="101">
        <v>0.21280453826937559</v>
      </c>
      <c r="E21" s="101">
        <v>0.21280453826937559</v>
      </c>
      <c r="F21" s="101">
        <v>0.21280453826937559</v>
      </c>
    </row>
    <row r="22" spans="1:8" ht="15.75" customHeight="1" x14ac:dyDescent="0.25">
      <c r="B22" s="19" t="s">
        <v>95</v>
      </c>
      <c r="C22" s="101">
        <v>8.354147156804044E-2</v>
      </c>
      <c r="D22" s="101">
        <v>8.354147156804044E-2</v>
      </c>
      <c r="E22" s="101">
        <v>8.354147156804044E-2</v>
      </c>
      <c r="F22" s="101">
        <v>8.354147156804044E-2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4.3847376999999993E-2</v>
      </c>
    </row>
    <row r="27" spans="1:8" ht="15.75" customHeight="1" x14ac:dyDescent="0.25">
      <c r="B27" s="19" t="s">
        <v>102</v>
      </c>
      <c r="C27" s="101">
        <v>3.4044087000000001E-2</v>
      </c>
    </row>
    <row r="28" spans="1:8" ht="15.75" customHeight="1" x14ac:dyDescent="0.25">
      <c r="B28" s="19" t="s">
        <v>103</v>
      </c>
      <c r="C28" s="101">
        <v>4.3283602999999997E-2</v>
      </c>
    </row>
    <row r="29" spans="1:8" ht="15.75" customHeight="1" x14ac:dyDescent="0.25">
      <c r="B29" s="19" t="s">
        <v>104</v>
      </c>
      <c r="C29" s="101">
        <v>0.177569167</v>
      </c>
    </row>
    <row r="30" spans="1:8" ht="15.75" customHeight="1" x14ac:dyDescent="0.25">
      <c r="B30" s="19" t="s">
        <v>2</v>
      </c>
      <c r="C30" s="101">
        <v>3.1893660999999997E-2</v>
      </c>
    </row>
    <row r="31" spans="1:8" ht="15.75" customHeight="1" x14ac:dyDescent="0.25">
      <c r="B31" s="19" t="s">
        <v>105</v>
      </c>
      <c r="C31" s="101">
        <v>9.3503550000000005E-2</v>
      </c>
    </row>
    <row r="32" spans="1:8" ht="15.75" customHeight="1" x14ac:dyDescent="0.25">
      <c r="B32" s="19" t="s">
        <v>106</v>
      </c>
      <c r="C32" s="101">
        <v>7.8392814000000005E-2</v>
      </c>
    </row>
    <row r="33" spans="2:3" ht="15.75" customHeight="1" x14ac:dyDescent="0.25">
      <c r="B33" s="19" t="s">
        <v>107</v>
      </c>
      <c r="C33" s="101">
        <v>0.15751110600000001</v>
      </c>
    </row>
    <row r="34" spans="2:3" ht="15.75" customHeight="1" x14ac:dyDescent="0.25">
      <c r="B34" s="19" t="s">
        <v>108</v>
      </c>
      <c r="C34" s="101">
        <v>0.33995463500000001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R9DzdiPh5W4X5TJ2opPTstj/hGDVdwqgUnyWxZoXptlEqmUXjVkPuDuipIzc/1tkU8b6c0BrLqceKhD2x6XIQw==" saltValue="IlsM90FA1CxiioZHLV7R5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114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115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119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120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0.95296559150000004</v>
      </c>
      <c r="D14" s="54">
        <v>0.95116511860899999</v>
      </c>
      <c r="E14" s="54">
        <v>0.95116511860899999</v>
      </c>
      <c r="F14" s="54">
        <v>0.76734861546599997</v>
      </c>
      <c r="G14" s="54">
        <v>0.76734861546599997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0.52235284153126105</v>
      </c>
      <c r="D15" s="52">
        <f t="shared" si="0"/>
        <v>0.52136594112362566</v>
      </c>
      <c r="E15" s="52">
        <f t="shared" si="0"/>
        <v>0.52136594112362566</v>
      </c>
      <c r="F15" s="52">
        <f t="shared" si="0"/>
        <v>0.42060986598984046</v>
      </c>
      <c r="G15" s="52">
        <f t="shared" si="0"/>
        <v>0.42060986598984046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YIaKiWL55RH2j3Miy/wFTengQxV/LlbFAdjdEY9JdMiWve5opavkCgkBrvv3S5Iyr33Tb/IiNak6s8xNmyW8A==" saltValue="x8/nnuf0q1UvM+oP+In9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132</v>
      </c>
      <c r="C5" s="52">
        <v>9.9093500000000001E-2</v>
      </c>
      <c r="D5" s="52">
        <v>0.16993820000000001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kG8VDppn28UBAR0OIYObqlOlgOoJ7YPSgHTkVAEAUYnt//TgjDVQPHJZMGIbi0PH4d1jhDfHjsfECKVVMnkfGQ==" saltValue="1kC8WdvLtlz36Om2MMyth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jeJmpZlRUSrsPccizVBoZxOEATwCLaZwOzSYrYAWzz9/sXSi34wvF9ckMIkaqORAwnnrRc9nuqusFGHWvrjrQ==" saltValue="IojmmyqoapIj96dvUiqnE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hZQKq4rXAWp3jzAg0ild9z5swGKhzVgQEChkmxyCeytzYOeCgJRs4ZHI6LyJmpFVN7C6Lk7RKnS+qduj4dfoeg==" saltValue="zrNeogwzQMg3TXt6TAjTT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bfP1CsD6WO+8mI6KYoq+GWjK4jT726JueYntQzS+wyRb5Ccuo5rav2bBgZ35/DqcyqdXJswbaEiuSugI515hTg==" saltValue="P+N5kwPxRIoD7htatua7D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KQPaAf3SF/97BK2GWhtmHS43YhGcVmNGL5+708A2oX6aMteltON+S3LR+i1Y17LyVJqDXq1f+ljHSYYWhHn63g==" saltValue="+vmfr1XMT4CCR9BWV9/nC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41.387637286401322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0.72617600246982905</v>
      </c>
      <c r="C3" s="98">
        <v>0.95</v>
      </c>
      <c r="D3" s="56">
        <v>44.781858972877899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153.4973723658575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0.31097639397510651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14.30692084199827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14.30692084199827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14.30692084199827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14.30692084199827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14.30692084199827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14.30692084199827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0.36320040935559378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0.31415611111111102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0.56533556835215604</v>
      </c>
      <c r="C18" s="98">
        <v>0.95</v>
      </c>
      <c r="D18" s="56">
        <v>3.617191631009383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0.98383619999999994</v>
      </c>
      <c r="C19" s="98">
        <v>0.95</v>
      </c>
      <c r="D19" s="56">
        <v>3.617191631009383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0.99</v>
      </c>
      <c r="C21" s="98">
        <v>0.95</v>
      </c>
      <c r="D21" s="56">
        <v>2.758347102408317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24.452045938305751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4.7321919239691654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0.96312972311938694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20.61562649086434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0.86933957623125091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75.665679869964904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0.89524516395230957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0.73334431799167266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0.75648280000000001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0.56282260000000006</v>
      </c>
      <c r="C38" s="98">
        <v>0.95</v>
      </c>
      <c r="D38" s="56">
        <v>5.7467676630794493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UFioEqtVkM3oTYpyWwWDbCfG/Ini0gt0Qclboa0+U6Q9iSO1dQNFh0BgZTgSOvoPHxxpwiWANLa4C0qpULrPJw==" saltValue="3pxysUGYnPxcRfUu/O80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8KhiO23CNARVVSsSrVv86yV7buPhRmwVEDW41gG2IzO0I9TO9mbF4NAIWxdnFiIQH5l80Mi0RZNZ84SSWQjow==" saltValue="PrW1W6GcszlIDxvOUdsLY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zTfH4vN3e8saZ+4HdBrpqt52oojkhqXDb8vpsj+AlzInhZf2rEx813z6cxrOurJs/BfWIFvJJuWmXdmoUXgHw==" saltValue="SLID4BGhsgb7SjcCznv1o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208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sheetProtection algorithmName="SHA-512" hashValue="7fDG8aWaShg/R0+BaDnfjmuQ+CnzMKaMVhAFg6GTRZkZ+WG8U8P/73aSBiqDfO3JUKN5ut+AVVQeCaiSuRKD3A==" saltValue="aZSxY4eGqViJBNejY5OSy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1.4E-2</v>
      </c>
      <c r="E2" s="60">
        <f>food_insecure</f>
        <v>1.4E-2</v>
      </c>
      <c r="F2" s="60">
        <f>food_insecure</f>
        <v>1.4E-2</v>
      </c>
      <c r="G2" s="60">
        <f>food_insecure</f>
        <v>1.4E-2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1.4E-2</v>
      </c>
      <c r="I15" s="60">
        <f>food_insecure</f>
        <v>1.4E-2</v>
      </c>
      <c r="J15" s="60">
        <f>food_insecure</f>
        <v>1.4E-2</v>
      </c>
      <c r="K15" s="60">
        <f>food_insecure</f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0.68900000000000006</v>
      </c>
      <c r="M24" s="60">
        <f>famplan_unmet_need</f>
        <v>0.68900000000000006</v>
      </c>
      <c r="N24" s="60">
        <f>famplan_unmet_need</f>
        <v>0.68900000000000006</v>
      </c>
      <c r="O24" s="60">
        <f>famplan_unmet_need</f>
        <v>0.68900000000000006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0.32826704320831274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0.14068587566070545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0.19698419966125474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0.33406288146972701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YjEc+7y7GueiR1DivY38a1Y2KHSStdcKKgUhLHaHbSW6aN1mv+ZGluwzvBcICH20J4lKrcvapGfSJkjajihjQ==" saltValue="UBNFUZd+4mgPWDA3AcpOO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FuOJMdSjQUIYpfrzI7veC6fBMVkakC9/jEti79o4rd0NmjyZY/vPROQxGUmYW4WjF0KYeo2TMKKBkfDwizCBQQ==" saltValue="h3b1eqrgkNw2W9ct+O4cp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C5NyayYCFh7BjYbon7OIF6semxgc2tXfoN5WHKomQ2466VSQSddbQqJCiLTTH6OdB/lIaLzIpI4REaXiHc3WQ==" saltValue="2wDZffR7MHauk4myM34/+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6mtexSDGra+gnkBVoAfVi4XkG3LRhNH+YYfbpxxLayyBuqDgeW41piLGn/AzQwXhw0m5iZC8P0yDsnLiqoxiKA==" saltValue="UcFMb83NGAzfMOTnA7ZsS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T5DjIM5QdGCMNFbyahji9lSPvs+hmu/m0bhrythIrBGqvPh/l50/ju0qtogjEFQE9ovZpuH1GWjHBinM8wWQhw==" saltValue="TrLt+FSWqp1IC7/IZTEVA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+28gvcuUos7W5pHgpyWKrbagIrOXEKwccibq+4FE/Fmul2Yi4oKLVFM1bgX22X1knuPrBaGPbw53PyZa5ynqdA==" saltValue="J6/SivT4+82U9aA6qTpgT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Aevam10w9KY0O7NSAXepqoSmo9QRlreQjC+WS+BaDaFF9gR3wHosS0KSpGFJyWdyYEZ2FRTCoaX0ty35lYajvQ==" saltValue="np8nP7okxTka9o8HMT6cG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7FzzOwoYkj9ErILTTGlcetDTSQWH20K1hvR6rZutgGGiIQVqwmUM1GkoUqw3joxJ8+2RiMJsFXZKBGMb44Uc9A==" saltValue="l5lC6K14F56vM/fiSziu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0jwo6bzjvxmTTbQ3eN/Kt0sBmtC0UNqWuIE8SDP26EBFca+k3jXg9L/uogOrtjP0Ldibah0qeK/13fGY+h4U8Q==" saltValue="/4bce6N0KxWX/WEeqbB0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QSNyneHe6C5Zi2CdnN3eJVeM7N9lekmaeRSgDbX3sYaHQKZam9tN1O6nfK65HE0b6+rPxXMffKHi506GerFPHA==" saltValue="u4CGg/GEmF7dULoEQHB1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q7ClLuySRhG3oqHLIHnWHkzZs6wlzh25KVcxiGMGrsG1bqPFuI+W4wXxMWdnMw4EfOFbu8DLM55qs1wm0tPPA==" saltValue="Xu19DWsXgyAi3f7e3rB1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jXmGyUbMrvl3V0QEc6Fr/2GE7LS/2hDLT/R1qLHqmU1Yjo3Dg4kLOWLqpcMJL/D+fs2BlqqFRSiJQ7jJ8/2AA==" saltValue="tvsf0Uq54nlsWkcX6ZRv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Y1v5ydtRrpO5YL0hRPZsXqM8oIOH8z8GFA5wxDFPIj5v0DYeHmZfKniGQ+oiHW/yMBF/0/Aq195b0pgStmdmQ==" saltValue="Gk/du2oPZTjHl4yLDpdVw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3tJbS6WSu10/OdP3SF7Nl3/KyRkl2/v6TReT2mqsCsr5k0+fJ/UhEXmS+LL1ObegIgfIMaTtsI1vSKCDgDvwA==" saltValue="zG0CVGXJxIrZLQKbksTM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g3WcTc1jL7BW7J6SRtDAS03pyLjKMxmPEfL3WM+fJ7IRpM8OZbKP2faR4/8yFKYW/TPtJiKuqw5RQ/21zi8Bdg==" saltValue="rk8/uleCEsPLqU/p/TV2u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2024-05-17T00:17:59Z</dcterms:modified>
</cp:coreProperties>
</file>