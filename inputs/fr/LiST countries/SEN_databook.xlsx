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E3007E1B-32F0-4576-8D17-68FBE3A974E7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<sst xmlns="http://schemas.openxmlformats.org/spreadsheetml/2006/main" count="2102" uniqueCount="337">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</sst>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2707529.75</v>
      </c>
    </row>
    <row r="8" spans="1:3" ht="15" customHeight="1" x14ac:dyDescent="0.25">
      <c r="B8" s="5" t="s">
        <v>19</v>
      </c>
      <c r="C8" s="44">
        <v>0.38</v>
      </c>
    </row>
    <row r="9" spans="1:3" ht="15" customHeight="1" x14ac:dyDescent="0.25">
      <c r="B9" s="5" t="s">
        <v>20</v>
      </c>
      <c r="C9" s="45">
        <v>0.97</v>
      </c>
    </row>
    <row r="10" spans="1:3" ht="15" customHeight="1" x14ac:dyDescent="0.25">
      <c r="B10" s="5" t="s">
        <v>21</v>
      </c>
      <c r="C10" s="45">
        <v>0.38866821289062498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0.52600000000000002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7.9199999999999993E-2</v>
      </c>
    </row>
    <row r="24" spans="1:3" ht="15" customHeight="1" x14ac:dyDescent="0.25">
      <c r="B24" s="15" t="s">
        <v>33</v>
      </c>
      <c r="C24" s="45">
        <v>0.43070000000000003</v>
      </c>
    </row>
    <row r="25" spans="1:3" ht="15" customHeight="1" x14ac:dyDescent="0.25">
      <c r="B25" s="15" t="s">
        <v>34</v>
      </c>
      <c r="C25" s="45">
        <v>0.37840000000000001</v>
      </c>
    </row>
    <row r="26" spans="1:3" ht="15" customHeight="1" x14ac:dyDescent="0.25">
      <c r="B26" s="15" t="s">
        <v>35</v>
      </c>
      <c r="C26" s="45">
        <v>0.11169999999999999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0.242578564948118</v>
      </c>
    </row>
    <row r="30" spans="1:3" ht="14.25" customHeight="1" x14ac:dyDescent="0.25">
      <c r="B30" s="25" t="s">
        <v>38</v>
      </c>
      <c r="C30" s="99">
        <v>2.9913637194387301E-2</v>
      </c>
    </row>
    <row r="31" spans="1:3" ht="14.25" customHeight="1" x14ac:dyDescent="0.25">
      <c r="B31" s="25" t="s">
        <v>39</v>
      </c>
      <c r="C31" s="99">
        <v>7.7460320403722499E-2</v>
      </c>
    </row>
    <row r="32" spans="1:3" ht="14.25" customHeight="1" x14ac:dyDescent="0.25">
      <c r="B32" s="25" t="s">
        <v>40</v>
      </c>
      <c r="C32" s="99">
        <v>0.650047477453772</v>
      </c>
    </row>
    <row r="33" spans="1:5" ht="13" customHeight="1" x14ac:dyDescent="0.25">
      <c r="B33" s="27" t="s">
        <v>41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21.085819999999998</v>
      </c>
    </row>
    <row r="38" spans="1:5" ht="15" customHeight="1" x14ac:dyDescent="0.25">
      <c r="B38" s="11" t="s">
        <v>45</v>
      </c>
      <c r="C38" s="43">
        <v>29.13533</v>
      </c>
      <c r="D38" s="12"/>
      <c r="E38" s="13"/>
    </row>
    <row r="39" spans="1:5" ht="15" customHeight="1" x14ac:dyDescent="0.25">
      <c r="B39" s="11" t="s">
        <v>46</v>
      </c>
      <c r="C39" s="43">
        <v>38.59986</v>
      </c>
      <c r="D39" s="12"/>
      <c r="E39" s="12"/>
    </row>
    <row r="40" spans="1:5" ht="15" customHeight="1" x14ac:dyDescent="0.25">
      <c r="B40" s="11" t="s">
        <v>47</v>
      </c>
      <c r="C40" s="100">
        <v>2.61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19.10577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7.9200999999999994E-3</v>
      </c>
      <c r="D45" s="12"/>
    </row>
    <row r="46" spans="1:5" ht="15.75" customHeight="1" x14ac:dyDescent="0.25">
      <c r="B46" s="11" t="s">
        <v>52</v>
      </c>
      <c r="C46" s="45">
        <v>8.5099999999999995E-2</v>
      </c>
      <c r="D46" s="12"/>
    </row>
    <row r="47" spans="1:5" ht="15.75" customHeight="1" x14ac:dyDescent="0.25">
      <c r="B47" s="11" t="s">
        <v>53</v>
      </c>
      <c r="C47" s="45">
        <v>7.3468800000000001E-2</v>
      </c>
      <c r="D47" s="12"/>
      <c r="E47" s="13"/>
    </row>
    <row r="48" spans="1:5" ht="15" customHeight="1" x14ac:dyDescent="0.25">
      <c r="B48" s="11" t="s">
        <v>54</v>
      </c>
      <c r="C48" s="46">
        <v>0.83351110000000006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0.39979100000000012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0.18459738000000001</v>
      </c>
    </row>
    <row r="63" spans="1:4" ht="15.75" customHeight="1" x14ac:dyDescent="0.3">
      <c r="A63" s="4"/>
    </row>
  </sheetData>
  <sheetProtection algorithmName="SHA-512" hashValue="pG3q/2KQI4WAH9rb6N5+vTftHlXGdi8HL5sRtVUqjRFUGK5Cnd59ueHZd+ooT2/R9QPCH4zrcmew2zBq/5WS3w==" saltValue="Bz4jszxnGTc8HGiTCIUx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568369</v>
      </c>
      <c r="C2" s="49">
        <v>1193688</v>
      </c>
      <c r="D2" s="49">
        <v>1536297.5</v>
      </c>
      <c r="E2" s="49">
        <v>1166455</v>
      </c>
      <c r="F2" s="49">
        <v>747466</v>
      </c>
      <c r="G2" s="17">
        <f t="shared" ref="G2:G13" si="0">C2+D2+E2+F2</f>
        <v>4643906.5</v>
      </c>
      <c r="H2" s="17">
        <f t="shared" ref="H2:H13" si="1">(B2 + stillbirth*B2/(1000-stillbirth))/(1-abortion)</f>
        <v>658454.13693213754</v>
      </c>
      <c r="I2" s="17">
        <f t="shared" ref="I2:I13" si="2">G2-H2</f>
        <v>3985452.3630678626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575820</v>
      </c>
      <c r="C3" s="50">
        <v>1228319.5</v>
      </c>
      <c r="D3" s="50">
        <v>1582704.5</v>
      </c>
      <c r="E3" s="50">
        <v>1192000.5</v>
      </c>
      <c r="F3" s="50">
        <v>775600</v>
      </c>
      <c r="G3" s="17">
        <f t="shared" si="0"/>
        <v>4778624.5</v>
      </c>
      <c r="H3" s="17">
        <f t="shared" si="1"/>
        <v>667086.10274005705</v>
      </c>
      <c r="I3" s="17">
        <f t="shared" si="2"/>
        <v>4111538.3972599432</v>
      </c>
    </row>
    <row r="4" spans="1:9" ht="15.75" customHeight="1" x14ac:dyDescent="0.25">
      <c r="A4" s="5">
        <f t="shared" si="3"/>
        <v>2026</v>
      </c>
      <c r="B4" s="49">
        <v>583961</v>
      </c>
      <c r="C4" s="50">
        <v>1261445.5</v>
      </c>
      <c r="D4" s="50">
        <v>1632829</v>
      </c>
      <c r="E4" s="50">
        <v>1217909.5</v>
      </c>
      <c r="F4" s="50">
        <v>803381.5</v>
      </c>
      <c r="G4" s="17">
        <f t="shared" si="0"/>
        <v>4915565.5</v>
      </c>
      <c r="H4" s="17">
        <f t="shared" si="1"/>
        <v>676517.43190960097</v>
      </c>
      <c r="I4" s="17">
        <f t="shared" si="2"/>
        <v>4239048.0680903988</v>
      </c>
    </row>
    <row r="5" spans="1:9" ht="15.75" customHeight="1" x14ac:dyDescent="0.25">
      <c r="A5" s="5">
        <f t="shared" si="3"/>
        <v>2027</v>
      </c>
      <c r="B5" s="49">
        <v>590692</v>
      </c>
      <c r="C5" s="50">
        <v>1293988</v>
      </c>
      <c r="D5" s="50">
        <v>1684916.5</v>
      </c>
      <c r="E5" s="50">
        <v>1244900.5</v>
      </c>
      <c r="F5" s="50">
        <v>830565.5</v>
      </c>
      <c r="G5" s="17">
        <f t="shared" si="0"/>
        <v>5054370.5</v>
      </c>
      <c r="H5" s="17">
        <f t="shared" si="1"/>
        <v>684315.27942712966</v>
      </c>
      <c r="I5" s="17">
        <f t="shared" si="2"/>
        <v>4370055.2205728702</v>
      </c>
    </row>
    <row r="6" spans="1:9" ht="15.75" customHeight="1" x14ac:dyDescent="0.25">
      <c r="A6" s="5">
        <f t="shared" si="3"/>
        <v>2028</v>
      </c>
      <c r="B6" s="49">
        <v>600396</v>
      </c>
      <c r="C6" s="50">
        <v>1326578.5</v>
      </c>
      <c r="D6" s="50">
        <v>1737096</v>
      </c>
      <c r="E6" s="50">
        <v>1273991</v>
      </c>
      <c r="F6" s="50">
        <v>857386.5</v>
      </c>
      <c r="G6" s="17">
        <f t="shared" si="0"/>
        <v>5195052</v>
      </c>
      <c r="H6" s="17">
        <f t="shared" si="1"/>
        <v>695557.34038539696</v>
      </c>
      <c r="I6" s="17">
        <f t="shared" si="2"/>
        <v>4499494.659614603</v>
      </c>
    </row>
    <row r="7" spans="1:9" ht="15.75" customHeight="1" x14ac:dyDescent="0.25">
      <c r="A7" s="5">
        <f t="shared" si="3"/>
        <v>2029</v>
      </c>
      <c r="B7" s="49">
        <v>608007</v>
      </c>
      <c r="C7" s="50">
        <v>1355306.5</v>
      </c>
      <c r="D7" s="50">
        <v>1790461.5</v>
      </c>
      <c r="E7" s="50">
        <v>1306065</v>
      </c>
      <c r="F7" s="50">
        <v>883700.5</v>
      </c>
      <c r="G7" s="17">
        <f t="shared" si="0"/>
        <v>5335533.5</v>
      </c>
      <c r="H7" s="17">
        <f t="shared" si="1"/>
        <v>704374.6658134032</v>
      </c>
      <c r="I7" s="17">
        <f t="shared" si="2"/>
        <v>4631158.8341865968</v>
      </c>
    </row>
    <row r="8" spans="1:9" ht="15.75" customHeight="1" x14ac:dyDescent="0.25">
      <c r="A8" s="5">
        <f t="shared" si="3"/>
        <v>2030</v>
      </c>
      <c r="B8" s="49">
        <v>616648</v>
      </c>
      <c r="C8" s="50">
        <v>1379598</v>
      </c>
      <c r="D8" s="50">
        <v>1844950.5</v>
      </c>
      <c r="E8" s="50">
        <v>1340106.5</v>
      </c>
      <c r="F8" s="50">
        <v>909370</v>
      </c>
      <c r="G8" s="17">
        <f t="shared" si="0"/>
        <v>5474025</v>
      </c>
      <c r="H8" s="17">
        <f t="shared" si="1"/>
        <v>714385.24379571865</v>
      </c>
      <c r="I8" s="17">
        <f t="shared" si="2"/>
        <v>4759639.756204281</v>
      </c>
    </row>
    <row r="9" spans="1:9" ht="15.75" customHeight="1" x14ac:dyDescent="0.25">
      <c r="A9" s="5">
        <f t="shared" si="3"/>
        <v>2031</v>
      </c>
      <c r="B9" s="49">
        <v>625158</v>
      </c>
      <c r="C9" s="50">
        <v>1402222.5</v>
      </c>
      <c r="D9" s="50">
        <v>1900260.5</v>
      </c>
      <c r="E9" s="50">
        <v>1375736.5</v>
      </c>
      <c r="F9" s="50">
        <v>935104</v>
      </c>
      <c r="G9" s="17">
        <f t="shared" si="0"/>
        <v>5613323.5</v>
      </c>
      <c r="H9" s="17">
        <f t="shared" si="1"/>
        <v>724244.05858908792</v>
      </c>
      <c r="I9" s="17">
        <f t="shared" si="2"/>
        <v>4889079.4414109122</v>
      </c>
    </row>
    <row r="10" spans="1:9" ht="15.75" customHeight="1" x14ac:dyDescent="0.25">
      <c r="A10" s="5">
        <f t="shared" si="3"/>
        <v>2032</v>
      </c>
      <c r="B10" s="49">
        <v>635036</v>
      </c>
      <c r="C10" s="50">
        <v>1424217</v>
      </c>
      <c r="D10" s="50">
        <v>1956476.5</v>
      </c>
      <c r="E10" s="50">
        <v>1413708.5</v>
      </c>
      <c r="F10" s="50">
        <v>960405</v>
      </c>
      <c r="G10" s="17">
        <f t="shared" si="0"/>
        <v>5754807</v>
      </c>
      <c r="H10" s="17">
        <f t="shared" si="1"/>
        <v>735687.6981341996</v>
      </c>
      <c r="I10" s="17">
        <f t="shared" si="2"/>
        <v>5019119.3018658003</v>
      </c>
    </row>
    <row r="11" spans="1:9" ht="15.75" customHeight="1" x14ac:dyDescent="0.25">
      <c r="A11" s="5">
        <f t="shared" si="3"/>
        <v>2033</v>
      </c>
      <c r="B11" s="49">
        <v>643044</v>
      </c>
      <c r="C11" s="50">
        <v>1445749.5</v>
      </c>
      <c r="D11" s="50">
        <v>2012521.5</v>
      </c>
      <c r="E11" s="50">
        <v>1454283</v>
      </c>
      <c r="F11" s="50">
        <v>984746.5</v>
      </c>
      <c r="G11" s="17">
        <f t="shared" si="0"/>
        <v>5897300.5</v>
      </c>
      <c r="H11" s="17">
        <f t="shared" si="1"/>
        <v>744964.94711954636</v>
      </c>
      <c r="I11" s="17">
        <f t="shared" si="2"/>
        <v>5152335.5528804539</v>
      </c>
    </row>
    <row r="12" spans="1:9" ht="15.75" customHeight="1" x14ac:dyDescent="0.25">
      <c r="A12" s="5">
        <f t="shared" si="3"/>
        <v>2034</v>
      </c>
      <c r="B12" s="49">
        <v>652722</v>
      </c>
      <c r="C12" s="50">
        <v>1466753</v>
      </c>
      <c r="D12" s="50">
        <v>2067762</v>
      </c>
      <c r="E12" s="50">
        <v>1497735</v>
      </c>
      <c r="F12" s="50">
        <v>1008633.5</v>
      </c>
      <c r="G12" s="17">
        <f t="shared" si="0"/>
        <v>6040883.5</v>
      </c>
      <c r="H12" s="17">
        <f t="shared" si="1"/>
        <v>756176.88713954971</v>
      </c>
      <c r="I12" s="17">
        <f t="shared" si="2"/>
        <v>5284706.6128604505</v>
      </c>
    </row>
    <row r="13" spans="1:9" ht="15.75" customHeight="1" x14ac:dyDescent="0.25">
      <c r="A13" s="5">
        <f t="shared" si="3"/>
        <v>2035</v>
      </c>
      <c r="B13" s="49">
        <v>662728</v>
      </c>
      <c r="C13" s="50">
        <v>1489166</v>
      </c>
      <c r="D13" s="50">
        <v>2119928</v>
      </c>
      <c r="E13" s="50">
        <v>1544206</v>
      </c>
      <c r="F13" s="50">
        <v>1031778.5</v>
      </c>
      <c r="G13" s="17">
        <f t="shared" si="0"/>
        <v>6185078.5</v>
      </c>
      <c r="H13" s="17">
        <f t="shared" si="1"/>
        <v>767768.81438073097</v>
      </c>
      <c r="I13" s="17">
        <f t="shared" si="2"/>
        <v>5417309.6856192686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OS+iuE2/V58c2VoaozlinMCw2+ujOsQfFACOrnlXt16JzqHb1nT3jdDzrdNUwNkv0CKpAdQM4826goStCdPvww==" saltValue="ZjGIXx6qmyyrroP0SETLI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1.9163107671874811E-2</v>
      </c>
    </row>
    <row r="4" spans="1:8" ht="15.75" customHeight="1" x14ac:dyDescent="0.25">
      <c r="B4" s="19" t="s">
        <v>79</v>
      </c>
      <c r="C4" s="101">
        <v>6.6585652585627084E-2</v>
      </c>
    </row>
    <row r="5" spans="1:8" ht="15.75" customHeight="1" x14ac:dyDescent="0.25">
      <c r="B5" s="19" t="s">
        <v>80</v>
      </c>
      <c r="C5" s="101">
        <v>9.5974679115321399E-2</v>
      </c>
    </row>
    <row r="6" spans="1:8" ht="15.75" customHeight="1" x14ac:dyDescent="0.25">
      <c r="B6" s="19" t="s">
        <v>81</v>
      </c>
      <c r="C6" s="101">
        <v>0.2538181028161321</v>
      </c>
    </row>
    <row r="7" spans="1:8" ht="15.75" customHeight="1" x14ac:dyDescent="0.25">
      <c r="B7" s="19" t="s">
        <v>82</v>
      </c>
      <c r="C7" s="101">
        <v>0.38359173784406131</v>
      </c>
    </row>
    <row r="8" spans="1:8" ht="15.75" customHeight="1" x14ac:dyDescent="0.25">
      <c r="B8" s="19" t="s">
        <v>83</v>
      </c>
      <c r="C8" s="101">
        <v>2.9726612985585608E-3</v>
      </c>
    </row>
    <row r="9" spans="1:8" ht="15.75" customHeight="1" x14ac:dyDescent="0.25">
      <c r="B9" s="19" t="s">
        <v>84</v>
      </c>
      <c r="C9" s="101">
        <v>6.6210256446675886E-2</v>
      </c>
    </row>
    <row r="10" spans="1:8" ht="15.75" customHeight="1" x14ac:dyDescent="0.25">
      <c r="B10" s="19" t="s">
        <v>85</v>
      </c>
      <c r="C10" s="101">
        <v>0.1116838022217489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0.1857196729069864</v>
      </c>
      <c r="D14" s="55">
        <v>0.1857196729069864</v>
      </c>
      <c r="E14" s="55">
        <v>0.1857196729069864</v>
      </c>
      <c r="F14" s="55">
        <v>0.1857196729069864</v>
      </c>
    </row>
    <row r="15" spans="1:8" ht="15.75" customHeight="1" x14ac:dyDescent="0.25">
      <c r="B15" s="19" t="s">
        <v>88</v>
      </c>
      <c r="C15" s="101">
        <v>0.26208816969300658</v>
      </c>
      <c r="D15" s="101">
        <v>0.26208816969300658</v>
      </c>
      <c r="E15" s="101">
        <v>0.26208816969300658</v>
      </c>
      <c r="F15" s="101">
        <v>0.26208816969300658</v>
      </c>
    </row>
    <row r="16" spans="1:8" ht="15.75" customHeight="1" x14ac:dyDescent="0.25">
      <c r="B16" s="19" t="s">
        <v>89</v>
      </c>
      <c r="C16" s="101">
        <v>2.3929564889798131E-2</v>
      </c>
      <c r="D16" s="101">
        <v>2.3929564889798131E-2</v>
      </c>
      <c r="E16" s="101">
        <v>2.3929564889798131E-2</v>
      </c>
      <c r="F16" s="101">
        <v>2.3929564889798131E-2</v>
      </c>
    </row>
    <row r="17" spans="1:8" ht="15.75" customHeight="1" x14ac:dyDescent="0.25">
      <c r="B17" s="19" t="s">
        <v>90</v>
      </c>
      <c r="C17" s="101">
        <v>1.366540706556877E-2</v>
      </c>
      <c r="D17" s="101">
        <v>1.366540706556877E-2</v>
      </c>
      <c r="E17" s="101">
        <v>1.366540706556877E-2</v>
      </c>
      <c r="F17" s="101">
        <v>1.366540706556877E-2</v>
      </c>
    </row>
    <row r="18" spans="1:8" ht="15.75" customHeight="1" x14ac:dyDescent="0.25">
      <c r="B18" s="19" t="s">
        <v>91</v>
      </c>
      <c r="C18" s="101">
        <v>0.1121344881000229</v>
      </c>
      <c r="D18" s="101">
        <v>0.1121344881000229</v>
      </c>
      <c r="E18" s="101">
        <v>0.1121344881000229</v>
      </c>
      <c r="F18" s="101">
        <v>0.1121344881000229</v>
      </c>
    </row>
    <row r="19" spans="1:8" ht="15.75" customHeight="1" x14ac:dyDescent="0.25">
      <c r="B19" s="19" t="s">
        <v>92</v>
      </c>
      <c r="C19" s="101">
        <v>4.3931608499606992E-2</v>
      </c>
      <c r="D19" s="101">
        <v>4.3931608499606992E-2</v>
      </c>
      <c r="E19" s="101">
        <v>4.3931608499606992E-2</v>
      </c>
      <c r="F19" s="101">
        <v>4.3931608499606992E-2</v>
      </c>
    </row>
    <row r="20" spans="1:8" ht="15.75" customHeight="1" x14ac:dyDescent="0.25">
      <c r="B20" s="19" t="s">
        <v>93</v>
      </c>
      <c r="C20" s="101">
        <v>1.9269942667465779E-2</v>
      </c>
      <c r="D20" s="101">
        <v>1.9269942667465779E-2</v>
      </c>
      <c r="E20" s="101">
        <v>1.9269942667465779E-2</v>
      </c>
      <c r="F20" s="101">
        <v>1.9269942667465779E-2</v>
      </c>
    </row>
    <row r="21" spans="1:8" ht="15.75" customHeight="1" x14ac:dyDescent="0.25">
      <c r="B21" s="19" t="s">
        <v>94</v>
      </c>
      <c r="C21" s="101">
        <v>0.1453562135370326</v>
      </c>
      <c r="D21" s="101">
        <v>0.1453562135370326</v>
      </c>
      <c r="E21" s="101">
        <v>0.1453562135370326</v>
      </c>
      <c r="F21" s="101">
        <v>0.1453562135370326</v>
      </c>
    </row>
    <row r="22" spans="1:8" ht="15.75" customHeight="1" x14ac:dyDescent="0.25">
      <c r="B22" s="19" t="s">
        <v>95</v>
      </c>
      <c r="C22" s="101">
        <v>0.1939049326405119</v>
      </c>
      <c r="D22" s="101">
        <v>0.1939049326405119</v>
      </c>
      <c r="E22" s="101">
        <v>0.1939049326405119</v>
      </c>
      <c r="F22" s="101">
        <v>0.1939049326405119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8.8209145000000003E-2</v>
      </c>
    </row>
    <row r="27" spans="1:8" ht="15.75" customHeight="1" x14ac:dyDescent="0.25">
      <c r="B27" s="19" t="s">
        <v>102</v>
      </c>
      <c r="C27" s="101">
        <v>8.6061309999999995E-3</v>
      </c>
    </row>
    <row r="28" spans="1:8" ht="15.75" customHeight="1" x14ac:dyDescent="0.25">
      <c r="B28" s="19" t="s">
        <v>103</v>
      </c>
      <c r="C28" s="101">
        <v>0.158177228</v>
      </c>
    </row>
    <row r="29" spans="1:8" ht="15.75" customHeight="1" x14ac:dyDescent="0.25">
      <c r="B29" s="19" t="s">
        <v>104</v>
      </c>
      <c r="C29" s="101">
        <v>0.16895537699999999</v>
      </c>
    </row>
    <row r="30" spans="1:8" ht="15.75" customHeight="1" x14ac:dyDescent="0.25">
      <c r="B30" s="19" t="s">
        <v>2</v>
      </c>
      <c r="C30" s="101">
        <v>0.10501387</v>
      </c>
    </row>
    <row r="31" spans="1:8" ht="15.75" customHeight="1" x14ac:dyDescent="0.25">
      <c r="B31" s="19" t="s">
        <v>105</v>
      </c>
      <c r="C31" s="101">
        <v>0.110556312</v>
      </c>
    </row>
    <row r="32" spans="1:8" ht="15.75" customHeight="1" x14ac:dyDescent="0.25">
      <c r="B32" s="19" t="s">
        <v>106</v>
      </c>
      <c r="C32" s="101">
        <v>1.8813532000000001E-2</v>
      </c>
    </row>
    <row r="33" spans="2:3" ht="15.75" customHeight="1" x14ac:dyDescent="0.25">
      <c r="B33" s="19" t="s">
        <v>107</v>
      </c>
      <c r="C33" s="101">
        <v>8.3149402999999997E-2</v>
      </c>
    </row>
    <row r="34" spans="2:3" ht="15.75" customHeight="1" x14ac:dyDescent="0.25">
      <c r="B34" s="19" t="s">
        <v>108</v>
      </c>
      <c r="C34" s="101">
        <v>0.25851900100000003</v>
      </c>
    </row>
    <row r="35" spans="2:3" ht="15.75" customHeight="1" x14ac:dyDescent="0.25">
      <c r="B35" s="27" t="s">
        <v>41</v>
      </c>
      <c r="C35" s="48">
        <f>SUM(C26:C34)</f>
        <v>0.99999999900000003</v>
      </c>
    </row>
  </sheetData>
  <sheetProtection algorithmName="SHA-512" hashValue="bCaePTxkw268X2TLtdh7qGYW/JnQMDY8bZt1hSJ3uvzdHsEMmY+3OEaFXbipb8W4Z6gRtC1sO64A17kR0gNOOA==" saltValue="/+zAXRVOHA3Fgtj9Qy85Y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0.53948153243197172</v>
      </c>
      <c r="D2" s="52">
        <f>IFERROR(1-_xlfn.NORM.DIST(_xlfn.NORM.INV(SUM(D4:D5), 0, 1) + 1, 0, 1, TRUE), "")</f>
        <v>0.53948153243197172</v>
      </c>
      <c r="E2" s="52">
        <f>IFERROR(1-_xlfn.NORM.DIST(_xlfn.NORM.INV(SUM(E4:E5), 0, 1) + 1, 0, 1, TRUE), "")</f>
        <v>0.5696752209710203</v>
      </c>
      <c r="F2" s="52">
        <f>IFERROR(1-_xlfn.NORM.DIST(_xlfn.NORM.INV(SUM(F4:F5), 0, 1) + 1, 0, 1, TRUE), "")</f>
        <v>0.38974161566414511</v>
      </c>
      <c r="G2" s="52">
        <f>IFERROR(1-_xlfn.NORM.DIST(_xlfn.NORM.INV(SUM(G4:G5), 0, 1) + 1, 0, 1, TRUE), "")</f>
        <v>0.46954204448859327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0.32466226756802835</v>
      </c>
      <c r="D3" s="52">
        <f>IFERROR(_xlfn.NORM.DIST(_xlfn.NORM.INV(SUM(D4:D5), 0, 1) + 1, 0, 1, TRUE) - SUM(D4:D5), "")</f>
        <v>0.32466226756802835</v>
      </c>
      <c r="E3" s="52">
        <f>IFERROR(_xlfn.NORM.DIST(_xlfn.NORM.INV(SUM(E4:E5), 0, 1) + 1, 0, 1, TRUE) - SUM(E4:E5), "")</f>
        <v>0.31043687902897965</v>
      </c>
      <c r="F3" s="52">
        <f>IFERROR(_xlfn.NORM.DIST(_xlfn.NORM.INV(SUM(F4:F5), 0, 1) + 1, 0, 1, TRUE) - SUM(F4:F5), "")</f>
        <v>0.37449818433585491</v>
      </c>
      <c r="G3" s="52">
        <f>IFERROR(_xlfn.NORM.DIST(_xlfn.NORM.INV(SUM(G4:G5), 0, 1) + 1, 0, 1, TRUE) - SUM(G4:G5), "")</f>
        <v>0.3526051555114067</v>
      </c>
    </row>
    <row r="4" spans="1:15" ht="15.75" customHeight="1" x14ac:dyDescent="0.25">
      <c r="B4" s="5" t="s">
        <v>114</v>
      </c>
      <c r="C4" s="45">
        <v>7.6703599999999997E-2</v>
      </c>
      <c r="D4" s="53">
        <v>7.6703599999999997E-2</v>
      </c>
      <c r="E4" s="53">
        <v>9.0018600000000004E-2</v>
      </c>
      <c r="F4" s="53">
        <v>0.17188490000000001</v>
      </c>
      <c r="G4" s="53">
        <v>0.13089200000000001</v>
      </c>
    </row>
    <row r="5" spans="1:15" ht="15.75" customHeight="1" x14ac:dyDescent="0.25">
      <c r="B5" s="5" t="s">
        <v>115</v>
      </c>
      <c r="C5" s="45">
        <v>5.91526E-2</v>
      </c>
      <c r="D5" s="53">
        <v>5.91526E-2</v>
      </c>
      <c r="E5" s="53">
        <v>2.9869300000000001E-2</v>
      </c>
      <c r="F5" s="53">
        <v>6.3875299999999996E-2</v>
      </c>
      <c r="G5" s="53">
        <v>4.6960799999999997E-2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0.70350174372810925</v>
      </c>
      <c r="D8" s="52">
        <f>IFERROR(1-_xlfn.NORM.DIST(_xlfn.NORM.INV(SUM(D10:D11), 0, 1) + 1, 0, 1, TRUE), "")</f>
        <v>0.70350174372810925</v>
      </c>
      <c r="E8" s="52">
        <f>IFERROR(1-_xlfn.NORM.DIST(_xlfn.NORM.INV(SUM(E10:E11), 0, 1) + 1, 0, 1, TRUE), "")</f>
        <v>0.65058349310231678</v>
      </c>
      <c r="F8" s="52">
        <f>IFERROR(1-_xlfn.NORM.DIST(_xlfn.NORM.INV(SUM(F10:F11), 0, 1) + 1, 0, 1, TRUE), "")</f>
        <v>0.65667966159705382</v>
      </c>
      <c r="G8" s="52">
        <f>IFERROR(1-_xlfn.NORM.DIST(_xlfn.NORM.INV(SUM(G10:G11), 0, 1) + 1, 0, 1, TRUE), "")</f>
        <v>0.64544367026514549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0.23404475627189075</v>
      </c>
      <c r="D9" s="52">
        <f>IFERROR(_xlfn.NORM.DIST(_xlfn.NORM.INV(SUM(D10:D11), 0, 1) + 1, 0, 1, TRUE) - SUM(D10:D11), "")</f>
        <v>0.23404475627189075</v>
      </c>
      <c r="E9" s="52">
        <f>IFERROR(_xlfn.NORM.DIST(_xlfn.NORM.INV(SUM(E10:E11), 0, 1) + 1, 0, 1, TRUE) - SUM(E10:E11), "")</f>
        <v>0.26667980689768322</v>
      </c>
      <c r="F9" s="52">
        <f>IFERROR(_xlfn.NORM.DIST(_xlfn.NORM.INV(SUM(F10:F11), 0, 1) + 1, 0, 1, TRUE) - SUM(F10:F11), "")</f>
        <v>0.26307423840294619</v>
      </c>
      <c r="G9" s="52">
        <f>IFERROR(_xlfn.NORM.DIST(_xlfn.NORM.INV(SUM(G10:G11), 0, 1) + 1, 0, 1, TRUE) - SUM(G10:G11), "")</f>
        <v>0.26968762973485449</v>
      </c>
    </row>
    <row r="10" spans="1:15" ht="15.75" customHeight="1" x14ac:dyDescent="0.25">
      <c r="B10" s="5" t="s">
        <v>119</v>
      </c>
      <c r="C10" s="45">
        <v>4.6631199999999998E-2</v>
      </c>
      <c r="D10" s="53">
        <v>4.6631199999999998E-2</v>
      </c>
      <c r="E10" s="53">
        <v>7.1761199999999997E-2</v>
      </c>
      <c r="F10" s="53">
        <v>6.1308799999999997E-2</v>
      </c>
      <c r="G10" s="53">
        <v>7.5502899999999998E-2</v>
      </c>
    </row>
    <row r="11" spans="1:15" ht="15.75" customHeight="1" x14ac:dyDescent="0.25">
      <c r="B11" s="5" t="s">
        <v>120</v>
      </c>
      <c r="C11" s="45">
        <v>1.5822300000000001E-2</v>
      </c>
      <c r="D11" s="53">
        <v>1.5822300000000001E-2</v>
      </c>
      <c r="E11" s="53">
        <v>1.0975499999999999E-2</v>
      </c>
      <c r="F11" s="53">
        <v>1.8937300000000001E-2</v>
      </c>
      <c r="G11" s="53">
        <v>9.3658000000000005E-3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0.89921624824999991</v>
      </c>
      <c r="D14" s="54">
        <v>0.88454178175099996</v>
      </c>
      <c r="E14" s="54">
        <v>0.88454178175099996</v>
      </c>
      <c r="F14" s="54">
        <v>0.71638189990300005</v>
      </c>
      <c r="G14" s="54">
        <v>0.71638189990300005</v>
      </c>
      <c r="H14" s="45">
        <v>0.58099999999999985</v>
      </c>
      <c r="I14" s="55">
        <v>0.58099999999999985</v>
      </c>
      <c r="J14" s="55">
        <v>0.58099999999999985</v>
      </c>
      <c r="K14" s="55">
        <v>0.58099999999999985</v>
      </c>
      <c r="L14" s="45">
        <v>0.49099999999999999</v>
      </c>
      <c r="M14" s="55">
        <v>0.49099999999999999</v>
      </c>
      <c r="N14" s="55">
        <v>0.49099999999999999</v>
      </c>
      <c r="O14" s="55">
        <v>0.49099999999999999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0.35949856310411582</v>
      </c>
      <c r="D15" s="52">
        <f t="shared" si="0"/>
        <v>0.35363184346801413</v>
      </c>
      <c r="E15" s="52">
        <f t="shared" si="0"/>
        <v>0.35363184346801413</v>
      </c>
      <c r="F15" s="52">
        <f t="shared" si="0"/>
        <v>0.28640303614412038</v>
      </c>
      <c r="G15" s="52">
        <f t="shared" si="0"/>
        <v>0.28640303614412038</v>
      </c>
      <c r="H15" s="52">
        <f t="shared" si="0"/>
        <v>0.23227857100000002</v>
      </c>
      <c r="I15" s="52">
        <f t="shared" si="0"/>
        <v>0.23227857100000002</v>
      </c>
      <c r="J15" s="52">
        <f t="shared" si="0"/>
        <v>0.23227857100000002</v>
      </c>
      <c r="K15" s="52">
        <f t="shared" si="0"/>
        <v>0.23227857100000002</v>
      </c>
      <c r="L15" s="52">
        <f t="shared" si="0"/>
        <v>0.19629738100000005</v>
      </c>
      <c r="M15" s="52">
        <f t="shared" si="0"/>
        <v>0.19629738100000005</v>
      </c>
      <c r="N15" s="52">
        <f t="shared" si="0"/>
        <v>0.19629738100000005</v>
      </c>
      <c r="O15" s="52">
        <f t="shared" si="0"/>
        <v>0.19629738100000005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91FUO260kio7J8QuwabZNEv8vnludYWD7vCQrRtP5yIeReMqCBuup6zP86+hmV92y+8aLqKkV0eafTinVPlbTA==" saltValue="i3mBrKde1ehbPK24NV4J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0.60487789999999997</v>
      </c>
      <c r="D2" s="53">
        <v>0.34281080000000003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0.27744210000000002</v>
      </c>
      <c r="D3" s="53">
        <v>0.48379250000000001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9.1609400000000007E-2</v>
      </c>
      <c r="D4" s="53">
        <v>0.1704386</v>
      </c>
      <c r="E4" s="53">
        <v>0.99060590000000004</v>
      </c>
      <c r="F4" s="53">
        <v>0.71512950000000008</v>
      </c>
      <c r="G4" s="53">
        <v>0</v>
      </c>
    </row>
    <row r="5" spans="1:7" x14ac:dyDescent="0.25">
      <c r="B5" s="3" t="s">
        <v>132</v>
      </c>
      <c r="C5" s="52">
        <v>2.6070599999999999E-2</v>
      </c>
      <c r="D5" s="52">
        <v>2.9581999999999998E-3</v>
      </c>
      <c r="E5" s="52">
        <f>1-SUM(E2:E4)</f>
        <v>9.3940999999999608E-3</v>
      </c>
      <c r="F5" s="52">
        <f>1-SUM(F2:F4)</f>
        <v>0.28487049999999992</v>
      </c>
      <c r="G5" s="52">
        <f>1-SUM(G2:G4)</f>
        <v>1</v>
      </c>
    </row>
  </sheetData>
  <sheetProtection algorithmName="SHA-512" hashValue="Yke16n9auo5llnekRUmr8Wa43A7iqoAQChCJzXpccwrLguC5FjwiphCMMZ1xAFZ2ZCihsZ76IOjsm7Hltgpv2A==" saltValue="VyPfYPV+2If8Vo4FV6f9D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v57WTxYpMxWFiYQ76SnW927nw63S800cxkuDtqMr4yLstgcyc45ZkBkJifz1a1Ynp6iNUrkUIrHtrzTbeeiwEg==" saltValue="Crlm9RxRH0bJMJLsOkE4I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MuIK2fL1v96LI4cQSPwpziRHOMWmiOP3B3QbVrJACm11exSyKH70MElUdKtCEj1Iqsc4AfMCnHnBjTPlhRd3wA==" saltValue="mIdl8EydBM13W+ksQG8BF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KjPGlVxwxUvfq7AEUVvN1BKAX7XLKEckomvuwJhZYp2GS66Ote6ZQY7z4YWBXhjE79aApJSJBIaybuNkumylVQ==" saltValue="wCGUsxxlDVJ1F0YOW3aGo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fH5XqpTu0XVHBXXLuY0yFi9vBWvsklpJ6t1SUvlVVYI2eaGFjANoWPSHh2aOfZVzWOswFU06QkIqSffLkycR8w==" saltValue="99Mnoo2OWTsS7YRlATK5t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37.674044136829657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5.9676509207220001E-2</v>
      </c>
      <c r="C3" s="98">
        <v>0.95</v>
      </c>
      <c r="D3" s="56">
        <v>42.515974618172699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95.276832335016849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0.19732049519243819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0.64956370000000008</v>
      </c>
      <c r="C10" s="98">
        <v>0.95</v>
      </c>
      <c r="D10" s="56">
        <v>13.53368651819329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0.64956370000000008</v>
      </c>
      <c r="C11" s="98">
        <v>0.95</v>
      </c>
      <c r="D11" s="56">
        <v>13.53368651819329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0.64956370000000008</v>
      </c>
      <c r="C12" s="98">
        <v>0.95</v>
      </c>
      <c r="D12" s="56">
        <v>13.53368651819329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0.64956370000000008</v>
      </c>
      <c r="C13" s="98">
        <v>0.95</v>
      </c>
      <c r="D13" s="56">
        <v>13.53368651819329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0.64956370000000008</v>
      </c>
      <c r="C14" s="98">
        <v>0.95</v>
      </c>
      <c r="D14" s="56">
        <v>13.53368651819329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0.64956370000000008</v>
      </c>
      <c r="C15" s="98">
        <v>0.95</v>
      </c>
      <c r="D15" s="56">
        <v>13.53368651819329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0.96</v>
      </c>
      <c r="C16" s="98">
        <v>0.95</v>
      </c>
      <c r="D16" s="56">
        <v>0.27292212746013211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0.36730000000000002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8.6925963238400003E-2</v>
      </c>
      <c r="C18" s="98">
        <v>0.95</v>
      </c>
      <c r="D18" s="56">
        <v>2.29252278591211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0.60183909999999996</v>
      </c>
      <c r="C19" s="98">
        <v>0.95</v>
      </c>
      <c r="D19" s="56">
        <v>2.29252278591211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0.77336490000000002</v>
      </c>
      <c r="C21" s="98">
        <v>0.95</v>
      </c>
      <c r="D21" s="56">
        <v>2.058189912020167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23.091298552496731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4.4572760576653501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0.78915939871359997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0.64956370000000008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19.533413866398011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0.60106267744160002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67.189961183789833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0.56999999999999995</v>
      </c>
      <c r="C31" s="98">
        <v>0.95</v>
      </c>
      <c r="D31" s="56">
        <v>0.97081733578609719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0.53432972574311388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0.56999999999999995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0.1933213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0.25979029999999997</v>
      </c>
      <c r="C38" s="98">
        <v>0.95</v>
      </c>
      <c r="D38" s="56">
        <v>5.5246864466378502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A4CQGO3TYCMJ5Ig31Xo1ubhyQhG8u5imAjrxQmc4jvrMYvQpRmD5AZioXLSnOnhxihThbtyiJdTXqERFuzlrcg==" saltValue="A+TqvutZl2Hux3ocmN3y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6TfwZoshn82BMpayqZkbvs9he93wG5NLo9FQJg7oqE0pB4YfoT+5cn6oIzu3bHVPONBNSfD2mxDxGWDPYJXCXQ==" saltValue="+jQ2hd643VVG7WSaWUlkg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/As4PotIfswwAZ/ptEWiznLux4dx1gHQMt8dNBbQkIQxudunMI2235RTUNWljTRbH10s0nz4XgckvIlLgjr9Rw==" saltValue="u74nogvvbNXbjmyOk/tdC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0.12124111999999999</v>
      </c>
      <c r="C3" s="21">
        <f>frac_mam_1_5months * 2.6</f>
        <v>0.12124111999999999</v>
      </c>
      <c r="D3" s="21">
        <f>frac_mam_6_11months * 2.6</f>
        <v>0.18657911999999999</v>
      </c>
      <c r="E3" s="21">
        <f>frac_mam_12_23months * 2.6</f>
        <v>0.15940288</v>
      </c>
      <c r="F3" s="21">
        <f>frac_mam_24_59months * 2.6</f>
        <v>0.19630754</v>
      </c>
    </row>
    <row r="4" spans="1:6" ht="15.75" customHeight="1" x14ac:dyDescent="0.25">
      <c r="A4" s="3" t="s">
        <v>208</v>
      </c>
      <c r="B4" s="21">
        <f>frac_sam_1month * 2.6</f>
        <v>4.1137980000000005E-2</v>
      </c>
      <c r="C4" s="21">
        <f>frac_sam_1_5months * 2.6</f>
        <v>4.1137980000000005E-2</v>
      </c>
      <c r="D4" s="21">
        <f>frac_sam_6_11months * 2.6</f>
        <v>2.8536299999999997E-2</v>
      </c>
      <c r="E4" s="21">
        <f>frac_sam_12_23months * 2.6</f>
        <v>4.9236980000000007E-2</v>
      </c>
      <c r="F4" s="21">
        <f>frac_sam_24_59months * 2.6</f>
        <v>2.4351080000000001E-2</v>
      </c>
    </row>
  </sheetData>
  <sheetProtection algorithmName="SHA-512" hashValue="B9iTnZZbvT7AOJlBYBInMMgkVopvMWos7aN2xMFinCc2XsI06+kcmcdVv3AmjIJP8BL6uXA/603UtxXmz2PynA==" saltValue="fymsjtiCSVNSx9lBgQhsI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0.38</v>
      </c>
      <c r="E2" s="60">
        <f>food_insecure</f>
        <v>0.38</v>
      </c>
      <c r="F2" s="60">
        <f>food_insecure</f>
        <v>0.38</v>
      </c>
      <c r="G2" s="60">
        <f>food_insecure</f>
        <v>0.38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0.38</v>
      </c>
      <c r="F5" s="60">
        <f>food_insecure</f>
        <v>0.38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0.38</v>
      </c>
      <c r="F8" s="60">
        <f>food_insecure</f>
        <v>0.38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0.38</v>
      </c>
      <c r="F9" s="60">
        <f>food_insecure</f>
        <v>0.38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0.38</v>
      </c>
      <c r="I15" s="60">
        <f>food_insecure</f>
        <v>0.38</v>
      </c>
      <c r="J15" s="60">
        <f>food_insecure</f>
        <v>0.38</v>
      </c>
      <c r="K15" s="60">
        <f>food_insecure</f>
        <v>0.38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0.97</v>
      </c>
      <c r="I19" s="60">
        <f>frac_malaria_risk</f>
        <v>0.97</v>
      </c>
      <c r="J19" s="60">
        <f>frac_malaria_risk</f>
        <v>0.97</v>
      </c>
      <c r="K19" s="60">
        <f>frac_malaria_risk</f>
        <v>0.97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0.52600000000000002</v>
      </c>
      <c r="M24" s="60">
        <f>famplan_unmet_need</f>
        <v>0.52600000000000002</v>
      </c>
      <c r="N24" s="60">
        <f>famplan_unmet_need</f>
        <v>0.52600000000000002</v>
      </c>
      <c r="O24" s="60">
        <f>famplan_unmet_need</f>
        <v>0.52600000000000002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0.34833685229492195</v>
      </c>
      <c r="M25" s="60">
        <f>(1-food_insecure)*(0.49)+food_insecure*(0.7)</f>
        <v>0.56979999999999997</v>
      </c>
      <c r="N25" s="60">
        <f>(1-food_insecure)*(0.49)+food_insecure*(0.7)</f>
        <v>0.56979999999999997</v>
      </c>
      <c r="O25" s="60">
        <f>(1-food_insecure)*(0.49)+food_insecure*(0.7)</f>
        <v>0.56979999999999997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0.1492872224121094</v>
      </c>
      <c r="M26" s="60">
        <f>(1-food_insecure)*(0.21)+food_insecure*(0.3)</f>
        <v>0.24419999999999997</v>
      </c>
      <c r="N26" s="60">
        <f>(1-food_insecure)*(0.21)+food_insecure*(0.3)</f>
        <v>0.24419999999999997</v>
      </c>
      <c r="O26" s="60">
        <f>(1-food_insecure)*(0.21)+food_insecure*(0.3)</f>
        <v>0.24419999999999997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0.11370771240234376</v>
      </c>
      <c r="M27" s="60">
        <f>(1-food_insecure)*(0.3)</f>
        <v>0.186</v>
      </c>
      <c r="N27" s="60">
        <f>(1-food_insecure)*(0.3)</f>
        <v>0.186</v>
      </c>
      <c r="O27" s="60">
        <f>(1-food_insecure)*(0.3)</f>
        <v>0.186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0.38866821289062498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0.97</v>
      </c>
      <c r="D34" s="60">
        <f t="shared" si="3"/>
        <v>0.97</v>
      </c>
      <c r="E34" s="60">
        <f t="shared" si="3"/>
        <v>0.97</v>
      </c>
      <c r="F34" s="60">
        <f t="shared" si="3"/>
        <v>0.97</v>
      </c>
      <c r="G34" s="60">
        <f t="shared" si="3"/>
        <v>0.97</v>
      </c>
      <c r="H34" s="60">
        <f t="shared" si="3"/>
        <v>0.97</v>
      </c>
      <c r="I34" s="60">
        <f t="shared" si="3"/>
        <v>0.97</v>
      </c>
      <c r="J34" s="60">
        <f t="shared" si="3"/>
        <v>0.97</v>
      </c>
      <c r="K34" s="60">
        <f t="shared" si="3"/>
        <v>0.97</v>
      </c>
      <c r="L34" s="60">
        <f t="shared" si="3"/>
        <v>0.97</v>
      </c>
      <c r="M34" s="60">
        <f t="shared" si="3"/>
        <v>0.97</v>
      </c>
      <c r="N34" s="60">
        <f t="shared" si="3"/>
        <v>0.97</v>
      </c>
      <c r="O34" s="60">
        <f t="shared" si="3"/>
        <v>0.97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EId/ntNwSa0y8x1VZSvR7wn76w+t6vTD2tWIXwz9C8ed2jVPDLWYaFgYXZA9lLv8LoAG3PKOVZW7rhCTRbXgHA==" saltValue="7Zy2KN7pDfMO/DFjlyAIQ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cjBBQVm93+OnZyvIDtftQaD2U2xLONnTXrtPJ3BTElURs8V5CvwIt7lNg+i+Hjsvs7WOYFmdCfqyK82Tty4d7Q==" saltValue="EqJNv1vfvKGkSO7JWgJhE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DA7BuUW+lUmran7sk1hc5C/ZKmmQTz10uYzeY+qTcv3hxjsC5EOXpkDYHNanAqyY+8A25XDBWf3qhE8F2kq2LA==" saltValue="wn/snF6V+tPrjscXHi474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wj0oMzSHJxsKxrmPgxDuAy+4Owa+tw8Bz0uhcoiYprvzyjBimfqQG/kURmhY16KicB+fxt0iRRyBoTCQtKVhlQ==" saltValue="eDc5MBKdxLS/D+0WMqSXd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lxqiaKG9XRMfxJTIarAR82LOJOHFfmsHpqWnde7eU9BhBEjn0GtJF2GJhUFjPJh0FVPF6aOPlEWGKhDh0WZJew==" saltValue="l3RtWcPNlHYZGpF0P7CnD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sAaWKDbeyTfR6DHn/iimlWQNKcb0g10GuFJsZ/wI5XoffHnzRvAz997SEl2GEW6b3kETrM4nGv215W706HX3AQ==" saltValue="/guFglLzOdozJOWb2PtA5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faB+dg622ess0I2mths9cIFSX8HY0XrHgYE4MjK6jVN4RXQ/5SkM5ahyBJ2AIg1ag+D3xw30lHaIJ5rKLqlAIQ==" saltValue="51+miLjQNRANLXepyHIpd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6mlEDsZ10UWETrjMpqBr2EANRt1KyaWpdjdQKRjHPRDsXI6Uwt7klcNSOOpr+WhxGLHHeNxfC3blmgq449MBSg==" saltValue="x/zLvrV7GFnWEUQex1pQ1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NEGCikFhxxdaKQzBhCfqw+GrCJ3CaxJfNE9li5RSEiUXCqLeIUN5qV5/clXzkgCxvXSK3svbk7uSaipyy9HRmA==" saltValue="uh8cdq26iCyqgEJsHEbV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LxtzylZwOny+RU1tT0+WpDYVoivCv9xiiJ8iYC6EUV8+S3naSMOeX1JiftHsrpsKJEw2Gu/3bg1hTYYrhfq3ow==" saltValue="5imPY/gQx2d4v50G+BO73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+fl51HvglRvPKWJ9JUI9KWRR4knMf8vHUEBiMrKWvglK4jRvWmCzd18zmL/vUnKek7bw2RWmCyDrJuqX6GONSg==" saltValue="X0V6a1TAnoiY+VvI470b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w6aukj/uljQu9hr1AacjTSnBI/W5M8ox4CCWM2oCAR8yvUnE++pHYzkTj71N/JefploZoUCz+/JWgv7o5h2Ucg==" saltValue="6OeK1TGO6bANfmsdb5sP5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QHdkhfzcmjxVcAY1bFDC6Rvggh6S0iEY3Fn4MyjuVB1JaunhVG2LYccQtFoNBhlq49TtYuLA9kBrH52qdNNG5Q==" saltValue="eA+5XIdKSuhvUoFEtJ3HV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m/lSQUUw5rYCZSuEzzVUXpPfG3653exLxfJr00ZRs38B8r+IqMkpMOy/rajL0kYPF42GxwoUBbho8ebq9t0OIg==" saltValue="CvBZar6rKJhzetoZFuS4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m7GKCUURKHB/KUk01ZuQbqMZhLXd6ZnmEM4SFNzLn0UtQ1SP4OfEni8qe11fEKzN0x7tRwE/USju1U6fwXYdgA==" saltValue="0FH5a1366flt9Hdkdm9/W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2024-05-17T00:49:48Z</dcterms:modified>
</cp:coreProperties>
</file>