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F7D6EBAE-A420-41AF-9794-4442DE4647FB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31" i="2" l="1"/>
  <c r="I38" i="2"/>
  <c r="A26" i="2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<sst xmlns="http://schemas.openxmlformats.org/spreadsheetml/2006/main" count="2169" uniqueCount="369">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</sst>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2494092</v>
      </c>
    </row>
    <row r="8" spans="1:3" ht="15" customHeight="1" x14ac:dyDescent="0.25">
      <c r="B8" s="5" t="s">
        <v>37</v>
      </c>
      <c r="C8" s="44">
        <v>0.39</v>
      </c>
    </row>
    <row r="9" spans="1:3" ht="15" customHeight="1" x14ac:dyDescent="0.25">
      <c r="B9" s="5" t="s">
        <v>38</v>
      </c>
      <c r="C9" s="45">
        <v>0.97</v>
      </c>
    </row>
    <row r="10" spans="1:3" ht="15" customHeight="1" x14ac:dyDescent="0.25">
      <c r="B10" s="5" t="s">
        <v>39</v>
      </c>
      <c r="C10" s="45">
        <v>0.39424589999999998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0.25600000000000001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7.9199999999999993E-2</v>
      </c>
    </row>
    <row r="24" spans="1:3" ht="15" customHeight="1" x14ac:dyDescent="0.25">
      <c r="B24" s="15" t="s">
        <v>51</v>
      </c>
      <c r="C24" s="45">
        <v>0.43070000000000003</v>
      </c>
    </row>
    <row r="25" spans="1:3" ht="15" customHeight="1" x14ac:dyDescent="0.25">
      <c r="B25" s="15" t="s">
        <v>52</v>
      </c>
      <c r="C25" s="45">
        <v>0.37840000000000001</v>
      </c>
    </row>
    <row r="26" spans="1:3" ht="15" customHeight="1" x14ac:dyDescent="0.25">
      <c r="B26" s="15" t="s">
        <v>53</v>
      </c>
      <c r="C26" s="45">
        <v>0.11169999999999999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0.242578564948118</v>
      </c>
    </row>
    <row r="30" spans="1:3" ht="14.25" customHeight="1" x14ac:dyDescent="0.25">
      <c r="B30" s="25" t="s">
        <v>56</v>
      </c>
      <c r="C30" s="97">
        <v>2.9913637194387301E-2</v>
      </c>
    </row>
    <row r="31" spans="1:3" ht="14.25" customHeight="1" x14ac:dyDescent="0.25">
      <c r="B31" s="25" t="s">
        <v>57</v>
      </c>
      <c r="C31" s="97">
        <v>7.7460320403722499E-2</v>
      </c>
    </row>
    <row r="32" spans="1:3" ht="14.25" customHeight="1" x14ac:dyDescent="0.25">
      <c r="B32" s="25" t="s">
        <v>58</v>
      </c>
      <c r="C32" s="97">
        <v>0.650047477453772</v>
      </c>
    </row>
    <row r="33" spans="1:5" ht="13.25" customHeight="1" x14ac:dyDescent="0.25">
      <c r="B33" s="27" t="s">
        <v>59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21.085819999999998</v>
      </c>
    </row>
    <row r="38" spans="1:5" ht="15" customHeight="1" x14ac:dyDescent="0.25">
      <c r="B38" s="11" t="s">
        <v>63</v>
      </c>
      <c r="C38" s="43">
        <v>29.13533</v>
      </c>
      <c r="D38" s="12"/>
      <c r="E38" s="13"/>
    </row>
    <row r="39" spans="1:5" ht="15" customHeight="1" x14ac:dyDescent="0.25">
      <c r="B39" s="11" t="s">
        <v>64</v>
      </c>
      <c r="C39" s="43">
        <v>38.59986</v>
      </c>
      <c r="D39" s="12"/>
      <c r="E39" s="12"/>
    </row>
    <row r="40" spans="1:5" ht="15" customHeight="1" x14ac:dyDescent="0.25">
      <c r="B40" s="11" t="s">
        <v>65</v>
      </c>
      <c r="C40" s="98">
        <v>2.61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19.10577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7.9200999999999994E-3</v>
      </c>
      <c r="D45" s="12"/>
    </row>
    <row r="46" spans="1:5" ht="15.75" customHeight="1" x14ac:dyDescent="0.25">
      <c r="B46" s="11" t="s">
        <v>70</v>
      </c>
      <c r="C46" s="45">
        <v>8.5099999999999995E-2</v>
      </c>
      <c r="D46" s="12"/>
    </row>
    <row r="47" spans="1:5" ht="15.75" customHeight="1" x14ac:dyDescent="0.25">
      <c r="B47" s="11" t="s">
        <v>71</v>
      </c>
      <c r="C47" s="45">
        <v>7.3468800000000001E-2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2.86</v>
      </c>
      <c r="D51" s="12"/>
    </row>
    <row r="52" spans="1:4" ht="15" customHeight="1" x14ac:dyDescent="0.25">
      <c r="B52" s="11" t="s">
        <v>75</v>
      </c>
      <c r="C52" s="98">
        <v>2.86</v>
      </c>
    </row>
    <row r="53" spans="1:4" ht="15.75" customHeight="1" x14ac:dyDescent="0.25">
      <c r="B53" s="11" t="s">
        <v>76</v>
      </c>
      <c r="C53" s="98">
        <v>5.07</v>
      </c>
    </row>
    <row r="54" spans="1:4" ht="15.75" customHeight="1" x14ac:dyDescent="0.25">
      <c r="B54" s="11" t="s">
        <v>77</v>
      </c>
      <c r="C54" s="98">
        <v>5.1219999999999999</v>
      </c>
    </row>
    <row r="55" spans="1:4" ht="15.75" customHeight="1" x14ac:dyDescent="0.25">
      <c r="B55" s="11" t="s">
        <v>78</v>
      </c>
      <c r="C55" s="98">
        <v>2.6173333333333342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0.39979100000000012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0.18459738000000001</v>
      </c>
    </row>
    <row r="63" spans="1:4" ht="15.75" customHeight="1" x14ac:dyDescent="0.3">
      <c r="A63" s="4"/>
    </row>
  </sheetData>
  <sheetProtection algorithmName="SHA-512" hashValue="TqqN9RRc00vH/MS4oAIBiql4841TlgIeNr1nbktLdsmKWyIH8cf1EztMfkrSiefyCuFsX8BbuLsM/kZ9OLrYjQ==" saltValue="7HSYS9L1z4Fp7IzeIsth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539970</v>
      </c>
      <c r="C2" s="49">
        <v>989993.5</v>
      </c>
      <c r="D2" s="49">
        <v>1661601.9999999998</v>
      </c>
      <c r="E2" s="49">
        <v>1192042.5</v>
      </c>
      <c r="F2" s="49">
        <v>802549.50000000012</v>
      </c>
      <c r="G2" s="17">
        <f t="shared" ref="G2:G13" si="0">C2+D2+E2+F2</f>
        <v>4646187.5</v>
      </c>
      <c r="H2" s="17">
        <f t="shared" ref="H2:H13" si="1">(B2 + stillbirth*B2/(1000-stillbirth))/(1-abortion)</f>
        <v>625553.9628643475</v>
      </c>
      <c r="I2" s="17">
        <f t="shared" ref="I2:I13" si="2">G2-H2</f>
        <v>4020633.5371356523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547717</v>
      </c>
      <c r="C3" s="50">
        <v>1007154.5</v>
      </c>
      <c r="D3" s="50">
        <v>1697374.5</v>
      </c>
      <c r="E3" s="50">
        <v>1237650</v>
      </c>
      <c r="F3" s="50">
        <v>837357</v>
      </c>
      <c r="G3" s="17">
        <f t="shared" si="0"/>
        <v>4779536</v>
      </c>
      <c r="H3" s="17">
        <f t="shared" si="1"/>
        <v>634528.84396942763</v>
      </c>
      <c r="I3" s="17">
        <f t="shared" si="2"/>
        <v>4145007.1560305725</v>
      </c>
    </row>
    <row r="4" spans="1:9" ht="15.75" customHeight="1" x14ac:dyDescent="0.25">
      <c r="A4" s="5">
        <f t="shared" si="3"/>
        <v>2026</v>
      </c>
      <c r="B4" s="49">
        <v>554508</v>
      </c>
      <c r="C4" s="50">
        <v>1024482</v>
      </c>
      <c r="D4" s="50">
        <v>1729664.4999999998</v>
      </c>
      <c r="E4" s="50">
        <v>1284886</v>
      </c>
      <c r="F4" s="50">
        <v>873574.5</v>
      </c>
      <c r="G4" s="17">
        <f t="shared" si="0"/>
        <v>4912607</v>
      </c>
      <c r="H4" s="17">
        <f t="shared" si="1"/>
        <v>642396.20134448865</v>
      </c>
      <c r="I4" s="17">
        <f t="shared" si="2"/>
        <v>4270210.7986555118</v>
      </c>
    </row>
    <row r="5" spans="1:9" ht="15.75" customHeight="1" x14ac:dyDescent="0.25">
      <c r="A5" s="5">
        <f t="shared" si="3"/>
        <v>2027</v>
      </c>
      <c r="B5" s="49">
        <v>561854</v>
      </c>
      <c r="C5" s="50">
        <v>1040532.5</v>
      </c>
      <c r="D5" s="50">
        <v>1759675.4999999998</v>
      </c>
      <c r="E5" s="50">
        <v>1333868</v>
      </c>
      <c r="F5" s="50">
        <v>910863</v>
      </c>
      <c r="G5" s="17">
        <f t="shared" si="0"/>
        <v>5044939</v>
      </c>
      <c r="H5" s="17">
        <f t="shared" si="1"/>
        <v>650906.52490172628</v>
      </c>
      <c r="I5" s="17">
        <f t="shared" si="2"/>
        <v>4394032.4750982737</v>
      </c>
    </row>
    <row r="6" spans="1:9" ht="15.75" customHeight="1" x14ac:dyDescent="0.25">
      <c r="A6" s="5">
        <f t="shared" si="3"/>
        <v>2028</v>
      </c>
      <c r="B6" s="49">
        <v>569729</v>
      </c>
      <c r="C6" s="50">
        <v>1053732</v>
      </c>
      <c r="D6" s="50">
        <v>1788448.5</v>
      </c>
      <c r="E6" s="50">
        <v>1384460</v>
      </c>
      <c r="F6" s="50">
        <v>948849.5</v>
      </c>
      <c r="G6" s="17">
        <f t="shared" si="0"/>
        <v>5175490</v>
      </c>
      <c r="H6" s="17">
        <f t="shared" si="1"/>
        <v>660029.69370287587</v>
      </c>
      <c r="I6" s="17">
        <f t="shared" si="2"/>
        <v>4515460.3062971244</v>
      </c>
    </row>
    <row r="7" spans="1:9" ht="15.75" customHeight="1" x14ac:dyDescent="0.25">
      <c r="A7" s="5">
        <f t="shared" si="3"/>
        <v>2029</v>
      </c>
      <c r="B7" s="49">
        <v>576223</v>
      </c>
      <c r="C7" s="50">
        <v>1063259</v>
      </c>
      <c r="D7" s="50">
        <v>1816497.5</v>
      </c>
      <c r="E7" s="50">
        <v>1436074</v>
      </c>
      <c r="F7" s="50">
        <v>987299.5</v>
      </c>
      <c r="G7" s="17">
        <f t="shared" si="0"/>
        <v>5303130</v>
      </c>
      <c r="H7" s="17">
        <f t="shared" si="1"/>
        <v>667552.97728315077</v>
      </c>
      <c r="I7" s="17">
        <f t="shared" si="2"/>
        <v>4635577.0227168491</v>
      </c>
    </row>
    <row r="8" spans="1:9" ht="15.75" customHeight="1" x14ac:dyDescent="0.25">
      <c r="A8" s="5">
        <f t="shared" si="3"/>
        <v>2030</v>
      </c>
      <c r="B8" s="49">
        <v>582352</v>
      </c>
      <c r="C8" s="50">
        <v>1069768</v>
      </c>
      <c r="D8" s="50">
        <v>1844063.5</v>
      </c>
      <c r="E8" s="50">
        <v>1487766</v>
      </c>
      <c r="F8" s="50">
        <v>1026365.4999999999</v>
      </c>
      <c r="G8" s="17">
        <f t="shared" si="0"/>
        <v>5427963</v>
      </c>
      <c r="H8" s="17">
        <f t="shared" si="1"/>
        <v>674653.40923010255</v>
      </c>
      <c r="I8" s="17">
        <f t="shared" si="2"/>
        <v>4753309.5907698972</v>
      </c>
    </row>
    <row r="9" spans="1:9" ht="15.75" customHeight="1" x14ac:dyDescent="0.25">
      <c r="A9" s="5">
        <f t="shared" si="3"/>
        <v>2031</v>
      </c>
      <c r="B9" s="49">
        <v>586157</v>
      </c>
      <c r="C9" s="50">
        <v>1074621</v>
      </c>
      <c r="D9" s="50">
        <v>1871230.5000000002</v>
      </c>
      <c r="E9" s="50">
        <v>1538317.5</v>
      </c>
      <c r="F9" s="50">
        <v>1066314</v>
      </c>
      <c r="G9" s="17">
        <f t="shared" si="0"/>
        <v>5550483</v>
      </c>
      <c r="H9" s="17">
        <f t="shared" si="1"/>
        <v>679061.49269529292</v>
      </c>
      <c r="I9" s="17">
        <f t="shared" si="2"/>
        <v>4871421.5073047075</v>
      </c>
    </row>
    <row r="10" spans="1:9" ht="15.75" customHeight="1" x14ac:dyDescent="0.25">
      <c r="A10" s="5">
        <f t="shared" si="3"/>
        <v>2032</v>
      </c>
      <c r="B10" s="49">
        <v>591275</v>
      </c>
      <c r="C10" s="50">
        <v>1079238.5</v>
      </c>
      <c r="D10" s="50">
        <v>1897502</v>
      </c>
      <c r="E10" s="50">
        <v>1586377.5</v>
      </c>
      <c r="F10" s="50">
        <v>1107338</v>
      </c>
      <c r="G10" s="17">
        <f t="shared" si="0"/>
        <v>5670456</v>
      </c>
      <c r="H10" s="17">
        <f t="shared" si="1"/>
        <v>684990.68354282097</v>
      </c>
      <c r="I10" s="17">
        <f t="shared" si="2"/>
        <v>4985465.3164571794</v>
      </c>
    </row>
    <row r="11" spans="1:9" ht="15.75" customHeight="1" x14ac:dyDescent="0.25">
      <c r="A11" s="5">
        <f t="shared" si="3"/>
        <v>2033</v>
      </c>
      <c r="B11" s="49">
        <v>594657</v>
      </c>
      <c r="C11" s="50">
        <v>1085101.5</v>
      </c>
      <c r="D11" s="50">
        <v>1922300</v>
      </c>
      <c r="E11" s="50">
        <v>1630815.5</v>
      </c>
      <c r="F11" s="50">
        <v>1149697.9999999998</v>
      </c>
      <c r="G11" s="17">
        <f t="shared" si="0"/>
        <v>5787915</v>
      </c>
      <c r="H11" s="17">
        <f t="shared" si="1"/>
        <v>688908.72251240676</v>
      </c>
      <c r="I11" s="17">
        <f t="shared" si="2"/>
        <v>5099006.2774875928</v>
      </c>
    </row>
    <row r="12" spans="1:9" ht="15.75" customHeight="1" x14ac:dyDescent="0.25">
      <c r="A12" s="5">
        <f t="shared" si="3"/>
        <v>2034</v>
      </c>
      <c r="B12" s="49">
        <v>598875</v>
      </c>
      <c r="C12" s="50">
        <v>1093224.5</v>
      </c>
      <c r="D12" s="50">
        <v>1945360</v>
      </c>
      <c r="E12" s="50">
        <v>1671012.4999999998</v>
      </c>
      <c r="F12" s="50">
        <v>1193609</v>
      </c>
      <c r="G12" s="17">
        <f t="shared" si="0"/>
        <v>5903206</v>
      </c>
      <c r="H12" s="17">
        <f t="shared" si="1"/>
        <v>693795.26549694629</v>
      </c>
      <c r="I12" s="17">
        <f t="shared" si="2"/>
        <v>5209410.7345030541</v>
      </c>
    </row>
    <row r="13" spans="1:9" ht="15.75" customHeight="1" x14ac:dyDescent="0.25">
      <c r="A13" s="5">
        <f t="shared" si="3"/>
        <v>2035</v>
      </c>
      <c r="B13" s="49">
        <v>601511</v>
      </c>
      <c r="C13" s="50">
        <v>1103819</v>
      </c>
      <c r="D13" s="50">
        <v>1966943.5</v>
      </c>
      <c r="E13" s="50">
        <v>1707273</v>
      </c>
      <c r="F13" s="50">
        <v>1239236.5</v>
      </c>
      <c r="G13" s="17">
        <f t="shared" si="0"/>
        <v>6017272</v>
      </c>
      <c r="H13" s="17">
        <f t="shared" si="1"/>
        <v>696849.06523787719</v>
      </c>
      <c r="I13" s="17">
        <f t="shared" si="2"/>
        <v>5320422.934762123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ATUTuqr+uJIIUD3G9f4ClWwnqC+a2OJnDRpmyFD3CD21nF2lldqm8qb4sxesRvDXmjBv7OLgIhF/X+iz1Fhlw==" saltValue="oFCbsQCUaTqIz2rSCYiV+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1.9163107671874811E-2</v>
      </c>
    </row>
    <row r="4" spans="1:8" ht="15.75" customHeight="1" x14ac:dyDescent="0.25">
      <c r="B4" s="19" t="s">
        <v>97</v>
      </c>
      <c r="C4" s="99">
        <v>6.6585652585627084E-2</v>
      </c>
    </row>
    <row r="5" spans="1:8" ht="15.75" customHeight="1" x14ac:dyDescent="0.25">
      <c r="B5" s="19" t="s">
        <v>98</v>
      </c>
      <c r="C5" s="99">
        <v>9.5974679115321399E-2</v>
      </c>
    </row>
    <row r="6" spans="1:8" ht="15.75" customHeight="1" x14ac:dyDescent="0.25">
      <c r="B6" s="19" t="s">
        <v>99</v>
      </c>
      <c r="C6" s="99">
        <v>0.2538181028161321</v>
      </c>
    </row>
    <row r="7" spans="1:8" ht="15.75" customHeight="1" x14ac:dyDescent="0.25">
      <c r="B7" s="19" t="s">
        <v>100</v>
      </c>
      <c r="C7" s="99">
        <v>0.38359173784406131</v>
      </c>
    </row>
    <row r="8" spans="1:8" ht="15.75" customHeight="1" x14ac:dyDescent="0.25">
      <c r="B8" s="19" t="s">
        <v>101</v>
      </c>
      <c r="C8" s="99">
        <v>2.9726612985585608E-3</v>
      </c>
    </row>
    <row r="9" spans="1:8" ht="15.75" customHeight="1" x14ac:dyDescent="0.25">
      <c r="B9" s="19" t="s">
        <v>102</v>
      </c>
      <c r="C9" s="99">
        <v>6.6210256446675886E-2</v>
      </c>
    </row>
    <row r="10" spans="1:8" ht="15.75" customHeight="1" x14ac:dyDescent="0.25">
      <c r="B10" s="19" t="s">
        <v>103</v>
      </c>
      <c r="C10" s="99">
        <v>0.1116838022217489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0.1857196729069864</v>
      </c>
      <c r="D14" s="55">
        <v>0.1857196729069864</v>
      </c>
      <c r="E14" s="55">
        <v>0.1857196729069864</v>
      </c>
      <c r="F14" s="55">
        <v>0.1857196729069864</v>
      </c>
    </row>
    <row r="15" spans="1:8" ht="15.75" customHeight="1" x14ac:dyDescent="0.25">
      <c r="B15" s="19" t="s">
        <v>106</v>
      </c>
      <c r="C15" s="99">
        <v>0.26208816969300658</v>
      </c>
      <c r="D15" s="99">
        <v>0.26208816969300658</v>
      </c>
      <c r="E15" s="99">
        <v>0.26208816969300658</v>
      </c>
      <c r="F15" s="99">
        <v>0.26208816969300658</v>
      </c>
    </row>
    <row r="16" spans="1:8" ht="15.75" customHeight="1" x14ac:dyDescent="0.25">
      <c r="B16" s="19" t="s">
        <v>107</v>
      </c>
      <c r="C16" s="99">
        <v>2.3929564889798131E-2</v>
      </c>
      <c r="D16" s="99">
        <v>2.3929564889798131E-2</v>
      </c>
      <c r="E16" s="99">
        <v>2.3929564889798131E-2</v>
      </c>
      <c r="F16" s="99">
        <v>2.3929564889798131E-2</v>
      </c>
    </row>
    <row r="17" spans="1:8" ht="15.75" customHeight="1" x14ac:dyDescent="0.25">
      <c r="B17" s="19" t="s">
        <v>108</v>
      </c>
      <c r="C17" s="99">
        <v>1.366540706556877E-2</v>
      </c>
      <c r="D17" s="99">
        <v>1.366540706556877E-2</v>
      </c>
      <c r="E17" s="99">
        <v>1.366540706556877E-2</v>
      </c>
      <c r="F17" s="99">
        <v>1.366540706556877E-2</v>
      </c>
    </row>
    <row r="18" spans="1:8" ht="15.75" customHeight="1" x14ac:dyDescent="0.25">
      <c r="B18" s="19" t="s">
        <v>109</v>
      </c>
      <c r="C18" s="99">
        <v>0.1121344881000229</v>
      </c>
      <c r="D18" s="99">
        <v>0.1121344881000229</v>
      </c>
      <c r="E18" s="99">
        <v>0.1121344881000229</v>
      </c>
      <c r="F18" s="99">
        <v>0.1121344881000229</v>
      </c>
    </row>
    <row r="19" spans="1:8" ht="15.75" customHeight="1" x14ac:dyDescent="0.25">
      <c r="B19" s="19" t="s">
        <v>110</v>
      </c>
      <c r="C19" s="99">
        <v>4.3931608499606992E-2</v>
      </c>
      <c r="D19" s="99">
        <v>4.3931608499606992E-2</v>
      </c>
      <c r="E19" s="99">
        <v>4.3931608499606992E-2</v>
      </c>
      <c r="F19" s="99">
        <v>4.3931608499606992E-2</v>
      </c>
    </row>
    <row r="20" spans="1:8" ht="15.75" customHeight="1" x14ac:dyDescent="0.25">
      <c r="B20" s="19" t="s">
        <v>111</v>
      </c>
      <c r="C20" s="99">
        <v>1.9269942667465779E-2</v>
      </c>
      <c r="D20" s="99">
        <v>1.9269942667465779E-2</v>
      </c>
      <c r="E20" s="99">
        <v>1.9269942667465779E-2</v>
      </c>
      <c r="F20" s="99">
        <v>1.9269942667465779E-2</v>
      </c>
    </row>
    <row r="21" spans="1:8" ht="15.75" customHeight="1" x14ac:dyDescent="0.25">
      <c r="B21" s="19" t="s">
        <v>112</v>
      </c>
      <c r="C21" s="99">
        <v>0.1453562135370326</v>
      </c>
      <c r="D21" s="99">
        <v>0.1453562135370326</v>
      </c>
      <c r="E21" s="99">
        <v>0.1453562135370326</v>
      </c>
      <c r="F21" s="99">
        <v>0.1453562135370326</v>
      </c>
    </row>
    <row r="22" spans="1:8" ht="15.75" customHeight="1" x14ac:dyDescent="0.25">
      <c r="B22" s="19" t="s">
        <v>113</v>
      </c>
      <c r="C22" s="99">
        <v>0.1939049326405119</v>
      </c>
      <c r="D22" s="99">
        <v>0.1939049326405119</v>
      </c>
      <c r="E22" s="99">
        <v>0.1939049326405119</v>
      </c>
      <c r="F22" s="99">
        <v>0.1939049326405119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8.8209145000000003E-2</v>
      </c>
    </row>
    <row r="27" spans="1:8" ht="15.75" customHeight="1" x14ac:dyDescent="0.25">
      <c r="B27" s="19" t="s">
        <v>120</v>
      </c>
      <c r="C27" s="99">
        <v>8.6061309999999995E-3</v>
      </c>
    </row>
    <row r="28" spans="1:8" ht="15.75" customHeight="1" x14ac:dyDescent="0.25">
      <c r="B28" s="19" t="s">
        <v>121</v>
      </c>
      <c r="C28" s="99">
        <v>0.158177228</v>
      </c>
    </row>
    <row r="29" spans="1:8" ht="15.75" customHeight="1" x14ac:dyDescent="0.25">
      <c r="B29" s="19" t="s">
        <v>122</v>
      </c>
      <c r="C29" s="99">
        <v>0.16895537699999999</v>
      </c>
    </row>
    <row r="30" spans="1:8" ht="15.75" customHeight="1" x14ac:dyDescent="0.25">
      <c r="B30" s="19" t="s">
        <v>2</v>
      </c>
      <c r="C30" s="99">
        <v>0.10501387</v>
      </c>
    </row>
    <row r="31" spans="1:8" ht="15.75" customHeight="1" x14ac:dyDescent="0.25">
      <c r="B31" s="19" t="s">
        <v>123</v>
      </c>
      <c r="C31" s="99">
        <v>0.110556312</v>
      </c>
    </row>
    <row r="32" spans="1:8" ht="15.75" customHeight="1" x14ac:dyDescent="0.25">
      <c r="B32" s="19" t="s">
        <v>124</v>
      </c>
      <c r="C32" s="99">
        <v>1.8813532000000001E-2</v>
      </c>
    </row>
    <row r="33" spans="2:3" ht="15.75" customHeight="1" x14ac:dyDescent="0.25">
      <c r="B33" s="19" t="s">
        <v>125</v>
      </c>
      <c r="C33" s="99">
        <v>8.3149402999999997E-2</v>
      </c>
    </row>
    <row r="34" spans="2:3" ht="15.75" customHeight="1" x14ac:dyDescent="0.25">
      <c r="B34" s="19" t="s">
        <v>126</v>
      </c>
      <c r="C34" s="99">
        <v>0.25851900100000003</v>
      </c>
    </row>
    <row r="35" spans="2:3" ht="15.75" customHeight="1" x14ac:dyDescent="0.25">
      <c r="B35" s="27" t="s">
        <v>59</v>
      </c>
      <c r="C35" s="48">
        <f>SUM(C26:C34)</f>
        <v>0.99999999900000003</v>
      </c>
    </row>
  </sheetData>
  <sheetProtection algorithmName="SHA-512" hashValue="VfLoFE6fUcmo6GUi3i7h9vkcGH1LB2G7QKuz4dpGsuxTZPXPJfDCLoQ7AfxBcQhFm0RjdxmLT8sy0WopapovyA==" saltValue="Fe9znGofdRHt10o79QQ3Z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0.53948153243197172</v>
      </c>
      <c r="D2" s="52">
        <f>IFERROR(1-_xlfn.NORM.DIST(_xlfn.NORM.INV(SUM(D4:D5), 0, 1) + 1, 0, 1, TRUE), "")</f>
        <v>0.53948153243197172</v>
      </c>
      <c r="E2" s="52">
        <f>IFERROR(1-_xlfn.NORM.DIST(_xlfn.NORM.INV(SUM(E4:E5), 0, 1) + 1, 0, 1, TRUE), "")</f>
        <v>0.5696752209710203</v>
      </c>
      <c r="F2" s="52">
        <f>IFERROR(1-_xlfn.NORM.DIST(_xlfn.NORM.INV(SUM(F4:F5), 0, 1) + 1, 0, 1, TRUE), "")</f>
        <v>0.38974161566414511</v>
      </c>
      <c r="G2" s="52">
        <f>IFERROR(1-_xlfn.NORM.DIST(_xlfn.NORM.INV(SUM(G4:G5), 0, 1) + 1, 0, 1, TRUE), "")</f>
        <v>0.46954204448859327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0.32466226756802835</v>
      </c>
      <c r="D3" s="52">
        <f>IFERROR(_xlfn.NORM.DIST(_xlfn.NORM.INV(SUM(D4:D5), 0, 1) + 1, 0, 1, TRUE) - SUM(D4:D5), "")</f>
        <v>0.32466226756802835</v>
      </c>
      <c r="E3" s="52">
        <f>IFERROR(_xlfn.NORM.DIST(_xlfn.NORM.INV(SUM(E4:E5), 0, 1) + 1, 0, 1, TRUE) - SUM(E4:E5), "")</f>
        <v>0.31043687902897965</v>
      </c>
      <c r="F3" s="52">
        <f>IFERROR(_xlfn.NORM.DIST(_xlfn.NORM.INV(SUM(F4:F5), 0, 1) + 1, 0, 1, TRUE) - SUM(F4:F5), "")</f>
        <v>0.37449818433585491</v>
      </c>
      <c r="G3" s="52">
        <f>IFERROR(_xlfn.NORM.DIST(_xlfn.NORM.INV(SUM(G4:G5), 0, 1) + 1, 0, 1, TRUE) - SUM(G4:G5), "")</f>
        <v>0.3526051555114067</v>
      </c>
    </row>
    <row r="4" spans="1:15" ht="15.75" customHeight="1" x14ac:dyDescent="0.25">
      <c r="B4" s="5" t="s">
        <v>132</v>
      </c>
      <c r="C4" s="45">
        <v>7.6703599999999997E-2</v>
      </c>
      <c r="D4" s="53">
        <v>7.6703599999999997E-2</v>
      </c>
      <c r="E4" s="53">
        <v>9.0018600000000004E-2</v>
      </c>
      <c r="F4" s="53">
        <v>0.17188490000000001</v>
      </c>
      <c r="G4" s="53">
        <v>0.13089200000000001</v>
      </c>
    </row>
    <row r="5" spans="1:15" ht="15.75" customHeight="1" x14ac:dyDescent="0.25">
      <c r="B5" s="5" t="s">
        <v>133</v>
      </c>
      <c r="C5" s="45">
        <v>5.91526E-2</v>
      </c>
      <c r="D5" s="53">
        <v>5.91526E-2</v>
      </c>
      <c r="E5" s="53">
        <v>2.9869300000000001E-2</v>
      </c>
      <c r="F5" s="53">
        <v>6.3875299999999996E-2</v>
      </c>
      <c r="G5" s="53">
        <v>4.6960799999999997E-2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0.70350174372810925</v>
      </c>
      <c r="D8" s="52">
        <f>IFERROR(1-_xlfn.NORM.DIST(_xlfn.NORM.INV(SUM(D10:D11), 0, 1) + 1, 0, 1, TRUE), "")</f>
        <v>0.70350174372810925</v>
      </c>
      <c r="E8" s="52">
        <f>IFERROR(1-_xlfn.NORM.DIST(_xlfn.NORM.INV(SUM(E10:E11), 0, 1) + 1, 0, 1, TRUE), "")</f>
        <v>0.65058349310231678</v>
      </c>
      <c r="F8" s="52">
        <f>IFERROR(1-_xlfn.NORM.DIST(_xlfn.NORM.INV(SUM(F10:F11), 0, 1) + 1, 0, 1, TRUE), "")</f>
        <v>0.65667966159705382</v>
      </c>
      <c r="G8" s="52">
        <f>IFERROR(1-_xlfn.NORM.DIST(_xlfn.NORM.INV(SUM(G10:G11), 0, 1) + 1, 0, 1, TRUE), "")</f>
        <v>0.64544367026514549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0.23404475627189075</v>
      </c>
      <c r="D9" s="52">
        <f>IFERROR(_xlfn.NORM.DIST(_xlfn.NORM.INV(SUM(D10:D11), 0, 1) + 1, 0, 1, TRUE) - SUM(D10:D11), "")</f>
        <v>0.23404475627189075</v>
      </c>
      <c r="E9" s="52">
        <f>IFERROR(_xlfn.NORM.DIST(_xlfn.NORM.INV(SUM(E10:E11), 0, 1) + 1, 0, 1, TRUE) - SUM(E10:E11), "")</f>
        <v>0.26667980689768322</v>
      </c>
      <c r="F9" s="52">
        <f>IFERROR(_xlfn.NORM.DIST(_xlfn.NORM.INV(SUM(F10:F11), 0, 1) + 1, 0, 1, TRUE) - SUM(F10:F11), "")</f>
        <v>0.26307423840294619</v>
      </c>
      <c r="G9" s="52">
        <f>IFERROR(_xlfn.NORM.DIST(_xlfn.NORM.INV(SUM(G10:G11), 0, 1) + 1, 0, 1, TRUE) - SUM(G10:G11), "")</f>
        <v>0.26968762973485449</v>
      </c>
    </row>
    <row r="10" spans="1:15" ht="15.75" customHeight="1" x14ac:dyDescent="0.25">
      <c r="B10" s="5" t="s">
        <v>137</v>
      </c>
      <c r="C10" s="45">
        <v>4.6631199999999998E-2</v>
      </c>
      <c r="D10" s="53">
        <v>4.6631199999999998E-2</v>
      </c>
      <c r="E10" s="53">
        <v>7.1761199999999997E-2</v>
      </c>
      <c r="F10" s="53">
        <v>6.1308799999999997E-2</v>
      </c>
      <c r="G10" s="53">
        <v>7.5502899999999998E-2</v>
      </c>
    </row>
    <row r="11" spans="1:15" ht="15.75" customHeight="1" x14ac:dyDescent="0.25">
      <c r="B11" s="5" t="s">
        <v>138</v>
      </c>
      <c r="C11" s="45">
        <v>1.5822300000000001E-2</v>
      </c>
      <c r="D11" s="53">
        <v>1.5822300000000001E-2</v>
      </c>
      <c r="E11" s="53">
        <v>1.0975499999999999E-2</v>
      </c>
      <c r="F11" s="53">
        <v>1.8937300000000001E-2</v>
      </c>
      <c r="G11" s="53">
        <v>9.3658000000000005E-3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0.89921624824999991</v>
      </c>
      <c r="D14" s="54">
        <v>0.88454178175099996</v>
      </c>
      <c r="E14" s="54">
        <v>0.88454178175099996</v>
      </c>
      <c r="F14" s="54">
        <v>0.71638189990300005</v>
      </c>
      <c r="G14" s="54">
        <v>0.71638189990300005</v>
      </c>
      <c r="H14" s="45">
        <v>0.58099999999999985</v>
      </c>
      <c r="I14" s="55">
        <v>0.58099999999999985</v>
      </c>
      <c r="J14" s="55">
        <v>0.58099999999999985</v>
      </c>
      <c r="K14" s="55">
        <v>0.58099999999999985</v>
      </c>
      <c r="L14" s="45">
        <v>0.49099999999999999</v>
      </c>
      <c r="M14" s="55">
        <v>0.49099999999999999</v>
      </c>
      <c r="N14" s="55">
        <v>0.49099999999999999</v>
      </c>
      <c r="O14" s="55">
        <v>0.49099999999999999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0.35949856310411582</v>
      </c>
      <c r="D15" s="52">
        <f t="shared" si="0"/>
        <v>0.35363184346801413</v>
      </c>
      <c r="E15" s="52">
        <f t="shared" si="0"/>
        <v>0.35363184346801413</v>
      </c>
      <c r="F15" s="52">
        <f t="shared" si="0"/>
        <v>0.28640303614412038</v>
      </c>
      <c r="G15" s="52">
        <f t="shared" si="0"/>
        <v>0.28640303614412038</v>
      </c>
      <c r="H15" s="52">
        <f t="shared" si="0"/>
        <v>0.23227857100000002</v>
      </c>
      <c r="I15" s="52">
        <f t="shared" si="0"/>
        <v>0.23227857100000002</v>
      </c>
      <c r="J15" s="52">
        <f t="shared" si="0"/>
        <v>0.23227857100000002</v>
      </c>
      <c r="K15" s="52">
        <f t="shared" si="0"/>
        <v>0.23227857100000002</v>
      </c>
      <c r="L15" s="52">
        <f t="shared" si="0"/>
        <v>0.19629738100000005</v>
      </c>
      <c r="M15" s="52">
        <f t="shared" si="0"/>
        <v>0.19629738100000005</v>
      </c>
      <c r="N15" s="52">
        <f t="shared" si="0"/>
        <v>0.19629738100000005</v>
      </c>
      <c r="O15" s="52">
        <f t="shared" si="0"/>
        <v>0.19629738100000005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4RiAAz5PZdQE5mywEycjYgqXuH2vlukWjPfjgkh6yRwTgOCJxT8vXCwgYU/eFmHR/dCiJhyu0TgU3lTkezrLw==" saltValue="B+Ik152kOay+O6kfPu2F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0.60487789999999997</v>
      </c>
      <c r="D2" s="53">
        <v>0.34281080000000003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0.27744210000000002</v>
      </c>
      <c r="D3" s="53">
        <v>0.48379250000000001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9.1609400000000007E-2</v>
      </c>
      <c r="D4" s="53">
        <v>0.1704386</v>
      </c>
      <c r="E4" s="53">
        <v>0.99060590000000004</v>
      </c>
      <c r="F4" s="53">
        <v>0.71512950000000008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2.6070599999999944E-2</v>
      </c>
      <c r="D5" s="52">
        <f t="shared" si="0"/>
        <v>2.9580999999999635E-3</v>
      </c>
      <c r="E5" s="52">
        <f>1-SUM(E2:E4)</f>
        <v>9.3940999999999608E-3</v>
      </c>
      <c r="F5" s="52">
        <f>1-SUM(F2:F4)</f>
        <v>0.28487049999999992</v>
      </c>
      <c r="G5" s="52">
        <f>1-SUM(G2:G4)</f>
        <v>1</v>
      </c>
    </row>
  </sheetData>
  <sheetProtection algorithmName="SHA-512" hashValue="SA3wCBauLUeKJGpOxDivdpUMBqrnKJ3TilK3eZsqMDRMlQlA+5WYYCCIs3t6M5PhvFLEktJXqHoEFmE38210Mw==" saltValue="1I7TXxPTRNT9X82ruKyIf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TdOQaO/IoJyPKq6isOoa32VhSJYliYD4wXXQybWV3Fd66M33yFAsZhmnOEU5cdFOdu0CTNQuikKsfR9Bz6dQQ==" saltValue="DkmkZ8U+cqtjn2tv+DjY+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1598.7264333601199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0.43664999999999998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0.38732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1.7766015389892271E-2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95468.383170000001</v>
      </c>
      <c r="C22" s="107">
        <v>94921.576360000006</v>
      </c>
      <c r="D22" s="107">
        <v>94485.240349999993</v>
      </c>
      <c r="E22" s="107">
        <v>94018.666400000002</v>
      </c>
      <c r="F22" s="107">
        <v>93352.835420000003</v>
      </c>
      <c r="G22" s="107">
        <v>92565.650320000001</v>
      </c>
      <c r="H22" s="107">
        <v>91574.268469999995</v>
      </c>
      <c r="I22" s="107">
        <v>90278.237789999999</v>
      </c>
      <c r="J22" s="107">
        <v>88443.745009999999</v>
      </c>
      <c r="K22" s="107">
        <v>85966.400680000006</v>
      </c>
      <c r="L22" s="107">
        <v>82363.543699999995</v>
      </c>
      <c r="M22" s="107">
        <v>77379.659270000004</v>
      </c>
      <c r="N22" s="107">
        <v>70119.644929999995</v>
      </c>
      <c r="O22" s="107">
        <v>60593.780740000002</v>
      </c>
    </row>
  </sheetData>
  <sheetProtection algorithmName="SHA-512" hashValue="c82kVaN+a30UQIc/70pIOanrDMTr628PIga/FxQaPSwJvSy4eFI6pWdzMy2S2gvly3vKgdA/ppUsIPtkb/rYhA==" saltValue="IbqBEaCfKMXOtsQot9wtq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WtcQnj12bTmrEc7rZc9qmsypak/90sltoOkiRdg9bHWBVd5S3HT4+OzKedSLX/qtHqAAD/gE09zSuoXNEj6+Yw==" saltValue="xszcS2NSfvPDJlmTbbgSV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vfQDkpTXgS01THivJ2yrgAvYoUxJWl+lFNk4uwbdTST7AxMt7Yn1ana1fa7/s1hYbbohWyD3JOYGTRExlnogWQ==" saltValue="J2meeGj8o7a42b0xtmQ3B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18.025735670419653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18.025735670419653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5.2668836507008754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0.56149571024496792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0.70706266146872643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8.3296326652261374E-2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0.64956370000000008</v>
      </c>
      <c r="C10" s="96">
        <v>0.95</v>
      </c>
      <c r="D10" s="56">
        <v>13.53368651819329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13.53368651819329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13.53368651819329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13.53368651819329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0.64956370000000008</v>
      </c>
      <c r="C14" s="96">
        <v>0.95</v>
      </c>
      <c r="D14" s="56">
        <v>13.53368651819329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13.53368651819329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0.68053489999999994</v>
      </c>
      <c r="C16" s="96">
        <v>0.95</v>
      </c>
      <c r="D16" s="56">
        <v>2.8407188685968858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0.36730000000000002</v>
      </c>
      <c r="C17" s="96">
        <v>0.95</v>
      </c>
      <c r="D17" s="56">
        <v>0.35500000000000004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0.60699999999999998</v>
      </c>
      <c r="C18" s="96">
        <v>0.95</v>
      </c>
      <c r="D18" s="56">
        <v>5.2668836507008754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0.34281080000000003</v>
      </c>
      <c r="C19" s="96">
        <v>0.95</v>
      </c>
      <c r="D19" s="56">
        <v>7.2861200073283072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2.1939130069251829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5.2668836507008754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0.80976389999999998</v>
      </c>
      <c r="C23" s="96">
        <v>0.95</v>
      </c>
      <c r="D23" s="56">
        <v>4.4572760576653501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0.67986386987520009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2.9000000000000001E-2</v>
      </c>
      <c r="C26" s="96">
        <v>0.95</v>
      </c>
      <c r="D26" s="56">
        <v>3.8681355531509101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13.457928721749347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0.25979029999999997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0.1933213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44.783843336315748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126.62714253872848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0.56999999999999995</v>
      </c>
      <c r="C32" s="96">
        <v>0.95</v>
      </c>
      <c r="D32" s="56">
        <v>0.46210405728622134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0.22246005946745701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0.59753959999999995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7.8305000000000007E-3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0.77336490000000002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0.19</v>
      </c>
      <c r="C38" s="96">
        <v>0.95</v>
      </c>
      <c r="D38" s="56">
        <v>4.0706758054007581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3.4125000000000001</v>
      </c>
      <c r="E39" s="56" t="s">
        <v>230</v>
      </c>
      <c r="F39" s="96">
        <v>1</v>
      </c>
      <c r="G39" s="96">
        <v>1</v>
      </c>
    </row>
  </sheetData>
  <sheetProtection algorithmName="SHA-512" hashValue="ttShDRCEeteUGaO33jn/Dd1MQUmrLIJTTCV2QmPHCzFlWvzRDCX/9uhvlzsjAFmXTD61DiaL0xQe7cqYJduCvw==" saltValue="M/13vvoz8LtNhy1so1pr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3TetTWFRFxsanHGmVsPYP+wFd86qW6gv1KWX/nWM9nL3GMV3ujF/9bMgglgpmypU+hYKTsj6IcrmpNYz6gNMfw==" saltValue="XAG7cuV1BgzmX1wwbn6Yx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l3xs67KZVadwQ4WIKjCrL6GruhNaCH5XAWiAoD0WCiM5c0bkAiVe0PLiJ4Xhud5anUsmYlpeBC75AYsMBvwl9Q==" saltValue="u7GgS3UpR1d0CV2y3LHwj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2.86</v>
      </c>
      <c r="C2" s="21">
        <f>'Données pop de l''année de ref'!C52</f>
        <v>2.86</v>
      </c>
      <c r="D2" s="21">
        <f>'Données pop de l''année de ref'!C53</f>
        <v>5.07</v>
      </c>
      <c r="E2" s="21">
        <f>'Données pop de l''année de ref'!C54</f>
        <v>5.1219999999999999</v>
      </c>
      <c r="F2" s="21">
        <f>'Données pop de l''année de ref'!C55</f>
        <v>2.6173333333333342</v>
      </c>
    </row>
    <row r="3" spans="1:6" ht="15.75" customHeight="1" x14ac:dyDescent="0.25">
      <c r="A3" s="3" t="s">
        <v>238</v>
      </c>
      <c r="B3" s="21">
        <f>frac_mam_1month * 2.6</f>
        <v>0.12124111999999999</v>
      </c>
      <c r="C3" s="21">
        <f>frac_mam_1_5months * 2.6</f>
        <v>0.12124111999999999</v>
      </c>
      <c r="D3" s="21">
        <f>frac_mam_6_11months * 2.6</f>
        <v>0.18657911999999999</v>
      </c>
      <c r="E3" s="21">
        <f>frac_mam_12_23months * 2.6</f>
        <v>0.15940288</v>
      </c>
      <c r="F3" s="21">
        <f>frac_mam_24_59months * 2.6</f>
        <v>0.19630754</v>
      </c>
    </row>
    <row r="4" spans="1:6" ht="15.75" customHeight="1" x14ac:dyDescent="0.25">
      <c r="A4" s="3" t="s">
        <v>237</v>
      </c>
      <c r="B4" s="21">
        <f>frac_sam_1month * 2.6</f>
        <v>4.1137980000000005E-2</v>
      </c>
      <c r="C4" s="21">
        <f>frac_sam_1_5months * 2.6</f>
        <v>4.1137980000000005E-2</v>
      </c>
      <c r="D4" s="21">
        <f>frac_sam_6_11months * 2.6</f>
        <v>2.8536299999999997E-2</v>
      </c>
      <c r="E4" s="21">
        <f>frac_sam_12_23months * 2.6</f>
        <v>4.9236980000000007E-2</v>
      </c>
      <c r="F4" s="21">
        <f>frac_sam_24_59months * 2.6</f>
        <v>2.4351080000000001E-2</v>
      </c>
    </row>
  </sheetData>
  <sheetProtection algorithmName="SHA-512" hashValue="wcvO8Y+g5qBWT5Wupor2NB4/D7/oClOkyDGaeSsTWlKklii5u6rGYvAx39rYmZatStCVF63ln1VAo9zbs3l9hg==" saltValue="eZt3MwNkWA8pKyRu2Dess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0.39</v>
      </c>
      <c r="F2" s="60">
        <f>food_insecure</f>
        <v>0.39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0.39</v>
      </c>
      <c r="F5" s="60">
        <f>food_insecure</f>
        <v>0.39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6.2400000000000004E-2</v>
      </c>
      <c r="D7" s="60">
        <f>diarrhoea_1_5mo*frac_diarrhea_severe</f>
        <v>6.2400000000000004E-2</v>
      </c>
      <c r="E7" s="60">
        <f>diarrhoea_6_11mo*frac_diarrhea_severe</f>
        <v>0.11061818181818184</v>
      </c>
      <c r="F7" s="60">
        <f>diarrhoea_12_23mo*frac_diarrhea_severe</f>
        <v>0.11175272727272728</v>
      </c>
      <c r="G7" s="60">
        <f>diarrhoea_24_59mo*frac_diarrhea_severe</f>
        <v>5.710545454545457E-2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0.39</v>
      </c>
      <c r="F8" s="60">
        <f>food_insecure</f>
        <v>0.39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0.39</v>
      </c>
      <c r="F9" s="60">
        <f>food_insecure</f>
        <v>0.39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6.2400000000000004E-2</v>
      </c>
      <c r="D12" s="60">
        <f>diarrhoea_1_5mo*frac_diarrhea_severe</f>
        <v>6.2400000000000004E-2</v>
      </c>
      <c r="E12" s="60">
        <f>diarrhoea_6_11mo*frac_diarrhea_severe</f>
        <v>0.11061818181818184</v>
      </c>
      <c r="F12" s="60">
        <f>diarrhoea_12_23mo*frac_diarrhea_severe</f>
        <v>0.11175272727272728</v>
      </c>
      <c r="G12" s="60">
        <f>diarrhoea_24_59mo*frac_diarrhea_severe</f>
        <v>5.710545454545457E-2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0.39</v>
      </c>
      <c r="I15" s="60">
        <f t="shared" si="0"/>
        <v>0.39</v>
      </c>
      <c r="J15" s="60">
        <f t="shared" si="0"/>
        <v>0.39</v>
      </c>
      <c r="K15" s="60">
        <f t="shared" si="0"/>
        <v>0.39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0.39</v>
      </c>
      <c r="I16" s="60">
        <f t="shared" si="0"/>
        <v>0.39</v>
      </c>
      <c r="J16" s="60">
        <f t="shared" si="0"/>
        <v>0.39</v>
      </c>
      <c r="K16" s="60">
        <f t="shared" si="0"/>
        <v>0.39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0.25600000000000001</v>
      </c>
      <c r="M24" s="60">
        <f>famplan_unmet_need</f>
        <v>0.25600000000000001</v>
      </c>
      <c r="N24" s="60">
        <f>famplan_unmet_need</f>
        <v>0.25600000000000001</v>
      </c>
      <c r="O24" s="60">
        <f>famplan_unmet_need</f>
        <v>0.25600000000000001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0.34643076978999998</v>
      </c>
      <c r="M25" s="60">
        <f>(1-food_insecure)*(0.49)+food_insecure*(0.7)</f>
        <v>0.57189999999999996</v>
      </c>
      <c r="N25" s="60">
        <f>(1-food_insecure)*(0.49)+food_insecure*(0.7)</f>
        <v>0.57189999999999996</v>
      </c>
      <c r="O25" s="60">
        <f>(1-food_insecure)*(0.49)+food_insecure*(0.7)</f>
        <v>0.57189999999999996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0.14847032990999998</v>
      </c>
      <c r="M26" s="60">
        <f>(1-food_insecure)*(0.21)+food_insecure*(0.3)</f>
        <v>0.24509999999999998</v>
      </c>
      <c r="N26" s="60">
        <f>(1-food_insecure)*(0.21)+food_insecure*(0.3)</f>
        <v>0.24509999999999998</v>
      </c>
      <c r="O26" s="60">
        <f>(1-food_insecure)*(0.21)+food_insecure*(0.3)</f>
        <v>0.24509999999999998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0.11085300029999999</v>
      </c>
      <c r="M27" s="60">
        <f>(1-food_insecure)*(0.3)</f>
        <v>0.183</v>
      </c>
      <c r="N27" s="60">
        <f>(1-food_insecure)*(0.3)</f>
        <v>0.183</v>
      </c>
      <c r="O27" s="60">
        <f>(1-food_insecure)*(0.3)</f>
        <v>0.183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0.39424589999999998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0.97</v>
      </c>
      <c r="D34" s="60">
        <f t="shared" si="4"/>
        <v>0.97</v>
      </c>
      <c r="E34" s="60">
        <f t="shared" si="4"/>
        <v>0.97</v>
      </c>
      <c r="F34" s="60">
        <f t="shared" si="4"/>
        <v>0.97</v>
      </c>
      <c r="G34" s="60">
        <f t="shared" si="4"/>
        <v>0.97</v>
      </c>
      <c r="H34" s="60">
        <f t="shared" si="4"/>
        <v>0.97</v>
      </c>
      <c r="I34" s="60">
        <f t="shared" si="4"/>
        <v>0.97</v>
      </c>
      <c r="J34" s="60">
        <f t="shared" si="4"/>
        <v>0.97</v>
      </c>
      <c r="K34" s="60">
        <f t="shared" si="4"/>
        <v>0.97</v>
      </c>
      <c r="L34" s="60">
        <f t="shared" si="4"/>
        <v>0.97</v>
      </c>
      <c r="M34" s="60">
        <f t="shared" si="4"/>
        <v>0.97</v>
      </c>
      <c r="N34" s="60">
        <f t="shared" si="4"/>
        <v>0.97</v>
      </c>
      <c r="O34" s="60">
        <f t="shared" si="4"/>
        <v>0.97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0V2uP4TRB6naUGhOXfqDI2gQup/rBXXp04JS3K0CLsZv10xz5nQf77JQoX7RmSxquMm9EwoM7B9SWEpI/yjdA==" saltValue="NKlran2VSYfUHT5gxI0Va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Nfev7B0jp2YMyf0jazx86ErLA0Rz99WLG8leg4kT5YrZIDpVg7GEy8wVVclPWVFSgZ08kHRlNwgDUX53dwQbyQ==" saltValue="OH5oH0Hr9ilbEC/dIsqFf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C4CGKwFfFsNvEDWfVX4cGpqI77lGd2N/DG1iP+lCLIm9PttN4Fd3VB3BY6Chn0AJiBSMtjS05j3Im9YDLNJxVg==" saltValue="dWO2y0owhPIxasWoML4fr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OxRYv/PdlQ1IWB95hY+rnXQOxUXgoXPxoGkri/iHA7FiUoOs9H8quwJ4Om9mQ+oDYmIRv2cakurCxUAMlOSSQ==" saltValue="qa+pIpWgP33m5hHL95LNf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pFyTSiRIUU5YeTg04V1abTB5s60OwHBcNvq/AS2c8zZTD4mTv6ZH+vkGThzlPHBYRKLTYsAhKpUPFZ5XoCv2Pw==" saltValue="RuVphYGDvPJCPeqIDcyRe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/0PyPWgDcAjhw1ECeGOcNGWoFcNj97A2Uny3egeEA3CTAJ2Qe6ICyLoKaQsOEMLSMWNi64MuRM4RKCPgf8i+jQ==" saltValue="w1+cGLZK5VzrypmehtTF1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TzHKhhSvVOLRlHYnodt/7MF5ifokM73LQffLtAyjJ5viOTkOeBsdGciaWlRQ+FIk8OJzIDH8TnUaEKEkRdU/g==" saltValue="Y22PYb3SpopA4xAhHLi5Y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Sz4QmL+g51/0cHhFxVqIV0mexsxScb2PEJHxlztI8/U8VrrPS+QtDpT8NmYDTKkIEdrd78SIrBn8IIznwwz3Mw==" saltValue="/49qXGgOZfi4NnP5bFiN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e0cobme1p1R9dYmb4+0NAkQUY/hnqQyGyjh2rH4D36qplN3sSMj5yIdbukLpX1+N7Wze6NfLFI+mKfBTEDRtEQ==" saltValue="qDD/pQltq0nAjFMbOzCw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fShn8zwNgTG6e7Jn+phsqunS27ViVW3PCm8JVuP4EZQi9j1KPifh/fCCDPUjnOcfgxwDQ0gigqHYC40WpsJxQ==" saltValue="qIJpruS9UiJiWiNodOHo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htw+56QZst5cmzjY8bIsTz3XFOtCOTlyqyPkxFC+PvdHECjUnS22p0NAj2lOk2qIJZOwmLYTaCJVnuz4E9pGg==" saltValue="sqfEV5TXojS5W7FN/B/r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4gUNKyqXU/BVuvibhMxf5FgnsCjSOdyqrp67Tbj9xfv1mIJE1a71N1IxmZmQTaDLRuB1CcHtRQfNn9C58DjdQ==" saltValue="t8oK2BL5FPIsuScdZ2Mh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iLRqM5On/0a+T6mf14x6KI+V9aAy+yQXkl2tvNhAr2QZeeVIZfr4m+oyOwRypENOQtQACmStqXklq/k/4lFXMg==" saltValue="qUu1KJYHvWJckP9K7/c8l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G7wRFVYO3GlbvV4YcPfRecnkRZiWS4lwe3AE2LqEXeXHnIqy5xYSIeLB5bS5+3HciLp4TKsXBpey/RVWPg/vA==" saltValue="R43tqICiSq3iaZCLytTr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iA+g7tPZ+QMdlDSdsFCqLkr7UR5BTe4sTHQLCfIAGCTsJy7GBpTblAz5K7PTkBzj+Ym3400m9aA0n5ESjh5xvg==" saltValue="yLMhp7fmb/7EBYTkOsQOJ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2025-07-30T03:20:32Z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