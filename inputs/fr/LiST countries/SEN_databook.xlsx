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DB9B5FC1-77BB-43C8-AB7A-DC599927CB5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36" i="2"/>
  <c r="A26" i="2"/>
  <c r="A31" i="2"/>
  <c r="A22" i="2"/>
  <c r="I6" i="2"/>
  <c r="I12" i="2"/>
  <c r="A35" i="2"/>
  <c r="A37" i="2"/>
  <c r="I38" i="2"/>
  <c r="I2" i="2"/>
  <c r="I8" i="2"/>
  <c r="A19" i="2"/>
  <c r="I39" i="2"/>
  <c r="A24" i="2"/>
  <c r="A40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<sst xmlns="http://schemas.openxmlformats.org/spreadsheetml/2006/main" count="2169" uniqueCount="369">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</sst>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2494092</v>
      </c>
    </row>
    <row r="8" spans="1:3" ht="15" customHeight="1" x14ac:dyDescent="0.25">
      <c r="B8" s="5" t="s">
        <v>37</v>
      </c>
      <c r="C8" s="44">
        <v>0.39</v>
      </c>
    </row>
    <row r="9" spans="1:3" ht="15" customHeight="1" x14ac:dyDescent="0.25">
      <c r="B9" s="5" t="s">
        <v>38</v>
      </c>
      <c r="C9" s="45">
        <v>0.97</v>
      </c>
    </row>
    <row r="10" spans="1:3" ht="15" customHeight="1" x14ac:dyDescent="0.25">
      <c r="B10" s="5" t="s">
        <v>39</v>
      </c>
      <c r="C10" s="45">
        <v>0.39424589999999998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0.25600000000000001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7.9199999999999993E-2</v>
      </c>
    </row>
    <row r="24" spans="1:3" ht="15" customHeight="1" x14ac:dyDescent="0.25">
      <c r="B24" s="15" t="s">
        <v>51</v>
      </c>
      <c r="C24" s="45">
        <v>0.43070000000000003</v>
      </c>
    </row>
    <row r="25" spans="1:3" ht="15" customHeight="1" x14ac:dyDescent="0.25">
      <c r="B25" s="15" t="s">
        <v>52</v>
      </c>
      <c r="C25" s="45">
        <v>0.37840000000000001</v>
      </c>
    </row>
    <row r="26" spans="1:3" ht="15" customHeight="1" x14ac:dyDescent="0.25">
      <c r="B26" s="15" t="s">
        <v>53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0.242578564948118</v>
      </c>
    </row>
    <row r="30" spans="1:3" ht="14.25" customHeight="1" x14ac:dyDescent="0.25">
      <c r="B30" s="25" t="s">
        <v>56</v>
      </c>
      <c r="C30" s="97">
        <v>2.9913637194387301E-2</v>
      </c>
    </row>
    <row r="31" spans="1:3" ht="14.25" customHeight="1" x14ac:dyDescent="0.25">
      <c r="B31" s="25" t="s">
        <v>57</v>
      </c>
      <c r="C31" s="97">
        <v>7.7460320403722499E-2</v>
      </c>
    </row>
    <row r="32" spans="1:3" ht="14.25" customHeight="1" x14ac:dyDescent="0.25">
      <c r="B32" s="25" t="s">
        <v>58</v>
      </c>
      <c r="C32" s="97">
        <v>0.650047477453772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21.085819999999998</v>
      </c>
    </row>
    <row r="38" spans="1:5" ht="15" customHeight="1" x14ac:dyDescent="0.25">
      <c r="B38" s="11" t="s">
        <v>63</v>
      </c>
      <c r="C38" s="43">
        <v>29.13533</v>
      </c>
      <c r="D38" s="12"/>
      <c r="E38" s="13"/>
    </row>
    <row r="39" spans="1:5" ht="15" customHeight="1" x14ac:dyDescent="0.25">
      <c r="B39" s="11" t="s">
        <v>64</v>
      </c>
      <c r="C39" s="43">
        <v>38.59986</v>
      </c>
      <c r="D39" s="12"/>
      <c r="E39" s="12"/>
    </row>
    <row r="40" spans="1:5" ht="15" customHeight="1" x14ac:dyDescent="0.25">
      <c r="B40" s="11" t="s">
        <v>65</v>
      </c>
      <c r="C40" s="98">
        <v>2.61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7.9200999999999994E-3</v>
      </c>
      <c r="D45" s="12"/>
    </row>
    <row r="46" spans="1:5" ht="15.75" customHeight="1" x14ac:dyDescent="0.25">
      <c r="B46" s="11" t="s">
        <v>70</v>
      </c>
      <c r="C46" s="45">
        <v>8.5099999999999995E-2</v>
      </c>
      <c r="D46" s="12"/>
    </row>
    <row r="47" spans="1:5" ht="15.75" customHeight="1" x14ac:dyDescent="0.25">
      <c r="B47" s="11" t="s">
        <v>71</v>
      </c>
      <c r="C47" s="45">
        <v>7.3468800000000001E-2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2.86</v>
      </c>
      <c r="D51" s="12"/>
    </row>
    <row r="52" spans="1:4" ht="15" customHeight="1" x14ac:dyDescent="0.25">
      <c r="B52" s="11" t="s">
        <v>75</v>
      </c>
      <c r="C52" s="98">
        <v>2.86</v>
      </c>
    </row>
    <row r="53" spans="1:4" ht="15.75" customHeight="1" x14ac:dyDescent="0.25">
      <c r="B53" s="11" t="s">
        <v>76</v>
      </c>
      <c r="C53" s="98">
        <v>5.07</v>
      </c>
    </row>
    <row r="54" spans="1:4" ht="15.75" customHeight="1" x14ac:dyDescent="0.25">
      <c r="B54" s="11" t="s">
        <v>77</v>
      </c>
      <c r="C54" s="98">
        <v>5.1219999999999999</v>
      </c>
    </row>
    <row r="55" spans="1:4" ht="15.75" customHeight="1" x14ac:dyDescent="0.25">
      <c r="B55" s="11" t="s">
        <v>78</v>
      </c>
      <c r="C55" s="98">
        <v>2.6173333333333342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0.39979100000000012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e9veOoXY0MHvwkjRi5EXMuMR+F/UFTTVdBx3IyzATt9FF/PDimcd0tqzVqSOGqYbWGF4EpH0OJIYnwxuOyLoNA==" saltValue="tI2s+cquXEvm+AWPtewZ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539970</v>
      </c>
      <c r="C2" s="49">
        <v>989993.5</v>
      </c>
      <c r="D2" s="49">
        <v>1661601.9999999998</v>
      </c>
      <c r="E2" s="49">
        <v>1192042.5</v>
      </c>
      <c r="F2" s="49">
        <v>802549.50000000012</v>
      </c>
      <c r="G2" s="17">
        <f t="shared" ref="G2:G13" si="0">C2+D2+E2+F2</f>
        <v>4646187.5</v>
      </c>
      <c r="H2" s="17">
        <f t="shared" ref="H2:H13" si="1">(B2 + stillbirth*B2/(1000-stillbirth))/(1-abortion)</f>
        <v>625553.9628643475</v>
      </c>
      <c r="I2" s="17">
        <f t="shared" ref="I2:I13" si="2">G2-H2</f>
        <v>4020633.5371356523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547717</v>
      </c>
      <c r="C3" s="50">
        <v>1007154.5</v>
      </c>
      <c r="D3" s="50">
        <v>1697374.5</v>
      </c>
      <c r="E3" s="50">
        <v>1237650</v>
      </c>
      <c r="F3" s="50">
        <v>837357</v>
      </c>
      <c r="G3" s="17">
        <f t="shared" si="0"/>
        <v>4779536</v>
      </c>
      <c r="H3" s="17">
        <f t="shared" si="1"/>
        <v>634528.84396942763</v>
      </c>
      <c r="I3" s="17">
        <f t="shared" si="2"/>
        <v>4145007.1560305725</v>
      </c>
    </row>
    <row r="4" spans="1:9" ht="15.75" customHeight="1" x14ac:dyDescent="0.25">
      <c r="A4" s="5">
        <f t="shared" si="3"/>
        <v>2026</v>
      </c>
      <c r="B4" s="49">
        <v>554508</v>
      </c>
      <c r="C4" s="50">
        <v>1024482</v>
      </c>
      <c r="D4" s="50">
        <v>1729664.4999999998</v>
      </c>
      <c r="E4" s="50">
        <v>1284886</v>
      </c>
      <c r="F4" s="50">
        <v>873574.5</v>
      </c>
      <c r="G4" s="17">
        <f t="shared" si="0"/>
        <v>4912607</v>
      </c>
      <c r="H4" s="17">
        <f t="shared" si="1"/>
        <v>642396.20134448865</v>
      </c>
      <c r="I4" s="17">
        <f t="shared" si="2"/>
        <v>4270210.7986555118</v>
      </c>
    </row>
    <row r="5" spans="1:9" ht="15.75" customHeight="1" x14ac:dyDescent="0.25">
      <c r="A5" s="5">
        <f t="shared" si="3"/>
        <v>2027</v>
      </c>
      <c r="B5" s="49">
        <v>561854</v>
      </c>
      <c r="C5" s="50">
        <v>1040532.5</v>
      </c>
      <c r="D5" s="50">
        <v>1759675.4999999998</v>
      </c>
      <c r="E5" s="50">
        <v>1333868</v>
      </c>
      <c r="F5" s="50">
        <v>910863</v>
      </c>
      <c r="G5" s="17">
        <f t="shared" si="0"/>
        <v>5044939</v>
      </c>
      <c r="H5" s="17">
        <f t="shared" si="1"/>
        <v>650906.52490172628</v>
      </c>
      <c r="I5" s="17">
        <f t="shared" si="2"/>
        <v>4394032.4750982737</v>
      </c>
    </row>
    <row r="6" spans="1:9" ht="15.75" customHeight="1" x14ac:dyDescent="0.25">
      <c r="A6" s="5">
        <f t="shared" si="3"/>
        <v>2028</v>
      </c>
      <c r="B6" s="49">
        <v>569729</v>
      </c>
      <c r="C6" s="50">
        <v>1053732</v>
      </c>
      <c r="D6" s="50">
        <v>1788448.5</v>
      </c>
      <c r="E6" s="50">
        <v>1384460</v>
      </c>
      <c r="F6" s="50">
        <v>948849.5</v>
      </c>
      <c r="G6" s="17">
        <f t="shared" si="0"/>
        <v>5175490</v>
      </c>
      <c r="H6" s="17">
        <f t="shared" si="1"/>
        <v>660029.69370287587</v>
      </c>
      <c r="I6" s="17">
        <f t="shared" si="2"/>
        <v>4515460.3062971244</v>
      </c>
    </row>
    <row r="7" spans="1:9" ht="15.75" customHeight="1" x14ac:dyDescent="0.25">
      <c r="A7" s="5">
        <f t="shared" si="3"/>
        <v>2029</v>
      </c>
      <c r="B7" s="49">
        <v>576223</v>
      </c>
      <c r="C7" s="50">
        <v>1063259</v>
      </c>
      <c r="D7" s="50">
        <v>1816497.5</v>
      </c>
      <c r="E7" s="50">
        <v>1436074</v>
      </c>
      <c r="F7" s="50">
        <v>987299.5</v>
      </c>
      <c r="G7" s="17">
        <f t="shared" si="0"/>
        <v>5303130</v>
      </c>
      <c r="H7" s="17">
        <f t="shared" si="1"/>
        <v>667552.97728315077</v>
      </c>
      <c r="I7" s="17">
        <f t="shared" si="2"/>
        <v>4635577.0227168491</v>
      </c>
    </row>
    <row r="8" spans="1:9" ht="15.75" customHeight="1" x14ac:dyDescent="0.25">
      <c r="A8" s="5">
        <f t="shared" si="3"/>
        <v>2030</v>
      </c>
      <c r="B8" s="49">
        <v>582352</v>
      </c>
      <c r="C8" s="50">
        <v>1069768</v>
      </c>
      <c r="D8" s="50">
        <v>1844063.5</v>
      </c>
      <c r="E8" s="50">
        <v>1487766</v>
      </c>
      <c r="F8" s="50">
        <v>1026365.4999999999</v>
      </c>
      <c r="G8" s="17">
        <f t="shared" si="0"/>
        <v>5427963</v>
      </c>
      <c r="H8" s="17">
        <f t="shared" si="1"/>
        <v>674653.40923010255</v>
      </c>
      <c r="I8" s="17">
        <f t="shared" si="2"/>
        <v>4753309.5907698972</v>
      </c>
    </row>
    <row r="9" spans="1:9" ht="15.75" customHeight="1" x14ac:dyDescent="0.25">
      <c r="A9" s="5">
        <f t="shared" si="3"/>
        <v>2031</v>
      </c>
      <c r="B9" s="49">
        <v>586157</v>
      </c>
      <c r="C9" s="50">
        <v>1074621</v>
      </c>
      <c r="D9" s="50">
        <v>1871230.5000000002</v>
      </c>
      <c r="E9" s="50">
        <v>1538317.5</v>
      </c>
      <c r="F9" s="50">
        <v>1066314</v>
      </c>
      <c r="G9" s="17">
        <f t="shared" si="0"/>
        <v>5550483</v>
      </c>
      <c r="H9" s="17">
        <f t="shared" si="1"/>
        <v>679061.49269529292</v>
      </c>
      <c r="I9" s="17">
        <f t="shared" si="2"/>
        <v>4871421.5073047075</v>
      </c>
    </row>
    <row r="10" spans="1:9" ht="15.75" customHeight="1" x14ac:dyDescent="0.25">
      <c r="A10" s="5">
        <f t="shared" si="3"/>
        <v>2032</v>
      </c>
      <c r="B10" s="49">
        <v>591275</v>
      </c>
      <c r="C10" s="50">
        <v>1079238.5</v>
      </c>
      <c r="D10" s="50">
        <v>1897502</v>
      </c>
      <c r="E10" s="50">
        <v>1586377.5</v>
      </c>
      <c r="F10" s="50">
        <v>1107338</v>
      </c>
      <c r="G10" s="17">
        <f t="shared" si="0"/>
        <v>5670456</v>
      </c>
      <c r="H10" s="17">
        <f t="shared" si="1"/>
        <v>684990.68354282097</v>
      </c>
      <c r="I10" s="17">
        <f t="shared" si="2"/>
        <v>4985465.3164571794</v>
      </c>
    </row>
    <row r="11" spans="1:9" ht="15.75" customHeight="1" x14ac:dyDescent="0.25">
      <c r="A11" s="5">
        <f t="shared" si="3"/>
        <v>2033</v>
      </c>
      <c r="B11" s="49">
        <v>594657</v>
      </c>
      <c r="C11" s="50">
        <v>1085101.5</v>
      </c>
      <c r="D11" s="50">
        <v>1922300</v>
      </c>
      <c r="E11" s="50">
        <v>1630815.5</v>
      </c>
      <c r="F11" s="50">
        <v>1149697.9999999998</v>
      </c>
      <c r="G11" s="17">
        <f t="shared" si="0"/>
        <v>5787915</v>
      </c>
      <c r="H11" s="17">
        <f t="shared" si="1"/>
        <v>688908.72251240676</v>
      </c>
      <c r="I11" s="17">
        <f t="shared" si="2"/>
        <v>5099006.2774875928</v>
      </c>
    </row>
    <row r="12" spans="1:9" ht="15.75" customHeight="1" x14ac:dyDescent="0.25">
      <c r="A12" s="5">
        <f t="shared" si="3"/>
        <v>2034</v>
      </c>
      <c r="B12" s="49">
        <v>598875</v>
      </c>
      <c r="C12" s="50">
        <v>1093224.5</v>
      </c>
      <c r="D12" s="50">
        <v>1945360</v>
      </c>
      <c r="E12" s="50">
        <v>1671012.4999999998</v>
      </c>
      <c r="F12" s="50">
        <v>1193609</v>
      </c>
      <c r="G12" s="17">
        <f t="shared" si="0"/>
        <v>5903206</v>
      </c>
      <c r="H12" s="17">
        <f t="shared" si="1"/>
        <v>693795.26549694629</v>
      </c>
      <c r="I12" s="17">
        <f t="shared" si="2"/>
        <v>5209410.7345030541</v>
      </c>
    </row>
    <row r="13" spans="1:9" ht="15.75" customHeight="1" x14ac:dyDescent="0.25">
      <c r="A13" s="5">
        <f t="shared" si="3"/>
        <v>2035</v>
      </c>
      <c r="B13" s="49">
        <v>601511</v>
      </c>
      <c r="C13" s="50">
        <v>1103819</v>
      </c>
      <c r="D13" s="50">
        <v>1966943.5</v>
      </c>
      <c r="E13" s="50">
        <v>1707273</v>
      </c>
      <c r="F13" s="50">
        <v>1239236.5</v>
      </c>
      <c r="G13" s="17">
        <f t="shared" si="0"/>
        <v>6017272</v>
      </c>
      <c r="H13" s="17">
        <f t="shared" si="1"/>
        <v>696849.06523787719</v>
      </c>
      <c r="I13" s="17">
        <f t="shared" si="2"/>
        <v>5320422.934762123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9HE5UpWrOthqHcT+X8cyZyHbM/7oVZti+CrQXFVGeHSSFe6J6/WNBvlyfAUEGSDgWrv3YaoAettikNwo3+JMQ==" saltValue="99OCIfBEJKJyHARLkknFr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1.9163107671874811E-2</v>
      </c>
    </row>
    <row r="4" spans="1:8" ht="15.75" customHeight="1" x14ac:dyDescent="0.25">
      <c r="B4" s="19" t="s">
        <v>97</v>
      </c>
      <c r="C4" s="99">
        <v>6.6585652585627084E-2</v>
      </c>
    </row>
    <row r="5" spans="1:8" ht="15.75" customHeight="1" x14ac:dyDescent="0.25">
      <c r="B5" s="19" t="s">
        <v>98</v>
      </c>
      <c r="C5" s="99">
        <v>9.5974679115321399E-2</v>
      </c>
    </row>
    <row r="6" spans="1:8" ht="15.75" customHeight="1" x14ac:dyDescent="0.25">
      <c r="B6" s="19" t="s">
        <v>99</v>
      </c>
      <c r="C6" s="99">
        <v>0.2538181028161321</v>
      </c>
    </row>
    <row r="7" spans="1:8" ht="15.75" customHeight="1" x14ac:dyDescent="0.25">
      <c r="B7" s="19" t="s">
        <v>100</v>
      </c>
      <c r="C7" s="99">
        <v>0.38359173784406131</v>
      </c>
    </row>
    <row r="8" spans="1:8" ht="15.75" customHeight="1" x14ac:dyDescent="0.25">
      <c r="B8" s="19" t="s">
        <v>101</v>
      </c>
      <c r="C8" s="99">
        <v>2.9726612985585608E-3</v>
      </c>
    </row>
    <row r="9" spans="1:8" ht="15.75" customHeight="1" x14ac:dyDescent="0.25">
      <c r="B9" s="19" t="s">
        <v>102</v>
      </c>
      <c r="C9" s="99">
        <v>6.6210256446675886E-2</v>
      </c>
    </row>
    <row r="10" spans="1:8" ht="15.75" customHeight="1" x14ac:dyDescent="0.25">
      <c r="B10" s="19" t="s">
        <v>103</v>
      </c>
      <c r="C10" s="99">
        <v>0.1116838022217489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106</v>
      </c>
      <c r="C15" s="99">
        <v>0.26208816969300658</v>
      </c>
      <c r="D15" s="99">
        <v>0.26208816969300658</v>
      </c>
      <c r="E15" s="99">
        <v>0.26208816969300658</v>
      </c>
      <c r="F15" s="99">
        <v>0.26208816969300658</v>
      </c>
    </row>
    <row r="16" spans="1:8" ht="15.75" customHeight="1" x14ac:dyDescent="0.25">
      <c r="B16" s="19" t="s">
        <v>107</v>
      </c>
      <c r="C16" s="99">
        <v>2.3929564889798131E-2</v>
      </c>
      <c r="D16" s="99">
        <v>2.3929564889798131E-2</v>
      </c>
      <c r="E16" s="99">
        <v>2.3929564889798131E-2</v>
      </c>
      <c r="F16" s="99">
        <v>2.3929564889798131E-2</v>
      </c>
    </row>
    <row r="17" spans="1:8" ht="15.75" customHeight="1" x14ac:dyDescent="0.25">
      <c r="B17" s="19" t="s">
        <v>108</v>
      </c>
      <c r="C17" s="99">
        <v>1.366540706556877E-2</v>
      </c>
      <c r="D17" s="99">
        <v>1.366540706556877E-2</v>
      </c>
      <c r="E17" s="99">
        <v>1.366540706556877E-2</v>
      </c>
      <c r="F17" s="99">
        <v>1.366540706556877E-2</v>
      </c>
    </row>
    <row r="18" spans="1:8" ht="15.75" customHeight="1" x14ac:dyDescent="0.25">
      <c r="B18" s="19" t="s">
        <v>109</v>
      </c>
      <c r="C18" s="99">
        <v>0.1121344881000229</v>
      </c>
      <c r="D18" s="99">
        <v>0.1121344881000229</v>
      </c>
      <c r="E18" s="99">
        <v>0.1121344881000229</v>
      </c>
      <c r="F18" s="99">
        <v>0.1121344881000229</v>
      </c>
    </row>
    <row r="19" spans="1:8" ht="15.75" customHeight="1" x14ac:dyDescent="0.25">
      <c r="B19" s="19" t="s">
        <v>110</v>
      </c>
      <c r="C19" s="99">
        <v>4.3931608499606992E-2</v>
      </c>
      <c r="D19" s="99">
        <v>4.3931608499606992E-2</v>
      </c>
      <c r="E19" s="99">
        <v>4.3931608499606992E-2</v>
      </c>
      <c r="F19" s="99">
        <v>4.3931608499606992E-2</v>
      </c>
    </row>
    <row r="20" spans="1:8" ht="15.75" customHeight="1" x14ac:dyDescent="0.25">
      <c r="B20" s="19" t="s">
        <v>111</v>
      </c>
      <c r="C20" s="99">
        <v>1.9269942667465779E-2</v>
      </c>
      <c r="D20" s="99">
        <v>1.9269942667465779E-2</v>
      </c>
      <c r="E20" s="99">
        <v>1.9269942667465779E-2</v>
      </c>
      <c r="F20" s="99">
        <v>1.9269942667465779E-2</v>
      </c>
    </row>
    <row r="21" spans="1:8" ht="15.75" customHeight="1" x14ac:dyDescent="0.25">
      <c r="B21" s="19" t="s">
        <v>112</v>
      </c>
      <c r="C21" s="99">
        <v>0.1453562135370326</v>
      </c>
      <c r="D21" s="99">
        <v>0.1453562135370326</v>
      </c>
      <c r="E21" s="99">
        <v>0.1453562135370326</v>
      </c>
      <c r="F21" s="99">
        <v>0.1453562135370326</v>
      </c>
    </row>
    <row r="22" spans="1:8" ht="15.75" customHeight="1" x14ac:dyDescent="0.25">
      <c r="B22" s="19" t="s">
        <v>113</v>
      </c>
      <c r="C22" s="99">
        <v>0.1939049326405119</v>
      </c>
      <c r="D22" s="99">
        <v>0.1939049326405119</v>
      </c>
      <c r="E22" s="99">
        <v>0.1939049326405119</v>
      </c>
      <c r="F22" s="99">
        <v>0.1939049326405119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8.8209145000000003E-2</v>
      </c>
    </row>
    <row r="27" spans="1:8" ht="15.75" customHeight="1" x14ac:dyDescent="0.25">
      <c r="B27" s="19" t="s">
        <v>120</v>
      </c>
      <c r="C27" s="99">
        <v>8.6061309999999995E-3</v>
      </c>
    </row>
    <row r="28" spans="1:8" ht="15.75" customHeight="1" x14ac:dyDescent="0.25">
      <c r="B28" s="19" t="s">
        <v>121</v>
      </c>
      <c r="C28" s="99">
        <v>0.158177228</v>
      </c>
    </row>
    <row r="29" spans="1:8" ht="15.75" customHeight="1" x14ac:dyDescent="0.25">
      <c r="B29" s="19" t="s">
        <v>122</v>
      </c>
      <c r="C29" s="99">
        <v>0.16895537699999999</v>
      </c>
    </row>
    <row r="30" spans="1:8" ht="15.75" customHeight="1" x14ac:dyDescent="0.25">
      <c r="B30" s="19" t="s">
        <v>2</v>
      </c>
      <c r="C30" s="99">
        <v>0.10501387</v>
      </c>
    </row>
    <row r="31" spans="1:8" ht="15.75" customHeight="1" x14ac:dyDescent="0.25">
      <c r="B31" s="19" t="s">
        <v>123</v>
      </c>
      <c r="C31" s="99">
        <v>0.110556312</v>
      </c>
    </row>
    <row r="32" spans="1:8" ht="15.75" customHeight="1" x14ac:dyDescent="0.25">
      <c r="B32" s="19" t="s">
        <v>124</v>
      </c>
      <c r="C32" s="99">
        <v>1.8813532000000001E-2</v>
      </c>
    </row>
    <row r="33" spans="2:3" ht="15.75" customHeight="1" x14ac:dyDescent="0.25">
      <c r="B33" s="19" t="s">
        <v>125</v>
      </c>
      <c r="C33" s="99">
        <v>8.3149402999999997E-2</v>
      </c>
    </row>
    <row r="34" spans="2:3" ht="15.75" customHeight="1" x14ac:dyDescent="0.25">
      <c r="B34" s="19" t="s">
        <v>126</v>
      </c>
      <c r="C34" s="99">
        <v>0.25851900100000003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4SBrrX8XRvvPq3sCQ8wS0bF333PB2yZzAFRJjSduz5Ak7VkfCNLBN9G8LHNfmJD1PAlnwdg9+DMcI2V0ZvoiaQ==" saltValue="8+vPb+yKIL1EfiUxUXZ0q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132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133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137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138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nZK8wnRQsMqGdvP8O/yjPPAEXIo1uLh0NGQfNVeJ6iEpygqH2ylVx00nPOg6J8Egl9pQbP8XCoeuRWGJ3Bjww==" saltValue="HtI9wGd+9WFAO31HCUpr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2.6070599999999944E-2</v>
      </c>
      <c r="D5" s="52">
        <f t="shared" si="0"/>
        <v>2.9580999999999635E-3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ljCM0bZzHZbb6s2kQ6zExo9DKoYdrzGI4MQwuezZhcXn3uAJeV9v3GYDs0ae1+QsGnWYv0agcVVzEWOJriveZg==" saltValue="LP2WghB80Nll0WDJyyKM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9atnHz2qPL5lcKOOG2zReP1B8vAFU3961YoFw87diU5iUEYF5LHhP5UnABEgjwgyGVMdLtfizxbDKhBddXj8A==" saltValue="u4V8O4mn9qYnpZqyLJ22D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1598.7264333601199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0.43664999999999998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0.38732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1.7766015389892271E-2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95468.383170000001</v>
      </c>
      <c r="C22" s="107">
        <v>94921.576360000006</v>
      </c>
      <c r="D22" s="107">
        <v>94485.240349999993</v>
      </c>
      <c r="E22" s="107">
        <v>94018.666400000002</v>
      </c>
      <c r="F22" s="107">
        <v>93352.835420000003</v>
      </c>
      <c r="G22" s="107">
        <v>92565.650320000001</v>
      </c>
      <c r="H22" s="107">
        <v>91574.268469999995</v>
      </c>
      <c r="I22" s="107">
        <v>90278.237789999999</v>
      </c>
      <c r="J22" s="107">
        <v>88443.745009999999</v>
      </c>
      <c r="K22" s="107">
        <v>85966.400680000006</v>
      </c>
      <c r="L22" s="107">
        <v>82363.543699999995</v>
      </c>
      <c r="M22" s="107">
        <v>77379.659270000004</v>
      </c>
      <c r="N22" s="107">
        <v>70119.644929999995</v>
      </c>
      <c r="O22" s="107">
        <v>60593.780740000002</v>
      </c>
    </row>
  </sheetData>
  <sheetProtection algorithmName="SHA-512" hashValue="ZkPv7C7IyHRgtwfSMfdOdfiBfXECQ0uAbDCL5v1zgvteZCGouB0q9K+FlXrIk1ExYlPfmZ3DsqLiavoZh3n5yQ==" saltValue="1YxdQ/IloJ1vn9kFW5u+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+HHpqaDK+FaE+XhVDB9rH61RMq6GwNqBRyFBciY9pcPxzwnPwa+TW8nyJPsISv6HQdCXOfigiaJzdDaGIsllDg==" saltValue="b6gJfRUheKeCLvFYWD0z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5yD97d0TEzMo5XDLinwI+sdu2lf+RQcFKsp1mAiJwM7lYJvnT8q/nNYhhDKv7eizXnWcNzepa0Mp++Us51yZQ==" saltValue="hiPpbpPRZ2kqPh7dFt4dP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0.70706266146872643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8.3296326652261374E-2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0.64956370000000008</v>
      </c>
      <c r="C10" s="96">
        <v>0.95</v>
      </c>
      <c r="D10" s="56">
        <v>13.53368651819329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13.53368651819329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13.53368651819329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13.53368651819329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0.64956370000000008</v>
      </c>
      <c r="C14" s="96">
        <v>0.95</v>
      </c>
      <c r="D14" s="56">
        <v>13.53368651819329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13.53368651819329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0.68053489999999994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0.36730000000000002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0.60699999999999998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0.34281080000000003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0.80976389999999998</v>
      </c>
      <c r="C23" s="96">
        <v>0.95</v>
      </c>
      <c r="D23" s="56">
        <v>4.4572760576653501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0.67986386987520009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2.9000000000000001E-2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0.25979029999999997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0.1933213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0.56999999999999995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0.22246005946745701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0.59753959999999995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7.8305000000000007E-3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0.77336490000000002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0.19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zC3qSOYC5OCeOUpstDKBLnIfGEIiZPWjXUkXFom7gmMPh3DCYXfv9LP4FXUKVtSgUDeYi7HQ0xMlNSwTZ2+sVQ==" saltValue="9ZmzXG7wdk2A3pJ24apc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Dhcs/fRyu3oES3EsfmniZiRoq/eKK+ZclZqefIRvu8cK9ezd/negHC2NxlqL5IYRM3jgFl8xlGCM8FzX1yGUA==" saltValue="QDNcIaAgbIlXBggTRC+7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Cq5SqkCBY4jnoOa9BpqzpyIVgjz0CO4SAeYqCdRDrp12AAHuznSds2nHdJ77R0DGdz4SUSCTSaRbZsLcgHxuQ==" saltValue="WJyIOBAZZZJVmLaHnEXuA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2.86</v>
      </c>
      <c r="C2" s="21">
        <f>'Données pop de l''année de ref'!C52</f>
        <v>2.86</v>
      </c>
      <c r="D2" s="21">
        <f>'Données pop de l''année de ref'!C53</f>
        <v>5.07</v>
      </c>
      <c r="E2" s="21">
        <f>'Données pop de l''année de ref'!C54</f>
        <v>5.1219999999999999</v>
      </c>
      <c r="F2" s="21">
        <f>'Données pop de l''année de ref'!C55</f>
        <v>2.6173333333333342</v>
      </c>
    </row>
    <row r="3" spans="1:6" ht="15.75" customHeight="1" x14ac:dyDescent="0.25">
      <c r="A3" s="3" t="s">
        <v>238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237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sheetProtection algorithmName="SHA-512" hashValue="0hQYTlryskgW4+qhzVbO2bQVR8HzZoLR/smMj9eRm7OiO8fdeDUyXS0SvexS41wQIoFlU/26+spzGUMUz/9hMw==" saltValue="XCIwANbVNvxnHDcZIAgf+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0.39</v>
      </c>
      <c r="F2" s="60">
        <f>food_insecure</f>
        <v>0.39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0.39</v>
      </c>
      <c r="F5" s="60">
        <f>food_insecure</f>
        <v>0.39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6.2400000000000004E-2</v>
      </c>
      <c r="D7" s="60">
        <f>diarrhoea_1_5mo*frac_diarrhea_severe</f>
        <v>6.2400000000000004E-2</v>
      </c>
      <c r="E7" s="60">
        <f>diarrhoea_6_11mo*frac_diarrhea_severe</f>
        <v>0.11061818181818184</v>
      </c>
      <c r="F7" s="60">
        <f>diarrhoea_12_23mo*frac_diarrhea_severe</f>
        <v>0.11175272727272728</v>
      </c>
      <c r="G7" s="60">
        <f>diarrhoea_24_59mo*frac_diarrhea_severe</f>
        <v>5.710545454545457E-2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0.39</v>
      </c>
      <c r="F8" s="60">
        <f>food_insecure</f>
        <v>0.39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0.39</v>
      </c>
      <c r="F9" s="60">
        <f>food_insecure</f>
        <v>0.39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6.2400000000000004E-2</v>
      </c>
      <c r="D12" s="60">
        <f>diarrhoea_1_5mo*frac_diarrhea_severe</f>
        <v>6.2400000000000004E-2</v>
      </c>
      <c r="E12" s="60">
        <f>diarrhoea_6_11mo*frac_diarrhea_severe</f>
        <v>0.11061818181818184</v>
      </c>
      <c r="F12" s="60">
        <f>diarrhoea_12_23mo*frac_diarrhea_severe</f>
        <v>0.11175272727272728</v>
      </c>
      <c r="G12" s="60">
        <f>diarrhoea_24_59mo*frac_diarrhea_severe</f>
        <v>5.710545454545457E-2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</v>
      </c>
      <c r="I15" s="60">
        <f t="shared" si="0"/>
        <v>0.39</v>
      </c>
      <c r="J15" s="60">
        <f t="shared" si="0"/>
        <v>0.39</v>
      </c>
      <c r="K15" s="60">
        <f t="shared" si="0"/>
        <v>0.39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</v>
      </c>
      <c r="I16" s="60">
        <f t="shared" si="0"/>
        <v>0.39</v>
      </c>
      <c r="J16" s="60">
        <f t="shared" si="0"/>
        <v>0.39</v>
      </c>
      <c r="K16" s="60">
        <f t="shared" si="0"/>
        <v>0.39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0.25600000000000001</v>
      </c>
      <c r="M24" s="60">
        <f>famplan_unmet_need</f>
        <v>0.25600000000000001</v>
      </c>
      <c r="N24" s="60">
        <f>famplan_unmet_need</f>
        <v>0.25600000000000001</v>
      </c>
      <c r="O24" s="60">
        <f>famplan_unmet_need</f>
        <v>0.25600000000000001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0.34643076978999998</v>
      </c>
      <c r="M25" s="60">
        <f>(1-food_insecure)*(0.49)+food_insecure*(0.7)</f>
        <v>0.57189999999999996</v>
      </c>
      <c r="N25" s="60">
        <f>(1-food_insecure)*(0.49)+food_insecure*(0.7)</f>
        <v>0.57189999999999996</v>
      </c>
      <c r="O25" s="60">
        <f>(1-food_insecure)*(0.49)+food_insecure*(0.7)</f>
        <v>0.57189999999999996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0.14847032990999998</v>
      </c>
      <c r="M26" s="60">
        <f>(1-food_insecure)*(0.21)+food_insecure*(0.3)</f>
        <v>0.24509999999999998</v>
      </c>
      <c r="N26" s="60">
        <f>(1-food_insecure)*(0.21)+food_insecure*(0.3)</f>
        <v>0.24509999999999998</v>
      </c>
      <c r="O26" s="60">
        <f>(1-food_insecure)*(0.21)+food_insecure*(0.3)</f>
        <v>0.24509999999999998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0.11085300029999999</v>
      </c>
      <c r="M27" s="60">
        <f>(1-food_insecure)*(0.3)</f>
        <v>0.183</v>
      </c>
      <c r="N27" s="60">
        <f>(1-food_insecure)*(0.3)</f>
        <v>0.183</v>
      </c>
      <c r="O27" s="60">
        <f>(1-food_insecure)*(0.3)</f>
        <v>0.183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0.39424589999999998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AaeF4LgNO3+/Me7cES/++8JOptMZFQQNj3+fB3z78vVGyn6Dm2U0Pf748/gk6UxZV6m3cbVu59P9yC/uBZi5Q==" saltValue="xI1CHTcWLCNN7sOAVrgLG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RDGH+Ikiu24DtWCXB4CCLdKU0mckYpJqsy7Y3qKLp2K4prY2WQ5PW0O1PqPs91Ndy4TuK55NcnJ4HxNu8biKLg==" saltValue="X+4Ucgy3ponPitgp5pP22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YcwBKP0mo/rjesbDUa6cHgbcQreTQeyVDLt6U3ALdhARpwK0OAQpCxSnr1p0h+DMQOyllxsyp2BUL4kIQaRmw==" saltValue="Z6N63aYU3lYIKEd3NMMT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jvDaYC3qwh39McUy976ynTfoun0Lu/hLCI5TLSKA70r0RWtf6gsbxHThpUloxEg2owgVFvj4o7q+KLKblvUGQ==" saltValue="i32mv0fPW9NaTV6qTAIzs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2x1/gBvLMi5bfp1l5jDRXFP7wfzL81TG3xHIU678e/KIo4i7lawrlg2522cVJ6Vft56P5RN6u+RDiPp+wxfCIA==" saltValue="+f8mzlDePE135e3RgUHji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l+e2aIUjHaSjX5QNX65UsQ0XIG6pRvWrY1GLtgUahbEOMVg1sQnPcHYARKLhllKYzy+hD+En5gyx7zs9yn118A==" saltValue="hujWR0OhnQElV5tLC/SaW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7tz70ysDeyLj9NZZ6xLrPWlO3/hjf2IMPrB/XbtXt5Ynsp68FQrlkcvrCLM7KB3pxePaVWX+c07GFOOxGLGViw==" saltValue="GbqzPGWFS8fRV6E5J9nB+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c7JX9WuuKiM2JpZ0ckDjQyzyBKC1HyHt0ELBNf3jNY4qeHI++hQxKCjVrLaWqEJ4JRW683RY2iF4Q9KVupZzQ==" saltValue="NRmjTk9b4KsecdEx0MED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AWb23Cb1j4tZr5Xbvjz/nwebik7WYwZO9JOxZsh+YW9LVLmejOlUyj8VgjPZ5vraWrf3Mu4H6XKHwfRrWtdGQ==" saltValue="4e3M5iPDRQLkB9q5CCwp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oUddxj52EU3ZBjdHIyUZxkQhIcw4BTWoYqkI5q5AcS/KyqjGP/3UssaAaJNsnc3q+7XvwwOnq2FTjinJKC2qA==" saltValue="/3wxSSVPHOy9iJGVCnXx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qsRuhW0G1lwB7HlCFw4NWy+lR+Qiu3GE/jEVT365rLfk7uLhdr/IJjNyrXwPixU7VYm4XwNlFejyFO9IsX5kg==" saltValue="LPQLqoxnOep0kX5QJ4QM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lLRTa+vQ/MFQY/i2/KN8j0lXQuI15JMxgOMpOLK2aWj/yeKOKlFNKO1QkCNSptg6VOJ+h2HPy5P20pzl7Q3WA==" saltValue="KMIkFy5YjWSQBejN4LMS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rYrIA0uUgeDnjn1V18te1TagvamTKfFr0ygjBrdIg4Z8ByXfmuu8e4GjCMpspeDDtJp6Vu4OQUp0MOY5IC/lw==" saltValue="OfOOQV4NkxOB+EEvOr/X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9WIY52F/ZMSH5bn6aMpQxf920cMERGUehz/e+1haVu26pEwHB2tnDt1hFexlu4+YtUUtjteXQnWMEAQHWPrQw==" saltValue="aKPrWGtcTtYXbSCLDBZ0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XxyvIvpdamXtw7KooVR5qKQ4Y0/jPtp27sNw3G3IidGDTYO5aC6Sz8pJ6PV+ZLAt1X5/AEDp2EtYNDrb6uQTmw==" saltValue="X1Zbrkm++3WwOu1FYolW3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2026-04-29T07:12:19Z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