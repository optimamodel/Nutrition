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fr\LiST countries\"/>
    </mc:Choice>
  </mc:AlternateContent>
  <xr:revisionPtr revIDLastSave="0" documentId="8_{5A67BF4A-FC2E-4C77-9926-AC7FB5681440}" xr6:coauthVersionLast="47" xr6:coauthVersionMax="47" xr10:uidLastSave="{00000000-0000-0000-0000-000000000000}"/>
  <bookViews>
    <workbookView xWindow="20" yWindow="20" windowWidth="19180" windowHeight="10180" tabRatio="961" xr2:uid="{00000000-000D-0000-FFFF-FFFF00000000}"/>
  </bookViews>
  <sheets>
    <sheet name="Données pop de l'année de ref" sheetId="1" r:id="rId1"/>
    <sheet name="Projections démographiques" sheetId="2" r:id="rId2"/>
    <sheet name="Causes du décès" sheetId="3" r:id="rId3"/>
    <sheet name="Dist. de l'état nutritionnel" sheetId="4" r:id="rId4"/>
    <sheet name="Dist. l'allaitement maternel" sheetId="5" r:id="rId5"/>
    <sheet name="Tendances temporelles" sheetId="6" r:id="rId6"/>
    <sheet name="Perte économique" sheetId="7" r:id="rId7"/>
    <sheet name="Paquets ANJE" sheetId="8" r:id="rId8"/>
    <sheet name="Traitement de la MAS" sheetId="9" r:id="rId9"/>
    <sheet name="Coûts et couvertures des prgms" sheetId="10" r:id="rId10"/>
    <sheet name="Dépendances du programme" sheetId="11" r:id="rId11"/>
    <sheet name="Programmes de référence" sheetId="12" state="hidden" r:id="rId12"/>
    <sheet name="Incidence des conditions" sheetId="13" state="hidden" r:id="rId13"/>
    <sheet name="Programmes-population cible" sheetId="14" state="hidden" r:id="rId14"/>
    <sheet name="Options de la courbe de coût" sheetId="15" state="hidden" r:id="rId15"/>
    <sheet name="Programmes-planification fam." sheetId="16" state="hidden" r:id="rId16"/>
    <sheet name="Programmes - population touchée" sheetId="17" state="hidden" r:id="rId17"/>
    <sheet name="Programme - secteurs à risque" sheetId="18" state="hidden" r:id="rId18"/>
    <sheet name="Population des sect. à risque" sheetId="19" state="hidden" r:id="rId19"/>
    <sheet name="Rapport des cotes ANJE" sheetId="20" state="hidden" r:id="rId20"/>
    <sheet name="Risques des rés. des naissances" sheetId="21" state="hidden" r:id="rId21"/>
    <sheet name="Risques relatifs" sheetId="22" state="hidden" r:id="rId22"/>
    <sheet name="Rapports des cotes" sheetId="23" state="hidden" r:id="rId23"/>
    <sheet name="Programmes-rés. des naissances" sheetId="24" state="hidden" r:id="rId24"/>
    <sheet name="Programmes-anémie" sheetId="25" state="hidden" r:id="rId25"/>
    <sheet name="Programmes-émaciation" sheetId="26" state="hidden" r:id="rId26"/>
    <sheet name="Programmes pour les enfants" sheetId="27" state="hidden" r:id="rId27"/>
    <sheet name="Programmes pour les FE" sheetId="28" state="hidden" r:id="rId28"/>
  </sheets>
  <definedNames>
    <definedName name="abortion" localSheetId="7">'Données pop de l''année de ref'!$C$38</definedName>
    <definedName name="abortion">'Données pop de l''année de ref'!$C$41</definedName>
    <definedName name="comm_deliv">'Traitement de la MAS'!$D$3</definedName>
    <definedName name="diarrhoea_1_5mo">'Données pop de l''année de ref'!$C$52</definedName>
    <definedName name="diarrhoea_12_23mo">'Données pop de l''année de ref'!$C$54</definedName>
    <definedName name="diarrhoea_1mo">'Données pop de l''année de ref'!$C$51</definedName>
    <definedName name="diarrhoea_24_59mo">'Données pop de l''année de ref'!$C$55</definedName>
    <definedName name="diarrhoea_6_11mo">'Données pop de l''année de ref'!$C$53</definedName>
    <definedName name="end_year">'Données pop de l''année de ref'!$C$4</definedName>
    <definedName name="famplan_unmet_need">'Données pop de l''année de ref'!$C$13</definedName>
    <definedName name="food_insecure">'Données pop de l''année de ref'!$C$8</definedName>
    <definedName name="frac_children_health_facility">'Données pop de l''année de ref'!$C$12</definedName>
    <definedName name="frac_diarrhea_severe">'Données pop de l''année de ref'!$C$58</definedName>
    <definedName name="frac_maize">'Données pop de l''année de ref'!$C$19</definedName>
    <definedName name="frac_malaria_risk">'Données pop de l''année de ref'!$C$9</definedName>
    <definedName name="frac_mam_1_5months">'Dist. de l''état nutritionnel'!$D$10</definedName>
    <definedName name="frac_mam_12_23months">'Dist. de l''état nutritionnel'!$F$10</definedName>
    <definedName name="frac_mam_1month">'Dist. de l''état nutritionnel'!$C$10</definedName>
    <definedName name="frac_mam_24_59months">'Dist. de l''état nutritionnel'!$G$10</definedName>
    <definedName name="frac_mam_6_11months">'Dist. de l''état nutritionnel'!$E$10</definedName>
    <definedName name="frac_MAMtoSAM">'Données pop de l''année de ref'!#REF!</definedName>
    <definedName name="frac_other_staples">'Données pop de l''année de ref'!$C$20</definedName>
    <definedName name="frac_PW_health_facility">'Données pop de l''année de ref'!$C$11</definedName>
    <definedName name="frac_rice">'Données pop de l''année de ref'!$C$17</definedName>
    <definedName name="frac_sam_1_5months">'Dist. de l''état nutritionnel'!$D$11</definedName>
    <definedName name="frac_sam_12_23months">'Dist. de l''état nutritionnel'!$F$11</definedName>
    <definedName name="frac_sam_1month">'Dist. de l''état nutritionnel'!$C$11</definedName>
    <definedName name="frac_sam_24_59months">'Dist. de l''état nutritionnel'!$G$11</definedName>
    <definedName name="frac_sam_6_11months">'Dist. de l''état nutritionnel'!$E$11</definedName>
    <definedName name="frac_SAMtoMAM">'Données pop de l''année de ref'!#REF!</definedName>
    <definedName name="frac_subsistence_farming">'Données pop de l''année de ref'!$C$16</definedName>
    <definedName name="frac_wheat">'Données pop de l''année de ref'!$C$18</definedName>
    <definedName name="infant_mortality">'Données pop de l''année de ref'!$C$38</definedName>
    <definedName name="iron_deficiency_anaemia">'Données pop de l''année de ref'!$C$59</definedName>
    <definedName name="manage_mam">'Traitement de la MAS'!$D$2</definedName>
    <definedName name="maternal_mortality">'Données pop de l''année de ref'!$C$40</definedName>
    <definedName name="neonatal_mortality">'Données pop de l''année de ref'!$C$37</definedName>
    <definedName name="Percentage_of_pregnant_women_attending_health_facility">'Données pop de l''année de ref'!$C$11</definedName>
    <definedName name="preterm_AGA">'Données pop de l''année de ref'!$C$46</definedName>
    <definedName name="preterm_SGA">'Données pop de l''année de ref'!$C$45</definedName>
    <definedName name="school_attendance">'Données pop de l''année de ref'!$C$10</definedName>
    <definedName name="start_year">'Données pop de l''année de ref'!$C$3</definedName>
    <definedName name="stillbirth" localSheetId="7">'Données pop de l''année de ref'!$C$39</definedName>
    <definedName name="stillbirth">'Données pop de l''année de ref'!$C$42</definedName>
    <definedName name="term_AGA">'Données pop de l''année de ref'!$C$48</definedName>
    <definedName name="term_SGA">'Données pop de l''année de ref'!$C$47</definedName>
    <definedName name="U5_mortality">'Données pop de l''année de ref'!$C$39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136" i="27"/>
  <c r="G136" i="27"/>
  <c r="F136" i="27"/>
  <c r="E136" i="27"/>
  <c r="H135" i="27"/>
  <c r="G135" i="27"/>
  <c r="F135" i="27"/>
  <c r="E135" i="27"/>
  <c r="H134" i="27"/>
  <c r="G134" i="27"/>
  <c r="F134" i="27"/>
  <c r="E134" i="27"/>
  <c r="H133" i="27"/>
  <c r="G133" i="27"/>
  <c r="F133" i="27"/>
  <c r="E133" i="27"/>
  <c r="H132" i="27"/>
  <c r="G132" i="27"/>
  <c r="F132" i="27"/>
  <c r="E132" i="27"/>
  <c r="H131" i="27"/>
  <c r="G131" i="27"/>
  <c r="F131" i="27"/>
  <c r="E131" i="27"/>
  <c r="H130" i="27"/>
  <c r="G130" i="27"/>
  <c r="F130" i="27"/>
  <c r="E130" i="27"/>
  <c r="D130" i="27"/>
  <c r="E129" i="27"/>
  <c r="D129" i="27"/>
  <c r="H128" i="27"/>
  <c r="G128" i="27"/>
  <c r="F128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G112" i="27"/>
  <c r="F112" i="27"/>
  <c r="E112" i="27"/>
  <c r="D112" i="27"/>
  <c r="H97" i="27"/>
  <c r="H152" i="27" s="1"/>
  <c r="G97" i="27"/>
  <c r="G152" i="27" s="1"/>
  <c r="F97" i="27"/>
  <c r="F152" i="27" s="1"/>
  <c r="E97" i="27"/>
  <c r="E152" i="27" s="1"/>
  <c r="D97" i="27"/>
  <c r="D152" i="27" s="1"/>
  <c r="H81" i="27"/>
  <c r="G81" i="27"/>
  <c r="F81" i="27"/>
  <c r="E81" i="27"/>
  <c r="H80" i="27"/>
  <c r="G80" i="27"/>
  <c r="F80" i="27"/>
  <c r="E80" i="27"/>
  <c r="D80" i="27"/>
  <c r="D135" i="27" s="1"/>
  <c r="H79" i="27"/>
  <c r="G79" i="27"/>
  <c r="F79" i="27"/>
  <c r="E79" i="27"/>
  <c r="H78" i="27"/>
  <c r="G78" i="27"/>
  <c r="F78" i="27"/>
  <c r="E78" i="27"/>
  <c r="D78" i="27"/>
  <c r="D133" i="27" s="1"/>
  <c r="H77" i="27"/>
  <c r="G77" i="27"/>
  <c r="F77" i="27"/>
  <c r="E77" i="27"/>
  <c r="H76" i="27"/>
  <c r="G76" i="27"/>
  <c r="F76" i="27"/>
  <c r="E76" i="27"/>
  <c r="D76" i="27"/>
  <c r="D131" i="27" s="1"/>
  <c r="H75" i="27"/>
  <c r="G75" i="27"/>
  <c r="F75" i="27"/>
  <c r="E75" i="27"/>
  <c r="D75" i="27"/>
  <c r="E74" i="27"/>
  <c r="D74" i="27"/>
  <c r="H73" i="27"/>
  <c r="G73" i="27"/>
  <c r="F73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H57" i="27"/>
  <c r="H112" i="27" s="1"/>
  <c r="G57" i="27"/>
  <c r="F57" i="27"/>
  <c r="E57" i="27"/>
  <c r="D57" i="27"/>
  <c r="H20" i="27"/>
  <c r="G20" i="27"/>
  <c r="F20" i="27"/>
  <c r="H18" i="27"/>
  <c r="G18" i="27"/>
  <c r="F18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D66" i="25"/>
  <c r="C66" i="25"/>
  <c r="D65" i="25"/>
  <c r="C65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D44" i="25"/>
  <c r="C44" i="25"/>
  <c r="D43" i="25"/>
  <c r="C43" i="25"/>
  <c r="D42" i="25"/>
  <c r="C42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49" i="23"/>
  <c r="F49" i="23"/>
  <c r="E49" i="23"/>
  <c r="D49" i="23"/>
  <c r="C44" i="23"/>
  <c r="G40" i="23"/>
  <c r="F40" i="23"/>
  <c r="E40" i="23"/>
  <c r="D40" i="23"/>
  <c r="C40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F121" i="20" s="1"/>
  <c r="E68" i="20"/>
  <c r="E121" i="20" s="1"/>
  <c r="D68" i="20"/>
  <c r="D121" i="20" s="1"/>
  <c r="H67" i="20"/>
  <c r="F67" i="20"/>
  <c r="F120" i="20" s="1"/>
  <c r="E67" i="20"/>
  <c r="E120" i="20" s="1"/>
  <c r="D67" i="20"/>
  <c r="D120" i="20" s="1"/>
  <c r="H66" i="20"/>
  <c r="G66" i="20"/>
  <c r="G119" i="20" s="1"/>
  <c r="F66" i="20"/>
  <c r="F119" i="20" s="1"/>
  <c r="E66" i="20"/>
  <c r="E119" i="20" s="1"/>
  <c r="D66" i="20"/>
  <c r="D119" i="20" s="1"/>
  <c r="H65" i="20"/>
  <c r="G65" i="20"/>
  <c r="G118" i="20" s="1"/>
  <c r="E65" i="20"/>
  <c r="E118" i="20" s="1"/>
  <c r="D65" i="20"/>
  <c r="D118" i="20" s="1"/>
  <c r="H64" i="20"/>
  <c r="G64" i="20"/>
  <c r="G117" i="20" s="1"/>
  <c r="E64" i="20"/>
  <c r="E117" i="20" s="1"/>
  <c r="D64" i="20"/>
  <c r="D117" i="20" s="1"/>
  <c r="H63" i="20"/>
  <c r="G63" i="20"/>
  <c r="G116" i="20" s="1"/>
  <c r="F63" i="20"/>
  <c r="F116" i="20" s="1"/>
  <c r="E63" i="20"/>
  <c r="E116" i="20" s="1"/>
  <c r="D63" i="20"/>
  <c r="D116" i="20" s="1"/>
  <c r="H62" i="20"/>
  <c r="G62" i="20"/>
  <c r="G115" i="20" s="1"/>
  <c r="F62" i="20"/>
  <c r="F115" i="20" s="1"/>
  <c r="D62" i="20"/>
  <c r="D115" i="20" s="1"/>
  <c r="H61" i="20"/>
  <c r="G61" i="20"/>
  <c r="G114" i="20" s="1"/>
  <c r="F61" i="20"/>
  <c r="F114" i="20" s="1"/>
  <c r="D61" i="20"/>
  <c r="D114" i="20" s="1"/>
  <c r="H60" i="20"/>
  <c r="G60" i="20"/>
  <c r="G113" i="20" s="1"/>
  <c r="F60" i="20"/>
  <c r="F113" i="20" s="1"/>
  <c r="E60" i="20"/>
  <c r="E113" i="20" s="1"/>
  <c r="D60" i="20"/>
  <c r="D113" i="20" s="1"/>
  <c r="H59" i="20"/>
  <c r="G59" i="20"/>
  <c r="G112" i="20" s="1"/>
  <c r="F59" i="20"/>
  <c r="F112" i="20" s="1"/>
  <c r="E59" i="20"/>
  <c r="E112" i="20" s="1"/>
  <c r="H58" i="20"/>
  <c r="G58" i="20"/>
  <c r="G111" i="20" s="1"/>
  <c r="F58" i="20"/>
  <c r="F111" i="20" s="1"/>
  <c r="E58" i="20"/>
  <c r="E111" i="20" s="1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H40" i="2"/>
  <c r="G40" i="2"/>
  <c r="I40" i="2" s="1"/>
  <c r="H39" i="2"/>
  <c r="G39" i="2"/>
  <c r="I39" i="2" s="1"/>
  <c r="H38" i="2"/>
  <c r="G38" i="2"/>
  <c r="H13" i="2"/>
  <c r="G13" i="2"/>
  <c r="I13" i="2" s="1"/>
  <c r="H12" i="2"/>
  <c r="G12" i="2"/>
  <c r="I12" i="2" s="1"/>
  <c r="H11" i="2"/>
  <c r="G11" i="2"/>
  <c r="I11" i="2" s="1"/>
  <c r="H10" i="2"/>
  <c r="G10" i="2"/>
  <c r="I10" i="2" s="1"/>
  <c r="H9" i="2"/>
  <c r="G9" i="2"/>
  <c r="I9" i="2" s="1"/>
  <c r="H8" i="2"/>
  <c r="G8" i="2"/>
  <c r="I8" i="2" s="1"/>
  <c r="H7" i="2"/>
  <c r="G7" i="2"/>
  <c r="I7" i="2" s="1"/>
  <c r="H6" i="2"/>
  <c r="G6" i="2"/>
  <c r="I6" i="2" s="1"/>
  <c r="H5" i="2"/>
  <c r="G5" i="2"/>
  <c r="I5" i="2" s="1"/>
  <c r="H4" i="2"/>
  <c r="G4" i="2"/>
  <c r="I4" i="2" s="1"/>
  <c r="H3" i="2"/>
  <c r="G3" i="2"/>
  <c r="I3" i="2" s="1"/>
  <c r="H2" i="2"/>
  <c r="G2" i="2"/>
  <c r="I2" i="2" s="1"/>
  <c r="A2" i="2"/>
  <c r="A40" i="2" s="1"/>
  <c r="C33" i="1"/>
  <c r="C20" i="1"/>
  <c r="A21" i="2" l="1"/>
  <c r="A31" i="2"/>
  <c r="A23" i="2"/>
  <c r="A32" i="2"/>
  <c r="A15" i="2"/>
  <c r="A24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6" i="2"/>
  <c r="A25" i="2"/>
  <c r="A34" i="2"/>
  <c r="A17" i="2"/>
  <c r="A26" i="2"/>
  <c r="A35" i="2"/>
  <c r="A18" i="2"/>
  <c r="A27" i="2"/>
  <c r="A36" i="2"/>
  <c r="A33" i="2"/>
  <c r="A19" i="2"/>
  <c r="A28" i="2"/>
  <c r="A37" i="2"/>
  <c r="A20" i="2"/>
  <c r="A29" i="2"/>
  <c r="I38" i="2"/>
  <c r="A39" i="2"/>
  <c r="A14" i="2"/>
  <c r="A22" i="2"/>
  <c r="A30" i="2"/>
  <c r="A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28" authorId="1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1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1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1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0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89" authorId="0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>Nick Scott:
Sinah et al 2017 home or community settings, OR 2.17 (1.84-2.56)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Nick Scott:
Sinah et al 2017 home and community settings, OR 2.48 (1.99-3.09)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>Nick Scott:
Sinah et al 2017 combined delivery: home and community settings and health systems and and services, OR 1.82 (1.36-2.45)</t>
        </r>
      </text>
    </comment>
    <comment ref="A125" authorId="1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0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3" authorId="0" shapeId="0" xr:uid="{00000000-0006-0000-1500-000001000000}">
      <text>
        <r>
          <rPr>
            <sz val="10"/>
            <color rgb="FF000000"/>
            <rFont val="Arial"/>
          </rPr>
          <t xml:space="preserve">Nick Scott:
Olofin I, McDonald CM, Ezzati M, et al. Associations of Suboptimal Growth with All-Cause and Cause-Specific Mortality in Children under Five Years: A Pooled Analysis of Ten Prospective Studies. PLOS One 2013; 8(5): e64636. </t>
        </r>
      </text>
    </comment>
    <comment ref="D30" authorId="0" shapeId="0" xr:uid="{00000000-0006-0000-1500-000002000000}">
      <text>
        <r>
          <rPr>
            <sz val="10"/>
            <color rgb="FF000000"/>
            <rFont val="Arial"/>
          </rPr>
          <t>Nick Scott:
Olofin I, McDonald CM, Ezzati M, et al. Associations of Suboptimal Growth with All-Cause and Cause-Specific Mortality in Children under Five Years: A Pooled Analysis of Ten Prospective Studies. PLOS One 2013; 8(5): e64636</t>
        </r>
      </text>
    </comment>
    <comment ref="D57" authorId="0" shapeId="0" xr:uid="{00000000-0006-0000-1500-000003000000}">
      <text>
        <r>
          <rPr>
            <sz val="10"/>
            <color rgb="FF000000"/>
            <rFont val="Arial"/>
          </rPr>
          <t>Nick Scott:
Heidkamp R, Guida R, Phillips E, Clermont A. The Lives Saved Tool (LiST) as a Model for Prevention of Anemia in Women of Reproductive Age. J Nutr. 2017;147(11):2156S-2162S</t>
        </r>
      </text>
    </comment>
    <comment ref="D66" authorId="0" shapeId="0" xr:uid="{00000000-0006-0000-1500-000004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0" authorId="0" shapeId="0" xr:uid="{00000000-0006-0000-1500-000005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74" authorId="0" shapeId="0" xr:uid="{00000000-0006-0000-1500-000006000000}">
      <text>
        <r>
          <rPr>
            <sz val="10"/>
            <color rgb="FF000000"/>
            <rFont val="Arial"/>
          </rPr>
          <t xml:space="preserve">Nick Scott:
NEOVITA Study Group. Timing of initiation, patterns of breastfeeding, and infant survival: prospective analysis of pooled data from three randomised trials. Lancet Global Health 2016; 4(4): e266-75. </t>
        </r>
      </text>
    </comment>
    <comment ref="D82" authorId="0" shapeId="0" xr:uid="{00000000-0006-0000-1500-000007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86" authorId="0" shapeId="0" xr:uid="{00000000-0006-0000-1500-000008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0" authorId="0" shapeId="0" xr:uid="{00000000-0006-0000-1500-000009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4" authorId="0" shapeId="0" xr:uid="{00000000-0006-0000-1500-00000A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98" authorId="0" shapeId="0" xr:uid="{00000000-0006-0000-1500-00000B000000}">
      <text>
        <r>
          <rPr>
            <sz val="10"/>
            <color rgb="FF000000"/>
            <rFont val="Arial"/>
          </rPr>
          <t xml:space="preserve">Nick Scott:
Lamberti LM, Fischer Walker CL, Noiman A, et al. Breastfeeding and the risk for diarrhea morbidity and mortality. BMC Public Health 2011. </t>
        </r>
      </text>
    </comment>
    <comment ref="D105" authorId="0" shapeId="0" xr:uid="{00000000-0006-0000-1500-00000C000000}">
      <text>
        <r>
          <rPr>
            <sz val="10"/>
            <color rgb="FF000000"/>
            <rFont val="Arial"/>
          </rPr>
          <t>Nick Scott:
Lamberti LM, Fischer Walker CL, Noiman A, et al. Breastfeeding and the risk for diarrhea morbidity and mortality. BMC Public Health 2011</t>
        </r>
      </text>
    </comment>
    <comment ref="A220" authorId="1" shapeId="0" xr:uid="{00000000-0006-0000-1500-00000D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C4" authorId="0" shapeId="0" xr:uid="{00000000-0006-0000-1600-000001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B6" authorId="0" shapeId="0" xr:uid="{00000000-0006-0000-1600-000002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4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5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6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9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A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0" shapeId="0" xr:uid="{00000000-0006-0000-1600-00000B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D12" authorId="1" shapeId="0" xr:uid="{00000000-0006-0000-1600-00000C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C15" authorId="0" shapeId="0" xr:uid="{00000000-0006-0000-1600-00000D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16" authorId="0" shapeId="0" xr:uid="{00000000-0006-0000-1600-00000E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27" authorId="0" shapeId="0" xr:uid="{00000000-0006-0000-1600-00000F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28" authorId="1" shapeId="0" xr:uid="{00000000-0006-0000-1600-000010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1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12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13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4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5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5" authorId="0" shapeId="0" xr:uid="{00000000-0006-0000-1600-000016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A37" authorId="1" shapeId="0" xr:uid="{00000000-0006-0000-1600-000017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38" authorId="0" shapeId="0" xr:uid="{00000000-0006-0000-1600-000018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39" authorId="0" shapeId="0" xr:uid="{00000000-0006-0000-1600-000019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B44" authorId="1" shapeId="0" xr:uid="{00000000-0006-0000-1600-00001A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C50" authorId="0" shapeId="0" xr:uid="{00000000-0006-0000-1600-00001B000000}">
      <text>
        <r>
          <rPr>
            <sz val="10"/>
            <color rgb="FF000000"/>
            <rFont val="Arial"/>
          </rPr>
          <t>Nick Scott:
Checkley et al. Int J Epidemiol 2008.
The adjusted odds of stunting increased by 1.13 for every five episodes (95% CI 1.07-1.19)</t>
        </r>
      </text>
    </comment>
    <comment ref="A51" authorId="1" shapeId="0" xr:uid="{00000000-0006-0000-1600-00001C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2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C58" authorId="0" shapeId="0" xr:uid="{00000000-0006-0000-1600-000021000000}">
      <text>
        <r>
          <rPr>
            <sz val="10"/>
            <color rgb="FF000000"/>
            <rFont val="Arial"/>
          </rPr>
          <t>Nick Scott:
Impact on &lt;1 month not considered to avoid double counting with the mortality benefits for this age group</t>
        </r>
      </text>
    </comment>
    <comment ref="C61" authorId="0" shapeId="0" xr:uid="{00000000-0006-0000-1600-000022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  <comment ref="C62" authorId="0" shapeId="0" xr:uid="{00000000-0006-0000-1600-000023000000}">
      <text>
        <r>
          <rPr>
            <sz val="10"/>
            <color rgb="FF000000"/>
            <rFont val="Arial"/>
          </rPr>
          <t>Nick Scott:
Troeger et al Lancet Glob Health 2018
weight-for-height Z-score per day of diarrhoea –0·0096 (–0·0067 to −0·0125).
OR calculated assuming weight-for-heaght distribution with mean=0 and S.D.=1, cumulative probability -2 (wasting) vs cumulative probability -2+0.0096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3" authorId="0" shapeId="0" xr:uid="{00000000-0006-0000-1800-000002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3" authorId="0" shapeId="0" xr:uid="{00000000-0006-0000-1800-000003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4" authorId="0" shapeId="0" xr:uid="{00000000-0006-0000-1800-00000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6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7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2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3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4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5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2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4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8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9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A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B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18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18" authorId="0" shapeId="0" xr:uid="{00000000-0006-0000-1800-00002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18" authorId="0" shapeId="0" xr:uid="{00000000-0006-0000-1800-00002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18" authorId="0" shapeId="0" xr:uid="{00000000-0006-0000-1800-00003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18" authorId="0" shapeId="0" xr:uid="{00000000-0006-0000-1800-00003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18" authorId="0" shapeId="0" xr:uid="{00000000-0006-0000-1800-00003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18" authorId="0" shapeId="0" xr:uid="{00000000-0006-0000-1800-00003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18" authorId="0" shapeId="0" xr:uid="{00000000-0006-0000-1800-00003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18" authorId="0" shapeId="0" xr:uid="{00000000-0006-0000-1800-000035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18" authorId="0" shapeId="0" xr:uid="{00000000-0006-0000-1800-000036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19" authorId="0" shapeId="0" xr:uid="{00000000-0006-0000-1800-000037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38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F20" authorId="0" shapeId="0" xr:uid="{00000000-0006-0000-1800-000039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G20" authorId="0" shapeId="0" xr:uid="{00000000-0006-0000-1800-00003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H20" authorId="0" shapeId="0" xr:uid="{00000000-0006-0000-1800-00003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I20" authorId="0" shapeId="0" xr:uid="{00000000-0006-0000-1800-00003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J20" authorId="0" shapeId="0" xr:uid="{00000000-0006-0000-1800-00003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K20" authorId="0" shapeId="0" xr:uid="{00000000-0006-0000-1800-00003E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L20" authorId="0" shapeId="0" xr:uid="{00000000-0006-0000-1800-00003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M20" authorId="0" shapeId="0" xr:uid="{00000000-0006-0000-1800-00004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N20" authorId="0" shapeId="0" xr:uid="{00000000-0006-0000-1800-00004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O20" authorId="0" shapeId="0" xr:uid="{00000000-0006-0000-1800-00004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1" authorId="0" shapeId="0" xr:uid="{00000000-0006-0000-1800-00004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44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45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26" authorId="0" shapeId="0" xr:uid="{00000000-0006-0000-1800-000046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26" authorId="0" shapeId="0" xr:uid="{00000000-0006-0000-1800-000047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27" authorId="0" shapeId="0" xr:uid="{00000000-0006-0000-1800-00004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4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4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4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4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4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4E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4F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50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5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5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5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54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55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56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57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5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5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5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5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5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5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5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5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6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6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6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6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6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65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66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67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6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6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1" authorId="0" shapeId="0" xr:uid="{00000000-0006-0000-1800-00006A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2" authorId="0" shapeId="0" xr:uid="{00000000-0006-0000-1800-00006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3" authorId="0" shapeId="0" xr:uid="{00000000-0006-0000-1800-00006C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6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6E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D49" authorId="0" shapeId="0" xr:uid="{00000000-0006-0000-1800-00006F000000}">
      <text>
        <r>
          <rPr>
            <sz val="10"/>
            <color rgb="FF000000"/>
            <rFont val="Arial"/>
          </rPr>
          <t>Tharindu Wickramaarachchi:
Zhao et al 2019, 6-12 months, RR 0.92 (0.87-0.99 );
Assuming at least the same effect on younger group</t>
        </r>
      </text>
    </comment>
    <comment ref="E49" authorId="0" shapeId="0" xr:uid="{00000000-0006-0000-1800-000070000000}">
      <text>
        <r>
          <rPr>
            <sz val="10"/>
            <color rgb="FF000000"/>
            <rFont val="Arial"/>
          </rPr>
          <t>Tharindu Wickramaarachchi:
Zhao et al 2019, 6-12 months, RR 0.92 (0.87-0.99 )</t>
        </r>
      </text>
    </comment>
    <comment ref="H50" authorId="0" shapeId="0" xr:uid="{00000000-0006-0000-1800-00007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7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7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7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7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7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7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7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7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7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7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7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7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81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82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83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8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8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8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8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8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89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8A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8B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8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8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8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8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9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9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9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9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9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9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9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9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9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9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9A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9B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9C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9D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9E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4" authorId="0" shapeId="0" xr:uid="{00000000-0006-0000-1800-00009F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5" authorId="0" shapeId="0" xr:uid="{00000000-0006-0000-1800-0000A0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6" authorId="0" shapeId="0" xr:uid="{00000000-0006-0000-1800-0000A1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A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1" shapeId="0" xr:uid="{00000000-0006-0000-1A00-000013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20" authorId="1" shapeId="0" xr:uid="{00000000-0006-0000-1A00-000014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22" authorId="0" shapeId="0" xr:uid="{00000000-0006-0000-1A00-000015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6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7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8" authorId="1" shapeId="0" xr:uid="{00000000-0006-0000-1A00-000018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28" authorId="1" shapeId="0" xr:uid="{00000000-0006-0000-1A00-000019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28" authorId="1" shapeId="0" xr:uid="{00000000-0006-0000-1A00-00001A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28" authorId="1" shapeId="0" xr:uid="{00000000-0006-0000-1A00-00001B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28" authorId="1" shapeId="0" xr:uid="{00000000-0006-0000-1A00-00001C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1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3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6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4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1" shapeId="0" xr:uid="{00000000-0006-0000-1A00-000049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75" authorId="1" shapeId="0" xr:uid="{00000000-0006-0000-1A00-00004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77" authorId="0" shapeId="0" xr:uid="{00000000-0006-0000-1A00-00004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4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3" authorId="1" shapeId="0" xr:uid="{00000000-0006-0000-1A00-00004E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83" authorId="1" shapeId="0" xr:uid="{00000000-0006-0000-1A00-00004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83" authorId="1" shapeId="0" xr:uid="{00000000-0006-0000-1A00-00005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83" authorId="1" shapeId="0" xr:uid="{00000000-0006-0000-1A00-00005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83" authorId="1" shapeId="0" xr:uid="{00000000-0006-0000-1A00-00005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6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6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7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C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D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70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71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4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5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8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9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1" shapeId="0" xr:uid="{00000000-0006-0000-1A00-00007A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F130" authorId="1" shapeId="0" xr:uid="{00000000-0006-0000-1A00-00007B000000}">
      <text>
        <r>
          <rPr>
            <sz val="10"/>
            <color rgb="FF000000"/>
            <rFont val="Arial"/>
          </rPr>
          <t>Nick Scott:
AIR 2024, prevalence of wasting OR 0.89 (0.80, 0.99). Cash transfers (cash only), unconditional or conditional.
Converted to 1-RR using setting-specific prevalence. Assumes baseline intervention coverage is low</t>
        </r>
      </text>
    </comment>
    <comment ref="D132" authorId="0" shapeId="0" xr:uid="{00000000-0006-0000-1A00-00007C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D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8" authorId="1" shapeId="0" xr:uid="{00000000-0006-0000-1A00-00007F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E138" authorId="1" shapeId="0" xr:uid="{00000000-0006-0000-1A00-000080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F138" authorId="1" shapeId="0" xr:uid="{00000000-0006-0000-1A00-000081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G138" authorId="1" shapeId="0" xr:uid="{00000000-0006-0000-1A00-000082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H138" authorId="1" shapeId="0" xr:uid="{00000000-0006-0000-1A00-000083000000}">
      <text>
        <r>
          <rPr>
            <sz val="10"/>
            <color rgb="FF000000"/>
            <rFont val="Arial"/>
          </rPr>
          <t>Nick Scott:
OR on all-cause mortlality 0.70 (0.49-0.93)
Kremer, M., Luby, S. P., Maertens, R., Tan, B., &amp; Więcek, W. (2023). Water treatment and child mortality: A meta-analysis and cost-effectiveness analysis (No. w30835). National Bureau of Economic Research.</t>
        </r>
      </text>
    </comment>
    <comment ref="D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6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7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8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B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C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D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90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91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92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5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6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7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8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D2" authorId="0" shapeId="0" xr:uid="{00000000-0006-0000-1B00-000001000000}">
      <text>
        <r>
          <rPr>
            <sz val="10"/>
            <color rgb="FF000000"/>
            <rFont val="Arial"/>
          </rPr>
          <t>Nick Scott:
Note: Ca supplementation impacts preterm birth, not curretly captured in the model Hofmeyr et al 2023, RR 0.76 (0.60-0.97), all women</t>
        </r>
      </text>
    </comment>
    <comment ref="D3" authorId="1" shapeId="0" xr:uid="{00000000-0006-0000-1B00-000002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E3" authorId="1" shapeId="0" xr:uid="{00000000-0006-0000-1B00-000003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F3" authorId="1" shapeId="0" xr:uid="{00000000-0006-0000-1B00-000004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G3" authorId="1" shapeId="0" xr:uid="{00000000-0006-0000-1B00-000005000000}">
      <text>
        <r>
          <rPr>
            <sz val="10"/>
            <color rgb="FF000000"/>
            <rFont val="Arial"/>
          </rPr>
          <t>Tharindu Wickramaarachchi:
Not statistically significant from Hofmeyr et al 2018, RR 0.17 (0.02-1.39)
RRR=1-1*0.17=0.83</t>
        </r>
      </text>
    </comment>
    <comment ref="D5" authorId="1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1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1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1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1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1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1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1" shapeId="0" xr:uid="{00000000-0006-0000-1B00-00000D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1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1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1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1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1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1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1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1" shapeId="0" xr:uid="{00000000-0006-0000-1B00-000015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<sst xmlns="http://schemas.openxmlformats.org/spreadsheetml/2006/main" count="2101" uniqueCount="337">
  <si>
    <t>Field</t>
  </si>
  <si>
    <t>Causes</t>
  </si>
  <si>
    <t>Sepsis</t>
  </si>
  <si>
    <t>Population</t>
  </si>
  <si>
    <t>Type</t>
  </si>
  <si>
    <t>x</t>
  </si>
  <si>
    <t>Extension</t>
  </si>
  <si>
    <t>Condition</t>
  </si>
  <si>
    <t>Distribution</t>
  </si>
  <si>
    <t>Implant</t>
  </si>
  <si>
    <t>Normal</t>
  </si>
  <si>
    <t>N/A</t>
  </si>
  <si>
    <t>Outcome</t>
  </si>
  <si>
    <t>Données de l'année de référence</t>
  </si>
  <si>
    <t>Années de projection</t>
  </si>
  <si>
    <t>Année de référence (première année de la projection)</t>
  </si>
  <si>
    <t>Année finale</t>
  </si>
  <si>
    <t>Données démographiques</t>
  </si>
  <si>
    <t>Population des enfants de moins de 5 ans</t>
  </si>
  <si>
    <t>Pourcentage de la population en situation d'insécurité alimentaire (pauvre par défaut)</t>
  </si>
  <si>
    <t>Pourcentage de la population exposé au risque de paludisme</t>
  </si>
  <si>
    <t>Fréquentation scolaire (pourcentage des femmes de 15 à 19 ans)</t>
  </si>
  <si>
    <t>Pourcentage des femmes enceintes fréquentant un établissement de santé</t>
  </si>
  <si>
    <t>Pourcentage des enfants fréquentant un établissement de santé</t>
  </si>
  <si>
    <t>Besoin non satisfait pour la planification familiale</t>
  </si>
  <si>
    <t>Alimentation</t>
  </si>
  <si>
    <t>Fraction de l'agriculture de subsistance</t>
  </si>
  <si>
    <t>Fraction qui mange du riz comme denrée de base principale</t>
  </si>
  <si>
    <t>Fraction qui mange du blé comme denrée de base principale</t>
  </si>
  <si>
    <t>Fraction qui mange du maïs comme denrée de base principale</t>
  </si>
  <si>
    <t>Fraction qui consomme d'autres denrées de base comme denrée de base principale</t>
  </si>
  <si>
    <t>Répartition par âge des femmes enceintes</t>
  </si>
  <si>
    <t>Pourcentage des femmes enceintes âgées de 15 à 19 ans</t>
  </si>
  <si>
    <t>Pourcentage des femmes enceintes âgées de 20 à 29 ans</t>
  </si>
  <si>
    <t>Pourcentage des femmes enceintes âgées de 30 à 39 ans</t>
  </si>
  <si>
    <t>Pourcentage des femmes enceintes âgées de 40 à 49 ans</t>
  </si>
  <si>
    <t>Espacement des naissances</t>
  </si>
  <si>
    <t>Première naissance</t>
  </si>
  <si>
    <t>moins de 18 mois</t>
  </si>
  <si>
    <t>18 à 23 mois</t>
  </si>
  <si>
    <t>24 mois ou plus</t>
  </si>
  <si>
    <t>Total (doit être 100%)</t>
  </si>
  <si>
    <t>Mortalité et facteurs de risque de l'année de référence</t>
  </si>
  <si>
    <t>Mortalité</t>
  </si>
  <si>
    <t>Mortalité néonatale (pour 1 000 naissances vivantes)</t>
  </si>
  <si>
    <t>Mortalité infantile (pour 1 000 naissances vivantes)</t>
  </si>
  <si>
    <t>Mortalité des moins de 5 ans (pour 1 000 naissances vivantes)</t>
  </si>
  <si>
    <t>Mortalité maternelle (pour 1 000 naissances vivantes)</t>
  </si>
  <si>
    <t>Fraction des grossesses se terminant par un avortement spontané</t>
  </si>
  <si>
    <t>Mortinatalité (pour 1 000 naissances totales)</t>
  </si>
  <si>
    <t>Distribution des résultats des naissances</t>
  </si>
  <si>
    <t>SGA prématuré</t>
  </si>
  <si>
    <t>AGA prématuré</t>
  </si>
  <si>
    <t>SGA à terme</t>
  </si>
  <si>
    <t>AGA à terme</t>
  </si>
  <si>
    <t>Incidence de la diarrhée</t>
  </si>
  <si>
    <t>Nombre moyen d'épisodes par an: &lt;1 mois</t>
  </si>
  <si>
    <t>Nombre moyen d'épisodes par an: 1-5 mois</t>
  </si>
  <si>
    <t>Nombre moyen d'épisodes par an: 6-11 mois</t>
  </si>
  <si>
    <t>Nombre moyen d'épisodes par an: 12-23 mois</t>
  </si>
  <si>
    <t>Nombre moyen d'épisodes par an: 24-59 mois</t>
  </si>
  <si>
    <t>Autres risques</t>
  </si>
  <si>
    <t>Pourcentage de la diarrhée qui est aiguë</t>
  </si>
  <si>
    <t>Pourcentage de l'anémie qui est ferriprive</t>
  </si>
  <si>
    <t>Prévalence de la pré-éclampsie</t>
  </si>
  <si>
    <t>Prévalence de l'éclampsie</t>
  </si>
  <si>
    <t>Données</t>
  </si>
  <si>
    <t>Insuffisance pondérale à la naissance</t>
  </si>
  <si>
    <t>Nombre de naissances</t>
  </si>
  <si>
    <t>FAP: 15-19 ans</t>
  </si>
  <si>
    <t>FAP: 20-29 ans</t>
  </si>
  <si>
    <t>FAP: 30-39 ans</t>
  </si>
  <si>
    <t>FAP: 40-49 ans</t>
  </si>
  <si>
    <t>Total FAP</t>
  </si>
  <si>
    <t>Estimation des femmes enceintes</t>
  </si>
  <si>
    <t>FAP non enceintes</t>
  </si>
  <si>
    <t>année</t>
  </si>
  <si>
    <t>Néonatal</t>
  </si>
  <si>
    <t>Diarrhée néonatale</t>
  </si>
  <si>
    <t>Sepsis néonatal</t>
  </si>
  <si>
    <t>Pneumonie néonatale</t>
  </si>
  <si>
    <t>Asphyxie néonatale</t>
  </si>
  <si>
    <t>Prématurité néonatale</t>
  </si>
  <si>
    <t>Tétanos néonatal</t>
  </si>
  <si>
    <t>Anomalies congénitales néonatales</t>
  </si>
  <si>
    <t>Autres pathologies néonatales</t>
  </si>
  <si>
    <t>Enfants</t>
  </si>
  <si>
    <t>Diarrhée</t>
  </si>
  <si>
    <t>Pneumonie</t>
  </si>
  <si>
    <t>Méningite</t>
  </si>
  <si>
    <t>Rougeole</t>
  </si>
  <si>
    <t>Paludisme</t>
  </si>
  <si>
    <t>Coqueluche</t>
  </si>
  <si>
    <t>SIDA</t>
  </si>
  <si>
    <t>Blessure</t>
  </si>
  <si>
    <t>Autre</t>
  </si>
  <si>
    <t>1-5 mois</t>
  </si>
  <si>
    <t>6-11 mois</t>
  </si>
  <si>
    <t>12-23 mois</t>
  </si>
  <si>
    <t>24-59 mois</t>
  </si>
  <si>
    <t>Femmes enceintes</t>
  </si>
  <si>
    <t>Hémorragie antepartum</t>
  </si>
  <si>
    <t>Hémorragie intra-partum</t>
  </si>
  <si>
    <t>Hémorragie du post-partum</t>
  </si>
  <si>
    <t>Troubles hypertensifs</t>
  </si>
  <si>
    <t>Avortement</t>
  </si>
  <si>
    <t>Embolie</t>
  </si>
  <si>
    <t>Autres causes directes</t>
  </si>
  <si>
    <t>Causes indirectes</t>
  </si>
  <si>
    <t>&lt;1 mois</t>
  </si>
  <si>
    <t>État</t>
  </si>
  <si>
    <t>Retard de croissance (taille-pour-âge)</t>
  </si>
  <si>
    <t>Normal (score HAZ &gt; -1)</t>
  </si>
  <si>
    <t>Léger (score HAZ entre -2 et -1)</t>
  </si>
  <si>
    <t>Modéré (score HAZ entre -3 et -2)</t>
  </si>
  <si>
    <t>Élevé (score HAZ &lt; -3)</t>
  </si>
  <si>
    <t>Émaciation (poids-pour-taille)</t>
  </si>
  <si>
    <t>Normal (score WHZ &gt; -1)</t>
  </si>
  <si>
    <t>Léger (score WHZ entre -2 et -1)</t>
  </si>
  <si>
    <t>MM (score WHZ entre -3 et -2)</t>
  </si>
  <si>
    <t>MAS (score WHZ &lt; -3)</t>
  </si>
  <si>
    <t>Anémie</t>
  </si>
  <si>
    <t>FE: 15-19 ans</t>
  </si>
  <si>
    <t>FE: 20-29 ans</t>
  </si>
  <si>
    <t>FE: 30-39 ans</t>
  </si>
  <si>
    <t>FE: 40-49 ans</t>
  </si>
  <si>
    <t>Prévalence de l'anémie</t>
  </si>
  <si>
    <t>Prévalence de l'anémie ferriprive</t>
  </si>
  <si>
    <t>Allaitement maternel</t>
  </si>
  <si>
    <t>Exclusif</t>
  </si>
  <si>
    <t>Prédominant</t>
  </si>
  <si>
    <t>Partiel</t>
  </si>
  <si>
    <t>Aucun</t>
  </si>
  <si>
    <t>Risque</t>
  </si>
  <si>
    <t>Prévalence du retard de croissance (%)</t>
  </si>
  <si>
    <t>Prévalence de l'émaciation (%)</t>
  </si>
  <si>
    <t>Prévalence de l'anémie (%)</t>
  </si>
  <si>
    <t>Femmes en âge de procréer</t>
  </si>
  <si>
    <t>Prévalence de l'allaitement maternel adapté à l'âge des enfants</t>
  </si>
  <si>
    <t>Enfants âgés de 0 à 5 mois</t>
  </si>
  <si>
    <t>Enfants âgés de 6 à 23 mois</t>
  </si>
  <si>
    <t>Moins de cinq ans (décès pour 1 000 naissances)</t>
  </si>
  <si>
    <t>Maternelle (décès pour 1 000 naissances)</t>
  </si>
  <si>
    <t>Enfants âgés de 0 à 59 mois</t>
  </si>
  <si>
    <t>Coût</t>
  </si>
  <si>
    <t>Épisode d'émaciation d'un enfant</t>
  </si>
  <si>
    <t>Décès d'enfant</t>
  </si>
  <si>
    <t>Décès maternel</t>
  </si>
  <si>
    <t>Enfant anémique (par an)</t>
  </si>
  <si>
    <t>Femme enceinte anémique (par grossesse)</t>
  </si>
  <si>
    <t>Enfant souffrant d'un retard de croissance qui aura 5 ans (au cours de sa vie)</t>
  </si>
  <si>
    <t>Paquet ANJE</t>
  </si>
  <si>
    <t>Population cible</t>
  </si>
  <si>
    <t>Établissement de santé</t>
  </si>
  <si>
    <t>Communautaire</t>
  </si>
  <si>
    <t>Médias de masse</t>
  </si>
  <si>
    <t>Tous</t>
  </si>
  <si>
    <t>ANJE 1</t>
  </si>
  <si>
    <t>ANJE 2</t>
  </si>
  <si>
    <t>ANJE 3</t>
  </si>
  <si>
    <t>Programme</t>
  </si>
  <si>
    <t>Traitement de la MAS</t>
  </si>
  <si>
    <t>Défaut</t>
  </si>
  <si>
    <t>Ajouter une extension</t>
  </si>
  <si>
    <t>Mode de livraison</t>
  </si>
  <si>
    <t>Gestion de la MAM</t>
  </si>
  <si>
    <t>Couverture à saturation de la population cible</t>
  </si>
  <si>
    <t>Relation coût-couverture</t>
  </si>
  <si>
    <t>Supplémentation équilibrée en énergie et en protéines</t>
  </si>
  <si>
    <t>Supplémentation en calcium</t>
  </si>
  <si>
    <t>Transferts monétaires</t>
  </si>
  <si>
    <t>Clampage tardif du cordon</t>
  </si>
  <si>
    <t>Planification familiale</t>
  </si>
  <si>
    <t>Enrichissement du maïs en FAF</t>
  </si>
  <si>
    <t>Enrichissement du riz en FAF</t>
  </si>
  <si>
    <t>Enrichissement en FAF de la farine de blé</t>
  </si>
  <si>
    <t>SFAF (communautaire)</t>
  </si>
  <si>
    <t>SFAF (établissement de santé)</t>
  </si>
  <si>
    <t>SFAF (détaillant)</t>
  </si>
  <si>
    <t>SFAF (école)</t>
  </si>
  <si>
    <t>SFAF pour les femmes enceintes (communautaire)</t>
  </si>
  <si>
    <t>SFAF pour les femmes enceintes (établissement de santé)</t>
  </si>
  <si>
    <t>TPIg</t>
  </si>
  <si>
    <t>Enrichissement du sel en fer et en iode</t>
  </si>
  <si>
    <t>Soins maternals kangourou</t>
  </si>
  <si>
    <t>Supplémentation en nutriments à base de lipides</t>
  </si>
  <si>
    <t>Moustiquaires imprégnées d'insecticide de longue durée</t>
  </si>
  <si>
    <t>Mg pour l'éclampsie</t>
  </si>
  <si>
    <t>Mg pour la pré-éclampsie</t>
  </si>
  <si>
    <t>Poudres de micronutriments</t>
  </si>
  <si>
    <t>Supplémentation en micronutriments multiples</t>
  </si>
  <si>
    <t>Sels de réhydratation orale</t>
  </si>
  <si>
    <t>Fourniture publique d'aliments complémentaires</t>
  </si>
  <si>
    <t>Supplémentation en vitamine A</t>
  </si>
  <si>
    <t>WASH: lavage des mains</t>
  </si>
  <si>
    <t>WASH: Élimination hygiénique</t>
  </si>
  <si>
    <t>WASH: Amélioration de l'assainissement</t>
  </si>
  <si>
    <t>WASH: Source d'eau améliorée</t>
  </si>
  <si>
    <t>WASH: Eau courante</t>
  </si>
  <si>
    <t>SRO+Zn pour le traitement de la diarrhée</t>
  </si>
  <si>
    <t>Supplémentation en zinc</t>
  </si>
  <si>
    <t>Linéaire (coût marginal constant) [par défaut].</t>
  </si>
  <si>
    <t>Coût à l'unité (US$)</t>
  </si>
  <si>
    <t>Augmentation maximale par an</t>
  </si>
  <si>
    <t>Réduction maximale par an</t>
  </si>
  <si>
    <t>Petite quantité de supplémentation en nutriments à base de lipides</t>
  </si>
  <si>
    <t>Dépendance d'exclusion</t>
  </si>
  <si>
    <t>Dépendance de seuil</t>
  </si>
  <si>
    <t>MAS</t>
  </si>
  <si>
    <t>MM</t>
  </si>
  <si>
    <t>Population générale</t>
  </si>
  <si>
    <t>Groupe général de la population</t>
  </si>
  <si>
    <t>Courbe avec coût marginal croissant</t>
  </si>
  <si>
    <t>Courbe avec coût marginal décroissant</t>
  </si>
  <si>
    <t>En forme de S (coût marginal décroissant puis croissant)</t>
  </si>
  <si>
    <t>Efficacité</t>
  </si>
  <si>
    <t>Méthode</t>
  </si>
  <si>
    <t>Préservatif</t>
  </si>
  <si>
    <t>Stérilisation masculine</t>
  </si>
  <si>
    <t>Stérilisation féminine</t>
  </si>
  <si>
    <t>Injection Depo Provera</t>
  </si>
  <si>
    <t>Pilule</t>
  </si>
  <si>
    <t>Retrait</t>
  </si>
  <si>
    <t>Sensibilisation à la fertilité</t>
  </si>
  <si>
    <t>DIU</t>
  </si>
  <si>
    <t>Coût proportionnel</t>
  </si>
  <si>
    <t>Retard de croissance</t>
  </si>
  <si>
    <t>Prévention de l'émaciation</t>
  </si>
  <si>
    <t>Traitement de l'émaciation</t>
  </si>
  <si>
    <t>Résultats des naissances</t>
  </si>
  <si>
    <t>Tranche d'âge</t>
  </si>
  <si>
    <t>Comportement</t>
  </si>
  <si>
    <t>Rapport des cotes pour l'allaitement maternelle correct</t>
  </si>
  <si>
    <t>Rapport des cotes pour le retard de croissance</t>
  </si>
  <si>
    <t>Rapport des cotes pour l'alimentation complémentaire</t>
  </si>
  <si>
    <t>Bornes inférieures</t>
  </si>
  <si>
    <t>Rapport des cotes pour l'allaitement maternelle correct - inférieur</t>
  </si>
  <si>
    <t>Rapport des cotes pour le retard de croissance - inférieur</t>
  </si>
  <si>
    <t>Rapport des cotes pour l'alimentation complémentaire correct - inférieur</t>
  </si>
  <si>
    <t>Bornes supérieures</t>
  </si>
  <si>
    <t>Rapport des cotes pour l'allaitement maternelle correct - supérieur</t>
  </si>
  <si>
    <t>Rapport des cotes pour le retard de croissance - supérieur</t>
  </si>
  <si>
    <t>Rapport des cotes pour l'alimentation complémentaire correct - supérieur</t>
  </si>
  <si>
    <t>Facteurs de risque maternels contribuant aux résultats des naissances</t>
  </si>
  <si>
    <t>Risque relatif par espacement des naissances</t>
  </si>
  <si>
    <t>Risques pour les enfants touchés par chaque résultat des naissances</t>
  </si>
  <si>
    <t>Rapport des cotes pour des conditions</t>
  </si>
  <si>
    <t>Émaciation (score-HAZ &lt; -2)</t>
  </si>
  <si>
    <t>Risques relatifs des causes du décès néonatales</t>
  </si>
  <si>
    <t>Rapport des cotes pour les femmes avec l'anémie maternelle</t>
  </si>
  <si>
    <t>Risque relatif par espacement des naissances - inférieur</t>
  </si>
  <si>
    <t>Rapport des cotes pour des conditions - inférieur</t>
  </si>
  <si>
    <t>Risques relatifs des causes du décès néonatales - inférieur</t>
  </si>
  <si>
    <t>Risque relatif par espacement des naissances - supérieur</t>
  </si>
  <si>
    <t>Rapport des cotes pour des conditions - supérieur</t>
  </si>
  <si>
    <t>Risques relatifs des causes du décès néonatales - supérieur</t>
  </si>
  <si>
    <t>Retard de croissance (HAZ-score &lt; -2)-i</t>
  </si>
  <si>
    <t>MM (score WHZ entre -3 et -2)-i</t>
  </si>
  <si>
    <t>MAS (score WHZ &lt; -3)-i</t>
  </si>
  <si>
    <t>Retard de croissance (HAZ-score &lt; -2)-s</t>
  </si>
  <si>
    <t>MM (score WHZ entre -3 et -2)-s</t>
  </si>
  <si>
    <t>MAS (score WHZ &lt; -3)-s</t>
  </si>
  <si>
    <t>Rapports des cotes pour les femmes avec l'anémie maternelle - inférieur</t>
  </si>
  <si>
    <t>Rapports des cotes pour les femmes avec l'anémie maternelle - supérieur</t>
  </si>
  <si>
    <t>Risque relatif des causes du décès par la distribution de la taille-pour-âge (retard de croissance)</t>
  </si>
  <si>
    <t>Cause du décès</t>
  </si>
  <si>
    <t>Niveau HAZ</t>
  </si>
  <si>
    <t>Léger</t>
  </si>
  <si>
    <t>Modéré</t>
  </si>
  <si>
    <t>Élevé</t>
  </si>
  <si>
    <t>Niveau WHZ</t>
  </si>
  <si>
    <t>Risque relatif des causes du décès par condition anémique</t>
  </si>
  <si>
    <t>Condition anémique</t>
  </si>
  <si>
    <t>Pas anémique</t>
  </si>
  <si>
    <t>Anémique</t>
  </si>
  <si>
    <t>Risque relatif des causes du décès par mode d'allaitement maternel</t>
  </si>
  <si>
    <t>Mode d'allaitement maternel</t>
  </si>
  <si>
    <t>Risques relatifs de la diarrhée par mode d'allaitement maternel</t>
  </si>
  <si>
    <t>Risque relatif des causes du décès par la distribution du poids-pour-taille (émaciation)</t>
  </si>
  <si>
    <t>Émaciation</t>
  </si>
  <si>
    <t>Compte tenu du retard de croissance antérieur (HAZ &lt; -2 dans la tranche d’âge précédente)</t>
  </si>
  <si>
    <t>Diarrhée (par épisode supplémentaire)</t>
  </si>
  <si>
    <t>Par programme</t>
  </si>
  <si>
    <t>Rapports des cotes supplémentaires</t>
  </si>
  <si>
    <t>Pour MAS par épisode supplémentaire de la diarrhée</t>
  </si>
  <si>
    <t>Pour l'anémie par épisode supplémentaire de la diarrhée aiguë</t>
  </si>
  <si>
    <t>Rapport des cotes pour l'allaitement maternel correct par programme</t>
  </si>
  <si>
    <t>Pour MM par épisode supplémentaire de la diarrhée</t>
  </si>
  <si>
    <t>Rapports des cotes pour l'espacement des naissances optimal par programme</t>
  </si>
  <si>
    <t>Compte tenu du retard de croissance antérieur (HAZ &lt; -2 dans la tranche d’âge précédente) - inférieur</t>
  </si>
  <si>
    <t>Diarrhée (par épisode supplémentaire) - inférieur</t>
  </si>
  <si>
    <t>Par programme - inférieur</t>
  </si>
  <si>
    <t>Fourniture publique d'aliments complémentaires - inférieur</t>
  </si>
  <si>
    <t>Supplémentation en nutriments à base de lipids - inférieur</t>
  </si>
  <si>
    <t>Supplémentation en zinc - inférieur</t>
  </si>
  <si>
    <t>Rapport des cotes pour l'allaitement correct par programme - inférieur</t>
  </si>
  <si>
    <t>Soins maternals kangourou - inférieur</t>
  </si>
  <si>
    <t>Pour MAS par épisode supplémentaire de la diarrhée - inférieur</t>
  </si>
  <si>
    <t>Pour MM par épisode supplémentaire de la diarrhée - inférieur</t>
  </si>
  <si>
    <t>Pour l'anémie par épisode supplémentaire de la diarrhée aiguë - inférieur</t>
  </si>
  <si>
    <t>Rapports des cotes pour l'espacement des naissances optimal par programme - inférieur</t>
  </si>
  <si>
    <t>Planification familiale - inférieur</t>
  </si>
  <si>
    <t>Compte tenu du retard de croissance antérieur (HAZ &lt; -2 dans la tranche d’âge précédente) - supérieur</t>
  </si>
  <si>
    <t>Diarrhée (par épisode supplémentaire) - supérieur</t>
  </si>
  <si>
    <t>Par programme - supérieur</t>
  </si>
  <si>
    <t>Fourniture publique d'aliments complémentaires - supérieur</t>
  </si>
  <si>
    <t>Supplémentation en nutriments à base de lipids - supérieur</t>
  </si>
  <si>
    <t>Supplémentation en zinc - supérieur</t>
  </si>
  <si>
    <t>Rapport des cotes pour l'allaitement correct par programme - supérieur</t>
  </si>
  <si>
    <t>Soins maternals kangourou - supérieur</t>
  </si>
  <si>
    <t>Pour MAS par épisode supplémentaire de la diarrhée - supérieur</t>
  </si>
  <si>
    <t>Pour MM par épisode supplémentaire de la diarrhée - supérieur</t>
  </si>
  <si>
    <t>Pour l'anémie par épisode supplémentaire de la diarrhée aiguë - supérieur</t>
  </si>
  <si>
    <t>Rapports des cotes pour l'espacement des naissances optimal par programme - supérieur</t>
  </si>
  <si>
    <t>Planification familiale - supérieur</t>
  </si>
  <si>
    <t>Petite quantité de supplémentation en nutriments à base de lipids - inférieur</t>
  </si>
  <si>
    <t>Petite quantité de supplémentation en nutriments à base de lipids - supérieur</t>
  </si>
  <si>
    <t>efficacité</t>
  </si>
  <si>
    <t>fraction touchée</t>
  </si>
  <si>
    <t>Risques relatifs de l'anémie en recevant l'intervention</t>
  </si>
  <si>
    <t>Rapports des cotes de l'anémie en étant couverte par l'intervention</t>
  </si>
  <si>
    <t>Risques relatifs de l'anémie en recevant l'intervention - inférieur</t>
  </si>
  <si>
    <t>Risques relatifs de l'anémie en recevant l'intervention - supérieur</t>
  </si>
  <si>
    <t>Rapport des cotes pour l'anémie en étant couvert par l'intervention - inférieur</t>
  </si>
  <si>
    <t>Rapport des cotes pour l'anémie en étant couvert par l'intervention - supérieur</t>
  </si>
  <si>
    <t>Rapport des cotes de la MAS en étant couvert par le programme</t>
  </si>
  <si>
    <t>Rapport des cotes de la MM en étant couvert par le programme</t>
  </si>
  <si>
    <t>Rapport des cotes de la MAS en étant couvert par le programme - inférieur</t>
  </si>
  <si>
    <t>Rapport des cotes de la MM en étant couvert par le programme - inférieur</t>
  </si>
  <si>
    <t>Rapport des cotes de la MAS en étant couvert par le programme - supérieur</t>
  </si>
  <si>
    <t>Rapport des cotes de la MM en étant couvert par le programme - supérieur</t>
  </si>
  <si>
    <t>Borne inférieure</t>
  </si>
  <si>
    <t>Borne supérieure</t>
  </si>
  <si>
    <t>Condition ciblée</t>
  </si>
  <si>
    <t>Fraction touchée</t>
  </si>
  <si>
    <t>Efficacité à prévenir une mort</t>
  </si>
  <si>
    <t>Efficacité à prévenir un cas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</si>
</sst>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13</v>
      </c>
      <c r="B1" s="29" t="s">
        <v>0</v>
      </c>
      <c r="C1" s="29" t="s">
        <v>66</v>
      </c>
    </row>
    <row r="2" spans="1:3" ht="15.9" customHeight="1" x14ac:dyDescent="0.3">
      <c r="A2" s="8" t="s">
        <v>14</v>
      </c>
      <c r="B2" s="29"/>
      <c r="C2" s="29"/>
    </row>
    <row r="3" spans="1:3" ht="15.9" customHeight="1" x14ac:dyDescent="0.3">
      <c r="A3" s="1"/>
      <c r="B3" s="5" t="s">
        <v>15</v>
      </c>
      <c r="C3" s="41">
        <v>2024</v>
      </c>
    </row>
    <row r="4" spans="1:3" ht="15.9" customHeight="1" x14ac:dyDescent="0.3">
      <c r="A4" s="1"/>
      <c r="B4" s="5" t="s">
        <v>16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17</v>
      </c>
    </row>
    <row r="7" spans="1:3" ht="15" customHeight="1" x14ac:dyDescent="0.25">
      <c r="B7" s="11" t="s">
        <v>18</v>
      </c>
      <c r="C7" s="43">
        <v>2912960.34375</v>
      </c>
    </row>
    <row r="8" spans="1:3" ht="15" customHeight="1" x14ac:dyDescent="0.25">
      <c r="B8" s="5" t="s">
        <v>19</v>
      </c>
      <c r="C8" s="44">
        <v>2.5999999999999999E-2</v>
      </c>
    </row>
    <row r="9" spans="1:3" ht="15" customHeight="1" x14ac:dyDescent="0.25">
      <c r="B9" s="5" t="s">
        <v>20</v>
      </c>
      <c r="C9" s="45">
        <v>0.01</v>
      </c>
    </row>
    <row r="10" spans="1:3" ht="15" customHeight="1" x14ac:dyDescent="0.25">
      <c r="B10" s="5" t="s">
        <v>21</v>
      </c>
      <c r="C10" s="45">
        <v>0.81257881164550794</v>
      </c>
    </row>
    <row r="11" spans="1:3" ht="15" customHeight="1" x14ac:dyDescent="0.25">
      <c r="B11" s="5" t="s">
        <v>22</v>
      </c>
      <c r="C11" s="45">
        <v>1</v>
      </c>
    </row>
    <row r="12" spans="1:3" ht="15" customHeight="1" x14ac:dyDescent="0.25">
      <c r="B12" s="5" t="s">
        <v>23</v>
      </c>
      <c r="C12" s="45">
        <v>1</v>
      </c>
    </row>
    <row r="13" spans="1:3" ht="15" customHeight="1" x14ac:dyDescent="0.25">
      <c r="B13" s="5" t="s">
        <v>24</v>
      </c>
      <c r="C13" s="45">
        <v>0.33900000000000002</v>
      </c>
    </row>
    <row r="14" spans="1:3" ht="15" customHeight="1" x14ac:dyDescent="0.25">
      <c r="B14" s="8"/>
    </row>
    <row r="15" spans="1:3" ht="15" customHeight="1" x14ac:dyDescent="0.3">
      <c r="A15" s="8" t="s">
        <v>25</v>
      </c>
      <c r="B15" s="14"/>
      <c r="C15" s="3"/>
    </row>
    <row r="16" spans="1:3" ht="15" customHeight="1" x14ac:dyDescent="0.25">
      <c r="B16" s="5" t="s">
        <v>26</v>
      </c>
      <c r="C16" s="45">
        <v>0.1</v>
      </c>
    </row>
    <row r="17" spans="1:3" ht="15" customHeight="1" x14ac:dyDescent="0.25">
      <c r="B17" s="5" t="s">
        <v>27</v>
      </c>
      <c r="C17" s="45">
        <v>0.01</v>
      </c>
    </row>
    <row r="18" spans="1:3" ht="15" customHeight="1" x14ac:dyDescent="0.25">
      <c r="B18" s="5" t="s">
        <v>28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30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31</v>
      </c>
    </row>
    <row r="23" spans="1:3" ht="15" customHeight="1" x14ac:dyDescent="0.25">
      <c r="B23" s="15" t="s">
        <v>32</v>
      </c>
      <c r="C23" s="45">
        <v>0.1017</v>
      </c>
    </row>
    <row r="24" spans="1:3" ht="15" customHeight="1" x14ac:dyDescent="0.25">
      <c r="B24" s="15" t="s">
        <v>33</v>
      </c>
      <c r="C24" s="45">
        <v>0.4788</v>
      </c>
    </row>
    <row r="25" spans="1:3" ht="15" customHeight="1" x14ac:dyDescent="0.25">
      <c r="B25" s="15" t="s">
        <v>34</v>
      </c>
      <c r="C25" s="45">
        <v>0.3508</v>
      </c>
    </row>
    <row r="26" spans="1:3" ht="15" customHeight="1" x14ac:dyDescent="0.25">
      <c r="B26" s="15" t="s">
        <v>35</v>
      </c>
      <c r="C26" s="45">
        <v>6.8699999999999997E-2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36</v>
      </c>
      <c r="B28" s="15"/>
      <c r="C28" s="15"/>
    </row>
    <row r="29" spans="1:3" ht="14.25" customHeight="1" x14ac:dyDescent="0.25">
      <c r="B29" s="25" t="s">
        <v>37</v>
      </c>
      <c r="C29" s="45">
        <v>0.35066608906841101</v>
      </c>
    </row>
    <row r="30" spans="1:3" ht="14.25" customHeight="1" x14ac:dyDescent="0.25">
      <c r="B30" s="25" t="s">
        <v>38</v>
      </c>
      <c r="C30" s="99">
        <v>2.06592801300131E-2</v>
      </c>
    </row>
    <row r="31" spans="1:3" ht="14.25" customHeight="1" x14ac:dyDescent="0.25">
      <c r="B31" s="25" t="s">
        <v>39</v>
      </c>
      <c r="C31" s="99">
        <v>5.6103010463544101E-2</v>
      </c>
    </row>
    <row r="32" spans="1:3" ht="14.25" customHeight="1" x14ac:dyDescent="0.25">
      <c r="B32" s="25" t="s">
        <v>40</v>
      </c>
      <c r="C32" s="99">
        <v>0.57257162033803199</v>
      </c>
    </row>
    <row r="33" spans="1:5" ht="13" customHeight="1" x14ac:dyDescent="0.25">
      <c r="B33" s="27" t="s">
        <v>41</v>
      </c>
      <c r="C33" s="48">
        <f>SUM(C29:C32)</f>
        <v>1.0000000000000002</v>
      </c>
    </row>
    <row r="34" spans="1:5" ht="15" customHeight="1" x14ac:dyDescent="0.25"/>
    <row r="35" spans="1:5" ht="15" customHeight="1" x14ac:dyDescent="0.3">
      <c r="A35" s="4" t="s">
        <v>42</v>
      </c>
    </row>
    <row r="36" spans="1:5" ht="15" customHeight="1" x14ac:dyDescent="0.25">
      <c r="A36" s="8" t="s">
        <v>43</v>
      </c>
      <c r="B36" s="5"/>
    </row>
    <row r="37" spans="1:5" ht="15" customHeight="1" x14ac:dyDescent="0.25">
      <c r="B37" s="11" t="s">
        <v>44</v>
      </c>
      <c r="C37" s="43">
        <v>7.1367700000000003</v>
      </c>
    </row>
    <row r="38" spans="1:5" ht="15" customHeight="1" x14ac:dyDescent="0.25">
      <c r="B38" s="11" t="s">
        <v>45</v>
      </c>
      <c r="C38" s="43">
        <v>10.960900000000001</v>
      </c>
      <c r="D38" s="12"/>
      <c r="E38" s="13"/>
    </row>
    <row r="39" spans="1:5" ht="15" customHeight="1" x14ac:dyDescent="0.25">
      <c r="B39" s="11" t="s">
        <v>46</v>
      </c>
      <c r="C39" s="43">
        <v>14.12261</v>
      </c>
      <c r="D39" s="12"/>
      <c r="E39" s="12"/>
    </row>
    <row r="40" spans="1:5" ht="15" customHeight="1" x14ac:dyDescent="0.25">
      <c r="B40" s="11" t="s">
        <v>47</v>
      </c>
      <c r="C40" s="100">
        <v>0.69</v>
      </c>
    </row>
    <row r="41" spans="1:5" ht="15" customHeight="1" x14ac:dyDescent="0.25">
      <c r="B41" s="11" t="s">
        <v>48</v>
      </c>
      <c r="C41" s="45">
        <v>0.12</v>
      </c>
    </row>
    <row r="42" spans="1:5" ht="15" customHeight="1" x14ac:dyDescent="0.25">
      <c r="B42" s="11" t="s">
        <v>49</v>
      </c>
      <c r="C42" s="43">
        <v>6.6315799999999996</v>
      </c>
    </row>
    <row r="43" spans="1:5" ht="15.75" customHeight="1" x14ac:dyDescent="0.25">
      <c r="D43" s="12"/>
    </row>
    <row r="44" spans="1:5" ht="15.75" customHeight="1" x14ac:dyDescent="0.25">
      <c r="A44" s="8" t="s">
        <v>50</v>
      </c>
      <c r="D44" s="12"/>
    </row>
    <row r="45" spans="1:5" ht="15.75" customHeight="1" x14ac:dyDescent="0.25">
      <c r="B45" s="11" t="s">
        <v>51</v>
      </c>
      <c r="C45" s="45">
        <v>5.8412000000000004E-3</v>
      </c>
      <c r="D45" s="12"/>
    </row>
    <row r="46" spans="1:5" ht="15.75" customHeight="1" x14ac:dyDescent="0.25">
      <c r="B46" s="11" t="s">
        <v>52</v>
      </c>
      <c r="C46" s="45">
        <v>6.0999800000000007E-2</v>
      </c>
      <c r="D46" s="12"/>
    </row>
    <row r="47" spans="1:5" ht="15.75" customHeight="1" x14ac:dyDescent="0.25">
      <c r="B47" s="11" t="s">
        <v>53</v>
      </c>
      <c r="C47" s="45">
        <v>4.6633800000000003E-2</v>
      </c>
      <c r="D47" s="12"/>
      <c r="E47" s="13"/>
    </row>
    <row r="48" spans="1:5" ht="15" customHeight="1" x14ac:dyDescent="0.25">
      <c r="B48" s="11" t="s">
        <v>54</v>
      </c>
      <c r="C48" s="46">
        <v>0.8865251999999999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55</v>
      </c>
      <c r="D50" s="12"/>
    </row>
    <row r="51" spans="1:4" ht="15.75" customHeight="1" x14ac:dyDescent="0.25">
      <c r="B51" s="11" t="s">
        <v>56</v>
      </c>
      <c r="C51" s="100">
        <v>3.2</v>
      </c>
      <c r="D51" s="12"/>
    </row>
    <row r="52" spans="1:4" ht="15" customHeight="1" x14ac:dyDescent="0.25">
      <c r="B52" s="11" t="s">
        <v>57</v>
      </c>
      <c r="C52" s="100">
        <v>3.2</v>
      </c>
    </row>
    <row r="53" spans="1:4" ht="15.75" customHeight="1" x14ac:dyDescent="0.25">
      <c r="B53" s="11" t="s">
        <v>58</v>
      </c>
      <c r="C53" s="100">
        <v>3.2</v>
      </c>
    </row>
    <row r="54" spans="1:4" ht="15.75" customHeight="1" x14ac:dyDescent="0.25">
      <c r="B54" s="11" t="s">
        <v>59</v>
      </c>
      <c r="C54" s="100">
        <v>3.2</v>
      </c>
    </row>
    <row r="55" spans="1:4" ht="15.75" customHeight="1" x14ac:dyDescent="0.25">
      <c r="B55" s="11" t="s">
        <v>60</v>
      </c>
      <c r="C55" s="100">
        <v>3.2</v>
      </c>
    </row>
    <row r="57" spans="1:4" ht="15.75" customHeight="1" x14ac:dyDescent="0.25">
      <c r="A57" s="8" t="s">
        <v>61</v>
      </c>
    </row>
    <row r="58" spans="1:4" ht="15.75" customHeight="1" x14ac:dyDescent="0.25">
      <c r="B58" s="5" t="s">
        <v>62</v>
      </c>
      <c r="C58" s="45">
        <v>1.9375E-2</v>
      </c>
    </row>
    <row r="59" spans="1:4" ht="15.75" customHeight="1" x14ac:dyDescent="0.25">
      <c r="B59" s="11" t="s">
        <v>63</v>
      </c>
      <c r="C59" s="45">
        <v>0.60645700000000002</v>
      </c>
    </row>
    <row r="60" spans="1:4" ht="15.75" customHeight="1" x14ac:dyDescent="0.25">
      <c r="B60" s="11" t="s">
        <v>64</v>
      </c>
      <c r="C60" s="45">
        <v>4.5999999999999999E-2</v>
      </c>
    </row>
    <row r="61" spans="1:4" ht="15.75" customHeight="1" x14ac:dyDescent="0.25">
      <c r="B61" s="11" t="s">
        <v>65</v>
      </c>
      <c r="C61" s="45">
        <v>1.4E-2</v>
      </c>
    </row>
    <row r="62" spans="1:4" ht="15.75" customHeight="1" x14ac:dyDescent="0.25">
      <c r="B62" s="11" t="s">
        <v>67</v>
      </c>
      <c r="C62" s="44">
        <v>9.4036293000000007E-2</v>
      </c>
    </row>
    <row r="63" spans="1:4" ht="15.75" customHeight="1" x14ac:dyDescent="0.3">
      <c r="A63" s="4"/>
    </row>
  </sheetData>
  <sheetProtection algorithmName="SHA-512" hashValue="nZmDBgtLE8d4x735MDZKjWazAK335N9zsnUJG5W3ZsRBeSbBFRgm6+397Y6pldXi4YtQslUDdKT3PgvxAmGpMA==" saltValue="cL1dY43equnAAAe0TJnb+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76</v>
      </c>
      <c r="B1" s="20" t="s">
        <v>68</v>
      </c>
      <c r="C1" s="18" t="s">
        <v>69</v>
      </c>
      <c r="D1" s="18" t="s">
        <v>70</v>
      </c>
      <c r="E1" s="18" t="s">
        <v>71</v>
      </c>
      <c r="F1" s="18" t="s">
        <v>72</v>
      </c>
      <c r="G1" s="18" t="s">
        <v>73</v>
      </c>
      <c r="H1" s="18" t="s">
        <v>74</v>
      </c>
      <c r="I1" s="18" t="s">
        <v>75</v>
      </c>
    </row>
    <row r="2" spans="1:9" ht="15.75" customHeight="1" x14ac:dyDescent="0.25">
      <c r="A2" s="5">
        <f>start_year</f>
        <v>2024</v>
      </c>
      <c r="B2" s="49">
        <v>583908</v>
      </c>
      <c r="C2" s="49">
        <v>1773148</v>
      </c>
      <c r="D2" s="49">
        <v>2777762.5</v>
      </c>
      <c r="E2" s="49">
        <v>2689175.5</v>
      </c>
      <c r="F2" s="49">
        <v>1977128</v>
      </c>
      <c r="G2" s="17">
        <f t="shared" ref="G2:G13" si="0">C2+D2+E2+F2</f>
        <v>9217214</v>
      </c>
      <c r="H2" s="17">
        <f t="shared" ref="H2:H13" si="1">(B2 + stillbirth*B2/(1000-stillbirth))/(1-abortion)</f>
        <v>667961.45802764513</v>
      </c>
      <c r="I2" s="17">
        <f t="shared" ref="I2:I13" si="2">G2-H2</f>
        <v>8549252.5419723541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579726</v>
      </c>
      <c r="C3" s="50">
        <v>1777934</v>
      </c>
      <c r="D3" s="50">
        <v>2776197.5</v>
      </c>
      <c r="E3" s="50">
        <v>2708054.5</v>
      </c>
      <c r="F3" s="50">
        <v>2014024.5</v>
      </c>
      <c r="G3" s="17">
        <f t="shared" si="0"/>
        <v>9276210.5</v>
      </c>
      <c r="H3" s="17">
        <f t="shared" si="1"/>
        <v>663177.45983362896</v>
      </c>
      <c r="I3" s="17">
        <f t="shared" si="2"/>
        <v>8613033.0401663706</v>
      </c>
    </row>
    <row r="4" spans="1:9" ht="15.75" customHeight="1" x14ac:dyDescent="0.25">
      <c r="A4" s="5">
        <f t="shared" si="3"/>
        <v>2026</v>
      </c>
      <c r="B4" s="49">
        <v>577184</v>
      </c>
      <c r="C4" s="50">
        <v>1775517</v>
      </c>
      <c r="D4" s="50">
        <v>2782404</v>
      </c>
      <c r="E4" s="50">
        <v>2721671</v>
      </c>
      <c r="F4" s="50">
        <v>2053356.5</v>
      </c>
      <c r="G4" s="17">
        <f t="shared" si="0"/>
        <v>9332948.5</v>
      </c>
      <c r="H4" s="17">
        <f t="shared" si="1"/>
        <v>660269.53936275642</v>
      </c>
      <c r="I4" s="17">
        <f t="shared" si="2"/>
        <v>8672678.9606372435</v>
      </c>
    </row>
    <row r="5" spans="1:9" ht="15.75" customHeight="1" x14ac:dyDescent="0.25">
      <c r="A5" s="5">
        <f t="shared" si="3"/>
        <v>2027</v>
      </c>
      <c r="B5" s="49">
        <v>573296</v>
      </c>
      <c r="C5" s="50">
        <v>1766627</v>
      </c>
      <c r="D5" s="50">
        <v>2793923</v>
      </c>
      <c r="E5" s="50">
        <v>2730941.5</v>
      </c>
      <c r="F5" s="50">
        <v>2094922</v>
      </c>
      <c r="G5" s="17">
        <f t="shared" si="0"/>
        <v>9386413.5</v>
      </c>
      <c r="H5" s="17">
        <f t="shared" si="1"/>
        <v>655821.86241910863</v>
      </c>
      <c r="I5" s="17">
        <f t="shared" si="2"/>
        <v>8730591.6375808921</v>
      </c>
    </row>
    <row r="6" spans="1:9" ht="15.75" customHeight="1" x14ac:dyDescent="0.25">
      <c r="A6" s="5">
        <f t="shared" si="3"/>
        <v>2028</v>
      </c>
      <c r="B6" s="49">
        <v>571853</v>
      </c>
      <c r="C6" s="50">
        <v>1754211</v>
      </c>
      <c r="D6" s="50">
        <v>2808037.5</v>
      </c>
      <c r="E6" s="50">
        <v>2736137.5</v>
      </c>
      <c r="F6" s="50">
        <v>2137794</v>
      </c>
      <c r="G6" s="17">
        <f t="shared" si="0"/>
        <v>9436180</v>
      </c>
      <c r="H6" s="17">
        <f t="shared" si="1"/>
        <v>654171.14281270851</v>
      </c>
      <c r="I6" s="17">
        <f t="shared" si="2"/>
        <v>8782008.8571872916</v>
      </c>
    </row>
    <row r="7" spans="1:9" ht="15.75" customHeight="1" x14ac:dyDescent="0.25">
      <c r="A7" s="5">
        <f t="shared" si="3"/>
        <v>2029</v>
      </c>
      <c r="B7" s="49">
        <v>569527</v>
      </c>
      <c r="C7" s="50">
        <v>1739028.5</v>
      </c>
      <c r="D7" s="50">
        <v>2823968</v>
      </c>
      <c r="E7" s="50">
        <v>2737972.5</v>
      </c>
      <c r="F7" s="50">
        <v>2180867.5</v>
      </c>
      <c r="G7" s="17">
        <f t="shared" si="0"/>
        <v>9481836.5</v>
      </c>
      <c r="H7" s="17">
        <f t="shared" si="1"/>
        <v>651510.31550537178</v>
      </c>
      <c r="I7" s="17">
        <f t="shared" si="2"/>
        <v>8830326.1844946276</v>
      </c>
    </row>
    <row r="8" spans="1:9" ht="15.75" customHeight="1" x14ac:dyDescent="0.25">
      <c r="A8" s="5">
        <f t="shared" si="3"/>
        <v>2030</v>
      </c>
      <c r="B8" s="49">
        <v>566809</v>
      </c>
      <c r="C8" s="50">
        <v>1722680.5</v>
      </c>
      <c r="D8" s="50">
        <v>2840629.5</v>
      </c>
      <c r="E8" s="50">
        <v>2737671</v>
      </c>
      <c r="F8" s="50">
        <v>2222879.5</v>
      </c>
      <c r="G8" s="17">
        <f t="shared" si="0"/>
        <v>9523860.5</v>
      </c>
      <c r="H8" s="17">
        <f t="shared" si="1"/>
        <v>648401.05986421055</v>
      </c>
      <c r="I8" s="17">
        <f t="shared" si="2"/>
        <v>8875459.44013579</v>
      </c>
    </row>
    <row r="9" spans="1:9" ht="15.75" customHeight="1" x14ac:dyDescent="0.25">
      <c r="A9" s="5">
        <f t="shared" si="3"/>
        <v>2031</v>
      </c>
      <c r="B9" s="49">
        <v>561642</v>
      </c>
      <c r="C9" s="50">
        <v>1707937.5</v>
      </c>
      <c r="D9" s="50">
        <v>2858834</v>
      </c>
      <c r="E9" s="50">
        <v>2733370.5</v>
      </c>
      <c r="F9" s="50">
        <v>2262864</v>
      </c>
      <c r="G9" s="17">
        <f t="shared" si="0"/>
        <v>9563006</v>
      </c>
      <c r="H9" s="17">
        <f t="shared" si="1"/>
        <v>642490.27108647709</v>
      </c>
      <c r="I9" s="17">
        <f t="shared" si="2"/>
        <v>8920515.7289135233</v>
      </c>
    </row>
    <row r="10" spans="1:9" ht="15.75" customHeight="1" x14ac:dyDescent="0.25">
      <c r="A10" s="5">
        <f t="shared" si="3"/>
        <v>2032</v>
      </c>
      <c r="B10" s="49">
        <v>558027</v>
      </c>
      <c r="C10" s="50">
        <v>1697433.5</v>
      </c>
      <c r="D10" s="50">
        <v>2876635</v>
      </c>
      <c r="E10" s="50">
        <v>2726021</v>
      </c>
      <c r="F10" s="50">
        <v>2300357.5</v>
      </c>
      <c r="G10" s="17">
        <f t="shared" si="0"/>
        <v>9600447</v>
      </c>
      <c r="H10" s="17">
        <f t="shared" si="1"/>
        <v>638354.89244674286</v>
      </c>
      <c r="I10" s="17">
        <f t="shared" si="2"/>
        <v>8962092.1075532567</v>
      </c>
    </row>
    <row r="11" spans="1:9" ht="15.75" customHeight="1" x14ac:dyDescent="0.25">
      <c r="A11" s="5">
        <f t="shared" si="3"/>
        <v>2033</v>
      </c>
      <c r="B11" s="49">
        <v>556016</v>
      </c>
      <c r="C11" s="50">
        <v>1693525</v>
      </c>
      <c r="D11" s="50">
        <v>2889043</v>
      </c>
      <c r="E11" s="50">
        <v>2719849</v>
      </c>
      <c r="F11" s="50">
        <v>2333965.5</v>
      </c>
      <c r="G11" s="17">
        <f t="shared" si="0"/>
        <v>9636382.5</v>
      </c>
      <c r="H11" s="17">
        <f t="shared" si="1"/>
        <v>636054.40933622967</v>
      </c>
      <c r="I11" s="17">
        <f t="shared" si="2"/>
        <v>9000328.0906637702</v>
      </c>
    </row>
    <row r="12" spans="1:9" ht="15.75" customHeight="1" x14ac:dyDescent="0.25">
      <c r="A12" s="5">
        <f t="shared" si="3"/>
        <v>2034</v>
      </c>
      <c r="B12" s="49">
        <v>553000</v>
      </c>
      <c r="C12" s="50">
        <v>1694669</v>
      </c>
      <c r="D12" s="50">
        <v>2893722</v>
      </c>
      <c r="E12" s="50">
        <v>2718279.5</v>
      </c>
      <c r="F12" s="50">
        <v>2362564</v>
      </c>
      <c r="G12" s="17">
        <f t="shared" si="0"/>
        <v>9669234.5</v>
      </c>
      <c r="H12" s="17">
        <f t="shared" si="1"/>
        <v>632604.25664537528</v>
      </c>
      <c r="I12" s="17">
        <f t="shared" si="2"/>
        <v>9036630.2433546241</v>
      </c>
    </row>
    <row r="13" spans="1:9" ht="15.75" customHeight="1" x14ac:dyDescent="0.25">
      <c r="A13" s="5">
        <f t="shared" si="3"/>
        <v>2035</v>
      </c>
      <c r="B13" s="49">
        <v>549782</v>
      </c>
      <c r="C13" s="50">
        <v>1698404.5</v>
      </c>
      <c r="D13" s="50">
        <v>2889349</v>
      </c>
      <c r="E13" s="50">
        <v>2723767</v>
      </c>
      <c r="F13" s="50">
        <v>2385680.5</v>
      </c>
      <c r="G13" s="17">
        <f t="shared" si="0"/>
        <v>9697201</v>
      </c>
      <c r="H13" s="17">
        <f t="shared" si="1"/>
        <v>628923.02608862147</v>
      </c>
      <c r="I13" s="17">
        <f t="shared" si="2"/>
        <v>9068277.9739113785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wViyeqr+Zk0j+vk8i7oj25U6XcXeBk7jx2gliafly2o1EE3dGe/Ne/8zzESN97gQ79qTz1+fkwWxYxXxfzpX6w==" saltValue="iUhTR3t5ohUs+Q1KuZwH7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"Pourcentage des morts de l'année de référence ("&amp;start_year&amp;") imputable à chaque cause"</f>
        <v>Pourcentage des morts de l'année de référence (2024) imputable à chaque cause</v>
      </c>
      <c r="B1" s="29"/>
      <c r="C1" s="29"/>
      <c r="D1" s="29"/>
      <c r="E1" s="29"/>
      <c r="F1" s="29"/>
    </row>
    <row r="2" spans="1:8" ht="27.75" customHeight="1" x14ac:dyDescent="0.3">
      <c r="A2" t="s">
        <v>77</v>
      </c>
      <c r="B2" s="29" t="s">
        <v>1</v>
      </c>
      <c r="C2" s="29" t="s">
        <v>109</v>
      </c>
      <c r="D2" s="29"/>
      <c r="E2" s="29"/>
      <c r="F2" s="29"/>
      <c r="G2" s="29"/>
    </row>
    <row r="3" spans="1:8" ht="15.75" customHeight="1" x14ac:dyDescent="0.25">
      <c r="B3" s="19" t="s">
        <v>78</v>
      </c>
      <c r="C3" s="55">
        <v>0</v>
      </c>
    </row>
    <row r="4" spans="1:8" ht="15.75" customHeight="1" x14ac:dyDescent="0.25">
      <c r="B4" s="19" t="s">
        <v>79</v>
      </c>
      <c r="C4" s="101">
        <v>6.8213585686113243E-2</v>
      </c>
    </row>
    <row r="5" spans="1:8" ht="15.75" customHeight="1" x14ac:dyDescent="0.25">
      <c r="B5" s="19" t="s">
        <v>80</v>
      </c>
      <c r="C5" s="101">
        <v>2.0191202959532081E-2</v>
      </c>
    </row>
    <row r="6" spans="1:8" ht="15.75" customHeight="1" x14ac:dyDescent="0.25">
      <c r="B6" s="19" t="s">
        <v>81</v>
      </c>
      <c r="C6" s="101">
        <v>0.1647395441538852</v>
      </c>
    </row>
    <row r="7" spans="1:8" ht="15.75" customHeight="1" x14ac:dyDescent="0.25">
      <c r="B7" s="19" t="s">
        <v>82</v>
      </c>
      <c r="C7" s="101">
        <v>0.40726092353651949</v>
      </c>
    </row>
    <row r="8" spans="1:8" ht="15.75" customHeight="1" x14ac:dyDescent="0.25">
      <c r="B8" s="19" t="s">
        <v>83</v>
      </c>
      <c r="C8" s="101">
        <v>1.1011728567132039E-2</v>
      </c>
    </row>
    <row r="9" spans="1:8" ht="15.75" customHeight="1" x14ac:dyDescent="0.25">
      <c r="B9" s="19" t="s">
        <v>84</v>
      </c>
      <c r="C9" s="101">
        <v>0.22914229320527599</v>
      </c>
    </row>
    <row r="10" spans="1:8" ht="15.75" customHeight="1" x14ac:dyDescent="0.25">
      <c r="B10" s="19" t="s">
        <v>85</v>
      </c>
      <c r="C10" s="101">
        <v>9.9440721891541795E-2</v>
      </c>
    </row>
    <row r="11" spans="1:8" ht="15.75" customHeight="1" x14ac:dyDescent="0.25">
      <c r="B11" s="27" t="s">
        <v>41</v>
      </c>
      <c r="C11" s="48">
        <f>SUM(C3:C10)</f>
        <v>1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86</v>
      </c>
      <c r="B13" s="29" t="s">
        <v>1</v>
      </c>
      <c r="C13" s="102" t="s">
        <v>96</v>
      </c>
      <c r="D13" s="102" t="s">
        <v>97</v>
      </c>
      <c r="E13" s="102" t="s">
        <v>98</v>
      </c>
      <c r="F13" s="102" t="s">
        <v>99</v>
      </c>
      <c r="G13" s="19"/>
    </row>
    <row r="14" spans="1:8" ht="15.75" customHeight="1" x14ac:dyDescent="0.25">
      <c r="B14" s="19" t="s">
        <v>87</v>
      </c>
      <c r="C14" s="55">
        <v>7.8720322230260348E-2</v>
      </c>
      <c r="D14" s="55">
        <v>7.8720322230260348E-2</v>
      </c>
      <c r="E14" s="55">
        <v>7.8720322230260348E-2</v>
      </c>
      <c r="F14" s="55">
        <v>7.8720322230260348E-2</v>
      </c>
    </row>
    <row r="15" spans="1:8" ht="15.75" customHeight="1" x14ac:dyDescent="0.25">
      <c r="B15" s="19" t="s">
        <v>88</v>
      </c>
      <c r="C15" s="101">
        <v>0.30279653142205609</v>
      </c>
      <c r="D15" s="101">
        <v>0.30279653142205609</v>
      </c>
      <c r="E15" s="101">
        <v>0.30279653142205609</v>
      </c>
      <c r="F15" s="101">
        <v>0.30279653142205609</v>
      </c>
    </row>
    <row r="16" spans="1:8" ht="15.75" customHeight="1" x14ac:dyDescent="0.25">
      <c r="B16" s="19" t="s">
        <v>89</v>
      </c>
      <c r="C16" s="101">
        <v>2.3327980127058529E-2</v>
      </c>
      <c r="D16" s="101">
        <v>2.3327980127058529E-2</v>
      </c>
      <c r="E16" s="101">
        <v>2.3327980127058529E-2</v>
      </c>
      <c r="F16" s="101">
        <v>2.3327980127058529E-2</v>
      </c>
    </row>
    <row r="17" spans="1:8" ht="15.75" customHeight="1" x14ac:dyDescent="0.25">
      <c r="B17" s="19" t="s">
        <v>90</v>
      </c>
      <c r="C17" s="101">
        <v>0</v>
      </c>
      <c r="D17" s="101">
        <v>0</v>
      </c>
      <c r="E17" s="101">
        <v>0</v>
      </c>
      <c r="F17" s="101">
        <v>0</v>
      </c>
    </row>
    <row r="18" spans="1:8" ht="15.75" customHeight="1" x14ac:dyDescent="0.25">
      <c r="B18" s="19" t="s">
        <v>91</v>
      </c>
      <c r="C18" s="101">
        <v>3.8316375366036931E-3</v>
      </c>
      <c r="D18" s="101">
        <v>3.8316375366036931E-3</v>
      </c>
      <c r="E18" s="101">
        <v>3.8316375366036931E-3</v>
      </c>
      <c r="F18" s="101">
        <v>3.8316375366036931E-3</v>
      </c>
    </row>
    <row r="19" spans="1:8" ht="15.75" customHeight="1" x14ac:dyDescent="0.25">
      <c r="B19" s="19" t="s">
        <v>92</v>
      </c>
      <c r="C19" s="101">
        <v>2.6632053203642779E-2</v>
      </c>
      <c r="D19" s="101">
        <v>2.6632053203642779E-2</v>
      </c>
      <c r="E19" s="101">
        <v>2.6632053203642779E-2</v>
      </c>
      <c r="F19" s="101">
        <v>2.6632053203642779E-2</v>
      </c>
    </row>
    <row r="20" spans="1:8" ht="15.75" customHeight="1" x14ac:dyDescent="0.25">
      <c r="B20" s="19" t="s">
        <v>93</v>
      </c>
      <c r="C20" s="101">
        <v>3.7244085545977627E-2</v>
      </c>
      <c r="D20" s="101">
        <v>3.7244085545977627E-2</v>
      </c>
      <c r="E20" s="101">
        <v>3.7244085545977627E-2</v>
      </c>
      <c r="F20" s="101">
        <v>3.7244085545977627E-2</v>
      </c>
    </row>
    <row r="21" spans="1:8" ht="15.75" customHeight="1" x14ac:dyDescent="0.25">
      <c r="B21" s="19" t="s">
        <v>94</v>
      </c>
      <c r="C21" s="101">
        <v>0.39295376627483958</v>
      </c>
      <c r="D21" s="101">
        <v>0.39295376627483958</v>
      </c>
      <c r="E21" s="101">
        <v>0.39295376627483958</v>
      </c>
      <c r="F21" s="101">
        <v>0.39295376627483958</v>
      </c>
    </row>
    <row r="22" spans="1:8" ht="15.75" customHeight="1" x14ac:dyDescent="0.25">
      <c r="B22" s="19" t="s">
        <v>95</v>
      </c>
      <c r="C22" s="101">
        <v>0.1344936236595613</v>
      </c>
      <c r="D22" s="101">
        <v>0.1344936236595613</v>
      </c>
      <c r="E22" s="101">
        <v>0.1344936236595613</v>
      </c>
      <c r="F22" s="101">
        <v>0.1344936236595613</v>
      </c>
    </row>
    <row r="23" spans="1:8" ht="15.75" customHeight="1" x14ac:dyDescent="0.25">
      <c r="B23" s="27" t="s">
        <v>41</v>
      </c>
      <c r="C23" s="48">
        <f>SUM(C14:C22)</f>
        <v>1</v>
      </c>
      <c r="D23" s="48">
        <f>SUM(D14:D22)</f>
        <v>1</v>
      </c>
      <c r="E23" s="48">
        <f>SUM(E14:E22)</f>
        <v>1</v>
      </c>
      <c r="F23" s="48">
        <f>SUM(F14:F22)</f>
        <v>1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100</v>
      </c>
      <c r="B25" s="29" t="s">
        <v>1</v>
      </c>
      <c r="C25" s="29" t="s">
        <v>100</v>
      </c>
      <c r="D25" s="19"/>
      <c r="E25" s="19"/>
      <c r="F25" s="19"/>
      <c r="G25" s="19"/>
      <c r="H25" s="19"/>
    </row>
    <row r="26" spans="1:8" ht="15.75" customHeight="1" x14ac:dyDescent="0.25">
      <c r="B26" s="19" t="s">
        <v>101</v>
      </c>
      <c r="C26" s="55">
        <v>5.9206632000000002E-2</v>
      </c>
    </row>
    <row r="27" spans="1:8" ht="15.75" customHeight="1" x14ac:dyDescent="0.25">
      <c r="B27" s="19" t="s">
        <v>102</v>
      </c>
      <c r="C27" s="101">
        <v>5.4331326999999999E-2</v>
      </c>
    </row>
    <row r="28" spans="1:8" ht="15.75" customHeight="1" x14ac:dyDescent="0.25">
      <c r="B28" s="19" t="s">
        <v>103</v>
      </c>
      <c r="C28" s="101">
        <v>8.2001606000000005E-2</v>
      </c>
    </row>
    <row r="29" spans="1:8" ht="15.75" customHeight="1" x14ac:dyDescent="0.25">
      <c r="B29" s="19" t="s">
        <v>104</v>
      </c>
      <c r="C29" s="101">
        <v>0.17244879399999999</v>
      </c>
    </row>
    <row r="30" spans="1:8" ht="15.75" customHeight="1" x14ac:dyDescent="0.25">
      <c r="B30" s="19" t="s">
        <v>2</v>
      </c>
      <c r="C30" s="101">
        <v>0.28298384500000001</v>
      </c>
    </row>
    <row r="31" spans="1:8" ht="15.75" customHeight="1" x14ac:dyDescent="0.25">
      <c r="B31" s="19" t="s">
        <v>105</v>
      </c>
      <c r="C31" s="101">
        <v>5.2443504000000002E-2</v>
      </c>
    </row>
    <row r="32" spans="1:8" ht="15.75" customHeight="1" x14ac:dyDescent="0.25">
      <c r="B32" s="19" t="s">
        <v>106</v>
      </c>
      <c r="C32" s="101">
        <v>1.1239091E-2</v>
      </c>
    </row>
    <row r="33" spans="2:3" ht="15.75" customHeight="1" x14ac:dyDescent="0.25">
      <c r="B33" s="19" t="s">
        <v>107</v>
      </c>
      <c r="C33" s="101">
        <v>0.207844573</v>
      </c>
    </row>
    <row r="34" spans="2:3" ht="15.75" customHeight="1" x14ac:dyDescent="0.25">
      <c r="B34" s="19" t="s">
        <v>108</v>
      </c>
      <c r="C34" s="101">
        <v>7.7500629000000015E-2</v>
      </c>
    </row>
    <row r="35" spans="2:3" ht="15.75" customHeight="1" x14ac:dyDescent="0.25">
      <c r="B35" s="27" t="s">
        <v>41</v>
      </c>
      <c r="C35" s="48">
        <f>SUM(C26:C34)</f>
        <v>1.0000000010000001</v>
      </c>
    </row>
  </sheetData>
  <sheetProtection algorithmName="SHA-512" hashValue="t7/CQwMkF9XXeS+iFJ+Ct+OIhaGN1aIqouJZx1nxndBflTq6+QeVT90ZwDPjyc2GpgvUroI9mFetZBvO1rJLMQ==" saltValue="r6ux5aYOfaBxfvX1MC0W4w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C2" sqref="C2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"Pourcentage de la population dans chaque catégorie pendant l'année de référence ("&amp;start_year&amp;")"</f>
        <v>Pourcentage de la population dans chaque catégorie pendant l'année de référence (2024)</v>
      </c>
      <c r="B1" s="1" t="s">
        <v>110</v>
      </c>
      <c r="C1" s="11" t="s">
        <v>109</v>
      </c>
      <c r="D1" s="11" t="s">
        <v>96</v>
      </c>
      <c r="E1" s="11" t="s">
        <v>97</v>
      </c>
      <c r="F1" s="11" t="s">
        <v>98</v>
      </c>
      <c r="G1" s="11" t="s">
        <v>99</v>
      </c>
    </row>
    <row r="2" spans="1:15" ht="15.75" customHeight="1" x14ac:dyDescent="0.25">
      <c r="A2" s="3" t="s">
        <v>111</v>
      </c>
      <c r="B2" s="5" t="s">
        <v>112</v>
      </c>
      <c r="C2" s="52">
        <f>IFERROR(1-_xlfn.NORM.DIST(_xlfn.NORM.INV(SUM(C4:C5), 0, 1) + 1, 0, 1, TRUE), "")</f>
        <v>0.5921916963497369</v>
      </c>
      <c r="D2" s="52">
        <f>IFERROR(1-_xlfn.NORM.DIST(_xlfn.NORM.INV(SUM(D4:D5), 0, 1) + 1, 0, 1, TRUE), "")</f>
        <v>0.5921916963497369</v>
      </c>
      <c r="E2" s="52">
        <f>IFERROR(1-_xlfn.NORM.DIST(_xlfn.NORM.INV(SUM(E4:E5), 0, 1) + 1, 0, 1, TRUE), "")</f>
        <v>0.60621154473411054</v>
      </c>
      <c r="F2" s="52">
        <f>IFERROR(1-_xlfn.NORM.DIST(_xlfn.NORM.INV(SUM(F4:F5), 0, 1) + 1, 0, 1, TRUE), "")</f>
        <v>0.51041057710690996</v>
      </c>
      <c r="G2" s="52">
        <f>IFERROR(1-_xlfn.NORM.DIST(_xlfn.NORM.INV(SUM(G4:G5), 0, 1) + 1, 0, 1, TRUE), "")</f>
        <v>0.60111890850032568</v>
      </c>
    </row>
    <row r="3" spans="1:15" ht="15.75" customHeight="1" x14ac:dyDescent="0.25">
      <c r="B3" s="5" t="s">
        <v>113</v>
      </c>
      <c r="C3" s="52">
        <f>IFERROR(_xlfn.NORM.DIST(_xlfn.NORM.INV(SUM(C4:C5), 0, 1) + 1, 0, 1, TRUE) - SUM(C4:C5), "")</f>
        <v>0.29905520365026306</v>
      </c>
      <c r="D3" s="52">
        <f>IFERROR(_xlfn.NORM.DIST(_xlfn.NORM.INV(SUM(D4:D5), 0, 1) + 1, 0, 1, TRUE) - SUM(D4:D5), "")</f>
        <v>0.29905520365026306</v>
      </c>
      <c r="E3" s="52">
        <f>IFERROR(_xlfn.NORM.DIST(_xlfn.NORM.INV(SUM(E4:E5), 0, 1) + 1, 0, 1, TRUE) - SUM(E4:E5), "")</f>
        <v>0.29164965526588948</v>
      </c>
      <c r="F3" s="52">
        <f>IFERROR(_xlfn.NORM.DIST(_xlfn.NORM.INV(SUM(F4:F5), 0, 1) + 1, 0, 1, TRUE) - SUM(F4:F5), "")</f>
        <v>0.33716682289309008</v>
      </c>
      <c r="G3" s="52">
        <f>IFERROR(_xlfn.NORM.DIST(_xlfn.NORM.INV(SUM(G4:G5), 0, 1) + 1, 0, 1, TRUE) - SUM(G4:G5), "")</f>
        <v>0.29436739149967428</v>
      </c>
    </row>
    <row r="4" spans="1:15" ht="15.75" customHeight="1" x14ac:dyDescent="0.25">
      <c r="B4" s="5" t="s">
        <v>114</v>
      </c>
      <c r="C4" s="45">
        <v>9.1949900000000001E-2</v>
      </c>
      <c r="D4" s="53">
        <v>9.1949900000000001E-2</v>
      </c>
      <c r="E4" s="53">
        <v>8.9927399999999991E-2</v>
      </c>
      <c r="F4" s="53">
        <v>0.1284496</v>
      </c>
      <c r="G4" s="53">
        <v>9.2411399999999991E-2</v>
      </c>
    </row>
    <row r="5" spans="1:15" ht="15.75" customHeight="1" x14ac:dyDescent="0.25">
      <c r="B5" s="5" t="s">
        <v>115</v>
      </c>
      <c r="C5" s="45">
        <v>1.6803200000000001E-2</v>
      </c>
      <c r="D5" s="53">
        <v>1.6803200000000001E-2</v>
      </c>
      <c r="E5" s="53">
        <v>1.2211400000000001E-2</v>
      </c>
      <c r="F5" s="53">
        <v>2.3973000000000001E-2</v>
      </c>
      <c r="G5" s="53">
        <v>1.21023E-2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116</v>
      </c>
      <c r="B8" s="5" t="s">
        <v>117</v>
      </c>
      <c r="C8" s="52">
        <f>IFERROR(1-_xlfn.NORM.DIST(_xlfn.NORM.INV(SUM(C10:C11), 0, 1) + 1, 0, 1, TRUE), "")</f>
        <v>0.90475779701711179</v>
      </c>
      <c r="D8" s="52">
        <f>IFERROR(1-_xlfn.NORM.DIST(_xlfn.NORM.INV(SUM(D10:D11), 0, 1) + 1, 0, 1, TRUE), "")</f>
        <v>0.90475779701711179</v>
      </c>
      <c r="E8" s="52">
        <f>IFERROR(1-_xlfn.NORM.DIST(_xlfn.NORM.INV(SUM(E10:E11), 0, 1) + 1, 0, 1, TRUE), "")</f>
        <v>0.94087382088702665</v>
      </c>
      <c r="F8" s="52">
        <f>IFERROR(1-_xlfn.NORM.DIST(_xlfn.NORM.INV(SUM(F10:F11), 0, 1) + 1, 0, 1, TRUE), "")</f>
        <v>0.94899462602511231</v>
      </c>
      <c r="G8" s="52">
        <f>IFERROR(1-_xlfn.NORM.DIST(_xlfn.NORM.INV(SUM(G10:G11), 0, 1) + 1, 0, 1, TRUE), "")</f>
        <v>0.95969227345541575</v>
      </c>
    </row>
    <row r="9" spans="1:15" ht="15.75" customHeight="1" x14ac:dyDescent="0.25">
      <c r="B9" s="5" t="s">
        <v>118</v>
      </c>
      <c r="C9" s="52">
        <f>IFERROR(_xlfn.NORM.DIST(_xlfn.NORM.INV(SUM(C10:C11), 0, 1) + 1, 0, 1, TRUE) - SUM(C10:C11), "")</f>
        <v>8.4774502982888231E-2</v>
      </c>
      <c r="D9" s="52">
        <f>IFERROR(_xlfn.NORM.DIST(_xlfn.NORM.INV(SUM(D10:D11), 0, 1) + 1, 0, 1, TRUE) - SUM(D10:D11), "")</f>
        <v>8.4774502982888231E-2</v>
      </c>
      <c r="E9" s="52">
        <f>IFERROR(_xlfn.NORM.DIST(_xlfn.NORM.INV(SUM(E10:E11), 0, 1) + 1, 0, 1, TRUE) - SUM(E10:E11), "")</f>
        <v>5.3924879112973362E-2</v>
      </c>
      <c r="F9" s="52">
        <f>IFERROR(_xlfn.NORM.DIST(_xlfn.NORM.INV(SUM(F10:F11), 0, 1) + 1, 0, 1, TRUE) - SUM(F10:F11), "")</f>
        <v>4.6800773974887661E-2</v>
      </c>
      <c r="G9" s="52">
        <f>IFERROR(_xlfn.NORM.DIST(_xlfn.NORM.INV(SUM(G10:G11), 0, 1) + 1, 0, 1, TRUE) - SUM(G10:G11), "")</f>
        <v>3.7301726544584225E-2</v>
      </c>
    </row>
    <row r="10" spans="1:15" ht="15.75" customHeight="1" x14ac:dyDescent="0.25">
      <c r="B10" s="5" t="s">
        <v>119</v>
      </c>
      <c r="C10" s="45">
        <v>4.8057999999999998E-3</v>
      </c>
      <c r="D10" s="53">
        <v>4.8057999999999998E-3</v>
      </c>
      <c r="E10" s="53">
        <v>2.5625999999999999E-3</v>
      </c>
      <c r="F10" s="53">
        <v>2.9545999999999999E-3</v>
      </c>
      <c r="G10" s="53">
        <v>2.8151000000000001E-3</v>
      </c>
    </row>
    <row r="11" spans="1:15" ht="15.75" customHeight="1" x14ac:dyDescent="0.25">
      <c r="B11" s="5" t="s">
        <v>120</v>
      </c>
      <c r="C11" s="45">
        <v>5.6619000000000001E-3</v>
      </c>
      <c r="D11" s="53">
        <v>5.6619000000000001E-3</v>
      </c>
      <c r="E11" s="53">
        <v>2.6386999999999999E-3</v>
      </c>
      <c r="F11" s="53">
        <v>1.25E-3</v>
      </c>
      <c r="G11" s="53">
        <v>1.9090000000000001E-4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121</v>
      </c>
      <c r="C13" s="11" t="s">
        <v>109</v>
      </c>
      <c r="D13" s="11" t="s">
        <v>96</v>
      </c>
      <c r="E13" s="11" t="s">
        <v>97</v>
      </c>
      <c r="F13" s="11" t="s">
        <v>98</v>
      </c>
      <c r="G13" s="11" t="s">
        <v>99</v>
      </c>
      <c r="H13" s="18" t="s">
        <v>122</v>
      </c>
      <c r="I13" s="18" t="s">
        <v>123</v>
      </c>
      <c r="J13" s="18" t="s">
        <v>124</v>
      </c>
      <c r="K13" s="18" t="s">
        <v>125</v>
      </c>
      <c r="L13" s="18" t="s">
        <v>69</v>
      </c>
      <c r="M13" s="18" t="s">
        <v>70</v>
      </c>
      <c r="N13" s="18" t="s">
        <v>71</v>
      </c>
      <c r="O13" s="18" t="s">
        <v>72</v>
      </c>
    </row>
    <row r="14" spans="1:15" ht="15.75" customHeight="1" x14ac:dyDescent="0.25">
      <c r="B14" s="11" t="s">
        <v>126</v>
      </c>
      <c r="C14" s="51">
        <v>0.90798535650000001</v>
      </c>
      <c r="D14" s="54">
        <v>0.87176858063600005</v>
      </c>
      <c r="E14" s="54">
        <v>0.87176858063600005</v>
      </c>
      <c r="F14" s="54">
        <v>0.44194822078700002</v>
      </c>
      <c r="G14" s="54">
        <v>0.44194822078700002</v>
      </c>
      <c r="H14" s="45">
        <v>0.25800000000000001</v>
      </c>
      <c r="I14" s="55">
        <v>0.25800000000000001</v>
      </c>
      <c r="J14" s="55">
        <v>0.25800000000000001</v>
      </c>
      <c r="K14" s="55">
        <v>0.25800000000000001</v>
      </c>
      <c r="L14" s="45">
        <v>0.18099999999999999</v>
      </c>
      <c r="M14" s="55">
        <v>0.18099999999999999</v>
      </c>
      <c r="N14" s="55">
        <v>0.18099999999999999</v>
      </c>
      <c r="O14" s="55">
        <v>0.18099999999999999</v>
      </c>
    </row>
    <row r="15" spans="1:15" ht="15.75" customHeight="1" x14ac:dyDescent="0.25">
      <c r="B15" s="11" t="s">
        <v>127</v>
      </c>
      <c r="C15" s="52">
        <f t="shared" ref="C15:O15" si="0">iron_deficiency_anaemia*C14</f>
        <v>0.55065407534692057</v>
      </c>
      <c r="D15" s="52">
        <f t="shared" si="0"/>
        <v>0.52869015810676667</v>
      </c>
      <c r="E15" s="52">
        <f t="shared" si="0"/>
        <v>0.52869015810676667</v>
      </c>
      <c r="F15" s="52">
        <f t="shared" si="0"/>
        <v>0.26802259213382168</v>
      </c>
      <c r="G15" s="52">
        <f t="shared" si="0"/>
        <v>0.26802259213382168</v>
      </c>
      <c r="H15" s="52">
        <f t="shared" si="0"/>
        <v>0.15646590600000002</v>
      </c>
      <c r="I15" s="52">
        <f t="shared" si="0"/>
        <v>0.15646590600000002</v>
      </c>
      <c r="J15" s="52">
        <f t="shared" si="0"/>
        <v>0.15646590600000002</v>
      </c>
      <c r="K15" s="52">
        <f t="shared" si="0"/>
        <v>0.15646590600000002</v>
      </c>
      <c r="L15" s="52">
        <f t="shared" si="0"/>
        <v>0.109768717</v>
      </c>
      <c r="M15" s="52">
        <f t="shared" si="0"/>
        <v>0.109768717</v>
      </c>
      <c r="N15" s="52">
        <f t="shared" si="0"/>
        <v>0.109768717</v>
      </c>
      <c r="O15" s="52">
        <f t="shared" si="0"/>
        <v>0.109768717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P01pSKRX+TloK6UqFve6HvSKS+G1mIdSwHm0Qed4BvnJ3Y1Tn7+fBvXyQZ2it8098aEu1Yn0+65p04DregLZZg==" saltValue="9y9SvAiwAA+IzCz1FoA5Jg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"Pourcentage des enfants dans chaque catégorie pendant l'année de référence ("&amp;start_year&amp;")"</f>
        <v>Pourcentage des enfants dans chaque catégorie pendant l'année de référence (2024)</v>
      </c>
      <c r="B1" s="1" t="s">
        <v>110</v>
      </c>
      <c r="C1" s="8" t="s">
        <v>109</v>
      </c>
      <c r="D1" s="8" t="s">
        <v>96</v>
      </c>
      <c r="E1" s="8" t="s">
        <v>97</v>
      </c>
      <c r="F1" s="8" t="s">
        <v>98</v>
      </c>
      <c r="G1" s="8" t="s">
        <v>99</v>
      </c>
    </row>
    <row r="2" spans="1:7" x14ac:dyDescent="0.25">
      <c r="A2" s="3" t="s">
        <v>128</v>
      </c>
      <c r="B2" s="3" t="s">
        <v>129</v>
      </c>
      <c r="C2" s="45">
        <v>0.76569710000000002</v>
      </c>
      <c r="D2" s="53">
        <v>0.62137850000000006</v>
      </c>
      <c r="E2" s="53">
        <v>0</v>
      </c>
      <c r="F2" s="53">
        <v>0</v>
      </c>
      <c r="G2" s="53">
        <v>0</v>
      </c>
    </row>
    <row r="3" spans="1:7" x14ac:dyDescent="0.25">
      <c r="B3" s="3" t="s">
        <v>130</v>
      </c>
      <c r="C3" s="53">
        <v>1.6957400000000001E-2</v>
      </c>
      <c r="D3" s="53">
        <v>6.7201399999999994E-2</v>
      </c>
      <c r="E3" s="53">
        <v>0</v>
      </c>
      <c r="F3" s="53">
        <v>0</v>
      </c>
      <c r="G3" s="53">
        <v>0</v>
      </c>
    </row>
    <row r="4" spans="1:7" x14ac:dyDescent="0.25">
      <c r="B4" s="3" t="s">
        <v>131</v>
      </c>
      <c r="C4" s="53">
        <v>0.21405959999999999</v>
      </c>
      <c r="D4" s="53">
        <v>0.28064060000000002</v>
      </c>
      <c r="E4" s="53">
        <v>0.92909400000000009</v>
      </c>
      <c r="F4" s="53">
        <v>0.71526470000000009</v>
      </c>
      <c r="G4" s="53">
        <v>0</v>
      </c>
    </row>
    <row r="5" spans="1:7" x14ac:dyDescent="0.25">
      <c r="B5" s="3" t="s">
        <v>132</v>
      </c>
      <c r="C5" s="52">
        <v>3.2858000000000002E-3</v>
      </c>
      <c r="D5" s="52">
        <v>3.0779500000000001E-2</v>
      </c>
      <c r="E5" s="52">
        <f>1-SUM(E2:E4)</f>
        <v>7.0905999999999914E-2</v>
      </c>
      <c r="F5" s="52">
        <f>1-SUM(F2:F4)</f>
        <v>0.28473529999999991</v>
      </c>
      <c r="G5" s="52">
        <f>1-SUM(G2:G4)</f>
        <v>1</v>
      </c>
    </row>
  </sheetData>
  <sheetProtection algorithmName="SHA-512" hashValue="QgRfd+wRl1hFL6SqaPN+LPOXp36Ct+P/oFeps9ACLjGkBI/EOC+ve9xrEHmjbmXGmjt0CtY2VldQKh+GHQg71g==" saltValue="C3wwlqT+to1B6slmNmn4Xw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133</v>
      </c>
      <c r="B1" s="4" t="s">
        <v>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ht="13.25" customHeight="1" x14ac:dyDescent="0.25">
      <c r="A2" t="s">
        <v>134</v>
      </c>
      <c r="B2" s="9" t="s">
        <v>143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ht="13.25" customHeight="1" x14ac:dyDescent="0.25">
      <c r="B3" s="9"/>
    </row>
    <row r="4" spans="1:11" ht="13.25" customHeight="1" x14ac:dyDescent="0.25">
      <c r="A4" t="s">
        <v>135</v>
      </c>
      <c r="B4" s="9" t="s">
        <v>143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ht="13.25" customHeight="1" x14ac:dyDescent="0.25">
      <c r="B5" s="9"/>
    </row>
    <row r="6" spans="1:11" ht="13.25" customHeight="1" x14ac:dyDescent="0.25">
      <c r="A6" t="s">
        <v>136</v>
      </c>
      <c r="B6" s="9" t="s">
        <v>143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ht="13.25" customHeight="1" x14ac:dyDescent="0.25">
      <c r="B7" s="9" t="s">
        <v>100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ht="13.25" customHeight="1" x14ac:dyDescent="0.25">
      <c r="B8" s="9" t="s">
        <v>137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ht="13.25" customHeight="1" x14ac:dyDescent="0.25">
      <c r="A10" t="s">
        <v>138</v>
      </c>
      <c r="B10" s="11" t="s">
        <v>139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3.25" customHeight="1" x14ac:dyDescent="0.25">
      <c r="B11" s="11" t="s">
        <v>140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ht="13.25" customHeight="1" x14ac:dyDescent="0.25">
      <c r="A13" s="8" t="s">
        <v>43</v>
      </c>
      <c r="B13" s="11" t="s">
        <v>141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3.25" customHeight="1" x14ac:dyDescent="0.25">
      <c r="B14" s="11" t="s">
        <v>142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vv8NS/XAt3+Vfxxs3zPSvvx1Q3uO9q9WrZ/XRafU3Q5b8TFgogGZjQMGidvlrmgFSaOgYQr1SGBAxwiiQjD4oA==" saltValue="17wmE9KjIo/XBQs5I1b0P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4</v>
      </c>
      <c r="B1" s="4" t="s">
        <v>144</v>
      </c>
    </row>
    <row r="2" spans="1:2" ht="13.25" customHeight="1" x14ac:dyDescent="0.25">
      <c r="A2" s="8" t="s">
        <v>145</v>
      </c>
      <c r="B2" s="41">
        <v>10</v>
      </c>
    </row>
    <row r="3" spans="1:2" ht="13.25" customHeight="1" x14ac:dyDescent="0.25">
      <c r="A3" s="8" t="s">
        <v>150</v>
      </c>
      <c r="B3" s="41">
        <v>10</v>
      </c>
    </row>
    <row r="4" spans="1:2" ht="13.25" customHeight="1" x14ac:dyDescent="0.25">
      <c r="A4" s="8" t="s">
        <v>146</v>
      </c>
      <c r="B4" s="41">
        <v>10</v>
      </c>
    </row>
    <row r="5" spans="1:2" ht="13.25" customHeight="1" x14ac:dyDescent="0.25">
      <c r="A5" s="8" t="s">
        <v>147</v>
      </c>
      <c r="B5" s="41">
        <v>10</v>
      </c>
    </row>
    <row r="6" spans="1:2" ht="13.25" customHeight="1" x14ac:dyDescent="0.25">
      <c r="A6" s="8" t="s">
        <v>148</v>
      </c>
      <c r="B6" s="41">
        <v>10</v>
      </c>
    </row>
    <row r="7" spans="1:2" ht="13.25" customHeight="1" x14ac:dyDescent="0.25">
      <c r="A7" s="8" t="s">
        <v>149</v>
      </c>
      <c r="B7" s="41">
        <v>10</v>
      </c>
    </row>
  </sheetData>
  <sheetProtection algorithmName="SHA-512" hashValue="H47YElO/XpoWeLrKLZDEEQTsYIRZ/92N9Po4oQu5DvmN1/K82qKAPqVs46Un+7WCX268U8ni9NinX9umbxBU2A==" saltValue="SYxsQu3B1zzUuc9J16d37Q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151</v>
      </c>
      <c r="B1" s="36" t="s">
        <v>152</v>
      </c>
      <c r="C1" s="36" t="s">
        <v>153</v>
      </c>
      <c r="D1" s="36" t="s">
        <v>154</v>
      </c>
      <c r="E1" s="36" t="s">
        <v>155</v>
      </c>
    </row>
    <row r="2" spans="1:5" ht="13" customHeight="1" x14ac:dyDescent="0.3">
      <c r="A2" s="34" t="s">
        <v>157</v>
      </c>
      <c r="B2" s="32" t="s">
        <v>100</v>
      </c>
      <c r="C2" s="47"/>
      <c r="D2" s="47"/>
      <c r="E2" s="38" t="str">
        <f>IF(E$7="","",E$7)</f>
        <v/>
      </c>
    </row>
    <row r="3" spans="1:5" ht="13.25" customHeight="1" x14ac:dyDescent="0.25">
      <c r="B3" s="32" t="s">
        <v>109</v>
      </c>
      <c r="C3" s="47"/>
      <c r="D3" s="47" t="s">
        <v>5</v>
      </c>
      <c r="E3" s="38" t="str">
        <f>IF(E$7="","",E$7)</f>
        <v/>
      </c>
    </row>
    <row r="4" spans="1:5" ht="13.25" customHeight="1" x14ac:dyDescent="0.25">
      <c r="B4" s="32" t="s">
        <v>96</v>
      </c>
      <c r="C4" s="47"/>
      <c r="D4" s="47" t="s">
        <v>5</v>
      </c>
      <c r="E4" s="38" t="str">
        <f>IF(E$7="","",E$7)</f>
        <v/>
      </c>
    </row>
    <row r="5" spans="1:5" ht="13.25" customHeight="1" x14ac:dyDescent="0.25">
      <c r="B5" s="32" t="s">
        <v>97</v>
      </c>
      <c r="C5" s="47"/>
      <c r="D5" s="47" t="s">
        <v>5</v>
      </c>
      <c r="E5" s="38" t="str">
        <f>IF(E$7="","",E$7)</f>
        <v/>
      </c>
    </row>
    <row r="6" spans="1:5" ht="13.25" customHeight="1" x14ac:dyDescent="0.25">
      <c r="B6" s="32" t="s">
        <v>98</v>
      </c>
      <c r="C6" s="47"/>
      <c r="D6" s="47" t="s">
        <v>5</v>
      </c>
      <c r="E6" s="38" t="str">
        <f>IF(E$7="","",E$7)</f>
        <v/>
      </c>
    </row>
    <row r="7" spans="1:5" ht="13.25" customHeight="1" x14ac:dyDescent="0.25">
      <c r="B7" s="32" t="s">
        <v>156</v>
      </c>
      <c r="C7" s="31"/>
      <c r="D7" s="30"/>
      <c r="E7" s="47"/>
    </row>
    <row r="9" spans="1:5" ht="13" customHeight="1" x14ac:dyDescent="0.3">
      <c r="A9" s="34" t="s">
        <v>158</v>
      </c>
      <c r="B9" s="32" t="s">
        <v>100</v>
      </c>
      <c r="C9" s="47"/>
      <c r="D9" s="47"/>
      <c r="E9" s="38" t="str">
        <f>IF(E$7="","",E$7)</f>
        <v/>
      </c>
    </row>
    <row r="10" spans="1:5" ht="13.25" customHeight="1" x14ac:dyDescent="0.25">
      <c r="B10" s="32" t="s">
        <v>109</v>
      </c>
      <c r="C10" s="47"/>
      <c r="D10" s="47"/>
      <c r="E10" s="38" t="str">
        <f>IF(E$7="","",E$7)</f>
        <v/>
      </c>
    </row>
    <row r="11" spans="1:5" ht="13.25" customHeight="1" x14ac:dyDescent="0.25">
      <c r="B11" s="32" t="s">
        <v>96</v>
      </c>
      <c r="C11" s="47"/>
      <c r="D11" s="47"/>
      <c r="E11" s="38" t="str">
        <f>IF(E$7="","",E$7)</f>
        <v/>
      </c>
    </row>
    <row r="12" spans="1:5" ht="13.25" customHeight="1" x14ac:dyDescent="0.25">
      <c r="B12" s="32" t="s">
        <v>97</v>
      </c>
      <c r="C12" s="47"/>
      <c r="D12" s="47" t="s">
        <v>5</v>
      </c>
      <c r="E12" s="38" t="str">
        <f>IF(E$7="","",E$7)</f>
        <v/>
      </c>
    </row>
    <row r="13" spans="1:5" ht="13.25" customHeight="1" x14ac:dyDescent="0.25">
      <c r="B13" s="32" t="s">
        <v>98</v>
      </c>
      <c r="C13" s="47"/>
      <c r="D13" s="47" t="s">
        <v>5</v>
      </c>
      <c r="E13" s="38" t="str">
        <f>IF(E$7="","",E$7)</f>
        <v/>
      </c>
    </row>
    <row r="14" spans="1:5" ht="13.25" customHeight="1" x14ac:dyDescent="0.25">
      <c r="B14" s="32" t="s">
        <v>156</v>
      </c>
      <c r="C14" s="31"/>
      <c r="D14" s="30"/>
      <c r="E14" s="47"/>
    </row>
    <row r="16" spans="1:5" ht="13" customHeight="1" x14ac:dyDescent="0.3">
      <c r="A16" s="34" t="s">
        <v>159</v>
      </c>
      <c r="B16" s="32" t="s">
        <v>100</v>
      </c>
      <c r="C16" s="47"/>
      <c r="D16" s="47" t="s">
        <v>5</v>
      </c>
      <c r="E16" s="38" t="str">
        <f>IF(E$7="","",E$7)</f>
        <v/>
      </c>
    </row>
    <row r="17" spans="2:5" ht="13.25" customHeight="1" x14ac:dyDescent="0.25">
      <c r="B17" s="32" t="s">
        <v>109</v>
      </c>
      <c r="C17" s="47"/>
      <c r="D17" s="47" t="s">
        <v>5</v>
      </c>
      <c r="E17" s="38" t="str">
        <f>IF(E$7="","",E$7)</f>
        <v/>
      </c>
    </row>
    <row r="18" spans="2:5" ht="13.25" customHeight="1" x14ac:dyDescent="0.25">
      <c r="B18" s="32" t="s">
        <v>96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97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98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156</v>
      </c>
      <c r="C21" s="31"/>
      <c r="D21" s="30"/>
      <c r="E21" s="47"/>
    </row>
  </sheetData>
  <sheetProtection algorithmName="SHA-512" hashValue="odsGa1c6tWQYOClSC10An5hevKr7dXdNyCiIT6eiZrKCgeesGMJPVFdjwtkUKhGyvsoRFt/u4XYJxbymJMmsoA==" saltValue="2XIH/D31Gp5jnKWqNFsmyA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162</v>
      </c>
      <c r="C1" s="40" t="s">
        <v>6</v>
      </c>
      <c r="D1" s="40" t="s">
        <v>163</v>
      </c>
    </row>
    <row r="2" spans="1:4" ht="13" customHeight="1" x14ac:dyDescent="0.3">
      <c r="A2" s="40" t="s">
        <v>160</v>
      </c>
      <c r="B2" s="32" t="s">
        <v>161</v>
      </c>
      <c r="C2" s="32" t="s">
        <v>165</v>
      </c>
      <c r="D2" s="47"/>
    </row>
    <row r="3" spans="1:4" ht="13" customHeight="1" x14ac:dyDescent="0.3">
      <c r="A3" s="40" t="s">
        <v>164</v>
      </c>
      <c r="B3" s="32" t="s">
        <v>153</v>
      </c>
      <c r="C3" s="32" t="s">
        <v>154</v>
      </c>
      <c r="D3" s="47"/>
    </row>
  </sheetData>
  <sheetProtection algorithmName="SHA-512" hashValue="OZgttj2V9W3nMv5oG6CjAeuZA6jeWzibEMC0X9CAAmGisJskXTyz0qy/piKNfB5Fr7Q53PyLzkXyFEu58e4Cpg==" saltValue="KJWLyXWBSbm6qafxPS0t/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zoomScale="70" zoomScaleNormal="70" workbookViewId="0">
      <selection activeCell="E32" sqref="E32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160</v>
      </c>
      <c r="B1" s="22" t="str">
        <f>"Couverture de l'année de référence ("&amp;start_year&amp;")"</f>
        <v>Couverture de l'année de référence (2024)</v>
      </c>
      <c r="C1" s="22" t="s">
        <v>166</v>
      </c>
      <c r="D1" s="22" t="s">
        <v>202</v>
      </c>
      <c r="E1" s="22" t="s">
        <v>167</v>
      </c>
      <c r="F1" s="22" t="s">
        <v>203</v>
      </c>
      <c r="G1" s="22" t="s">
        <v>204</v>
      </c>
    </row>
    <row r="2" spans="1:7" ht="15.75" customHeight="1" x14ac:dyDescent="0.25">
      <c r="A2" s="5" t="s">
        <v>168</v>
      </c>
      <c r="B2" s="45">
        <v>0</v>
      </c>
      <c r="C2" s="98">
        <v>0.95</v>
      </c>
      <c r="D2" s="56">
        <v>70.181806402202682</v>
      </c>
      <c r="E2" s="56" t="s">
        <v>201</v>
      </c>
      <c r="F2" s="98">
        <v>1</v>
      </c>
      <c r="G2" s="98">
        <v>1</v>
      </c>
    </row>
    <row r="3" spans="1:7" ht="15.75" customHeight="1" x14ac:dyDescent="0.25">
      <c r="A3" s="5" t="s">
        <v>169</v>
      </c>
      <c r="B3" s="45">
        <v>0</v>
      </c>
      <c r="C3" s="98">
        <v>0.95</v>
      </c>
      <c r="D3" s="56">
        <v>40.152511457401388</v>
      </c>
      <c r="E3" s="56" t="s">
        <v>201</v>
      </c>
      <c r="F3" s="98">
        <v>1</v>
      </c>
      <c r="G3" s="98">
        <v>1</v>
      </c>
    </row>
    <row r="4" spans="1:7" ht="15.75" customHeight="1" x14ac:dyDescent="0.25">
      <c r="A4" s="5" t="s">
        <v>170</v>
      </c>
      <c r="B4" s="98">
        <v>0</v>
      </c>
      <c r="C4" s="98">
        <v>0.95</v>
      </c>
      <c r="D4" s="56">
        <v>604.92325779293253</v>
      </c>
      <c r="E4" s="56" t="s">
        <v>201</v>
      </c>
      <c r="F4" s="98">
        <v>1</v>
      </c>
      <c r="G4" s="98">
        <v>1</v>
      </c>
    </row>
    <row r="5" spans="1:7" ht="15.75" customHeight="1" x14ac:dyDescent="0.25">
      <c r="A5" s="5" t="s">
        <v>171</v>
      </c>
      <c r="B5" s="98">
        <v>0</v>
      </c>
      <c r="C5" s="98">
        <v>0.95</v>
      </c>
      <c r="D5" s="56">
        <v>1.53299276305385</v>
      </c>
      <c r="E5" s="56" t="s">
        <v>201</v>
      </c>
      <c r="F5" s="98">
        <v>1</v>
      </c>
      <c r="G5" s="98">
        <v>1</v>
      </c>
    </row>
    <row r="6" spans="1:7" ht="15.75" customHeight="1" x14ac:dyDescent="0.25">
      <c r="A6" s="5" t="s">
        <v>172</v>
      </c>
      <c r="B6" s="98">
        <v>0</v>
      </c>
      <c r="C6" s="98">
        <v>0.95</v>
      </c>
      <c r="D6" s="56">
        <v>99.99</v>
      </c>
      <c r="E6" s="56" t="s">
        <v>201</v>
      </c>
      <c r="F6" s="98">
        <v>1</v>
      </c>
      <c r="G6" s="98">
        <v>1</v>
      </c>
    </row>
    <row r="7" spans="1:7" ht="15.75" customHeight="1" x14ac:dyDescent="0.25">
      <c r="A7" s="5" t="s">
        <v>173</v>
      </c>
      <c r="B7" s="98">
        <v>0</v>
      </c>
      <c r="C7" s="98">
        <v>0.95</v>
      </c>
      <c r="D7" s="56">
        <v>99.99</v>
      </c>
      <c r="E7" s="56" t="s">
        <v>201</v>
      </c>
      <c r="F7" s="98">
        <v>1</v>
      </c>
      <c r="G7" s="98">
        <v>1</v>
      </c>
    </row>
    <row r="8" spans="1:7" ht="15.75" customHeight="1" x14ac:dyDescent="0.25">
      <c r="A8" s="5" t="s">
        <v>174</v>
      </c>
      <c r="B8" s="98">
        <v>0</v>
      </c>
      <c r="C8" s="98">
        <v>0.95</v>
      </c>
      <c r="D8" s="56">
        <v>99.99</v>
      </c>
      <c r="E8" s="56" t="s">
        <v>201</v>
      </c>
      <c r="F8" s="98">
        <v>1</v>
      </c>
      <c r="G8" s="98">
        <v>1</v>
      </c>
    </row>
    <row r="9" spans="1:7" ht="15.75" customHeight="1" x14ac:dyDescent="0.25">
      <c r="A9" s="5" t="s">
        <v>175</v>
      </c>
      <c r="B9" s="98">
        <v>0</v>
      </c>
      <c r="C9" s="98">
        <v>0.95</v>
      </c>
      <c r="D9" s="56">
        <v>99.99</v>
      </c>
      <c r="E9" s="56" t="s">
        <v>201</v>
      </c>
      <c r="F9" s="98">
        <v>1</v>
      </c>
      <c r="G9" s="98">
        <v>1</v>
      </c>
    </row>
    <row r="10" spans="1:7" ht="15.75" customHeight="1" x14ac:dyDescent="0.25">
      <c r="A10" s="11" t="s">
        <v>176</v>
      </c>
      <c r="B10" s="45">
        <v>0.67937290000000006</v>
      </c>
      <c r="C10" s="98">
        <v>0.95</v>
      </c>
      <c r="D10" s="56">
        <v>13.2848109011973</v>
      </c>
      <c r="E10" s="56" t="s">
        <v>201</v>
      </c>
      <c r="F10" s="98">
        <v>1</v>
      </c>
      <c r="G10" s="98">
        <v>1</v>
      </c>
    </row>
    <row r="11" spans="1:7" ht="15.75" customHeight="1" x14ac:dyDescent="0.25">
      <c r="A11" s="11" t="s">
        <v>177</v>
      </c>
      <c r="B11" s="98">
        <v>0</v>
      </c>
      <c r="C11" s="98">
        <v>0.95</v>
      </c>
      <c r="D11" s="56">
        <v>13.2848109011973</v>
      </c>
      <c r="E11" s="56" t="s">
        <v>201</v>
      </c>
      <c r="F11" s="98">
        <v>1</v>
      </c>
      <c r="G11" s="98">
        <v>1</v>
      </c>
    </row>
    <row r="12" spans="1:7" ht="15.75" customHeight="1" x14ac:dyDescent="0.25">
      <c r="A12" s="11" t="s">
        <v>178</v>
      </c>
      <c r="B12" s="98">
        <v>0</v>
      </c>
      <c r="C12" s="98">
        <v>0.95</v>
      </c>
      <c r="D12" s="56">
        <v>13.2848109011973</v>
      </c>
      <c r="E12" s="56" t="s">
        <v>201</v>
      </c>
      <c r="F12" s="98">
        <v>1</v>
      </c>
      <c r="G12" s="98">
        <v>1</v>
      </c>
    </row>
    <row r="13" spans="1:7" ht="15.75" customHeight="1" x14ac:dyDescent="0.25">
      <c r="A13" s="11" t="s">
        <v>179</v>
      </c>
      <c r="B13" s="98">
        <v>0</v>
      </c>
      <c r="C13" s="98">
        <v>0.95</v>
      </c>
      <c r="D13" s="56">
        <v>13.2848109011973</v>
      </c>
      <c r="E13" s="56" t="s">
        <v>201</v>
      </c>
      <c r="F13" s="98">
        <v>1</v>
      </c>
      <c r="G13" s="98">
        <v>1</v>
      </c>
    </row>
    <row r="14" spans="1:7" ht="15.75" customHeight="1" x14ac:dyDescent="0.25">
      <c r="A14" s="5" t="s">
        <v>180</v>
      </c>
      <c r="B14" s="45">
        <v>0.67937290000000006</v>
      </c>
      <c r="C14" s="98">
        <v>0.95</v>
      </c>
      <c r="D14" s="56">
        <v>13.2848109011973</v>
      </c>
      <c r="E14" s="56" t="s">
        <v>201</v>
      </c>
      <c r="F14" s="98">
        <v>1</v>
      </c>
      <c r="G14" s="98">
        <v>1</v>
      </c>
    </row>
    <row r="15" spans="1:7" ht="15.75" customHeight="1" x14ac:dyDescent="0.25">
      <c r="A15" s="5" t="s">
        <v>181</v>
      </c>
      <c r="B15" s="98">
        <v>0</v>
      </c>
      <c r="C15" s="98">
        <v>0.95</v>
      </c>
      <c r="D15" s="56">
        <v>13.2848109011973</v>
      </c>
      <c r="E15" s="56" t="s">
        <v>201</v>
      </c>
      <c r="F15" s="98">
        <v>1</v>
      </c>
      <c r="G15" s="98">
        <v>1</v>
      </c>
    </row>
    <row r="16" spans="1:7" ht="15.75" customHeight="1" x14ac:dyDescent="0.25">
      <c r="A16" s="5" t="s">
        <v>182</v>
      </c>
      <c r="B16" s="45">
        <v>0</v>
      </c>
      <c r="C16" s="98">
        <v>0.95</v>
      </c>
      <c r="D16" s="56">
        <v>0.99157670109264429</v>
      </c>
      <c r="E16" s="56" t="s">
        <v>201</v>
      </c>
      <c r="F16" s="98">
        <v>1</v>
      </c>
      <c r="G16" s="98">
        <v>1</v>
      </c>
    </row>
    <row r="17" spans="1:7" ht="15.75" customHeight="1" x14ac:dyDescent="0.25">
      <c r="A17" s="5" t="s">
        <v>183</v>
      </c>
      <c r="B17" s="98">
        <v>5.1057523E-2</v>
      </c>
      <c r="C17" s="98">
        <v>0.95</v>
      </c>
      <c r="D17" s="56">
        <v>0.1369044839662158</v>
      </c>
      <c r="E17" s="56" t="s">
        <v>201</v>
      </c>
      <c r="F17" s="98">
        <v>1</v>
      </c>
      <c r="G17" s="98">
        <v>1</v>
      </c>
    </row>
    <row r="18" spans="1:7" ht="15.9" customHeight="1" x14ac:dyDescent="0.25">
      <c r="A18" s="5" t="s">
        <v>157</v>
      </c>
      <c r="B18" s="98">
        <v>0.62137850000000006</v>
      </c>
      <c r="C18" s="98">
        <v>0.95</v>
      </c>
      <c r="D18" s="56">
        <v>13.888305673904391</v>
      </c>
      <c r="E18" s="56" t="s">
        <v>201</v>
      </c>
      <c r="F18" s="98">
        <v>1</v>
      </c>
      <c r="G18" s="98">
        <v>1</v>
      </c>
    </row>
    <row r="19" spans="1:7" ht="15.75" customHeight="1" x14ac:dyDescent="0.25">
      <c r="A19" s="5" t="s">
        <v>158</v>
      </c>
      <c r="B19" s="98">
        <v>0.62137850000000006</v>
      </c>
      <c r="C19" s="98">
        <v>0.95</v>
      </c>
      <c r="D19" s="56">
        <v>13.888305673904391</v>
      </c>
      <c r="E19" s="56" t="s">
        <v>201</v>
      </c>
      <c r="F19" s="98">
        <v>1</v>
      </c>
      <c r="G19" s="98">
        <v>1</v>
      </c>
    </row>
    <row r="20" spans="1:7" ht="15.75" customHeight="1" x14ac:dyDescent="0.25">
      <c r="A20" s="5" t="s">
        <v>159</v>
      </c>
      <c r="B20" s="98">
        <v>0</v>
      </c>
      <c r="C20" s="98">
        <v>0.95</v>
      </c>
      <c r="D20" s="56">
        <v>99.99</v>
      </c>
      <c r="E20" s="56" t="s">
        <v>201</v>
      </c>
      <c r="F20" s="98">
        <v>1</v>
      </c>
      <c r="G20" s="98">
        <v>1</v>
      </c>
    </row>
    <row r="21" spans="1:7" ht="15.75" customHeight="1" x14ac:dyDescent="0.25">
      <c r="A21" s="5" t="s">
        <v>184</v>
      </c>
      <c r="B21" s="45">
        <v>0</v>
      </c>
      <c r="C21" s="98">
        <v>0.95</v>
      </c>
      <c r="D21" s="56">
        <v>18.808752269215748</v>
      </c>
      <c r="E21" s="56" t="s">
        <v>201</v>
      </c>
      <c r="F21" s="98">
        <v>1</v>
      </c>
      <c r="G21" s="98">
        <v>1</v>
      </c>
    </row>
    <row r="22" spans="1:7" ht="15.75" customHeight="1" x14ac:dyDescent="0.25">
      <c r="A22" s="5" t="s">
        <v>185</v>
      </c>
      <c r="B22" s="98">
        <v>0</v>
      </c>
      <c r="C22" s="98">
        <v>0.95</v>
      </c>
      <c r="D22" s="56">
        <v>23.06828735815467</v>
      </c>
      <c r="E22" s="56" t="s">
        <v>201</v>
      </c>
      <c r="F22" s="98">
        <v>1</v>
      </c>
      <c r="G22" s="98">
        <v>1</v>
      </c>
    </row>
    <row r="23" spans="1:7" ht="15.75" customHeight="1" x14ac:dyDescent="0.25">
      <c r="A23" s="5" t="s">
        <v>186</v>
      </c>
      <c r="B23" s="98">
        <v>0</v>
      </c>
      <c r="C23" s="98">
        <v>0.95</v>
      </c>
      <c r="D23" s="56">
        <v>4.4497323231020474</v>
      </c>
      <c r="E23" s="56" t="s">
        <v>201</v>
      </c>
      <c r="F23" s="98">
        <v>1</v>
      </c>
      <c r="G23" s="98">
        <v>1</v>
      </c>
    </row>
    <row r="24" spans="1:7" ht="15.75" customHeight="1" x14ac:dyDescent="0.25">
      <c r="A24" s="5" t="s">
        <v>187</v>
      </c>
      <c r="B24" s="45">
        <v>0.65966240376217999</v>
      </c>
      <c r="C24" s="98">
        <v>0.95</v>
      </c>
      <c r="D24" s="56">
        <v>99.99</v>
      </c>
      <c r="E24" s="56" t="s">
        <v>201</v>
      </c>
      <c r="F24" s="98">
        <v>1</v>
      </c>
      <c r="G24" s="98">
        <v>1</v>
      </c>
    </row>
    <row r="25" spans="1:7" ht="15.75" customHeight="1" x14ac:dyDescent="0.25">
      <c r="A25" s="5" t="s">
        <v>188</v>
      </c>
      <c r="B25" s="98">
        <v>0</v>
      </c>
      <c r="C25" s="98">
        <v>0.95</v>
      </c>
      <c r="D25" s="56">
        <v>99.99</v>
      </c>
      <c r="E25" s="56" t="s">
        <v>201</v>
      </c>
      <c r="F25" s="98">
        <v>1</v>
      </c>
      <c r="G25" s="98">
        <v>1</v>
      </c>
    </row>
    <row r="26" spans="1:7" ht="15.75" customHeight="1" x14ac:dyDescent="0.25">
      <c r="A26" s="5" t="s">
        <v>189</v>
      </c>
      <c r="B26" s="45">
        <v>0.67937290000000006</v>
      </c>
      <c r="C26" s="98">
        <v>0.95</v>
      </c>
      <c r="D26" s="56">
        <v>99.99</v>
      </c>
      <c r="E26" s="56" t="s">
        <v>201</v>
      </c>
      <c r="F26" s="98">
        <v>1</v>
      </c>
      <c r="G26" s="98">
        <v>1</v>
      </c>
    </row>
    <row r="27" spans="1:7" ht="15.75" customHeight="1" x14ac:dyDescent="0.25">
      <c r="A27" s="5" t="s">
        <v>190</v>
      </c>
      <c r="B27" s="45">
        <v>0</v>
      </c>
      <c r="C27" s="98">
        <v>0.95</v>
      </c>
      <c r="D27" s="56">
        <v>18.846234054877879</v>
      </c>
      <c r="E27" s="56" t="s">
        <v>201</v>
      </c>
      <c r="F27" s="98">
        <v>1</v>
      </c>
      <c r="G27" s="98">
        <v>1</v>
      </c>
    </row>
    <row r="28" spans="1:7" ht="15.75" customHeight="1" x14ac:dyDescent="0.25">
      <c r="A28" s="5" t="s">
        <v>191</v>
      </c>
      <c r="B28" s="45">
        <v>0.316662</v>
      </c>
      <c r="C28" s="98">
        <v>0.95</v>
      </c>
      <c r="D28" s="56">
        <v>99.99</v>
      </c>
      <c r="E28" s="56" t="s">
        <v>201</v>
      </c>
      <c r="F28" s="98">
        <v>1</v>
      </c>
      <c r="G28" s="98">
        <v>1</v>
      </c>
    </row>
    <row r="29" spans="1:7" ht="15.75" customHeight="1" x14ac:dyDescent="0.25">
      <c r="A29" s="5" t="s">
        <v>192</v>
      </c>
      <c r="B29" s="45">
        <v>0.84173100000000001</v>
      </c>
      <c r="C29" s="98">
        <v>0.95</v>
      </c>
      <c r="D29" s="56">
        <v>141.38404679872559</v>
      </c>
      <c r="E29" s="56" t="s">
        <v>201</v>
      </c>
      <c r="F29" s="98">
        <v>1</v>
      </c>
      <c r="G29" s="98">
        <v>1</v>
      </c>
    </row>
    <row r="30" spans="1:7" ht="15.75" customHeight="1" x14ac:dyDescent="0.25">
      <c r="A30" s="5" t="s">
        <v>205</v>
      </c>
      <c r="B30" s="98">
        <v>0</v>
      </c>
      <c r="C30" s="98">
        <v>0.95</v>
      </c>
      <c r="D30" s="56">
        <v>99</v>
      </c>
      <c r="E30" s="56" t="s">
        <v>201</v>
      </c>
      <c r="F30" s="98">
        <v>1</v>
      </c>
      <c r="G30" s="98">
        <v>1</v>
      </c>
    </row>
    <row r="31" spans="1:7" ht="15.75" customHeight="1" x14ac:dyDescent="0.25">
      <c r="A31" s="5" t="s">
        <v>161</v>
      </c>
      <c r="B31" s="45">
        <v>0</v>
      </c>
      <c r="C31" s="98">
        <v>0.95</v>
      </c>
      <c r="D31" s="56">
        <v>0.1134191936683344</v>
      </c>
      <c r="E31" s="56" t="s">
        <v>201</v>
      </c>
      <c r="F31" s="98">
        <v>1</v>
      </c>
      <c r="G31" s="98">
        <v>1</v>
      </c>
    </row>
    <row r="32" spans="1:7" ht="15.75" customHeight="1" x14ac:dyDescent="0.25">
      <c r="A32" s="5" t="s">
        <v>193</v>
      </c>
      <c r="B32" s="45">
        <v>4.4999999999999998E-2</v>
      </c>
      <c r="C32" s="98">
        <v>0.95</v>
      </c>
      <c r="D32" s="56">
        <v>2.157105321486398</v>
      </c>
      <c r="E32" s="56" t="s">
        <v>201</v>
      </c>
      <c r="F32" s="98">
        <v>1</v>
      </c>
      <c r="G32" s="98">
        <v>1</v>
      </c>
    </row>
    <row r="33" spans="1:7" ht="15.75" customHeight="1" x14ac:dyDescent="0.25">
      <c r="A33" s="5" t="s">
        <v>194</v>
      </c>
      <c r="B33" s="45">
        <v>0.14000000000000001</v>
      </c>
      <c r="C33" s="98">
        <v>0.95</v>
      </c>
      <c r="D33" s="56">
        <v>99.99</v>
      </c>
      <c r="E33" s="56" t="s">
        <v>201</v>
      </c>
      <c r="F33" s="98">
        <v>1</v>
      </c>
      <c r="G33" s="98">
        <v>1</v>
      </c>
    </row>
    <row r="34" spans="1:7" ht="15.75" customHeight="1" x14ac:dyDescent="0.25">
      <c r="A34" s="5" t="s">
        <v>195</v>
      </c>
      <c r="B34" s="45">
        <v>0.115588</v>
      </c>
      <c r="C34" s="98">
        <v>0.95</v>
      </c>
      <c r="D34" s="56">
        <v>99.99</v>
      </c>
      <c r="E34" s="56" t="s">
        <v>201</v>
      </c>
      <c r="F34" s="98">
        <v>1</v>
      </c>
      <c r="G34" s="98">
        <v>1</v>
      </c>
    </row>
    <row r="35" spans="1:7" ht="15.75" customHeight="1" x14ac:dyDescent="0.25">
      <c r="A35" s="5" t="s">
        <v>196</v>
      </c>
      <c r="B35" s="98">
        <v>0</v>
      </c>
      <c r="C35" s="98">
        <v>0.95</v>
      </c>
      <c r="D35" s="56">
        <v>99.99</v>
      </c>
      <c r="E35" s="56" t="s">
        <v>201</v>
      </c>
      <c r="F35" s="98">
        <v>1</v>
      </c>
      <c r="G35" s="98">
        <v>1</v>
      </c>
    </row>
    <row r="36" spans="1:7" ht="15.75" customHeight="1" x14ac:dyDescent="0.25">
      <c r="A36" s="5" t="s">
        <v>197</v>
      </c>
      <c r="B36" s="45">
        <v>1.14398E-2</v>
      </c>
      <c r="C36" s="98">
        <v>0.95</v>
      </c>
      <c r="D36" s="56">
        <v>99.99</v>
      </c>
      <c r="E36" s="56" t="s">
        <v>201</v>
      </c>
      <c r="F36" s="98">
        <v>1</v>
      </c>
      <c r="G36" s="98">
        <v>1</v>
      </c>
    </row>
    <row r="37" spans="1:7" ht="15.75" customHeight="1" x14ac:dyDescent="0.25">
      <c r="A37" s="5" t="s">
        <v>198</v>
      </c>
      <c r="B37" s="45">
        <v>0.91945449999999995</v>
      </c>
      <c r="C37" s="98">
        <v>0.95</v>
      </c>
      <c r="D37" s="56">
        <v>99.99</v>
      </c>
      <c r="E37" s="56" t="s">
        <v>201</v>
      </c>
      <c r="F37" s="98">
        <v>1</v>
      </c>
      <c r="G37" s="98">
        <v>1</v>
      </c>
    </row>
    <row r="38" spans="1:7" ht="15.75" customHeight="1" x14ac:dyDescent="0.25">
      <c r="A38" s="5" t="s">
        <v>199</v>
      </c>
      <c r="B38" s="45">
        <v>1.05979E-2</v>
      </c>
      <c r="C38" s="98">
        <v>0.95</v>
      </c>
      <c r="D38" s="56">
        <v>4.5674280063597514</v>
      </c>
      <c r="E38" s="56" t="s">
        <v>201</v>
      </c>
      <c r="F38" s="98">
        <v>1</v>
      </c>
      <c r="G38" s="98">
        <v>1</v>
      </c>
    </row>
    <row r="39" spans="1:7" ht="15.75" customHeight="1" x14ac:dyDescent="0.25">
      <c r="A39" s="5" t="s">
        <v>200</v>
      </c>
      <c r="B39" s="45">
        <v>0</v>
      </c>
      <c r="C39" s="98">
        <v>0.95</v>
      </c>
      <c r="D39" s="56">
        <v>99.99</v>
      </c>
      <c r="E39" s="56" t="s">
        <v>201</v>
      </c>
      <c r="F39" s="98">
        <v>1</v>
      </c>
      <c r="G39" s="98">
        <v>1</v>
      </c>
    </row>
  </sheetData>
  <sheetProtection algorithmName="SHA-512" hashValue="PF11D4WbWDZrZCD9/qJA5tBZUFfqgsDBWnVYRRqXwyaec7T003YsCskwZ6wo3FI/9QnC7lGj/Xipdn0W/GGJsg==" saltValue="dAwS41ZbmPDoCm7mZBFjc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7" sqref="B7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160</v>
      </c>
      <c r="B1" s="4" t="s">
        <v>206</v>
      </c>
      <c r="C1" s="4" t="s">
        <v>207</v>
      </c>
    </row>
    <row r="2" spans="1:3" ht="13.25" customHeight="1" x14ac:dyDescent="0.25">
      <c r="A2" s="57" t="s">
        <v>180</v>
      </c>
      <c r="B2" s="47" t="s">
        <v>190</v>
      </c>
      <c r="C2" s="47"/>
    </row>
    <row r="3" spans="1:3" ht="13.25" customHeight="1" x14ac:dyDescent="0.25">
      <c r="A3" s="57" t="s">
        <v>181</v>
      </c>
      <c r="B3" s="47" t="s">
        <v>190</v>
      </c>
      <c r="C3" s="47"/>
    </row>
    <row r="4" spans="1:3" ht="13.25" customHeight="1" x14ac:dyDescent="0.25">
      <c r="A4" s="57" t="s">
        <v>192</v>
      </c>
      <c r="B4" s="47" t="s">
        <v>185</v>
      </c>
      <c r="C4" s="47"/>
    </row>
    <row r="5" spans="1:3" ht="13.25" customHeight="1" x14ac:dyDescent="0.25">
      <c r="A5" s="57" t="s">
        <v>189</v>
      </c>
      <c r="B5" s="47" t="s">
        <v>185</v>
      </c>
      <c r="C5" s="47"/>
    </row>
    <row r="6" spans="1:3" ht="13.25" customHeight="1" x14ac:dyDescent="0.25">
      <c r="A6" s="57" t="s">
        <v>192</v>
      </c>
      <c r="B6" s="58" t="s">
        <v>205</v>
      </c>
      <c r="C6" s="58"/>
    </row>
    <row r="7" spans="1:3" ht="13.25" customHeight="1" x14ac:dyDescent="0.25">
      <c r="A7" s="57" t="s">
        <v>189</v>
      </c>
      <c r="B7" s="58" t="s">
        <v>205</v>
      </c>
      <c r="C7" s="58"/>
    </row>
    <row r="8" spans="1:3" ht="13.25" customHeight="1" x14ac:dyDescent="0.25">
      <c r="A8" s="57" t="s">
        <v>200</v>
      </c>
      <c r="B8" s="58" t="s">
        <v>205</v>
      </c>
      <c r="C8" s="58"/>
    </row>
    <row r="9" spans="1:3" ht="13.25" customHeight="1" x14ac:dyDescent="0.25">
      <c r="A9" s="57"/>
      <c r="B9" s="58"/>
      <c r="C9" s="58"/>
    </row>
    <row r="10" spans="1:3" ht="13.25" customHeight="1" x14ac:dyDescent="0.25">
      <c r="A10" s="57"/>
      <c r="B10" s="58"/>
      <c r="C10" s="58"/>
    </row>
    <row r="11" spans="1:3" ht="13.25" customHeight="1" x14ac:dyDescent="0.25">
      <c r="A11" s="59"/>
      <c r="B11" s="58"/>
      <c r="C11" s="58"/>
    </row>
    <row r="12" spans="1:3" ht="13.25" customHeight="1" x14ac:dyDescent="0.25">
      <c r="A12" s="59"/>
      <c r="B12" s="58"/>
      <c r="C12" s="58"/>
    </row>
    <row r="13" spans="1:3" ht="13.25" customHeight="1" x14ac:dyDescent="0.25">
      <c r="A13" s="59"/>
      <c r="B13" s="58"/>
      <c r="C13" s="58"/>
    </row>
    <row r="14" spans="1:3" ht="13.25" customHeight="1" x14ac:dyDescent="0.25">
      <c r="A14" s="59"/>
      <c r="B14" s="58"/>
      <c r="C14" s="58"/>
    </row>
    <row r="15" spans="1:3" ht="13.25" customHeight="1" x14ac:dyDescent="0.25">
      <c r="A15" s="59"/>
      <c r="B15" s="58"/>
      <c r="C15" s="58"/>
    </row>
    <row r="16" spans="1:3" ht="13.25" customHeight="1" x14ac:dyDescent="0.25">
      <c r="A16" s="59"/>
      <c r="B16" s="58"/>
      <c r="C16" s="58"/>
    </row>
    <row r="17" spans="1:3" ht="13.25" customHeight="1" x14ac:dyDescent="0.25">
      <c r="A17" s="59"/>
      <c r="B17" s="58"/>
      <c r="C17" s="58"/>
    </row>
    <row r="18" spans="1:3" ht="13.25" customHeight="1" x14ac:dyDescent="0.25">
      <c r="A18" s="59"/>
      <c r="B18" s="58"/>
      <c r="C18" s="58"/>
    </row>
    <row r="19" spans="1:3" ht="13.25" customHeight="1" x14ac:dyDescent="0.25">
      <c r="A19" s="57"/>
      <c r="B19" s="58"/>
      <c r="C19" s="58"/>
    </row>
    <row r="20" spans="1:3" ht="13.25" customHeight="1" x14ac:dyDescent="0.25">
      <c r="A20" s="57"/>
      <c r="B20" s="58"/>
      <c r="C20" s="58"/>
    </row>
  </sheetData>
  <sheetProtection algorithmName="SHA-512" hashValue="aQjw0K2xFfI4qYl8AP7xMt/paWiAkd3cIFQO6gb+NQ6YRM0NSVZIpsLESygtjFgiGJ6KXitj2O7RwYxsCNMkwA==" saltValue="ma0YOJKXDl0Rj1aVdNwtH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8" sqref="A8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160</v>
      </c>
    </row>
    <row r="2" spans="1:1" ht="13.25" customHeight="1" x14ac:dyDescent="0.25">
      <c r="A2" s="33" t="s">
        <v>172</v>
      </c>
    </row>
    <row r="3" spans="1:1" ht="13.25" customHeight="1" x14ac:dyDescent="0.25">
      <c r="A3" s="33" t="s">
        <v>182</v>
      </c>
    </row>
    <row r="4" spans="1:1" ht="13.25" customHeight="1" x14ac:dyDescent="0.25">
      <c r="A4" s="33" t="s">
        <v>186</v>
      </c>
    </row>
    <row r="5" spans="1:1" ht="13.25" customHeight="1" x14ac:dyDescent="0.25">
      <c r="A5" s="33" t="s">
        <v>194</v>
      </c>
    </row>
    <row r="6" spans="1:1" ht="13.25" customHeight="1" x14ac:dyDescent="0.25">
      <c r="A6" s="33" t="s">
        <v>195</v>
      </c>
    </row>
    <row r="7" spans="1:1" ht="13.25" customHeight="1" x14ac:dyDescent="0.25">
      <c r="A7" s="33" t="s">
        <v>196</v>
      </c>
    </row>
    <row r="8" spans="1:1" ht="13.25" customHeight="1" x14ac:dyDescent="0.25">
      <c r="A8" s="33" t="s">
        <v>197</v>
      </c>
    </row>
    <row r="9" spans="1:1" ht="13.25" customHeight="1" x14ac:dyDescent="0.25">
      <c r="A9" s="33" t="s">
        <v>198</v>
      </c>
    </row>
    <row r="10" spans="1:1" ht="13.25" customHeight="1" x14ac:dyDescent="0.25">
      <c r="A10" s="33" t="s">
        <v>161</v>
      </c>
    </row>
    <row r="11" spans="1:1" ht="13.25" customHeight="1" x14ac:dyDescent="0.25">
      <c r="A11" s="33"/>
    </row>
    <row r="12" spans="1:1" ht="13.25" customHeight="1" x14ac:dyDescent="0.25">
      <c r="A12" s="33"/>
    </row>
    <row r="13" spans="1:1" ht="13.25" customHeight="1" x14ac:dyDescent="0.25">
      <c r="A13" s="33"/>
    </row>
    <row r="14" spans="1:1" ht="13.25" customHeight="1" x14ac:dyDescent="0.25">
      <c r="A14" s="33"/>
    </row>
    <row r="15" spans="1:1" ht="13.25" customHeight="1" x14ac:dyDescent="0.25">
      <c r="A15" s="33"/>
    </row>
    <row r="16" spans="1:1" ht="13.25" customHeight="1" x14ac:dyDescent="0.25">
      <c r="A16" s="33"/>
    </row>
    <row r="17" spans="1:1" ht="13.25" customHeight="1" x14ac:dyDescent="0.25">
      <c r="A17" s="33"/>
    </row>
    <row r="18" spans="1:1" ht="13.25" customHeight="1" x14ac:dyDescent="0.25">
      <c r="A18" s="33"/>
    </row>
    <row r="19" spans="1:1" ht="13.25" customHeight="1" x14ac:dyDescent="0.25">
      <c r="A19" s="33"/>
    </row>
  </sheetData>
  <sheetProtection algorithmName="SHA-512" hashValue="5ThcCKftBhc1Uc7MJU3mnQMOYPdC/wuypXbMj+/+4BB6WXN6yxN5nXP/yTM9IRjWile5faSyFWwAJY/naoEMTw==" saltValue="jZS5RhJNjD8GvHt6d/Y2Fg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zoomScale="70" zoomScaleNormal="70" workbookViewId="0">
      <selection activeCell="B3" sqref="B3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7</v>
      </c>
      <c r="B1" t="s">
        <v>109</v>
      </c>
      <c r="C1" t="s">
        <v>96</v>
      </c>
      <c r="D1" t="s">
        <v>97</v>
      </c>
      <c r="E1" t="s">
        <v>98</v>
      </c>
      <c r="F1" t="s">
        <v>99</v>
      </c>
    </row>
    <row r="2" spans="1:6" ht="15.75" customHeight="1" x14ac:dyDescent="0.25">
      <c r="A2" s="3" t="s">
        <v>87</v>
      </c>
      <c r="B2" s="21">
        <f>'Données pop de l''année de ref'!C51</f>
        <v>3.2</v>
      </c>
      <c r="C2" s="21">
        <f>'Données pop de l''année de ref'!C52</f>
        <v>3.2</v>
      </c>
      <c r="D2" s="21">
        <f>'Données pop de l''année de ref'!C53</f>
        <v>3.2</v>
      </c>
      <c r="E2" s="21">
        <f>'Données pop de l''année de ref'!C54</f>
        <v>3.2</v>
      </c>
      <c r="F2" s="21">
        <f>'Données pop de l''année de ref'!C55</f>
        <v>3.2</v>
      </c>
    </row>
    <row r="3" spans="1:6" ht="15.75" customHeight="1" x14ac:dyDescent="0.25">
      <c r="A3" s="3" t="s">
        <v>209</v>
      </c>
      <c r="B3" s="21">
        <f>frac_mam_1month * 2.6</f>
        <v>1.249508E-2</v>
      </c>
      <c r="C3" s="21">
        <f>frac_mam_1_5months * 2.6</f>
        <v>1.249508E-2</v>
      </c>
      <c r="D3" s="21">
        <f>frac_mam_6_11months * 2.6</f>
        <v>6.6627600000000002E-3</v>
      </c>
      <c r="E3" s="21">
        <f>frac_mam_12_23months * 2.6</f>
        <v>7.6819599999999998E-3</v>
      </c>
      <c r="F3" s="21">
        <f>frac_mam_24_59months * 2.6</f>
        <v>7.3192600000000002E-3</v>
      </c>
    </row>
    <row r="4" spans="1:6" ht="15.75" customHeight="1" x14ac:dyDescent="0.25">
      <c r="A4" s="3" t="s">
        <v>208</v>
      </c>
      <c r="B4" s="21">
        <f>frac_sam_1month * 2.6</f>
        <v>1.472094E-2</v>
      </c>
      <c r="C4" s="21">
        <f>frac_sam_1_5months * 2.6</f>
        <v>1.472094E-2</v>
      </c>
      <c r="D4" s="21">
        <f>frac_sam_6_11months * 2.6</f>
        <v>6.8606199999999996E-3</v>
      </c>
      <c r="E4" s="21">
        <f>frac_sam_12_23months * 2.6</f>
        <v>3.2500000000000003E-3</v>
      </c>
      <c r="F4" s="21">
        <f>frac_sam_24_59months * 2.6</f>
        <v>4.9634000000000006E-4</v>
      </c>
    </row>
  </sheetData>
  <sheetProtection algorithmName="SHA-512" hashValue="OhGzX0gY6/SPZgyiWBcvWJb7sHTL6tykaaf8+dJ0buBxV5R+oMMVKP0TfaHyUiabtmJYou/ThOilUCh7WIx2rg==" saltValue="J0Jy0DEtGhGYc3wcdRMwpA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">
      <c r="A2" s="4" t="s">
        <v>86</v>
      </c>
      <c r="B2" s="5" t="s">
        <v>170</v>
      </c>
      <c r="C2" s="60">
        <v>0</v>
      </c>
      <c r="D2" s="60">
        <f>food_insecure</f>
        <v>2.5999999999999999E-2</v>
      </c>
      <c r="E2" s="60">
        <f>food_insecure</f>
        <v>2.5999999999999999E-2</v>
      </c>
      <c r="F2" s="60">
        <f>food_insecure</f>
        <v>2.5999999999999999E-2</v>
      </c>
      <c r="G2" s="60">
        <f>food_insecure</f>
        <v>2.5999999999999999E-2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171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184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185</v>
      </c>
      <c r="C5" s="60">
        <v>0</v>
      </c>
      <c r="D5" s="60">
        <v>0</v>
      </c>
      <c r="E5" s="60">
        <f>food_insecure</f>
        <v>2.5999999999999999E-2</v>
      </c>
      <c r="F5" s="60">
        <f>food_insecure</f>
        <v>2.5999999999999999E-2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189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191</v>
      </c>
      <c r="C7" s="60">
        <f>diarrhoea_1mo*frac_diarrhea_severe</f>
        <v>6.2E-2</v>
      </c>
      <c r="D7" s="60">
        <f>diarrhoea_1_5mo*frac_diarrhea_severe</f>
        <v>6.2E-2</v>
      </c>
      <c r="E7" s="60">
        <f>diarrhoea_6_11mo*frac_diarrhea_severe</f>
        <v>6.2E-2</v>
      </c>
      <c r="F7" s="60">
        <f>diarrhoea_12_23mo*frac_diarrhea_severe</f>
        <v>6.2E-2</v>
      </c>
      <c r="G7" s="60">
        <f>diarrhoea_24_59mo*frac_diarrhea_severe</f>
        <v>6.2E-2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192</v>
      </c>
      <c r="C8" s="60">
        <v>0</v>
      </c>
      <c r="D8" s="60">
        <v>0</v>
      </c>
      <c r="E8" s="60">
        <f>food_insecure</f>
        <v>2.5999999999999999E-2</v>
      </c>
      <c r="F8" s="60">
        <f>food_insecure</f>
        <v>2.5999999999999999E-2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205</v>
      </c>
      <c r="C9" s="60">
        <v>0</v>
      </c>
      <c r="D9" s="60">
        <v>0</v>
      </c>
      <c r="E9" s="60">
        <f>food_insecure</f>
        <v>2.5999999999999999E-2</v>
      </c>
      <c r="F9" s="60">
        <f>food_insecure</f>
        <v>2.5999999999999999E-2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161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193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199</v>
      </c>
      <c r="C12" s="60">
        <f>diarrhoea_1mo*frac_diarrhea_severe</f>
        <v>6.2E-2</v>
      </c>
      <c r="D12" s="60">
        <f>diarrhoea_1_5mo*frac_diarrhea_severe</f>
        <v>6.2E-2</v>
      </c>
      <c r="E12" s="60">
        <f>diarrhoea_6_11mo*frac_diarrhea_severe</f>
        <v>6.2E-2</v>
      </c>
      <c r="F12" s="60">
        <f>diarrhoea_12_23mo*frac_diarrhea_severe</f>
        <v>6.2E-2</v>
      </c>
      <c r="G12" s="60">
        <f>diarrhoea_24_59mo*frac_diarrhea_severe</f>
        <v>6.2E-2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200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100</v>
      </c>
      <c r="B15" s="9" t="s">
        <v>168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2.5999999999999999E-2</v>
      </c>
      <c r="I15" s="60">
        <f>food_insecure</f>
        <v>2.5999999999999999E-2</v>
      </c>
      <c r="J15" s="60">
        <f>food_insecure</f>
        <v>2.5999999999999999E-2</v>
      </c>
      <c r="K15" s="60">
        <f>food_insecure</f>
        <v>2.5999999999999999E-2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169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180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181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182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0.01</v>
      </c>
      <c r="I19" s="60">
        <f>frac_malaria_risk</f>
        <v>0.01</v>
      </c>
      <c r="J19" s="60">
        <f>frac_malaria_risk</f>
        <v>0.01</v>
      </c>
      <c r="K19" s="60">
        <f>frac_malaria_risk</f>
        <v>0.01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187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188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190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75</v>
      </c>
      <c r="B24" s="11" t="s">
        <v>172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0.33900000000000002</v>
      </c>
      <c r="M24" s="60">
        <f>famplan_unmet_need</f>
        <v>0.33900000000000002</v>
      </c>
      <c r="N24" s="60">
        <f>famplan_unmet_need</f>
        <v>0.33900000000000002</v>
      </c>
      <c r="O24" s="60">
        <f>famplan_unmet_need</f>
        <v>0.33900000000000002</v>
      </c>
    </row>
    <row r="25" spans="1:15" ht="15.75" customHeight="1" x14ac:dyDescent="0.25">
      <c r="B25" s="11" t="s">
        <v>176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9.2859701982116627E-2</v>
      </c>
      <c r="M25" s="60">
        <f>(1-food_insecure)*(0.49)+food_insecure*(0.7)</f>
        <v>0.49545999999999996</v>
      </c>
      <c r="N25" s="60">
        <f>(1-food_insecure)*(0.49)+food_insecure*(0.7)</f>
        <v>0.49545999999999996</v>
      </c>
      <c r="O25" s="60">
        <f>(1-food_insecure)*(0.49)+food_insecure*(0.7)</f>
        <v>0.49545999999999996</v>
      </c>
    </row>
    <row r="26" spans="1:15" ht="15.75" customHeight="1" x14ac:dyDescent="0.25">
      <c r="B26" s="11" t="s">
        <v>177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3.9797015135192848E-2</v>
      </c>
      <c r="M26" s="60">
        <f>(1-food_insecure)*(0.21)+food_insecure*(0.3)</f>
        <v>0.21234</v>
      </c>
      <c r="N26" s="60">
        <f>(1-food_insecure)*(0.21)+food_insecure*(0.3)</f>
        <v>0.21234</v>
      </c>
      <c r="O26" s="60">
        <f>(1-food_insecure)*(0.21)+food_insecure*(0.3)</f>
        <v>0.21234</v>
      </c>
    </row>
    <row r="27" spans="1:15" ht="15.75" customHeight="1" x14ac:dyDescent="0.25">
      <c r="B27" s="11" t="s">
        <v>178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5.4764471237182574E-2</v>
      </c>
      <c r="M27" s="60">
        <f>(1-food_insecure)*(0.3)</f>
        <v>0.29219999999999996</v>
      </c>
      <c r="N27" s="60">
        <f>(1-food_insecure)*(0.3)</f>
        <v>0.29219999999999996</v>
      </c>
      <c r="O27" s="60">
        <f>(1-food_insecure)*(0.3)</f>
        <v>0.29219999999999996</v>
      </c>
    </row>
    <row r="28" spans="1:15" ht="15.75" customHeight="1" x14ac:dyDescent="0.25">
      <c r="B28" s="11" t="s">
        <v>179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0.81257881164550794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173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174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175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183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186</v>
      </c>
      <c r="C34" s="60">
        <f t="shared" ref="C34:O34" si="3">frac_malaria_risk</f>
        <v>0.01</v>
      </c>
      <c r="D34" s="60">
        <f t="shared" si="3"/>
        <v>0.01</v>
      </c>
      <c r="E34" s="60">
        <f t="shared" si="3"/>
        <v>0.01</v>
      </c>
      <c r="F34" s="60">
        <f t="shared" si="3"/>
        <v>0.01</v>
      </c>
      <c r="G34" s="60">
        <f t="shared" si="3"/>
        <v>0.01</v>
      </c>
      <c r="H34" s="60">
        <f t="shared" si="3"/>
        <v>0.01</v>
      </c>
      <c r="I34" s="60">
        <f t="shared" si="3"/>
        <v>0.01</v>
      </c>
      <c r="J34" s="60">
        <f t="shared" si="3"/>
        <v>0.01</v>
      </c>
      <c r="K34" s="60">
        <f t="shared" si="3"/>
        <v>0.01</v>
      </c>
      <c r="L34" s="60">
        <f t="shared" si="3"/>
        <v>0.01</v>
      </c>
      <c r="M34" s="60">
        <f t="shared" si="3"/>
        <v>0.01</v>
      </c>
      <c r="N34" s="60">
        <f t="shared" si="3"/>
        <v>0.01</v>
      </c>
      <c r="O34" s="60">
        <f t="shared" si="3"/>
        <v>0.01</v>
      </c>
    </row>
    <row r="35" spans="2:15" ht="15.75" customHeight="1" x14ac:dyDescent="0.25">
      <c r="B35" s="9" t="s">
        <v>194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195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196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197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198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VVJtP4qa8cEBPO0z31bYzNwIHVw9P5iFQBQO1MzCxdsfVWziVvfBMphaDfBDvCKlWNYFT5C0EgyHd71uZ6xztg==" saltValue="F274OdyEpoFHslok6hjeM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201</v>
      </c>
    </row>
    <row r="2" spans="1:1" x14ac:dyDescent="0.25">
      <c r="A2" s="8" t="s">
        <v>212</v>
      </c>
    </row>
    <row r="3" spans="1:1" x14ac:dyDescent="0.25">
      <c r="A3" s="8" t="s">
        <v>213</v>
      </c>
    </row>
    <row r="4" spans="1:1" x14ac:dyDescent="0.25">
      <c r="A4" s="8" t="s">
        <v>214</v>
      </c>
    </row>
  </sheetData>
  <sheetProtection algorithmName="SHA-512" hashValue="1eJVaAyUrOvml0vkL46TzcBnDl5ajB/Fup7nxHB/zSxJTIASRs6jp2oK5SZPbkIijAziwN0itaWjLtfu0g7UgA==" saltValue="uwwVL0RjCid3NRQSS5Vqrw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216</v>
      </c>
      <c r="B1" s="4" t="s">
        <v>215</v>
      </c>
      <c r="C1" s="4" t="s">
        <v>8</v>
      </c>
      <c r="D1" s="4" t="s">
        <v>144</v>
      </c>
      <c r="E1" s="4" t="s">
        <v>225</v>
      </c>
    </row>
    <row r="2" spans="1:5" ht="14" customHeight="1" x14ac:dyDescent="0.3">
      <c r="A2" s="28" t="s">
        <v>217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218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219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220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9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221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222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223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224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N8++NTFKvM4mUIDzUV2xZ2t1H2pWf13R4CW529ajbSq4UJSRpfytEHaMR6JzMPAt8ca5XGfzDCnkHT2IEvKw5Q==" saltValue="3cBb5qIEcTvKjVBzHREosQ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211</v>
      </c>
      <c r="B1" s="1" t="s">
        <v>160</v>
      </c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  <c r="H1" s="4" t="s">
        <v>122</v>
      </c>
      <c r="I1" s="4" t="s">
        <v>123</v>
      </c>
      <c r="J1" s="4" t="s">
        <v>124</v>
      </c>
      <c r="K1" s="4" t="s">
        <v>125</v>
      </c>
      <c r="L1" s="4" t="s">
        <v>69</v>
      </c>
      <c r="M1" s="4" t="s">
        <v>70</v>
      </c>
      <c r="N1" s="4" t="s">
        <v>71</v>
      </c>
      <c r="O1" s="4" t="s">
        <v>72</v>
      </c>
    </row>
    <row r="2" spans="1:15" ht="15.75" customHeight="1" x14ac:dyDescent="0.35">
      <c r="A2" s="4" t="s">
        <v>86</v>
      </c>
      <c r="B2" s="5" t="s">
        <v>170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171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157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158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159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184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185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189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191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192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205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161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193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199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200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100</v>
      </c>
      <c r="B18" s="5" t="s">
        <v>168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169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180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181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182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187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188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190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75</v>
      </c>
      <c r="B27" s="5" t="s">
        <v>172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176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177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178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179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173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174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175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183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186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194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195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196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197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198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WLvTEWz2Pb0r/RDcGkLK4c744cWW/9/vsoB1cNBOwpgNdbGw95IxpfVZAnG24pIfkYAwsN/1hPbHCThDlaTRsA==" saltValue="fgWz61pt6iPmf4GkSj65nw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5" t="s">
        <v>168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ht="13.25" customHeight="1" x14ac:dyDescent="0.25">
      <c r="A3" s="5" t="s">
        <v>169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ht="13.25" customHeight="1" x14ac:dyDescent="0.25">
      <c r="A4" s="5" t="s">
        <v>170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ht="13.25" customHeight="1" x14ac:dyDescent="0.25">
      <c r="A5" s="5" t="s">
        <v>171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ht="13.25" customHeight="1" x14ac:dyDescent="0.25">
      <c r="A6" s="5" t="s">
        <v>172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ht="13.25" customHeight="1" x14ac:dyDescent="0.25">
      <c r="A7" s="5" t="s">
        <v>173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ht="13.25" customHeight="1" x14ac:dyDescent="0.25">
      <c r="A8" s="5" t="s">
        <v>174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ht="13.25" customHeight="1" x14ac:dyDescent="0.25">
      <c r="A9" s="5" t="s">
        <v>175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ht="13.25" customHeight="1" x14ac:dyDescent="0.25">
      <c r="A10" s="11" t="s">
        <v>176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ht="13.25" customHeight="1" x14ac:dyDescent="0.25">
      <c r="A11" s="11" t="s">
        <v>177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ht="13.25" customHeight="1" x14ac:dyDescent="0.25">
      <c r="A12" s="11" t="s">
        <v>178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ht="13.25" customHeight="1" x14ac:dyDescent="0.25">
      <c r="A13" s="11" t="s">
        <v>179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ht="13.25" customHeight="1" x14ac:dyDescent="0.25">
      <c r="A14" s="5" t="s">
        <v>180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ht="13.25" customHeight="1" x14ac:dyDescent="0.25">
      <c r="A15" s="5" t="s">
        <v>181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ht="13.25" customHeight="1" x14ac:dyDescent="0.25">
      <c r="A16" s="5" t="s">
        <v>182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ht="13.25" customHeight="1" x14ac:dyDescent="0.25">
      <c r="A17" s="5" t="s">
        <v>183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ht="13.25" customHeight="1" x14ac:dyDescent="0.25">
      <c r="A18" s="5" t="s">
        <v>157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ht="13.25" customHeight="1" x14ac:dyDescent="0.25">
      <c r="A19" s="5" t="s">
        <v>158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ht="13.25" customHeight="1" x14ac:dyDescent="0.25">
      <c r="A20" s="5" t="s">
        <v>159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ht="13.25" customHeight="1" x14ac:dyDescent="0.25">
      <c r="A21" s="5" t="s">
        <v>184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185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186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187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188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189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190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191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192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205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161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193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194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195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196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197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198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199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200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cY5S8JYtPhW8fMJQBGToQI3BbjTidJRTw4gSgacUSXmaY1wodRIHQU6OW70df4/uywipLIVew5h2wxUxrCpmJA==" saltValue="l30erp9Oy4IzWpvLfUx97Q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230</v>
      </c>
      <c r="B1" s="8" t="s">
        <v>226</v>
      </c>
      <c r="C1" s="8" t="s">
        <v>121</v>
      </c>
      <c r="D1" s="8" t="s">
        <v>227</v>
      </c>
      <c r="E1" s="8" t="s">
        <v>228</v>
      </c>
      <c r="F1" s="8" t="s">
        <v>128</v>
      </c>
      <c r="G1" s="8" t="s">
        <v>87</v>
      </c>
      <c r="H1" s="8" t="s">
        <v>43</v>
      </c>
      <c r="I1" s="8" t="s">
        <v>229</v>
      </c>
      <c r="J1" s="8" t="s">
        <v>36</v>
      </c>
      <c r="K1" s="8" t="s">
        <v>68</v>
      </c>
    </row>
    <row r="2" spans="1:11" ht="13.25" customHeight="1" x14ac:dyDescent="0.25">
      <c r="A2" s="8" t="s">
        <v>109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ht="13.25" customHeight="1" x14ac:dyDescent="0.25">
      <c r="A3" s="8" t="s">
        <v>96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ht="13.25" customHeight="1" x14ac:dyDescent="0.25">
      <c r="A4" s="8" t="s">
        <v>97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ht="13.25" customHeight="1" x14ac:dyDescent="0.25">
      <c r="A5" s="8" t="s">
        <v>98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ht="13.25" customHeight="1" x14ac:dyDescent="0.25">
      <c r="A6" s="8" t="s">
        <v>99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ht="13.25" customHeight="1" x14ac:dyDescent="0.25">
      <c r="A7" s="8" t="s">
        <v>122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ht="13.25" customHeight="1" x14ac:dyDescent="0.25">
      <c r="A8" s="8" t="s">
        <v>123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ht="13.25" customHeight="1" x14ac:dyDescent="0.25">
      <c r="A9" s="8" t="s">
        <v>124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ht="13.25" customHeight="1" x14ac:dyDescent="0.25">
      <c r="A10" s="8" t="s">
        <v>125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ht="13.25" customHeight="1" x14ac:dyDescent="0.25">
      <c r="A11" s="8" t="s">
        <v>69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ht="13.25" customHeight="1" x14ac:dyDescent="0.25">
      <c r="A12" s="8" t="s">
        <v>70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ht="13.25" customHeight="1" x14ac:dyDescent="0.25">
      <c r="A13" s="8" t="s">
        <v>71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ht="13.25" customHeight="1" x14ac:dyDescent="0.25">
      <c r="A14" s="8" t="s">
        <v>72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ddDzkAGkprwKxY8JoD2LdqPGJMi2MPOKPq03INoGXa1cFxh7VoDQ2JGtDurV7Yt9ZWkcyug7qG/qCer9IX/yTQ==" saltValue="ahjIQaQJ0bxkdXv5uYl1ag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topLeftCell="A127" zoomScale="85" zoomScaleNormal="85" workbookViewId="0">
      <selection activeCell="D8" sqref="D8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231</v>
      </c>
      <c r="B1" s="4" t="s">
        <v>152</v>
      </c>
      <c r="C1" s="4" t="s">
        <v>164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10" ht="13" customHeight="1" x14ac:dyDescent="0.3">
      <c r="A2" s="4" t="s">
        <v>232</v>
      </c>
      <c r="B2" s="103" t="s">
        <v>100</v>
      </c>
      <c r="C2" s="8" t="s">
        <v>153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ht="13.25" customHeight="1" x14ac:dyDescent="0.25">
      <c r="B3" s="104"/>
      <c r="C3" s="8" t="s">
        <v>154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ht="13.25" customHeight="1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ht="13.25" customHeight="1" x14ac:dyDescent="0.25">
      <c r="B5" s="103" t="s">
        <v>109</v>
      </c>
      <c r="C5" s="8" t="s">
        <v>153</v>
      </c>
      <c r="D5" s="88">
        <v>2.17</v>
      </c>
      <c r="E5" s="88">
        <v>1</v>
      </c>
      <c r="F5" s="88">
        <v>1</v>
      </c>
      <c r="G5" s="88">
        <v>1</v>
      </c>
      <c r="H5" s="88">
        <v>1</v>
      </c>
    </row>
    <row r="6" spans="1:10" ht="13.25" customHeight="1" x14ac:dyDescent="0.25">
      <c r="B6" s="104"/>
      <c r="C6" s="8" t="s">
        <v>154</v>
      </c>
      <c r="D6" s="88">
        <v>2.17</v>
      </c>
      <c r="E6" s="88">
        <v>1</v>
      </c>
      <c r="F6" s="88">
        <v>1</v>
      </c>
      <c r="G6" s="88">
        <v>1</v>
      </c>
      <c r="H6" s="88">
        <v>1</v>
      </c>
    </row>
    <row r="7" spans="1:10" ht="13.25" customHeight="1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ht="13.25" customHeight="1" x14ac:dyDescent="0.25">
      <c r="B8" s="103" t="s">
        <v>96</v>
      </c>
      <c r="C8" s="8" t="s">
        <v>153</v>
      </c>
      <c r="D8" s="88">
        <v>1</v>
      </c>
      <c r="E8" s="88">
        <v>2.48</v>
      </c>
      <c r="F8" s="88">
        <v>1</v>
      </c>
      <c r="G8" s="88">
        <v>1</v>
      </c>
      <c r="H8" s="88">
        <v>1</v>
      </c>
    </row>
    <row r="9" spans="1:10" ht="13.25" customHeight="1" x14ac:dyDescent="0.25">
      <c r="B9" s="104"/>
      <c r="C9" s="8" t="s">
        <v>154</v>
      </c>
      <c r="D9" s="88">
        <v>1</v>
      </c>
      <c r="E9" s="88">
        <v>2.48</v>
      </c>
      <c r="F9" s="88">
        <v>1</v>
      </c>
      <c r="G9" s="88">
        <v>1</v>
      </c>
      <c r="H9" s="88">
        <v>1</v>
      </c>
    </row>
    <row r="10" spans="1:10" ht="13.25" customHeight="1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ht="13.25" customHeight="1" x14ac:dyDescent="0.25">
      <c r="B11" s="103" t="s">
        <v>97</v>
      </c>
      <c r="C11" s="8" t="s">
        <v>153</v>
      </c>
      <c r="D11" s="88">
        <v>1</v>
      </c>
      <c r="E11" s="88">
        <v>1</v>
      </c>
      <c r="F11" s="88">
        <v>1.82</v>
      </c>
      <c r="G11" s="88">
        <v>1</v>
      </c>
      <c r="H11" s="88">
        <v>1</v>
      </c>
    </row>
    <row r="12" spans="1:10" ht="13.25" customHeight="1" x14ac:dyDescent="0.25">
      <c r="B12" s="104"/>
      <c r="C12" s="8" t="s">
        <v>154</v>
      </c>
      <c r="D12" s="88">
        <v>1</v>
      </c>
      <c r="E12" s="88">
        <v>1</v>
      </c>
      <c r="F12" s="88">
        <v>1.82</v>
      </c>
      <c r="G12" s="88">
        <v>1</v>
      </c>
      <c r="H12" s="88">
        <v>1</v>
      </c>
    </row>
    <row r="13" spans="1:10" ht="13.25" customHeight="1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ht="13.25" customHeight="1" x14ac:dyDescent="0.25">
      <c r="B14" s="103" t="s">
        <v>98</v>
      </c>
      <c r="C14" s="8" t="s">
        <v>153</v>
      </c>
      <c r="D14" s="88">
        <v>1</v>
      </c>
      <c r="E14" s="88">
        <v>1</v>
      </c>
      <c r="F14" s="88">
        <v>1</v>
      </c>
      <c r="G14" s="88">
        <v>1.82</v>
      </c>
      <c r="H14" s="88">
        <v>1</v>
      </c>
    </row>
    <row r="15" spans="1:10" ht="13.25" customHeight="1" x14ac:dyDescent="0.25">
      <c r="B15" s="104"/>
      <c r="C15" s="8" t="s">
        <v>154</v>
      </c>
      <c r="D15" s="88">
        <v>1</v>
      </c>
      <c r="E15" s="88">
        <v>1</v>
      </c>
      <c r="F15" s="88">
        <v>1</v>
      </c>
      <c r="G15" s="88">
        <v>1.82</v>
      </c>
      <c r="H15" s="88">
        <v>1</v>
      </c>
    </row>
    <row r="16" spans="1:10" ht="13.25" customHeight="1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156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ht="13.25" customHeight="1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233</v>
      </c>
      <c r="B19" s="103" t="s">
        <v>100</v>
      </c>
      <c r="C19" s="8" t="s">
        <v>153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ht="13.25" customHeight="1" x14ac:dyDescent="0.25">
      <c r="B20" s="104"/>
      <c r="C20" s="8" t="s">
        <v>154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ht="13.25" customHeight="1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ht="13.25" customHeight="1" x14ac:dyDescent="0.25">
      <c r="B22" s="103" t="s">
        <v>109</v>
      </c>
      <c r="C22" s="8" t="s">
        <v>153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ht="13.25" customHeight="1" x14ac:dyDescent="0.25">
      <c r="B23" s="104"/>
      <c r="C23" s="8" t="s">
        <v>154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ht="13.25" customHeight="1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ht="13.25" customHeight="1" x14ac:dyDescent="0.25">
      <c r="B25" s="103" t="s">
        <v>96</v>
      </c>
      <c r="C25" s="8" t="s">
        <v>153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ht="13.25" customHeight="1" x14ac:dyDescent="0.25">
      <c r="B26" s="104"/>
      <c r="C26" s="8" t="s">
        <v>154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ht="13.25" customHeight="1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ht="13.25" customHeight="1" x14ac:dyDescent="0.25">
      <c r="B28" s="103" t="s">
        <v>97</v>
      </c>
      <c r="C28" s="8" t="s">
        <v>153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ht="13.25" customHeight="1" x14ac:dyDescent="0.25">
      <c r="B29" s="104"/>
      <c r="C29" s="8" t="s">
        <v>154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ht="13.25" customHeight="1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ht="13.25" customHeight="1" x14ac:dyDescent="0.25">
      <c r="B31" s="103" t="s">
        <v>98</v>
      </c>
      <c r="C31" s="8" t="s">
        <v>153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ht="13.25" customHeight="1" x14ac:dyDescent="0.25">
      <c r="B32" s="104"/>
      <c r="C32" s="8" t="s">
        <v>154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ht="13.25" customHeight="1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156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ht="13.25" customHeight="1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234</v>
      </c>
      <c r="B36" s="103" t="s">
        <v>100</v>
      </c>
      <c r="C36" s="8" t="s">
        <v>153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ht="13.25" customHeight="1" x14ac:dyDescent="0.25">
      <c r="B37" s="104"/>
      <c r="C37" s="8" t="s">
        <v>154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ht="13.25" customHeight="1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ht="13.25" customHeight="1" x14ac:dyDescent="0.25">
      <c r="B39" s="103" t="s">
        <v>109</v>
      </c>
      <c r="C39" s="8" t="s">
        <v>153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ht="13.25" customHeight="1" x14ac:dyDescent="0.25">
      <c r="B40" s="104"/>
      <c r="C40" s="8" t="s">
        <v>154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ht="13.25" customHeight="1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ht="13.25" customHeight="1" x14ac:dyDescent="0.25">
      <c r="B42" s="103" t="s">
        <v>96</v>
      </c>
      <c r="C42" s="8" t="s">
        <v>153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ht="13.25" customHeight="1" x14ac:dyDescent="0.25">
      <c r="B43" s="104"/>
      <c r="C43" s="8" t="s">
        <v>154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ht="13.25" customHeight="1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ht="13.25" customHeight="1" x14ac:dyDescent="0.25">
      <c r="B45" s="103" t="s">
        <v>97</v>
      </c>
      <c r="C45" s="8" t="s">
        <v>153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ht="13.25" customHeight="1" x14ac:dyDescent="0.25">
      <c r="B46" s="104"/>
      <c r="C46" s="8" t="s">
        <v>154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ht="13.25" customHeight="1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ht="13.25" customHeight="1" x14ac:dyDescent="0.25">
      <c r="B48" s="103" t="s">
        <v>98</v>
      </c>
      <c r="C48" s="8" t="s">
        <v>153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ht="13.25" customHeight="1" x14ac:dyDescent="0.25">
      <c r="B49" s="104"/>
      <c r="C49" s="8" t="s">
        <v>154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ht="13.25" customHeight="1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156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231</v>
      </c>
      <c r="B54" s="4" t="s">
        <v>152</v>
      </c>
      <c r="C54" s="4" t="s">
        <v>164</v>
      </c>
      <c r="D54" s="4" t="s">
        <v>109</v>
      </c>
      <c r="E54" s="4" t="s">
        <v>96</v>
      </c>
      <c r="F54" s="4" t="s">
        <v>97</v>
      </c>
      <c r="G54" s="4" t="s">
        <v>98</v>
      </c>
      <c r="H54" s="4" t="s">
        <v>99</v>
      </c>
    </row>
    <row r="55" spans="1:8" ht="13" customHeight="1" x14ac:dyDescent="0.3">
      <c r="A55" s="4" t="s">
        <v>236</v>
      </c>
      <c r="B55" s="103" t="s">
        <v>100</v>
      </c>
      <c r="C55" s="8" t="s">
        <v>153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ht="13.25" customHeight="1" x14ac:dyDescent="0.25">
      <c r="B56" s="104"/>
      <c r="C56" s="8" t="s">
        <v>154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ht="13.25" customHeight="1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ht="13.25" customHeight="1" x14ac:dyDescent="0.25">
      <c r="B58" s="103" t="s">
        <v>109</v>
      </c>
      <c r="C58" s="8" t="s">
        <v>153</v>
      </c>
      <c r="D58" s="88">
        <v>1.84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ht="13.25" customHeight="1" x14ac:dyDescent="0.25">
      <c r="B59" s="104"/>
      <c r="C59" s="8" t="s">
        <v>154</v>
      </c>
      <c r="D59" s="88">
        <v>1.84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ht="13.25" customHeight="1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ht="13.25" customHeight="1" x14ac:dyDescent="0.25">
      <c r="B61" s="103" t="s">
        <v>96</v>
      </c>
      <c r="C61" s="8" t="s">
        <v>153</v>
      </c>
      <c r="D61" s="88">
        <f t="shared" si="2"/>
        <v>1</v>
      </c>
      <c r="E61" s="88">
        <v>1.99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ht="13.25" customHeight="1" x14ac:dyDescent="0.25">
      <c r="B62" s="104"/>
      <c r="C62" s="8" t="s">
        <v>154</v>
      </c>
      <c r="D62" s="88">
        <f t="shared" si="2"/>
        <v>1</v>
      </c>
      <c r="E62" s="88">
        <v>1.99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ht="13.25" customHeight="1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ht="13.25" customHeight="1" x14ac:dyDescent="0.25">
      <c r="B64" s="103" t="s">
        <v>97</v>
      </c>
      <c r="C64" s="8" t="s">
        <v>153</v>
      </c>
      <c r="D64" s="88">
        <f t="shared" si="2"/>
        <v>1</v>
      </c>
      <c r="E64" s="88">
        <f t="shared" si="4"/>
        <v>1</v>
      </c>
      <c r="F64" s="88">
        <v>1.36</v>
      </c>
      <c r="G64" s="88">
        <f t="shared" ref="G64:H66" si="5">IF(G11=1,1,G11*0.9)</f>
        <v>1</v>
      </c>
      <c r="H64" s="88">
        <f t="shared" si="5"/>
        <v>1</v>
      </c>
    </row>
    <row r="65" spans="1:8" ht="13.25" customHeight="1" x14ac:dyDescent="0.25">
      <c r="B65" s="104"/>
      <c r="C65" s="8" t="s">
        <v>154</v>
      </c>
      <c r="D65" s="88">
        <f t="shared" si="2"/>
        <v>1</v>
      </c>
      <c r="E65" s="88">
        <f t="shared" si="4"/>
        <v>1</v>
      </c>
      <c r="F65" s="88">
        <v>1.36</v>
      </c>
      <c r="G65" s="88">
        <f t="shared" si="5"/>
        <v>1</v>
      </c>
      <c r="H65" s="88">
        <f t="shared" si="5"/>
        <v>1</v>
      </c>
    </row>
    <row r="66" spans="1:8" ht="13.25" customHeight="1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ht="13.25" customHeight="1" x14ac:dyDescent="0.25">
      <c r="B67" s="103" t="s">
        <v>98</v>
      </c>
      <c r="C67" s="8" t="s">
        <v>153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1.36</v>
      </c>
      <c r="H67" s="88">
        <f>IF(H14=1,1,H14*0.9)</f>
        <v>1</v>
      </c>
    </row>
    <row r="68" spans="1:8" ht="13.25" customHeight="1" x14ac:dyDescent="0.25">
      <c r="B68" s="104"/>
      <c r="C68" s="8" t="s">
        <v>154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1.36</v>
      </c>
      <c r="H68" s="88">
        <f>IF(H15=1,1,H15*0.9)</f>
        <v>1</v>
      </c>
    </row>
    <row r="69" spans="1:8" ht="13.25" customHeight="1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156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ht="13.25" customHeight="1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237</v>
      </c>
      <c r="B72" s="103" t="s">
        <v>100</v>
      </c>
      <c r="C72" s="8" t="s">
        <v>153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ht="13.25" customHeight="1" x14ac:dyDescent="0.25">
      <c r="B73" s="104"/>
      <c r="C73" s="8" t="s">
        <v>154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ht="13.25" customHeight="1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ht="13.25" customHeight="1" x14ac:dyDescent="0.25">
      <c r="B75" s="103" t="s">
        <v>109</v>
      </c>
      <c r="C75" s="8" t="s">
        <v>153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ht="13.25" customHeight="1" x14ac:dyDescent="0.25">
      <c r="B76" s="104"/>
      <c r="C76" s="8" t="s">
        <v>154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ht="13.25" customHeight="1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ht="13.25" customHeight="1" x14ac:dyDescent="0.25">
      <c r="B78" s="103" t="s">
        <v>96</v>
      </c>
      <c r="C78" s="8" t="s">
        <v>153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ht="13.25" customHeight="1" x14ac:dyDescent="0.25">
      <c r="B79" s="104"/>
      <c r="C79" s="8" t="s">
        <v>154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ht="13.25" customHeight="1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ht="13.25" customHeight="1" x14ac:dyDescent="0.25">
      <c r="B81" s="103" t="s">
        <v>97</v>
      </c>
      <c r="C81" s="8" t="s">
        <v>153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ht="13.25" customHeight="1" x14ac:dyDescent="0.25">
      <c r="B82" s="104"/>
      <c r="C82" s="8" t="s">
        <v>154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ht="13.25" customHeight="1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ht="13.25" customHeight="1" x14ac:dyDescent="0.25">
      <c r="B84" s="103" t="s">
        <v>98</v>
      </c>
      <c r="C84" s="8" t="s">
        <v>153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ht="13.25" customHeight="1" x14ac:dyDescent="0.25">
      <c r="B85" s="104"/>
      <c r="C85" s="8" t="s">
        <v>154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ht="13.25" customHeight="1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156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ht="13.25" customHeight="1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238</v>
      </c>
      <c r="B89" s="103" t="s">
        <v>100</v>
      </c>
      <c r="C89" s="8" t="s">
        <v>153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ht="13.25" customHeight="1" x14ac:dyDescent="0.25">
      <c r="B90" s="104"/>
      <c r="C90" s="8" t="s">
        <v>154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ht="13.25" customHeight="1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ht="13.25" customHeight="1" x14ac:dyDescent="0.25">
      <c r="B92" s="103" t="s">
        <v>109</v>
      </c>
      <c r="C92" s="8" t="s">
        <v>153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ht="13.25" customHeight="1" x14ac:dyDescent="0.25">
      <c r="B93" s="104"/>
      <c r="C93" s="8" t="s">
        <v>154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ht="13.25" customHeight="1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ht="13.25" customHeight="1" x14ac:dyDescent="0.25">
      <c r="B95" s="103" t="s">
        <v>96</v>
      </c>
      <c r="C95" s="8" t="s">
        <v>153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ht="13.25" customHeight="1" x14ac:dyDescent="0.25">
      <c r="B96" s="104"/>
      <c r="C96" s="8" t="s">
        <v>154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ht="13.25" customHeight="1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ht="13.25" customHeight="1" x14ac:dyDescent="0.25">
      <c r="B98" s="103" t="s">
        <v>97</v>
      </c>
      <c r="C98" s="8" t="s">
        <v>153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ht="13.25" customHeight="1" x14ac:dyDescent="0.25">
      <c r="B99" s="104"/>
      <c r="C99" s="8" t="s">
        <v>154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ht="13.25" customHeight="1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ht="13.25" customHeight="1" x14ac:dyDescent="0.25">
      <c r="B101" s="103" t="s">
        <v>98</v>
      </c>
      <c r="C101" s="8" t="s">
        <v>153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ht="13.25" customHeight="1" x14ac:dyDescent="0.25">
      <c r="B102" s="104"/>
      <c r="C102" s="8" t="s">
        <v>154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ht="13.25" customHeight="1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156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239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231</v>
      </c>
      <c r="B107" s="4" t="s">
        <v>152</v>
      </c>
      <c r="C107" s="4" t="s">
        <v>164</v>
      </c>
      <c r="D107" s="4" t="s">
        <v>109</v>
      </c>
      <c r="E107" s="4" t="s">
        <v>96</v>
      </c>
      <c r="F107" s="4" t="s">
        <v>97</v>
      </c>
      <c r="G107" s="4" t="s">
        <v>98</v>
      </c>
      <c r="H107" s="4" t="s">
        <v>99</v>
      </c>
    </row>
    <row r="108" spans="1:8" ht="13" customHeight="1" x14ac:dyDescent="0.3">
      <c r="A108" s="4" t="s">
        <v>240</v>
      </c>
      <c r="B108" s="103" t="s">
        <v>100</v>
      </c>
      <c r="C108" s="8" t="s">
        <v>153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ht="13.25" customHeight="1" x14ac:dyDescent="0.25">
      <c r="B109" s="104"/>
      <c r="C109" s="8" t="s">
        <v>154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ht="13.25" customHeight="1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ht="13.25" customHeight="1" x14ac:dyDescent="0.25">
      <c r="B111" s="103" t="s">
        <v>109</v>
      </c>
      <c r="C111" s="8" t="s">
        <v>153</v>
      </c>
      <c r="D111" s="88">
        <v>2.56</v>
      </c>
      <c r="E111" s="88">
        <f t="shared" ref="E111:G113" si="11">IF(E58=1,1,E58*0.9)</f>
        <v>1</v>
      </c>
      <c r="F111" s="88">
        <f t="shared" si="11"/>
        <v>1</v>
      </c>
      <c r="G111" s="88">
        <f t="shared" si="11"/>
        <v>1</v>
      </c>
      <c r="H111" s="88">
        <f t="shared" ref="H111:H123" si="12">IF(H5=1,1,H5*1.05)</f>
        <v>1</v>
      </c>
    </row>
    <row r="112" spans="1:8" ht="13.25" customHeight="1" x14ac:dyDescent="0.25">
      <c r="B112" s="104"/>
      <c r="C112" s="8" t="s">
        <v>154</v>
      </c>
      <c r="D112" s="88">
        <v>2.56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2"/>
        <v>1</v>
      </c>
    </row>
    <row r="113" spans="1:8" ht="13.25" customHeight="1" x14ac:dyDescent="0.25">
      <c r="B113" s="104"/>
      <c r="C113" s="8" t="s">
        <v>155</v>
      </c>
      <c r="D113" s="88">
        <f t="shared" ref="D113:D121" si="13">IF(D60=1,1,D60*0.9)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2"/>
        <v>1</v>
      </c>
    </row>
    <row r="114" spans="1:8" ht="13.25" customHeight="1" x14ac:dyDescent="0.25">
      <c r="B114" s="103" t="s">
        <v>96</v>
      </c>
      <c r="C114" s="8" t="s">
        <v>153</v>
      </c>
      <c r="D114" s="88">
        <f t="shared" si="13"/>
        <v>1</v>
      </c>
      <c r="E114" s="88">
        <v>3.09</v>
      </c>
      <c r="F114" s="88">
        <f t="shared" ref="F114:G116" si="14">IF(F61=1,1,F61*0.9)</f>
        <v>1</v>
      </c>
      <c r="G114" s="88">
        <f t="shared" si="14"/>
        <v>1</v>
      </c>
      <c r="H114" s="88">
        <f t="shared" si="12"/>
        <v>1</v>
      </c>
    </row>
    <row r="115" spans="1:8" ht="13.25" customHeight="1" x14ac:dyDescent="0.25">
      <c r="B115" s="104"/>
      <c r="C115" s="8" t="s">
        <v>154</v>
      </c>
      <c r="D115" s="88">
        <f t="shared" si="13"/>
        <v>1</v>
      </c>
      <c r="E115" s="88">
        <v>3.09</v>
      </c>
      <c r="F115" s="88">
        <f t="shared" si="14"/>
        <v>1</v>
      </c>
      <c r="G115" s="88">
        <f t="shared" si="14"/>
        <v>1</v>
      </c>
      <c r="H115" s="88">
        <f t="shared" si="12"/>
        <v>1</v>
      </c>
    </row>
    <row r="116" spans="1:8" ht="13.25" customHeight="1" x14ac:dyDescent="0.25">
      <c r="B116" s="104"/>
      <c r="C116" s="8" t="s">
        <v>155</v>
      </c>
      <c r="D116" s="88">
        <f t="shared" si="13"/>
        <v>1</v>
      </c>
      <c r="E116" s="88">
        <f t="shared" ref="E116:E121" si="15">IF(E63=1,1,E63*0.9)</f>
        <v>1</v>
      </c>
      <c r="F116" s="88">
        <f t="shared" si="14"/>
        <v>1</v>
      </c>
      <c r="G116" s="88">
        <f t="shared" si="14"/>
        <v>1</v>
      </c>
      <c r="H116" s="88">
        <f t="shared" si="12"/>
        <v>1</v>
      </c>
    </row>
    <row r="117" spans="1:8" ht="13.25" customHeight="1" x14ac:dyDescent="0.25">
      <c r="B117" s="103" t="s">
        <v>97</v>
      </c>
      <c r="C117" s="8" t="s">
        <v>153</v>
      </c>
      <c r="D117" s="88">
        <f t="shared" si="13"/>
        <v>1</v>
      </c>
      <c r="E117" s="88">
        <f t="shared" si="15"/>
        <v>1</v>
      </c>
      <c r="F117" s="88">
        <v>2.4500000000000002</v>
      </c>
      <c r="G117" s="88">
        <f>IF(G64=1,1,G64*0.9)</f>
        <v>1</v>
      </c>
      <c r="H117" s="88">
        <f t="shared" si="12"/>
        <v>1</v>
      </c>
    </row>
    <row r="118" spans="1:8" ht="13.25" customHeight="1" x14ac:dyDescent="0.25">
      <c r="B118" s="104"/>
      <c r="C118" s="8" t="s">
        <v>154</v>
      </c>
      <c r="D118" s="88">
        <f t="shared" si="13"/>
        <v>1</v>
      </c>
      <c r="E118" s="88">
        <f t="shared" si="15"/>
        <v>1</v>
      </c>
      <c r="F118" s="88">
        <v>2.4500000000000002</v>
      </c>
      <c r="G118" s="88">
        <f>IF(G65=1,1,G65*0.9)</f>
        <v>1</v>
      </c>
      <c r="H118" s="88">
        <f t="shared" si="12"/>
        <v>1</v>
      </c>
    </row>
    <row r="119" spans="1:8" ht="13.25" customHeight="1" x14ac:dyDescent="0.25">
      <c r="B119" s="104"/>
      <c r="C119" s="8" t="s">
        <v>155</v>
      </c>
      <c r="D119" s="88">
        <f t="shared" si="13"/>
        <v>1</v>
      </c>
      <c r="E119" s="88">
        <f t="shared" si="15"/>
        <v>1</v>
      </c>
      <c r="F119" s="88">
        <f>IF(F66=1,1,F66*0.9)</f>
        <v>1</v>
      </c>
      <c r="G119" s="88">
        <f>IF(G66=1,1,G66*0.9)</f>
        <v>1</v>
      </c>
      <c r="H119" s="88">
        <f t="shared" si="12"/>
        <v>1</v>
      </c>
    </row>
    <row r="120" spans="1:8" ht="13.25" customHeight="1" x14ac:dyDescent="0.25">
      <c r="B120" s="103" t="s">
        <v>98</v>
      </c>
      <c r="C120" s="8" t="s">
        <v>153</v>
      </c>
      <c r="D120" s="88">
        <f t="shared" si="13"/>
        <v>1</v>
      </c>
      <c r="E120" s="88">
        <f t="shared" si="15"/>
        <v>1</v>
      </c>
      <c r="F120" s="88">
        <f>IF(F67=1,1,F67*0.9)</f>
        <v>1</v>
      </c>
      <c r="G120" s="88">
        <v>2.4500000000000002</v>
      </c>
      <c r="H120" s="88">
        <f t="shared" si="12"/>
        <v>1</v>
      </c>
    </row>
    <row r="121" spans="1:8" ht="13.25" customHeight="1" x14ac:dyDescent="0.25">
      <c r="B121" s="104"/>
      <c r="C121" s="8" t="s">
        <v>154</v>
      </c>
      <c r="D121" s="88">
        <f t="shared" si="13"/>
        <v>1</v>
      </c>
      <c r="E121" s="88">
        <f t="shared" si="15"/>
        <v>1</v>
      </c>
      <c r="F121" s="88">
        <f>IF(F68=1,1,F68*0.9)</f>
        <v>1</v>
      </c>
      <c r="G121" s="88">
        <v>2.4500000000000002</v>
      </c>
      <c r="H121" s="88">
        <f t="shared" si="12"/>
        <v>1</v>
      </c>
    </row>
    <row r="122" spans="1:8" ht="13.25" customHeight="1" x14ac:dyDescent="0.25">
      <c r="B122" s="104"/>
      <c r="C122" s="8" t="s">
        <v>155</v>
      </c>
      <c r="D122" s="88">
        <f t="shared" ref="D122:G123" si="16">IF(D16=1,1,D16*1.05)</f>
        <v>1</v>
      </c>
      <c r="E122" s="88">
        <f t="shared" si="16"/>
        <v>1</v>
      </c>
      <c r="F122" s="88">
        <f t="shared" si="16"/>
        <v>1</v>
      </c>
      <c r="G122" s="88">
        <f t="shared" si="16"/>
        <v>1</v>
      </c>
      <c r="H122" s="88">
        <f t="shared" si="12"/>
        <v>1</v>
      </c>
    </row>
    <row r="123" spans="1:8" ht="13" customHeight="1" x14ac:dyDescent="0.25">
      <c r="B123" s="65" t="s">
        <v>156</v>
      </c>
      <c r="C123" s="8" t="s">
        <v>155</v>
      </c>
      <c r="D123" s="88">
        <f t="shared" si="16"/>
        <v>1.1025</v>
      </c>
      <c r="E123" s="88">
        <f t="shared" si="16"/>
        <v>1.1025</v>
      </c>
      <c r="F123" s="88">
        <f t="shared" si="16"/>
        <v>1.1025</v>
      </c>
      <c r="G123" s="88">
        <f t="shared" si="16"/>
        <v>1.1025</v>
      </c>
      <c r="H123" s="88">
        <f t="shared" si="12"/>
        <v>1</v>
      </c>
    </row>
    <row r="124" spans="1:8" ht="13.25" customHeight="1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241</v>
      </c>
      <c r="B125" s="103" t="s">
        <v>100</v>
      </c>
      <c r="C125" s="8" t="s">
        <v>153</v>
      </c>
      <c r="D125" s="88">
        <f t="shared" ref="D125:H134" si="17">IF(D19=1,1,D19*1.05)</f>
        <v>1</v>
      </c>
      <c r="E125" s="88">
        <f t="shared" si="17"/>
        <v>1</v>
      </c>
      <c r="F125" s="88">
        <f t="shared" si="17"/>
        <v>1</v>
      </c>
      <c r="G125" s="88">
        <f t="shared" si="17"/>
        <v>1</v>
      </c>
      <c r="H125" s="88">
        <f t="shared" si="17"/>
        <v>1</v>
      </c>
    </row>
    <row r="126" spans="1:8" ht="13.25" customHeight="1" x14ac:dyDescent="0.25">
      <c r="B126" s="104"/>
      <c r="C126" s="8" t="s">
        <v>154</v>
      </c>
      <c r="D126" s="88">
        <f t="shared" si="17"/>
        <v>1</v>
      </c>
      <c r="E126" s="88">
        <f t="shared" si="17"/>
        <v>1</v>
      </c>
      <c r="F126" s="88">
        <f t="shared" si="17"/>
        <v>1</v>
      </c>
      <c r="G126" s="88">
        <f t="shared" si="17"/>
        <v>1</v>
      </c>
      <c r="H126" s="88">
        <f t="shared" si="17"/>
        <v>1</v>
      </c>
    </row>
    <row r="127" spans="1:8" ht="13.25" customHeight="1" x14ac:dyDescent="0.25">
      <c r="B127" s="104"/>
      <c r="C127" s="8" t="s">
        <v>155</v>
      </c>
      <c r="D127" s="88">
        <f t="shared" si="17"/>
        <v>1</v>
      </c>
      <c r="E127" s="88">
        <f t="shared" si="17"/>
        <v>1</v>
      </c>
      <c r="F127" s="88">
        <f t="shared" si="17"/>
        <v>1</v>
      </c>
      <c r="G127" s="88">
        <f t="shared" si="17"/>
        <v>1</v>
      </c>
      <c r="H127" s="88">
        <f t="shared" si="17"/>
        <v>1</v>
      </c>
    </row>
    <row r="128" spans="1:8" ht="13.25" customHeight="1" x14ac:dyDescent="0.25">
      <c r="B128" s="103" t="s">
        <v>109</v>
      </c>
      <c r="C128" s="8" t="s">
        <v>153</v>
      </c>
      <c r="D128" s="88">
        <f t="shared" si="17"/>
        <v>1</v>
      </c>
      <c r="E128" s="88">
        <f t="shared" si="17"/>
        <v>1</v>
      </c>
      <c r="F128" s="88">
        <f t="shared" si="17"/>
        <v>1</v>
      </c>
      <c r="G128" s="88">
        <f t="shared" si="17"/>
        <v>1</v>
      </c>
      <c r="H128" s="88">
        <f t="shared" si="17"/>
        <v>1</v>
      </c>
    </row>
    <row r="129" spans="1:8" ht="13.25" customHeight="1" x14ac:dyDescent="0.25">
      <c r="B129" s="104"/>
      <c r="C129" s="8" t="s">
        <v>154</v>
      </c>
      <c r="D129" s="88">
        <f t="shared" si="17"/>
        <v>1</v>
      </c>
      <c r="E129" s="88">
        <f t="shared" si="17"/>
        <v>1</v>
      </c>
      <c r="F129" s="88">
        <f t="shared" si="17"/>
        <v>1</v>
      </c>
      <c r="G129" s="88">
        <f t="shared" si="17"/>
        <v>1</v>
      </c>
      <c r="H129" s="88">
        <f t="shared" si="17"/>
        <v>1</v>
      </c>
    </row>
    <row r="130" spans="1:8" ht="13.25" customHeight="1" x14ac:dyDescent="0.25">
      <c r="B130" s="104"/>
      <c r="C130" s="8" t="s">
        <v>155</v>
      </c>
      <c r="D130" s="88">
        <f t="shared" si="17"/>
        <v>1</v>
      </c>
      <c r="E130" s="88">
        <f t="shared" si="17"/>
        <v>1</v>
      </c>
      <c r="F130" s="88">
        <f t="shared" si="17"/>
        <v>1</v>
      </c>
      <c r="G130" s="88">
        <f t="shared" si="17"/>
        <v>1</v>
      </c>
      <c r="H130" s="88">
        <f t="shared" si="17"/>
        <v>1</v>
      </c>
    </row>
    <row r="131" spans="1:8" ht="13.25" customHeight="1" x14ac:dyDescent="0.25">
      <c r="B131" s="103" t="s">
        <v>96</v>
      </c>
      <c r="C131" s="8" t="s">
        <v>153</v>
      </c>
      <c r="D131" s="88">
        <f t="shared" si="17"/>
        <v>1</v>
      </c>
      <c r="E131" s="88">
        <f t="shared" si="17"/>
        <v>1</v>
      </c>
      <c r="F131" s="88">
        <f t="shared" si="17"/>
        <v>1</v>
      </c>
      <c r="G131" s="88">
        <f t="shared" si="17"/>
        <v>1</v>
      </c>
      <c r="H131" s="88">
        <f t="shared" si="17"/>
        <v>1</v>
      </c>
    </row>
    <row r="132" spans="1:8" ht="13.25" customHeight="1" x14ac:dyDescent="0.25">
      <c r="B132" s="104"/>
      <c r="C132" s="8" t="s">
        <v>154</v>
      </c>
      <c r="D132" s="88">
        <f t="shared" si="17"/>
        <v>1</v>
      </c>
      <c r="E132" s="88">
        <f t="shared" si="17"/>
        <v>1</v>
      </c>
      <c r="F132" s="88">
        <f t="shared" si="17"/>
        <v>1</v>
      </c>
      <c r="G132" s="88">
        <f t="shared" si="17"/>
        <v>1</v>
      </c>
      <c r="H132" s="88">
        <f t="shared" si="17"/>
        <v>1</v>
      </c>
    </row>
    <row r="133" spans="1:8" ht="13.25" customHeight="1" x14ac:dyDescent="0.25">
      <c r="B133" s="104"/>
      <c r="C133" s="8" t="s">
        <v>155</v>
      </c>
      <c r="D133" s="88">
        <f t="shared" si="17"/>
        <v>1</v>
      </c>
      <c r="E133" s="88">
        <f t="shared" si="17"/>
        <v>1</v>
      </c>
      <c r="F133" s="88">
        <f t="shared" si="17"/>
        <v>1</v>
      </c>
      <c r="G133" s="88">
        <f t="shared" si="17"/>
        <v>1</v>
      </c>
      <c r="H133" s="88">
        <f t="shared" si="17"/>
        <v>1</v>
      </c>
    </row>
    <row r="134" spans="1:8" ht="13.25" customHeight="1" x14ac:dyDescent="0.25">
      <c r="B134" s="103" t="s">
        <v>97</v>
      </c>
      <c r="C134" s="8" t="s">
        <v>153</v>
      </c>
      <c r="D134" s="88">
        <f t="shared" si="17"/>
        <v>1</v>
      </c>
      <c r="E134" s="88">
        <f t="shared" si="17"/>
        <v>1</v>
      </c>
      <c r="F134" s="88">
        <f t="shared" si="17"/>
        <v>1</v>
      </c>
      <c r="G134" s="88">
        <f t="shared" si="17"/>
        <v>1</v>
      </c>
      <c r="H134" s="88">
        <f t="shared" si="17"/>
        <v>1</v>
      </c>
    </row>
    <row r="135" spans="1:8" ht="13.25" customHeight="1" x14ac:dyDescent="0.25">
      <c r="B135" s="104"/>
      <c r="C135" s="8" t="s">
        <v>154</v>
      </c>
      <c r="D135" s="88">
        <f t="shared" ref="D135:H140" si="18">IF(D29=1,1,D29*1.05)</f>
        <v>1</v>
      </c>
      <c r="E135" s="88">
        <f t="shared" si="18"/>
        <v>1</v>
      </c>
      <c r="F135" s="88">
        <f t="shared" si="18"/>
        <v>1</v>
      </c>
      <c r="G135" s="88">
        <f t="shared" si="18"/>
        <v>1</v>
      </c>
      <c r="H135" s="88">
        <f t="shared" si="18"/>
        <v>1</v>
      </c>
    </row>
    <row r="136" spans="1:8" ht="13.25" customHeight="1" x14ac:dyDescent="0.25">
      <c r="B136" s="104"/>
      <c r="C136" s="8" t="s">
        <v>155</v>
      </c>
      <c r="D136" s="88">
        <f t="shared" si="18"/>
        <v>1</v>
      </c>
      <c r="E136" s="88">
        <f t="shared" si="18"/>
        <v>1</v>
      </c>
      <c r="F136" s="88">
        <f t="shared" si="18"/>
        <v>1</v>
      </c>
      <c r="G136" s="88">
        <f t="shared" si="18"/>
        <v>1</v>
      </c>
      <c r="H136" s="88">
        <f t="shared" si="18"/>
        <v>1</v>
      </c>
    </row>
    <row r="137" spans="1:8" ht="13.25" customHeight="1" x14ac:dyDescent="0.25">
      <c r="B137" s="103" t="s">
        <v>98</v>
      </c>
      <c r="C137" s="8" t="s">
        <v>153</v>
      </c>
      <c r="D137" s="88">
        <f t="shared" si="18"/>
        <v>1</v>
      </c>
      <c r="E137" s="88">
        <f t="shared" si="18"/>
        <v>1</v>
      </c>
      <c r="F137" s="88">
        <f t="shared" si="18"/>
        <v>1</v>
      </c>
      <c r="G137" s="88">
        <f t="shared" si="18"/>
        <v>1</v>
      </c>
      <c r="H137" s="88">
        <f t="shared" si="18"/>
        <v>1</v>
      </c>
    </row>
    <row r="138" spans="1:8" ht="13.25" customHeight="1" x14ac:dyDescent="0.25">
      <c r="B138" s="104"/>
      <c r="C138" s="8" t="s">
        <v>154</v>
      </c>
      <c r="D138" s="88">
        <f t="shared" si="18"/>
        <v>1</v>
      </c>
      <c r="E138" s="88">
        <f t="shared" si="18"/>
        <v>1</v>
      </c>
      <c r="F138" s="88">
        <f t="shared" si="18"/>
        <v>1</v>
      </c>
      <c r="G138" s="88">
        <f t="shared" si="18"/>
        <v>1</v>
      </c>
      <c r="H138" s="88">
        <f t="shared" si="18"/>
        <v>1</v>
      </c>
    </row>
    <row r="139" spans="1:8" ht="13.25" customHeight="1" x14ac:dyDescent="0.25">
      <c r="B139" s="104"/>
      <c r="C139" s="8" t="s">
        <v>155</v>
      </c>
      <c r="D139" s="88">
        <f t="shared" si="18"/>
        <v>1</v>
      </c>
      <c r="E139" s="88">
        <f t="shared" si="18"/>
        <v>1</v>
      </c>
      <c r="F139" s="88">
        <f t="shared" si="18"/>
        <v>1</v>
      </c>
      <c r="G139" s="88">
        <f t="shared" si="18"/>
        <v>1</v>
      </c>
      <c r="H139" s="88">
        <f t="shared" si="18"/>
        <v>1</v>
      </c>
    </row>
    <row r="140" spans="1:8" ht="13" customHeight="1" x14ac:dyDescent="0.25">
      <c r="B140" s="65" t="s">
        <v>156</v>
      </c>
      <c r="C140" s="8" t="s">
        <v>155</v>
      </c>
      <c r="D140" s="88">
        <f t="shared" si="18"/>
        <v>1</v>
      </c>
      <c r="E140" s="88">
        <f t="shared" si="18"/>
        <v>1</v>
      </c>
      <c r="F140" s="88">
        <f t="shared" si="18"/>
        <v>1</v>
      </c>
      <c r="G140" s="88">
        <f t="shared" si="18"/>
        <v>1</v>
      </c>
      <c r="H140" s="88">
        <f t="shared" si="18"/>
        <v>1</v>
      </c>
    </row>
    <row r="141" spans="1:8" ht="13.25" customHeight="1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242</v>
      </c>
      <c r="B142" s="103" t="s">
        <v>100</v>
      </c>
      <c r="C142" s="8" t="s">
        <v>153</v>
      </c>
      <c r="D142" s="88">
        <f t="shared" ref="D142:H151" si="19">IF(D36=1,1,D36*1.05)</f>
        <v>1</v>
      </c>
      <c r="E142" s="88">
        <f t="shared" si="19"/>
        <v>1</v>
      </c>
      <c r="F142" s="88">
        <f t="shared" si="19"/>
        <v>1</v>
      </c>
      <c r="G142" s="88">
        <f t="shared" si="19"/>
        <v>1</v>
      </c>
      <c r="H142" s="88">
        <f t="shared" si="19"/>
        <v>1</v>
      </c>
    </row>
    <row r="143" spans="1:8" ht="13.25" customHeight="1" x14ac:dyDescent="0.25">
      <c r="B143" s="104"/>
      <c r="C143" s="8" t="s">
        <v>154</v>
      </c>
      <c r="D143" s="88">
        <f t="shared" si="19"/>
        <v>1</v>
      </c>
      <c r="E143" s="88">
        <f t="shared" si="19"/>
        <v>1</v>
      </c>
      <c r="F143" s="88">
        <f t="shared" si="19"/>
        <v>1</v>
      </c>
      <c r="G143" s="88">
        <f t="shared" si="19"/>
        <v>1</v>
      </c>
      <c r="H143" s="88">
        <f t="shared" si="19"/>
        <v>1</v>
      </c>
    </row>
    <row r="144" spans="1:8" ht="13.25" customHeight="1" x14ac:dyDescent="0.25">
      <c r="B144" s="104"/>
      <c r="C144" s="8" t="s">
        <v>155</v>
      </c>
      <c r="D144" s="88">
        <f t="shared" si="19"/>
        <v>1</v>
      </c>
      <c r="E144" s="88">
        <f t="shared" si="19"/>
        <v>1</v>
      </c>
      <c r="F144" s="88">
        <f t="shared" si="19"/>
        <v>1</v>
      </c>
      <c r="G144" s="88">
        <f t="shared" si="19"/>
        <v>1</v>
      </c>
      <c r="H144" s="88">
        <f t="shared" si="19"/>
        <v>1</v>
      </c>
    </row>
    <row r="145" spans="2:8" ht="13.25" customHeight="1" x14ac:dyDescent="0.25">
      <c r="B145" s="103" t="s">
        <v>109</v>
      </c>
      <c r="C145" s="8" t="s">
        <v>153</v>
      </c>
      <c r="D145" s="88">
        <f t="shared" si="19"/>
        <v>1</v>
      </c>
      <c r="E145" s="88">
        <f t="shared" si="19"/>
        <v>1</v>
      </c>
      <c r="F145" s="88">
        <f t="shared" si="19"/>
        <v>1</v>
      </c>
      <c r="G145" s="88">
        <f t="shared" si="19"/>
        <v>1</v>
      </c>
      <c r="H145" s="88">
        <f t="shared" si="19"/>
        <v>1</v>
      </c>
    </row>
    <row r="146" spans="2:8" ht="13.25" customHeight="1" x14ac:dyDescent="0.25">
      <c r="B146" s="104"/>
      <c r="C146" s="8" t="s">
        <v>154</v>
      </c>
      <c r="D146" s="88">
        <f t="shared" si="19"/>
        <v>1</v>
      </c>
      <c r="E146" s="88">
        <f t="shared" si="19"/>
        <v>1</v>
      </c>
      <c r="F146" s="88">
        <f t="shared" si="19"/>
        <v>1</v>
      </c>
      <c r="G146" s="88">
        <f t="shared" si="19"/>
        <v>1</v>
      </c>
      <c r="H146" s="88">
        <f t="shared" si="19"/>
        <v>1</v>
      </c>
    </row>
    <row r="147" spans="2:8" ht="13.25" customHeight="1" x14ac:dyDescent="0.25">
      <c r="B147" s="104"/>
      <c r="C147" s="8" t="s">
        <v>155</v>
      </c>
      <c r="D147" s="88">
        <f t="shared" si="19"/>
        <v>1</v>
      </c>
      <c r="E147" s="88">
        <f t="shared" si="19"/>
        <v>1</v>
      </c>
      <c r="F147" s="88">
        <f t="shared" si="19"/>
        <v>1</v>
      </c>
      <c r="G147" s="88">
        <f t="shared" si="19"/>
        <v>1</v>
      </c>
      <c r="H147" s="88">
        <f t="shared" si="19"/>
        <v>1</v>
      </c>
    </row>
    <row r="148" spans="2:8" ht="13.25" customHeight="1" x14ac:dyDescent="0.25">
      <c r="B148" s="103" t="s">
        <v>96</v>
      </c>
      <c r="C148" s="8" t="s">
        <v>153</v>
      </c>
      <c r="D148" s="88">
        <f t="shared" si="19"/>
        <v>1</v>
      </c>
      <c r="E148" s="88">
        <f t="shared" si="19"/>
        <v>1</v>
      </c>
      <c r="F148" s="88">
        <f t="shared" si="19"/>
        <v>1</v>
      </c>
      <c r="G148" s="88">
        <f t="shared" si="19"/>
        <v>1</v>
      </c>
      <c r="H148" s="88">
        <f t="shared" si="19"/>
        <v>1</v>
      </c>
    </row>
    <row r="149" spans="2:8" ht="13.25" customHeight="1" x14ac:dyDescent="0.25">
      <c r="B149" s="104"/>
      <c r="C149" s="8" t="s">
        <v>154</v>
      </c>
      <c r="D149" s="88">
        <f t="shared" si="19"/>
        <v>1</v>
      </c>
      <c r="E149" s="88">
        <f t="shared" si="19"/>
        <v>1</v>
      </c>
      <c r="F149" s="88">
        <f t="shared" si="19"/>
        <v>1</v>
      </c>
      <c r="G149" s="88">
        <f t="shared" si="19"/>
        <v>1</v>
      </c>
      <c r="H149" s="88">
        <f t="shared" si="19"/>
        <v>1</v>
      </c>
    </row>
    <row r="150" spans="2:8" ht="13.25" customHeight="1" x14ac:dyDescent="0.25">
      <c r="B150" s="104"/>
      <c r="C150" s="8" t="s">
        <v>155</v>
      </c>
      <c r="D150" s="88">
        <f t="shared" si="19"/>
        <v>1</v>
      </c>
      <c r="E150" s="88">
        <f t="shared" si="19"/>
        <v>1</v>
      </c>
      <c r="F150" s="88">
        <f t="shared" si="19"/>
        <v>1</v>
      </c>
      <c r="G150" s="88">
        <f t="shared" si="19"/>
        <v>1</v>
      </c>
      <c r="H150" s="88">
        <f t="shared" si="19"/>
        <v>1</v>
      </c>
    </row>
    <row r="151" spans="2:8" ht="13.25" customHeight="1" x14ac:dyDescent="0.25">
      <c r="B151" s="103" t="s">
        <v>97</v>
      </c>
      <c r="C151" s="8" t="s">
        <v>153</v>
      </c>
      <c r="D151" s="88">
        <f t="shared" si="19"/>
        <v>1</v>
      </c>
      <c r="E151" s="88">
        <f t="shared" si="19"/>
        <v>1</v>
      </c>
      <c r="F151" s="88">
        <f t="shared" si="19"/>
        <v>1</v>
      </c>
      <c r="G151" s="88">
        <f t="shared" si="19"/>
        <v>1</v>
      </c>
      <c r="H151" s="88">
        <f t="shared" si="19"/>
        <v>1</v>
      </c>
    </row>
    <row r="152" spans="2:8" x14ac:dyDescent="0.25">
      <c r="B152" s="104"/>
      <c r="C152" s="8" t="s">
        <v>154</v>
      </c>
      <c r="D152" s="88">
        <f t="shared" ref="D152:H157" si="20">IF(D46=1,1,D46*1.05)</f>
        <v>1</v>
      </c>
      <c r="E152" s="88">
        <f t="shared" si="20"/>
        <v>1</v>
      </c>
      <c r="F152" s="88">
        <f t="shared" si="20"/>
        <v>1</v>
      </c>
      <c r="G152" s="88">
        <f t="shared" si="20"/>
        <v>1</v>
      </c>
      <c r="H152" s="88">
        <f t="shared" si="20"/>
        <v>1</v>
      </c>
    </row>
    <row r="153" spans="2:8" x14ac:dyDescent="0.25">
      <c r="B153" s="104"/>
      <c r="C153" s="8" t="s">
        <v>155</v>
      </c>
      <c r="D153" s="88">
        <f t="shared" si="20"/>
        <v>1</v>
      </c>
      <c r="E153" s="88">
        <f t="shared" si="20"/>
        <v>1</v>
      </c>
      <c r="F153" s="88">
        <f t="shared" si="20"/>
        <v>1</v>
      </c>
      <c r="G153" s="88">
        <f t="shared" si="20"/>
        <v>1</v>
      </c>
      <c r="H153" s="88">
        <f t="shared" si="20"/>
        <v>1</v>
      </c>
    </row>
    <row r="154" spans="2:8" x14ac:dyDescent="0.25">
      <c r="B154" s="103" t="s">
        <v>98</v>
      </c>
      <c r="C154" s="8" t="s">
        <v>153</v>
      </c>
      <c r="D154" s="88">
        <f t="shared" si="20"/>
        <v>1</v>
      </c>
      <c r="E154" s="88">
        <f t="shared" si="20"/>
        <v>1</v>
      </c>
      <c r="F154" s="88">
        <f t="shared" si="20"/>
        <v>1</v>
      </c>
      <c r="G154" s="88">
        <f t="shared" si="20"/>
        <v>1</v>
      </c>
      <c r="H154" s="88">
        <f t="shared" si="20"/>
        <v>1</v>
      </c>
    </row>
    <row r="155" spans="2:8" x14ac:dyDescent="0.25">
      <c r="B155" s="104"/>
      <c r="C155" s="8" t="s">
        <v>154</v>
      </c>
      <c r="D155" s="88">
        <f t="shared" si="20"/>
        <v>1</v>
      </c>
      <c r="E155" s="88">
        <f t="shared" si="20"/>
        <v>1</v>
      </c>
      <c r="F155" s="88">
        <f t="shared" si="20"/>
        <v>1</v>
      </c>
      <c r="G155" s="88">
        <f t="shared" si="20"/>
        <v>1</v>
      </c>
      <c r="H155" s="88">
        <f t="shared" si="20"/>
        <v>1</v>
      </c>
    </row>
    <row r="156" spans="2:8" x14ac:dyDescent="0.25">
      <c r="B156" s="104"/>
      <c r="C156" s="8" t="s">
        <v>155</v>
      </c>
      <c r="D156" s="88">
        <f t="shared" si="20"/>
        <v>1</v>
      </c>
      <c r="E156" s="88">
        <f t="shared" si="20"/>
        <v>1</v>
      </c>
      <c r="F156" s="88">
        <f t="shared" si="20"/>
        <v>1</v>
      </c>
      <c r="G156" s="88">
        <f t="shared" si="20"/>
        <v>1</v>
      </c>
      <c r="H156" s="88">
        <f t="shared" si="20"/>
        <v>1</v>
      </c>
    </row>
    <row r="157" spans="2:8" ht="13" customHeight="1" x14ac:dyDescent="0.25">
      <c r="B157" s="65" t="s">
        <v>156</v>
      </c>
      <c r="C157" s="8" t="s">
        <v>155</v>
      </c>
      <c r="D157" s="88">
        <f t="shared" si="20"/>
        <v>1</v>
      </c>
      <c r="E157" s="88">
        <f t="shared" si="20"/>
        <v>1</v>
      </c>
      <c r="F157" s="88">
        <f t="shared" si="20"/>
        <v>1</v>
      </c>
      <c r="G157" s="88">
        <f t="shared" si="20"/>
        <v>1</v>
      </c>
      <c r="H157" s="88">
        <f t="shared" si="20"/>
        <v>1</v>
      </c>
    </row>
  </sheetData>
  <sheetProtection algorithmName="SHA-512" hashValue="ZnOPvPKcy/Kv8aAA1h1gpQhRDjp8RFHaCCoxa4xDe3G3BwXCWNS/igG/pgEsNuxmBObNT/EmpfEYQL7IEUIydQ==" saltValue="yc9Sfy9GbEffFdxuYq2oQA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42" zoomScale="85" zoomScaleNormal="85" workbookViewId="0">
      <selection activeCell="C9" sqref="C9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243</v>
      </c>
    </row>
    <row r="2" spans="1:6" ht="15.75" customHeight="1" x14ac:dyDescent="0.3">
      <c r="B2" s="69"/>
      <c r="C2" s="26" t="s">
        <v>54</v>
      </c>
      <c r="D2" s="70" t="s">
        <v>53</v>
      </c>
      <c r="E2" s="70" t="s">
        <v>52</v>
      </c>
      <c r="F2" s="70" t="s">
        <v>51</v>
      </c>
    </row>
    <row r="3" spans="1:6" ht="15.75" customHeight="1" x14ac:dyDescent="0.3">
      <c r="A3" s="4" t="s">
        <v>244</v>
      </c>
      <c r="B3" s="14"/>
      <c r="C3" s="71"/>
      <c r="D3" s="72"/>
      <c r="E3" s="72"/>
      <c r="F3" s="72"/>
    </row>
    <row r="4" spans="1:6" ht="15.75" customHeight="1" x14ac:dyDescent="0.25">
      <c r="B4" s="5" t="s">
        <v>37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38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39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40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249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245</v>
      </c>
      <c r="C11" s="74"/>
      <c r="D11" s="75"/>
      <c r="E11" s="75"/>
      <c r="F11" s="75"/>
    </row>
    <row r="12" spans="1:6" ht="15.75" customHeight="1" x14ac:dyDescent="0.3">
      <c r="A12" s="4" t="s">
        <v>246</v>
      </c>
      <c r="C12" s="73"/>
      <c r="D12" s="64"/>
      <c r="E12" s="64"/>
      <c r="F12" s="64"/>
    </row>
    <row r="13" spans="1:6" ht="15.75" customHeight="1" x14ac:dyDescent="0.25">
      <c r="B13" s="11" t="s">
        <v>247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119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120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248</v>
      </c>
      <c r="B17" s="14"/>
      <c r="C17" s="77"/>
      <c r="D17" s="78"/>
      <c r="E17" s="78"/>
      <c r="F17" s="78"/>
    </row>
    <row r="18" spans="1:6" ht="15.75" customHeight="1" x14ac:dyDescent="0.25">
      <c r="B18" s="5" t="s">
        <v>78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79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80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81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82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83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84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85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243</v>
      </c>
    </row>
    <row r="29" spans="1:6" ht="15.75" customHeight="1" x14ac:dyDescent="0.3">
      <c r="B29" s="69"/>
      <c r="C29" s="26" t="s">
        <v>54</v>
      </c>
      <c r="D29" s="70" t="s">
        <v>53</v>
      </c>
      <c r="E29" s="70" t="s">
        <v>52</v>
      </c>
      <c r="F29" s="70" t="s">
        <v>51</v>
      </c>
    </row>
    <row r="30" spans="1:6" ht="15.75" customHeight="1" x14ac:dyDescent="0.3">
      <c r="A30" s="4" t="s">
        <v>250</v>
      </c>
      <c r="B30" s="14"/>
      <c r="C30" s="71"/>
      <c r="D30" s="72"/>
      <c r="E30" s="72"/>
      <c r="F30" s="72"/>
    </row>
    <row r="31" spans="1:6" ht="15.75" customHeight="1" x14ac:dyDescent="0.25">
      <c r="B31" s="5" t="s">
        <v>37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38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39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40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262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245</v>
      </c>
      <c r="B38" s="68"/>
      <c r="C38" s="74"/>
      <c r="D38" s="75"/>
      <c r="E38" s="75"/>
      <c r="F38" s="75"/>
    </row>
    <row r="39" spans="1:6" ht="15.75" customHeight="1" x14ac:dyDescent="0.3">
      <c r="A39" s="4" t="s">
        <v>251</v>
      </c>
      <c r="C39" s="73"/>
      <c r="D39" s="64"/>
      <c r="E39" s="64"/>
      <c r="F39" s="64"/>
    </row>
    <row r="40" spans="1:6" ht="15.75" customHeight="1" x14ac:dyDescent="0.25">
      <c r="B40" s="11" t="s">
        <v>256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257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258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252</v>
      </c>
      <c r="B44" s="14"/>
      <c r="C44" s="77"/>
      <c r="D44" s="78"/>
      <c r="E44" s="78"/>
      <c r="F44" s="78"/>
    </row>
    <row r="45" spans="1:6" ht="15.75" customHeight="1" x14ac:dyDescent="0.25">
      <c r="B45" s="5" t="s">
        <v>78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79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80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81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82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83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84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85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239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243</v>
      </c>
    </row>
    <row r="56" spans="1:6" ht="15.75" customHeight="1" x14ac:dyDescent="0.3">
      <c r="B56" s="69"/>
      <c r="C56" s="26" t="s">
        <v>54</v>
      </c>
      <c r="D56" s="70" t="s">
        <v>53</v>
      </c>
      <c r="E56" s="70" t="s">
        <v>52</v>
      </c>
      <c r="F56" s="70" t="s">
        <v>51</v>
      </c>
    </row>
    <row r="57" spans="1:6" ht="15.75" customHeight="1" x14ac:dyDescent="0.3">
      <c r="A57" s="4" t="s">
        <v>253</v>
      </c>
      <c r="B57" s="14"/>
      <c r="C57" s="71"/>
      <c r="D57" s="72"/>
      <c r="E57" s="72"/>
      <c r="F57" s="72"/>
    </row>
    <row r="58" spans="1:6" ht="15.75" customHeight="1" x14ac:dyDescent="0.25">
      <c r="B58" s="5" t="s">
        <v>37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38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39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40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263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245</v>
      </c>
      <c r="B65" s="68"/>
      <c r="C65" s="74"/>
      <c r="D65" s="75"/>
      <c r="E65" s="75"/>
      <c r="F65" s="75"/>
    </row>
    <row r="66" spans="1:6" ht="15.75" customHeight="1" x14ac:dyDescent="0.3">
      <c r="A66" s="4" t="s">
        <v>254</v>
      </c>
      <c r="C66" s="73"/>
      <c r="D66" s="64"/>
      <c r="E66" s="64"/>
      <c r="F66" s="64"/>
    </row>
    <row r="67" spans="1:6" ht="15.75" customHeight="1" x14ac:dyDescent="0.25">
      <c r="B67" s="11" t="s">
        <v>259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260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261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255</v>
      </c>
      <c r="B71" s="14"/>
      <c r="C71" s="77"/>
      <c r="D71" s="78"/>
      <c r="E71" s="78"/>
      <c r="F71" s="78"/>
    </row>
    <row r="72" spans="1:6" ht="15.75" customHeight="1" x14ac:dyDescent="0.25">
      <c r="B72" s="5" t="s">
        <v>78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79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80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81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82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83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84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85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X/7H3I72G6GnWujJdG1N+UrTqS21MDtuqvlMGxOn4OTYOXPz1/E7yX1zcRZB72VRH5CdklI4Xyp6oPrXonUSuA==" saltValue="hg+1rb/oR6qZG2CyK0pkb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8" sqref="D8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264</v>
      </c>
    </row>
    <row r="2" spans="1:16" ht="13" customHeight="1" x14ac:dyDescent="0.3">
      <c r="A2" s="39" t="s">
        <v>226</v>
      </c>
      <c r="B2" s="1" t="s">
        <v>265</v>
      </c>
      <c r="C2" s="1" t="s">
        <v>266</v>
      </c>
      <c r="D2" s="70" t="s">
        <v>109</v>
      </c>
      <c r="E2" s="70" t="s">
        <v>96</v>
      </c>
      <c r="F2" s="70" t="s">
        <v>97</v>
      </c>
      <c r="G2" s="70" t="s">
        <v>98</v>
      </c>
      <c r="H2" s="70" t="s">
        <v>99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87</v>
      </c>
      <c r="C3" s="3" t="s">
        <v>10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267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268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269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88</v>
      </c>
      <c r="C7" s="3" t="s">
        <v>10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267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268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269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10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267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268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269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91</v>
      </c>
      <c r="C15" s="3" t="s">
        <v>10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267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268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269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89</v>
      </c>
      <c r="C19" s="3" t="s">
        <v>10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267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268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269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95</v>
      </c>
      <c r="C23" s="3" t="s">
        <v>10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267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268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269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278</v>
      </c>
    </row>
    <row r="29" spans="1:16" ht="13" customHeight="1" x14ac:dyDescent="0.3">
      <c r="A29" s="39" t="s">
        <v>279</v>
      </c>
      <c r="B29" s="4" t="s">
        <v>265</v>
      </c>
      <c r="C29" s="4" t="s">
        <v>270</v>
      </c>
      <c r="D29" s="70" t="s">
        <v>109</v>
      </c>
      <c r="E29" s="70" t="s">
        <v>96</v>
      </c>
      <c r="F29" s="70" t="s">
        <v>97</v>
      </c>
      <c r="G29" s="70" t="s">
        <v>98</v>
      </c>
      <c r="H29" s="70" t="s">
        <v>99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87</v>
      </c>
      <c r="C30" s="3" t="s">
        <v>10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267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209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208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88</v>
      </c>
      <c r="C34" s="3" t="s">
        <v>10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267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209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208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10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267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209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208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91</v>
      </c>
      <c r="C42" s="3" t="s">
        <v>10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267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209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208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89</v>
      </c>
      <c r="C46" s="3" t="s">
        <v>10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267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209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208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95</v>
      </c>
      <c r="C50" s="3" t="s">
        <v>10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267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209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208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271</v>
      </c>
    </row>
    <row r="56" spans="1:16" ht="26" customHeight="1" x14ac:dyDescent="0.3">
      <c r="A56" s="39" t="s">
        <v>121</v>
      </c>
      <c r="B56" s="4" t="s">
        <v>265</v>
      </c>
      <c r="C56" s="69" t="s">
        <v>272</v>
      </c>
      <c r="D56" s="70" t="s">
        <v>122</v>
      </c>
      <c r="E56" s="70" t="s">
        <v>123</v>
      </c>
      <c r="F56" s="70" t="s">
        <v>124</v>
      </c>
      <c r="G56" s="70" t="s">
        <v>125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101</v>
      </c>
      <c r="C57" s="3" t="s">
        <v>273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274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102</v>
      </c>
      <c r="C59" s="3" t="s">
        <v>273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274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273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274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275</v>
      </c>
    </row>
    <row r="65" spans="1:16" ht="26" customHeight="1" x14ac:dyDescent="0.3">
      <c r="A65" s="39" t="s">
        <v>128</v>
      </c>
      <c r="B65" s="4" t="s">
        <v>265</v>
      </c>
      <c r="C65" s="69" t="s">
        <v>276</v>
      </c>
      <c r="D65" s="70" t="s">
        <v>109</v>
      </c>
      <c r="E65" s="70" t="s">
        <v>96</v>
      </c>
      <c r="F65" s="70" t="s">
        <v>97</v>
      </c>
      <c r="G65" s="70" t="s">
        <v>98</v>
      </c>
      <c r="H65" s="81" t="s">
        <v>99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78</v>
      </c>
      <c r="C66" s="3" t="s">
        <v>129</v>
      </c>
      <c r="D66" s="90">
        <v>1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130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131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132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79</v>
      </c>
      <c r="C70" s="3" t="s">
        <v>129</v>
      </c>
      <c r="D70" s="90">
        <v>1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130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131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132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80</v>
      </c>
      <c r="C74" s="3" t="s">
        <v>129</v>
      </c>
      <c r="D74" s="90">
        <v>1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130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131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132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82</v>
      </c>
      <c r="C78" s="3" t="s">
        <v>129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130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131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132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87</v>
      </c>
      <c r="C82" s="3" t="s">
        <v>129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130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131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132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88</v>
      </c>
      <c r="C86" s="3" t="s">
        <v>129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130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131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132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129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130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131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132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89</v>
      </c>
      <c r="C94" s="3" t="s">
        <v>129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130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131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132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92</v>
      </c>
      <c r="C98" s="3" t="s">
        <v>129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130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131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132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277</v>
      </c>
    </row>
    <row r="104" spans="1:16" ht="26" customHeight="1" x14ac:dyDescent="0.3">
      <c r="A104" s="39" t="s">
        <v>87</v>
      </c>
      <c r="B104" s="82" t="s">
        <v>132</v>
      </c>
      <c r="C104" s="69" t="s">
        <v>276</v>
      </c>
      <c r="D104" s="70" t="s">
        <v>109</v>
      </c>
      <c r="E104" s="70" t="s">
        <v>96</v>
      </c>
      <c r="F104" s="70" t="s">
        <v>97</v>
      </c>
      <c r="G104" s="70" t="s">
        <v>98</v>
      </c>
      <c r="H104" s="81" t="s">
        <v>99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129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130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131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132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264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226</v>
      </c>
      <c r="B112" s="1" t="s">
        <v>265</v>
      </c>
      <c r="C112" s="1" t="s">
        <v>266</v>
      </c>
      <c r="D112" s="70" t="s">
        <v>109</v>
      </c>
      <c r="E112" s="70" t="s">
        <v>96</v>
      </c>
      <c r="F112" s="70" t="s">
        <v>97</v>
      </c>
      <c r="G112" s="70" t="s">
        <v>98</v>
      </c>
      <c r="H112" s="70" t="s">
        <v>99</v>
      </c>
    </row>
    <row r="113" spans="1:8" ht="13" customHeight="1" x14ac:dyDescent="0.3">
      <c r="A113" s="4"/>
      <c r="B113" s="8" t="s">
        <v>87</v>
      </c>
      <c r="C113" s="3" t="s">
        <v>10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267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268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269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88</v>
      </c>
      <c r="C117" s="3" t="s">
        <v>10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267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268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269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10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267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268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269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91</v>
      </c>
      <c r="C125" s="3" t="s">
        <v>10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267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268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269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89</v>
      </c>
      <c r="C129" s="3" t="s">
        <v>10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267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268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269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95</v>
      </c>
      <c r="C133" s="3" t="s">
        <v>10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267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268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269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278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279</v>
      </c>
      <c r="B139" s="4" t="s">
        <v>265</v>
      </c>
      <c r="C139" s="4" t="s">
        <v>270</v>
      </c>
      <c r="D139" s="70" t="s">
        <v>109</v>
      </c>
      <c r="E139" s="70" t="s">
        <v>96</v>
      </c>
      <c r="F139" s="70" t="s">
        <v>97</v>
      </c>
      <c r="G139" s="70" t="s">
        <v>98</v>
      </c>
      <c r="H139" s="70" t="s">
        <v>99</v>
      </c>
    </row>
    <row r="140" spans="1:8" ht="13" customHeight="1" x14ac:dyDescent="0.3">
      <c r="A140" s="4"/>
      <c r="B140" s="8" t="s">
        <v>87</v>
      </c>
      <c r="C140" s="3" t="s">
        <v>10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267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209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208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88</v>
      </c>
      <c r="C144" s="3" t="s">
        <v>10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267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209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208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10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267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209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208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91</v>
      </c>
      <c r="C152" s="3" t="s">
        <v>10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267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209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208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89</v>
      </c>
      <c r="C156" s="3" t="s">
        <v>10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267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209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208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95</v>
      </c>
      <c r="C160" s="3" t="s">
        <v>10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267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209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208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271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121</v>
      </c>
      <c r="B166" s="4" t="s">
        <v>265</v>
      </c>
      <c r="C166" s="69" t="s">
        <v>272</v>
      </c>
      <c r="D166" s="70" t="s">
        <v>122</v>
      </c>
      <c r="E166" s="70" t="s">
        <v>123</v>
      </c>
      <c r="F166" s="70" t="s">
        <v>124</v>
      </c>
      <c r="G166" s="70" t="s">
        <v>125</v>
      </c>
      <c r="H166" s="79"/>
    </row>
    <row r="167" spans="1:8" ht="13" customHeight="1" x14ac:dyDescent="0.3">
      <c r="A167" s="4"/>
      <c r="B167" s="8" t="s">
        <v>101</v>
      </c>
      <c r="C167" s="3" t="s">
        <v>273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274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102</v>
      </c>
      <c r="C169" s="3" t="s">
        <v>273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274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273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274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275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128</v>
      </c>
      <c r="B175" s="4" t="s">
        <v>265</v>
      </c>
      <c r="C175" s="69" t="s">
        <v>276</v>
      </c>
      <c r="D175" s="70" t="s">
        <v>109</v>
      </c>
      <c r="E175" s="70" t="s">
        <v>96</v>
      </c>
      <c r="F175" s="70" t="s">
        <v>97</v>
      </c>
      <c r="G175" s="70" t="s">
        <v>98</v>
      </c>
      <c r="H175" s="81" t="s">
        <v>99</v>
      </c>
    </row>
    <row r="176" spans="1:8" ht="13" customHeight="1" x14ac:dyDescent="0.3">
      <c r="A176" s="82"/>
      <c r="B176" s="8" t="s">
        <v>78</v>
      </c>
      <c r="C176" s="3" t="s">
        <v>129</v>
      </c>
      <c r="D176" s="91">
        <f t="shared" ref="D176:G195" si="7">IF(D66=1,1,D66*0.9)</f>
        <v>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130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131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132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79</v>
      </c>
      <c r="C180" s="3" t="s">
        <v>129</v>
      </c>
      <c r="D180" s="91">
        <f t="shared" si="7"/>
        <v>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130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131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132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80</v>
      </c>
      <c r="C184" s="3" t="s">
        <v>129</v>
      </c>
      <c r="D184" s="91">
        <f t="shared" si="7"/>
        <v>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130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131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132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82</v>
      </c>
      <c r="C188" s="3" t="s">
        <v>129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130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131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132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87</v>
      </c>
      <c r="C192" s="3" t="s">
        <v>129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130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131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132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88</v>
      </c>
      <c r="C196" s="3" t="s">
        <v>129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130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131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132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129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130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131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132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89</v>
      </c>
      <c r="C204" s="3" t="s">
        <v>129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130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131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132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92</v>
      </c>
      <c r="C208" s="3" t="s">
        <v>129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130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131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132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277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87</v>
      </c>
      <c r="B214" s="82" t="s">
        <v>132</v>
      </c>
      <c r="C214" s="69" t="s">
        <v>276</v>
      </c>
      <c r="D214" s="70" t="s">
        <v>109</v>
      </c>
      <c r="E214" s="70" t="s">
        <v>96</v>
      </c>
      <c r="F214" s="70" t="s">
        <v>97</v>
      </c>
      <c r="G214" s="70" t="s">
        <v>98</v>
      </c>
      <c r="H214" s="81" t="s">
        <v>99</v>
      </c>
    </row>
    <row r="215" spans="1:9" ht="13" customHeight="1" x14ac:dyDescent="0.3">
      <c r="A215" s="4"/>
      <c r="C215" s="3" t="s">
        <v>129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130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131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132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239</v>
      </c>
      <c r="H220" s="92"/>
    </row>
    <row r="221" spans="1:9" ht="13" customHeight="1" x14ac:dyDescent="0.3">
      <c r="A221" s="67" t="s">
        <v>264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226</v>
      </c>
      <c r="B222" s="1" t="s">
        <v>265</v>
      </c>
      <c r="C222" s="1" t="s">
        <v>266</v>
      </c>
      <c r="D222" s="70" t="s">
        <v>109</v>
      </c>
      <c r="E222" s="70" t="s">
        <v>96</v>
      </c>
      <c r="F222" s="70" t="s">
        <v>97</v>
      </c>
      <c r="G222" s="70" t="s">
        <v>98</v>
      </c>
      <c r="H222" s="70" t="s">
        <v>99</v>
      </c>
      <c r="I222" s="79"/>
    </row>
    <row r="223" spans="1:9" ht="13" customHeight="1" x14ac:dyDescent="0.3">
      <c r="A223" s="4"/>
      <c r="B223" s="8" t="s">
        <v>87</v>
      </c>
      <c r="C223" s="3" t="s">
        <v>10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267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268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269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88</v>
      </c>
      <c r="C227" s="3" t="s">
        <v>10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267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268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269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10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267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268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269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91</v>
      </c>
      <c r="C235" s="3" t="s">
        <v>10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267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268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269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89</v>
      </c>
      <c r="C239" s="3" t="s">
        <v>10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267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268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269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95</v>
      </c>
      <c r="C243" s="3" t="s">
        <v>10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267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268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269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278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279</v>
      </c>
      <c r="B249" s="4" t="s">
        <v>265</v>
      </c>
      <c r="C249" s="4" t="s">
        <v>270</v>
      </c>
      <c r="D249" s="70" t="s">
        <v>109</v>
      </c>
      <c r="E249" s="70" t="s">
        <v>96</v>
      </c>
      <c r="F249" s="70" t="s">
        <v>97</v>
      </c>
      <c r="G249" s="70" t="s">
        <v>98</v>
      </c>
      <c r="H249" s="70" t="s">
        <v>99</v>
      </c>
      <c r="I249" s="79"/>
    </row>
    <row r="250" spans="1:9" ht="13" customHeight="1" x14ac:dyDescent="0.3">
      <c r="A250" s="4"/>
      <c r="B250" s="8" t="s">
        <v>87</v>
      </c>
      <c r="C250" s="3" t="s">
        <v>10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267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209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208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88</v>
      </c>
      <c r="C254" s="3" t="s">
        <v>10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267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209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208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10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267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209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208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91</v>
      </c>
      <c r="C262" s="3" t="s">
        <v>10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267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209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208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89</v>
      </c>
      <c r="C266" s="3" t="s">
        <v>10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267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209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208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95</v>
      </c>
      <c r="C270" s="3" t="s">
        <v>10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267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209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208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271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121</v>
      </c>
      <c r="B276" s="4" t="s">
        <v>265</v>
      </c>
      <c r="C276" s="69" t="s">
        <v>272</v>
      </c>
      <c r="D276" s="70" t="s">
        <v>122</v>
      </c>
      <c r="E276" s="70" t="s">
        <v>123</v>
      </c>
      <c r="F276" s="70" t="s">
        <v>124</v>
      </c>
      <c r="G276" s="70" t="s">
        <v>125</v>
      </c>
      <c r="H276" s="79"/>
    </row>
    <row r="277" spans="1:9" ht="13" customHeight="1" x14ac:dyDescent="0.3">
      <c r="A277" s="4"/>
      <c r="B277" s="8" t="s">
        <v>101</v>
      </c>
      <c r="C277" s="3" t="s">
        <v>273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274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102</v>
      </c>
      <c r="C279" s="3" t="s">
        <v>273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274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273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274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275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128</v>
      </c>
      <c r="B285" s="4" t="s">
        <v>265</v>
      </c>
      <c r="C285" s="69" t="s">
        <v>276</v>
      </c>
      <c r="D285" s="70" t="s">
        <v>109</v>
      </c>
      <c r="E285" s="70" t="s">
        <v>96</v>
      </c>
      <c r="F285" s="70" t="s">
        <v>97</v>
      </c>
      <c r="G285" s="70" t="s">
        <v>98</v>
      </c>
      <c r="H285" s="81" t="s">
        <v>99</v>
      </c>
      <c r="I285" s="79"/>
    </row>
    <row r="286" spans="1:9" ht="13" customHeight="1" x14ac:dyDescent="0.3">
      <c r="A286" s="82"/>
      <c r="B286" s="8" t="s">
        <v>78</v>
      </c>
      <c r="C286" s="3" t="s">
        <v>129</v>
      </c>
      <c r="D286" s="91">
        <f t="shared" ref="D286:G305" si="17">IF(D66=1,1,D66*1.1)</f>
        <v>1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130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131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132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79</v>
      </c>
      <c r="C290" s="3" t="s">
        <v>129</v>
      </c>
      <c r="D290" s="91">
        <f t="shared" si="17"/>
        <v>1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130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131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132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80</v>
      </c>
      <c r="C294" s="3" t="s">
        <v>129</v>
      </c>
      <c r="D294" s="91">
        <f t="shared" si="17"/>
        <v>1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130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131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132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82</v>
      </c>
      <c r="C298" s="3" t="s">
        <v>129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130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131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132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87</v>
      </c>
      <c r="C302" s="3" t="s">
        <v>129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130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131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132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88</v>
      </c>
      <c r="C306" s="3" t="s">
        <v>129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130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131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132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129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130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131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132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89</v>
      </c>
      <c r="C314" s="3" t="s">
        <v>129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130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131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132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92</v>
      </c>
      <c r="C318" s="3" t="s">
        <v>129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130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131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132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277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87</v>
      </c>
      <c r="B324" s="82" t="s">
        <v>132</v>
      </c>
      <c r="C324" s="69" t="s">
        <v>276</v>
      </c>
      <c r="D324" s="70" t="s">
        <v>109</v>
      </c>
      <c r="E324" s="70" t="s">
        <v>96</v>
      </c>
      <c r="F324" s="70" t="s">
        <v>97</v>
      </c>
      <c r="G324" s="70" t="s">
        <v>98</v>
      </c>
      <c r="H324" s="81" t="s">
        <v>99</v>
      </c>
      <c r="I324" s="79"/>
    </row>
    <row r="325" spans="1:9" ht="13" customHeight="1" x14ac:dyDescent="0.3">
      <c r="A325" s="4"/>
      <c r="C325" s="3" t="s">
        <v>129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130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131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132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IiYnN/lf0ZvchUlu60PtLqG+VFvdQ34vt5DIWe7XghGlNd07yJrwIhsTChAZWmlH4ziat8Zz7F4y0Dm6dUg2uw==" saltValue="5r5eXxprrKI8Cx3wJrTPo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topLeftCell="A35" zoomScale="70" zoomScaleNormal="70" workbookViewId="0">
      <selection activeCell="C8" sqref="C8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233</v>
      </c>
    </row>
    <row r="2" spans="1:7" ht="14.25" customHeight="1" x14ac:dyDescent="0.3">
      <c r="A2" s="82" t="s">
        <v>7</v>
      </c>
      <c r="B2" s="1"/>
      <c r="C2" s="4" t="s">
        <v>109</v>
      </c>
      <c r="D2" s="4" t="s">
        <v>96</v>
      </c>
      <c r="E2" s="4" t="s">
        <v>97</v>
      </c>
      <c r="F2" s="4" t="s">
        <v>98</v>
      </c>
      <c r="G2" s="4" t="s">
        <v>99</v>
      </c>
    </row>
    <row r="3" spans="1:7" ht="14.25" customHeight="1" x14ac:dyDescent="0.25">
      <c r="B3" s="11" t="s">
        <v>280</v>
      </c>
      <c r="C3" s="90" t="s">
        <v>11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281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282</v>
      </c>
    </row>
    <row r="6" spans="1:7" ht="14.25" customHeight="1" x14ac:dyDescent="0.25">
      <c r="B6" s="5" t="s">
        <v>192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185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205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200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286</v>
      </c>
    </row>
    <row r="12" spans="1:7" ht="14.25" customHeight="1" x14ac:dyDescent="0.3">
      <c r="A12" s="14"/>
      <c r="B12" s="11" t="s">
        <v>184</v>
      </c>
      <c r="C12" s="90">
        <v>1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283</v>
      </c>
    </row>
    <row r="15" spans="1:7" ht="14.25" customHeight="1" x14ac:dyDescent="0.3">
      <c r="A15" s="82" t="s">
        <v>279</v>
      </c>
      <c r="B15" s="5" t="s">
        <v>284</v>
      </c>
      <c r="C15" s="90">
        <v>1.024</v>
      </c>
      <c r="D15" s="90">
        <v>1.024</v>
      </c>
      <c r="E15" s="90">
        <v>1.024</v>
      </c>
      <c r="F15" s="90">
        <v>1.024</v>
      </c>
      <c r="G15" s="90">
        <v>1.024</v>
      </c>
    </row>
    <row r="16" spans="1:7" ht="14.25" customHeight="1" x14ac:dyDescent="0.3">
      <c r="A16" s="4"/>
      <c r="B16" s="5" t="s">
        <v>287</v>
      </c>
      <c r="C16" s="90">
        <v>1.024</v>
      </c>
      <c r="D16" s="90">
        <v>1.024</v>
      </c>
      <c r="E16" s="90">
        <v>1.024</v>
      </c>
      <c r="F16" s="90">
        <v>1.024</v>
      </c>
      <c r="G16" s="90">
        <v>1.024</v>
      </c>
    </row>
    <row r="17" spans="1:7" ht="14.25" customHeight="1" x14ac:dyDescent="0.3">
      <c r="A17" s="82" t="s">
        <v>121</v>
      </c>
      <c r="B17" s="11" t="s">
        <v>285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288</v>
      </c>
    </row>
    <row r="20" spans="1:7" s="14" customFormat="1" ht="14.25" customHeight="1" x14ac:dyDescent="0.3">
      <c r="C20" s="4" t="s">
        <v>69</v>
      </c>
      <c r="D20" s="4" t="s">
        <v>70</v>
      </c>
      <c r="E20" s="4" t="s">
        <v>71</v>
      </c>
      <c r="F20" s="4" t="s">
        <v>72</v>
      </c>
    </row>
    <row r="21" spans="1:7" x14ac:dyDescent="0.25">
      <c r="B21" s="11" t="s">
        <v>172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233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7</v>
      </c>
      <c r="B25" s="1"/>
      <c r="C25" s="4" t="s">
        <v>109</v>
      </c>
      <c r="D25" s="4" t="s">
        <v>96</v>
      </c>
      <c r="E25" s="4" t="s">
        <v>97</v>
      </c>
      <c r="F25" s="4" t="s">
        <v>98</v>
      </c>
      <c r="G25" s="4" t="s">
        <v>99</v>
      </c>
    </row>
    <row r="26" spans="1:7" x14ac:dyDescent="0.25">
      <c r="B26" s="11" t="s">
        <v>289</v>
      </c>
      <c r="C26" s="90" t="s">
        <v>11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290</v>
      </c>
      <c r="C27" s="90">
        <v>1.014</v>
      </c>
      <c r="D27" s="90">
        <v>1.014</v>
      </c>
      <c r="E27" s="90">
        <v>1.014</v>
      </c>
      <c r="F27" s="90">
        <v>1.014</v>
      </c>
      <c r="G27" s="90">
        <v>1.014</v>
      </c>
    </row>
    <row r="28" spans="1:7" ht="13" customHeight="1" x14ac:dyDescent="0.3">
      <c r="A28" s="14" t="s">
        <v>291</v>
      </c>
    </row>
    <row r="29" spans="1:7" x14ac:dyDescent="0.25">
      <c r="B29" s="5" t="s">
        <v>292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293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315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294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295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296</v>
      </c>
      <c r="C35" s="90">
        <v>1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283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279</v>
      </c>
      <c r="B38" s="5" t="s">
        <v>297</v>
      </c>
      <c r="C38" s="90">
        <v>1.016</v>
      </c>
      <c r="D38" s="90">
        <v>1.016</v>
      </c>
      <c r="E38" s="90">
        <v>1.016</v>
      </c>
      <c r="F38" s="90">
        <v>1.016</v>
      </c>
      <c r="G38" s="90">
        <v>1.016</v>
      </c>
    </row>
    <row r="39" spans="1:7" ht="13" customHeight="1" x14ac:dyDescent="0.3">
      <c r="A39" s="4"/>
      <c r="B39" s="5" t="s">
        <v>298</v>
      </c>
      <c r="C39" s="90">
        <v>1.016</v>
      </c>
      <c r="D39" s="90">
        <v>1.016</v>
      </c>
      <c r="E39" s="90">
        <v>1.016</v>
      </c>
      <c r="F39" s="90">
        <v>1.016</v>
      </c>
      <c r="G39" s="90">
        <v>1.016</v>
      </c>
    </row>
    <row r="40" spans="1:7" ht="13" customHeight="1" x14ac:dyDescent="0.3">
      <c r="A40" s="82" t="s">
        <v>121</v>
      </c>
      <c r="B40" s="11" t="s">
        <v>299</v>
      </c>
      <c r="C40" s="90">
        <f>IF(C17=1,1,C17*0.9)</f>
        <v>1</v>
      </c>
      <c r="D40" s="90">
        <f>IF(D17=1,1,D17*0.9)</f>
        <v>1</v>
      </c>
      <c r="E40" s="90">
        <f>IF(E17=1,1,E17*0.9)</f>
        <v>1</v>
      </c>
      <c r="F40" s="90">
        <f>IF(F17=1,1,F17*0.9)</f>
        <v>1</v>
      </c>
      <c r="G40" s="90">
        <f>IF(G17=1,1,G17*0.9)</f>
        <v>1</v>
      </c>
    </row>
    <row r="42" spans="1:7" ht="13" customHeight="1" x14ac:dyDescent="0.3">
      <c r="A42" s="67" t="s">
        <v>300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69</v>
      </c>
      <c r="D43" s="4" t="s">
        <v>70</v>
      </c>
      <c r="E43" s="4" t="s">
        <v>71</v>
      </c>
      <c r="F43" s="4" t="s">
        <v>72</v>
      </c>
      <c r="G43" s="14"/>
    </row>
    <row r="44" spans="1:7" x14ac:dyDescent="0.25">
      <c r="B44" s="11" t="s">
        <v>301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239</v>
      </c>
    </row>
    <row r="47" spans="1:7" ht="13" customHeight="1" x14ac:dyDescent="0.3">
      <c r="A47" s="67" t="s">
        <v>233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7</v>
      </c>
      <c r="B48" s="1"/>
      <c r="C48" s="4" t="s">
        <v>109</v>
      </c>
      <c r="D48" s="4" t="s">
        <v>96</v>
      </c>
      <c r="E48" s="4" t="s">
        <v>97</v>
      </c>
      <c r="F48" s="4" t="s">
        <v>98</v>
      </c>
      <c r="G48" s="4" t="s">
        <v>99</v>
      </c>
    </row>
    <row r="49" spans="1:7" x14ac:dyDescent="0.25">
      <c r="B49" s="11" t="s">
        <v>302</v>
      </c>
      <c r="C49" s="90" t="s">
        <v>11</v>
      </c>
      <c r="D49" s="90">
        <f>D3*1.05</f>
        <v>47.25</v>
      </c>
      <c r="E49" s="90">
        <f>E3*1.05</f>
        <v>379.68000000000006</v>
      </c>
      <c r="F49" s="90">
        <f>F3*1.05</f>
        <v>183.435</v>
      </c>
      <c r="G49" s="90">
        <f>G3*1.05</f>
        <v>183.435</v>
      </c>
    </row>
    <row r="50" spans="1:7" ht="13" customHeight="1" x14ac:dyDescent="0.3">
      <c r="A50" s="4"/>
      <c r="B50" s="5" t="s">
        <v>303</v>
      </c>
      <c r="C50" s="90">
        <v>1.0349999999999999</v>
      </c>
      <c r="D50" s="90">
        <v>1.0349999999999999</v>
      </c>
      <c r="E50" s="90">
        <v>1.0349999999999999</v>
      </c>
      <c r="F50" s="90">
        <v>1.0349999999999999</v>
      </c>
      <c r="G50" s="90">
        <v>1.0349999999999999</v>
      </c>
    </row>
    <row r="51" spans="1:7" ht="13" customHeight="1" x14ac:dyDescent="0.3">
      <c r="A51" s="14" t="s">
        <v>304</v>
      </c>
    </row>
    <row r="52" spans="1:7" x14ac:dyDescent="0.25">
      <c r="B52" s="5" t="s">
        <v>305</v>
      </c>
      <c r="C52" s="90">
        <f t="shared" ref="C52:D55" si="1">IF(C6=1,1,C6*1.1)</f>
        <v>1</v>
      </c>
      <c r="D52" s="90">
        <f t="shared" si="1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1"/>
        <v>1</v>
      </c>
      <c r="D53" s="90">
        <f t="shared" si="1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316</v>
      </c>
      <c r="C54" s="90">
        <f t="shared" si="1"/>
        <v>1</v>
      </c>
      <c r="D54" s="90">
        <f t="shared" si="1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307</v>
      </c>
      <c r="C55" s="90">
        <f t="shared" si="1"/>
        <v>1</v>
      </c>
      <c r="D55" s="90">
        <f t="shared" si="1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308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309</v>
      </c>
      <c r="C58" s="90">
        <v>1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283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279</v>
      </c>
      <c r="B61" s="5" t="s">
        <v>310</v>
      </c>
      <c r="C61" s="90">
        <v>1.0309999999999999</v>
      </c>
      <c r="D61" s="90">
        <v>1.0309999999999999</v>
      </c>
      <c r="E61" s="90">
        <v>1.0309999999999999</v>
      </c>
      <c r="F61" s="90">
        <v>1.0309999999999999</v>
      </c>
      <c r="G61" s="90">
        <v>1.0309999999999999</v>
      </c>
    </row>
    <row r="62" spans="1:7" ht="13" customHeight="1" x14ac:dyDescent="0.3">
      <c r="A62" s="4"/>
      <c r="B62" s="5" t="s">
        <v>311</v>
      </c>
      <c r="C62" s="90">
        <v>1.0309999999999999</v>
      </c>
      <c r="D62" s="90">
        <v>1.0309999999999999</v>
      </c>
      <c r="E62" s="90">
        <v>1.0309999999999999</v>
      </c>
      <c r="F62" s="90">
        <v>1.0309999999999999</v>
      </c>
      <c r="G62" s="90">
        <v>1.0309999999999999</v>
      </c>
    </row>
    <row r="63" spans="1:7" ht="13" customHeight="1" x14ac:dyDescent="0.3">
      <c r="A63" s="82" t="s">
        <v>121</v>
      </c>
      <c r="B63" s="11" t="s">
        <v>312</v>
      </c>
      <c r="C63" s="90">
        <f>IF(C17=1,1,C17*1.1)</f>
        <v>1</v>
      </c>
      <c r="D63" s="90">
        <f>IF(D17=1,1,D17*1.1)</f>
        <v>1</v>
      </c>
      <c r="E63" s="90">
        <f>IF(E17=1,1,E17*1.1)</f>
        <v>1</v>
      </c>
      <c r="F63" s="90">
        <f>IF(F17=1,1,F17*1.1)</f>
        <v>1</v>
      </c>
      <c r="G63" s="90">
        <f>IF(G17=1,1,G17*1.1)</f>
        <v>1</v>
      </c>
    </row>
    <row r="65" spans="1:7" ht="13" customHeight="1" x14ac:dyDescent="0.3">
      <c r="A65" s="67" t="s">
        <v>313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69</v>
      </c>
      <c r="D66" s="4" t="s">
        <v>70</v>
      </c>
      <c r="E66" s="4" t="s">
        <v>71</v>
      </c>
      <c r="F66" s="4" t="s">
        <v>72</v>
      </c>
      <c r="G66" s="14"/>
    </row>
    <row r="67" spans="1:7" x14ac:dyDescent="0.25">
      <c r="B67" s="11" t="s">
        <v>314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WKtg0PI2fT2zFnaj0h8eSlB26MwgWyLWJdXryrn8FinoLUHLgj2liW2uoQP6akQM5FGV+djQX6ZCFi9FA2CftA==" saltValue="rexlauFROj0mquOl/TlU/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8" sqref="C8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160</v>
      </c>
      <c r="B1" s="4"/>
      <c r="C1" s="4" t="s">
        <v>51</v>
      </c>
      <c r="D1" s="4" t="s">
        <v>53</v>
      </c>
      <c r="E1" s="4" t="s">
        <v>52</v>
      </c>
      <c r="F1" s="1" t="s">
        <v>54</v>
      </c>
    </row>
    <row r="2" spans="1:6" ht="15.75" customHeight="1" x14ac:dyDescent="0.25">
      <c r="A2" s="5" t="s">
        <v>168</v>
      </c>
      <c r="B2" s="5" t="s">
        <v>317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318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180</v>
      </c>
      <c r="B4" s="5" t="s">
        <v>317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318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181</v>
      </c>
      <c r="B6" s="5" t="s">
        <v>317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318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182</v>
      </c>
      <c r="B8" s="5" t="s">
        <v>317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318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186</v>
      </c>
      <c r="B10" s="5" t="s">
        <v>317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318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190</v>
      </c>
      <c r="B12" s="5" t="s">
        <v>317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318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160</v>
      </c>
      <c r="B16" s="4"/>
      <c r="C16" s="4" t="s">
        <v>51</v>
      </c>
      <c r="D16" s="4" t="s">
        <v>53</v>
      </c>
      <c r="E16" s="4" t="s">
        <v>52</v>
      </c>
      <c r="F16" s="1" t="s">
        <v>54</v>
      </c>
    </row>
    <row r="17" spans="1:6" ht="15.75" customHeight="1" x14ac:dyDescent="0.25">
      <c r="A17" s="5" t="s">
        <v>168</v>
      </c>
      <c r="B17" s="5" t="s">
        <v>317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318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180</v>
      </c>
      <c r="B19" s="5" t="s">
        <v>317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318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181</v>
      </c>
      <c r="B21" s="5" t="s">
        <v>317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318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182</v>
      </c>
      <c r="B23" s="5" t="s">
        <v>317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318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186</v>
      </c>
      <c r="B25" s="5" t="s">
        <v>317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318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190</v>
      </c>
      <c r="B27" s="5" t="s">
        <v>317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318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239</v>
      </c>
    </row>
    <row r="31" spans="1:6" ht="15.75" customHeight="1" x14ac:dyDescent="0.3">
      <c r="A31" s="1" t="s">
        <v>160</v>
      </c>
      <c r="B31" s="4"/>
      <c r="C31" s="4" t="s">
        <v>51</v>
      </c>
      <c r="D31" s="4" t="s">
        <v>53</v>
      </c>
      <c r="E31" s="4" t="s">
        <v>52</v>
      </c>
      <c r="F31" s="1" t="s">
        <v>54</v>
      </c>
    </row>
    <row r="32" spans="1:6" ht="15.75" customHeight="1" x14ac:dyDescent="0.25">
      <c r="A32" s="5" t="s">
        <v>168</v>
      </c>
      <c r="B32" s="5" t="s">
        <v>317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318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180</v>
      </c>
      <c r="B34" s="5" t="s">
        <v>317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318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181</v>
      </c>
      <c r="B36" s="5" t="s">
        <v>317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318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182</v>
      </c>
      <c r="B38" s="5" t="s">
        <v>317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318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186</v>
      </c>
      <c r="B40" s="5" t="s">
        <v>317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318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190</v>
      </c>
      <c r="B42" s="5" t="s">
        <v>317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318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A9Hp+t7u93W7yVx1jkIZ66gqHc4JTNltl1IKbRoYg6edDsEuK3f67yL4D+ap0nUGdXW+VrcjzvD3/aXfA8VX9A==" saltValue="+dWlaF8DkVEGWlHI26nq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zoomScale="70" zoomScaleNormal="70" workbookViewId="0">
      <selection activeCell="C8" sqref="C8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109</v>
      </c>
      <c r="D1" s="70" t="s">
        <v>96</v>
      </c>
      <c r="E1" s="70" t="s">
        <v>97</v>
      </c>
      <c r="F1" s="70" t="s">
        <v>98</v>
      </c>
      <c r="G1" s="70" t="s">
        <v>99</v>
      </c>
      <c r="H1" s="70" t="s">
        <v>69</v>
      </c>
      <c r="I1" s="70" t="s">
        <v>70</v>
      </c>
      <c r="J1" s="70" t="s">
        <v>71</v>
      </c>
      <c r="K1" s="70" t="s">
        <v>72</v>
      </c>
      <c r="L1" s="70" t="s">
        <v>122</v>
      </c>
      <c r="M1" s="70" t="s">
        <v>123</v>
      </c>
      <c r="N1" s="70" t="s">
        <v>124</v>
      </c>
      <c r="O1" s="70" t="s">
        <v>125</v>
      </c>
    </row>
    <row r="2" spans="1:15" ht="13" customHeight="1" x14ac:dyDescent="0.3">
      <c r="A2" s="4" t="s">
        <v>319</v>
      </c>
    </row>
    <row r="3" spans="1:15" x14ac:dyDescent="0.25">
      <c r="B3" s="11" t="s">
        <v>171</v>
      </c>
      <c r="C3" s="90">
        <v>0.92</v>
      </c>
      <c r="D3" s="90">
        <v>0.92</v>
      </c>
      <c r="E3" s="90">
        <v>0.92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176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177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178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179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180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181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182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185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186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189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190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205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320</v>
      </c>
      <c r="B17" s="11"/>
    </row>
    <row r="18" spans="1:15" x14ac:dyDescent="0.25">
      <c r="B18" s="5" t="s">
        <v>173</v>
      </c>
      <c r="C18" s="90">
        <v>1</v>
      </c>
      <c r="D18" s="90">
        <v>1</v>
      </c>
      <c r="E18" s="90">
        <v>0.97599999999999998</v>
      </c>
      <c r="F18" s="90">
        <v>0.97599999999999998</v>
      </c>
      <c r="G18" s="90">
        <v>0.97599999999999998</v>
      </c>
      <c r="H18" s="90">
        <v>0.97599999999999998</v>
      </c>
      <c r="I18" s="90">
        <v>0.97599999999999998</v>
      </c>
      <c r="J18" s="90">
        <v>0.97599999999999998</v>
      </c>
      <c r="K18" s="90">
        <v>0.97599999999999998</v>
      </c>
      <c r="L18" s="90">
        <v>0.97599999999999998</v>
      </c>
      <c r="M18" s="90">
        <v>0.97599999999999998</v>
      </c>
      <c r="N18" s="90">
        <v>0.97599999999999998</v>
      </c>
      <c r="O18" s="90">
        <v>0.97599999999999998</v>
      </c>
    </row>
    <row r="19" spans="1:15" x14ac:dyDescent="0.25">
      <c r="B19" s="5" t="s">
        <v>174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175</v>
      </c>
      <c r="C20" s="90">
        <v>1</v>
      </c>
      <c r="D20" s="90">
        <v>1</v>
      </c>
      <c r="E20" s="90">
        <v>0.97599999999999998</v>
      </c>
      <c r="F20" s="90">
        <v>0.97599999999999998</v>
      </c>
      <c r="G20" s="90">
        <v>0.97599999999999998</v>
      </c>
      <c r="H20" s="90">
        <v>0.97599999999999998</v>
      </c>
      <c r="I20" s="90">
        <v>0.97599999999999998</v>
      </c>
      <c r="J20" s="90">
        <v>0.97599999999999998</v>
      </c>
      <c r="K20" s="90">
        <v>0.97599999999999998</v>
      </c>
      <c r="L20" s="90">
        <v>0.97599999999999998</v>
      </c>
      <c r="M20" s="90">
        <v>0.97599999999999998</v>
      </c>
      <c r="N20" s="90">
        <v>0.97599999999999998</v>
      </c>
      <c r="O20" s="90">
        <v>0.97599999999999998</v>
      </c>
    </row>
    <row r="21" spans="1:15" x14ac:dyDescent="0.25">
      <c r="B21" s="5" t="s">
        <v>183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109</v>
      </c>
      <c r="D24" s="70" t="s">
        <v>96</v>
      </c>
      <c r="E24" s="70" t="s">
        <v>97</v>
      </c>
      <c r="F24" s="70" t="s">
        <v>98</v>
      </c>
      <c r="G24" s="70" t="s">
        <v>99</v>
      </c>
      <c r="H24" s="70" t="s">
        <v>69</v>
      </c>
      <c r="I24" s="70" t="s">
        <v>70</v>
      </c>
      <c r="J24" s="70" t="s">
        <v>71</v>
      </c>
      <c r="K24" s="70" t="s">
        <v>72</v>
      </c>
      <c r="L24" s="70" t="s">
        <v>122</v>
      </c>
      <c r="M24" s="70" t="s">
        <v>123</v>
      </c>
      <c r="N24" s="70" t="s">
        <v>124</v>
      </c>
      <c r="O24" s="70" t="s">
        <v>125</v>
      </c>
    </row>
    <row r="25" spans="1:15" ht="13" customHeight="1" x14ac:dyDescent="0.3">
      <c r="A25" s="4" t="s">
        <v>321</v>
      </c>
    </row>
    <row r="26" spans="1:15" x14ac:dyDescent="0.25">
      <c r="B26" s="11" t="s">
        <v>171</v>
      </c>
      <c r="C26" s="90">
        <v>0.87</v>
      </c>
      <c r="D26" s="90">
        <v>0.87</v>
      </c>
      <c r="E26" s="90">
        <v>0.87</v>
      </c>
      <c r="F26" s="90">
        <f t="shared" ref="F26:O26" si="0">IF(F3=1,1,F3*0.9)</f>
        <v>1</v>
      </c>
      <c r="G26" s="90">
        <f t="shared" si="0"/>
        <v>1</v>
      </c>
      <c r="H26" s="90">
        <f t="shared" si="0"/>
        <v>1</v>
      </c>
      <c r="I26" s="90">
        <f t="shared" si="0"/>
        <v>1</v>
      </c>
      <c r="J26" s="90">
        <f t="shared" si="0"/>
        <v>1</v>
      </c>
      <c r="K26" s="90">
        <f t="shared" si="0"/>
        <v>1</v>
      </c>
      <c r="L26" s="90">
        <f t="shared" si="0"/>
        <v>1</v>
      </c>
      <c r="M26" s="90">
        <f t="shared" si="0"/>
        <v>1</v>
      </c>
      <c r="N26" s="90">
        <f t="shared" si="0"/>
        <v>1</v>
      </c>
      <c r="O26" s="90">
        <f t="shared" si="0"/>
        <v>1</v>
      </c>
    </row>
    <row r="27" spans="1:15" x14ac:dyDescent="0.25">
      <c r="B27" s="11" t="s">
        <v>176</v>
      </c>
      <c r="C27" s="90">
        <f t="shared" ref="C27:G33" si="1">IF(C4=1,1,C4*0.9)</f>
        <v>1</v>
      </c>
      <c r="D27" s="90">
        <f t="shared" si="1"/>
        <v>1</v>
      </c>
      <c r="E27" s="90">
        <f t="shared" si="1"/>
        <v>1</v>
      </c>
      <c r="F27" s="90">
        <f t="shared" si="1"/>
        <v>1</v>
      </c>
      <c r="G27" s="90">
        <f t="shared" si="1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2">IF(L4=1,1,L4*0.9)</f>
        <v>1</v>
      </c>
      <c r="M27" s="90">
        <f t="shared" si="2"/>
        <v>1</v>
      </c>
      <c r="N27" s="90">
        <f t="shared" si="2"/>
        <v>1</v>
      </c>
      <c r="O27" s="90">
        <f t="shared" si="2"/>
        <v>1</v>
      </c>
    </row>
    <row r="28" spans="1:15" x14ac:dyDescent="0.25">
      <c r="B28" s="11" t="s">
        <v>177</v>
      </c>
      <c r="C28" s="90">
        <f t="shared" si="1"/>
        <v>1</v>
      </c>
      <c r="D28" s="90">
        <f t="shared" si="1"/>
        <v>1</v>
      </c>
      <c r="E28" s="90">
        <f t="shared" si="1"/>
        <v>1</v>
      </c>
      <c r="F28" s="90">
        <f t="shared" si="1"/>
        <v>1</v>
      </c>
      <c r="G28" s="90">
        <f t="shared" si="1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2"/>
        <v>1</v>
      </c>
      <c r="M28" s="90">
        <f t="shared" si="2"/>
        <v>1</v>
      </c>
      <c r="N28" s="90">
        <f t="shared" si="2"/>
        <v>1</v>
      </c>
      <c r="O28" s="90">
        <f t="shared" si="2"/>
        <v>1</v>
      </c>
    </row>
    <row r="29" spans="1:15" x14ac:dyDescent="0.25">
      <c r="B29" s="11" t="s">
        <v>178</v>
      </c>
      <c r="C29" s="90">
        <f t="shared" si="1"/>
        <v>1</v>
      </c>
      <c r="D29" s="90">
        <f t="shared" si="1"/>
        <v>1</v>
      </c>
      <c r="E29" s="90">
        <f t="shared" si="1"/>
        <v>1</v>
      </c>
      <c r="F29" s="90">
        <f t="shared" si="1"/>
        <v>1</v>
      </c>
      <c r="G29" s="90">
        <f t="shared" si="1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2"/>
        <v>1</v>
      </c>
      <c r="M29" s="90">
        <f t="shared" si="2"/>
        <v>1</v>
      </c>
      <c r="N29" s="90">
        <f t="shared" si="2"/>
        <v>1</v>
      </c>
      <c r="O29" s="90">
        <f t="shared" si="2"/>
        <v>1</v>
      </c>
    </row>
    <row r="30" spans="1:15" x14ac:dyDescent="0.25">
      <c r="B30" s="11" t="s">
        <v>179</v>
      </c>
      <c r="C30" s="90">
        <f t="shared" si="1"/>
        <v>1</v>
      </c>
      <c r="D30" s="90">
        <f t="shared" si="1"/>
        <v>1</v>
      </c>
      <c r="E30" s="90">
        <f t="shared" si="1"/>
        <v>1</v>
      </c>
      <c r="F30" s="90">
        <f t="shared" si="1"/>
        <v>1</v>
      </c>
      <c r="G30" s="90">
        <f t="shared" si="1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2"/>
        <v>1</v>
      </c>
      <c r="M30" s="90">
        <f t="shared" si="2"/>
        <v>1</v>
      </c>
      <c r="N30" s="90">
        <f t="shared" si="2"/>
        <v>1</v>
      </c>
      <c r="O30" s="90">
        <f t="shared" si="2"/>
        <v>1</v>
      </c>
    </row>
    <row r="31" spans="1:15" x14ac:dyDescent="0.25">
      <c r="B31" s="5" t="s">
        <v>180</v>
      </c>
      <c r="C31" s="90">
        <f t="shared" si="1"/>
        <v>1</v>
      </c>
      <c r="D31" s="90">
        <f t="shared" si="1"/>
        <v>1</v>
      </c>
      <c r="E31" s="90">
        <f t="shared" si="1"/>
        <v>1</v>
      </c>
      <c r="F31" s="90">
        <f t="shared" si="1"/>
        <v>1</v>
      </c>
      <c r="G31" s="90">
        <f t="shared" si="1"/>
        <v>1</v>
      </c>
      <c r="H31" s="90">
        <f t="shared" ref="H31:K34" si="3">IF(H8=1,1,H8*0.9)</f>
        <v>1</v>
      </c>
      <c r="I31" s="90">
        <f t="shared" si="3"/>
        <v>1</v>
      </c>
      <c r="J31" s="90">
        <f t="shared" si="3"/>
        <v>1</v>
      </c>
      <c r="K31" s="90">
        <f t="shared" si="3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181</v>
      </c>
      <c r="C32" s="90">
        <f t="shared" si="1"/>
        <v>1</v>
      </c>
      <c r="D32" s="90">
        <f t="shared" si="1"/>
        <v>1</v>
      </c>
      <c r="E32" s="90">
        <f t="shared" si="1"/>
        <v>1</v>
      </c>
      <c r="F32" s="90">
        <f t="shared" si="1"/>
        <v>1</v>
      </c>
      <c r="G32" s="90">
        <f t="shared" si="1"/>
        <v>1</v>
      </c>
      <c r="H32" s="90">
        <f t="shared" si="3"/>
        <v>1</v>
      </c>
      <c r="I32" s="90">
        <f t="shared" si="3"/>
        <v>1</v>
      </c>
      <c r="J32" s="90">
        <f t="shared" si="3"/>
        <v>1</v>
      </c>
      <c r="K32" s="90">
        <f t="shared" si="3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182</v>
      </c>
      <c r="C33" s="90">
        <f t="shared" si="1"/>
        <v>1</v>
      </c>
      <c r="D33" s="90">
        <f t="shared" si="1"/>
        <v>1</v>
      </c>
      <c r="E33" s="90">
        <f t="shared" si="1"/>
        <v>1</v>
      </c>
      <c r="F33" s="90">
        <f t="shared" si="1"/>
        <v>1</v>
      </c>
      <c r="G33" s="90">
        <f t="shared" si="1"/>
        <v>1</v>
      </c>
      <c r="H33" s="90">
        <f t="shared" si="3"/>
        <v>1</v>
      </c>
      <c r="I33" s="90">
        <f t="shared" si="3"/>
        <v>1</v>
      </c>
      <c r="J33" s="90">
        <f t="shared" si="3"/>
        <v>1</v>
      </c>
      <c r="K33" s="90">
        <f t="shared" si="3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185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3"/>
        <v>1</v>
      </c>
      <c r="I34" s="90">
        <f t="shared" si="3"/>
        <v>1</v>
      </c>
      <c r="J34" s="90">
        <f t="shared" si="3"/>
        <v>1</v>
      </c>
      <c r="K34" s="90">
        <f t="shared" si="3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186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189</v>
      </c>
      <c r="C36" s="90">
        <f t="shared" ref="C36:D38" si="4">IF(C13=1,1,C13*0.9)</f>
        <v>1</v>
      </c>
      <c r="D36" s="90">
        <f t="shared" si="4"/>
        <v>1</v>
      </c>
      <c r="E36" s="90">
        <v>0.62</v>
      </c>
      <c r="F36" s="90">
        <v>0.62</v>
      </c>
      <c r="G36" s="90">
        <v>0.62</v>
      </c>
      <c r="H36" s="90">
        <f t="shared" ref="H36:O36" si="5">IF(H13=1,1,H13*0.9)</f>
        <v>1</v>
      </c>
      <c r="I36" s="90">
        <f t="shared" si="5"/>
        <v>1</v>
      </c>
      <c r="J36" s="90">
        <f t="shared" si="5"/>
        <v>1</v>
      </c>
      <c r="K36" s="90">
        <f t="shared" si="5"/>
        <v>1</v>
      </c>
      <c r="L36" s="90">
        <f t="shared" si="5"/>
        <v>1</v>
      </c>
      <c r="M36" s="90">
        <f t="shared" si="5"/>
        <v>1</v>
      </c>
      <c r="N36" s="90">
        <f t="shared" si="5"/>
        <v>1</v>
      </c>
      <c r="O36" s="90">
        <f t="shared" si="5"/>
        <v>1</v>
      </c>
    </row>
    <row r="37" spans="1:15" x14ac:dyDescent="0.25">
      <c r="B37" s="11" t="s">
        <v>190</v>
      </c>
      <c r="C37" s="90">
        <f t="shared" si="4"/>
        <v>1</v>
      </c>
      <c r="D37" s="90">
        <f t="shared" si="4"/>
        <v>1</v>
      </c>
      <c r="E37" s="90">
        <f t="shared" ref="E37:K37" si="6">IF(E14=1,1,E14*0.9)</f>
        <v>1</v>
      </c>
      <c r="F37" s="90">
        <f t="shared" si="6"/>
        <v>1</v>
      </c>
      <c r="G37" s="90">
        <f t="shared" si="6"/>
        <v>1</v>
      </c>
      <c r="H37" s="90">
        <f t="shared" si="6"/>
        <v>1</v>
      </c>
      <c r="I37" s="90">
        <f t="shared" si="6"/>
        <v>1</v>
      </c>
      <c r="J37" s="90">
        <f t="shared" si="6"/>
        <v>1</v>
      </c>
      <c r="K37" s="90">
        <f t="shared" si="6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205</v>
      </c>
      <c r="C38" s="90">
        <f t="shared" si="4"/>
        <v>1</v>
      </c>
      <c r="D38" s="90">
        <f t="shared" si="4"/>
        <v>1</v>
      </c>
      <c r="E38" s="90">
        <v>0.3</v>
      </c>
      <c r="F38" s="90">
        <v>0.3</v>
      </c>
      <c r="G38" s="90">
        <f t="shared" ref="G38:O38" si="7">IF(G15=1,1,G15*0.9)</f>
        <v>1</v>
      </c>
      <c r="H38" s="90">
        <f t="shared" si="7"/>
        <v>1</v>
      </c>
      <c r="I38" s="90">
        <f t="shared" si="7"/>
        <v>1</v>
      </c>
      <c r="J38" s="90">
        <f t="shared" si="7"/>
        <v>1</v>
      </c>
      <c r="K38" s="90">
        <f t="shared" si="7"/>
        <v>1</v>
      </c>
      <c r="L38" s="90">
        <f t="shared" si="7"/>
        <v>1</v>
      </c>
      <c r="M38" s="90">
        <f t="shared" si="7"/>
        <v>1</v>
      </c>
      <c r="N38" s="90">
        <f t="shared" si="7"/>
        <v>1</v>
      </c>
      <c r="O38" s="90">
        <f t="shared" si="7"/>
        <v>1</v>
      </c>
    </row>
    <row r="40" spans="1:15" ht="13" customHeight="1" x14ac:dyDescent="0.3">
      <c r="A40" s="4" t="s">
        <v>323</v>
      </c>
      <c r="B40" s="11"/>
    </row>
    <row r="41" spans="1:15" x14ac:dyDescent="0.25">
      <c r="B41" s="5" t="s">
        <v>173</v>
      </c>
      <c r="C41" s="90">
        <f t="shared" ref="C41:D44" si="8">IF(C18=1,1,C18*0.9)</f>
        <v>1</v>
      </c>
      <c r="D41" s="90">
        <f t="shared" si="8"/>
        <v>1</v>
      </c>
      <c r="E41" s="90">
        <v>0.97499999999999998</v>
      </c>
      <c r="F41" s="90">
        <v>0.97499999999999998</v>
      </c>
      <c r="G41" s="90">
        <v>0.97499999999999998</v>
      </c>
      <c r="H41" s="90">
        <v>0.97499999999999998</v>
      </c>
      <c r="I41" s="90">
        <v>0.97499999999999998</v>
      </c>
      <c r="J41" s="90">
        <v>0.97499999999999998</v>
      </c>
      <c r="K41" s="90">
        <v>0.97499999999999998</v>
      </c>
      <c r="L41" s="90">
        <v>0.97499999999999998</v>
      </c>
      <c r="M41" s="90">
        <v>0.97499999999999998</v>
      </c>
      <c r="N41" s="90">
        <v>0.97499999999999998</v>
      </c>
      <c r="O41" s="90">
        <v>0.97499999999999998</v>
      </c>
    </row>
    <row r="42" spans="1:15" x14ac:dyDescent="0.25">
      <c r="B42" s="5" t="s">
        <v>174</v>
      </c>
      <c r="C42" s="90">
        <f t="shared" si="8"/>
        <v>1</v>
      </c>
      <c r="D42" s="90">
        <f t="shared" si="8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175</v>
      </c>
      <c r="C43" s="90">
        <f t="shared" si="8"/>
        <v>1</v>
      </c>
      <c r="D43" s="90">
        <f t="shared" si="8"/>
        <v>1</v>
      </c>
      <c r="E43" s="90">
        <v>0.97499999999999998</v>
      </c>
      <c r="F43" s="90">
        <v>0.97499999999999998</v>
      </c>
      <c r="G43" s="90">
        <v>0.97499999999999998</v>
      </c>
      <c r="H43" s="90">
        <v>0.97499999999999998</v>
      </c>
      <c r="I43" s="90">
        <v>0.97499999999999998</v>
      </c>
      <c r="J43" s="90">
        <v>0.97499999999999998</v>
      </c>
      <c r="K43" s="90">
        <v>0.97499999999999998</v>
      </c>
      <c r="L43" s="90">
        <v>0.97499999999999998</v>
      </c>
      <c r="M43" s="90">
        <v>0.97499999999999998</v>
      </c>
      <c r="N43" s="90">
        <v>0.97499999999999998</v>
      </c>
      <c r="O43" s="90">
        <v>0.97499999999999998</v>
      </c>
    </row>
    <row r="44" spans="1:15" x14ac:dyDescent="0.25">
      <c r="B44" s="5" t="s">
        <v>183</v>
      </c>
      <c r="C44" s="90">
        <f t="shared" si="8"/>
        <v>1</v>
      </c>
      <c r="D44" s="90">
        <f t="shared" si="8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239</v>
      </c>
    </row>
    <row r="47" spans="1:15" ht="26" customHeight="1" x14ac:dyDescent="0.3">
      <c r="A47" s="4"/>
      <c r="B47" s="4"/>
      <c r="C47" s="70" t="s">
        <v>109</v>
      </c>
      <c r="D47" s="70" t="s">
        <v>96</v>
      </c>
      <c r="E47" s="70" t="s">
        <v>97</v>
      </c>
      <c r="F47" s="70" t="s">
        <v>98</v>
      </c>
      <c r="G47" s="70" t="s">
        <v>99</v>
      </c>
      <c r="H47" s="70" t="s">
        <v>69</v>
      </c>
      <c r="I47" s="70" t="s">
        <v>70</v>
      </c>
      <c r="J47" s="70" t="s">
        <v>71</v>
      </c>
      <c r="K47" s="70" t="s">
        <v>72</v>
      </c>
      <c r="L47" s="70" t="s">
        <v>122</v>
      </c>
      <c r="M47" s="70" t="s">
        <v>123</v>
      </c>
      <c r="N47" s="70" t="s">
        <v>124</v>
      </c>
      <c r="O47" s="70" t="s">
        <v>125</v>
      </c>
    </row>
    <row r="48" spans="1:15" ht="13" customHeight="1" x14ac:dyDescent="0.3">
      <c r="A48" s="4" t="s">
        <v>322</v>
      </c>
    </row>
    <row r="49" spans="1:15" x14ac:dyDescent="0.25">
      <c r="B49" s="11" t="s">
        <v>171</v>
      </c>
      <c r="C49" s="90">
        <v>0.99</v>
      </c>
      <c r="D49" s="90">
        <v>0.99</v>
      </c>
      <c r="E49" s="90">
        <v>0.99</v>
      </c>
      <c r="F49" s="90">
        <f t="shared" ref="F49:O49" si="9">IF(F3=1,1,F3*1.05)</f>
        <v>1</v>
      </c>
      <c r="G49" s="90">
        <f t="shared" si="9"/>
        <v>1</v>
      </c>
      <c r="H49" s="90">
        <f t="shared" si="9"/>
        <v>1</v>
      </c>
      <c r="I49" s="90">
        <f t="shared" si="9"/>
        <v>1</v>
      </c>
      <c r="J49" s="90">
        <f t="shared" si="9"/>
        <v>1</v>
      </c>
      <c r="K49" s="90">
        <f t="shared" si="9"/>
        <v>1</v>
      </c>
      <c r="L49" s="90">
        <f t="shared" si="9"/>
        <v>1</v>
      </c>
      <c r="M49" s="90">
        <f t="shared" si="9"/>
        <v>1</v>
      </c>
      <c r="N49" s="90">
        <f t="shared" si="9"/>
        <v>1</v>
      </c>
      <c r="O49" s="90">
        <f t="shared" si="9"/>
        <v>1</v>
      </c>
    </row>
    <row r="50" spans="1:15" x14ac:dyDescent="0.25">
      <c r="B50" s="11" t="s">
        <v>176</v>
      </c>
      <c r="C50" s="90">
        <f t="shared" ref="C50:G56" si="10">IF(C4=1,1,C4*1.05)</f>
        <v>1</v>
      </c>
      <c r="D50" s="90">
        <f t="shared" si="10"/>
        <v>1</v>
      </c>
      <c r="E50" s="90">
        <f t="shared" si="10"/>
        <v>1</v>
      </c>
      <c r="F50" s="90">
        <f t="shared" si="10"/>
        <v>1</v>
      </c>
      <c r="G50" s="90">
        <f t="shared" si="10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1">IF(L4=1,1,L4*1.05)</f>
        <v>1</v>
      </c>
      <c r="M50" s="90">
        <f t="shared" si="11"/>
        <v>1</v>
      </c>
      <c r="N50" s="90">
        <f t="shared" si="11"/>
        <v>1</v>
      </c>
      <c r="O50" s="90">
        <f t="shared" si="11"/>
        <v>1</v>
      </c>
    </row>
    <row r="51" spans="1:15" x14ac:dyDescent="0.25">
      <c r="B51" s="11" t="s">
        <v>177</v>
      </c>
      <c r="C51" s="90">
        <f t="shared" si="10"/>
        <v>1</v>
      </c>
      <c r="D51" s="90">
        <f t="shared" si="10"/>
        <v>1</v>
      </c>
      <c r="E51" s="90">
        <f t="shared" si="10"/>
        <v>1</v>
      </c>
      <c r="F51" s="90">
        <f t="shared" si="10"/>
        <v>1</v>
      </c>
      <c r="G51" s="90">
        <f t="shared" si="10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1"/>
        <v>1</v>
      </c>
      <c r="M51" s="90">
        <f t="shared" si="11"/>
        <v>1</v>
      </c>
      <c r="N51" s="90">
        <f t="shared" si="11"/>
        <v>1</v>
      </c>
      <c r="O51" s="90">
        <f t="shared" si="11"/>
        <v>1</v>
      </c>
    </row>
    <row r="52" spans="1:15" x14ac:dyDescent="0.25">
      <c r="B52" s="11" t="s">
        <v>178</v>
      </c>
      <c r="C52" s="90">
        <f t="shared" si="10"/>
        <v>1</v>
      </c>
      <c r="D52" s="90">
        <f t="shared" si="10"/>
        <v>1</v>
      </c>
      <c r="E52" s="90">
        <f t="shared" si="10"/>
        <v>1</v>
      </c>
      <c r="F52" s="90">
        <f t="shared" si="10"/>
        <v>1</v>
      </c>
      <c r="G52" s="90">
        <f t="shared" si="10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1"/>
        <v>1</v>
      </c>
      <c r="M52" s="90">
        <f t="shared" si="11"/>
        <v>1</v>
      </c>
      <c r="N52" s="90">
        <f t="shared" si="11"/>
        <v>1</v>
      </c>
      <c r="O52" s="90">
        <f t="shared" si="11"/>
        <v>1</v>
      </c>
    </row>
    <row r="53" spans="1:15" x14ac:dyDescent="0.25">
      <c r="B53" s="11" t="s">
        <v>179</v>
      </c>
      <c r="C53" s="90">
        <f t="shared" si="10"/>
        <v>1</v>
      </c>
      <c r="D53" s="90">
        <f t="shared" si="10"/>
        <v>1</v>
      </c>
      <c r="E53" s="90">
        <f t="shared" si="10"/>
        <v>1</v>
      </c>
      <c r="F53" s="90">
        <f t="shared" si="10"/>
        <v>1</v>
      </c>
      <c r="G53" s="90">
        <f t="shared" si="10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1"/>
        <v>1</v>
      </c>
      <c r="M53" s="90">
        <f t="shared" si="11"/>
        <v>1</v>
      </c>
      <c r="N53" s="90">
        <f t="shared" si="11"/>
        <v>1</v>
      </c>
      <c r="O53" s="90">
        <f t="shared" si="11"/>
        <v>1</v>
      </c>
    </row>
    <row r="54" spans="1:15" x14ac:dyDescent="0.25">
      <c r="B54" s="5" t="s">
        <v>180</v>
      </c>
      <c r="C54" s="90">
        <f t="shared" si="10"/>
        <v>1</v>
      </c>
      <c r="D54" s="90">
        <f t="shared" si="10"/>
        <v>1</v>
      </c>
      <c r="E54" s="90">
        <f t="shared" si="10"/>
        <v>1</v>
      </c>
      <c r="F54" s="90">
        <f t="shared" si="10"/>
        <v>1</v>
      </c>
      <c r="G54" s="90">
        <f t="shared" si="10"/>
        <v>1</v>
      </c>
      <c r="H54" s="90">
        <f t="shared" ref="H54:K57" si="12">IF(H8=1,1,H8*1.05)</f>
        <v>1</v>
      </c>
      <c r="I54" s="90">
        <f t="shared" si="12"/>
        <v>1</v>
      </c>
      <c r="J54" s="90">
        <f t="shared" si="12"/>
        <v>1</v>
      </c>
      <c r="K54" s="90">
        <f t="shared" si="12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181</v>
      </c>
      <c r="C55" s="90">
        <f t="shared" si="10"/>
        <v>1</v>
      </c>
      <c r="D55" s="90">
        <f t="shared" si="10"/>
        <v>1</v>
      </c>
      <c r="E55" s="90">
        <f t="shared" si="10"/>
        <v>1</v>
      </c>
      <c r="F55" s="90">
        <f t="shared" si="10"/>
        <v>1</v>
      </c>
      <c r="G55" s="90">
        <f t="shared" si="10"/>
        <v>1</v>
      </c>
      <c r="H55" s="90">
        <f t="shared" si="12"/>
        <v>1</v>
      </c>
      <c r="I55" s="90">
        <f t="shared" si="12"/>
        <v>1</v>
      </c>
      <c r="J55" s="90">
        <f t="shared" si="12"/>
        <v>1</v>
      </c>
      <c r="K55" s="90">
        <f t="shared" si="12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182</v>
      </c>
      <c r="C56" s="90">
        <f t="shared" si="10"/>
        <v>1</v>
      </c>
      <c r="D56" s="90">
        <f t="shared" si="10"/>
        <v>1</v>
      </c>
      <c r="E56" s="90">
        <f t="shared" si="10"/>
        <v>1</v>
      </c>
      <c r="F56" s="90">
        <f t="shared" si="10"/>
        <v>1</v>
      </c>
      <c r="G56" s="90">
        <f t="shared" si="10"/>
        <v>1</v>
      </c>
      <c r="H56" s="90">
        <f t="shared" si="12"/>
        <v>1</v>
      </c>
      <c r="I56" s="90">
        <f t="shared" si="12"/>
        <v>1</v>
      </c>
      <c r="J56" s="90">
        <f t="shared" si="12"/>
        <v>1</v>
      </c>
      <c r="K56" s="90">
        <f t="shared" si="12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185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2"/>
        <v>1</v>
      </c>
      <c r="I57" s="90">
        <f t="shared" si="12"/>
        <v>1</v>
      </c>
      <c r="J57" s="90">
        <f t="shared" si="12"/>
        <v>1</v>
      </c>
      <c r="K57" s="90">
        <f t="shared" si="12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186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189</v>
      </c>
      <c r="C59" s="90">
        <f t="shared" ref="C59:D61" si="13">IF(C13=1,1,C13*1.05)</f>
        <v>1</v>
      </c>
      <c r="D59" s="90">
        <f t="shared" si="13"/>
        <v>1</v>
      </c>
      <c r="E59" s="90">
        <v>0.77</v>
      </c>
      <c r="F59" s="90">
        <v>0.77</v>
      </c>
      <c r="G59" s="90">
        <v>0.77</v>
      </c>
      <c r="H59" s="90">
        <f t="shared" ref="H59:O59" si="14">IF(H13=1,1,H13*1.05)</f>
        <v>1</v>
      </c>
      <c r="I59" s="90">
        <f t="shared" si="14"/>
        <v>1</v>
      </c>
      <c r="J59" s="90">
        <f t="shared" si="14"/>
        <v>1</v>
      </c>
      <c r="K59" s="90">
        <f t="shared" si="14"/>
        <v>1</v>
      </c>
      <c r="L59" s="90">
        <f t="shared" si="14"/>
        <v>1</v>
      </c>
      <c r="M59" s="90">
        <f t="shared" si="14"/>
        <v>1</v>
      </c>
      <c r="N59" s="90">
        <f t="shared" si="14"/>
        <v>1</v>
      </c>
      <c r="O59" s="90">
        <f t="shared" si="14"/>
        <v>1</v>
      </c>
    </row>
    <row r="60" spans="1:15" x14ac:dyDescent="0.25">
      <c r="B60" s="11" t="s">
        <v>190</v>
      </c>
      <c r="C60" s="90">
        <f t="shared" si="13"/>
        <v>1</v>
      </c>
      <c r="D60" s="90">
        <f t="shared" si="13"/>
        <v>1</v>
      </c>
      <c r="E60" s="90">
        <f t="shared" ref="E60:K60" si="15">IF(E14=1,1,E14*1.05)</f>
        <v>1</v>
      </c>
      <c r="F60" s="90">
        <f t="shared" si="15"/>
        <v>1</v>
      </c>
      <c r="G60" s="90">
        <f t="shared" si="15"/>
        <v>1</v>
      </c>
      <c r="H60" s="90">
        <f t="shared" si="15"/>
        <v>1</v>
      </c>
      <c r="I60" s="90">
        <f t="shared" si="15"/>
        <v>1</v>
      </c>
      <c r="J60" s="90">
        <f t="shared" si="15"/>
        <v>1</v>
      </c>
      <c r="K60" s="90">
        <f t="shared" si="15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205</v>
      </c>
      <c r="C61" s="90">
        <f t="shared" si="13"/>
        <v>1</v>
      </c>
      <c r="D61" s="90">
        <f t="shared" si="13"/>
        <v>1</v>
      </c>
      <c r="E61" s="90">
        <v>0.44</v>
      </c>
      <c r="F61" s="90">
        <v>0.44</v>
      </c>
      <c r="G61" s="90">
        <f t="shared" ref="G61:O61" si="16">IF(G15=1,1,G15*1.05)</f>
        <v>1</v>
      </c>
      <c r="H61" s="90">
        <f t="shared" si="16"/>
        <v>1</v>
      </c>
      <c r="I61" s="90">
        <f t="shared" si="16"/>
        <v>1</v>
      </c>
      <c r="J61" s="90">
        <f t="shared" si="16"/>
        <v>1</v>
      </c>
      <c r="K61" s="90">
        <f t="shared" si="16"/>
        <v>1</v>
      </c>
      <c r="L61" s="90">
        <f t="shared" si="16"/>
        <v>1</v>
      </c>
      <c r="M61" s="90">
        <f t="shared" si="16"/>
        <v>1</v>
      </c>
      <c r="N61" s="90">
        <f t="shared" si="16"/>
        <v>1</v>
      </c>
      <c r="O61" s="90">
        <f t="shared" si="16"/>
        <v>1</v>
      </c>
    </row>
    <row r="63" spans="1:15" ht="13" customHeight="1" x14ac:dyDescent="0.3">
      <c r="A63" s="4" t="s">
        <v>324</v>
      </c>
      <c r="B63" s="11"/>
    </row>
    <row r="64" spans="1:15" x14ac:dyDescent="0.25">
      <c r="B64" s="5" t="s">
        <v>173</v>
      </c>
      <c r="C64" s="90">
        <f t="shared" ref="C64:D67" si="17">IF(C18=1,1,C18*1.05)</f>
        <v>1</v>
      </c>
      <c r="D64" s="90">
        <f t="shared" si="17"/>
        <v>1</v>
      </c>
      <c r="E64" s="90">
        <v>0.97799999999999998</v>
      </c>
      <c r="F64" s="90">
        <v>0.97799999999999998</v>
      </c>
      <c r="G64" s="90">
        <v>0.97799999999999998</v>
      </c>
      <c r="H64" s="90">
        <v>0.97799999999999998</v>
      </c>
      <c r="I64" s="90">
        <v>0.97799999999999998</v>
      </c>
      <c r="J64" s="90">
        <v>0.97799999999999998</v>
      </c>
      <c r="K64" s="90">
        <v>0.97799999999999998</v>
      </c>
      <c r="L64" s="90">
        <v>0.97799999999999998</v>
      </c>
      <c r="M64" s="90">
        <v>0.97799999999999998</v>
      </c>
      <c r="N64" s="90">
        <v>0.97799999999999998</v>
      </c>
      <c r="O64" s="90">
        <v>0.97799999999999998</v>
      </c>
    </row>
    <row r="65" spans="2:15" x14ac:dyDescent="0.25">
      <c r="B65" s="5" t="s">
        <v>174</v>
      </c>
      <c r="C65" s="90">
        <f t="shared" si="17"/>
        <v>1</v>
      </c>
      <c r="D65" s="90">
        <f t="shared" si="17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175</v>
      </c>
      <c r="C66" s="90">
        <f t="shared" si="17"/>
        <v>1</v>
      </c>
      <c r="D66" s="90">
        <f t="shared" si="17"/>
        <v>1</v>
      </c>
      <c r="E66" s="90">
        <v>0.97799999999999998</v>
      </c>
      <c r="F66" s="90">
        <v>0.97799999999999998</v>
      </c>
      <c r="G66" s="90">
        <v>0.97799999999999998</v>
      </c>
      <c r="H66" s="90">
        <v>0.97799999999999998</v>
      </c>
      <c r="I66" s="90">
        <v>0.97799999999999998</v>
      </c>
      <c r="J66" s="90">
        <v>0.97799999999999998</v>
      </c>
      <c r="K66" s="90">
        <v>0.97799999999999998</v>
      </c>
      <c r="L66" s="90">
        <v>0.97799999999999998</v>
      </c>
      <c r="M66" s="90">
        <v>0.97799999999999998</v>
      </c>
      <c r="N66" s="90">
        <v>0.97799999999999998</v>
      </c>
      <c r="O66" s="90">
        <v>0.97799999999999998</v>
      </c>
    </row>
    <row r="67" spans="2:15" x14ac:dyDescent="0.25">
      <c r="B67" s="5" t="s">
        <v>183</v>
      </c>
      <c r="C67" s="90">
        <f t="shared" si="17"/>
        <v>1</v>
      </c>
      <c r="D67" s="90">
        <f t="shared" si="17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tYIC5EOsAC/wD0gNxBAs8/OiLhFy9/fGIeLmND+i4z3BuF8XQLALR/Uq2817KoF/aHD/Rd9fvmQ1BjdVI86hXA==" saltValue="du06zIoDNPB1u+2KPAOHD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C3" sqref="C3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109</v>
      </c>
      <c r="D1" s="4" t="s">
        <v>96</v>
      </c>
      <c r="E1" s="4" t="s">
        <v>97</v>
      </c>
      <c r="F1" s="4" t="s">
        <v>98</v>
      </c>
      <c r="G1" s="4" t="s">
        <v>99</v>
      </c>
    </row>
    <row r="2" spans="1:7" ht="13" customHeight="1" x14ac:dyDescent="0.3">
      <c r="A2" s="4" t="s">
        <v>325</v>
      </c>
    </row>
    <row r="3" spans="1:7" ht="13.25" customHeight="1" x14ac:dyDescent="0.25">
      <c r="B3" s="11" t="s">
        <v>161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326</v>
      </c>
      <c r="B4" s="11"/>
      <c r="C4" s="83"/>
      <c r="D4" s="83"/>
      <c r="E4" s="83"/>
      <c r="F4" s="83"/>
      <c r="G4" s="83"/>
    </row>
    <row r="5" spans="1:7" ht="13.25" customHeight="1" x14ac:dyDescent="0.25">
      <c r="B5" s="5" t="s">
        <v>165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331</v>
      </c>
    </row>
    <row r="8" spans="1:7" ht="13" customHeight="1" x14ac:dyDescent="0.3">
      <c r="A8" s="4"/>
      <c r="B8" s="1"/>
      <c r="C8" s="4" t="s">
        <v>109</v>
      </c>
      <c r="D8" s="4" t="s">
        <v>96</v>
      </c>
      <c r="E8" s="4" t="s">
        <v>97</v>
      </c>
      <c r="F8" s="4" t="s">
        <v>98</v>
      </c>
      <c r="G8" s="4" t="s">
        <v>99</v>
      </c>
    </row>
    <row r="9" spans="1:7" ht="13" customHeight="1" x14ac:dyDescent="0.3">
      <c r="A9" s="4" t="s">
        <v>327</v>
      </c>
    </row>
    <row r="10" spans="1:7" ht="13.25" customHeight="1" x14ac:dyDescent="0.25">
      <c r="B10" s="11" t="s">
        <v>161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328</v>
      </c>
      <c r="B11" s="11"/>
      <c r="C11" s="83"/>
      <c r="D11" s="83"/>
      <c r="E11" s="83"/>
      <c r="F11" s="83"/>
      <c r="G11" s="83"/>
    </row>
    <row r="12" spans="1:7" ht="13.25" customHeight="1" x14ac:dyDescent="0.25">
      <c r="B12" s="5" t="s">
        <v>165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332</v>
      </c>
    </row>
    <row r="15" spans="1:7" ht="13" customHeight="1" x14ac:dyDescent="0.3">
      <c r="A15" s="4"/>
      <c r="B15" s="1"/>
      <c r="C15" s="4" t="s">
        <v>109</v>
      </c>
      <c r="D15" s="4" t="s">
        <v>96</v>
      </c>
      <c r="E15" s="4" t="s">
        <v>97</v>
      </c>
      <c r="F15" s="4" t="s">
        <v>98</v>
      </c>
      <c r="G15" s="4" t="s">
        <v>99</v>
      </c>
    </row>
    <row r="16" spans="1:7" ht="13" customHeight="1" x14ac:dyDescent="0.3">
      <c r="A16" s="4" t="s">
        <v>329</v>
      </c>
    </row>
    <row r="17" spans="1:7" ht="13.25" customHeight="1" x14ac:dyDescent="0.25">
      <c r="B17" s="11" t="s">
        <v>161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330</v>
      </c>
      <c r="B18" s="11"/>
      <c r="C18" s="83"/>
      <c r="D18" s="83"/>
      <c r="E18" s="83"/>
      <c r="F18" s="83"/>
      <c r="G18" s="83"/>
    </row>
    <row r="19" spans="1:7" ht="13.25" customHeight="1" x14ac:dyDescent="0.25">
      <c r="B19" s="5" t="s">
        <v>165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VUnEn/M60O6N7reCjN+iN9sp4FViB+VGybl8rk24OqTSyBymSVNaseGD6GcjTHFgNcnWXYELf4K64WJ0Kq2sFw==" saltValue="n2Q/f//XWn6lPQSXfEno+Q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22" zoomScale="80" zoomScaleNormal="80" workbookViewId="0">
      <selection activeCell="D8" sqref="D8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160</v>
      </c>
      <c r="B1" s="4" t="s">
        <v>333</v>
      </c>
      <c r="C1" s="82" t="s">
        <v>12</v>
      </c>
      <c r="D1" s="4" t="s">
        <v>109</v>
      </c>
      <c r="E1" s="4" t="s">
        <v>96</v>
      </c>
      <c r="F1" s="4" t="s">
        <v>97</v>
      </c>
      <c r="G1" s="4" t="s">
        <v>98</v>
      </c>
      <c r="H1" s="4" t="s">
        <v>99</v>
      </c>
    </row>
    <row r="2" spans="1:8" ht="13.25" customHeight="1" x14ac:dyDescent="0.25">
      <c r="A2" s="5" t="s">
        <v>193</v>
      </c>
      <c r="B2" s="5" t="s">
        <v>87</v>
      </c>
      <c r="C2" s="5" t="s">
        <v>334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ht="13.25" customHeight="1" x14ac:dyDescent="0.25">
      <c r="C3" s="5" t="s">
        <v>335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ht="13.25" customHeight="1" x14ac:dyDescent="0.25">
      <c r="C4" s="5" t="s">
        <v>336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ht="13.25" customHeight="1" x14ac:dyDescent="0.25">
      <c r="A5" s="5" t="s">
        <v>192</v>
      </c>
      <c r="B5" s="5" t="s">
        <v>208</v>
      </c>
      <c r="C5" s="5" t="s">
        <v>334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ht="13.25" customHeight="1" x14ac:dyDescent="0.25">
      <c r="C6" s="5" t="s">
        <v>336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ht="13.25" customHeight="1" x14ac:dyDescent="0.25">
      <c r="B7" s="5" t="s">
        <v>209</v>
      </c>
      <c r="C7" s="5" t="s">
        <v>334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ht="13.25" customHeight="1" x14ac:dyDescent="0.25">
      <c r="C8" s="5" t="s">
        <v>336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ht="13.25" customHeight="1" x14ac:dyDescent="0.25">
      <c r="A9" s="5" t="s">
        <v>185</v>
      </c>
      <c r="B9" s="5" t="s">
        <v>208</v>
      </c>
      <c r="C9" s="5" t="s">
        <v>334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ht="13.25" customHeight="1" x14ac:dyDescent="0.25">
      <c r="C10" s="5" t="s">
        <v>336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ht="13.25" customHeight="1" x14ac:dyDescent="0.25">
      <c r="B11" s="5" t="s">
        <v>209</v>
      </c>
      <c r="C11" s="5" t="s">
        <v>334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ht="13.25" customHeight="1" x14ac:dyDescent="0.25">
      <c r="C12" s="5" t="s">
        <v>336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ht="13.25" customHeight="1" x14ac:dyDescent="0.25">
      <c r="A13" s="5" t="s">
        <v>205</v>
      </c>
      <c r="B13" s="5" t="s">
        <v>208</v>
      </c>
      <c r="C13" s="5" t="s">
        <v>334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ht="13.25" customHeight="1" x14ac:dyDescent="0.25">
      <c r="C14" s="5" t="s">
        <v>336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ht="13.25" customHeight="1" x14ac:dyDescent="0.25">
      <c r="B15" s="5" t="s">
        <v>209</v>
      </c>
      <c r="C15" s="5" t="s">
        <v>334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ht="13.25" customHeight="1" x14ac:dyDescent="0.25">
      <c r="C16" s="5" t="s">
        <v>336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ht="13.25" customHeight="1" x14ac:dyDescent="0.25">
      <c r="A17" s="5" t="s">
        <v>170</v>
      </c>
      <c r="B17" s="5" t="s">
        <v>208</v>
      </c>
      <c r="C17" s="5" t="s">
        <v>334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ht="13.25" customHeight="1" x14ac:dyDescent="0.25">
      <c r="C18" s="5" t="s">
        <v>336</v>
      </c>
      <c r="D18" s="90">
        <v>0</v>
      </c>
      <c r="E18" s="90">
        <v>0</v>
      </c>
      <c r="F18" s="90">
        <f>MIN(MAX(1-0.89/(1-frac_sam_6_11months+(frac_sam_6_11months*0.89)),0),1)</f>
        <v>0.10974159626650759</v>
      </c>
      <c r="G18" s="90">
        <f>MIN(MAX(1-0.89/(1-frac_sam_12_23months+(frac_sam_12_23months*0.89)),0),1)</f>
        <v>0.10987760817112346</v>
      </c>
      <c r="H18" s="90">
        <f>MIN(MAX(1-0.89/(1-frac_sam_24_59months+(frac_sam_24_59months*0.89)),0),1)</f>
        <v>0.10998131049753912</v>
      </c>
    </row>
    <row r="19" spans="1:8" ht="13.25" customHeight="1" x14ac:dyDescent="0.25">
      <c r="B19" s="5" t="s">
        <v>209</v>
      </c>
      <c r="C19" s="5" t="s">
        <v>334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ht="13.25" customHeight="1" x14ac:dyDescent="0.25">
      <c r="C20" s="5" t="s">
        <v>336</v>
      </c>
      <c r="D20" s="90">
        <v>0</v>
      </c>
      <c r="E20" s="90">
        <v>0</v>
      </c>
      <c r="F20" s="90">
        <f>MIN(MAX(1-0.89/(1-frac_mam_6_11months+(frac_mam_6_11months*0.89)),0),1)</f>
        <v>0.10974905072091146</v>
      </c>
      <c r="G20" s="90">
        <f>MIN(MAX(1-0.89/(1-frac_mam_12_23months+(frac_mam_12_23months*0.89)),0),1)</f>
        <v>0.10971065061971519</v>
      </c>
      <c r="H20" s="90">
        <f>MIN(MAX(1-0.89/(1-frac_mam_24_59months+(frac_mam_24_59months*0.89)),0),1)</f>
        <v>0.10972431634152269</v>
      </c>
    </row>
    <row r="21" spans="1:8" ht="13.25" customHeight="1" x14ac:dyDescent="0.25">
      <c r="A21" s="5" t="s">
        <v>175</v>
      </c>
      <c r="B21" s="5" t="s">
        <v>84</v>
      </c>
      <c r="C21" s="5" t="s">
        <v>334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ht="13.25" customHeight="1" x14ac:dyDescent="0.25">
      <c r="C22" s="5" t="s">
        <v>335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ht="13.25" customHeight="1" x14ac:dyDescent="0.25">
      <c r="A23" s="5" t="s">
        <v>173</v>
      </c>
      <c r="B23" s="5" t="s">
        <v>84</v>
      </c>
      <c r="C23" s="5" t="s">
        <v>334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ht="13.25" customHeight="1" x14ac:dyDescent="0.25">
      <c r="C24" s="5" t="s">
        <v>335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ht="13.25" customHeight="1" x14ac:dyDescent="0.25">
      <c r="A25" s="5" t="s">
        <v>174</v>
      </c>
      <c r="B25" s="5" t="s">
        <v>84</v>
      </c>
      <c r="C25" s="5" t="s">
        <v>334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ht="13.25" customHeight="1" x14ac:dyDescent="0.25">
      <c r="C26" s="5" t="s">
        <v>335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ht="13.25" customHeight="1" x14ac:dyDescent="0.25">
      <c r="A27" s="5" t="s">
        <v>197</v>
      </c>
      <c r="B27" s="5" t="s">
        <v>87</v>
      </c>
      <c r="C27" s="5" t="s">
        <v>334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ht="13.25" customHeight="1" x14ac:dyDescent="0.25">
      <c r="C28" s="5" t="s">
        <v>335</v>
      </c>
      <c r="D28" s="90">
        <v>0.3</v>
      </c>
      <c r="E28" s="90">
        <v>0.3</v>
      </c>
      <c r="F28" s="90">
        <v>0.3</v>
      </c>
      <c r="G28" s="90">
        <v>0.3</v>
      </c>
      <c r="H28" s="90">
        <v>0.3</v>
      </c>
    </row>
    <row r="29" spans="1:8" ht="13.25" customHeight="1" x14ac:dyDescent="0.25">
      <c r="C29" s="5" t="s">
        <v>336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ht="13.25" customHeight="1" x14ac:dyDescent="0.25">
      <c r="A30" s="5" t="s">
        <v>198</v>
      </c>
      <c r="B30" s="5" t="s">
        <v>87</v>
      </c>
      <c r="C30" s="5" t="s">
        <v>334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ht="13.25" customHeight="1" x14ac:dyDescent="0.25">
      <c r="C31" s="5" t="s">
        <v>335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ht="13.25" customHeight="1" x14ac:dyDescent="0.25">
      <c r="C32" s="5" t="s">
        <v>336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ht="13.25" customHeight="1" x14ac:dyDescent="0.25">
      <c r="A33" s="5" t="s">
        <v>196</v>
      </c>
      <c r="B33" s="5" t="s">
        <v>87</v>
      </c>
      <c r="C33" s="5" t="s">
        <v>334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ht="13.25" customHeight="1" x14ac:dyDescent="0.25">
      <c r="C34" s="5" t="s">
        <v>335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ht="13.25" customHeight="1" x14ac:dyDescent="0.25">
      <c r="C35" s="5" t="s">
        <v>336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ht="13.25" customHeight="1" x14ac:dyDescent="0.25">
      <c r="A36" s="5" t="s">
        <v>195</v>
      </c>
      <c r="B36" s="5" t="s">
        <v>87</v>
      </c>
      <c r="C36" s="5" t="s">
        <v>334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ht="13.25" customHeight="1" x14ac:dyDescent="0.25">
      <c r="C37" s="5" t="s">
        <v>335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ht="13.25" customHeight="1" x14ac:dyDescent="0.25">
      <c r="C38" s="5" t="s">
        <v>336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ht="13.25" customHeight="1" x14ac:dyDescent="0.25">
      <c r="A39" s="5" t="s">
        <v>194</v>
      </c>
      <c r="B39" s="5" t="s">
        <v>87</v>
      </c>
      <c r="C39" s="5" t="s">
        <v>334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ht="13.25" customHeight="1" x14ac:dyDescent="0.25">
      <c r="C40" s="5" t="s">
        <v>335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ht="13.25" customHeight="1" x14ac:dyDescent="0.25">
      <c r="C41" s="5" t="s">
        <v>336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ht="13.25" customHeight="1" x14ac:dyDescent="0.25">
      <c r="A42" s="5" t="s">
        <v>200</v>
      </c>
      <c r="B42" s="5" t="s">
        <v>87</v>
      </c>
      <c r="C42" s="5" t="s">
        <v>334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ht="13.25" customHeight="1" x14ac:dyDescent="0.25">
      <c r="C43" s="5" t="s">
        <v>335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ht="13.25" customHeight="1" x14ac:dyDescent="0.25">
      <c r="C44" s="5" t="s">
        <v>336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ht="13.25" customHeight="1" x14ac:dyDescent="0.25">
      <c r="B45" s="5" t="s">
        <v>88</v>
      </c>
      <c r="C45" s="5" t="s">
        <v>334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ht="13.25" customHeight="1" x14ac:dyDescent="0.25">
      <c r="C46" s="5" t="s">
        <v>335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ht="13.25" customHeight="1" x14ac:dyDescent="0.25">
      <c r="C47" s="5" t="s">
        <v>336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191</v>
      </c>
      <c r="B48" s="5" t="s">
        <v>87</v>
      </c>
      <c r="C48" s="5" t="s">
        <v>334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335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199</v>
      </c>
      <c r="B50" s="5" t="s">
        <v>87</v>
      </c>
      <c r="C50" s="5" t="s">
        <v>334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335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184</v>
      </c>
      <c r="B52" s="5" t="s">
        <v>82</v>
      </c>
      <c r="C52" s="5" t="s">
        <v>334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335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331</v>
      </c>
      <c r="B55" s="97"/>
      <c r="C55" s="97"/>
    </row>
    <row r="56" spans="1:8" ht="13" customHeight="1" x14ac:dyDescent="0.3">
      <c r="A56" s="4" t="s">
        <v>160</v>
      </c>
      <c r="B56" s="4" t="s">
        <v>333</v>
      </c>
      <c r="C56" s="82" t="s">
        <v>12</v>
      </c>
      <c r="D56" s="4" t="s">
        <v>109</v>
      </c>
      <c r="E56" s="4" t="s">
        <v>96</v>
      </c>
      <c r="F56" s="4" t="s">
        <v>97</v>
      </c>
      <c r="G56" s="4" t="s">
        <v>98</v>
      </c>
      <c r="H56" s="4" t="s">
        <v>99</v>
      </c>
    </row>
    <row r="57" spans="1:8" x14ac:dyDescent="0.25">
      <c r="A57" s="5" t="s">
        <v>193</v>
      </c>
      <c r="B57" s="5" t="s">
        <v>87</v>
      </c>
      <c r="C57" s="5" t="s">
        <v>334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335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336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192</v>
      </c>
      <c r="B60" s="5" t="s">
        <v>208</v>
      </c>
      <c r="C60" s="5" t="s">
        <v>334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336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209</v>
      </c>
      <c r="C62" s="5" t="s">
        <v>334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336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185</v>
      </c>
      <c r="B64" s="5" t="s">
        <v>208</v>
      </c>
      <c r="C64" s="5" t="s">
        <v>334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336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209</v>
      </c>
      <c r="C66" s="5" t="s">
        <v>334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336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205</v>
      </c>
      <c r="B68" s="5" t="s">
        <v>208</v>
      </c>
      <c r="C68" s="5" t="s">
        <v>334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336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209</v>
      </c>
      <c r="C70" s="5" t="s">
        <v>334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336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170</v>
      </c>
      <c r="B72" s="5" t="s">
        <v>208</v>
      </c>
      <c r="C72" s="5" t="s">
        <v>334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336</v>
      </c>
      <c r="D73" s="90">
        <f t="shared" si="0"/>
        <v>0</v>
      </c>
      <c r="E73" s="90">
        <f t="shared" si="0"/>
        <v>0</v>
      </c>
      <c r="F73" s="90">
        <f>MIN(MAX(1-0.99/(1-frac_sam_6_11months+(frac_sam_6_11months*0.99)),0),1)</f>
        <v>9.9738761806708043E-3</v>
      </c>
      <c r="G73" s="90">
        <f>MIN(MAX(1-0.99/(1-frac_sam_12_23months+(frac_sam_12_23months*0.99)),0),1)</f>
        <v>9.987624845310572E-3</v>
      </c>
      <c r="H73" s="90">
        <f>MIN(MAX(1-0.99/(1-frac_sam_24_59months+(frac_sam_24_59months*0.99)),0),1)</f>
        <v>9.9981100863921757E-3</v>
      </c>
    </row>
    <row r="74" spans="1:8" x14ac:dyDescent="0.25">
      <c r="B74" s="5" t="s">
        <v>209</v>
      </c>
      <c r="C74" s="5" t="s">
        <v>334</v>
      </c>
      <c r="D74" s="90">
        <f t="shared" si="0"/>
        <v>0</v>
      </c>
      <c r="E74" s="90">
        <f t="shared" si="0"/>
        <v>0</v>
      </c>
      <c r="F74" s="90">
        <v>1</v>
      </c>
      <c r="G74" s="90">
        <v>1</v>
      </c>
      <c r="H74" s="90">
        <v>1</v>
      </c>
    </row>
    <row r="75" spans="1:8" x14ac:dyDescent="0.25">
      <c r="C75" s="5" t="s">
        <v>336</v>
      </c>
      <c r="D75" s="90">
        <f t="shared" si="0"/>
        <v>0</v>
      </c>
      <c r="E75" s="90">
        <f t="shared" si="0"/>
        <v>0</v>
      </c>
      <c r="F75" s="90">
        <f>MIN(MAX(1-0.99/(1-frac_mam_6_11months+(frac_mam_6_11months*0.99)),0),1)</f>
        <v>9.9746296098583986E-3</v>
      </c>
      <c r="G75" s="90">
        <f>MIN(MAX(1-0.99/(1-frac_mam_12_23months+(frac_mam_12_23months*0.99)),0),1)</f>
        <v>9.9707485957379882E-3</v>
      </c>
      <c r="H75" s="90">
        <f>MIN(MAX(1-0.99/(1-frac_mam_24_59months+(frac_mam_24_59months*0.99)),0),1)</f>
        <v>9.9721297254239394E-3</v>
      </c>
    </row>
    <row r="76" spans="1:8" x14ac:dyDescent="0.25">
      <c r="A76" s="5" t="s">
        <v>175</v>
      </c>
      <c r="B76" s="5" t="s">
        <v>84</v>
      </c>
      <c r="C76" s="5" t="s">
        <v>334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335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173</v>
      </c>
      <c r="B78" s="5" t="s">
        <v>84</v>
      </c>
      <c r="C78" s="5" t="s">
        <v>334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335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174</v>
      </c>
      <c r="B80" s="5" t="s">
        <v>84</v>
      </c>
      <c r="C80" s="5" t="s">
        <v>334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335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197</v>
      </c>
      <c r="B82" s="5" t="s">
        <v>87</v>
      </c>
      <c r="C82" s="5" t="s">
        <v>334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335</v>
      </c>
      <c r="D83" s="90">
        <v>7.0000000000000007E-2</v>
      </c>
      <c r="E83" s="90">
        <v>7.0000000000000007E-2</v>
      </c>
      <c r="F83" s="90">
        <v>7.0000000000000007E-2</v>
      </c>
      <c r="G83" s="90">
        <v>7.0000000000000007E-2</v>
      </c>
      <c r="H83" s="90">
        <v>7.0000000000000007E-2</v>
      </c>
    </row>
    <row r="84" spans="1:8" x14ac:dyDescent="0.25">
      <c r="C84" s="5" t="s">
        <v>336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198</v>
      </c>
      <c r="B85" s="5" t="s">
        <v>87</v>
      </c>
      <c r="C85" s="5" t="s">
        <v>334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335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336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196</v>
      </c>
      <c r="B88" s="5" t="s">
        <v>87</v>
      </c>
      <c r="C88" s="5" t="s">
        <v>334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335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336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195</v>
      </c>
      <c r="B91" s="5" t="s">
        <v>87</v>
      </c>
      <c r="C91" s="5" t="s">
        <v>334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335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336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194</v>
      </c>
      <c r="B94" s="5" t="s">
        <v>87</v>
      </c>
      <c r="C94" s="5" t="s">
        <v>334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335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336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200</v>
      </c>
      <c r="B97" s="5" t="s">
        <v>87</v>
      </c>
      <c r="C97" s="5" t="s">
        <v>334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335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336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88</v>
      </c>
      <c r="C100" s="5" t="s">
        <v>334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335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336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191</v>
      </c>
      <c r="B103" s="5" t="s">
        <v>87</v>
      </c>
      <c r="C103" s="5" t="s">
        <v>334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335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199</v>
      </c>
      <c r="B105" s="5" t="s">
        <v>87</v>
      </c>
      <c r="C105" s="5" t="s">
        <v>334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335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184</v>
      </c>
      <c r="B107" s="5" t="s">
        <v>82</v>
      </c>
      <c r="C107" s="5" t="s">
        <v>334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335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332</v>
      </c>
      <c r="B110" s="97"/>
      <c r="C110" s="97"/>
    </row>
    <row r="111" spans="1:8" ht="13" customHeight="1" x14ac:dyDescent="0.3">
      <c r="A111" s="4" t="s">
        <v>160</v>
      </c>
      <c r="B111" s="4" t="s">
        <v>333</v>
      </c>
      <c r="C111" s="82" t="s">
        <v>12</v>
      </c>
      <c r="D111" s="4" t="s">
        <v>109</v>
      </c>
      <c r="E111" s="4" t="s">
        <v>96</v>
      </c>
      <c r="F111" s="4" t="s">
        <v>97</v>
      </c>
      <c r="G111" s="4" t="s">
        <v>98</v>
      </c>
      <c r="H111" s="4" t="s">
        <v>99</v>
      </c>
    </row>
    <row r="112" spans="1:8" x14ac:dyDescent="0.25">
      <c r="A112" s="5" t="s">
        <v>193</v>
      </c>
      <c r="B112" s="5" t="s">
        <v>87</v>
      </c>
      <c r="C112" s="5" t="s">
        <v>334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335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336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192</v>
      </c>
      <c r="B115" s="5" t="s">
        <v>208</v>
      </c>
      <c r="C115" s="5" t="s">
        <v>334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336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209</v>
      </c>
      <c r="C117" s="5" t="s">
        <v>334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336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185</v>
      </c>
      <c r="B119" s="5" t="s">
        <v>208</v>
      </c>
      <c r="C119" s="5" t="s">
        <v>334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336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209</v>
      </c>
      <c r="C121" s="5" t="s">
        <v>334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336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205</v>
      </c>
      <c r="B123" s="5" t="s">
        <v>208</v>
      </c>
      <c r="C123" s="5" t="s">
        <v>334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336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209</v>
      </c>
      <c r="C125" s="5" t="s">
        <v>334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336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170</v>
      </c>
      <c r="B127" s="5" t="s">
        <v>208</v>
      </c>
      <c r="C127" s="5" t="s">
        <v>334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336</v>
      </c>
      <c r="D128" s="90">
        <f t="shared" si="3"/>
        <v>0</v>
      </c>
      <c r="E128" s="90">
        <f t="shared" si="3"/>
        <v>0</v>
      </c>
      <c r="F128" s="90">
        <f>MIN(MAX(1-0.8/(1-frac_sam_6_11months+(frac_sam_6_11months*0.8)),0),1)</f>
        <v>0.19957758507474732</v>
      </c>
      <c r="G128" s="90">
        <f>MIN(MAX(1-0.8/(1-frac_sam_12_23months+(frac_sam_12_23months*0.8)),0),1)</f>
        <v>0.19979994998749684</v>
      </c>
      <c r="H128" s="90">
        <f>MIN(MAX(1-0.8/(1-frac_sam_24_59months+(frac_sam_24_59months*0.8)),0),1)</f>
        <v>0.19996945483378548</v>
      </c>
    </row>
    <row r="129" spans="1:8" x14ac:dyDescent="0.25">
      <c r="B129" s="5" t="s">
        <v>209</v>
      </c>
      <c r="C129" s="5" t="s">
        <v>334</v>
      </c>
      <c r="D129" s="90">
        <f t="shared" si="3"/>
        <v>0</v>
      </c>
      <c r="E129" s="90">
        <f t="shared" si="3"/>
        <v>0</v>
      </c>
      <c r="F129" s="90">
        <v>1</v>
      </c>
      <c r="G129" s="90">
        <v>1</v>
      </c>
      <c r="H129" s="90">
        <v>1</v>
      </c>
    </row>
    <row r="130" spans="1:8" x14ac:dyDescent="0.25">
      <c r="C130" s="5" t="s">
        <v>336</v>
      </c>
      <c r="D130" s="90">
        <f t="shared" si="3"/>
        <v>0</v>
      </c>
      <c r="E130" s="90">
        <f t="shared" si="3"/>
        <v>0</v>
      </c>
      <c r="F130" s="90">
        <f>MIN(MAX(1-0.8/(1-frac_mam_6_11months+(frac_mam_6_11months*0.8)),0),1)</f>
        <v>0.19958977375084275</v>
      </c>
      <c r="G130" s="90">
        <f>MIN(MAX(1-0.8/(1-frac_mam_12_23months+(frac_mam_12_23months*0.8)),0),1)</f>
        <v>0.19952698448567219</v>
      </c>
      <c r="H130" s="90">
        <f>MIN(MAX(1-0.8/(1-frac_mam_24_59months+(frac_mam_24_59months*0.8)),0),1)</f>
        <v>0.19954933026392518</v>
      </c>
    </row>
    <row r="131" spans="1:8" x14ac:dyDescent="0.25">
      <c r="A131" s="5" t="s">
        <v>175</v>
      </c>
      <c r="B131" s="5" t="s">
        <v>84</v>
      </c>
      <c r="C131" s="5" t="s">
        <v>334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335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173</v>
      </c>
      <c r="B133" s="5" t="s">
        <v>84</v>
      </c>
      <c r="C133" s="5" t="s">
        <v>334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335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174</v>
      </c>
      <c r="B135" s="5" t="s">
        <v>84</v>
      </c>
      <c r="C135" s="5" t="s">
        <v>334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335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197</v>
      </c>
      <c r="B137" s="5" t="s">
        <v>87</v>
      </c>
      <c r="C137" s="5" t="s">
        <v>334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335</v>
      </c>
      <c r="D138" s="90">
        <v>0.51</v>
      </c>
      <c r="E138" s="90">
        <v>0.51</v>
      </c>
      <c r="F138" s="90">
        <v>0.51</v>
      </c>
      <c r="G138" s="90">
        <v>0.51</v>
      </c>
      <c r="H138" s="90">
        <v>0.51</v>
      </c>
    </row>
    <row r="139" spans="1:8" x14ac:dyDescent="0.25">
      <c r="C139" s="5" t="s">
        <v>336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198</v>
      </c>
      <c r="B140" s="5" t="s">
        <v>87</v>
      </c>
      <c r="C140" s="5" t="s">
        <v>334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335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336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196</v>
      </c>
      <c r="B143" s="5" t="s">
        <v>87</v>
      </c>
      <c r="C143" s="5" t="s">
        <v>334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335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336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195</v>
      </c>
      <c r="B146" s="5" t="s">
        <v>87</v>
      </c>
      <c r="C146" s="5" t="s">
        <v>334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335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336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194</v>
      </c>
      <c r="B149" s="5" t="s">
        <v>87</v>
      </c>
      <c r="C149" s="5" t="s">
        <v>334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335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336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200</v>
      </c>
      <c r="B152" s="5" t="s">
        <v>87</v>
      </c>
      <c r="C152" s="5" t="s">
        <v>334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335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336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88</v>
      </c>
      <c r="C155" s="5" t="s">
        <v>334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335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336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191</v>
      </c>
      <c r="B158" s="5" t="s">
        <v>87</v>
      </c>
      <c r="C158" s="5" t="s">
        <v>334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335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199</v>
      </c>
      <c r="B160" s="5" t="s">
        <v>87</v>
      </c>
      <c r="C160" s="5" t="s">
        <v>334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335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184</v>
      </c>
      <c r="B162" s="5" t="s">
        <v>82</v>
      </c>
      <c r="C162" s="5" t="s">
        <v>334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335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Jic2Bk8v6O7CUWZCAB2R4yCobD/iwj0p2D0PW4k2Dcm9JuGvrYax1TWejjBgfL4i2dARAIk/k7Ixhn8bxIkaDA==" saltValue="HPiNAHrckKBqENEVi3y7t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11" sqref="D11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160</v>
      </c>
      <c r="B1" s="1" t="s">
        <v>333</v>
      </c>
      <c r="C1" s="1"/>
      <c r="D1" s="4" t="s">
        <v>122</v>
      </c>
      <c r="E1" s="4" t="s">
        <v>123</v>
      </c>
      <c r="F1" s="4" t="s">
        <v>124</v>
      </c>
      <c r="G1" s="4" t="s">
        <v>125</v>
      </c>
      <c r="H1" s="4"/>
    </row>
    <row r="2" spans="1:8" ht="13.25" customHeight="1" x14ac:dyDescent="0.25">
      <c r="A2" s="3" t="s">
        <v>169</v>
      </c>
      <c r="B2" s="8" t="s">
        <v>104</v>
      </c>
      <c r="C2" s="3" t="s">
        <v>334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ht="13.25" customHeight="1" x14ac:dyDescent="0.25">
      <c r="C3" s="8" t="s">
        <v>335</v>
      </c>
      <c r="D3" s="90">
        <v>0</v>
      </c>
      <c r="E3" s="90">
        <v>0</v>
      </c>
      <c r="F3" s="90">
        <v>0</v>
      </c>
      <c r="G3" s="90">
        <v>0</v>
      </c>
      <c r="H3" s="3"/>
    </row>
    <row r="4" spans="1:8" ht="13.25" customHeight="1" x14ac:dyDescent="0.25">
      <c r="A4" s="3" t="s">
        <v>188</v>
      </c>
      <c r="B4" s="8" t="s">
        <v>104</v>
      </c>
      <c r="C4" s="3" t="s">
        <v>334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ht="13.25" customHeight="1" x14ac:dyDescent="0.25">
      <c r="C5" s="8" t="s">
        <v>335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ht="13.25" customHeight="1" x14ac:dyDescent="0.25">
      <c r="A6" s="3" t="s">
        <v>187</v>
      </c>
      <c r="B6" s="8" t="s">
        <v>104</v>
      </c>
      <c r="C6" s="3" t="s">
        <v>334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ht="13.25" customHeight="1" x14ac:dyDescent="0.25">
      <c r="C7" s="8" t="s">
        <v>335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331</v>
      </c>
    </row>
    <row r="10" spans="1:8" ht="13" customHeight="1" x14ac:dyDescent="0.3">
      <c r="A10" s="1" t="s">
        <v>160</v>
      </c>
      <c r="B10" s="1" t="s">
        <v>333</v>
      </c>
      <c r="C10" s="1"/>
      <c r="D10" s="4" t="s">
        <v>122</v>
      </c>
      <c r="E10" s="4" t="s">
        <v>123</v>
      </c>
      <c r="F10" s="4" t="s">
        <v>124</v>
      </c>
      <c r="G10" s="4" t="s">
        <v>125</v>
      </c>
    </row>
    <row r="11" spans="1:8" ht="13.25" customHeight="1" x14ac:dyDescent="0.25">
      <c r="A11" s="3" t="s">
        <v>169</v>
      </c>
      <c r="B11" s="8" t="s">
        <v>104</v>
      </c>
      <c r="C11" s="3" t="s">
        <v>334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ht="13.25" customHeight="1" x14ac:dyDescent="0.25">
      <c r="C12" s="8" t="s">
        <v>335</v>
      </c>
      <c r="D12" s="90">
        <v>0</v>
      </c>
      <c r="E12" s="90">
        <v>0</v>
      </c>
      <c r="F12" s="90">
        <v>0</v>
      </c>
      <c r="G12" s="90">
        <v>0</v>
      </c>
    </row>
    <row r="13" spans="1:8" ht="13.25" customHeight="1" x14ac:dyDescent="0.25">
      <c r="A13" s="3" t="s">
        <v>188</v>
      </c>
      <c r="B13" s="8" t="s">
        <v>104</v>
      </c>
      <c r="C13" s="3" t="s">
        <v>334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ht="13.25" customHeight="1" x14ac:dyDescent="0.25">
      <c r="C14" s="8" t="s">
        <v>335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ht="13.25" customHeight="1" x14ac:dyDescent="0.25">
      <c r="A15" s="3" t="s">
        <v>187</v>
      </c>
      <c r="B15" s="8" t="s">
        <v>104</v>
      </c>
      <c r="C15" s="3" t="s">
        <v>334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ht="13.25" customHeight="1" x14ac:dyDescent="0.25">
      <c r="C16" s="8" t="s">
        <v>335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332</v>
      </c>
    </row>
    <row r="19" spans="1:7" ht="13" customHeight="1" x14ac:dyDescent="0.3">
      <c r="A19" s="1" t="s">
        <v>160</v>
      </c>
      <c r="B19" s="1" t="s">
        <v>333</v>
      </c>
      <c r="C19" s="1"/>
      <c r="D19" s="4" t="s">
        <v>122</v>
      </c>
      <c r="E19" s="4" t="s">
        <v>123</v>
      </c>
      <c r="F19" s="4" t="s">
        <v>124</v>
      </c>
      <c r="G19" s="4" t="s">
        <v>125</v>
      </c>
    </row>
    <row r="20" spans="1:7" ht="13.25" customHeight="1" x14ac:dyDescent="0.25">
      <c r="A20" s="3" t="s">
        <v>169</v>
      </c>
      <c r="B20" s="8" t="s">
        <v>104</v>
      </c>
      <c r="C20" s="3" t="s">
        <v>334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ht="13.25" customHeight="1" x14ac:dyDescent="0.25">
      <c r="C21" s="8" t="s">
        <v>335</v>
      </c>
      <c r="D21" s="90">
        <v>0</v>
      </c>
      <c r="E21" s="90">
        <v>0</v>
      </c>
      <c r="F21" s="90">
        <v>0</v>
      </c>
      <c r="G21" s="90">
        <v>0</v>
      </c>
    </row>
    <row r="22" spans="1:7" ht="13.25" customHeight="1" x14ac:dyDescent="0.25">
      <c r="A22" s="3" t="s">
        <v>188</v>
      </c>
      <c r="B22" s="8" t="s">
        <v>104</v>
      </c>
      <c r="C22" s="3" t="s">
        <v>334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ht="13.25" customHeight="1" x14ac:dyDescent="0.25">
      <c r="C23" s="8" t="s">
        <v>335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ht="13.25" customHeight="1" x14ac:dyDescent="0.25">
      <c r="A24" s="3" t="s">
        <v>187</v>
      </c>
      <c r="B24" s="8" t="s">
        <v>104</v>
      </c>
      <c r="C24" s="3" t="s">
        <v>334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ht="13.25" customHeight="1" x14ac:dyDescent="0.25">
      <c r="C25" s="8" t="s">
        <v>335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H/S7HEpb8LmYtlSBQGZeuDSMl+gMtq8BdOugPnelonsCUskgdB09rFxwps7EshqIe4C3VXnJJurZAt9rYhgl7g==" saltValue="qHmovYhzL7mAGfCeG1jjyg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Données pop de l'année de ref</vt:lpstr>
      <vt:lpstr>Projections démographiques</vt:lpstr>
      <vt:lpstr>Causes du décès</vt:lpstr>
      <vt:lpstr>Dist. de l'état nutritionnel</vt:lpstr>
      <vt:lpstr>Dist. l'allaitement maternel</vt:lpstr>
      <vt:lpstr>Tendances temporelles</vt:lpstr>
      <vt:lpstr>Perte économique</vt:lpstr>
      <vt:lpstr>Paquets ANJE</vt:lpstr>
      <vt:lpstr>Traitement de la MAS</vt:lpstr>
      <vt:lpstr>Coûts et couvertures des prgms</vt:lpstr>
      <vt:lpstr>Dépendances du programme</vt:lpstr>
      <vt:lpstr>Programmes de référence</vt:lpstr>
      <vt:lpstr>Incidence des conditions</vt:lpstr>
      <vt:lpstr>Programmes-population cible</vt:lpstr>
      <vt:lpstr>Options de la courbe de coût</vt:lpstr>
      <vt:lpstr>Programmes-planification fam.</vt:lpstr>
      <vt:lpstr>Programmes - population touchée</vt:lpstr>
      <vt:lpstr>Programme - secteurs à risque</vt:lpstr>
      <vt:lpstr>Population des sect. à risque</vt:lpstr>
      <vt:lpstr>Rapport des cotes ANJE</vt:lpstr>
      <vt:lpstr>Risques des rés. des naissances</vt:lpstr>
      <vt:lpstr>Risques relatifs</vt:lpstr>
      <vt:lpstr>Rapports des cotes</vt:lpstr>
      <vt:lpstr>Programmes-rés. des naissances</vt:lpstr>
      <vt:lpstr>Programmes-anémie</vt:lpstr>
      <vt:lpstr>Programmes-émaciation</vt:lpstr>
      <vt:lpstr>Programmes pour les enfants</vt:lpstr>
      <vt:lpstr>Programmes pour les FE</vt:lpstr>
      <vt:lpstr>'Paquets ANJE'!abortion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'Paquets ANJE'!stillbirth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lang=fr</cp:keywords>
  <cp:lastModifiedBy>Tharindu Wickramaarachchi</cp:lastModifiedBy>
  <dcterms:created xsi:type="dcterms:W3CDTF">2017-08-01T10:42:13Z</dcterms:created>
  <dcterms:modified xsi:type="dcterms:W3CDTF">2024-08-06T09:35:46Z</dcterms:modified>
</cp:coreProperties>
</file>