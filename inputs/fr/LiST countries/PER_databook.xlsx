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3868D50D-75E7-4E63-AC66-18C6F792682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4" i="2"/>
  <c r="A31" i="2"/>
  <c r="A26" i="2"/>
  <c r="A25" i="2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A36" i="2"/>
  <c r="I7" i="2"/>
  <c r="I13" i="2"/>
  <c r="A37" i="2"/>
  <c r="I38" i="2"/>
  <c r="I4" i="2"/>
  <c r="A22" i="2"/>
  <c r="I11" i="2"/>
  <c r="A23" i="2"/>
  <c r="A19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<sst xmlns="http://schemas.openxmlformats.org/spreadsheetml/2006/main" count="2169" uniqueCount="369">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</sst>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2677059</v>
      </c>
    </row>
    <row r="8" spans="1:3" ht="15" customHeight="1" x14ac:dyDescent="0.25">
      <c r="B8" s="5" t="s">
        <v>37</v>
      </c>
      <c r="C8" s="44">
        <v>2.5999999999999999E-2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0.81257881164550794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0.1017</v>
      </c>
    </row>
    <row r="24" spans="1:3" ht="15" customHeight="1" x14ac:dyDescent="0.25">
      <c r="B24" s="15" t="s">
        <v>51</v>
      </c>
      <c r="C24" s="45">
        <v>0.4788</v>
      </c>
    </row>
    <row r="25" spans="1:3" ht="15" customHeight="1" x14ac:dyDescent="0.25">
      <c r="B25" s="15" t="s">
        <v>52</v>
      </c>
      <c r="C25" s="45">
        <v>0.3508</v>
      </c>
    </row>
    <row r="26" spans="1:3" ht="15" customHeight="1" x14ac:dyDescent="0.25">
      <c r="B26" s="15" t="s">
        <v>53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0.35066608906841101</v>
      </c>
    </row>
    <row r="30" spans="1:3" ht="14.25" customHeight="1" x14ac:dyDescent="0.25">
      <c r="B30" s="25" t="s">
        <v>56</v>
      </c>
      <c r="C30" s="97">
        <v>2.06592801300131E-2</v>
      </c>
    </row>
    <row r="31" spans="1:3" ht="14.25" customHeight="1" x14ac:dyDescent="0.25">
      <c r="B31" s="25" t="s">
        <v>57</v>
      </c>
      <c r="C31" s="97">
        <v>5.6103010463544101E-2</v>
      </c>
    </row>
    <row r="32" spans="1:3" ht="14.25" customHeight="1" x14ac:dyDescent="0.25">
      <c r="B32" s="25" t="s">
        <v>58</v>
      </c>
      <c r="C32" s="97">
        <v>0.57257162033803199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7.1367700000000003</v>
      </c>
    </row>
    <row r="38" spans="1:5" ht="15" customHeight="1" x14ac:dyDescent="0.25">
      <c r="B38" s="11" t="s">
        <v>63</v>
      </c>
      <c r="C38" s="43">
        <v>10.960900000000001</v>
      </c>
      <c r="D38" s="12"/>
      <c r="E38" s="13"/>
    </row>
    <row r="39" spans="1:5" ht="15" customHeight="1" x14ac:dyDescent="0.25">
      <c r="B39" s="11" t="s">
        <v>64</v>
      </c>
      <c r="C39" s="43">
        <v>14.12261</v>
      </c>
      <c r="D39" s="12"/>
      <c r="E39" s="12"/>
    </row>
    <row r="40" spans="1:5" ht="15" customHeight="1" x14ac:dyDescent="0.25">
      <c r="B40" s="11" t="s">
        <v>65</v>
      </c>
      <c r="C40" s="98">
        <v>0.69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5.8412000000000004E-3</v>
      </c>
      <c r="D45" s="12"/>
    </row>
    <row r="46" spans="1:5" ht="15.75" customHeight="1" x14ac:dyDescent="0.25">
      <c r="B46" s="11" t="s">
        <v>70</v>
      </c>
      <c r="C46" s="45">
        <v>6.0999800000000007E-2</v>
      </c>
      <c r="D46" s="12"/>
    </row>
    <row r="47" spans="1:5" ht="15.75" customHeight="1" x14ac:dyDescent="0.25">
      <c r="B47" s="11" t="s">
        <v>71</v>
      </c>
      <c r="C47" s="45">
        <v>4.6633800000000003E-2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0.60645700000000002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E9r24NuGz4oCuuGAuZwXvXORSIBZbmtJeyCqd7cj0Q3AuvRXTNvEUTF/dCqCH4vcwIJQm1VIaDqVKbA5V30T6g==" saltValue="egfd9UpL3oTkvDflaeoH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538952</v>
      </c>
      <c r="C2" s="49">
        <v>1426948</v>
      </c>
      <c r="D2" s="49">
        <v>2789217</v>
      </c>
      <c r="E2" s="49">
        <v>2698483</v>
      </c>
      <c r="F2" s="49">
        <v>2202037.0000000005</v>
      </c>
      <c r="G2" s="17">
        <f t="shared" ref="G2:G13" si="0">C2+D2+E2+F2</f>
        <v>9116685</v>
      </c>
      <c r="H2" s="17">
        <f t="shared" ref="H2:H13" si="1">(B2 + stillbirth*B2/(1000-stillbirth))/(1-abortion)</f>
        <v>616534.04941688653</v>
      </c>
      <c r="I2" s="17">
        <f t="shared" ref="I2:I13" si="2">G2-H2</f>
        <v>8500150.9505831134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535695</v>
      </c>
      <c r="C3" s="50">
        <v>1421672.5</v>
      </c>
      <c r="D3" s="50">
        <v>2793505.5</v>
      </c>
      <c r="E3" s="50">
        <v>2728333.4999999995</v>
      </c>
      <c r="F3" s="50">
        <v>2247316</v>
      </c>
      <c r="G3" s="17">
        <f t="shared" si="0"/>
        <v>9190827.5</v>
      </c>
      <c r="H3" s="17">
        <f t="shared" si="1"/>
        <v>612808.20481671661</v>
      </c>
      <c r="I3" s="17">
        <f t="shared" si="2"/>
        <v>8578019.2951832842</v>
      </c>
    </row>
    <row r="4" spans="1:9" ht="15.75" customHeight="1" x14ac:dyDescent="0.25">
      <c r="A4" s="5">
        <f t="shared" si="3"/>
        <v>2026</v>
      </c>
      <c r="B4" s="49">
        <v>532846</v>
      </c>
      <c r="C4" s="50">
        <v>1413492.5</v>
      </c>
      <c r="D4" s="50">
        <v>2798974.5</v>
      </c>
      <c r="E4" s="50">
        <v>2751090.5000000005</v>
      </c>
      <c r="F4" s="50">
        <v>2294620.5</v>
      </c>
      <c r="G4" s="17">
        <f t="shared" si="0"/>
        <v>9258178</v>
      </c>
      <c r="H4" s="17">
        <f t="shared" si="1"/>
        <v>609549.0917476702</v>
      </c>
      <c r="I4" s="17">
        <f t="shared" si="2"/>
        <v>8648628.9082523305</v>
      </c>
    </row>
    <row r="5" spans="1:9" ht="15.75" customHeight="1" x14ac:dyDescent="0.25">
      <c r="A5" s="5">
        <f t="shared" si="3"/>
        <v>2027</v>
      </c>
      <c r="B5" s="49">
        <v>530375</v>
      </c>
      <c r="C5" s="50">
        <v>1402817.5</v>
      </c>
      <c r="D5" s="50">
        <v>2805019.5000000005</v>
      </c>
      <c r="E5" s="50">
        <v>2767576</v>
      </c>
      <c r="F5" s="50">
        <v>2343605.5</v>
      </c>
      <c r="G5" s="17">
        <f t="shared" si="0"/>
        <v>9319018.5</v>
      </c>
      <c r="H5" s="17">
        <f t="shared" si="1"/>
        <v>606722.39171481167</v>
      </c>
      <c r="I5" s="17">
        <f t="shared" si="2"/>
        <v>8712296.1082851887</v>
      </c>
    </row>
    <row r="6" spans="1:9" ht="15.75" customHeight="1" x14ac:dyDescent="0.25">
      <c r="A6" s="5">
        <f t="shared" si="3"/>
        <v>2028</v>
      </c>
      <c r="B6" s="49">
        <v>527850</v>
      </c>
      <c r="C6" s="50">
        <v>1389986</v>
      </c>
      <c r="D6" s="50">
        <v>2809589</v>
      </c>
      <c r="E6" s="50">
        <v>2778431</v>
      </c>
      <c r="F6" s="50">
        <v>2393756.0000000005</v>
      </c>
      <c r="G6" s="17">
        <f t="shared" si="0"/>
        <v>9371762</v>
      </c>
      <c r="H6" s="17">
        <f t="shared" si="1"/>
        <v>603833.91839106928</v>
      </c>
      <c r="I6" s="17">
        <f t="shared" si="2"/>
        <v>8767928.0816089306</v>
      </c>
    </row>
    <row r="7" spans="1:9" ht="15.75" customHeight="1" x14ac:dyDescent="0.25">
      <c r="A7" s="5">
        <f t="shared" si="3"/>
        <v>2029</v>
      </c>
      <c r="B7" s="49">
        <v>524403</v>
      </c>
      <c r="C7" s="50">
        <v>1377260</v>
      </c>
      <c r="D7" s="50">
        <v>2811580.5</v>
      </c>
      <c r="E7" s="50">
        <v>2784423</v>
      </c>
      <c r="F7" s="50">
        <v>2444131.0000000005</v>
      </c>
      <c r="G7" s="17">
        <f t="shared" si="0"/>
        <v>9417394.5</v>
      </c>
      <c r="H7" s="17">
        <f t="shared" si="1"/>
        <v>599890.72332297417</v>
      </c>
      <c r="I7" s="17">
        <f t="shared" si="2"/>
        <v>8817503.7766770255</v>
      </c>
    </row>
    <row r="8" spans="1:9" ht="15.75" customHeight="1" x14ac:dyDescent="0.25">
      <c r="A8" s="5">
        <f t="shared" si="3"/>
        <v>2030</v>
      </c>
      <c r="B8" s="49">
        <v>520799</v>
      </c>
      <c r="C8" s="50">
        <v>1365340.5</v>
      </c>
      <c r="D8" s="50">
        <v>2810185.4999999995</v>
      </c>
      <c r="E8" s="50">
        <v>2786849.5000000005</v>
      </c>
      <c r="F8" s="50">
        <v>2493729.0000000005</v>
      </c>
      <c r="G8" s="17">
        <f t="shared" si="0"/>
        <v>9456104.5</v>
      </c>
      <c r="H8" s="17">
        <f t="shared" si="1"/>
        <v>595767.92813138291</v>
      </c>
      <c r="I8" s="17">
        <f t="shared" si="2"/>
        <v>8860336.5718686171</v>
      </c>
    </row>
    <row r="9" spans="1:9" ht="15.75" customHeight="1" x14ac:dyDescent="0.25">
      <c r="A9" s="5">
        <f t="shared" si="3"/>
        <v>2031</v>
      </c>
      <c r="B9" s="49">
        <v>517203.99999999994</v>
      </c>
      <c r="C9" s="50">
        <v>1352918.5</v>
      </c>
      <c r="D9" s="50">
        <v>2809417.9999999995</v>
      </c>
      <c r="E9" s="50">
        <v>2784442.5</v>
      </c>
      <c r="F9" s="50">
        <v>2541618</v>
      </c>
      <c r="G9" s="17">
        <f t="shared" si="0"/>
        <v>9488397</v>
      </c>
      <c r="H9" s="17">
        <f t="shared" si="1"/>
        <v>591655.42848827236</v>
      </c>
      <c r="I9" s="17">
        <f t="shared" si="2"/>
        <v>8896741.5715117268</v>
      </c>
    </row>
    <row r="10" spans="1:9" ht="15.75" customHeight="1" x14ac:dyDescent="0.25">
      <c r="A10" s="5">
        <f t="shared" si="3"/>
        <v>2032</v>
      </c>
      <c r="B10" s="49">
        <v>514086</v>
      </c>
      <c r="C10" s="50">
        <v>1341241.5</v>
      </c>
      <c r="D10" s="50">
        <v>2808822</v>
      </c>
      <c r="E10" s="50">
        <v>2777990.5</v>
      </c>
      <c r="F10" s="50">
        <v>2586488.5000000005</v>
      </c>
      <c r="G10" s="17">
        <f t="shared" si="0"/>
        <v>9514542.5</v>
      </c>
      <c r="H10" s="17">
        <f t="shared" si="1"/>
        <v>588088.59291463718</v>
      </c>
      <c r="I10" s="17">
        <f t="shared" si="2"/>
        <v>8926453.9070853628</v>
      </c>
    </row>
    <row r="11" spans="1:9" ht="15.75" customHeight="1" x14ac:dyDescent="0.25">
      <c r="A11" s="5">
        <f t="shared" si="3"/>
        <v>2033</v>
      </c>
      <c r="B11" s="49">
        <v>511252</v>
      </c>
      <c r="C11" s="50">
        <v>1332616</v>
      </c>
      <c r="D11" s="50">
        <v>2803426.9999999995</v>
      </c>
      <c r="E11" s="50">
        <v>2771607.5</v>
      </c>
      <c r="F11" s="50">
        <v>2626949</v>
      </c>
      <c r="G11" s="17">
        <f t="shared" si="0"/>
        <v>9534599.5</v>
      </c>
      <c r="H11" s="17">
        <f t="shared" si="1"/>
        <v>584846.63909305853</v>
      </c>
      <c r="I11" s="17">
        <f t="shared" si="2"/>
        <v>8949752.8609069418</v>
      </c>
    </row>
    <row r="12" spans="1:9" ht="15.75" customHeight="1" x14ac:dyDescent="0.25">
      <c r="A12" s="5">
        <f t="shared" si="3"/>
        <v>2034</v>
      </c>
      <c r="B12" s="49">
        <v>508042</v>
      </c>
      <c r="C12" s="50">
        <v>1326704.5</v>
      </c>
      <c r="D12" s="50">
        <v>2791413.4999999995</v>
      </c>
      <c r="E12" s="50">
        <v>2769103.5</v>
      </c>
      <c r="F12" s="50">
        <v>2661790.5</v>
      </c>
      <c r="G12" s="17">
        <f t="shared" si="0"/>
        <v>9549012</v>
      </c>
      <c r="H12" s="17">
        <f t="shared" si="1"/>
        <v>581174.56013495428</v>
      </c>
      <c r="I12" s="17">
        <f t="shared" si="2"/>
        <v>8967837.4398650452</v>
      </c>
    </row>
    <row r="13" spans="1:9" ht="15.75" customHeight="1" x14ac:dyDescent="0.25">
      <c r="A13" s="5">
        <f t="shared" si="3"/>
        <v>2035</v>
      </c>
      <c r="B13" s="49">
        <v>504811</v>
      </c>
      <c r="C13" s="50">
        <v>1323286</v>
      </c>
      <c r="D13" s="50">
        <v>2773301.0000000005</v>
      </c>
      <c r="E13" s="50">
        <v>2770639.5</v>
      </c>
      <c r="F13" s="50">
        <v>2690171.5</v>
      </c>
      <c r="G13" s="17">
        <f t="shared" si="0"/>
        <v>9557398</v>
      </c>
      <c r="H13" s="17">
        <f t="shared" si="1"/>
        <v>577478.4582303951</v>
      </c>
      <c r="I13" s="17">
        <f t="shared" si="2"/>
        <v>8979919.5417696051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E+x/Cp3fHMJ+v+kxICz+0X+I4vtYuCmGmXo75sWjcS8i7NHp9fbPIkJJ0DYQMv9lhmfBplT1X1S5PVuOLtJNQ==" saltValue="bQY+7mVMqhEftBRa2ACL0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6.8213585686113243E-2</v>
      </c>
    </row>
    <row r="5" spans="1:8" ht="15.75" customHeight="1" x14ac:dyDescent="0.25">
      <c r="B5" s="19" t="s">
        <v>98</v>
      </c>
      <c r="C5" s="99">
        <v>2.0191202959532081E-2</v>
      </c>
    </row>
    <row r="6" spans="1:8" ht="15.75" customHeight="1" x14ac:dyDescent="0.25">
      <c r="B6" s="19" t="s">
        <v>99</v>
      </c>
      <c r="C6" s="99">
        <v>0.1647395441538852</v>
      </c>
    </row>
    <row r="7" spans="1:8" ht="15.75" customHeight="1" x14ac:dyDescent="0.25">
      <c r="B7" s="19" t="s">
        <v>100</v>
      </c>
      <c r="C7" s="99">
        <v>0.40726092353651949</v>
      </c>
    </row>
    <row r="8" spans="1:8" ht="15.75" customHeight="1" x14ac:dyDescent="0.25">
      <c r="B8" s="19" t="s">
        <v>101</v>
      </c>
      <c r="C8" s="99">
        <v>1.1011728567132039E-2</v>
      </c>
    </row>
    <row r="9" spans="1:8" ht="15.75" customHeight="1" x14ac:dyDescent="0.25">
      <c r="B9" s="19" t="s">
        <v>102</v>
      </c>
      <c r="C9" s="99">
        <v>0.22914229320527599</v>
      </c>
    </row>
    <row r="10" spans="1:8" ht="15.75" customHeight="1" x14ac:dyDescent="0.25">
      <c r="B10" s="19" t="s">
        <v>103</v>
      </c>
      <c r="C10" s="99">
        <v>9.9440721891541795E-2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106</v>
      </c>
      <c r="C15" s="99">
        <v>0.30279653142205609</v>
      </c>
      <c r="D15" s="99">
        <v>0.30279653142205609</v>
      </c>
      <c r="E15" s="99">
        <v>0.30279653142205609</v>
      </c>
      <c r="F15" s="99">
        <v>0.30279653142205609</v>
      </c>
    </row>
    <row r="16" spans="1:8" ht="15.75" customHeight="1" x14ac:dyDescent="0.25">
      <c r="B16" s="19" t="s">
        <v>107</v>
      </c>
      <c r="C16" s="99">
        <v>2.3327980127058529E-2</v>
      </c>
      <c r="D16" s="99">
        <v>2.3327980127058529E-2</v>
      </c>
      <c r="E16" s="99">
        <v>2.3327980127058529E-2</v>
      </c>
      <c r="F16" s="99">
        <v>2.3327980127058529E-2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3.8316375366036931E-3</v>
      </c>
      <c r="D18" s="99">
        <v>3.8316375366036931E-3</v>
      </c>
      <c r="E18" s="99">
        <v>3.8316375366036931E-3</v>
      </c>
      <c r="F18" s="99">
        <v>3.8316375366036931E-3</v>
      </c>
    </row>
    <row r="19" spans="1:8" ht="15.75" customHeight="1" x14ac:dyDescent="0.25">
      <c r="B19" s="19" t="s">
        <v>110</v>
      </c>
      <c r="C19" s="99">
        <v>2.6632053203642779E-2</v>
      </c>
      <c r="D19" s="99">
        <v>2.6632053203642779E-2</v>
      </c>
      <c r="E19" s="99">
        <v>2.6632053203642779E-2</v>
      </c>
      <c r="F19" s="99">
        <v>2.6632053203642779E-2</v>
      </c>
    </row>
    <row r="20" spans="1:8" ht="15.75" customHeight="1" x14ac:dyDescent="0.25">
      <c r="B20" s="19" t="s">
        <v>111</v>
      </c>
      <c r="C20" s="99">
        <v>3.7244085545977627E-2</v>
      </c>
      <c r="D20" s="99">
        <v>3.7244085545977627E-2</v>
      </c>
      <c r="E20" s="99">
        <v>3.7244085545977627E-2</v>
      </c>
      <c r="F20" s="99">
        <v>3.7244085545977627E-2</v>
      </c>
    </row>
    <row r="21" spans="1:8" ht="15.75" customHeight="1" x14ac:dyDescent="0.25">
      <c r="B21" s="19" t="s">
        <v>112</v>
      </c>
      <c r="C21" s="99">
        <v>0.39295376627483958</v>
      </c>
      <c r="D21" s="99">
        <v>0.39295376627483958</v>
      </c>
      <c r="E21" s="99">
        <v>0.39295376627483958</v>
      </c>
      <c r="F21" s="99">
        <v>0.39295376627483958</v>
      </c>
    </row>
    <row r="22" spans="1:8" ht="15.75" customHeight="1" x14ac:dyDescent="0.25">
      <c r="B22" s="19" t="s">
        <v>113</v>
      </c>
      <c r="C22" s="99">
        <v>0.1344936236595613</v>
      </c>
      <c r="D22" s="99">
        <v>0.1344936236595613</v>
      </c>
      <c r="E22" s="99">
        <v>0.1344936236595613</v>
      </c>
      <c r="F22" s="99">
        <v>0.1344936236595613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5.9206632000000002E-2</v>
      </c>
    </row>
    <row r="27" spans="1:8" ht="15.75" customHeight="1" x14ac:dyDescent="0.25">
      <c r="B27" s="19" t="s">
        <v>120</v>
      </c>
      <c r="C27" s="99">
        <v>5.4331326999999999E-2</v>
      </c>
    </row>
    <row r="28" spans="1:8" ht="15.75" customHeight="1" x14ac:dyDescent="0.25">
      <c r="B28" s="19" t="s">
        <v>121</v>
      </c>
      <c r="C28" s="99">
        <v>8.2001606000000005E-2</v>
      </c>
    </row>
    <row r="29" spans="1:8" ht="15.75" customHeight="1" x14ac:dyDescent="0.25">
      <c r="B29" s="19" t="s">
        <v>122</v>
      </c>
      <c r="C29" s="99">
        <v>0.17244879399999999</v>
      </c>
    </row>
    <row r="30" spans="1:8" ht="15.75" customHeight="1" x14ac:dyDescent="0.25">
      <c r="B30" s="19" t="s">
        <v>2</v>
      </c>
      <c r="C30" s="99">
        <v>0.28298384500000001</v>
      </c>
    </row>
    <row r="31" spans="1:8" ht="15.75" customHeight="1" x14ac:dyDescent="0.25">
      <c r="B31" s="19" t="s">
        <v>123</v>
      </c>
      <c r="C31" s="99">
        <v>5.2443504000000002E-2</v>
      </c>
    </row>
    <row r="32" spans="1:8" ht="15.75" customHeight="1" x14ac:dyDescent="0.25">
      <c r="B32" s="19" t="s">
        <v>124</v>
      </c>
      <c r="C32" s="99">
        <v>1.1239091E-2</v>
      </c>
    </row>
    <row r="33" spans="2:3" ht="15.75" customHeight="1" x14ac:dyDescent="0.25">
      <c r="B33" s="19" t="s">
        <v>125</v>
      </c>
      <c r="C33" s="99">
        <v>0.207844573</v>
      </c>
    </row>
    <row r="34" spans="2:3" ht="15.75" customHeight="1" x14ac:dyDescent="0.25">
      <c r="B34" s="19" t="s">
        <v>126</v>
      </c>
      <c r="C34" s="99">
        <v>7.7500629000000015E-2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cnebhvIXaJumz0X7oTMEvoKv/+SunSPwziZSqWeNEvxKW3wDkaobl3FSoOolF32+5vDFstq6ZtjGOXwhQbyhUg==" saltValue="AWBWiiVLVvDy2uJ9T4Yuh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132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133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137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138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BE/Hgk2q8apPhF5adsp36SzFl+SdbOkLQt2qJacUWNEeYTe4la5GvrXgXeuQ4AeDeTPfetUnanUHtRv+BSfSg==" saltValue="U0OQ1O31CkP9XNfM7Aa4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3.2858999999999527E-3</v>
      </c>
      <c r="D5" s="52">
        <f t="shared" si="0"/>
        <v>3.077949999999996E-2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PLvAZ5RFS3Uz7gJAIMuWq36sxuW4JQcAC3ua38xP11pY72sqtXLPCLZo/VyKo4aLIP/eUkYXzI6JBVYOZAGs7A==" saltValue="0/FwuTVwSZCHD5fmeR/eK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fgtyUywG0E1/rFQNqLZFOBPfcZqMpqVACjccsFoAT+ivu/XLNeQsYamYqnubWhoyvG8iX/b4rLLKaDxpK4mRw==" saltValue="garNbmo/U95hD9MV0B4Jw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7125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0.40991999999999995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0.69590000000000007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1.2463618005278678E-2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98748.083570000003</v>
      </c>
      <c r="C22" s="107">
        <v>98611.810440000001</v>
      </c>
      <c r="D22" s="107">
        <v>98467.933009999993</v>
      </c>
      <c r="E22" s="107">
        <v>98208.162750000003</v>
      </c>
      <c r="F22" s="107">
        <v>97823.091579999993</v>
      </c>
      <c r="G22" s="107">
        <v>97346.762789999993</v>
      </c>
      <c r="H22" s="107">
        <v>96795.648430000001</v>
      </c>
      <c r="I22" s="107">
        <v>96127.660619999995</v>
      </c>
      <c r="J22" s="107">
        <v>95262.577999999994</v>
      </c>
      <c r="K22" s="107">
        <v>94101.532789999997</v>
      </c>
      <c r="L22" s="107">
        <v>92460.247180000006</v>
      </c>
      <c r="M22" s="107">
        <v>90108.656659999993</v>
      </c>
      <c r="N22" s="107">
        <v>86635.609119999994</v>
      </c>
      <c r="O22" s="107">
        <v>81499.982459999999</v>
      </c>
    </row>
  </sheetData>
  <sheetProtection algorithmName="SHA-512" hashValue="zeqkDBwCQFV5DiAUFGLYqi2j0lT48HhUbZeji5vITsAeoVq7oafiWS176bJmNT6b71kbt5F10VQjdjQTEK1XfA==" saltValue="oYbzn4oEhyX94iA0cHOWT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igjXO2xvFZ+m3fdfIdLI5imS5HjpoSRRZbj6psVGmLZdSwfXxv7kYtykFvgOI5CUa4TGCO2vtGKf9JOnYlAsug==" saltValue="3xq4fZL6eJjSgesGBx2R2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oA0dI/oIrKG/KlokVBo0tRLV05hkSp1D6THNIAOhCd4UoYoKVB3OtJnO0hNinJVlpcKkX8rlDUuYBHyd+/lIVA==" saltValue="q8fIZFQDcBsRNBh528aNo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0.67937290000000006</v>
      </c>
      <c r="C10" s="96">
        <v>0.95</v>
      </c>
      <c r="D10" s="56">
        <v>13.2848109011973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13.2848109011973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13.2848109011973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13.2848109011973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0.67937290000000006</v>
      </c>
      <c r="C14" s="96">
        <v>0.95</v>
      </c>
      <c r="D14" s="56">
        <v>13.2848109011973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13.2848109011973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5.1057523E-2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0.62137850000000006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0.62137850000000006</v>
      </c>
      <c r="C19" s="96">
        <v>0.95</v>
      </c>
      <c r="D19" s="56">
        <v>13.888305673904391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4.4497323231020474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0.65966240376217999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0.67937290000000006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0.316662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0.84173100000000001</v>
      </c>
      <c r="C29" s="96">
        <v>0.95</v>
      </c>
      <c r="D29" s="56">
        <v>141.38404679872559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4.4999999999999998E-2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0.14000000000000001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0.115588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1.14398E-2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0.91945449999999995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1.4E-2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I2d6Cf1yvcQjX+96q9l0uqz6tWnn6RKjxFddAMstec4zaPmvD0rgWX9D6gRbG5ABCw+oc3ER49Jli4bM5/1uEA==" saltValue="iaJqJ9Er6LjQiY7NrWN2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kLOBEMouqldLOu6od0oR9aXqVHUZbDoGHCmUC/SvoU5NEMBZZBbap6IqJhhEPZr8AYFMQh3OTzkQJMrqztHCw==" saltValue="HTMKf35CqXGrDK1uZP1V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tztekuBbHfKvNz2Pu/03kqAQVALv5iz8P4Tskp89GUIuv+mkTciSsdFSaHJ+K4rjQnVnJ9DA7jFBYl3U7bb1Q==" saltValue="fN/ncOCZibuDOTXX1nb7l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237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sheetProtection algorithmName="SHA-512" hashValue="gdgrREaVh5GKePU27Mjf0SbIJFAPn/DM9Cr3JiWegNvXc/NxtnFygUjmECX06y2LkEqhLgaqo9C/rGBASePV7Q==" saltValue="3UzX4qQvODrv3+zpGWaS1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2.5999999999999999E-2</v>
      </c>
      <c r="F2" s="60">
        <f>food_insecure</f>
        <v>2.5999999999999999E-2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2.5999999999999999E-2</v>
      </c>
      <c r="I15" s="60">
        <f t="shared" si="0"/>
        <v>2.5999999999999999E-2</v>
      </c>
      <c r="J15" s="60">
        <f t="shared" si="0"/>
        <v>2.5999999999999999E-2</v>
      </c>
      <c r="K15" s="60">
        <f t="shared" si="0"/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2.5999999999999999E-2</v>
      </c>
      <c r="I16" s="60">
        <f t="shared" si="0"/>
        <v>2.5999999999999999E-2</v>
      </c>
      <c r="J16" s="60">
        <f t="shared" si="0"/>
        <v>2.5999999999999999E-2</v>
      </c>
      <c r="K16" s="60">
        <f t="shared" si="0"/>
        <v>2.5999999999999999E-2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chj50qgl1P7ZX2N3gkcv+2v9gkSM+JMO2tCqflK8KQv8YHLrhZdylNJa2YCOtJVlB9E6ILOo9qpEprpyFhYLQ==" saltValue="fIR9V8HVYe2+TNJ4jApH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qtFA2KlyT+5Ij1RCuQwflpTRCqZizqhAbwP/+nmTlFAF01M/6O+AWuHnKTSikyIl1Eq1n1vwYJMORog6ho684g==" saltValue="o0iaPRO+I58jmRX5bJ7HB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/OInvrLEgtIMMSbcHY67j+SIYrAuyChwjjfM7kSFwsRY22x8wZ/Vp9PbVov4Tcw5HxyMmk6JFli/1qfpU357Gg==" saltValue="m2vCrpuCRdBfYbNwN6/Io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LfqzK/HkH2qGdsm3El3hmJGb4LLDjtUyzymOEfBZHz32s564XWf7VYmy/gb7NGqNuiQiFm6peuiQNvw9lY5lg==" saltValue="VrGRWnTwsRRqcbZrNkI8g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tUzbBDzOQKWDMMKWDGqjoxr5ypkc3iHYpNLrD870VVZLPGK0w2+9MZVOCvGW0UDfRdfyaDuGImeI6BNwQAEa6A==" saltValue="dDwIBWIg2nihtUstSdfxF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VbNNwKpx9b0IsZSS2AQAEIc4nO6LOGQuEalYDjKNDnv3uP3VJW4aDUqdHLfKDLPv5hpaMyWt/Ooe3d3cB+gCIg==" saltValue="TmsDpM5uQB08oepmXpFpJ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9ZXPn3LsmyQoFez+HZ8D6mTN7vzez5i4ct4qhNTvhXmgqCTPoH2960L7zxx3oEHsoaZJ06Pf/jZCwzA8+FzoA==" saltValue="ceUHH/b3UfgjJ2JzGSNfe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4iXLNSHA8DaRMY7QQy2SZXEZFZv77L20T+UaAfJCbsviTUmI+XOBcYKFjyPkT69Rxzkdt2FBJ6HLNK3Bpio/Q==" saltValue="wuyEKJG8fOIqmqJpZYcT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slLoiMgYzRFClRXFvgXbjfsbquHVX23bSvoMI1Yzk1gohz72yAaajW17fNHJgusPjB2qBk2se/7L28LlrJ9DQ==" saltValue="bgsQR+RvSjyBR/Vchg3d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l6t+G/Qf+rpwfSavXW5iAMsnTWjqP8XYxNenZ81otsFqXz5XZIbJJaPdiXPXBQvkqyqJWW6bZSgd9aTgTHJpg==" saltValue="6JelXzl4OXnzLOEl+xUA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wbYZ/Ho5ll2RQBAFmXFWZ57wv2SHz5dTnMkpXg12gWx4cVDUiuPjFLfC+pc9tPgWDTk+SlMoOGKkwWkztrbOw==" saltValue="XEArjA8yfWNbvJTGyoD9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jYi+sGSeLwuVU/fzPHPpfsSeeHCZ+EeLPKS18Kj2HW0UpQaClNHlNCyqXIqzcufVKeNDBY2T5xRc0H7LKw4tA==" saltValue="vqZJJqUlEH0WgOdFyDsg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IT4xVc9iHmSAAo4SRt8PViKNJaOZmNIANhnpC3zepkuXed/jBAwZDfFqNrEMzRxt3JkaCEMdUOJcFd3n+qALw==" saltValue="N6hW71uIVuap/Y6Mjo1Q1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/eALkOgE2Vh5B/YmFlvNowbX0nu10YfHmK+bHLLEqou+EzK0Tsc3sUcm6PQg0jap0o7UKk1i7QO1goODSmgP9g==" saltValue="S5jblZGzYyXwu7Yn+5MF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NwxvwA+Vbcopy8qLxzZuDWURUWceHCbBuyTuldc9sv4MbQmdWnwd+zJ+BLvcTiPdPC0kHDyplHFSil+i69/cw==" saltValue="qOIjrwM3HeG4wuot0+iWp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2026-04-29T07:02:22Z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