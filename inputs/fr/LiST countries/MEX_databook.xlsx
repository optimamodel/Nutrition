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66540215-816A-4D55-BBDE-997F457ADD9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I13" i="2"/>
  <c r="A25" i="2"/>
  <c r="A26" i="2"/>
  <c r="I39" i="2"/>
  <c r="I9" i="2"/>
  <c r="A31" i="2"/>
  <c r="A40" i="2"/>
  <c r="A34" i="2"/>
  <c r="I2" i="2"/>
  <c r="I6" i="2"/>
  <c r="A19" i="2"/>
  <c r="A35" i="2"/>
  <c r="A22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<sst xmlns="http://schemas.openxmlformats.org/spreadsheetml/2006/main" count="2159" uniqueCount="368">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</sst>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10122410.5</v>
      </c>
    </row>
    <row r="8" spans="1:3" ht="15" customHeight="1" x14ac:dyDescent="0.25">
      <c r="B8" s="5" t="s">
        <v>37</v>
      </c>
      <c r="C8" s="44">
        <v>0.20699999999999999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0.82501170000000001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0.1923</v>
      </c>
    </row>
    <row r="24" spans="1:3" ht="15" customHeight="1" x14ac:dyDescent="0.25">
      <c r="B24" s="15" t="s">
        <v>51</v>
      </c>
      <c r="C24" s="45">
        <v>0.54949999999999999</v>
      </c>
    </row>
    <row r="25" spans="1:3" ht="15" customHeight="1" x14ac:dyDescent="0.25">
      <c r="B25" s="15" t="s">
        <v>52</v>
      </c>
      <c r="C25" s="45">
        <v>0.2422</v>
      </c>
    </row>
    <row r="26" spans="1:3" ht="15" customHeight="1" x14ac:dyDescent="0.25">
      <c r="B26" s="15" t="s">
        <v>53</v>
      </c>
      <c r="C26" s="45">
        <v>1.6E-2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0.23843800000000001</v>
      </c>
    </row>
    <row r="30" spans="1:3" ht="14.25" customHeight="1" x14ac:dyDescent="0.25">
      <c r="B30" s="25" t="s">
        <v>56</v>
      </c>
      <c r="C30" s="99">
        <v>0.13178809999999999</v>
      </c>
    </row>
    <row r="31" spans="1:3" ht="14.25" customHeight="1" x14ac:dyDescent="0.25">
      <c r="B31" s="25" t="s">
        <v>57</v>
      </c>
      <c r="C31" s="99">
        <v>0.1250917</v>
      </c>
    </row>
    <row r="32" spans="1:3" ht="14.25" customHeight="1" x14ac:dyDescent="0.25">
      <c r="B32" s="25" t="s">
        <v>58</v>
      </c>
      <c r="C32" s="99">
        <v>0.50468219999999997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8.1054700000000004</v>
      </c>
    </row>
    <row r="38" spans="1:5" ht="15" customHeight="1" x14ac:dyDescent="0.25">
      <c r="B38" s="11" t="s">
        <v>63</v>
      </c>
      <c r="C38" s="43">
        <v>11.39776</v>
      </c>
      <c r="D38" s="12"/>
      <c r="E38" s="13"/>
    </row>
    <row r="39" spans="1:5" ht="15" customHeight="1" x14ac:dyDescent="0.25">
      <c r="B39" s="11" t="s">
        <v>64</v>
      </c>
      <c r="C39" s="43">
        <v>13.240740000000001</v>
      </c>
      <c r="D39" s="12"/>
      <c r="E39" s="12"/>
    </row>
    <row r="40" spans="1:5" ht="15" customHeight="1" x14ac:dyDescent="0.25">
      <c r="B40" s="11" t="s">
        <v>65</v>
      </c>
      <c r="C40" s="100">
        <v>0.59</v>
      </c>
    </row>
    <row r="41" spans="1:5" ht="15" customHeight="1" x14ac:dyDescent="0.25">
      <c r="B41" s="11" t="s">
        <v>66</v>
      </c>
      <c r="C41" s="45">
        <v>0.13</v>
      </c>
    </row>
    <row r="42" spans="1:5" ht="15" customHeight="1" x14ac:dyDescent="0.25">
      <c r="B42" s="11" t="s">
        <v>67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6.1101999999999997E-3</v>
      </c>
      <c r="D45" s="12"/>
    </row>
    <row r="46" spans="1:5" ht="15.75" customHeight="1" x14ac:dyDescent="0.25">
      <c r="B46" s="11" t="s">
        <v>70</v>
      </c>
      <c r="C46" s="45">
        <v>6.4331199999999991E-2</v>
      </c>
      <c r="D46" s="12"/>
    </row>
    <row r="47" spans="1:5" ht="15.75" customHeight="1" x14ac:dyDescent="0.25">
      <c r="B47" s="11" t="s">
        <v>71</v>
      </c>
      <c r="C47" s="45">
        <v>6.5170800000000001E-2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0.61096899999999998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0.10150000000000001</v>
      </c>
    </row>
    <row r="63" spans="1:4" ht="15.75" customHeight="1" x14ac:dyDescent="0.3">
      <c r="A63" s="4"/>
    </row>
  </sheetData>
  <sheetProtection algorithmName="SHA-512" hashValue="n2mKP8B2YJjQavZGJhg9vV1pz7vHArlTUZ7NsFftvnPQscrJzwIInXVrRuMVjEnO5oFQqMVB/HEHWYFSQiN31A==" saltValue="0zkEtAtaQWMo3AYm9NbR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2023623</v>
      </c>
      <c r="C2" s="49">
        <v>5490066</v>
      </c>
      <c r="D2" s="49">
        <v>10831664</v>
      </c>
      <c r="E2" s="49">
        <v>10243384.5</v>
      </c>
      <c r="F2" s="49">
        <v>8955226</v>
      </c>
      <c r="G2" s="17">
        <f t="shared" ref="G2:G13" si="0">C2+D2+E2+F2</f>
        <v>35520340.5</v>
      </c>
      <c r="H2" s="17">
        <f t="shared" ref="H2:H13" si="1">(B2 + stillbirth*B2/(1000-stillbirth))/(1-abortion)</f>
        <v>2341487.4943420715</v>
      </c>
      <c r="I2" s="17">
        <f t="shared" ref="I2:I13" si="2">G2-H2</f>
        <v>33178853.00565793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2003673</v>
      </c>
      <c r="C3" s="50">
        <v>5487934</v>
      </c>
      <c r="D3" s="50">
        <v>10835254</v>
      </c>
      <c r="E3" s="50">
        <v>10328717</v>
      </c>
      <c r="F3" s="50">
        <v>9059491</v>
      </c>
      <c r="G3" s="17">
        <f t="shared" si="0"/>
        <v>35711396</v>
      </c>
      <c r="H3" s="17">
        <f t="shared" si="1"/>
        <v>2318403.8095291769</v>
      </c>
      <c r="I3" s="17">
        <f t="shared" si="2"/>
        <v>33392992.190470822</v>
      </c>
    </row>
    <row r="4" spans="1:9" ht="15.75" customHeight="1" x14ac:dyDescent="0.25">
      <c r="A4" s="5">
        <f t="shared" si="3"/>
        <v>2026</v>
      </c>
      <c r="B4" s="49">
        <v>1989217</v>
      </c>
      <c r="C4" s="50">
        <v>5493063.5</v>
      </c>
      <c r="D4" s="50">
        <v>10841518</v>
      </c>
      <c r="E4" s="50">
        <v>10395328</v>
      </c>
      <c r="F4" s="50">
        <v>9167418.5</v>
      </c>
      <c r="G4" s="17">
        <f t="shared" si="0"/>
        <v>35897328</v>
      </c>
      <c r="H4" s="17">
        <f t="shared" si="1"/>
        <v>2301677.1053860593</v>
      </c>
      <c r="I4" s="17">
        <f t="shared" si="2"/>
        <v>33595650.894613944</v>
      </c>
    </row>
    <row r="5" spans="1:9" ht="15.75" customHeight="1" x14ac:dyDescent="0.25">
      <c r="A5" s="5">
        <f t="shared" si="3"/>
        <v>2027</v>
      </c>
      <c r="B5" s="49">
        <v>1972890</v>
      </c>
      <c r="C5" s="50">
        <v>5503195.5</v>
      </c>
      <c r="D5" s="50">
        <v>10854778.5</v>
      </c>
      <c r="E5" s="50">
        <v>10444399.5</v>
      </c>
      <c r="F5" s="50">
        <v>9271564</v>
      </c>
      <c r="G5" s="17">
        <f t="shared" si="0"/>
        <v>36073937.5</v>
      </c>
      <c r="H5" s="17">
        <f t="shared" si="1"/>
        <v>2282785.5103013404</v>
      </c>
      <c r="I5" s="17">
        <f t="shared" si="2"/>
        <v>33791151.989698663</v>
      </c>
    </row>
    <row r="6" spans="1:9" ht="15.75" customHeight="1" x14ac:dyDescent="0.25">
      <c r="A6" s="5">
        <f t="shared" si="3"/>
        <v>2028</v>
      </c>
      <c r="B6" s="49">
        <v>1959052</v>
      </c>
      <c r="C6" s="50">
        <v>5512773.5</v>
      </c>
      <c r="D6" s="50">
        <v>10869898.000000002</v>
      </c>
      <c r="E6" s="50">
        <v>10486410</v>
      </c>
      <c r="F6" s="50">
        <v>9369741</v>
      </c>
      <c r="G6" s="17">
        <f t="shared" si="0"/>
        <v>36238822.5</v>
      </c>
      <c r="H6" s="17">
        <f t="shared" si="1"/>
        <v>2266773.8797028023</v>
      </c>
      <c r="I6" s="17">
        <f t="shared" si="2"/>
        <v>33972048.620297201</v>
      </c>
    </row>
    <row r="7" spans="1:9" ht="15.75" customHeight="1" x14ac:dyDescent="0.25">
      <c r="A7" s="5">
        <f t="shared" si="3"/>
        <v>2029</v>
      </c>
      <c r="B7" s="49">
        <v>1947167</v>
      </c>
      <c r="C7" s="50">
        <v>5508035</v>
      </c>
      <c r="D7" s="50">
        <v>10881894.5</v>
      </c>
      <c r="E7" s="50">
        <v>10518152</v>
      </c>
      <c r="F7" s="50">
        <v>9474154.5</v>
      </c>
      <c r="G7" s="17">
        <f t="shared" si="0"/>
        <v>36382236</v>
      </c>
      <c r="H7" s="17">
        <f t="shared" si="1"/>
        <v>2253022.0203543687</v>
      </c>
      <c r="I7" s="17">
        <f t="shared" si="2"/>
        <v>34129213.979645632</v>
      </c>
    </row>
    <row r="8" spans="1:9" ht="15.75" customHeight="1" x14ac:dyDescent="0.25">
      <c r="A8" s="5">
        <f t="shared" si="3"/>
        <v>2030</v>
      </c>
      <c r="B8" s="49">
        <v>1934285</v>
      </c>
      <c r="C8" s="50">
        <v>5474412</v>
      </c>
      <c r="D8" s="50">
        <v>10882544</v>
      </c>
      <c r="E8" s="50">
        <v>10540235</v>
      </c>
      <c r="F8" s="50">
        <v>9595316.5</v>
      </c>
      <c r="G8" s="17">
        <f t="shared" si="0"/>
        <v>36492507.5</v>
      </c>
      <c r="H8" s="17">
        <f t="shared" si="1"/>
        <v>2238116.5553037566</v>
      </c>
      <c r="I8" s="17">
        <f t="shared" si="2"/>
        <v>34254390.94469624</v>
      </c>
    </row>
    <row r="9" spans="1:9" ht="15.75" customHeight="1" x14ac:dyDescent="0.25">
      <c r="A9" s="5">
        <f t="shared" si="3"/>
        <v>2031</v>
      </c>
      <c r="B9" s="49">
        <v>1923775</v>
      </c>
      <c r="C9" s="50">
        <v>5412676</v>
      </c>
      <c r="D9" s="50">
        <v>10874378</v>
      </c>
      <c r="E9" s="50">
        <v>10559290.5</v>
      </c>
      <c r="F9" s="50">
        <v>9719997</v>
      </c>
      <c r="G9" s="17">
        <f t="shared" si="0"/>
        <v>36566341.5</v>
      </c>
      <c r="H9" s="17">
        <f t="shared" si="1"/>
        <v>2225955.6767381667</v>
      </c>
      <c r="I9" s="17">
        <f t="shared" si="2"/>
        <v>34340385.823261835</v>
      </c>
    </row>
    <row r="10" spans="1:9" ht="15.75" customHeight="1" x14ac:dyDescent="0.25">
      <c r="A10" s="5">
        <f t="shared" si="3"/>
        <v>2032</v>
      </c>
      <c r="B10" s="49">
        <v>1912400</v>
      </c>
      <c r="C10" s="50">
        <v>5330048.5</v>
      </c>
      <c r="D10" s="50">
        <v>10866432.499999998</v>
      </c>
      <c r="E10" s="50">
        <v>10577962</v>
      </c>
      <c r="F10" s="50">
        <v>9831725.5</v>
      </c>
      <c r="G10" s="17">
        <f t="shared" si="0"/>
        <v>36606168.5</v>
      </c>
      <c r="H10" s="17">
        <f t="shared" si="1"/>
        <v>2212793.9266255512</v>
      </c>
      <c r="I10" s="17">
        <f t="shared" si="2"/>
        <v>34393374.57337445</v>
      </c>
    </row>
    <row r="11" spans="1:9" ht="15.75" customHeight="1" x14ac:dyDescent="0.25">
      <c r="A11" s="5">
        <f t="shared" si="3"/>
        <v>2033</v>
      </c>
      <c r="B11" s="49">
        <v>1900085</v>
      </c>
      <c r="C11" s="50">
        <v>5238995.5</v>
      </c>
      <c r="D11" s="50">
        <v>10860532</v>
      </c>
      <c r="E11" s="50">
        <v>10595898.000000002</v>
      </c>
      <c r="F11" s="50">
        <v>9934332.5</v>
      </c>
      <c r="G11" s="17">
        <f t="shared" si="0"/>
        <v>36629758</v>
      </c>
      <c r="H11" s="17">
        <f t="shared" si="1"/>
        <v>2198544.5241959374</v>
      </c>
      <c r="I11" s="17">
        <f t="shared" si="2"/>
        <v>34431213.475804061</v>
      </c>
    </row>
    <row r="12" spans="1:9" ht="15.75" customHeight="1" x14ac:dyDescent="0.25">
      <c r="A12" s="5">
        <f t="shared" si="3"/>
        <v>2034</v>
      </c>
      <c r="B12" s="49">
        <v>1888154</v>
      </c>
      <c r="C12" s="50">
        <v>5159702</v>
      </c>
      <c r="D12" s="50">
        <v>10847447</v>
      </c>
      <c r="E12" s="50">
        <v>10606483.5</v>
      </c>
      <c r="F12" s="50">
        <v>10031547.5</v>
      </c>
      <c r="G12" s="17">
        <f t="shared" si="0"/>
        <v>36645180</v>
      </c>
      <c r="H12" s="17">
        <f t="shared" si="1"/>
        <v>2184739.4393085865</v>
      </c>
      <c r="I12" s="17">
        <f t="shared" si="2"/>
        <v>34460440.560691416</v>
      </c>
    </row>
    <row r="13" spans="1:9" ht="15.75" customHeight="1" x14ac:dyDescent="0.25">
      <c r="A13" s="5">
        <f t="shared" si="3"/>
        <v>2035</v>
      </c>
      <c r="B13" s="49">
        <v>1876088</v>
      </c>
      <c r="C13" s="50">
        <v>5101111.5</v>
      </c>
      <c r="D13" s="50">
        <v>10812602.5</v>
      </c>
      <c r="E13" s="50">
        <v>10611331.999999998</v>
      </c>
      <c r="F13" s="50">
        <v>10117774.000000002</v>
      </c>
      <c r="G13" s="17">
        <f t="shared" si="0"/>
        <v>36642820</v>
      </c>
      <c r="H13" s="17">
        <f t="shared" si="1"/>
        <v>2170778.1490352838</v>
      </c>
      <c r="I13" s="17">
        <f t="shared" si="2"/>
        <v>34472041.850964718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aQvAckq0WEJGkh4T/0oOwG7+lLCr2sJumxbPzXVIG6xsgSSKzrqCuzIyiL1RWHy7qMvgCQjA0y5vfJ1AWUcvw==" saltValue="16FxO7yy6O+q2sw6jokIE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0.1540929999999999</v>
      </c>
    </row>
    <row r="5" spans="1:8" ht="15.75" customHeight="1" x14ac:dyDescent="0.25">
      <c r="B5" s="19" t="s">
        <v>98</v>
      </c>
      <c r="C5" s="101">
        <v>4.3544600000000051E-2</v>
      </c>
    </row>
    <row r="6" spans="1:8" ht="15.75" customHeight="1" x14ac:dyDescent="0.25">
      <c r="B6" s="19" t="s">
        <v>99</v>
      </c>
      <c r="C6" s="101">
        <v>0.13350659999999989</v>
      </c>
    </row>
    <row r="7" spans="1:8" ht="15.75" customHeight="1" x14ac:dyDescent="0.25">
      <c r="B7" s="19" t="s">
        <v>100</v>
      </c>
      <c r="C7" s="101">
        <v>0.34353199999999989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0.24229560000000019</v>
      </c>
    </row>
    <row r="10" spans="1:8" ht="15.75" customHeight="1" x14ac:dyDescent="0.25">
      <c r="B10" s="19" t="s">
        <v>103</v>
      </c>
      <c r="C10" s="101">
        <v>8.3028199999999941E-2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106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107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111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112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113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5.3514945000000001E-2</v>
      </c>
    </row>
    <row r="27" spans="1:8" ht="15.75" customHeight="1" x14ac:dyDescent="0.25">
      <c r="B27" s="19" t="s">
        <v>120</v>
      </c>
      <c r="C27" s="101">
        <v>2.8541006000000001E-2</v>
      </c>
    </row>
    <row r="28" spans="1:8" ht="15.75" customHeight="1" x14ac:dyDescent="0.25">
      <c r="B28" s="19" t="s">
        <v>121</v>
      </c>
      <c r="C28" s="101">
        <v>0.187630466</v>
      </c>
    </row>
    <row r="29" spans="1:8" ht="15.75" customHeight="1" x14ac:dyDescent="0.25">
      <c r="B29" s="19" t="s">
        <v>122</v>
      </c>
      <c r="C29" s="101">
        <v>0.27936675700000002</v>
      </c>
    </row>
    <row r="30" spans="1:8" ht="15.75" customHeight="1" x14ac:dyDescent="0.25">
      <c r="B30" s="19" t="s">
        <v>2</v>
      </c>
      <c r="C30" s="101">
        <v>9.2226500000000002E-4</v>
      </c>
    </row>
    <row r="31" spans="1:8" ht="15.75" customHeight="1" x14ac:dyDescent="0.25">
      <c r="B31" s="19" t="s">
        <v>123</v>
      </c>
      <c r="C31" s="101">
        <v>7.2676198999999997E-2</v>
      </c>
    </row>
    <row r="32" spans="1:8" ht="15.75" customHeight="1" x14ac:dyDescent="0.25">
      <c r="B32" s="19" t="s">
        <v>124</v>
      </c>
      <c r="C32" s="101">
        <v>4.4662927999999998E-2</v>
      </c>
    </row>
    <row r="33" spans="2:3" ht="15.75" customHeight="1" x14ac:dyDescent="0.25">
      <c r="B33" s="19" t="s">
        <v>125</v>
      </c>
      <c r="C33" s="101">
        <v>0.14648158999999999</v>
      </c>
    </row>
    <row r="34" spans="2:3" ht="15.75" customHeight="1" x14ac:dyDescent="0.25">
      <c r="B34" s="19" t="s">
        <v>126</v>
      </c>
      <c r="C34" s="101">
        <v>0.18620384500000001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3ZgHUcDNrrw3S0zgOrn2BDZ7MInRCFd5qPQjRJ2UxrhNOIfGhYERSWzNVJ5CHXf+jpF6jsZkpdzYGr3Gg8BeIg==" saltValue="eWFj7jZfRGE5kuecbzcbE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132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133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137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138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0.39200000000000002</v>
      </c>
      <c r="D14" s="54">
        <v>0.39200000000000002</v>
      </c>
      <c r="E14" s="54">
        <v>0.39200000000000002</v>
      </c>
      <c r="F14" s="54">
        <v>0.37509999999999999</v>
      </c>
      <c r="G14" s="54">
        <v>0.24879999999999999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0.23949984800000002</v>
      </c>
      <c r="D15" s="52">
        <f t="shared" si="0"/>
        <v>0.23949984800000002</v>
      </c>
      <c r="E15" s="52">
        <f t="shared" si="0"/>
        <v>0.23949984800000002</v>
      </c>
      <c r="F15" s="52">
        <f t="shared" si="0"/>
        <v>0.22917447189999998</v>
      </c>
      <c r="G15" s="52">
        <f t="shared" si="0"/>
        <v>0.1520090872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SbST41I2BAlb1k3yRp/dH+cNf68qDI/BnFhtvLjlb6Cl/jR04H0LC6voHpkN58EOJvuC7JObb0xjIOApESQ0g==" saltValue="8sxmkYCCkfl4ttFssapy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0.16254920000000006</v>
      </c>
      <c r="D5" s="52">
        <f t="shared" si="0"/>
        <v>0.25374119999999989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6YfXYIKk4rrAJ3FiO670gLJux4o0Xxvo5vu7MWhhrv0OiRqGsXGuGmegR/gjqe7PGvQqQIOpbcHFLaUX0vrbLg==" saltValue="iwWyFNUUlHLBFOJCDqHqL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tgcK5+viZ+Rw4yqDOfJHIWO5SUot8At9bJVqo8QbkatntUW4u2r/CL5Rwl/vJ7wS7hvhn9WrmFRBpC9aELr9Q==" saltValue="qLFkAS9g/7Z1mb0jI+ID6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11496.522871604901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0.35458000000000001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0.49984000000000001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9.8512837300426224E-3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98574.806190000003</v>
      </c>
      <c r="C22" s="109">
        <v>98467.046789999993</v>
      </c>
      <c r="D22" s="109">
        <v>98325.069560000004</v>
      </c>
      <c r="E22" s="109">
        <v>97976.977360000004</v>
      </c>
      <c r="F22" s="109">
        <v>97420.948260000005</v>
      </c>
      <c r="G22" s="109">
        <v>96744.895050000006</v>
      </c>
      <c r="H22" s="109">
        <v>95981.164189999996</v>
      </c>
      <c r="I22" s="109">
        <v>95006.865909999993</v>
      </c>
      <c r="J22" s="109">
        <v>93675.762740000006</v>
      </c>
      <c r="K22" s="109">
        <v>91938.764039999995</v>
      </c>
      <c r="L22" s="109">
        <v>89387.439480000001</v>
      </c>
      <c r="M22" s="109">
        <v>85734.940530000007</v>
      </c>
      <c r="N22" s="109">
        <v>80683.667300000001</v>
      </c>
      <c r="O22" s="109">
        <v>73332.879620000007</v>
      </c>
    </row>
  </sheetData>
  <sheetProtection algorithmName="SHA-512" hashValue="n0mXxyAYyYBRcuqoXfUYmLfFUKo+x7/oRwJjkjp9qpV5jgOBiA1i4PTjXoK3k/wGCFDe6matg44ZEDcYZzAQ2Q==" saltValue="iov3TMOIKtoz/SutTcvsU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yuv3bXcZnFsplTKe2m0VER6cuAME0yVFg4Q76nmy6JzaMCbyfdI2nkTEzb3r4JgkXsGYZwXxm8WtpVvOWsLoUg==" saltValue="3YaHIile4ipRcBNVDhiBd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MVud93/NEQc2iPznTUdsOxDxYm5HzoMBD3YsT/+4HIBzI26rjmL9aStYvR6/ZsweX8eTH/Eb/a2ED+JSCuu6gA==" saltValue="J67wEDD4AQ9jlEgiPR6PP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35.1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0.44994896638918952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1.516970800969268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0.25711131554737809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12.76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12.76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12.76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12.76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12.76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12.76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5.8835597567123799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2.3937511111111101E-2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0.23591980000000001</v>
      </c>
      <c r="C18" s="98">
        <v>0.95</v>
      </c>
      <c r="D18" s="56">
        <v>35.1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0.23591980000000001</v>
      </c>
      <c r="C19" s="98">
        <v>0.95</v>
      </c>
      <c r="D19" s="56">
        <v>36.54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35.1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4.21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0.69322219271638008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5.4142612323969894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5.5183816407123158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0.52424380000000004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0.5944374</v>
      </c>
      <c r="C29" s="98">
        <v>0.95</v>
      </c>
      <c r="D29" s="56">
        <v>206.81375092158379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124.66848615801089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65.179375605394526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1.1973846956262573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0.93940820000000003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0.13994980000000001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2.1327200000000001E-2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0.97755639999999999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8.7485800000000002E-2</v>
      </c>
      <c r="C38" s="98">
        <v>0.95</v>
      </c>
      <c r="D38" s="56">
        <v>2.4500000000000002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VQadXgNjwXVXDrigov1C2moldrJkuG0mi5jiepntx/tUU8QQyL7m0L6zc6TRcIbOHBu0TgKm4VulMDxWJB7FUw==" saltValue="bwTZOnjIaj/dYJAAxpzd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j/GsD343QmbbG3t1+OGEh9RnAQ1AMpZ4W0BBvakzrdCzLQ4uoGojSVJaHzHfUOUSmQMWHiwxiWCnJOcEuOfHQ==" saltValue="MQGnN3OjGboV6yrEbNGK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0oE0yb/qxXkP4eKW61o1knT+dLaMqnpulp+HffcGh7csbTLHuHoYwACvO93FvfrkSaPruy/ieupEv55+cQuOw==" saltValue="WY7tLnfnIP+NSD5M4VOEv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237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sheetProtection algorithmName="SHA-512" hashValue="d4O/TyVFxyf2J6/StCTnTgYX1dbtXOgprnT5vt1IOLWufkJMArwXO97J1TCFDzvAzSK3Fpksl0XE+4Ad/iKhgw==" saltValue="hdJFGeaiaeuQN4EcoNQ0N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0.20699999999999999</v>
      </c>
      <c r="F2" s="60">
        <f>food_insecure</f>
        <v>0.20699999999999999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0.20699999999999999</v>
      </c>
      <c r="F5" s="60">
        <f>food_insecure</f>
        <v>0.20699999999999999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0.20699999999999999</v>
      </c>
      <c r="F8" s="60">
        <f>food_insecure</f>
        <v>0.20699999999999999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0.20699999999999999</v>
      </c>
      <c r="F9" s="60">
        <f>food_insecure</f>
        <v>0.20699999999999999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0.20699999999999999</v>
      </c>
      <c r="I15" s="60">
        <f t="shared" si="0"/>
        <v>0.20699999999999999</v>
      </c>
      <c r="J15" s="60">
        <f t="shared" si="0"/>
        <v>0.20699999999999999</v>
      </c>
      <c r="K15" s="60">
        <f t="shared" si="0"/>
        <v>0.20699999999999999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0.20699999999999999</v>
      </c>
      <c r="I16" s="60">
        <f t="shared" si="0"/>
        <v>0.20699999999999999</v>
      </c>
      <c r="J16" s="60">
        <f t="shared" si="0"/>
        <v>0.20699999999999999</v>
      </c>
      <c r="K16" s="60">
        <f t="shared" si="0"/>
        <v>0.20699999999999999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9.3351008400999996E-2</v>
      </c>
      <c r="M25" s="60">
        <f>(1-food_insecure)*(0.49)+food_insecure*(0.7)</f>
        <v>0.53347</v>
      </c>
      <c r="N25" s="60">
        <f>(1-food_insecure)*(0.49)+food_insecure*(0.7)</f>
        <v>0.53347</v>
      </c>
      <c r="O25" s="60">
        <f>(1-food_insecure)*(0.49)+food_insecure*(0.7)</f>
        <v>0.53347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4.0007575029E-2</v>
      </c>
      <c r="M26" s="60">
        <f>(1-food_insecure)*(0.21)+food_insecure*(0.3)</f>
        <v>0.22863</v>
      </c>
      <c r="N26" s="60">
        <f>(1-food_insecure)*(0.21)+food_insecure*(0.3)</f>
        <v>0.22863</v>
      </c>
      <c r="O26" s="60">
        <f>(1-food_insecure)*(0.21)+food_insecure*(0.3)</f>
        <v>0.22863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4.1629716569999996E-2</v>
      </c>
      <c r="M27" s="60">
        <f>(1-food_insecure)*(0.3)</f>
        <v>0.2379</v>
      </c>
      <c r="N27" s="60">
        <f>(1-food_insecure)*(0.3)</f>
        <v>0.2379</v>
      </c>
      <c r="O27" s="60">
        <f>(1-food_insecure)*(0.3)</f>
        <v>0.2379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0.82501170000000001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1ZEKSZ9GR87dAKfShV1ly4bdWhEoBPShTNsU95rTB17877BVxRVNgEuCCD8ZZS7EQIwtKtnllmG2hQ5TTOiqYA==" saltValue="9XHTlf7E1uMmrYRX6DWQM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Mzy91p+XwNp7LrvbDqrhkp6Pmfi/qwwAoXv1iBgCT8Zvg+fL5e11Q91lZ4FstRNfGl4rCUqQBgfX7mnct4uZnw==" saltValue="HO8dcQYZ/IIOrxQBH8Q18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JpfPoK9muqZCD4sgFS/chc5Dt2JvWgyNG+9cUFPtLXHWA5okQG/tUCB8Rx45hQGJEtIq3iwBLdMGqAapnc5WA==" saltValue="BoN7EQM+rc7gibPcjSB9r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vBw4ahb/4Eaw0h4UXpU6m2OavFqWoBI1bwL6zPvJhX9lR8jVrTpalJGrkI1TqyMMp9szxTw3tE2HgSfyuHuaA==" saltValue="RgUkiXn7b70qngLu0ezua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8XuOpNORt0G78wiWNra2f4cYc+UrqMB6WIjrdJdThNrjS75tH8eWOOCQuAgv6uboLulkTu/hiK6fmh56zflm2g==" saltValue="dYZIteHdvtI06vb7+UYVj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f0syOFvTQqgLFV0VnD/oVQks+b1mmpNKJdWD3qRLZAuO5el3BURu1UQNErU+KT/BHrPD3wcbNVRTh+u9vw9pEQ==" saltValue="aBLjrJONLEYrpjhQ4LZQ/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7MQA5+RkoGa5xN0oJzd6wgVEet4LmLV3LtScjGg1Bh4bigDWfqEw/tObbWlZe7e5062IJUz2gKcLcaI+E0gdg==" saltValue="KNnvko8armh41Mrfb8qEX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7qJu8XqCiy9O/Is/GbA2RSNj4ugyDJO6TtQ+55vJzUFAx1wrINFnDeRcYUwlU6mK2gLfF2Vvh/+F0uzs7toITg==" saltValue="r1RKxqrc4hin7SITXafY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Ird8eqmGvbddyOcdCDqVcUBJZ2WN/AqoklmIE65yxsuzHkTwdVuD1WEoSyaQRl5rQIRBuNdbfRX9/9mWEXiP1Q==" saltValue="pfQrPu8uIDhhJMFW6ubk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Qe3F4+RAs0NAGUY7/cJpXchhANhECw+/DhuB1/9fO64m/ldRR1M6bVHKdSQRNb9PcUrb3+QWyzsi9618/eQpg==" saltValue="562ya22BPi4oVU6uQnl0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6VPxc9s2hmcedDGoskkRcZ4tdrs4qgPnWF+te0zyD0CEdj8Hw8sikv28ZL0QAxeR4G8NV1kDEJHbeTnbpjEJ8A==" saltValue="5DMadULewrv+SBZaSeM+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7zCkirLKj1ZSfpnZuMBu31QcQXJFXxVI82rTFtjhk1HuceLRd8CII6sygYEurxOOpjLmcAbnLHOQyAsLO81TQ==" saltValue="RDiTh563eJNYPRHqphhd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dkpgVbUqxvLoNYvgU+GN+GqoA0XOabQXZyrTvVWJ85nDWH3sXWc06st7vjlSIe7yRD+nKQV0XLbuS2J3YsfxA==" saltValue="0h/mGxycz4pVWKFlzic6+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1LqaABGyDIGlD6DAyb9Tz4KmK0txj6OES+4ZGTns5xCXe3gAf8WhZcG+K+zqSP/qiLN4OUzPUQLGdgX5UL5AQ==" saltValue="UfJiZR6J9GEbk4FIRX5W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tQ4m4i9swLXsIX8N/IOYHvHJ4ws5OOxUkOAy4HITYMEqSjwZMz3CKuqW8mc0UvFF8rC9ACklDx3mzLjP2mYVZA==" saltValue="jmncmft2wENMSUb2HGzOm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2025-07-04T04:24:11Z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