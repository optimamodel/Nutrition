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fr\LiST countries\"/>
    </mc:Choice>
  </mc:AlternateContent>
  <xr:revisionPtr revIDLastSave="0" documentId="8_{A8686F83-16F8-4FAA-ADCF-798C2FDC9235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Données économiques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apports des cotes" sheetId="23" state="hidden" r:id="rId21"/>
    <sheet name="Programmes-rés. des naissances" sheetId="24" state="hidden" r:id="rId22"/>
    <sheet name="Risques des rés. des naissances" sheetId="21" state="hidden" r:id="rId23"/>
    <sheet name="Risques relatifs" sheetId="22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H13" i="2"/>
  <c r="G13" i="2"/>
  <c r="I13" i="2" s="1"/>
  <c r="H12" i="2"/>
  <c r="G12" i="2"/>
  <c r="I12" i="2" s="1"/>
  <c r="H11" i="2"/>
  <c r="G11" i="2"/>
  <c r="H10" i="2"/>
  <c r="G10" i="2"/>
  <c r="H9" i="2"/>
  <c r="G9" i="2"/>
  <c r="I9" i="2" s="1"/>
  <c r="H8" i="2"/>
  <c r="G8" i="2"/>
  <c r="I8" i="2" s="1"/>
  <c r="H7" i="2"/>
  <c r="G7" i="2"/>
  <c r="H6" i="2"/>
  <c r="G6" i="2"/>
  <c r="H5" i="2"/>
  <c r="G5" i="2"/>
  <c r="H4" i="2"/>
  <c r="G4" i="2"/>
  <c r="I4" i="2" s="1"/>
  <c r="H3" i="2"/>
  <c r="G3" i="2"/>
  <c r="H2" i="2"/>
  <c r="G2" i="2"/>
  <c r="A2" i="2"/>
  <c r="A39" i="2" s="1"/>
  <c r="C33" i="1"/>
  <c r="C20" i="1"/>
  <c r="I2" i="2" l="1"/>
  <c r="I6" i="2"/>
  <c r="A19" i="2"/>
  <c r="A25" i="2"/>
  <c r="A24" i="2"/>
  <c r="A35" i="2"/>
  <c r="I38" i="2"/>
  <c r="A26" i="2"/>
  <c r="I39" i="2"/>
  <c r="A31" i="2"/>
  <c r="A34" i="2"/>
  <c r="A40" i="2"/>
  <c r="A22" i="2"/>
  <c r="A36" i="2"/>
  <c r="I3" i="2"/>
  <c r="I7" i="2"/>
  <c r="I11" i="2"/>
  <c r="A23" i="2"/>
  <c r="A37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<sst xmlns="http://schemas.openxmlformats.org/spreadsheetml/2006/main" count="2159" uniqueCount="368">
  <si>
    <t>Field</t>
  </si>
  <si>
    <t>Causes</t>
  </si>
  <si>
    <t>Sepsis</t>
  </si>
  <si>
    <t>Population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</si>
  <si>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</si>
  <si>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</si>
  <si>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</si>
  <si>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</si>
  <si>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</si>
  <si>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</si>
  <si>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</si>
  <si>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</si>
  <si>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</si>
  <si>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</si>
  <si>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</si>
  <si>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</si>
  <si>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</si>
  <si>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</si>
  <si>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</si>
  <si>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</si>
  <si>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</si>
  <si>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</si>
  <si>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</si>
  <si>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</si>
  <si>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</si>
  <si>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</si>
  <si>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</si>
  <si>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</si>
  <si>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</si>
  <si>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</si>
  <si>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</si>
  <si>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</si>
  <si>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</si>
  <si>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</si>
  <si>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</si>
  <si>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</si>
  <si>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</si>
  <si>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</si>
  <si>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</si>
  <si>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</si>
  <si>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</si>
  <si>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</si>
  <si>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</si>
  <si>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</si>
  <si>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</si>
  <si>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</si>
  <si>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</si>
  <si>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</si>
  <si>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</si>
  <si>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</si>
  <si>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</si>
  <si>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</si>
  <si>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</si>
  <si>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</si>
  <si>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</si>
  <si>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</si>
  <si>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</si>
  <si>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</si>
  <si>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</si>
  <si>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</si>
  <si>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</si>
  <si>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</si>
  <si>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</si>
  <si>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</si>
  <si>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</si>
  <si>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</si>
  <si>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</si>
  <si>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</si>
  <si>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</si>
  <si>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</si>
  <si>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</si>
  <si>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</si>
  <si>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</si>
  <si>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</si>
  <si>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</si>
  <si>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</si>
  <si>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</si>
  <si>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</si>
  <si>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</si>
  <si>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</si>
  <si>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</si>
  <si>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</si>
  <si>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</si>
  <si>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</si>
  <si>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</si>
  <si>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</si>
  <si>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</si>
  <si>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</si>
  <si>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</si>
  <si>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</si>
  <si>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</si>
  <si>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</si>
  <si>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</si>
  <si>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</si>
  <si>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</si>
  <si>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</si>
  <si>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</si>
  <si>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</si>
  <si>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</si>
  <si>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</si>
  <si>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</si>
  <si>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</si>
  <si>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</si>
  <si>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</si>
  <si>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</si>
  <si>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</si>
  <si>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</si>
  <si>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</si>
  <si>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</si>
  <si>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</si>
  <si>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</si>
  <si>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</si>
  <si>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</si>
  <si>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</si>
  <si>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</si>
  <si>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</si>
  <si>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</si>
  <si>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</si>
  <si>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</si>
  <si>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</si>
  <si>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</si>
  <si>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</si>
  <si>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</si>
  <si>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</si>
  <si>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</si>
  <si>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</si>
  <si>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</si>
  <si>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</si>
  <si>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</si>
  <si>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</si>
  <si>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</si>
  <si>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</si>
  <si>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</si>
  <si>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</si>
  <si>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</si>
  <si>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</si>
  <si>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</si>
  <si>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</si>
  <si>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</si>
  <si>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</si>
  <si>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</si>
  <si>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</si>
  <si>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</si>
  <si>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</si>
  <si>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</si>
  <si>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</si>
  <si>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</si>
  <si>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</si>
  <si>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</si>
  <si>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</si>
  <si>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</si>
  <si>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</si>
  <si>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</si>
  <si>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</si>
  <si>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</si>
  <si>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</si>
  <si>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</si>
  <si>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</si>
  <si>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</si>
  <si>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</si>
  <si>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</si>
  <si>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</si>
  <si>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</si>
  <si>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</si>
  <si>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</si>
  <si>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</si>
  <si>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</si>
  <si>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</si>
  <si>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</si>
  <si>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</si>
  <si>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</si>
  <si>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</si>
  <si>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</si>
  <si>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</si>
  <si>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</si>
  <si>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</si>
  <si>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</si>
  <si>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</si>
  <si>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</si>
  <si>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</si>
  <si>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</si>
  <si>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</si>
  <si>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</si>
  <si>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</si>
  <si>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</si>
  <si>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</si>
  <si>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</si>
  <si>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</si>
  <si>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</si>
  <si>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</si>
  <si>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</si>
  <si>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</si>
  <si>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</si>
  <si>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</si>
  <si>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</si>
  <si>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</si>
  <si>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</si>
  <si>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</si>
  <si>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</si>
  <si>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</si>
  <si>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</si>
  <si>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</si>
  <si>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</si>
  <si>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</si>
  <si>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</si>
  <si>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</si>
  <si>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</si>
  <si>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</si>
  <si>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</si>
  <si>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</si>
  <si>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</si>
  <si>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</si>
  <si>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</si>
  <si>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</si>
  <si>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</si>
  <si>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</si>
  <si>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</si>
  <si>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</si>
  <si>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</si>
  <si>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</si>
  <si>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</si>
  <si>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</si>
  <si>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</si>
  <si>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</si>
  <si>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</si>
  <si>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</si>
  <si>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</si>
  <si>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</si>
  <si>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</si>
  <si>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</si>
  <si>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</si>
  <si>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</si>
  <si>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</si>
  <si>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</si>
  <si>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</si>
  <si>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</si>
  <si>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</si>
  <si>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</si>
  <si>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</si>
  <si>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</si>
  <si>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</si>
  <si>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</si>
  <si>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</si>
  <si>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</si>
  <si>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</si>
  <si>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</si>
  <si>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</si>
  <si>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</si>
  <si>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</si>
  <si>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</si>
  <si>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</si>
  <si>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</si>
  <si>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</si>
  <si>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</si>
  <si>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</si>
  <si>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</si>
  <si>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</si>
  <si>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</si>
  <si>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</si>
  <si>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</si>
  <si>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</si>
  <si>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</si>
  <si>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</si>
  <si>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</si>
  <si>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</si>
  <si>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</si>
  <si>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</si>
  <si>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</si>
  <si>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</si>
  <si>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</si>
  <si>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</si>
  <si>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</si>
  <si>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</si>
  <si>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</si>
  <si>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</si>
  <si>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</si>
  <si>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</si>
  <si>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</si>
  <si>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</si>
  <si>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</si>
  <si>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</si>
  <si>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</si>
  <si>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</si>
  <si>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Émaciation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</si>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</sst>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31</v>
      </c>
      <c r="B1" s="29" t="s">
        <v>0</v>
      </c>
      <c r="C1" s="29" t="s">
        <v>84</v>
      </c>
    </row>
    <row r="2" spans="1:3" ht="15.9" customHeight="1" x14ac:dyDescent="0.3">
      <c r="A2" s="8" t="s">
        <v>32</v>
      </c>
      <c r="B2" s="29"/>
      <c r="C2" s="29"/>
    </row>
    <row r="3" spans="1:3" ht="15.9" customHeight="1" x14ac:dyDescent="0.3">
      <c r="A3" s="1"/>
      <c r="B3" s="5" t="s">
        <v>33</v>
      </c>
      <c r="C3" s="41">
        <v>2024</v>
      </c>
    </row>
    <row r="4" spans="1:3" ht="15.9" customHeight="1" x14ac:dyDescent="0.3">
      <c r="A4" s="1"/>
      <c r="B4" s="5" t="s">
        <v>34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43">
        <v>301541</v>
      </c>
    </row>
    <row r="8" spans="1:3" ht="15" customHeight="1" x14ac:dyDescent="0.25">
      <c r="B8" s="5" t="s">
        <v>37</v>
      </c>
      <c r="C8" s="44">
        <v>5.5E-2</v>
      </c>
    </row>
    <row r="9" spans="1:3" ht="15" customHeight="1" x14ac:dyDescent="0.25">
      <c r="B9" s="5" t="s">
        <v>38</v>
      </c>
      <c r="C9" s="45">
        <v>0.01</v>
      </c>
    </row>
    <row r="10" spans="1:3" ht="15" customHeight="1" x14ac:dyDescent="0.25">
      <c r="B10" s="5" t="s">
        <v>39</v>
      </c>
      <c r="C10" s="45">
        <v>0.92928009033203096</v>
      </c>
    </row>
    <row r="11" spans="1:3" ht="15" customHeight="1" x14ac:dyDescent="0.25">
      <c r="B11" s="5" t="s">
        <v>40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42</v>
      </c>
      <c r="C13" s="45">
        <v>0.74900000000000011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45">
        <v>0.1</v>
      </c>
    </row>
    <row r="17" spans="1:3" ht="15" customHeight="1" x14ac:dyDescent="0.25">
      <c r="B17" s="5" t="s">
        <v>45</v>
      </c>
      <c r="C17" s="45">
        <v>0.01</v>
      </c>
    </row>
    <row r="18" spans="1:3" ht="15" customHeight="1" x14ac:dyDescent="0.25">
      <c r="B18" s="5" t="s">
        <v>46</v>
      </c>
      <c r="C18" s="45">
        <v>0.98</v>
      </c>
    </row>
    <row r="19" spans="1:3" ht="15" customHeight="1" x14ac:dyDescent="0.25">
      <c r="B19" s="5" t="s">
        <v>47</v>
      </c>
      <c r="C19" s="45">
        <v>0.01</v>
      </c>
    </row>
    <row r="20" spans="1:3" ht="15" customHeight="1" x14ac:dyDescent="0.25">
      <c r="B20" s="5" t="s">
        <v>48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45">
        <v>5.9700000000000003E-2</v>
      </c>
    </row>
    <row r="24" spans="1:3" ht="15" customHeight="1" x14ac:dyDescent="0.25">
      <c r="B24" s="15" t="s">
        <v>51</v>
      </c>
      <c r="C24" s="45">
        <v>0.495</v>
      </c>
    </row>
    <row r="25" spans="1:3" ht="15" customHeight="1" x14ac:dyDescent="0.25">
      <c r="B25" s="15" t="s">
        <v>52</v>
      </c>
      <c r="C25" s="45">
        <v>0.42230000000000001</v>
      </c>
    </row>
    <row r="26" spans="1:3" ht="15" customHeight="1" x14ac:dyDescent="0.25">
      <c r="B26" s="15" t="s">
        <v>53</v>
      </c>
      <c r="C26" s="45">
        <v>2.3E-2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5" t="s">
        <v>55</v>
      </c>
      <c r="C29" s="45">
        <v>0.51101988116637098</v>
      </c>
    </row>
    <row r="30" spans="1:3" ht="14.25" customHeight="1" x14ac:dyDescent="0.25">
      <c r="B30" s="25" t="s">
        <v>56</v>
      </c>
      <c r="C30" s="99">
        <v>3.6928466503456402E-2</v>
      </c>
    </row>
    <row r="31" spans="1:3" ht="14.25" customHeight="1" x14ac:dyDescent="0.25">
      <c r="B31" s="25" t="s">
        <v>57</v>
      </c>
      <c r="C31" s="99">
        <v>4.0966963582223501E-2</v>
      </c>
    </row>
    <row r="32" spans="1:3" ht="14.25" customHeight="1" x14ac:dyDescent="0.25">
      <c r="B32" s="25" t="s">
        <v>58</v>
      </c>
      <c r="C32" s="99">
        <v>0.41108468874794901</v>
      </c>
    </row>
    <row r="33" spans="1:5" ht="13.25" customHeight="1" x14ac:dyDescent="0.25">
      <c r="B33" s="27" t="s">
        <v>59</v>
      </c>
      <c r="C33" s="48">
        <f>SUM(C29:C32)</f>
        <v>0.99999999999999989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43">
        <v>3.5533999999999999</v>
      </c>
    </row>
    <row r="38" spans="1:5" ht="15" customHeight="1" x14ac:dyDescent="0.25">
      <c r="B38" s="11" t="s">
        <v>63</v>
      </c>
      <c r="C38" s="43">
        <v>4.7455299999999996</v>
      </c>
      <c r="D38" s="12"/>
      <c r="E38" s="13"/>
    </row>
    <row r="39" spans="1:5" ht="15" customHeight="1" x14ac:dyDescent="0.25">
      <c r="B39" s="11" t="s">
        <v>64</v>
      </c>
      <c r="C39" s="43">
        <v>5.4872699999999996</v>
      </c>
      <c r="D39" s="12"/>
      <c r="E39" s="12"/>
    </row>
    <row r="40" spans="1:5" ht="15" customHeight="1" x14ac:dyDescent="0.25">
      <c r="B40" s="11" t="s">
        <v>65</v>
      </c>
      <c r="C40" s="100">
        <v>0.1</v>
      </c>
    </row>
    <row r="41" spans="1:5" ht="15" customHeight="1" x14ac:dyDescent="0.25">
      <c r="B41" s="11" t="s">
        <v>66</v>
      </c>
      <c r="C41" s="45">
        <v>0.12</v>
      </c>
    </row>
    <row r="42" spans="1:5" ht="15" customHeight="1" x14ac:dyDescent="0.25">
      <c r="B42" s="11" t="s">
        <v>67</v>
      </c>
      <c r="C42" s="43">
        <v>4.8106900000000001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45">
        <v>3.4918000000000002E-3</v>
      </c>
      <c r="D45" s="12"/>
    </row>
    <row r="46" spans="1:5" ht="15.75" customHeight="1" x14ac:dyDescent="0.25">
      <c r="B46" s="11" t="s">
        <v>70</v>
      </c>
      <c r="C46" s="45">
        <v>3.7518500000000003E-2</v>
      </c>
      <c r="D46" s="12"/>
    </row>
    <row r="47" spans="1:5" ht="15.75" customHeight="1" x14ac:dyDescent="0.25">
      <c r="B47" s="11" t="s">
        <v>71</v>
      </c>
      <c r="C47" s="45">
        <v>7.7681799999999995E-2</v>
      </c>
      <c r="D47" s="12"/>
      <c r="E47" s="13"/>
    </row>
    <row r="48" spans="1:5" ht="15" customHeight="1" x14ac:dyDescent="0.25">
      <c r="B48" s="11" t="s">
        <v>72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100">
        <v>2.8</v>
      </c>
      <c r="D51" s="12"/>
    </row>
    <row r="52" spans="1:4" ht="15" customHeight="1" x14ac:dyDescent="0.25">
      <c r="B52" s="11" t="s">
        <v>75</v>
      </c>
      <c r="C52" s="100">
        <v>2.8</v>
      </c>
    </row>
    <row r="53" spans="1:4" ht="15.75" customHeight="1" x14ac:dyDescent="0.25">
      <c r="B53" s="11" t="s">
        <v>76</v>
      </c>
      <c r="C53" s="100">
        <v>2.8</v>
      </c>
    </row>
    <row r="54" spans="1:4" ht="15.75" customHeight="1" x14ac:dyDescent="0.25">
      <c r="B54" s="11" t="s">
        <v>77</v>
      </c>
      <c r="C54" s="100">
        <v>2.8</v>
      </c>
    </row>
    <row r="55" spans="1:4" ht="15.75" customHeight="1" x14ac:dyDescent="0.25">
      <c r="B55" s="11" t="s">
        <v>78</v>
      </c>
      <c r="C55" s="100">
        <v>2.8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45">
        <v>1.6428571428571431E-2</v>
      </c>
    </row>
    <row r="59" spans="1:4" ht="15.75" customHeight="1" x14ac:dyDescent="0.25">
      <c r="B59" s="11" t="s">
        <v>81</v>
      </c>
      <c r="C59" s="45">
        <v>0.62314999999999998</v>
      </c>
    </row>
    <row r="60" spans="1:4" ht="15.75" customHeight="1" x14ac:dyDescent="0.25">
      <c r="B60" s="11" t="s">
        <v>82</v>
      </c>
      <c r="C60" s="45">
        <v>4.5999999999999999E-2</v>
      </c>
    </row>
    <row r="61" spans="1:4" ht="15.75" customHeight="1" x14ac:dyDescent="0.25">
      <c r="B61" s="11" t="s">
        <v>83</v>
      </c>
      <c r="C61" s="45">
        <v>1.4E-2</v>
      </c>
    </row>
    <row r="62" spans="1:4" ht="15.75" customHeight="1" x14ac:dyDescent="0.25">
      <c r="B62" s="11" t="s">
        <v>85</v>
      </c>
      <c r="C62" s="44">
        <v>4.5343641999999899E-2</v>
      </c>
    </row>
    <row r="63" spans="1:4" ht="15.75" customHeight="1" x14ac:dyDescent="0.3">
      <c r="A63" s="4"/>
    </row>
  </sheetData>
  <sheetProtection algorithmName="SHA-512" hashValue="4P2Z9NqAytYFdMrs49EBYuJ/ZGxduMsimhS4bz2pUqM53lTV7ob/2m5QncZsRiEIGEP+zv/AT9HlkIAZQViFqQ==" saltValue="XGKeVQlgzKphM3mimyzlf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2024</v>
      </c>
      <c r="B2" s="49">
        <v>58988</v>
      </c>
      <c r="C2" s="49">
        <v>168609</v>
      </c>
      <c r="D2" s="49">
        <v>363775</v>
      </c>
      <c r="E2" s="49">
        <v>428512</v>
      </c>
      <c r="F2" s="49">
        <v>489881</v>
      </c>
      <c r="G2" s="17">
        <f t="shared" ref="G2:G13" si="0">C2+D2+E2+F2</f>
        <v>1450777</v>
      </c>
      <c r="H2" s="17">
        <f t="shared" ref="H2:H13" si="1">(B2 + stillbirth*B2/(1000-stillbirth))/(1-abortion)</f>
        <v>67355.846277949051</v>
      </c>
      <c r="I2" s="17">
        <f t="shared" ref="I2:I13" si="2">G2-H2</f>
        <v>1383421.1537220511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58142</v>
      </c>
      <c r="C3" s="50">
        <v>166224.5</v>
      </c>
      <c r="D3" s="50">
        <v>356852.5</v>
      </c>
      <c r="E3" s="50">
        <v>419605.5</v>
      </c>
      <c r="F3" s="50">
        <v>486820.5</v>
      </c>
      <c r="G3" s="17">
        <f t="shared" si="0"/>
        <v>1429503</v>
      </c>
      <c r="H3" s="17">
        <f t="shared" si="1"/>
        <v>66389.835463018127</v>
      </c>
      <c r="I3" s="17">
        <f t="shared" si="2"/>
        <v>1363113.1645369818</v>
      </c>
    </row>
    <row r="4" spans="1:9" ht="15.75" customHeight="1" x14ac:dyDescent="0.25">
      <c r="A4" s="5">
        <f t="shared" si="3"/>
        <v>2026</v>
      </c>
      <c r="B4" s="49">
        <v>57151</v>
      </c>
      <c r="C4" s="50">
        <v>164395</v>
      </c>
      <c r="D4" s="50">
        <v>350086</v>
      </c>
      <c r="E4" s="50">
        <v>411985</v>
      </c>
      <c r="F4" s="50">
        <v>481438.99999999994</v>
      </c>
      <c r="G4" s="17">
        <f t="shared" si="0"/>
        <v>1407905</v>
      </c>
      <c r="H4" s="17">
        <f t="shared" si="1"/>
        <v>65258.255418577777</v>
      </c>
      <c r="I4" s="17">
        <f t="shared" si="2"/>
        <v>1342646.7445814223</v>
      </c>
    </row>
    <row r="5" spans="1:9" ht="15.75" customHeight="1" x14ac:dyDescent="0.25">
      <c r="A5" s="5">
        <f t="shared" si="3"/>
        <v>2027</v>
      </c>
      <c r="B5" s="49">
        <v>56385</v>
      </c>
      <c r="C5" s="50">
        <v>163258.5</v>
      </c>
      <c r="D5" s="50">
        <v>344814.49999999994</v>
      </c>
      <c r="E5" s="50">
        <v>404082</v>
      </c>
      <c r="F5" s="50">
        <v>475496.49999999994</v>
      </c>
      <c r="G5" s="17">
        <f t="shared" si="0"/>
        <v>1387651.5</v>
      </c>
      <c r="H5" s="17">
        <f t="shared" si="1"/>
        <v>64383.593144065868</v>
      </c>
      <c r="I5" s="17">
        <f t="shared" si="2"/>
        <v>1323267.9068559341</v>
      </c>
    </row>
    <row r="6" spans="1:9" ht="15.75" customHeight="1" x14ac:dyDescent="0.25">
      <c r="A6" s="5">
        <f t="shared" si="3"/>
        <v>2028</v>
      </c>
      <c r="B6" s="49">
        <v>55641</v>
      </c>
      <c r="C6" s="50">
        <v>162542</v>
      </c>
      <c r="D6" s="50">
        <v>340786</v>
      </c>
      <c r="E6" s="50">
        <v>395133.5</v>
      </c>
      <c r="F6" s="50">
        <v>469486.99999999994</v>
      </c>
      <c r="G6" s="17">
        <f t="shared" si="0"/>
        <v>1367948.5</v>
      </c>
      <c r="H6" s="17">
        <f t="shared" si="1"/>
        <v>63534.051718169168</v>
      </c>
      <c r="I6" s="17">
        <f t="shared" si="2"/>
        <v>1304414.4482818309</v>
      </c>
    </row>
    <row r="7" spans="1:9" ht="15.75" customHeight="1" x14ac:dyDescent="0.25">
      <c r="A7" s="5">
        <f t="shared" si="3"/>
        <v>2029</v>
      </c>
      <c r="B7" s="49">
        <v>54918</v>
      </c>
      <c r="C7" s="50">
        <v>162084.5</v>
      </c>
      <c r="D7" s="50">
        <v>337685</v>
      </c>
      <c r="E7" s="50">
        <v>386496</v>
      </c>
      <c r="F7" s="50">
        <v>462685.5</v>
      </c>
      <c r="G7" s="17">
        <f t="shared" si="0"/>
        <v>1348951</v>
      </c>
      <c r="H7" s="17">
        <f t="shared" si="1"/>
        <v>62708.489284132462</v>
      </c>
      <c r="I7" s="17">
        <f t="shared" si="2"/>
        <v>1286242.5107158676</v>
      </c>
    </row>
    <row r="8" spans="1:9" ht="15.75" customHeight="1" x14ac:dyDescent="0.25">
      <c r="A8" s="5">
        <f t="shared" si="3"/>
        <v>2030</v>
      </c>
      <c r="B8" s="49">
        <v>54248</v>
      </c>
      <c r="C8" s="50">
        <v>161796.5</v>
      </c>
      <c r="D8" s="50">
        <v>335078.99999999994</v>
      </c>
      <c r="E8" s="50">
        <v>378670.49999999994</v>
      </c>
      <c r="F8" s="50">
        <v>454998</v>
      </c>
      <c r="G8" s="17">
        <f t="shared" si="0"/>
        <v>1330544</v>
      </c>
      <c r="H8" s="17">
        <f t="shared" si="1"/>
        <v>61943.445258123342</v>
      </c>
      <c r="I8" s="17">
        <f t="shared" si="2"/>
        <v>1268600.5547418767</v>
      </c>
    </row>
    <row r="9" spans="1:9" ht="15.75" customHeight="1" x14ac:dyDescent="0.25">
      <c r="A9" s="5">
        <f t="shared" si="3"/>
        <v>2031</v>
      </c>
      <c r="B9" s="49">
        <v>53607</v>
      </c>
      <c r="C9" s="50">
        <v>161580.5</v>
      </c>
      <c r="D9" s="50">
        <v>331620.5</v>
      </c>
      <c r="E9" s="50">
        <v>371982.49999999994</v>
      </c>
      <c r="F9" s="50">
        <v>447359</v>
      </c>
      <c r="G9" s="17">
        <f t="shared" si="0"/>
        <v>1312542.5</v>
      </c>
      <c r="H9" s="17">
        <f t="shared" si="1"/>
        <v>61211.515078016113</v>
      </c>
      <c r="I9" s="17">
        <f t="shared" si="2"/>
        <v>1251330.9849219839</v>
      </c>
    </row>
    <row r="10" spans="1:9" ht="15.75" customHeight="1" x14ac:dyDescent="0.25">
      <c r="A10" s="5">
        <f t="shared" si="3"/>
        <v>2032</v>
      </c>
      <c r="B10" s="49">
        <v>53089</v>
      </c>
      <c r="C10" s="50">
        <v>161340.5</v>
      </c>
      <c r="D10" s="50">
        <v>327357</v>
      </c>
      <c r="E10" s="50">
        <v>366563.5</v>
      </c>
      <c r="F10" s="50">
        <v>439566.00000000006</v>
      </c>
      <c r="G10" s="17">
        <f t="shared" si="0"/>
        <v>1294827</v>
      </c>
      <c r="H10" s="17">
        <f t="shared" si="1"/>
        <v>60620.033278803094</v>
      </c>
      <c r="I10" s="17">
        <f t="shared" si="2"/>
        <v>1234206.9667211969</v>
      </c>
    </row>
    <row r="11" spans="1:9" ht="15.75" customHeight="1" x14ac:dyDescent="0.25">
      <c r="A11" s="5">
        <f t="shared" si="3"/>
        <v>2033</v>
      </c>
      <c r="B11" s="49">
        <v>52565</v>
      </c>
      <c r="C11" s="50">
        <v>160991.5</v>
      </c>
      <c r="D11" s="50">
        <v>323592.99999999994</v>
      </c>
      <c r="E11" s="50">
        <v>361291.00000000006</v>
      </c>
      <c r="F11" s="50">
        <v>430987.49999999994</v>
      </c>
      <c r="G11" s="17">
        <f t="shared" si="0"/>
        <v>1276863</v>
      </c>
      <c r="H11" s="17">
        <f t="shared" si="1"/>
        <v>60021.700339058654</v>
      </c>
      <c r="I11" s="17">
        <f t="shared" si="2"/>
        <v>1216841.2996609414</v>
      </c>
    </row>
    <row r="12" spans="1:9" ht="15.75" customHeight="1" x14ac:dyDescent="0.25">
      <c r="A12" s="5">
        <f t="shared" si="3"/>
        <v>2034</v>
      </c>
      <c r="B12" s="49">
        <v>52055</v>
      </c>
      <c r="C12" s="50">
        <v>160349</v>
      </c>
      <c r="D12" s="50">
        <v>320683.99999999994</v>
      </c>
      <c r="E12" s="50">
        <v>355714.50000000006</v>
      </c>
      <c r="F12" s="50">
        <v>421905.49999999994</v>
      </c>
      <c r="G12" s="17">
        <f t="shared" si="0"/>
        <v>1258653</v>
      </c>
      <c r="H12" s="17">
        <f t="shared" si="1"/>
        <v>59439.353393887533</v>
      </c>
      <c r="I12" s="17">
        <f t="shared" si="2"/>
        <v>1199213.6466061124</v>
      </c>
    </row>
    <row r="13" spans="1:9" ht="15.75" customHeight="1" x14ac:dyDescent="0.25">
      <c r="A13" s="5">
        <f t="shared" si="3"/>
        <v>2035</v>
      </c>
      <c r="B13" s="49">
        <v>51638</v>
      </c>
      <c r="C13" s="50">
        <v>159217.5</v>
      </c>
      <c r="D13" s="50">
        <v>318483.5</v>
      </c>
      <c r="E13" s="50">
        <v>349934.49999999994</v>
      </c>
      <c r="F13" s="50">
        <v>413707.5</v>
      </c>
      <c r="G13" s="17">
        <f t="shared" si="0"/>
        <v>1241343</v>
      </c>
      <c r="H13" s="17">
        <f t="shared" si="1"/>
        <v>58963.199126953499</v>
      </c>
      <c r="I13" s="17">
        <f t="shared" si="2"/>
        <v>1182379.8008730465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cabbz3wYNvA25QhD9L1/hZfhmg2j/gQitoMFDBdJpgFoyVCJoeTZ6TSVpxScFyw+HwPcg3O8Kpe86fIcHD9STQ==" saltValue="cYT8jp5ZVK9YU8CCg8dEl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95</v>
      </c>
      <c r="B2" s="29" t="s">
        <v>1</v>
      </c>
      <c r="C2" s="29" t="s">
        <v>127</v>
      </c>
      <c r="D2" s="29"/>
      <c r="E2" s="29"/>
      <c r="F2" s="29"/>
      <c r="G2" s="29"/>
    </row>
    <row r="3" spans="1:8" ht="15.75" customHeight="1" x14ac:dyDescent="0.25">
      <c r="B3" s="19" t="s">
        <v>96</v>
      </c>
      <c r="C3" s="55">
        <v>0</v>
      </c>
    </row>
    <row r="4" spans="1:8" ht="15.75" customHeight="1" x14ac:dyDescent="0.25">
      <c r="B4" s="19" t="s">
        <v>97</v>
      </c>
      <c r="C4" s="101">
        <v>2.6376197362380321E-2</v>
      </c>
    </row>
    <row r="5" spans="1:8" ht="15.75" customHeight="1" x14ac:dyDescent="0.25">
      <c r="B5" s="19" t="s">
        <v>98</v>
      </c>
      <c r="C5" s="101">
        <v>1.9977998002200119E-2</v>
      </c>
    </row>
    <row r="6" spans="1:8" ht="15.75" customHeight="1" x14ac:dyDescent="0.25">
      <c r="B6" s="19" t="s">
        <v>99</v>
      </c>
      <c r="C6" s="101">
        <v>0.1411632858836713</v>
      </c>
    </row>
    <row r="7" spans="1:8" ht="15.75" customHeight="1" x14ac:dyDescent="0.25">
      <c r="B7" s="19" t="s">
        <v>100</v>
      </c>
      <c r="C7" s="101">
        <v>0.63213873678612653</v>
      </c>
    </row>
    <row r="8" spans="1:8" ht="15.75" customHeight="1" x14ac:dyDescent="0.25">
      <c r="B8" s="19" t="s">
        <v>101</v>
      </c>
      <c r="C8" s="101">
        <v>0</v>
      </c>
    </row>
    <row r="9" spans="1:8" ht="15.75" customHeight="1" x14ac:dyDescent="0.25">
      <c r="B9" s="19" t="s">
        <v>102</v>
      </c>
      <c r="C9" s="101">
        <v>0.1415473858452613</v>
      </c>
    </row>
    <row r="10" spans="1:8" ht="15.75" customHeight="1" x14ac:dyDescent="0.25">
      <c r="B10" s="19" t="s">
        <v>103</v>
      </c>
      <c r="C10" s="101">
        <v>3.8796396120360288E-2</v>
      </c>
    </row>
    <row r="11" spans="1:8" ht="15.75" customHeight="1" x14ac:dyDescent="0.25">
      <c r="B11" s="27" t="s">
        <v>59</v>
      </c>
      <c r="C11" s="48">
        <f>SUM(C3:C10)</f>
        <v>0.99999999999999978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29" t="s">
        <v>1</v>
      </c>
      <c r="C13" s="102" t="s">
        <v>114</v>
      </c>
      <c r="D13" s="102" t="s">
        <v>115</v>
      </c>
      <c r="E13" s="102" t="s">
        <v>116</v>
      </c>
      <c r="F13" s="102" t="s">
        <v>117</v>
      </c>
      <c r="G13" s="19"/>
    </row>
    <row r="14" spans="1:8" ht="15.75" customHeight="1" x14ac:dyDescent="0.25">
      <c r="B14" s="19" t="s">
        <v>105</v>
      </c>
      <c r="C14" s="55">
        <v>1.3038873925610541E-2</v>
      </c>
      <c r="D14" s="55">
        <v>1.3038873925610541E-2</v>
      </c>
      <c r="E14" s="55">
        <v>1.3038873925610541E-2</v>
      </c>
      <c r="F14" s="55">
        <v>1.3038873925610541E-2</v>
      </c>
    </row>
    <row r="15" spans="1:8" ht="15.75" customHeight="1" x14ac:dyDescent="0.25">
      <c r="B15" s="19" t="s">
        <v>106</v>
      </c>
      <c r="C15" s="101">
        <v>0.2425058603064156</v>
      </c>
      <c r="D15" s="101">
        <v>0.2425058603064156</v>
      </c>
      <c r="E15" s="101">
        <v>0.2425058603064156</v>
      </c>
      <c r="F15" s="101">
        <v>0.2425058603064156</v>
      </c>
    </row>
    <row r="16" spans="1:8" ht="15.75" customHeight="1" x14ac:dyDescent="0.25">
      <c r="B16" s="19" t="s">
        <v>107</v>
      </c>
      <c r="C16" s="101">
        <v>0.16458964421727099</v>
      </c>
      <c r="D16" s="101">
        <v>0.16458964421727099</v>
      </c>
      <c r="E16" s="101">
        <v>0.16458964421727099</v>
      </c>
      <c r="F16" s="101">
        <v>0.16458964421727099</v>
      </c>
    </row>
    <row r="17" spans="1:8" ht="15.75" customHeight="1" x14ac:dyDescent="0.25">
      <c r="B17" s="19" t="s">
        <v>108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109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110</v>
      </c>
      <c r="C19" s="101">
        <v>0</v>
      </c>
      <c r="D19" s="101">
        <v>0</v>
      </c>
      <c r="E19" s="101">
        <v>0</v>
      </c>
      <c r="F19" s="101">
        <v>0</v>
      </c>
    </row>
    <row r="20" spans="1:8" ht="15.75" customHeight="1" x14ac:dyDescent="0.25">
      <c r="B20" s="19" t="s">
        <v>111</v>
      </c>
      <c r="C20" s="101">
        <v>0</v>
      </c>
      <c r="D20" s="101">
        <v>0</v>
      </c>
      <c r="E20" s="101">
        <v>0</v>
      </c>
      <c r="F20" s="101">
        <v>0</v>
      </c>
    </row>
    <row r="21" spans="1:8" ht="15.75" customHeight="1" x14ac:dyDescent="0.25">
      <c r="B21" s="19" t="s">
        <v>112</v>
      </c>
      <c r="C21" s="101">
        <v>0.37636846830508891</v>
      </c>
      <c r="D21" s="101">
        <v>0.37636846830508891</v>
      </c>
      <c r="E21" s="101">
        <v>0.37636846830508891</v>
      </c>
      <c r="F21" s="101">
        <v>0.37636846830508891</v>
      </c>
    </row>
    <row r="22" spans="1:8" ht="15.75" customHeight="1" x14ac:dyDescent="0.25">
      <c r="B22" s="19" t="s">
        <v>113</v>
      </c>
      <c r="C22" s="101">
        <v>0.2034971532456139</v>
      </c>
      <c r="D22" s="101">
        <v>0.2034971532456139</v>
      </c>
      <c r="E22" s="101">
        <v>0.2034971532456139</v>
      </c>
      <c r="F22" s="101">
        <v>0.2034971532456139</v>
      </c>
    </row>
    <row r="23" spans="1:8" ht="15.75" customHeight="1" x14ac:dyDescent="0.25">
      <c r="B23" s="27" t="s">
        <v>59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29" t="s">
        <v>1</v>
      </c>
      <c r="C25" s="29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5">
        <v>7.6356962E-2</v>
      </c>
    </row>
    <row r="27" spans="1:8" ht="15.75" customHeight="1" x14ac:dyDescent="0.25">
      <c r="B27" s="19" t="s">
        <v>120</v>
      </c>
      <c r="C27" s="101">
        <v>4.6857983999999978E-2</v>
      </c>
    </row>
    <row r="28" spans="1:8" ht="15.75" customHeight="1" x14ac:dyDescent="0.25">
      <c r="B28" s="19" t="s">
        <v>121</v>
      </c>
      <c r="C28" s="101">
        <v>8.0995853000000007E-2</v>
      </c>
    </row>
    <row r="29" spans="1:8" ht="15.75" customHeight="1" x14ac:dyDescent="0.25">
      <c r="B29" s="19" t="s">
        <v>122</v>
      </c>
      <c r="C29" s="101">
        <v>0.17572802300000001</v>
      </c>
    </row>
    <row r="30" spans="1:8" ht="15.75" customHeight="1" x14ac:dyDescent="0.25">
      <c r="B30" s="19" t="s">
        <v>2</v>
      </c>
      <c r="C30" s="101">
        <v>0.102999484</v>
      </c>
    </row>
    <row r="31" spans="1:8" ht="15.75" customHeight="1" x14ac:dyDescent="0.25">
      <c r="B31" s="19" t="s">
        <v>123</v>
      </c>
      <c r="C31" s="101">
        <v>3.8216664999999997E-2</v>
      </c>
    </row>
    <row r="32" spans="1:8" ht="15.75" customHeight="1" x14ac:dyDescent="0.25">
      <c r="B32" s="19" t="s">
        <v>124</v>
      </c>
      <c r="C32" s="101">
        <v>0.17722406800000001</v>
      </c>
    </row>
    <row r="33" spans="2:3" ht="15.75" customHeight="1" x14ac:dyDescent="0.25">
      <c r="B33" s="19" t="s">
        <v>125</v>
      </c>
      <c r="C33" s="101">
        <v>0.162579839</v>
      </c>
    </row>
    <row r="34" spans="2:3" ht="15.75" customHeight="1" x14ac:dyDescent="0.25">
      <c r="B34" s="19" t="s">
        <v>126</v>
      </c>
      <c r="C34" s="101">
        <v>0.13904112199999999</v>
      </c>
    </row>
    <row r="35" spans="2:3" ht="15.75" customHeight="1" x14ac:dyDescent="0.25">
      <c r="B35" s="27" t="s">
        <v>59</v>
      </c>
      <c r="C35" s="48">
        <f>SUM(C26:C34)</f>
        <v>0.99999999999999989</v>
      </c>
    </row>
  </sheetData>
  <sheetProtection algorithmName="SHA-512" hashValue="MY3HfxhnRVUcdmWAzpt0t/NtF7hDBa+Rfa/t7PAMzJq5Dm1kMAqOPBBavcib5nbX5jSEl9tIfQQxiPzdeCuUWA==" saltValue="+I1TKTV1DFVIBiYLTwEqbA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52">
        <f>IFERROR(1-_xlfn.NORM.DIST(_xlfn.NORM.INV(SUM(C4:C5), 0, 1) + 1, 0, 1, TRUE), "")</f>
        <v>0.59390726713780428</v>
      </c>
      <c r="D2" s="52">
        <f>IFERROR(1-_xlfn.NORM.DIST(_xlfn.NORM.INV(SUM(D4:D5), 0, 1) + 1, 0, 1, TRUE), "")</f>
        <v>0.59390726713780428</v>
      </c>
      <c r="E2" s="52">
        <f>IFERROR(1-_xlfn.NORM.DIST(_xlfn.NORM.INV(SUM(E4:E5), 0, 1) + 1, 0, 1, TRUE), "")</f>
        <v>0.74371708472323184</v>
      </c>
      <c r="F2" s="52">
        <f>IFERROR(1-_xlfn.NORM.DIST(_xlfn.NORM.INV(SUM(F4:F5), 0, 1) + 1, 0, 1, TRUE), "")</f>
        <v>0.77886571160733875</v>
      </c>
      <c r="G2" s="52">
        <f>IFERROR(1-_xlfn.NORM.DIST(_xlfn.NORM.INV(SUM(G4:G5), 0, 1) + 1, 0, 1, TRUE), "")</f>
        <v>0.72889505518581521</v>
      </c>
    </row>
    <row r="3" spans="1:15" ht="15.75" customHeight="1" x14ac:dyDescent="0.25">
      <c r="B3" s="5" t="s">
        <v>131</v>
      </c>
      <c r="C3" s="52">
        <f>IFERROR(_xlfn.NORM.DIST(_xlfn.NORM.INV(SUM(C4:C5), 0, 1) + 1, 0, 1, TRUE) - SUM(C4:C5), "")</f>
        <v>0.29816193286219578</v>
      </c>
      <c r="D3" s="52">
        <f>IFERROR(_xlfn.NORM.DIST(_xlfn.NORM.INV(SUM(D4:D5), 0, 1) + 1, 0, 1, TRUE) - SUM(D4:D5), "")</f>
        <v>0.29816193286219578</v>
      </c>
      <c r="E3" s="52">
        <f>IFERROR(_xlfn.NORM.DIST(_xlfn.NORM.INV(SUM(E4:E5), 0, 1) + 1, 0, 1, TRUE) - SUM(E4:E5), "")</f>
        <v>0.20730521527676815</v>
      </c>
      <c r="F3" s="52">
        <f>IFERROR(_xlfn.NORM.DIST(_xlfn.NORM.INV(SUM(F4:F5), 0, 1) + 1, 0, 1, TRUE) - SUM(F4:F5), "")</f>
        <v>0.18263458839266131</v>
      </c>
      <c r="G3" s="52">
        <f>IFERROR(_xlfn.NORM.DIST(_xlfn.NORM.INV(SUM(G4:G5), 0, 1) + 1, 0, 1, TRUE) - SUM(G4:G5), "")</f>
        <v>0.21734864481418481</v>
      </c>
    </row>
    <row r="4" spans="1:15" ht="15.75" customHeight="1" x14ac:dyDescent="0.25">
      <c r="B4" s="5" t="s">
        <v>132</v>
      </c>
      <c r="C4" s="45">
        <v>7.0136699999999996E-2</v>
      </c>
      <c r="D4" s="53">
        <v>7.0136699999999996E-2</v>
      </c>
      <c r="E4" s="53">
        <v>3.4336800000000001E-2</v>
      </c>
      <c r="F4" s="53">
        <v>2.6632300000000001E-2</v>
      </c>
      <c r="G4" s="53">
        <v>3.4629399999999998E-2</v>
      </c>
    </row>
    <row r="5" spans="1:15" ht="15.75" customHeight="1" x14ac:dyDescent="0.25">
      <c r="B5" s="5" t="s">
        <v>133</v>
      </c>
      <c r="C5" s="45">
        <v>3.7794099999999997E-2</v>
      </c>
      <c r="D5" s="53">
        <v>3.7794099999999997E-2</v>
      </c>
      <c r="E5" s="53">
        <v>1.46409E-2</v>
      </c>
      <c r="F5" s="53">
        <v>1.18674E-2</v>
      </c>
      <c r="G5" s="53">
        <v>1.9126899999999999E-2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134</v>
      </c>
      <c r="B8" s="5" t="s">
        <v>135</v>
      </c>
      <c r="C8" s="52">
        <f>IFERROR(1-_xlfn.NORM.DIST(_xlfn.NORM.INV(SUM(C10:C11), 0, 1) + 1, 0, 1, TRUE), "")</f>
        <v>0.68723648599051779</v>
      </c>
      <c r="D8" s="52">
        <f>IFERROR(1-_xlfn.NORM.DIST(_xlfn.NORM.INV(SUM(D10:D11), 0, 1) + 1, 0, 1, TRUE), "")</f>
        <v>0.68723648599051779</v>
      </c>
      <c r="E8" s="52">
        <f>IFERROR(1-_xlfn.NORM.DIST(_xlfn.NORM.INV(SUM(E10:E11), 0, 1) + 1, 0, 1, TRUE), "")</f>
        <v>0.77701468268072693</v>
      </c>
      <c r="F8" s="52">
        <f>IFERROR(1-_xlfn.NORM.DIST(_xlfn.NORM.INV(SUM(F10:F11), 0, 1) + 1, 0, 1, TRUE), "")</f>
        <v>0.9136633808576291</v>
      </c>
      <c r="G8" s="52">
        <f>IFERROR(1-_xlfn.NORM.DIST(_xlfn.NORM.INV(SUM(G10:G11), 0, 1) + 1, 0, 1, TRUE), "")</f>
        <v>0.83498121266580128</v>
      </c>
    </row>
    <row r="9" spans="1:15" ht="15.75" customHeight="1" x14ac:dyDescent="0.25">
      <c r="B9" s="5" t="s">
        <v>136</v>
      </c>
      <c r="C9" s="52">
        <f>IFERROR(_xlfn.NORM.DIST(_xlfn.NORM.INV(SUM(C10:C11), 0, 1) + 1, 0, 1, TRUE) - SUM(C10:C11), "")</f>
        <v>0.24439231400948222</v>
      </c>
      <c r="D9" s="52">
        <f>IFERROR(_xlfn.NORM.DIST(_xlfn.NORM.INV(SUM(D10:D11), 0, 1) + 1, 0, 1, TRUE) - SUM(D10:D11), "")</f>
        <v>0.24439231400948222</v>
      </c>
      <c r="E9" s="52">
        <f>IFERROR(_xlfn.NORM.DIST(_xlfn.NORM.INV(SUM(E10:E11), 0, 1) + 1, 0, 1, TRUE) - SUM(E10:E11), "")</f>
        <v>0.18396331731927304</v>
      </c>
      <c r="F9" s="52">
        <f>IFERROR(_xlfn.NORM.DIST(_xlfn.NORM.INV(SUM(F10:F11), 0, 1) + 1, 0, 1, TRUE) - SUM(F10:F11), "")</f>
        <v>7.7289019142370949E-2</v>
      </c>
      <c r="G9" s="52">
        <f>IFERROR(_xlfn.NORM.DIST(_xlfn.NORM.INV(SUM(G10:G11), 0, 1) + 1, 0, 1, TRUE) - SUM(G10:G11), "")</f>
        <v>0.14083008733419869</v>
      </c>
    </row>
    <row r="10" spans="1:15" ht="15.75" customHeight="1" x14ac:dyDescent="0.25">
      <c r="B10" s="5" t="s">
        <v>137</v>
      </c>
      <c r="C10" s="45">
        <v>6.8371199999999993E-2</v>
      </c>
      <c r="D10" s="53">
        <v>6.8371199999999993E-2</v>
      </c>
      <c r="E10" s="53">
        <v>2.5490800000000001E-2</v>
      </c>
      <c r="F10" s="53">
        <v>2.9429999999999999E-3</v>
      </c>
      <c r="G10" s="53">
        <v>2.01747E-2</v>
      </c>
    </row>
    <row r="11" spans="1:15" ht="15.75" customHeight="1" x14ac:dyDescent="0.25">
      <c r="B11" s="5" t="s">
        <v>138</v>
      </c>
      <c r="C11" s="45">
        <v>0</v>
      </c>
      <c r="D11" s="53">
        <v>0</v>
      </c>
      <c r="E11" s="53">
        <v>1.35312E-2</v>
      </c>
      <c r="F11" s="53">
        <v>6.1046E-3</v>
      </c>
      <c r="G11" s="53">
        <v>4.0140000000000002E-3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51">
        <v>0.40326360550000012</v>
      </c>
      <c r="D14" s="54">
        <v>0.41716673795999992</v>
      </c>
      <c r="E14" s="54">
        <v>0.41716673795999992</v>
      </c>
      <c r="F14" s="54">
        <v>0.180481621654</v>
      </c>
      <c r="G14" s="54">
        <v>0.180481621654</v>
      </c>
      <c r="H14" s="45">
        <v>0.28399999999999997</v>
      </c>
      <c r="I14" s="55">
        <v>0.28399999999999997</v>
      </c>
      <c r="J14" s="55">
        <v>0.28399999999999997</v>
      </c>
      <c r="K14" s="55">
        <v>0.28399999999999997</v>
      </c>
      <c r="L14" s="45">
        <v>0.27200000000000002</v>
      </c>
      <c r="M14" s="55">
        <v>0.27200000000000002</v>
      </c>
      <c r="N14" s="55">
        <v>0.27200000000000002</v>
      </c>
      <c r="O14" s="55">
        <v>0.27200000000000002</v>
      </c>
    </row>
    <row r="15" spans="1:15" ht="15.75" customHeight="1" x14ac:dyDescent="0.25">
      <c r="B15" s="11" t="s">
        <v>145</v>
      </c>
      <c r="C15" s="52">
        <f t="shared" ref="C15:O15" si="0">iron_deficiency_anaemia*C14</f>
        <v>0.25129371576732507</v>
      </c>
      <c r="D15" s="52">
        <f t="shared" si="0"/>
        <v>0.25995745275977394</v>
      </c>
      <c r="E15" s="52">
        <f t="shared" si="0"/>
        <v>0.25995745275977394</v>
      </c>
      <c r="F15" s="52">
        <f t="shared" si="0"/>
        <v>0.11246712253369009</v>
      </c>
      <c r="G15" s="52">
        <f t="shared" si="0"/>
        <v>0.11246712253369009</v>
      </c>
      <c r="H15" s="52">
        <f t="shared" si="0"/>
        <v>0.17697459999999998</v>
      </c>
      <c r="I15" s="52">
        <f t="shared" si="0"/>
        <v>0.17697459999999998</v>
      </c>
      <c r="J15" s="52">
        <f t="shared" si="0"/>
        <v>0.17697459999999998</v>
      </c>
      <c r="K15" s="52">
        <f t="shared" si="0"/>
        <v>0.17697459999999998</v>
      </c>
      <c r="L15" s="52">
        <f t="shared" si="0"/>
        <v>0.1694968</v>
      </c>
      <c r="M15" s="52">
        <f t="shared" si="0"/>
        <v>0.1694968</v>
      </c>
      <c r="N15" s="52">
        <f t="shared" si="0"/>
        <v>0.1694968</v>
      </c>
      <c r="O15" s="52">
        <f t="shared" si="0"/>
        <v>0.1694968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OMBCT310+8gdt/cdwNPY3jy1A6Hqwiu79YR3jRn1HFMUBKmkHeyaNy/wKeAZlhZOb5Q/NsA5zHpxMVNEsvQQVQ==" saltValue="7r5Mte6JQEHl6vDl9Cf3J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" t="s">
        <v>147</v>
      </c>
      <c r="C2" s="45">
        <v>0.57374920000000007</v>
      </c>
      <c r="D2" s="53">
        <v>0.21961839999999999</v>
      </c>
      <c r="E2" s="53">
        <v>0</v>
      </c>
      <c r="F2" s="53">
        <v>0</v>
      </c>
      <c r="G2" s="53">
        <v>0</v>
      </c>
    </row>
    <row r="3" spans="1:7" x14ac:dyDescent="0.25">
      <c r="B3" s="3" t="s">
        <v>148</v>
      </c>
      <c r="C3" s="53">
        <v>0.32482139999999998</v>
      </c>
      <c r="D3" s="53">
        <v>0.29721890000000001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149</v>
      </c>
      <c r="C4" s="53">
        <v>5.2271599999999988E-2</v>
      </c>
      <c r="D4" s="53">
        <v>0.1803351</v>
      </c>
      <c r="E4" s="53">
        <v>0.44911450000000003</v>
      </c>
      <c r="F4" s="53">
        <v>0.1620346</v>
      </c>
      <c r="G4" s="53">
        <v>0</v>
      </c>
    </row>
    <row r="5" spans="1:7" x14ac:dyDescent="0.25">
      <c r="B5" s="3" t="s">
        <v>150</v>
      </c>
      <c r="C5" s="52">
        <f t="shared" ref="C5:D5" si="0">1-SUM(C2:C4)</f>
        <v>4.9157800000000029E-2</v>
      </c>
      <c r="D5" s="52">
        <f t="shared" si="0"/>
        <v>0.30282760000000009</v>
      </c>
      <c r="E5" s="52">
        <f>1-SUM(E2:E4)</f>
        <v>0.55088549999999992</v>
      </c>
      <c r="F5" s="52">
        <f>1-SUM(F2:F4)</f>
        <v>0.83796539999999997</v>
      </c>
      <c r="G5" s="52">
        <f>1-SUM(G2:G4)</f>
        <v>1</v>
      </c>
    </row>
  </sheetData>
  <sheetProtection algorithmName="SHA-512" hashValue="g+S0dvTkqRp1m08pD3bS3pDvQEg0bxmTzoHAmqDyYQiZld6bT8rkROgsqoBuI7a7kqEY8an+3jN9Z5JLnf68KA==" saltValue="l/btcq8rz3UpG/HOsxCEQA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151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152</v>
      </c>
      <c r="B2" s="9" t="s">
        <v>161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153</v>
      </c>
      <c r="B4" s="9" t="s">
        <v>161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154</v>
      </c>
      <c r="B6" s="9" t="s">
        <v>161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118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155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156</v>
      </c>
      <c r="B10" s="11" t="s">
        <v>157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158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61</v>
      </c>
      <c r="B13" s="11" t="s">
        <v>159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160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J86Wgsxrp47FREwgGKZ5J3lrFbSpYOcs0brLAhvaYTWLiUuyzEDjQY2RHx5T4kPOR92uvCzw80S1kjJ1QY+gVg==" saltValue="Bo1EEKrdBAy+1rK+8hd9nA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12</v>
      </c>
      <c r="B1" s="105" t="s">
        <v>13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163</v>
      </c>
      <c r="B2" s="109">
        <v>9537.6828667312802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162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173</v>
      </c>
      <c r="B4" s="110">
        <v>0.52329000000000003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164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165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168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167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169</v>
      </c>
      <c r="B9" s="110">
        <v>0.66799999999999993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166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174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175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176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177</v>
      </c>
      <c r="B14" s="112">
        <v>1.5414724456413276E-2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170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171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172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178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14</v>
      </c>
      <c r="B21" s="108" t="s">
        <v>15</v>
      </c>
      <c r="C21" s="108" t="s">
        <v>16</v>
      </c>
      <c r="D21" s="108" t="s">
        <v>17</v>
      </c>
      <c r="E21" s="108" t="s">
        <v>18</v>
      </c>
      <c r="F21" s="108" t="s">
        <v>19</v>
      </c>
      <c r="G21" s="108" t="s">
        <v>20</v>
      </c>
      <c r="H21" s="108" t="s">
        <v>21</v>
      </c>
      <c r="I21" s="108" t="s">
        <v>22</v>
      </c>
      <c r="J21" s="108" t="s">
        <v>23</v>
      </c>
      <c r="K21" s="108" t="s">
        <v>24</v>
      </c>
      <c r="L21" s="108" t="s">
        <v>25</v>
      </c>
      <c r="M21" s="108" t="s">
        <v>26</v>
      </c>
      <c r="N21" s="108" t="s">
        <v>27</v>
      </c>
      <c r="O21" s="108" t="s">
        <v>28</v>
      </c>
    </row>
    <row r="22" spans="1:15" x14ac:dyDescent="0.25">
      <c r="A22" s="108" t="s">
        <v>179</v>
      </c>
      <c r="B22" s="109">
        <v>99487.869449999998</v>
      </c>
      <c r="C22" s="109">
        <v>99438.333670000007</v>
      </c>
      <c r="D22" s="109">
        <v>99369.294320000001</v>
      </c>
      <c r="E22" s="109">
        <v>99230.96643</v>
      </c>
      <c r="F22" s="109">
        <v>99040.410910000006</v>
      </c>
      <c r="G22" s="109">
        <v>98793.598800000007</v>
      </c>
      <c r="H22" s="109">
        <v>98405.441009999995</v>
      </c>
      <c r="I22" s="109">
        <v>97834.529139999999</v>
      </c>
      <c r="J22" s="109">
        <v>96965.630709999998</v>
      </c>
      <c r="K22" s="109">
        <v>95476.325209999995</v>
      </c>
      <c r="L22" s="109">
        <v>92758.775460000004</v>
      </c>
      <c r="M22" s="109">
        <v>88503.757599999997</v>
      </c>
      <c r="N22" s="109">
        <v>81995.464470000006</v>
      </c>
      <c r="O22" s="109">
        <v>72957.361430000004</v>
      </c>
    </row>
  </sheetData>
  <sheetProtection algorithmName="SHA-512" hashValue="tWFu1NqwL390qiCfuoGuAZLvxuKuyzgG99W8LZahqgnDGM9FkqnsNTbGFiefvKYfJcs2QuikQsgZvjmdqxU/JA==" saltValue="1nr5xyOUypdPDFGCaIc8wA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</row>
    <row r="2" spans="1:5" ht="13" x14ac:dyDescent="0.3">
      <c r="A2" s="34" t="s">
        <v>186</v>
      </c>
      <c r="B2" s="32" t="s">
        <v>118</v>
      </c>
      <c r="C2" s="47"/>
      <c r="D2" s="47"/>
      <c r="E2" s="38" t="str">
        <f>IF(E$7="","",E$7)</f>
        <v/>
      </c>
    </row>
    <row r="3" spans="1:5" x14ac:dyDescent="0.25">
      <c r="B3" s="32" t="s">
        <v>127</v>
      </c>
      <c r="C3" s="47"/>
      <c r="D3" s="47" t="s">
        <v>4</v>
      </c>
      <c r="E3" s="38" t="str">
        <f>IF(E$7="","",E$7)</f>
        <v/>
      </c>
    </row>
    <row r="4" spans="1:5" x14ac:dyDescent="0.25">
      <c r="B4" s="32" t="s">
        <v>114</v>
      </c>
      <c r="C4" s="47"/>
      <c r="D4" s="47" t="s">
        <v>4</v>
      </c>
      <c r="E4" s="38" t="str">
        <f>IF(E$7="","",E$7)</f>
        <v/>
      </c>
    </row>
    <row r="5" spans="1:5" x14ac:dyDescent="0.25">
      <c r="B5" s="32" t="s">
        <v>115</v>
      </c>
      <c r="C5" s="47"/>
      <c r="D5" s="47" t="s">
        <v>4</v>
      </c>
      <c r="E5" s="38" t="str">
        <f>IF(E$7="","",E$7)</f>
        <v/>
      </c>
    </row>
    <row r="6" spans="1:5" x14ac:dyDescent="0.25">
      <c r="B6" s="32" t="s">
        <v>116</v>
      </c>
      <c r="C6" s="47"/>
      <c r="D6" s="47" t="s">
        <v>4</v>
      </c>
      <c r="E6" s="38" t="str">
        <f>IF(E$7="","",E$7)</f>
        <v/>
      </c>
    </row>
    <row r="7" spans="1:5" x14ac:dyDescent="0.25">
      <c r="B7" s="32" t="s">
        <v>185</v>
      </c>
      <c r="C7" s="31"/>
      <c r="D7" s="30"/>
      <c r="E7" s="47"/>
    </row>
    <row r="9" spans="1:5" ht="13" x14ac:dyDescent="0.3">
      <c r="A9" s="34" t="s">
        <v>187</v>
      </c>
      <c r="B9" s="32" t="s">
        <v>118</v>
      </c>
      <c r="C9" s="47"/>
      <c r="D9" s="47"/>
      <c r="E9" s="38" t="str">
        <f>IF(E$7="","",E$7)</f>
        <v/>
      </c>
    </row>
    <row r="10" spans="1:5" x14ac:dyDescent="0.25">
      <c r="B10" s="32" t="s">
        <v>127</v>
      </c>
      <c r="C10" s="47"/>
      <c r="D10" s="47"/>
      <c r="E10" s="38" t="str">
        <f>IF(E$7="","",E$7)</f>
        <v/>
      </c>
    </row>
    <row r="11" spans="1:5" x14ac:dyDescent="0.25">
      <c r="B11" s="32" t="s">
        <v>114</v>
      </c>
      <c r="C11" s="47"/>
      <c r="D11" s="47"/>
      <c r="E11" s="38" t="str">
        <f>IF(E$7="","",E$7)</f>
        <v/>
      </c>
    </row>
    <row r="12" spans="1:5" x14ac:dyDescent="0.25">
      <c r="B12" s="32" t="s">
        <v>115</v>
      </c>
      <c r="C12" s="47"/>
      <c r="D12" s="47" t="s">
        <v>4</v>
      </c>
      <c r="E12" s="38" t="str">
        <f>IF(E$7="","",E$7)</f>
        <v/>
      </c>
    </row>
    <row r="13" spans="1:5" x14ac:dyDescent="0.25">
      <c r="B13" s="32" t="s">
        <v>116</v>
      </c>
      <c r="C13" s="47"/>
      <c r="D13" s="47" t="s">
        <v>4</v>
      </c>
      <c r="E13" s="38" t="str">
        <f>IF(E$7="","",E$7)</f>
        <v/>
      </c>
    </row>
    <row r="14" spans="1:5" x14ac:dyDescent="0.25">
      <c r="B14" s="32" t="s">
        <v>185</v>
      </c>
      <c r="C14" s="31"/>
      <c r="D14" s="30"/>
      <c r="E14" s="47"/>
    </row>
    <row r="16" spans="1:5" ht="13" x14ac:dyDescent="0.3">
      <c r="A16" s="34" t="s">
        <v>188</v>
      </c>
      <c r="B16" s="32" t="s">
        <v>118</v>
      </c>
      <c r="C16" s="47"/>
      <c r="D16" s="47" t="s">
        <v>4</v>
      </c>
      <c r="E16" s="38" t="str">
        <f>IF(E$7="","",E$7)</f>
        <v/>
      </c>
    </row>
    <row r="17" spans="2:5" x14ac:dyDescent="0.25">
      <c r="B17" s="32" t="s">
        <v>127</v>
      </c>
      <c r="C17" s="47"/>
      <c r="D17" s="47" t="s">
        <v>4</v>
      </c>
      <c r="E17" s="38" t="str">
        <f>IF(E$7="","",E$7)</f>
        <v/>
      </c>
    </row>
    <row r="18" spans="2:5" x14ac:dyDescent="0.25">
      <c r="B18" s="32" t="s">
        <v>114</v>
      </c>
      <c r="C18" s="47"/>
      <c r="D18" s="47" t="s">
        <v>4</v>
      </c>
      <c r="E18" s="38" t="str">
        <f>IF(E$7="","",E$7)</f>
        <v/>
      </c>
    </row>
    <row r="19" spans="2:5" x14ac:dyDescent="0.25">
      <c r="B19" s="32" t="s">
        <v>115</v>
      </c>
      <c r="C19" s="47"/>
      <c r="D19" s="47" t="s">
        <v>4</v>
      </c>
      <c r="E19" s="38" t="str">
        <f>IF(E$7="","",E$7)</f>
        <v/>
      </c>
    </row>
    <row r="20" spans="2:5" x14ac:dyDescent="0.25">
      <c r="B20" s="32" t="s">
        <v>116</v>
      </c>
      <c r="C20" s="47"/>
      <c r="D20" s="47" t="s">
        <v>4</v>
      </c>
      <c r="E20" s="38" t="str">
        <f>IF(E$7="","",E$7)</f>
        <v/>
      </c>
    </row>
    <row r="21" spans="2:5" x14ac:dyDescent="0.25">
      <c r="B21" s="32" t="s">
        <v>185</v>
      </c>
      <c r="C21" s="31"/>
      <c r="D21" s="30"/>
      <c r="E21" s="47"/>
    </row>
  </sheetData>
  <sheetProtection algorithmName="SHA-512" hashValue="IEHqPfo0tGYsGhRnlT66Nx4KOu2njoDiZAV7VMBwb1ckxWUwj3so/UBrszDAHNn4u5fuloHu9aHN1gUe1wr1tw==" saltValue="6mEFlM4VYKNnHe8pYvLM5w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191</v>
      </c>
      <c r="C1" s="40" t="s">
        <v>5</v>
      </c>
      <c r="D1" s="40" t="s">
        <v>192</v>
      </c>
    </row>
    <row r="2" spans="1:4" ht="13" x14ac:dyDescent="0.3">
      <c r="A2" s="40" t="s">
        <v>189</v>
      </c>
      <c r="B2" s="32" t="s">
        <v>190</v>
      </c>
      <c r="C2" s="32" t="s">
        <v>194</v>
      </c>
      <c r="D2" s="47"/>
    </row>
    <row r="3" spans="1:4" ht="13" x14ac:dyDescent="0.3">
      <c r="A3" s="40" t="s">
        <v>193</v>
      </c>
      <c r="B3" s="32" t="s">
        <v>182</v>
      </c>
      <c r="C3" s="32" t="s">
        <v>183</v>
      </c>
      <c r="D3" s="47"/>
    </row>
  </sheetData>
  <sheetProtection algorithmName="SHA-512" hashValue="mBMoClf3k0L/JcdEEU/CeCWInaS/C+m4kYbBtgu1ujvRQRQOGfuFgB4sIKpgnb5mkFWpiNzNhn2QyDikl5zBtA==" saltValue="+wst5Xy8vxbSzd6IYJrScA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189</v>
      </c>
      <c r="B1" s="22" t="str">
        <f>"Couverture de l'année de référence ("&amp;start_year&amp;")"</f>
        <v>Couverture de l'année de référence (2024)</v>
      </c>
      <c r="C1" s="22" t="s">
        <v>195</v>
      </c>
      <c r="D1" s="22" t="s">
        <v>231</v>
      </c>
      <c r="E1" s="22" t="s">
        <v>196</v>
      </c>
      <c r="F1" s="22" t="s">
        <v>232</v>
      </c>
      <c r="G1" s="22" t="s">
        <v>233</v>
      </c>
    </row>
    <row r="2" spans="1:7" ht="15.75" customHeight="1" x14ac:dyDescent="0.25">
      <c r="A2" s="5" t="s">
        <v>197</v>
      </c>
      <c r="B2" s="45">
        <v>0</v>
      </c>
      <c r="C2" s="98">
        <v>0.95</v>
      </c>
      <c r="D2" s="56">
        <v>12.008526100307062</v>
      </c>
      <c r="E2" s="56" t="s">
        <v>230</v>
      </c>
      <c r="F2" s="98">
        <v>1</v>
      </c>
      <c r="G2" s="98">
        <v>1</v>
      </c>
    </row>
    <row r="3" spans="1:7" ht="15.75" customHeight="1" x14ac:dyDescent="0.25">
      <c r="A3" s="5" t="s">
        <v>198</v>
      </c>
      <c r="B3" s="45">
        <v>0</v>
      </c>
      <c r="C3" s="98">
        <v>0.95</v>
      </c>
      <c r="D3" s="56">
        <v>12.008526100307062</v>
      </c>
      <c r="E3" s="56" t="s">
        <v>230</v>
      </c>
      <c r="F3" s="98">
        <v>1</v>
      </c>
      <c r="G3" s="98">
        <v>1</v>
      </c>
    </row>
    <row r="4" spans="1:7" ht="15.75" customHeight="1" x14ac:dyDescent="0.25">
      <c r="A4" s="5" t="s">
        <v>199</v>
      </c>
      <c r="B4" s="98">
        <v>0</v>
      </c>
      <c r="C4" s="98">
        <v>0.95</v>
      </c>
      <c r="D4" s="56">
        <v>8.8894216990788131</v>
      </c>
      <c r="E4" s="56" t="s">
        <v>230</v>
      </c>
      <c r="F4" s="98">
        <v>1</v>
      </c>
      <c r="G4" s="98">
        <v>1</v>
      </c>
    </row>
    <row r="5" spans="1:7" ht="15.75" customHeight="1" x14ac:dyDescent="0.25">
      <c r="A5" s="5" t="s">
        <v>200</v>
      </c>
      <c r="B5" s="98">
        <v>0</v>
      </c>
      <c r="C5" s="98">
        <v>0.95</v>
      </c>
      <c r="D5" s="56">
        <v>0.48</v>
      </c>
      <c r="E5" s="56" t="s">
        <v>230</v>
      </c>
      <c r="F5" s="98">
        <v>1</v>
      </c>
      <c r="G5" s="98">
        <v>1</v>
      </c>
    </row>
    <row r="6" spans="1:7" ht="15.75" customHeight="1" x14ac:dyDescent="0.25">
      <c r="A6" s="5" t="s">
        <v>201</v>
      </c>
      <c r="B6" s="98">
        <v>0</v>
      </c>
      <c r="C6" s="98">
        <v>0.95</v>
      </c>
      <c r="D6" s="56">
        <v>99.99</v>
      </c>
      <c r="E6" s="56" t="s">
        <v>230</v>
      </c>
      <c r="F6" s="98">
        <v>1</v>
      </c>
      <c r="G6" s="98">
        <v>1</v>
      </c>
    </row>
    <row r="7" spans="1:7" ht="15.75" customHeight="1" x14ac:dyDescent="0.25">
      <c r="A7" s="5" t="s">
        <v>202</v>
      </c>
      <c r="B7" s="98">
        <v>0</v>
      </c>
      <c r="C7" s="98">
        <v>0.95</v>
      </c>
      <c r="D7" s="56">
        <v>0.19</v>
      </c>
      <c r="E7" s="56" t="s">
        <v>230</v>
      </c>
      <c r="F7" s="98">
        <v>1</v>
      </c>
      <c r="G7" s="98">
        <v>1</v>
      </c>
    </row>
    <row r="8" spans="1:7" ht="15.75" customHeight="1" x14ac:dyDescent="0.25">
      <c r="A8" s="5" t="s">
        <v>203</v>
      </c>
      <c r="B8" s="98">
        <v>0</v>
      </c>
      <c r="C8" s="98">
        <v>0.95</v>
      </c>
      <c r="D8" s="56">
        <v>0.79</v>
      </c>
      <c r="E8" s="56" t="s">
        <v>230</v>
      </c>
      <c r="F8" s="98">
        <v>1</v>
      </c>
      <c r="G8" s="98">
        <v>1</v>
      </c>
    </row>
    <row r="9" spans="1:7" ht="15.75" customHeight="1" x14ac:dyDescent="0.25">
      <c r="A9" s="5" t="s">
        <v>204</v>
      </c>
      <c r="B9" s="98">
        <v>0</v>
      </c>
      <c r="C9" s="98">
        <v>0.95</v>
      </c>
      <c r="D9" s="56">
        <v>0.40262538382804508</v>
      </c>
      <c r="E9" s="56" t="s">
        <v>230</v>
      </c>
      <c r="F9" s="98">
        <v>1</v>
      </c>
      <c r="G9" s="98">
        <v>1</v>
      </c>
    </row>
    <row r="10" spans="1:7" ht="15.75" customHeight="1" x14ac:dyDescent="0.25">
      <c r="A10" s="11" t="s">
        <v>205</v>
      </c>
      <c r="B10" s="45">
        <v>0</v>
      </c>
      <c r="C10" s="98">
        <v>0.95</v>
      </c>
      <c r="D10" s="56">
        <v>13.195738021909881</v>
      </c>
      <c r="E10" s="56" t="s">
        <v>230</v>
      </c>
      <c r="F10" s="98">
        <v>1</v>
      </c>
      <c r="G10" s="98">
        <v>1</v>
      </c>
    </row>
    <row r="11" spans="1:7" ht="15.75" customHeight="1" x14ac:dyDescent="0.25">
      <c r="A11" s="11" t="s">
        <v>206</v>
      </c>
      <c r="B11" s="98">
        <v>0</v>
      </c>
      <c r="C11" s="98">
        <v>0.95</v>
      </c>
      <c r="D11" s="56">
        <v>13.195738021909881</v>
      </c>
      <c r="E11" s="56" t="s">
        <v>230</v>
      </c>
      <c r="F11" s="98">
        <v>1</v>
      </c>
      <c r="G11" s="98">
        <v>1</v>
      </c>
    </row>
    <row r="12" spans="1:7" ht="15.75" customHeight="1" x14ac:dyDescent="0.25">
      <c r="A12" s="11" t="s">
        <v>207</v>
      </c>
      <c r="B12" s="98">
        <v>0</v>
      </c>
      <c r="C12" s="98">
        <v>0.95</v>
      </c>
      <c r="D12" s="56">
        <v>13.195738021909881</v>
      </c>
      <c r="E12" s="56" t="s">
        <v>230</v>
      </c>
      <c r="F12" s="98">
        <v>1</v>
      </c>
      <c r="G12" s="98">
        <v>1</v>
      </c>
    </row>
    <row r="13" spans="1:7" ht="15.75" customHeight="1" x14ac:dyDescent="0.25">
      <c r="A13" s="11" t="s">
        <v>208</v>
      </c>
      <c r="B13" s="98">
        <v>0</v>
      </c>
      <c r="C13" s="98">
        <v>0.95</v>
      </c>
      <c r="D13" s="56">
        <v>13.195738021909881</v>
      </c>
      <c r="E13" s="56" t="s">
        <v>230</v>
      </c>
      <c r="F13" s="98">
        <v>1</v>
      </c>
      <c r="G13" s="98">
        <v>1</v>
      </c>
    </row>
    <row r="14" spans="1:7" ht="15.75" customHeight="1" x14ac:dyDescent="0.25">
      <c r="A14" s="5" t="s">
        <v>209</v>
      </c>
      <c r="B14" s="45">
        <v>0</v>
      </c>
      <c r="C14" s="98">
        <v>0.95</v>
      </c>
      <c r="D14" s="56">
        <v>13.195738021909881</v>
      </c>
      <c r="E14" s="56" t="s">
        <v>230</v>
      </c>
      <c r="F14" s="98">
        <v>1</v>
      </c>
      <c r="G14" s="98">
        <v>1</v>
      </c>
    </row>
    <row r="15" spans="1:7" ht="15.75" customHeight="1" x14ac:dyDescent="0.25">
      <c r="A15" s="5" t="s">
        <v>210</v>
      </c>
      <c r="B15" s="98">
        <v>0</v>
      </c>
      <c r="C15" s="98">
        <v>0.95</v>
      </c>
      <c r="D15" s="56">
        <v>13.195738021909881</v>
      </c>
      <c r="E15" s="56" t="s">
        <v>230</v>
      </c>
      <c r="F15" s="98">
        <v>1</v>
      </c>
      <c r="G15" s="98">
        <v>1</v>
      </c>
    </row>
    <row r="16" spans="1:7" ht="15.75" customHeight="1" x14ac:dyDescent="0.25">
      <c r="A16" s="5" t="s">
        <v>211</v>
      </c>
      <c r="B16" s="45">
        <v>0</v>
      </c>
      <c r="C16" s="98">
        <v>0.95</v>
      </c>
      <c r="D16" s="56">
        <v>2.5</v>
      </c>
      <c r="E16" s="56" t="s">
        <v>230</v>
      </c>
      <c r="F16" s="98">
        <v>1</v>
      </c>
      <c r="G16" s="98">
        <v>1</v>
      </c>
    </row>
    <row r="17" spans="1:7" ht="15.75" customHeight="1" x14ac:dyDescent="0.25">
      <c r="A17" s="5" t="s">
        <v>212</v>
      </c>
      <c r="B17" s="98">
        <v>0</v>
      </c>
      <c r="C17" s="98">
        <v>0.95</v>
      </c>
      <c r="D17" s="56">
        <v>0.14000000000000001</v>
      </c>
      <c r="E17" s="56" t="s">
        <v>230</v>
      </c>
      <c r="F17" s="98">
        <v>1</v>
      </c>
      <c r="G17" s="98">
        <v>1</v>
      </c>
    </row>
    <row r="18" spans="1:7" ht="15.9" customHeight="1" x14ac:dyDescent="0.25">
      <c r="A18" s="5" t="s">
        <v>186</v>
      </c>
      <c r="B18" s="98">
        <v>0.21961839999999999</v>
      </c>
      <c r="C18" s="98">
        <v>0.95</v>
      </c>
      <c r="D18" s="56">
        <v>8.8894216990788131</v>
      </c>
      <c r="E18" s="56" t="s">
        <v>230</v>
      </c>
      <c r="F18" s="98">
        <v>1</v>
      </c>
      <c r="G18" s="98">
        <v>1</v>
      </c>
    </row>
    <row r="19" spans="1:7" ht="15.75" customHeight="1" x14ac:dyDescent="0.25">
      <c r="A19" s="5" t="s">
        <v>187</v>
      </c>
      <c r="B19" s="98">
        <v>0.21961839999999999</v>
      </c>
      <c r="C19" s="98">
        <v>0.95</v>
      </c>
      <c r="D19" s="56">
        <v>12.47074045559749</v>
      </c>
      <c r="E19" s="56" t="s">
        <v>230</v>
      </c>
      <c r="F19" s="98">
        <v>1</v>
      </c>
      <c r="G19" s="98">
        <v>1</v>
      </c>
    </row>
    <row r="20" spans="1:7" ht="15.75" customHeight="1" x14ac:dyDescent="0.25">
      <c r="A20" s="5" t="s">
        <v>188</v>
      </c>
      <c r="B20" s="98">
        <v>0</v>
      </c>
      <c r="C20" s="98">
        <v>0.95</v>
      </c>
      <c r="D20" s="56">
        <v>99.99</v>
      </c>
      <c r="E20" s="56" t="s">
        <v>230</v>
      </c>
      <c r="F20" s="98">
        <v>1</v>
      </c>
      <c r="G20" s="98">
        <v>1</v>
      </c>
    </row>
    <row r="21" spans="1:7" ht="15.75" customHeight="1" x14ac:dyDescent="0.25">
      <c r="A21" s="5" t="s">
        <v>213</v>
      </c>
      <c r="B21" s="45">
        <v>0</v>
      </c>
      <c r="C21" s="98">
        <v>0.95</v>
      </c>
      <c r="D21" s="56">
        <v>7.48</v>
      </c>
      <c r="E21" s="56" t="s">
        <v>230</v>
      </c>
      <c r="F21" s="98">
        <v>1</v>
      </c>
      <c r="G21" s="98">
        <v>1</v>
      </c>
    </row>
    <row r="22" spans="1:7" ht="15.75" customHeight="1" x14ac:dyDescent="0.25">
      <c r="A22" s="5" t="s">
        <v>214</v>
      </c>
      <c r="B22" s="98">
        <v>0</v>
      </c>
      <c r="C22" s="98">
        <v>0.95</v>
      </c>
      <c r="D22" s="56">
        <v>8.8894216990788131</v>
      </c>
      <c r="E22" s="56" t="s">
        <v>230</v>
      </c>
      <c r="F22" s="98">
        <v>1</v>
      </c>
      <c r="G22" s="98">
        <v>1</v>
      </c>
    </row>
    <row r="23" spans="1:7" ht="15.75" customHeight="1" x14ac:dyDescent="0.25">
      <c r="A23" s="5" t="s">
        <v>215</v>
      </c>
      <c r="B23" s="98">
        <v>0</v>
      </c>
      <c r="C23" s="98">
        <v>0.95</v>
      </c>
      <c r="D23" s="56">
        <v>4.3940617735474108</v>
      </c>
      <c r="E23" s="56" t="s">
        <v>230</v>
      </c>
      <c r="F23" s="98">
        <v>1</v>
      </c>
      <c r="G23" s="98">
        <v>1</v>
      </c>
    </row>
    <row r="24" spans="1:7" ht="15.75" customHeight="1" x14ac:dyDescent="0.25">
      <c r="A24" s="5" t="s">
        <v>216</v>
      </c>
      <c r="B24" s="45">
        <v>0.71505740000000007</v>
      </c>
      <c r="C24" s="98">
        <v>0.95</v>
      </c>
      <c r="D24" s="56">
        <v>99.99</v>
      </c>
      <c r="E24" s="56" t="s">
        <v>230</v>
      </c>
      <c r="F24" s="98">
        <v>1</v>
      </c>
      <c r="G24" s="98">
        <v>1</v>
      </c>
    </row>
    <row r="25" spans="1:7" ht="15.75" customHeight="1" x14ac:dyDescent="0.25">
      <c r="A25" s="5" t="s">
        <v>217</v>
      </c>
      <c r="B25" s="98">
        <v>0</v>
      </c>
      <c r="C25" s="98">
        <v>0.95</v>
      </c>
      <c r="D25" s="56">
        <v>99.99</v>
      </c>
      <c r="E25" s="56" t="s">
        <v>230</v>
      </c>
      <c r="F25" s="98">
        <v>1</v>
      </c>
      <c r="G25" s="98">
        <v>1</v>
      </c>
    </row>
    <row r="26" spans="1:7" ht="15.75" customHeight="1" x14ac:dyDescent="0.25">
      <c r="A26" s="5" t="s">
        <v>218</v>
      </c>
      <c r="B26" s="45">
        <v>0</v>
      </c>
      <c r="C26" s="98">
        <v>0.95</v>
      </c>
      <c r="D26" s="56">
        <v>5.1498336745138182</v>
      </c>
      <c r="E26" s="56" t="s">
        <v>230</v>
      </c>
      <c r="F26" s="98">
        <v>1</v>
      </c>
      <c r="G26" s="98">
        <v>1</v>
      </c>
    </row>
    <row r="27" spans="1:7" ht="15.75" customHeight="1" x14ac:dyDescent="0.25">
      <c r="A27" s="5" t="s">
        <v>219</v>
      </c>
      <c r="B27" s="45">
        <v>0</v>
      </c>
      <c r="C27" s="98">
        <v>0.95</v>
      </c>
      <c r="D27" s="56">
        <v>11.470990276356194</v>
      </c>
      <c r="E27" s="56" t="s">
        <v>230</v>
      </c>
      <c r="F27" s="98">
        <v>1</v>
      </c>
      <c r="G27" s="98">
        <v>1</v>
      </c>
    </row>
    <row r="28" spans="1:7" ht="15.75" customHeight="1" x14ac:dyDescent="0.25">
      <c r="A28" s="5" t="s">
        <v>220</v>
      </c>
      <c r="B28" s="45">
        <v>0.35967890000000002</v>
      </c>
      <c r="C28" s="98">
        <v>0.95</v>
      </c>
      <c r="D28" s="56">
        <v>99.99</v>
      </c>
      <c r="E28" s="56" t="s">
        <v>230</v>
      </c>
      <c r="F28" s="98">
        <v>1</v>
      </c>
      <c r="G28" s="98">
        <v>1</v>
      </c>
    </row>
    <row r="29" spans="1:7" ht="15.75" customHeight="1" x14ac:dyDescent="0.25">
      <c r="A29" s="5" t="s">
        <v>221</v>
      </c>
      <c r="B29" s="45">
        <v>0.85884820000000006</v>
      </c>
      <c r="C29" s="98">
        <v>0.95</v>
      </c>
      <c r="D29" s="56">
        <v>132.3139429353005</v>
      </c>
      <c r="E29" s="56" t="s">
        <v>230</v>
      </c>
      <c r="F29" s="98">
        <v>1</v>
      </c>
      <c r="G29" s="98">
        <v>1</v>
      </c>
    </row>
    <row r="30" spans="1:7" ht="15.75" customHeight="1" x14ac:dyDescent="0.25">
      <c r="A30" s="5" t="s">
        <v>234</v>
      </c>
      <c r="B30" s="98">
        <v>0</v>
      </c>
      <c r="C30" s="98">
        <v>0.95</v>
      </c>
      <c r="D30" s="56">
        <v>53.05</v>
      </c>
      <c r="E30" s="56" t="s">
        <v>230</v>
      </c>
      <c r="F30" s="98">
        <v>1</v>
      </c>
      <c r="G30" s="98">
        <v>1</v>
      </c>
    </row>
    <row r="31" spans="1:7" ht="15.75" customHeight="1" x14ac:dyDescent="0.25">
      <c r="A31" s="5" t="s">
        <v>190</v>
      </c>
      <c r="B31" s="45">
        <v>0</v>
      </c>
      <c r="C31" s="98">
        <v>0.95</v>
      </c>
      <c r="D31" s="56">
        <v>170.92419651995908</v>
      </c>
      <c r="E31" s="56" t="s">
        <v>230</v>
      </c>
      <c r="F31" s="98">
        <v>1</v>
      </c>
      <c r="G31" s="98">
        <v>1</v>
      </c>
    </row>
    <row r="32" spans="1:7" ht="15.75" customHeight="1" x14ac:dyDescent="0.25">
      <c r="A32" s="5" t="s">
        <v>222</v>
      </c>
      <c r="B32" s="45">
        <v>0</v>
      </c>
      <c r="C32" s="98">
        <v>0.95</v>
      </c>
      <c r="D32" s="56">
        <v>1.1057036847492325</v>
      </c>
      <c r="E32" s="56" t="s">
        <v>230</v>
      </c>
      <c r="F32" s="98">
        <v>1</v>
      </c>
      <c r="G32" s="98">
        <v>1</v>
      </c>
    </row>
    <row r="33" spans="1:7" ht="15.75" customHeight="1" x14ac:dyDescent="0.25">
      <c r="A33" s="5" t="s">
        <v>223</v>
      </c>
      <c r="B33" s="45">
        <v>0.9813012000000001</v>
      </c>
      <c r="C33" s="98">
        <v>0.95</v>
      </c>
      <c r="D33" s="56">
        <v>99.99</v>
      </c>
      <c r="E33" s="56" t="s">
        <v>230</v>
      </c>
      <c r="F33" s="98">
        <v>1</v>
      </c>
      <c r="G33" s="98">
        <v>1</v>
      </c>
    </row>
    <row r="34" spans="1:7" ht="15.75" customHeight="1" x14ac:dyDescent="0.25">
      <c r="A34" s="5" t="s">
        <v>224</v>
      </c>
      <c r="B34" s="45">
        <v>0.25723400000000002</v>
      </c>
      <c r="C34" s="98">
        <v>0.95</v>
      </c>
      <c r="D34" s="56">
        <v>99.99</v>
      </c>
      <c r="E34" s="56" t="s">
        <v>230</v>
      </c>
      <c r="F34" s="98">
        <v>1</v>
      </c>
      <c r="G34" s="98">
        <v>1</v>
      </c>
    </row>
    <row r="35" spans="1:7" ht="15.75" customHeight="1" x14ac:dyDescent="0.25">
      <c r="A35" s="5" t="s">
        <v>225</v>
      </c>
      <c r="B35" s="98">
        <v>0</v>
      </c>
      <c r="C35" s="98">
        <v>0.95</v>
      </c>
      <c r="D35" s="56">
        <v>99.99</v>
      </c>
      <c r="E35" s="56" t="s">
        <v>230</v>
      </c>
      <c r="F35" s="98">
        <v>1</v>
      </c>
      <c r="G35" s="98">
        <v>1</v>
      </c>
    </row>
    <row r="36" spans="1:7" ht="15.75" customHeight="1" x14ac:dyDescent="0.25">
      <c r="A36" s="5" t="s">
        <v>226</v>
      </c>
      <c r="B36" s="45">
        <v>4.8444399999999999E-2</v>
      </c>
      <c r="C36" s="98">
        <v>0.95</v>
      </c>
      <c r="D36" s="56">
        <v>99.99</v>
      </c>
      <c r="E36" s="56" t="s">
        <v>230</v>
      </c>
      <c r="F36" s="98">
        <v>1</v>
      </c>
      <c r="G36" s="98">
        <v>1</v>
      </c>
    </row>
    <row r="37" spans="1:7" ht="15.75" customHeight="1" x14ac:dyDescent="0.25">
      <c r="A37" s="5" t="s">
        <v>227</v>
      </c>
      <c r="B37" s="45">
        <v>0.94893539999999998</v>
      </c>
      <c r="C37" s="98">
        <v>0.95</v>
      </c>
      <c r="D37" s="56">
        <v>99.99</v>
      </c>
      <c r="E37" s="56" t="s">
        <v>230</v>
      </c>
      <c r="F37" s="98">
        <v>1</v>
      </c>
      <c r="G37" s="98">
        <v>1</v>
      </c>
    </row>
    <row r="38" spans="1:7" ht="15.75" customHeight="1" x14ac:dyDescent="0.25">
      <c r="A38" s="5" t="s">
        <v>228</v>
      </c>
      <c r="B38" s="45">
        <v>0</v>
      </c>
      <c r="C38" s="98">
        <v>0.95</v>
      </c>
      <c r="D38" s="56">
        <v>2.6374181166837261</v>
      </c>
      <c r="E38" s="56" t="s">
        <v>230</v>
      </c>
      <c r="F38" s="98">
        <v>1</v>
      </c>
      <c r="G38" s="98">
        <v>1</v>
      </c>
    </row>
    <row r="39" spans="1:7" ht="15.75" customHeight="1" x14ac:dyDescent="0.25">
      <c r="A39" s="5" t="s">
        <v>229</v>
      </c>
      <c r="B39" s="45">
        <v>0</v>
      </c>
      <c r="C39" s="98">
        <v>0.95</v>
      </c>
      <c r="D39" s="56">
        <v>3.43</v>
      </c>
      <c r="E39" s="56" t="s">
        <v>230</v>
      </c>
      <c r="F39" s="98">
        <v>1</v>
      </c>
      <c r="G39" s="98">
        <v>1</v>
      </c>
    </row>
  </sheetData>
  <sheetProtection algorithmName="SHA-512" hashValue="RwtLfl/fR159kclhkXRxBDBY0y+doeWXly/B82pNkZSTsBJO00NPPKgAVa+xpnjvGzUAfNJ3a2XpBxTvHo6epw==" saltValue="JWZadl056w9ZXsNzR5l3z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189</v>
      </c>
      <c r="B1" s="4" t="s">
        <v>235</v>
      </c>
      <c r="C1" s="4" t="s">
        <v>236</v>
      </c>
    </row>
    <row r="2" spans="1:3" x14ac:dyDescent="0.25">
      <c r="A2" s="57" t="s">
        <v>209</v>
      </c>
      <c r="B2" s="47" t="s">
        <v>219</v>
      </c>
      <c r="C2" s="47"/>
    </row>
    <row r="3" spans="1:3" x14ac:dyDescent="0.25">
      <c r="A3" s="57" t="s">
        <v>210</v>
      </c>
      <c r="B3" s="47" t="s">
        <v>219</v>
      </c>
      <c r="C3" s="47"/>
    </row>
    <row r="4" spans="1:3" x14ac:dyDescent="0.25">
      <c r="A4" s="57" t="s">
        <v>221</v>
      </c>
      <c r="B4" s="47" t="s">
        <v>214</v>
      </c>
      <c r="C4" s="47"/>
    </row>
    <row r="5" spans="1:3" x14ac:dyDescent="0.25">
      <c r="A5" s="57" t="s">
        <v>221</v>
      </c>
      <c r="B5" s="47" t="s">
        <v>234</v>
      </c>
      <c r="C5" s="47"/>
    </row>
    <row r="6" spans="1:3" x14ac:dyDescent="0.25">
      <c r="A6" s="57" t="s">
        <v>218</v>
      </c>
      <c r="B6" s="58" t="s">
        <v>234</v>
      </c>
      <c r="C6" s="58"/>
    </row>
    <row r="7" spans="1:3" x14ac:dyDescent="0.25">
      <c r="A7" s="57" t="s">
        <v>229</v>
      </c>
      <c r="B7" s="58" t="s">
        <v>234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cQyTlda9LZPMi2eA/esHur+n//6mAUJiogvWtagXDK4ss7iZ79wV2fxOQTcMB+rpWq6etri27bj/AWo4GDTJEQ==" saltValue="2wmo3OjMcs4NaK49vqc8n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189</v>
      </c>
    </row>
    <row r="2" spans="1:1" x14ac:dyDescent="0.25">
      <c r="A2" s="33" t="s">
        <v>201</v>
      </c>
    </row>
    <row r="3" spans="1:1" x14ac:dyDescent="0.25">
      <c r="A3" s="33" t="s">
        <v>211</v>
      </c>
    </row>
    <row r="4" spans="1:1" x14ac:dyDescent="0.25">
      <c r="A4" s="33" t="s">
        <v>215</v>
      </c>
    </row>
    <row r="5" spans="1:1" x14ac:dyDescent="0.25">
      <c r="A5" s="33" t="s">
        <v>223</v>
      </c>
    </row>
    <row r="6" spans="1:1" x14ac:dyDescent="0.25">
      <c r="A6" s="33" t="s">
        <v>224</v>
      </c>
    </row>
    <row r="7" spans="1:1" x14ac:dyDescent="0.25">
      <c r="A7" s="33" t="s">
        <v>225</v>
      </c>
    </row>
    <row r="8" spans="1:1" x14ac:dyDescent="0.25">
      <c r="A8" s="33" t="s">
        <v>226</v>
      </c>
    </row>
    <row r="9" spans="1:1" x14ac:dyDescent="0.25">
      <c r="A9" s="33" t="s">
        <v>227</v>
      </c>
    </row>
    <row r="10" spans="1:1" x14ac:dyDescent="0.25">
      <c r="A10" s="33" t="s">
        <v>190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naAUqmmvTt+9EynBpVRR9CBzPfSEc9RzyCcJl8SsoA9bxyZyR9JkfwzLCt+slo0XsdZ0ukQJKgXieSruGs5xTQ==" saltValue="d4KH7FxsiiWv++mb6QYU9A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6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2.8</v>
      </c>
      <c r="C2" s="21">
        <f>'Données pop de l''année de ref'!C52</f>
        <v>2.8</v>
      </c>
      <c r="D2" s="21">
        <f>'Données pop de l''année de ref'!C53</f>
        <v>2.8</v>
      </c>
      <c r="E2" s="21">
        <f>'Données pop de l''année de ref'!C54</f>
        <v>2.8</v>
      </c>
      <c r="F2" s="21">
        <f>'Données pop de l''année de ref'!C55</f>
        <v>2.8</v>
      </c>
    </row>
    <row r="3" spans="1:6" ht="15.75" customHeight="1" x14ac:dyDescent="0.25">
      <c r="A3" s="3" t="s">
        <v>238</v>
      </c>
      <c r="B3" s="21">
        <f>frac_mam_1month * 2.6</f>
        <v>0.17776512</v>
      </c>
      <c r="C3" s="21">
        <f>frac_mam_1_5months * 2.6</f>
        <v>0.17776512</v>
      </c>
      <c r="D3" s="21">
        <f>frac_mam_6_11months * 2.6</f>
        <v>6.6276080000000001E-2</v>
      </c>
      <c r="E3" s="21">
        <f>frac_mam_12_23months * 2.6</f>
        <v>7.6518000000000003E-3</v>
      </c>
      <c r="F3" s="21">
        <f>frac_mam_24_59months * 2.6</f>
        <v>5.2454220000000003E-2</v>
      </c>
    </row>
    <row r="4" spans="1:6" ht="15.75" customHeight="1" x14ac:dyDescent="0.25">
      <c r="A4" s="3" t="s">
        <v>237</v>
      </c>
      <c r="B4" s="21">
        <f>frac_sam_1month * 2.6</f>
        <v>0</v>
      </c>
      <c r="C4" s="21">
        <f>frac_sam_1_5months * 2.6</f>
        <v>0</v>
      </c>
      <c r="D4" s="21">
        <f>frac_sam_6_11months * 2.6</f>
        <v>3.5181120000000003E-2</v>
      </c>
      <c r="E4" s="21">
        <f>frac_sam_12_23months * 2.6</f>
        <v>1.5871960000000001E-2</v>
      </c>
      <c r="F4" s="21">
        <f>frac_sam_24_59months * 2.6</f>
        <v>1.04364E-2</v>
      </c>
    </row>
  </sheetData>
  <sheetProtection algorithmName="SHA-512" hashValue="CBDmAbcKtNvDEYkHzUcsX/CPaxDlI+IVKjcVUDMvBvE5WPG3qTbwqgGEzwnmStHjp+VMl/FzsNIsVPAQqbwioA==" saltValue="G2JrWMNauOvSARoC8w6hXQ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0">
        <v>0</v>
      </c>
      <c r="D2" s="60">
        <v>0</v>
      </c>
      <c r="E2" s="60">
        <f>food_insecure</f>
        <v>5.5E-2</v>
      </c>
      <c r="F2" s="60">
        <f>food_insecure</f>
        <v>5.5E-2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200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214</v>
      </c>
      <c r="C5" s="60">
        <v>0</v>
      </c>
      <c r="D5" s="60">
        <v>0</v>
      </c>
      <c r="E5" s="60">
        <f>food_insecure</f>
        <v>5.5E-2</v>
      </c>
      <c r="F5" s="60">
        <f>food_insecure</f>
        <v>5.5E-2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220</v>
      </c>
      <c r="C7" s="60">
        <f>diarrhoea_1mo*frac_diarrhea_severe</f>
        <v>4.6000000000000006E-2</v>
      </c>
      <c r="D7" s="60">
        <f>diarrhoea_1_5mo*frac_diarrhea_severe</f>
        <v>4.6000000000000006E-2</v>
      </c>
      <c r="E7" s="60">
        <f>diarrhoea_6_11mo*frac_diarrhea_severe</f>
        <v>4.6000000000000006E-2</v>
      </c>
      <c r="F7" s="60">
        <f>diarrhoea_12_23mo*frac_diarrhea_severe</f>
        <v>4.6000000000000006E-2</v>
      </c>
      <c r="G7" s="60">
        <f>diarrhoea_24_59mo*frac_diarrhea_severe</f>
        <v>4.6000000000000006E-2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221</v>
      </c>
      <c r="C8" s="60">
        <v>0</v>
      </c>
      <c r="D8" s="60">
        <v>0</v>
      </c>
      <c r="E8" s="60">
        <f>food_insecure</f>
        <v>5.5E-2</v>
      </c>
      <c r="F8" s="60">
        <f>food_insecure</f>
        <v>5.5E-2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234</v>
      </c>
      <c r="C9" s="60">
        <v>0</v>
      </c>
      <c r="D9" s="60">
        <v>0</v>
      </c>
      <c r="E9" s="60">
        <f>food_insecure</f>
        <v>5.5E-2</v>
      </c>
      <c r="F9" s="60">
        <f>food_insecure</f>
        <v>5.5E-2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222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228</v>
      </c>
      <c r="C12" s="60">
        <f>diarrhoea_1mo*frac_diarrhea_severe</f>
        <v>4.6000000000000006E-2</v>
      </c>
      <c r="D12" s="60">
        <f>diarrhoea_1_5mo*frac_diarrhea_severe</f>
        <v>4.6000000000000006E-2</v>
      </c>
      <c r="E12" s="60">
        <f>diarrhoea_6_11mo*frac_diarrhea_severe</f>
        <v>4.6000000000000006E-2</v>
      </c>
      <c r="F12" s="60">
        <f>diarrhoea_12_23mo*frac_diarrhea_severe</f>
        <v>4.6000000000000006E-2</v>
      </c>
      <c r="G12" s="60">
        <f>diarrhoea_24_59mo*frac_diarrhea_severe</f>
        <v>4.6000000000000006E-2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229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5.5E-2</v>
      </c>
      <c r="I15" s="60">
        <f t="shared" si="0"/>
        <v>5.5E-2</v>
      </c>
      <c r="J15" s="60">
        <f t="shared" si="0"/>
        <v>5.5E-2</v>
      </c>
      <c r="K15" s="60">
        <f t="shared" si="0"/>
        <v>5.5E-2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5.5E-2</v>
      </c>
      <c r="I16" s="60">
        <f t="shared" si="0"/>
        <v>5.5E-2</v>
      </c>
      <c r="J16" s="60">
        <f t="shared" si="0"/>
        <v>5.5E-2</v>
      </c>
      <c r="K16" s="60">
        <f t="shared" si="0"/>
        <v>5.5E-2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210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211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219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11" t="s">
        <v>201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0.74900000000000011</v>
      </c>
      <c r="M24" s="60">
        <f>famplan_unmet_need</f>
        <v>0.74900000000000011</v>
      </c>
      <c r="N24" s="60">
        <f>famplan_unmet_need</f>
        <v>0.74900000000000011</v>
      </c>
      <c r="O24" s="60">
        <f>famplan_unmet_need</f>
        <v>0.74900000000000011</v>
      </c>
    </row>
    <row r="25" spans="1:15" ht="15.75" customHeight="1" x14ac:dyDescent="0.25">
      <c r="B25" s="11" t="s">
        <v>205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3.5469570693969873E-2</v>
      </c>
      <c r="M25" s="60">
        <f>(1-food_insecure)*(0.49)+food_insecure*(0.7)</f>
        <v>0.50154999999999994</v>
      </c>
      <c r="N25" s="60">
        <f>(1-food_insecure)*(0.49)+food_insecure*(0.7)</f>
        <v>0.50154999999999994</v>
      </c>
      <c r="O25" s="60">
        <f>(1-food_insecure)*(0.49)+food_insecure*(0.7)</f>
        <v>0.50154999999999994</v>
      </c>
    </row>
    <row r="26" spans="1:15" ht="15.75" customHeight="1" x14ac:dyDescent="0.25">
      <c r="B26" s="11" t="s">
        <v>206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1.5201244583129945E-2</v>
      </c>
      <c r="M26" s="60">
        <f>(1-food_insecure)*(0.21)+food_insecure*(0.3)</f>
        <v>0.21494999999999997</v>
      </c>
      <c r="N26" s="60">
        <f>(1-food_insecure)*(0.21)+food_insecure*(0.3)</f>
        <v>0.21494999999999997</v>
      </c>
      <c r="O26" s="60">
        <f>(1-food_insecure)*(0.21)+food_insecure*(0.3)</f>
        <v>0.21494999999999997</v>
      </c>
    </row>
    <row r="27" spans="1:15" ht="15.75" customHeight="1" x14ac:dyDescent="0.25">
      <c r="B27" s="11" t="s">
        <v>207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2.0049094390869222E-2</v>
      </c>
      <c r="M27" s="60">
        <f>(1-food_insecure)*(0.3)</f>
        <v>0.28349999999999997</v>
      </c>
      <c r="N27" s="60">
        <f>(1-food_insecure)*(0.3)</f>
        <v>0.28349999999999997</v>
      </c>
      <c r="O27" s="60">
        <f>(1-food_insecure)*(0.3)</f>
        <v>0.28349999999999997</v>
      </c>
    </row>
    <row r="28" spans="1:15" ht="15.75" customHeight="1" x14ac:dyDescent="0.25">
      <c r="B28" s="11" t="s">
        <v>208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0.92928009033203085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203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204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215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223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224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225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226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227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2qq6vBQlt3uZuXqWHUZ9TZVHZecdUD98IZqk3TKeyeWqKX8abH2E3wZ6GUnT3jKreyiqlgZOEBOSBeuiXb9fIg==" saltValue="BSce1G3UC9PTdrsGTIk0/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JXQZdojkFr0P/X7bFifXjw7BxsCdmANcJzqV5JG+NvUhSovqzAGYlkhHEIeCG6YZJAjFovcjIWIrdoI+Ic0DAA==" saltValue="E35zRLbkPnY4nTXdGfX0DA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245</v>
      </c>
      <c r="B1" s="4" t="s">
        <v>244</v>
      </c>
      <c r="C1" s="4" t="s">
        <v>7</v>
      </c>
      <c r="D1" s="4" t="s">
        <v>254</v>
      </c>
      <c r="E1" s="4" t="s">
        <v>255</v>
      </c>
    </row>
    <row r="2" spans="1:5" ht="14" customHeight="1" x14ac:dyDescent="0.3">
      <c r="A2" s="28" t="s">
        <v>246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247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249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8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250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251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252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253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caMUlFBtqKXg3Zz7jm+lQe5fmSWQsC9jXyOaTwZjd5iPGvhHqA3dbswaFLieOCbSPL+syDjljf3hlHihy4SjoQ==" saltValue="VO4oAXXI1ocWA7Sj0Ev6Hw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104</v>
      </c>
      <c r="B2" s="5" t="s">
        <v>199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200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186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187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188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222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229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118</v>
      </c>
      <c r="B18" s="5" t="s">
        <v>197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210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211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219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93</v>
      </c>
      <c r="B27" s="5" t="s">
        <v>201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223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224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225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226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227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rhiFoUutWzUwlo/feL5CVvxHKysKWeAt/bfvmuNATGGiJjGEQoAetyJxea3D7cMGFdsA769wplUd2s1korh2hQ==" saltValue="ec4YZim0nLFql/vybsA4XQ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189</v>
      </c>
      <c r="B1" s="108" t="s">
        <v>256</v>
      </c>
      <c r="C1" s="108" t="s">
        <v>139</v>
      </c>
      <c r="D1" s="108" t="s">
        <v>257</v>
      </c>
      <c r="E1" s="108" t="s">
        <v>258</v>
      </c>
      <c r="F1" s="108" t="s">
        <v>146</v>
      </c>
      <c r="G1" s="108" t="s">
        <v>105</v>
      </c>
      <c r="H1" s="108" t="s">
        <v>61</v>
      </c>
      <c r="I1" s="108" t="s">
        <v>259</v>
      </c>
      <c r="J1" s="108" t="s">
        <v>54</v>
      </c>
      <c r="K1" s="108" t="s">
        <v>86</v>
      </c>
      <c r="L1" s="108" t="s">
        <v>260</v>
      </c>
    </row>
    <row r="2" spans="1:12" x14ac:dyDescent="0.25">
      <c r="A2" s="115" t="s">
        <v>197</v>
      </c>
      <c r="B2" s="116"/>
      <c r="C2" s="116"/>
      <c r="D2" s="116"/>
      <c r="E2" s="116"/>
      <c r="F2" s="116"/>
      <c r="G2" s="116"/>
      <c r="H2" s="116"/>
      <c r="I2" s="116" t="s">
        <v>4</v>
      </c>
      <c r="J2" s="116"/>
      <c r="K2" s="116"/>
      <c r="L2" s="116"/>
    </row>
    <row r="3" spans="1:12" x14ac:dyDescent="0.25">
      <c r="A3" s="115" t="s">
        <v>198</v>
      </c>
      <c r="B3" s="116"/>
      <c r="C3" s="116"/>
      <c r="D3" s="116"/>
      <c r="E3" s="116"/>
      <c r="F3" s="116"/>
      <c r="G3" s="116"/>
      <c r="H3" s="116" t="s">
        <v>4</v>
      </c>
      <c r="I3" s="116" t="s">
        <v>4</v>
      </c>
      <c r="J3" s="116"/>
      <c r="K3" s="116"/>
      <c r="L3" s="116"/>
    </row>
    <row r="4" spans="1:12" x14ac:dyDescent="0.25">
      <c r="A4" s="115" t="s">
        <v>199</v>
      </c>
      <c r="B4" s="116" t="s">
        <v>4</v>
      </c>
      <c r="C4" s="116"/>
      <c r="D4" s="116" t="s">
        <v>4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200</v>
      </c>
      <c r="B5" s="116"/>
      <c r="C5" s="116" t="s">
        <v>4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201</v>
      </c>
      <c r="B6" s="116"/>
      <c r="C6" s="116"/>
      <c r="D6" s="116"/>
      <c r="E6" s="116"/>
      <c r="F6" s="116"/>
      <c r="G6" s="116"/>
      <c r="H6" s="116"/>
      <c r="I6" s="116"/>
      <c r="J6" s="116" t="s">
        <v>4</v>
      </c>
      <c r="K6" s="116" t="s">
        <v>4</v>
      </c>
      <c r="L6" s="116"/>
    </row>
    <row r="7" spans="1:12" x14ac:dyDescent="0.25">
      <c r="A7" s="115" t="s">
        <v>202</v>
      </c>
      <c r="B7" s="116"/>
      <c r="C7" s="116" t="s">
        <v>4</v>
      </c>
      <c r="D7" s="116"/>
      <c r="E7" s="116"/>
      <c r="F7" s="116"/>
      <c r="G7" s="116"/>
      <c r="H7" s="116" t="s">
        <v>4</v>
      </c>
      <c r="I7" s="116"/>
      <c r="J7" s="116"/>
      <c r="K7" s="116"/>
      <c r="L7" s="116"/>
    </row>
    <row r="8" spans="1:12" x14ac:dyDescent="0.25">
      <c r="A8" s="115" t="s">
        <v>203</v>
      </c>
      <c r="B8" s="116"/>
      <c r="C8" s="116" t="s">
        <v>4</v>
      </c>
      <c r="D8" s="116"/>
      <c r="E8" s="116"/>
      <c r="F8" s="116"/>
      <c r="G8" s="116"/>
      <c r="H8" s="116" t="s">
        <v>4</v>
      </c>
      <c r="I8" s="116"/>
      <c r="J8" s="116"/>
      <c r="K8" s="116"/>
      <c r="L8" s="116"/>
    </row>
    <row r="9" spans="1:12" x14ac:dyDescent="0.25">
      <c r="A9" s="115" t="s">
        <v>204</v>
      </c>
      <c r="B9" s="116"/>
      <c r="C9" s="116" t="s">
        <v>4</v>
      </c>
      <c r="D9" s="116"/>
      <c r="E9" s="116"/>
      <c r="F9" s="116"/>
      <c r="G9" s="116"/>
      <c r="H9" s="116" t="s">
        <v>4</v>
      </c>
      <c r="I9" s="116"/>
      <c r="J9" s="116"/>
      <c r="K9" s="116"/>
      <c r="L9" s="116"/>
    </row>
    <row r="10" spans="1:12" x14ac:dyDescent="0.25">
      <c r="A10" s="115" t="s">
        <v>205</v>
      </c>
      <c r="B10" s="116"/>
      <c r="C10" s="116" t="s">
        <v>4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206</v>
      </c>
      <c r="B11" s="116"/>
      <c r="C11" s="116" t="s">
        <v>4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207</v>
      </c>
      <c r="B12" s="116"/>
      <c r="C12" s="116" t="s">
        <v>4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208</v>
      </c>
      <c r="B13" s="116"/>
      <c r="C13" s="116" t="s">
        <v>4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209</v>
      </c>
      <c r="B14" s="116"/>
      <c r="C14" s="116" t="s">
        <v>4</v>
      </c>
      <c r="D14" s="116"/>
      <c r="E14" s="116"/>
      <c r="F14" s="116"/>
      <c r="G14" s="116"/>
      <c r="H14" s="116"/>
      <c r="I14" s="116" t="s">
        <v>4</v>
      </c>
      <c r="J14" s="116"/>
      <c r="K14" s="116"/>
      <c r="L14" s="116"/>
    </row>
    <row r="15" spans="1:12" x14ac:dyDescent="0.25">
      <c r="A15" s="117" t="s">
        <v>210</v>
      </c>
      <c r="B15" s="116"/>
      <c r="C15" s="116" t="s">
        <v>4</v>
      </c>
      <c r="D15" s="116"/>
      <c r="E15" s="116"/>
      <c r="F15" s="116"/>
      <c r="G15" s="116"/>
      <c r="H15" s="116"/>
      <c r="I15" s="116" t="s">
        <v>4</v>
      </c>
      <c r="J15" s="116"/>
      <c r="K15" s="116"/>
      <c r="L15" s="116"/>
    </row>
    <row r="16" spans="1:12" x14ac:dyDescent="0.25">
      <c r="A16" s="115" t="s">
        <v>211</v>
      </c>
      <c r="B16" s="116"/>
      <c r="C16" s="116" t="s">
        <v>4</v>
      </c>
      <c r="D16" s="116"/>
      <c r="E16" s="116"/>
      <c r="F16" s="116"/>
      <c r="G16" s="116"/>
      <c r="H16" s="116" t="s">
        <v>4</v>
      </c>
      <c r="I16" s="116" t="s">
        <v>4</v>
      </c>
      <c r="J16" s="116"/>
      <c r="K16" s="116"/>
      <c r="L16" s="116"/>
    </row>
    <row r="17" spans="1:12" x14ac:dyDescent="0.25">
      <c r="A17" s="115" t="s">
        <v>212</v>
      </c>
      <c r="B17" s="116"/>
      <c r="C17" s="116" t="s">
        <v>4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186</v>
      </c>
      <c r="B18" s="116" t="s">
        <v>4</v>
      </c>
      <c r="C18" s="116"/>
      <c r="D18" s="116"/>
      <c r="E18" s="116"/>
      <c r="F18" s="116" t="s">
        <v>4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187</v>
      </c>
      <c r="B19" s="116" t="s">
        <v>4</v>
      </c>
      <c r="C19" s="116"/>
      <c r="D19" s="116"/>
      <c r="E19" s="116"/>
      <c r="F19" s="116" t="s">
        <v>4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188</v>
      </c>
      <c r="B20" s="116" t="s">
        <v>4</v>
      </c>
      <c r="C20" s="116"/>
      <c r="D20" s="116"/>
      <c r="E20" s="116"/>
      <c r="F20" s="116" t="s">
        <v>4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213</v>
      </c>
      <c r="B21" s="116"/>
      <c r="C21" s="116"/>
      <c r="D21" s="116"/>
      <c r="E21" s="116"/>
      <c r="F21" s="116"/>
      <c r="G21" s="116"/>
      <c r="H21" s="116" t="s">
        <v>4</v>
      </c>
      <c r="I21" s="116" t="s">
        <v>4</v>
      </c>
      <c r="J21" s="116"/>
      <c r="K21" s="116"/>
      <c r="L21" s="116"/>
    </row>
    <row r="22" spans="1:12" x14ac:dyDescent="0.25">
      <c r="A22" s="115" t="s">
        <v>214</v>
      </c>
      <c r="B22" s="116" t="s">
        <v>4</v>
      </c>
      <c r="C22" s="116" t="s">
        <v>4</v>
      </c>
      <c r="D22" s="116" t="s">
        <v>4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215</v>
      </c>
      <c r="B23" s="116"/>
      <c r="C23" s="116" t="s">
        <v>4</v>
      </c>
      <c r="D23" s="116"/>
      <c r="E23" s="116"/>
      <c r="F23" s="116"/>
      <c r="G23" s="116"/>
      <c r="H23" s="116"/>
      <c r="I23" s="116" t="s">
        <v>4</v>
      </c>
      <c r="J23" s="116"/>
      <c r="K23" s="116"/>
      <c r="L23" s="116"/>
    </row>
    <row r="24" spans="1:12" x14ac:dyDescent="0.25">
      <c r="A24" s="115" t="s">
        <v>216</v>
      </c>
      <c r="B24" s="116"/>
      <c r="C24" s="116"/>
      <c r="D24" s="116"/>
      <c r="E24" s="116"/>
      <c r="F24" s="116"/>
      <c r="G24" s="116"/>
      <c r="H24" s="116" t="s">
        <v>4</v>
      </c>
      <c r="I24" s="116"/>
      <c r="J24" s="116"/>
      <c r="K24" s="116"/>
      <c r="L24" s="116"/>
    </row>
    <row r="25" spans="1:12" x14ac:dyDescent="0.25">
      <c r="A25" s="115" t="s">
        <v>217</v>
      </c>
      <c r="B25" s="116"/>
      <c r="C25" s="116"/>
      <c r="D25" s="116"/>
      <c r="E25" s="116"/>
      <c r="F25" s="116"/>
      <c r="G25" s="116"/>
      <c r="H25" s="116" t="s">
        <v>4</v>
      </c>
      <c r="I25" s="116"/>
      <c r="J25" s="116"/>
      <c r="K25" s="116"/>
      <c r="L25" s="116"/>
    </row>
    <row r="26" spans="1:12" x14ac:dyDescent="0.25">
      <c r="A26" s="115" t="s">
        <v>218</v>
      </c>
      <c r="B26" s="116"/>
      <c r="C26" s="116" t="s">
        <v>4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219</v>
      </c>
      <c r="B27" s="116"/>
      <c r="C27" s="116" t="s">
        <v>4</v>
      </c>
      <c r="D27" s="116"/>
      <c r="E27" s="116"/>
      <c r="F27" s="116"/>
      <c r="G27" s="116"/>
      <c r="H27" s="116"/>
      <c r="I27" s="116" t="s">
        <v>4</v>
      </c>
      <c r="J27" s="116"/>
      <c r="K27" s="116"/>
      <c r="L27" s="116" t="s">
        <v>4</v>
      </c>
    </row>
    <row r="28" spans="1:12" x14ac:dyDescent="0.25">
      <c r="A28" s="115" t="s">
        <v>220</v>
      </c>
      <c r="B28" s="116"/>
      <c r="C28" s="116"/>
      <c r="D28" s="116"/>
      <c r="E28" s="116"/>
      <c r="F28" s="116"/>
      <c r="G28" s="116"/>
      <c r="H28" s="116" t="s">
        <v>4</v>
      </c>
      <c r="I28" s="116"/>
      <c r="J28" s="116"/>
      <c r="K28" s="116"/>
      <c r="L28" s="116"/>
    </row>
    <row r="29" spans="1:12" x14ac:dyDescent="0.25">
      <c r="A29" s="115" t="s">
        <v>221</v>
      </c>
      <c r="B29" s="116" t="s">
        <v>4</v>
      </c>
      <c r="C29" s="116"/>
      <c r="D29" s="116" t="s">
        <v>4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234</v>
      </c>
      <c r="B30" s="116" t="s">
        <v>4</v>
      </c>
      <c r="C30" s="116" t="s">
        <v>4</v>
      </c>
      <c r="D30" s="116" t="s">
        <v>4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190</v>
      </c>
      <c r="B31" s="116"/>
      <c r="C31" s="116"/>
      <c r="D31" s="116"/>
      <c r="E31" s="116" t="s">
        <v>4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222</v>
      </c>
      <c r="B32" s="116"/>
      <c r="C32" s="116"/>
      <c r="D32" s="116"/>
      <c r="E32" s="116"/>
      <c r="F32" s="116"/>
      <c r="G32" s="116" t="s">
        <v>4</v>
      </c>
      <c r="H32" s="116" t="s">
        <v>4</v>
      </c>
      <c r="I32" s="116"/>
      <c r="J32" s="116"/>
      <c r="K32" s="116"/>
      <c r="L32" s="116"/>
    </row>
    <row r="33" spans="1:12" x14ac:dyDescent="0.25">
      <c r="A33" s="115" t="s">
        <v>223</v>
      </c>
      <c r="B33" s="116"/>
      <c r="C33" s="116"/>
      <c r="D33" s="116"/>
      <c r="E33" s="116"/>
      <c r="F33" s="116"/>
      <c r="G33" s="116" t="s">
        <v>4</v>
      </c>
      <c r="H33" s="116" t="s">
        <v>4</v>
      </c>
      <c r="I33" s="116"/>
      <c r="J33" s="116"/>
      <c r="K33" s="116"/>
      <c r="L33" s="116"/>
    </row>
    <row r="34" spans="1:12" x14ac:dyDescent="0.25">
      <c r="A34" s="115" t="s">
        <v>224</v>
      </c>
      <c r="B34" s="116"/>
      <c r="C34" s="116"/>
      <c r="D34" s="116"/>
      <c r="E34" s="116"/>
      <c r="F34" s="116"/>
      <c r="G34" s="116" t="s">
        <v>4</v>
      </c>
      <c r="H34" s="116" t="s">
        <v>4</v>
      </c>
      <c r="I34" s="116"/>
      <c r="J34" s="116"/>
      <c r="K34" s="116"/>
      <c r="L34" s="116"/>
    </row>
    <row r="35" spans="1:12" x14ac:dyDescent="0.25">
      <c r="A35" s="115" t="s">
        <v>225</v>
      </c>
      <c r="B35" s="116"/>
      <c r="C35" s="116"/>
      <c r="D35" s="116"/>
      <c r="E35" s="116"/>
      <c r="F35" s="116"/>
      <c r="G35" s="116" t="s">
        <v>4</v>
      </c>
      <c r="H35" s="116" t="s">
        <v>4</v>
      </c>
      <c r="I35" s="116"/>
      <c r="J35" s="116"/>
      <c r="K35" s="116"/>
      <c r="L35" s="116"/>
    </row>
    <row r="36" spans="1:12" x14ac:dyDescent="0.25">
      <c r="A36" s="115" t="s">
        <v>226</v>
      </c>
      <c r="B36" s="116"/>
      <c r="C36" s="116"/>
      <c r="D36" s="116"/>
      <c r="E36" s="116"/>
      <c r="F36" s="116"/>
      <c r="G36" s="116" t="s">
        <v>4</v>
      </c>
      <c r="H36" s="116" t="s">
        <v>4</v>
      </c>
      <c r="I36" s="116"/>
      <c r="J36" s="116"/>
      <c r="K36" s="116"/>
      <c r="L36" s="116"/>
    </row>
    <row r="37" spans="1:12" x14ac:dyDescent="0.25">
      <c r="A37" s="115" t="s">
        <v>227</v>
      </c>
      <c r="B37" s="116"/>
      <c r="C37" s="116"/>
      <c r="D37" s="116"/>
      <c r="E37" s="116"/>
      <c r="F37" s="116"/>
      <c r="G37" s="116" t="s">
        <v>4</v>
      </c>
      <c r="H37" s="116" t="s">
        <v>4</v>
      </c>
      <c r="I37" s="116"/>
      <c r="J37" s="116"/>
      <c r="K37" s="116"/>
      <c r="L37" s="116"/>
    </row>
    <row r="38" spans="1:12" x14ac:dyDescent="0.25">
      <c r="A38" s="115" t="s">
        <v>228</v>
      </c>
      <c r="B38" s="116"/>
      <c r="C38" s="116"/>
      <c r="D38" s="116"/>
      <c r="E38" s="116"/>
      <c r="F38" s="116"/>
      <c r="G38" s="116"/>
      <c r="H38" s="116" t="s">
        <v>4</v>
      </c>
      <c r="I38" s="116"/>
      <c r="J38" s="116"/>
      <c r="K38" s="116"/>
      <c r="L38" s="116"/>
    </row>
    <row r="39" spans="1:12" x14ac:dyDescent="0.25">
      <c r="A39" s="115" t="s">
        <v>229</v>
      </c>
      <c r="B39" s="116" t="s">
        <v>4</v>
      </c>
      <c r="C39" s="116"/>
      <c r="D39" s="116"/>
      <c r="E39" s="116"/>
      <c r="F39" s="116"/>
      <c r="G39" s="116" t="s">
        <v>4</v>
      </c>
      <c r="H39" s="116" t="s">
        <v>4</v>
      </c>
      <c r="I39" s="116"/>
      <c r="J39" s="116"/>
      <c r="K39" s="116"/>
      <c r="L39" s="116"/>
    </row>
  </sheetData>
  <sheetProtection algorithmName="SHA-512" hashValue="EuGG3FnIZgUIm9UTDJudvZ1ighM7z4rT41QLqcis3gMFANKrdjglZIobibvhjqc4q1iiixTazi2p+4SUtnu5ig==" saltValue="TSfEyjlcbk021ALwMV4tmA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261</v>
      </c>
      <c r="B1" s="108" t="s">
        <v>256</v>
      </c>
      <c r="C1" s="108" t="s">
        <v>139</v>
      </c>
      <c r="D1" s="108" t="s">
        <v>257</v>
      </c>
      <c r="E1" s="108" t="s">
        <v>258</v>
      </c>
      <c r="F1" s="108" t="s">
        <v>146</v>
      </c>
      <c r="G1" s="108" t="s">
        <v>105</v>
      </c>
      <c r="H1" s="108" t="s">
        <v>61</v>
      </c>
      <c r="I1" s="108" t="s">
        <v>259</v>
      </c>
      <c r="J1" s="108" t="s">
        <v>54</v>
      </c>
      <c r="K1" s="108" t="s">
        <v>86</v>
      </c>
      <c r="L1" s="108" t="s">
        <v>260</v>
      </c>
    </row>
    <row r="2" spans="1:12" x14ac:dyDescent="0.25">
      <c r="A2" s="108" t="s">
        <v>127</v>
      </c>
      <c r="B2" s="116" t="s">
        <v>4</v>
      </c>
      <c r="C2" s="116" t="s">
        <v>4</v>
      </c>
      <c r="D2" s="116" t="s">
        <v>4</v>
      </c>
      <c r="E2" s="116" t="s">
        <v>4</v>
      </c>
      <c r="F2" s="116" t="s">
        <v>4</v>
      </c>
      <c r="G2" s="116" t="s">
        <v>4</v>
      </c>
      <c r="H2" s="116" t="s">
        <v>4</v>
      </c>
      <c r="I2" s="116"/>
      <c r="J2" s="116"/>
      <c r="K2" s="116"/>
      <c r="L2" s="116"/>
    </row>
    <row r="3" spans="1:12" x14ac:dyDescent="0.25">
      <c r="A3" s="108" t="s">
        <v>114</v>
      </c>
      <c r="B3" s="116" t="s">
        <v>4</v>
      </c>
      <c r="C3" s="116" t="s">
        <v>4</v>
      </c>
      <c r="D3" s="116" t="s">
        <v>4</v>
      </c>
      <c r="E3" s="116" t="s">
        <v>4</v>
      </c>
      <c r="F3" s="116" t="s">
        <v>4</v>
      </c>
      <c r="G3" s="116" t="s">
        <v>4</v>
      </c>
      <c r="H3" s="116" t="s">
        <v>4</v>
      </c>
      <c r="I3" s="116"/>
      <c r="J3" s="116"/>
      <c r="K3" s="116"/>
      <c r="L3" s="116"/>
    </row>
    <row r="4" spans="1:12" x14ac:dyDescent="0.25">
      <c r="A4" s="108" t="s">
        <v>115</v>
      </c>
      <c r="B4" s="116" t="s">
        <v>4</v>
      </c>
      <c r="C4" s="116" t="s">
        <v>4</v>
      </c>
      <c r="D4" s="116" t="s">
        <v>4</v>
      </c>
      <c r="E4" s="116" t="s">
        <v>4</v>
      </c>
      <c r="F4" s="116" t="s">
        <v>4</v>
      </c>
      <c r="G4" s="116" t="s">
        <v>4</v>
      </c>
      <c r="H4" s="116" t="s">
        <v>4</v>
      </c>
      <c r="I4" s="116"/>
      <c r="J4" s="116"/>
      <c r="K4" s="116"/>
      <c r="L4" s="116"/>
    </row>
    <row r="5" spans="1:12" x14ac:dyDescent="0.25">
      <c r="A5" s="108" t="s">
        <v>116</v>
      </c>
      <c r="B5" s="116" t="s">
        <v>4</v>
      </c>
      <c r="C5" s="116" t="s">
        <v>4</v>
      </c>
      <c r="D5" s="116" t="s">
        <v>4</v>
      </c>
      <c r="E5" s="116" t="s">
        <v>4</v>
      </c>
      <c r="F5" s="116" t="s">
        <v>4</v>
      </c>
      <c r="G5" s="116" t="s">
        <v>4</v>
      </c>
      <c r="H5" s="116" t="s">
        <v>4</v>
      </c>
      <c r="I5" s="116"/>
      <c r="J5" s="116"/>
      <c r="K5" s="116"/>
      <c r="L5" s="116"/>
    </row>
    <row r="6" spans="1:12" x14ac:dyDescent="0.25">
      <c r="A6" s="108" t="s">
        <v>117</v>
      </c>
      <c r="B6" s="116" t="s">
        <v>4</v>
      </c>
      <c r="C6" s="116" t="s">
        <v>4</v>
      </c>
      <c r="D6" s="116" t="s">
        <v>4</v>
      </c>
      <c r="E6" s="116" t="s">
        <v>4</v>
      </c>
      <c r="F6" s="116" t="s">
        <v>4</v>
      </c>
      <c r="G6" s="116" t="s">
        <v>4</v>
      </c>
      <c r="H6" s="116" t="s">
        <v>4</v>
      </c>
      <c r="I6" s="116"/>
      <c r="J6" s="116"/>
      <c r="K6" s="116"/>
      <c r="L6" s="116"/>
    </row>
    <row r="7" spans="1:12" x14ac:dyDescent="0.25">
      <c r="A7" s="108" t="s">
        <v>140</v>
      </c>
      <c r="B7" s="116"/>
      <c r="C7" s="116" t="s">
        <v>4</v>
      </c>
      <c r="D7" s="116"/>
      <c r="E7" s="116"/>
      <c r="F7" s="116"/>
      <c r="G7" s="116"/>
      <c r="H7" s="116" t="s">
        <v>4</v>
      </c>
      <c r="I7" s="116" t="s">
        <v>4</v>
      </c>
      <c r="J7" s="116"/>
      <c r="K7" s="116"/>
      <c r="L7" s="116" t="s">
        <v>4</v>
      </c>
    </row>
    <row r="8" spans="1:12" x14ac:dyDescent="0.25">
      <c r="A8" s="108" t="s">
        <v>141</v>
      </c>
      <c r="B8" s="116"/>
      <c r="C8" s="116" t="s">
        <v>4</v>
      </c>
      <c r="D8" s="116"/>
      <c r="E8" s="116"/>
      <c r="F8" s="116"/>
      <c r="G8" s="116"/>
      <c r="H8" s="116" t="s">
        <v>4</v>
      </c>
      <c r="I8" s="116" t="s">
        <v>4</v>
      </c>
      <c r="J8" s="116"/>
      <c r="K8" s="116"/>
      <c r="L8" s="116" t="s">
        <v>4</v>
      </c>
    </row>
    <row r="9" spans="1:12" x14ac:dyDescent="0.25">
      <c r="A9" s="108" t="s">
        <v>142</v>
      </c>
      <c r="B9" s="116"/>
      <c r="C9" s="116" t="s">
        <v>4</v>
      </c>
      <c r="D9" s="116"/>
      <c r="E9" s="116"/>
      <c r="F9" s="116"/>
      <c r="G9" s="116"/>
      <c r="H9" s="116" t="s">
        <v>4</v>
      </c>
      <c r="I9" s="116" t="s">
        <v>4</v>
      </c>
      <c r="J9" s="116"/>
      <c r="K9" s="116"/>
      <c r="L9" s="116" t="s">
        <v>4</v>
      </c>
    </row>
    <row r="10" spans="1:12" x14ac:dyDescent="0.25">
      <c r="A10" s="108" t="s">
        <v>143</v>
      </c>
      <c r="B10" s="116"/>
      <c r="C10" s="116" t="s">
        <v>4</v>
      </c>
      <c r="D10" s="116"/>
      <c r="E10" s="116"/>
      <c r="F10" s="116"/>
      <c r="G10" s="116"/>
      <c r="H10" s="116" t="s">
        <v>4</v>
      </c>
      <c r="I10" s="116" t="s">
        <v>4</v>
      </c>
      <c r="J10" s="116"/>
      <c r="K10" s="116"/>
      <c r="L10" s="116" t="s">
        <v>4</v>
      </c>
    </row>
    <row r="11" spans="1:12" x14ac:dyDescent="0.25">
      <c r="A11" s="108" t="s">
        <v>87</v>
      </c>
      <c r="B11" s="116"/>
      <c r="C11" s="116" t="s">
        <v>4</v>
      </c>
      <c r="D11" s="116"/>
      <c r="E11" s="116"/>
      <c r="F11" s="116"/>
      <c r="G11" s="116"/>
      <c r="H11" s="116"/>
      <c r="I11" s="116"/>
      <c r="J11" s="116" t="s">
        <v>4</v>
      </c>
      <c r="K11" s="116" t="s">
        <v>4</v>
      </c>
      <c r="L11" s="116"/>
    </row>
    <row r="12" spans="1:12" x14ac:dyDescent="0.25">
      <c r="A12" s="108" t="s">
        <v>88</v>
      </c>
      <c r="B12" s="116"/>
      <c r="C12" s="116" t="s">
        <v>4</v>
      </c>
      <c r="D12" s="116"/>
      <c r="E12" s="116"/>
      <c r="F12" s="116"/>
      <c r="G12" s="116"/>
      <c r="H12" s="116"/>
      <c r="I12" s="116"/>
      <c r="J12" s="116"/>
      <c r="K12" s="116" t="s">
        <v>4</v>
      </c>
      <c r="L12" s="116"/>
    </row>
    <row r="13" spans="1:12" x14ac:dyDescent="0.25">
      <c r="A13" s="108" t="s">
        <v>89</v>
      </c>
      <c r="B13" s="116"/>
      <c r="C13" s="116" t="s">
        <v>4</v>
      </c>
      <c r="D13" s="116"/>
      <c r="E13" s="116"/>
      <c r="F13" s="116"/>
      <c r="G13" s="116"/>
      <c r="H13" s="116"/>
      <c r="I13" s="116"/>
      <c r="J13" s="116"/>
      <c r="K13" s="116" t="s">
        <v>4</v>
      </c>
      <c r="L13" s="116"/>
    </row>
    <row r="14" spans="1:12" x14ac:dyDescent="0.25">
      <c r="A14" s="108" t="s">
        <v>90</v>
      </c>
      <c r="B14" s="116"/>
      <c r="C14" s="116" t="s">
        <v>4</v>
      </c>
      <c r="D14" s="116"/>
      <c r="E14" s="116"/>
      <c r="F14" s="116"/>
      <c r="G14" s="116"/>
      <c r="H14" s="116"/>
      <c r="I14" s="116"/>
      <c r="J14" s="116"/>
      <c r="K14" s="116" t="s">
        <v>4</v>
      </c>
      <c r="L14" s="116"/>
    </row>
  </sheetData>
  <sheetProtection algorithmName="SHA-512" hashValue="4rEktyE0SRcS7n1VPZPEJd7UdpgD0ESE1fWTmGZ4oByGc0XVu3qxpCL3OvQUd/kVwuGDTUp+pV03y04aXA8HtA==" saltValue="m6z4AwjXW3gSworKtw5h7Q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262</v>
      </c>
      <c r="B1" s="4" t="s">
        <v>181</v>
      </c>
      <c r="C1" s="4" t="s">
        <v>193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10" ht="13" x14ac:dyDescent="0.3">
      <c r="A2" s="4" t="s">
        <v>263</v>
      </c>
      <c r="B2" s="125" t="s">
        <v>118</v>
      </c>
      <c r="C2" s="8" t="s">
        <v>182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183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127</v>
      </c>
      <c r="C5" s="8" t="s">
        <v>182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183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114</v>
      </c>
      <c r="C8" s="8" t="s">
        <v>182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183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115</v>
      </c>
      <c r="C11" s="8" t="s">
        <v>182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183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116</v>
      </c>
      <c r="C14" s="8" t="s">
        <v>182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183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185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264</v>
      </c>
      <c r="B19" s="125" t="s">
        <v>118</v>
      </c>
      <c r="C19" s="8" t="s">
        <v>182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183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127</v>
      </c>
      <c r="C22" s="8" t="s">
        <v>182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183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114</v>
      </c>
      <c r="C25" s="8" t="s">
        <v>182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183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115</v>
      </c>
      <c r="C28" s="8" t="s">
        <v>182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183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116</v>
      </c>
      <c r="C31" s="8" t="s">
        <v>182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183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185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265</v>
      </c>
      <c r="B36" s="125" t="s">
        <v>118</v>
      </c>
      <c r="C36" s="8" t="s">
        <v>182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183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127</v>
      </c>
      <c r="C39" s="8" t="s">
        <v>182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183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114</v>
      </c>
      <c r="C42" s="8" t="s">
        <v>182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183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115</v>
      </c>
      <c r="C45" s="8" t="s">
        <v>182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183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116</v>
      </c>
      <c r="C48" s="8" t="s">
        <v>182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183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185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262</v>
      </c>
      <c r="B54" s="4" t="s">
        <v>181</v>
      </c>
      <c r="C54" s="4" t="s">
        <v>193</v>
      </c>
      <c r="D54" s="4" t="s">
        <v>127</v>
      </c>
      <c r="E54" s="4" t="s">
        <v>114</v>
      </c>
      <c r="F54" s="4" t="s">
        <v>115</v>
      </c>
      <c r="G54" s="4" t="s">
        <v>116</v>
      </c>
      <c r="H54" s="4" t="s">
        <v>117</v>
      </c>
    </row>
    <row r="55" spans="1:8" ht="13" x14ac:dyDescent="0.3">
      <c r="A55" s="4" t="s">
        <v>267</v>
      </c>
      <c r="B55" s="125" t="s">
        <v>118</v>
      </c>
      <c r="C55" s="8" t="s">
        <v>182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183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127</v>
      </c>
      <c r="C58" s="8" t="s">
        <v>182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183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114</v>
      </c>
      <c r="C61" s="8" t="s">
        <v>182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183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115</v>
      </c>
      <c r="C64" s="8" t="s">
        <v>182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183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116</v>
      </c>
      <c r="C67" s="8" t="s">
        <v>182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183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185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268</v>
      </c>
      <c r="B72" s="125" t="s">
        <v>118</v>
      </c>
      <c r="C72" s="8" t="s">
        <v>182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183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127</v>
      </c>
      <c r="C75" s="8" t="s">
        <v>182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183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114</v>
      </c>
      <c r="C78" s="8" t="s">
        <v>182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183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115</v>
      </c>
      <c r="C81" s="8" t="s">
        <v>182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183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116</v>
      </c>
      <c r="C84" s="8" t="s">
        <v>182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183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185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269</v>
      </c>
      <c r="B89" s="125" t="s">
        <v>118</v>
      </c>
      <c r="C89" s="8" t="s">
        <v>182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183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127</v>
      </c>
      <c r="C92" s="8" t="s">
        <v>182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183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114</v>
      </c>
      <c r="C95" s="8" t="s">
        <v>182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183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115</v>
      </c>
      <c r="C98" s="8" t="s">
        <v>182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183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116</v>
      </c>
      <c r="C101" s="8" t="s">
        <v>182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183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185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270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262</v>
      </c>
      <c r="B107" s="4" t="s">
        <v>181</v>
      </c>
      <c r="C107" s="4" t="s">
        <v>193</v>
      </c>
      <c r="D107" s="4" t="s">
        <v>127</v>
      </c>
      <c r="E107" s="4" t="s">
        <v>114</v>
      </c>
      <c r="F107" s="4" t="s">
        <v>115</v>
      </c>
      <c r="G107" s="4" t="s">
        <v>116</v>
      </c>
      <c r="H107" s="4" t="s">
        <v>117</v>
      </c>
    </row>
    <row r="108" spans="1:8" ht="13" x14ac:dyDescent="0.3">
      <c r="A108" s="4" t="s">
        <v>271</v>
      </c>
      <c r="B108" s="125" t="s">
        <v>118</v>
      </c>
      <c r="C108" s="8" t="s">
        <v>182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183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127</v>
      </c>
      <c r="C111" s="8" t="s">
        <v>182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183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114</v>
      </c>
      <c r="C114" s="8" t="s">
        <v>182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183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115</v>
      </c>
      <c r="C117" s="8" t="s">
        <v>182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183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116</v>
      </c>
      <c r="C120" s="8" t="s">
        <v>182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183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185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272</v>
      </c>
      <c r="B125" s="125" t="s">
        <v>118</v>
      </c>
      <c r="C125" s="8" t="s">
        <v>182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183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127</v>
      </c>
      <c r="C128" s="8" t="s">
        <v>182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183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114</v>
      </c>
      <c r="C131" s="8" t="s">
        <v>182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183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115</v>
      </c>
      <c r="C134" s="8" t="s">
        <v>182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183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116</v>
      </c>
      <c r="C137" s="8" t="s">
        <v>182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183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185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273</v>
      </c>
      <c r="B142" s="125" t="s">
        <v>118</v>
      </c>
      <c r="C142" s="8" t="s">
        <v>182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183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127</v>
      </c>
      <c r="C145" s="8" t="s">
        <v>182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183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114</v>
      </c>
      <c r="C148" s="8" t="s">
        <v>182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183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115</v>
      </c>
      <c r="C151" s="8" t="s">
        <v>182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183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116</v>
      </c>
      <c r="C154" s="8" t="s">
        <v>182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183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185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R4W15K8GHhIQksQUDt3Vjia+Tmm70U6vby9xa/E+yAZCiPDLt9oC6hXjh8Ec7ldKV4X3OhDpcrlwULBVPhCvkQ==" saltValue="28Iubx2imngKeXZ9xrKlEg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264</v>
      </c>
    </row>
    <row r="2" spans="1:7" ht="14.25" customHeight="1" x14ac:dyDescent="0.3">
      <c r="A2" s="122" t="s">
        <v>6</v>
      </c>
      <c r="B2" s="107"/>
      <c r="C2" s="105" t="s">
        <v>127</v>
      </c>
      <c r="D2" s="105" t="s">
        <v>114</v>
      </c>
      <c r="E2" s="105" t="s">
        <v>115</v>
      </c>
      <c r="F2" s="105" t="s">
        <v>116</v>
      </c>
      <c r="G2" s="105" t="s">
        <v>117</v>
      </c>
    </row>
    <row r="3" spans="1:7" ht="14.25" customHeight="1" x14ac:dyDescent="0.25">
      <c r="B3" s="117" t="s">
        <v>274</v>
      </c>
      <c r="C3" s="118" t="s">
        <v>10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275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276</v>
      </c>
    </row>
    <row r="6" spans="1:7" ht="14.25" customHeight="1" x14ac:dyDescent="0.25">
      <c r="B6" s="117" t="s">
        <v>221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214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199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234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229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280</v>
      </c>
    </row>
    <row r="13" spans="1:7" ht="14.25" customHeight="1" x14ac:dyDescent="0.3">
      <c r="A13" s="123"/>
      <c r="B13" s="117" t="s">
        <v>213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277</v>
      </c>
    </row>
    <row r="16" spans="1:7" ht="14.25" customHeight="1" x14ac:dyDescent="0.3">
      <c r="A16" s="122" t="s">
        <v>283</v>
      </c>
      <c r="B16" s="117" t="s">
        <v>278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281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139</v>
      </c>
      <c r="B18" s="117" t="s">
        <v>279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282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201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264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6</v>
      </c>
      <c r="B26" s="107"/>
      <c r="C26" s="105" t="s">
        <v>127</v>
      </c>
      <c r="D26" s="105" t="s">
        <v>114</v>
      </c>
      <c r="E26" s="105" t="s">
        <v>115</v>
      </c>
      <c r="F26" s="105" t="s">
        <v>116</v>
      </c>
      <c r="G26" s="105" t="s">
        <v>117</v>
      </c>
    </row>
    <row r="27" spans="1:7" x14ac:dyDescent="0.25">
      <c r="B27" s="117" t="s">
        <v>284</v>
      </c>
      <c r="C27" s="118" t="s">
        <v>10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285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286</v>
      </c>
    </row>
    <row r="30" spans="1:7" x14ac:dyDescent="0.25">
      <c r="B30" s="117" t="s">
        <v>287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288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29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310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289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290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291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277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283</v>
      </c>
      <c r="B40" s="117" t="s">
        <v>292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293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139</v>
      </c>
      <c r="B42" s="117" t="s">
        <v>294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295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296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270</v>
      </c>
    </row>
    <row r="49" spans="1:7" ht="13" x14ac:dyDescent="0.3">
      <c r="A49" s="120" t="s">
        <v>264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6</v>
      </c>
      <c r="B50" s="107"/>
      <c r="C50" s="105" t="s">
        <v>127</v>
      </c>
      <c r="D50" s="105" t="s">
        <v>114</v>
      </c>
      <c r="E50" s="105" t="s">
        <v>115</v>
      </c>
      <c r="F50" s="105" t="s">
        <v>116</v>
      </c>
      <c r="G50" s="105" t="s">
        <v>117</v>
      </c>
    </row>
    <row r="51" spans="1:7" x14ac:dyDescent="0.25">
      <c r="B51" s="117" t="s">
        <v>297</v>
      </c>
      <c r="C51" s="118" t="s">
        <v>10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298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299</v>
      </c>
    </row>
    <row r="54" spans="1:7" x14ac:dyDescent="0.25">
      <c r="B54" s="117" t="s">
        <v>300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301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30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311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302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304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277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283</v>
      </c>
      <c r="B64" s="117" t="s">
        <v>305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306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139</v>
      </c>
      <c r="B66" s="117" t="s">
        <v>307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308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309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P+WqgVM+F6zQD9V9NI4/gDRys2w7NTWz/GkiTl2Pa9pPTYhzjnAr9MUH4dAW/R+8x4lbBjZ52tf8H9Llj/tTag==" saltValue="9gukeLOw8RNUNQilk3GgV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189</v>
      </c>
      <c r="B1" s="105"/>
      <c r="C1" s="105" t="s">
        <v>69</v>
      </c>
      <c r="D1" s="105" t="s">
        <v>71</v>
      </c>
      <c r="E1" s="105" t="s">
        <v>70</v>
      </c>
      <c r="F1" s="107" t="s">
        <v>72</v>
      </c>
    </row>
    <row r="2" spans="1:6" ht="15.75" customHeight="1" x14ac:dyDescent="0.25">
      <c r="A2" s="117" t="s">
        <v>197</v>
      </c>
      <c r="B2" s="117" t="s">
        <v>312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313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198</v>
      </c>
      <c r="B4" s="117" t="s">
        <v>312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313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209</v>
      </c>
      <c r="B6" s="117" t="s">
        <v>312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313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210</v>
      </c>
      <c r="B8" s="117" t="s">
        <v>312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313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211</v>
      </c>
      <c r="B10" s="117" t="s">
        <v>312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313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215</v>
      </c>
      <c r="B12" s="117" t="s">
        <v>312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313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219</v>
      </c>
      <c r="B14" s="117" t="s">
        <v>312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313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189</v>
      </c>
      <c r="B18" s="105"/>
      <c r="C18" s="105" t="s">
        <v>69</v>
      </c>
      <c r="D18" s="105" t="s">
        <v>71</v>
      </c>
      <c r="E18" s="105" t="s">
        <v>70</v>
      </c>
      <c r="F18" s="107" t="s">
        <v>72</v>
      </c>
    </row>
    <row r="19" spans="1:6" ht="15.75" customHeight="1" x14ac:dyDescent="0.25">
      <c r="A19" s="117" t="s">
        <v>197</v>
      </c>
      <c r="B19" s="117" t="s">
        <v>312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313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198</v>
      </c>
      <c r="B21" s="117" t="s">
        <v>312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313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209</v>
      </c>
      <c r="B23" s="117" t="s">
        <v>312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313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210</v>
      </c>
      <c r="B25" s="117" t="s">
        <v>312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313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211</v>
      </c>
      <c r="B27" s="117" t="s">
        <v>312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313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215</v>
      </c>
      <c r="B29" s="117" t="s">
        <v>312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313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219</v>
      </c>
      <c r="B31" s="117" t="s">
        <v>312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313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270</v>
      </c>
    </row>
    <row r="35" spans="1:6" ht="15.75" customHeight="1" x14ac:dyDescent="0.3">
      <c r="A35" s="107" t="s">
        <v>189</v>
      </c>
      <c r="B35" s="105"/>
      <c r="C35" s="105" t="s">
        <v>69</v>
      </c>
      <c r="D35" s="105" t="s">
        <v>71</v>
      </c>
      <c r="E35" s="105" t="s">
        <v>70</v>
      </c>
      <c r="F35" s="107" t="s">
        <v>72</v>
      </c>
    </row>
    <row r="36" spans="1:6" ht="15.75" customHeight="1" x14ac:dyDescent="0.25">
      <c r="A36" s="117" t="s">
        <v>197</v>
      </c>
      <c r="B36" s="117" t="s">
        <v>312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313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198</v>
      </c>
      <c r="B38" s="117" t="s">
        <v>312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313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209</v>
      </c>
      <c r="B40" s="117" t="s">
        <v>312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313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210</v>
      </c>
      <c r="B42" s="117" t="s">
        <v>312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313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211</v>
      </c>
      <c r="B44" s="117" t="s">
        <v>312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313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215</v>
      </c>
      <c r="B46" s="117" t="s">
        <v>312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313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219</v>
      </c>
      <c r="B48" s="117" t="s">
        <v>312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313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ru18j34NUJU5eGMQxJb6jlrhD1HhMBOiUNkxEu4TqEjIycpCcaG2DNpnc/1gqGBGfHbmH1xQuCJc2s2ksiDIhQ==" saltValue="yQLDSbP2tBrV0CtCQy555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314</v>
      </c>
    </row>
    <row r="2" spans="1:6" ht="15.75" customHeight="1" x14ac:dyDescent="0.3">
      <c r="B2" s="69"/>
      <c r="C2" s="26" t="s">
        <v>72</v>
      </c>
      <c r="D2" s="70" t="s">
        <v>71</v>
      </c>
      <c r="E2" s="70" t="s">
        <v>70</v>
      </c>
      <c r="F2" s="70" t="s">
        <v>69</v>
      </c>
    </row>
    <row r="3" spans="1:6" ht="15.75" customHeight="1" x14ac:dyDescent="0.3">
      <c r="A3" s="4" t="s">
        <v>315</v>
      </c>
      <c r="B3" s="14"/>
      <c r="C3" s="71"/>
      <c r="D3" s="72"/>
      <c r="E3" s="72"/>
      <c r="F3" s="72"/>
    </row>
    <row r="4" spans="1:6" ht="15.75" customHeight="1" x14ac:dyDescent="0.25">
      <c r="B4" s="5" t="s">
        <v>55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56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57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58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320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316</v>
      </c>
      <c r="C11" s="74"/>
      <c r="D11" s="75"/>
      <c r="E11" s="75"/>
      <c r="F11" s="75"/>
    </row>
    <row r="12" spans="1:6" ht="15.75" customHeight="1" x14ac:dyDescent="0.3">
      <c r="A12" s="4" t="s">
        <v>317</v>
      </c>
      <c r="C12" s="73"/>
      <c r="D12" s="64"/>
      <c r="E12" s="64"/>
      <c r="F12" s="64"/>
    </row>
    <row r="13" spans="1:6" ht="15.75" customHeight="1" x14ac:dyDescent="0.25">
      <c r="B13" s="11" t="s">
        <v>318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137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319</v>
      </c>
      <c r="B17" s="14"/>
      <c r="C17" s="77"/>
      <c r="D17" s="78"/>
      <c r="E17" s="78"/>
      <c r="F17" s="78"/>
    </row>
    <row r="18" spans="1:6" ht="15.75" customHeight="1" x14ac:dyDescent="0.25">
      <c r="B18" s="5" t="s">
        <v>96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98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99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100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101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102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103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314</v>
      </c>
    </row>
    <row r="29" spans="1:6" ht="15.75" customHeight="1" x14ac:dyDescent="0.3">
      <c r="B29" s="69"/>
      <c r="C29" s="26" t="s">
        <v>72</v>
      </c>
      <c r="D29" s="70" t="s">
        <v>71</v>
      </c>
      <c r="E29" s="70" t="s">
        <v>70</v>
      </c>
      <c r="F29" s="70" t="s">
        <v>69</v>
      </c>
    </row>
    <row r="30" spans="1:6" ht="15.75" customHeight="1" x14ac:dyDescent="0.3">
      <c r="A30" s="4" t="s">
        <v>321</v>
      </c>
      <c r="B30" s="14"/>
      <c r="C30" s="71"/>
      <c r="D30" s="72"/>
      <c r="E30" s="72"/>
      <c r="F30" s="72"/>
    </row>
    <row r="31" spans="1:6" ht="15.75" customHeight="1" x14ac:dyDescent="0.25">
      <c r="B31" s="5" t="s">
        <v>55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56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57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58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333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316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327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328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329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323</v>
      </c>
      <c r="B44" s="14"/>
      <c r="C44" s="77"/>
      <c r="D44" s="78"/>
      <c r="E44" s="78"/>
      <c r="F44" s="78"/>
    </row>
    <row r="45" spans="1:6" ht="15.75" customHeight="1" x14ac:dyDescent="0.25">
      <c r="B45" s="5" t="s">
        <v>96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98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99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100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101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102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103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270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314</v>
      </c>
    </row>
    <row r="56" spans="1:6" ht="15.75" customHeight="1" x14ac:dyDescent="0.3">
      <c r="B56" s="69"/>
      <c r="C56" s="26" t="s">
        <v>72</v>
      </c>
      <c r="D56" s="70" t="s">
        <v>71</v>
      </c>
      <c r="E56" s="70" t="s">
        <v>70</v>
      </c>
      <c r="F56" s="70" t="s">
        <v>69</v>
      </c>
    </row>
    <row r="57" spans="1:6" ht="15.75" customHeight="1" x14ac:dyDescent="0.3">
      <c r="A57" s="4" t="s">
        <v>324</v>
      </c>
      <c r="B57" s="14"/>
      <c r="C57" s="71"/>
      <c r="D57" s="72"/>
      <c r="E57" s="72"/>
      <c r="F57" s="72"/>
    </row>
    <row r="58" spans="1:6" ht="15.75" customHeight="1" x14ac:dyDescent="0.25">
      <c r="B58" s="5" t="s">
        <v>55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56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57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58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334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316</v>
      </c>
      <c r="B65" s="68"/>
      <c r="C65" s="74"/>
      <c r="D65" s="75"/>
      <c r="E65" s="75"/>
      <c r="F65" s="75"/>
    </row>
    <row r="66" spans="1:6" ht="15.75" customHeight="1" x14ac:dyDescent="0.3">
      <c r="A66" s="4" t="s">
        <v>325</v>
      </c>
      <c r="C66" s="73"/>
      <c r="D66" s="64"/>
      <c r="E66" s="64"/>
      <c r="F66" s="64"/>
    </row>
    <row r="67" spans="1:6" ht="15.75" customHeight="1" x14ac:dyDescent="0.25">
      <c r="B67" s="11" t="s">
        <v>330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331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326</v>
      </c>
      <c r="B71" s="14"/>
      <c r="C71" s="77"/>
      <c r="D71" s="78"/>
      <c r="E71" s="78"/>
      <c r="F71" s="78"/>
    </row>
    <row r="72" spans="1:6" ht="15.75" customHeight="1" x14ac:dyDescent="0.25">
      <c r="B72" s="5" t="s">
        <v>96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98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99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100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101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102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103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s3KFY8tmvW+Ao2pcKJU4aE5tFCvSz5SNTBIBSfN2R3RMlckGBLtLo0pwqAl07d1xQDseitlTpmyWHt+ecklWXA==" saltValue="qRykg34DnzToN9UKjSWJ1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335</v>
      </c>
    </row>
    <row r="2" spans="1:16" ht="13" x14ac:dyDescent="0.3">
      <c r="A2" s="39" t="s">
        <v>256</v>
      </c>
      <c r="B2" s="1" t="s">
        <v>336</v>
      </c>
      <c r="C2" s="1" t="s">
        <v>337</v>
      </c>
      <c r="D2" s="70" t="s">
        <v>127</v>
      </c>
      <c r="E2" s="70" t="s">
        <v>114</v>
      </c>
      <c r="F2" s="70" t="s">
        <v>115</v>
      </c>
      <c r="G2" s="70" t="s">
        <v>116</v>
      </c>
      <c r="H2" s="70" t="s">
        <v>117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105</v>
      </c>
      <c r="C3" s="3" t="s">
        <v>9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338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339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106</v>
      </c>
      <c r="C7" s="3" t="s">
        <v>9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338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339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108</v>
      </c>
      <c r="C11" s="3" t="s">
        <v>9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338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339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109</v>
      </c>
      <c r="C15" s="3" t="s">
        <v>9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338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339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107</v>
      </c>
      <c r="C19" s="3" t="s">
        <v>9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338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339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113</v>
      </c>
      <c r="C23" s="3" t="s">
        <v>9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338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339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349</v>
      </c>
    </row>
    <row r="29" spans="1:16" ht="13" x14ac:dyDescent="0.3">
      <c r="A29" s="39" t="s">
        <v>283</v>
      </c>
      <c r="B29" s="4" t="s">
        <v>336</v>
      </c>
      <c r="C29" s="4" t="s">
        <v>341</v>
      </c>
      <c r="D29" s="70" t="s">
        <v>127</v>
      </c>
      <c r="E29" s="70" t="s">
        <v>114</v>
      </c>
      <c r="F29" s="70" t="s">
        <v>115</v>
      </c>
      <c r="G29" s="70" t="s">
        <v>116</v>
      </c>
      <c r="H29" s="70" t="s">
        <v>117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105</v>
      </c>
      <c r="C30" s="3" t="s">
        <v>9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338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238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106</v>
      </c>
      <c r="C34" s="3" t="s">
        <v>9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338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238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108</v>
      </c>
      <c r="C38" s="3" t="s">
        <v>9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238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109</v>
      </c>
      <c r="C42" s="3" t="s">
        <v>9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338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238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107</v>
      </c>
      <c r="C46" s="3" t="s">
        <v>9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338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238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113</v>
      </c>
      <c r="C50" s="3" t="s">
        <v>9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338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238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342</v>
      </c>
    </row>
    <row r="56" spans="1:16" ht="26.4" customHeight="1" x14ac:dyDescent="0.3">
      <c r="A56" s="39" t="s">
        <v>139</v>
      </c>
      <c r="B56" s="4" t="s">
        <v>336</v>
      </c>
      <c r="C56" s="69" t="s">
        <v>343</v>
      </c>
      <c r="D56" s="70" t="s">
        <v>140</v>
      </c>
      <c r="E56" s="70" t="s">
        <v>141</v>
      </c>
      <c r="F56" s="70" t="s">
        <v>142</v>
      </c>
      <c r="G56" s="70" t="s">
        <v>143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119</v>
      </c>
      <c r="C57" s="3" t="s">
        <v>344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345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120</v>
      </c>
      <c r="C59" s="3" t="s">
        <v>344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345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121</v>
      </c>
      <c r="C61" s="3" t="s">
        <v>344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345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346</v>
      </c>
    </row>
    <row r="65" spans="1:16" ht="26.4" customHeight="1" x14ac:dyDescent="0.3">
      <c r="A65" s="39" t="s">
        <v>146</v>
      </c>
      <c r="B65" s="4" t="s">
        <v>336</v>
      </c>
      <c r="C65" s="69" t="s">
        <v>347</v>
      </c>
      <c r="D65" s="70" t="s">
        <v>127</v>
      </c>
      <c r="E65" s="70" t="s">
        <v>114</v>
      </c>
      <c r="F65" s="70" t="s">
        <v>115</v>
      </c>
      <c r="G65" s="70" t="s">
        <v>116</v>
      </c>
      <c r="H65" s="81" t="s">
        <v>117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96</v>
      </c>
      <c r="C66" s="3" t="s">
        <v>147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148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149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150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147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148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149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150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98</v>
      </c>
      <c r="C74" s="3" t="s">
        <v>147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148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149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150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100</v>
      </c>
      <c r="C78" s="3" t="s">
        <v>147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148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149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150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105</v>
      </c>
      <c r="C82" s="3" t="s">
        <v>147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148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149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150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106</v>
      </c>
      <c r="C86" s="3" t="s">
        <v>147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148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149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150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108</v>
      </c>
      <c r="C90" s="3" t="s">
        <v>147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148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149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150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107</v>
      </c>
      <c r="C94" s="3" t="s">
        <v>147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148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149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150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110</v>
      </c>
      <c r="C98" s="3" t="s">
        <v>147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148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149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150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348</v>
      </c>
    </row>
    <row r="104" spans="1:16" ht="26.4" customHeight="1" x14ac:dyDescent="0.3">
      <c r="A104" s="39" t="s">
        <v>105</v>
      </c>
      <c r="B104" s="82" t="s">
        <v>150</v>
      </c>
      <c r="C104" s="69" t="s">
        <v>347</v>
      </c>
      <c r="D104" s="70" t="s">
        <v>127</v>
      </c>
      <c r="E104" s="70" t="s">
        <v>114</v>
      </c>
      <c r="F104" s="70" t="s">
        <v>115</v>
      </c>
      <c r="G104" s="70" t="s">
        <v>116</v>
      </c>
      <c r="H104" s="81" t="s">
        <v>117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147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148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149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150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335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256</v>
      </c>
      <c r="B112" s="1" t="s">
        <v>336</v>
      </c>
      <c r="C112" s="1" t="s">
        <v>337</v>
      </c>
      <c r="D112" s="70" t="s">
        <v>127</v>
      </c>
      <c r="E112" s="70" t="s">
        <v>114</v>
      </c>
      <c r="F112" s="70" t="s">
        <v>115</v>
      </c>
      <c r="G112" s="70" t="s">
        <v>116</v>
      </c>
      <c r="H112" s="70" t="s">
        <v>117</v>
      </c>
    </row>
    <row r="113" spans="1:8" ht="13" x14ac:dyDescent="0.3">
      <c r="A113" s="4"/>
      <c r="B113" s="8" t="s">
        <v>105</v>
      </c>
      <c r="C113" s="3" t="s">
        <v>9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338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339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106</v>
      </c>
      <c r="C117" s="3" t="s">
        <v>9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338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339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108</v>
      </c>
      <c r="C121" s="3" t="s">
        <v>9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338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339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109</v>
      </c>
      <c r="C125" s="3" t="s">
        <v>9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338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339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107</v>
      </c>
      <c r="C129" s="3" t="s">
        <v>9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338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339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113</v>
      </c>
      <c r="C133" s="3" t="s">
        <v>9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338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339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349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283</v>
      </c>
      <c r="B139" s="4" t="s">
        <v>336</v>
      </c>
      <c r="C139" s="4" t="s">
        <v>341</v>
      </c>
      <c r="D139" s="70" t="s">
        <v>127</v>
      </c>
      <c r="E139" s="70" t="s">
        <v>114</v>
      </c>
      <c r="F139" s="70" t="s">
        <v>115</v>
      </c>
      <c r="G139" s="70" t="s">
        <v>116</v>
      </c>
      <c r="H139" s="70" t="s">
        <v>117</v>
      </c>
    </row>
    <row r="140" spans="1:8" ht="13" x14ac:dyDescent="0.3">
      <c r="A140" s="4"/>
      <c r="B140" s="8" t="s">
        <v>105</v>
      </c>
      <c r="C140" s="3" t="s">
        <v>9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338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238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106</v>
      </c>
      <c r="C144" s="3" t="s">
        <v>9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338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238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108</v>
      </c>
      <c r="C148" s="3" t="s">
        <v>9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338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238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109</v>
      </c>
      <c r="C152" s="3" t="s">
        <v>9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338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238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107</v>
      </c>
      <c r="C156" s="3" t="s">
        <v>9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338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238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113</v>
      </c>
      <c r="C160" s="3" t="s">
        <v>9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338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238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342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139</v>
      </c>
      <c r="B166" s="4" t="s">
        <v>336</v>
      </c>
      <c r="C166" s="69" t="s">
        <v>343</v>
      </c>
      <c r="D166" s="70" t="s">
        <v>140</v>
      </c>
      <c r="E166" s="70" t="s">
        <v>141</v>
      </c>
      <c r="F166" s="70" t="s">
        <v>142</v>
      </c>
      <c r="G166" s="70" t="s">
        <v>143</v>
      </c>
      <c r="H166" s="79"/>
    </row>
    <row r="167" spans="1:8" ht="13" x14ac:dyDescent="0.3">
      <c r="A167" s="4"/>
      <c r="B167" s="8" t="s">
        <v>119</v>
      </c>
      <c r="C167" s="3" t="s">
        <v>344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345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120</v>
      </c>
      <c r="C169" s="3" t="s">
        <v>344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345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121</v>
      </c>
      <c r="C171" s="3" t="s">
        <v>344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345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346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146</v>
      </c>
      <c r="B175" s="4" t="s">
        <v>336</v>
      </c>
      <c r="C175" s="69" t="s">
        <v>347</v>
      </c>
      <c r="D175" s="70" t="s">
        <v>127</v>
      </c>
      <c r="E175" s="70" t="s">
        <v>114</v>
      </c>
      <c r="F175" s="70" t="s">
        <v>115</v>
      </c>
      <c r="G175" s="70" t="s">
        <v>116</v>
      </c>
      <c r="H175" s="81" t="s">
        <v>117</v>
      </c>
    </row>
    <row r="176" spans="1:8" ht="13" x14ac:dyDescent="0.3">
      <c r="A176" s="82"/>
      <c r="B176" s="8" t="s">
        <v>96</v>
      </c>
      <c r="C176" s="3" t="s">
        <v>147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148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149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150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147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148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149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150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98</v>
      </c>
      <c r="C184" s="3" t="s">
        <v>147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148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149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150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100</v>
      </c>
      <c r="C188" s="3" t="s">
        <v>147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148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149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150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105</v>
      </c>
      <c r="C192" s="3" t="s">
        <v>147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148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149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150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106</v>
      </c>
      <c r="C196" s="3" t="s">
        <v>147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148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149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150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108</v>
      </c>
      <c r="C200" s="3" t="s">
        <v>147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148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149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150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107</v>
      </c>
      <c r="C204" s="3" t="s">
        <v>147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148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149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150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110</v>
      </c>
      <c r="C208" s="3" t="s">
        <v>147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148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149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150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348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105</v>
      </c>
      <c r="B214" s="82" t="s">
        <v>150</v>
      </c>
      <c r="C214" s="69" t="s">
        <v>347</v>
      </c>
      <c r="D214" s="70" t="s">
        <v>127</v>
      </c>
      <c r="E214" s="70" t="s">
        <v>114</v>
      </c>
      <c r="F214" s="70" t="s">
        <v>115</v>
      </c>
      <c r="G214" s="70" t="s">
        <v>116</v>
      </c>
      <c r="H214" s="81" t="s">
        <v>117</v>
      </c>
    </row>
    <row r="215" spans="1:9" ht="13" x14ac:dyDescent="0.3">
      <c r="A215" s="4"/>
      <c r="C215" s="3" t="s">
        <v>147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148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149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150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270</v>
      </c>
      <c r="H220" s="92"/>
    </row>
    <row r="221" spans="1:9" ht="13" x14ac:dyDescent="0.3">
      <c r="A221" s="67" t="s">
        <v>335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256</v>
      </c>
      <c r="B222" s="1" t="s">
        <v>336</v>
      </c>
      <c r="C222" s="1" t="s">
        <v>337</v>
      </c>
      <c r="D222" s="70" t="s">
        <v>127</v>
      </c>
      <c r="E222" s="70" t="s">
        <v>114</v>
      </c>
      <c r="F222" s="70" t="s">
        <v>115</v>
      </c>
      <c r="G222" s="70" t="s">
        <v>116</v>
      </c>
      <c r="H222" s="70" t="s">
        <v>117</v>
      </c>
      <c r="I222" s="79"/>
    </row>
    <row r="223" spans="1:9" ht="13" x14ac:dyDescent="0.3">
      <c r="A223" s="4"/>
      <c r="B223" s="8" t="s">
        <v>105</v>
      </c>
      <c r="C223" s="3" t="s">
        <v>9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338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339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106</v>
      </c>
      <c r="C227" s="3" t="s">
        <v>9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338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339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108</v>
      </c>
      <c r="C231" s="3" t="s">
        <v>9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338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339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109</v>
      </c>
      <c r="C235" s="3" t="s">
        <v>9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338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339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107</v>
      </c>
      <c r="C239" s="3" t="s">
        <v>9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338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339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113</v>
      </c>
      <c r="C243" s="3" t="s">
        <v>9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338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339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349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283</v>
      </c>
      <c r="B249" s="4" t="s">
        <v>336</v>
      </c>
      <c r="C249" s="4" t="s">
        <v>341</v>
      </c>
      <c r="D249" s="70" t="s">
        <v>127</v>
      </c>
      <c r="E249" s="70" t="s">
        <v>114</v>
      </c>
      <c r="F249" s="70" t="s">
        <v>115</v>
      </c>
      <c r="G249" s="70" t="s">
        <v>116</v>
      </c>
      <c r="H249" s="70" t="s">
        <v>117</v>
      </c>
      <c r="I249" s="79"/>
    </row>
    <row r="250" spans="1:9" ht="13" x14ac:dyDescent="0.3">
      <c r="A250" s="4"/>
      <c r="B250" s="8" t="s">
        <v>105</v>
      </c>
      <c r="C250" s="3" t="s">
        <v>9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338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238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106</v>
      </c>
      <c r="C254" s="3" t="s">
        <v>9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338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238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108</v>
      </c>
      <c r="C258" s="3" t="s">
        <v>9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338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238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109</v>
      </c>
      <c r="C262" s="3" t="s">
        <v>9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338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238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107</v>
      </c>
      <c r="C266" s="3" t="s">
        <v>9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338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238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113</v>
      </c>
      <c r="C270" s="3" t="s">
        <v>9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338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238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342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139</v>
      </c>
      <c r="B276" s="4" t="s">
        <v>336</v>
      </c>
      <c r="C276" s="69" t="s">
        <v>343</v>
      </c>
      <c r="D276" s="70" t="s">
        <v>140</v>
      </c>
      <c r="E276" s="70" t="s">
        <v>141</v>
      </c>
      <c r="F276" s="70" t="s">
        <v>142</v>
      </c>
      <c r="G276" s="70" t="s">
        <v>143</v>
      </c>
      <c r="H276" s="79"/>
    </row>
    <row r="277" spans="1:9" ht="13" x14ac:dyDescent="0.3">
      <c r="A277" s="4"/>
      <c r="B277" s="8" t="s">
        <v>119</v>
      </c>
      <c r="C277" s="3" t="s">
        <v>344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345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120</v>
      </c>
      <c r="C279" s="3" t="s">
        <v>344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345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121</v>
      </c>
      <c r="C281" s="3" t="s">
        <v>344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345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346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146</v>
      </c>
      <c r="B285" s="4" t="s">
        <v>336</v>
      </c>
      <c r="C285" s="69" t="s">
        <v>347</v>
      </c>
      <c r="D285" s="70" t="s">
        <v>127</v>
      </c>
      <c r="E285" s="70" t="s">
        <v>114</v>
      </c>
      <c r="F285" s="70" t="s">
        <v>115</v>
      </c>
      <c r="G285" s="70" t="s">
        <v>116</v>
      </c>
      <c r="H285" s="81" t="s">
        <v>117</v>
      </c>
      <c r="I285" s="79"/>
    </row>
    <row r="286" spans="1:9" ht="13" x14ac:dyDescent="0.3">
      <c r="A286" s="82"/>
      <c r="B286" s="8" t="s">
        <v>96</v>
      </c>
      <c r="C286" s="3" t="s">
        <v>147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148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149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150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147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148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149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150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98</v>
      </c>
      <c r="C294" s="3" t="s">
        <v>147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148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149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150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100</v>
      </c>
      <c r="C298" s="3" t="s">
        <v>147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148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149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150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105</v>
      </c>
      <c r="C302" s="3" t="s">
        <v>147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148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149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150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106</v>
      </c>
      <c r="C306" s="3" t="s">
        <v>147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148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149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150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108</v>
      </c>
      <c r="C310" s="3" t="s">
        <v>147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148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149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150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107</v>
      </c>
      <c r="C314" s="3" t="s">
        <v>147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148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149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150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110</v>
      </c>
      <c r="C318" s="3" t="s">
        <v>147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148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149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150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348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105</v>
      </c>
      <c r="B324" s="82" t="s">
        <v>150</v>
      </c>
      <c r="C324" s="69" t="s">
        <v>347</v>
      </c>
      <c r="D324" s="70" t="s">
        <v>127</v>
      </c>
      <c r="E324" s="70" t="s">
        <v>114</v>
      </c>
      <c r="F324" s="70" t="s">
        <v>115</v>
      </c>
      <c r="G324" s="70" t="s">
        <v>116</v>
      </c>
      <c r="H324" s="81" t="s">
        <v>117</v>
      </c>
      <c r="I324" s="79"/>
    </row>
    <row r="325" spans="1:9" ht="13" x14ac:dyDescent="0.3">
      <c r="A325" s="4"/>
      <c r="C325" s="3" t="s">
        <v>147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148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149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150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8TzJuNQxNi6QhK9AQYvD9Sw9WDg81fYSvN8zKedbzk6O1G7Q/f8cYgt/FEHUX/ZiJgw6Bx4ZKyErl24yuOgYvQ==" saltValue="72E+yYBX1942ujRka7xRz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127</v>
      </c>
      <c r="D1" s="70" t="s">
        <v>114</v>
      </c>
      <c r="E1" s="70" t="s">
        <v>115</v>
      </c>
      <c r="F1" s="70" t="s">
        <v>116</v>
      </c>
      <c r="G1" s="70" t="s">
        <v>117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140</v>
      </c>
      <c r="M1" s="70" t="s">
        <v>141</v>
      </c>
      <c r="N1" s="70" t="s">
        <v>142</v>
      </c>
      <c r="O1" s="70" t="s">
        <v>143</v>
      </c>
    </row>
    <row r="2" spans="1:15" ht="13" x14ac:dyDescent="0.3">
      <c r="A2" s="4" t="s">
        <v>350</v>
      </c>
    </row>
    <row r="3" spans="1:15" x14ac:dyDescent="0.25">
      <c r="B3" s="11" t="s">
        <v>200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210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211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214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219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351</v>
      </c>
      <c r="B17" s="11"/>
    </row>
    <row r="18" spans="1:15" x14ac:dyDescent="0.25">
      <c r="B18" s="5" t="s">
        <v>202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127</v>
      </c>
      <c r="D24" s="70" t="s">
        <v>114</v>
      </c>
      <c r="E24" s="70" t="s">
        <v>115</v>
      </c>
      <c r="F24" s="70" t="s">
        <v>116</v>
      </c>
      <c r="G24" s="70" t="s">
        <v>117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140</v>
      </c>
      <c r="M24" s="70" t="s">
        <v>141</v>
      </c>
      <c r="N24" s="70" t="s">
        <v>142</v>
      </c>
      <c r="O24" s="70" t="s">
        <v>143</v>
      </c>
    </row>
    <row r="25" spans="1:15" ht="13" x14ac:dyDescent="0.3">
      <c r="A25" s="4" t="s">
        <v>352</v>
      </c>
    </row>
    <row r="26" spans="1:15" x14ac:dyDescent="0.25">
      <c r="B26" s="11" t="s">
        <v>200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210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211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214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219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354</v>
      </c>
      <c r="B40" s="11"/>
    </row>
    <row r="41" spans="1:15" x14ac:dyDescent="0.25">
      <c r="B41" s="5" t="s">
        <v>202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270</v>
      </c>
    </row>
    <row r="47" spans="1:15" ht="26.4" customHeight="1" x14ac:dyDescent="0.3">
      <c r="A47" s="4"/>
      <c r="B47" s="4"/>
      <c r="C47" s="70" t="s">
        <v>127</v>
      </c>
      <c r="D47" s="70" t="s">
        <v>114</v>
      </c>
      <c r="E47" s="70" t="s">
        <v>115</v>
      </c>
      <c r="F47" s="70" t="s">
        <v>116</v>
      </c>
      <c r="G47" s="70" t="s">
        <v>117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140</v>
      </c>
      <c r="M47" s="70" t="s">
        <v>141</v>
      </c>
      <c r="N47" s="70" t="s">
        <v>142</v>
      </c>
      <c r="O47" s="70" t="s">
        <v>143</v>
      </c>
    </row>
    <row r="48" spans="1:15" ht="13" x14ac:dyDescent="0.3">
      <c r="A48" s="4" t="s">
        <v>353</v>
      </c>
    </row>
    <row r="49" spans="1:15" x14ac:dyDescent="0.25">
      <c r="B49" s="11" t="s">
        <v>200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210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211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214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219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355</v>
      </c>
      <c r="B63" s="11"/>
    </row>
    <row r="64" spans="1:15" x14ac:dyDescent="0.25">
      <c r="B64" s="5" t="s">
        <v>202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mffFEoolwq5aUoO3nrK5Kw2boXLX23+RuiNAkzoMnAMt+qQeuvlvAujrDHjcU7mdi4bnk3yxv09jad5tbhtN0A==" saltValue="iRtCbl7z5tBslqR6ocKbK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4" t="s">
        <v>356</v>
      </c>
    </row>
    <row r="3" spans="1:7" x14ac:dyDescent="0.25">
      <c r="B3" s="11" t="s">
        <v>190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357</v>
      </c>
      <c r="B4" s="11"/>
      <c r="C4" s="83"/>
      <c r="D4" s="83"/>
      <c r="E4" s="83"/>
      <c r="F4" s="83"/>
      <c r="G4" s="83"/>
    </row>
    <row r="5" spans="1:7" x14ac:dyDescent="0.25">
      <c r="B5" s="5" t="s">
        <v>194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362</v>
      </c>
    </row>
    <row r="8" spans="1:7" ht="13" x14ac:dyDescent="0.3">
      <c r="A8" s="4"/>
      <c r="B8" s="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4" t="s">
        <v>358</v>
      </c>
    </row>
    <row r="10" spans="1:7" x14ac:dyDescent="0.25">
      <c r="B10" s="11" t="s">
        <v>190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359</v>
      </c>
      <c r="B11" s="11"/>
      <c r="C11" s="83"/>
      <c r="D11" s="83"/>
      <c r="E11" s="83"/>
      <c r="F11" s="83"/>
      <c r="G11" s="83"/>
    </row>
    <row r="12" spans="1:7" x14ac:dyDescent="0.25">
      <c r="B12" s="5" t="s">
        <v>194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363</v>
      </c>
    </row>
    <row r="15" spans="1:7" ht="13" x14ac:dyDescent="0.3">
      <c r="A15" s="4"/>
      <c r="B15" s="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4" t="s">
        <v>360</v>
      </c>
    </row>
    <row r="17" spans="1:7" x14ac:dyDescent="0.25">
      <c r="B17" s="11" t="s">
        <v>190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361</v>
      </c>
      <c r="B18" s="11"/>
      <c r="C18" s="83"/>
      <c r="D18" s="83"/>
      <c r="E18" s="83"/>
      <c r="F18" s="83"/>
      <c r="G18" s="83"/>
    </row>
    <row r="19" spans="1:7" x14ac:dyDescent="0.25">
      <c r="B19" s="5" t="s">
        <v>194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43lZec75NuUEUgtYM4fQaGCMv8CbelF4JyKZYUUI54WP/2TnuUTs6VgqDS+XkYhxJ0m8JTDh/j2DSfTruciE9g==" saltValue="rUYQ7We+Mf88WhTw8QN/b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189</v>
      </c>
      <c r="B1" s="4" t="s">
        <v>364</v>
      </c>
      <c r="C1" s="82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5" t="s">
        <v>222</v>
      </c>
      <c r="B2" s="5" t="s">
        <v>105</v>
      </c>
      <c r="C2" s="5" t="s">
        <v>365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366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367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221</v>
      </c>
      <c r="B5" s="5" t="s">
        <v>237</v>
      </c>
      <c r="C5" s="5" t="s">
        <v>365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367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238</v>
      </c>
      <c r="C7" s="5" t="s">
        <v>365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367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214</v>
      </c>
      <c r="B9" s="5" t="s">
        <v>237</v>
      </c>
      <c r="C9" s="5" t="s">
        <v>365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367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238</v>
      </c>
      <c r="C11" s="5" t="s">
        <v>365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367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234</v>
      </c>
      <c r="B13" s="5" t="s">
        <v>237</v>
      </c>
      <c r="C13" s="5" t="s">
        <v>365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367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238</v>
      </c>
      <c r="C15" s="5" t="s">
        <v>365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367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199</v>
      </c>
      <c r="B17" s="5" t="s">
        <v>237</v>
      </c>
      <c r="C17" s="5" t="s">
        <v>365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367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238</v>
      </c>
      <c r="C19" s="5" t="s">
        <v>365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367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204</v>
      </c>
      <c r="B21" s="5" t="s">
        <v>102</v>
      </c>
      <c r="C21" s="5" t="s">
        <v>365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366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202</v>
      </c>
      <c r="B23" s="5" t="s">
        <v>102</v>
      </c>
      <c r="C23" s="5" t="s">
        <v>365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366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203</v>
      </c>
      <c r="B25" s="5" t="s">
        <v>102</v>
      </c>
      <c r="C25" s="5" t="s">
        <v>365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366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226</v>
      </c>
      <c r="B27" s="5" t="s">
        <v>105</v>
      </c>
      <c r="C27" s="5" t="s">
        <v>365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366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367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227</v>
      </c>
      <c r="B30" s="5" t="s">
        <v>105</v>
      </c>
      <c r="C30" s="5" t="s">
        <v>365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366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367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225</v>
      </c>
      <c r="B33" s="5" t="s">
        <v>105</v>
      </c>
      <c r="C33" s="5" t="s">
        <v>365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366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367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224</v>
      </c>
      <c r="B36" s="5" t="s">
        <v>105</v>
      </c>
      <c r="C36" s="5" t="s">
        <v>365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366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367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223</v>
      </c>
      <c r="B39" s="5" t="s">
        <v>105</v>
      </c>
      <c r="C39" s="5" t="s">
        <v>365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366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367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229</v>
      </c>
      <c r="B42" s="5" t="s">
        <v>105</v>
      </c>
      <c r="C42" s="5" t="s">
        <v>365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366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367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106</v>
      </c>
      <c r="C45" s="5" t="s">
        <v>365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366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367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220</v>
      </c>
      <c r="B48" s="5" t="s">
        <v>105</v>
      </c>
      <c r="C48" s="5" t="s">
        <v>365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366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228</v>
      </c>
      <c r="B50" s="5" t="s">
        <v>105</v>
      </c>
      <c r="C50" s="5" t="s">
        <v>365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366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213</v>
      </c>
      <c r="B52" s="5" t="s">
        <v>100</v>
      </c>
      <c r="C52" s="5" t="s">
        <v>365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366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362</v>
      </c>
      <c r="B55" s="97"/>
      <c r="C55" s="97"/>
    </row>
    <row r="56" spans="1:8" ht="13" x14ac:dyDescent="0.3">
      <c r="A56" s="4" t="s">
        <v>189</v>
      </c>
      <c r="B56" s="4" t="s">
        <v>364</v>
      </c>
      <c r="C56" s="82" t="s">
        <v>11</v>
      </c>
      <c r="D56" s="4" t="s">
        <v>127</v>
      </c>
      <c r="E56" s="4" t="s">
        <v>114</v>
      </c>
      <c r="F56" s="4" t="s">
        <v>115</v>
      </c>
      <c r="G56" s="4" t="s">
        <v>116</v>
      </c>
      <c r="H56" s="4" t="s">
        <v>117</v>
      </c>
    </row>
    <row r="57" spans="1:8" x14ac:dyDescent="0.25">
      <c r="A57" s="5" t="s">
        <v>222</v>
      </c>
      <c r="B57" s="5" t="s">
        <v>105</v>
      </c>
      <c r="C57" s="5" t="s">
        <v>365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366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367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221</v>
      </c>
      <c r="B60" s="5" t="s">
        <v>237</v>
      </c>
      <c r="C60" s="5" t="s">
        <v>365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367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238</v>
      </c>
      <c r="C62" s="5" t="s">
        <v>365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367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214</v>
      </c>
      <c r="B64" s="5" t="s">
        <v>237</v>
      </c>
      <c r="C64" s="5" t="s">
        <v>365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367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238</v>
      </c>
      <c r="C66" s="5" t="s">
        <v>365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367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234</v>
      </c>
      <c r="B68" s="5" t="s">
        <v>237</v>
      </c>
      <c r="C68" s="5" t="s">
        <v>365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367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238</v>
      </c>
      <c r="C70" s="5" t="s">
        <v>365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367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199</v>
      </c>
      <c r="B72" s="5" t="s">
        <v>237</v>
      </c>
      <c r="C72" s="5" t="s">
        <v>365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367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238</v>
      </c>
      <c r="C74" s="5" t="s">
        <v>365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367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204</v>
      </c>
      <c r="B76" s="5" t="s">
        <v>102</v>
      </c>
      <c r="C76" s="5" t="s">
        <v>365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366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202</v>
      </c>
      <c r="B78" s="5" t="s">
        <v>102</v>
      </c>
      <c r="C78" s="5" t="s">
        <v>365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366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203</v>
      </c>
      <c r="B80" s="5" t="s">
        <v>102</v>
      </c>
      <c r="C80" s="5" t="s">
        <v>365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366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226</v>
      </c>
      <c r="B82" s="5" t="s">
        <v>105</v>
      </c>
      <c r="C82" s="5" t="s">
        <v>365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366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367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227</v>
      </c>
      <c r="B85" s="5" t="s">
        <v>105</v>
      </c>
      <c r="C85" s="5" t="s">
        <v>365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366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367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225</v>
      </c>
      <c r="B88" s="5" t="s">
        <v>105</v>
      </c>
      <c r="C88" s="5" t="s">
        <v>365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366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367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224</v>
      </c>
      <c r="B91" s="5" t="s">
        <v>105</v>
      </c>
      <c r="C91" s="5" t="s">
        <v>365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366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367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223</v>
      </c>
      <c r="B94" s="5" t="s">
        <v>105</v>
      </c>
      <c r="C94" s="5" t="s">
        <v>365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366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367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229</v>
      </c>
      <c r="B97" s="5" t="s">
        <v>105</v>
      </c>
      <c r="C97" s="5" t="s">
        <v>365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366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367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106</v>
      </c>
      <c r="C100" s="5" t="s">
        <v>365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366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367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220</v>
      </c>
      <c r="B103" s="5" t="s">
        <v>105</v>
      </c>
      <c r="C103" s="5" t="s">
        <v>365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366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228</v>
      </c>
      <c r="B105" s="5" t="s">
        <v>105</v>
      </c>
      <c r="C105" s="5" t="s">
        <v>365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366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213</v>
      </c>
      <c r="B107" s="5" t="s">
        <v>100</v>
      </c>
      <c r="C107" s="5" t="s">
        <v>365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366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363</v>
      </c>
      <c r="B110" s="97"/>
      <c r="C110" s="97"/>
    </row>
    <row r="111" spans="1:8" ht="13" x14ac:dyDescent="0.3">
      <c r="A111" s="4" t="s">
        <v>189</v>
      </c>
      <c r="B111" s="4" t="s">
        <v>364</v>
      </c>
      <c r="C111" s="82" t="s">
        <v>11</v>
      </c>
      <c r="D111" s="4" t="s">
        <v>127</v>
      </c>
      <c r="E111" s="4" t="s">
        <v>114</v>
      </c>
      <c r="F111" s="4" t="s">
        <v>115</v>
      </c>
      <c r="G111" s="4" t="s">
        <v>116</v>
      </c>
      <c r="H111" s="4" t="s">
        <v>117</v>
      </c>
    </row>
    <row r="112" spans="1:8" x14ac:dyDescent="0.25">
      <c r="A112" s="5" t="s">
        <v>222</v>
      </c>
      <c r="B112" s="5" t="s">
        <v>105</v>
      </c>
      <c r="C112" s="5" t="s">
        <v>365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366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367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221</v>
      </c>
      <c r="B115" s="5" t="s">
        <v>237</v>
      </c>
      <c r="C115" s="5" t="s">
        <v>365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367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238</v>
      </c>
      <c r="C117" s="5" t="s">
        <v>365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367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214</v>
      </c>
      <c r="B119" s="5" t="s">
        <v>237</v>
      </c>
      <c r="C119" s="5" t="s">
        <v>365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367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238</v>
      </c>
      <c r="C121" s="5" t="s">
        <v>365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367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234</v>
      </c>
      <c r="B123" s="5" t="s">
        <v>237</v>
      </c>
      <c r="C123" s="5" t="s">
        <v>365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367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238</v>
      </c>
      <c r="C125" s="5" t="s">
        <v>365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367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199</v>
      </c>
      <c r="B127" s="5" t="s">
        <v>237</v>
      </c>
      <c r="C127" s="5" t="s">
        <v>365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367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238</v>
      </c>
      <c r="C129" s="5" t="s">
        <v>365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367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204</v>
      </c>
      <c r="B131" s="5" t="s">
        <v>102</v>
      </c>
      <c r="C131" s="5" t="s">
        <v>365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366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202</v>
      </c>
      <c r="B133" s="5" t="s">
        <v>102</v>
      </c>
      <c r="C133" s="5" t="s">
        <v>365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366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203</v>
      </c>
      <c r="B135" s="5" t="s">
        <v>102</v>
      </c>
      <c r="C135" s="5" t="s">
        <v>365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366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226</v>
      </c>
      <c r="B137" s="5" t="s">
        <v>105</v>
      </c>
      <c r="C137" s="5" t="s">
        <v>365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366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367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227</v>
      </c>
      <c r="B140" s="5" t="s">
        <v>105</v>
      </c>
      <c r="C140" s="5" t="s">
        <v>365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366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367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225</v>
      </c>
      <c r="B143" s="5" t="s">
        <v>105</v>
      </c>
      <c r="C143" s="5" t="s">
        <v>365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366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367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224</v>
      </c>
      <c r="B146" s="5" t="s">
        <v>105</v>
      </c>
      <c r="C146" s="5" t="s">
        <v>365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366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367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223</v>
      </c>
      <c r="B149" s="5" t="s">
        <v>105</v>
      </c>
      <c r="C149" s="5" t="s">
        <v>365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366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367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229</v>
      </c>
      <c r="B152" s="5" t="s">
        <v>105</v>
      </c>
      <c r="C152" s="5" t="s">
        <v>365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366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367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106</v>
      </c>
      <c r="C155" s="5" t="s">
        <v>365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366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367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220</v>
      </c>
      <c r="B158" s="5" t="s">
        <v>105</v>
      </c>
      <c r="C158" s="5" t="s">
        <v>365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366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228</v>
      </c>
      <c r="B160" s="5" t="s">
        <v>105</v>
      </c>
      <c r="C160" s="5" t="s">
        <v>365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366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213</v>
      </c>
      <c r="B162" s="5" t="s">
        <v>100</v>
      </c>
      <c r="C162" s="5" t="s">
        <v>365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366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/LEo5pw7XnNBd0qh5FzPtkxetLMdd7uU9mevjS3lsaqoWZtp2an3JPbdr5gInZbC2uaOQxtYWeWv/MDCaQKQZw==" saltValue="0YGOma3buHNGR20QiCN7D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189</v>
      </c>
      <c r="B1" s="1" t="s">
        <v>364</v>
      </c>
      <c r="C1" s="1"/>
      <c r="D1" s="4" t="s">
        <v>140</v>
      </c>
      <c r="E1" s="4" t="s">
        <v>141</v>
      </c>
      <c r="F1" s="4" t="s">
        <v>142</v>
      </c>
      <c r="G1" s="4" t="s">
        <v>143</v>
      </c>
      <c r="H1" s="4"/>
    </row>
    <row r="2" spans="1:8" x14ac:dyDescent="0.25">
      <c r="A2" s="3" t="s">
        <v>198</v>
      </c>
      <c r="B2" s="8" t="s">
        <v>122</v>
      </c>
      <c r="C2" s="3" t="s">
        <v>365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366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217</v>
      </c>
      <c r="B4" s="8" t="s">
        <v>122</v>
      </c>
      <c r="C4" s="3" t="s">
        <v>365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366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216</v>
      </c>
      <c r="B6" s="8" t="s">
        <v>122</v>
      </c>
      <c r="C6" s="3" t="s">
        <v>365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366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219</v>
      </c>
      <c r="B8" s="3" t="s">
        <v>260</v>
      </c>
      <c r="C8" s="3" t="s">
        <v>365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244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362</v>
      </c>
    </row>
    <row r="12" spans="1:8" ht="13" x14ac:dyDescent="0.3">
      <c r="A12" s="1" t="s">
        <v>189</v>
      </c>
      <c r="B12" s="1" t="s">
        <v>364</v>
      </c>
      <c r="C12" s="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" t="s">
        <v>198</v>
      </c>
      <c r="B13" s="8" t="s">
        <v>122</v>
      </c>
      <c r="C13" s="3" t="s">
        <v>365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366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217</v>
      </c>
      <c r="B15" s="8" t="s">
        <v>122</v>
      </c>
      <c r="C15" s="3" t="s">
        <v>365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366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216</v>
      </c>
      <c r="B17" s="8" t="s">
        <v>122</v>
      </c>
      <c r="C17" s="3" t="s">
        <v>365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366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219</v>
      </c>
      <c r="B19" s="3" t="s">
        <v>260</v>
      </c>
      <c r="C19" s="3" t="s">
        <v>365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244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363</v>
      </c>
    </row>
    <row r="23" spans="1:7" ht="13" x14ac:dyDescent="0.3">
      <c r="A23" s="1" t="s">
        <v>189</v>
      </c>
      <c r="B23" s="1" t="s">
        <v>364</v>
      </c>
      <c r="C23" s="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" t="s">
        <v>198</v>
      </c>
      <c r="B24" s="8" t="s">
        <v>122</v>
      </c>
      <c r="C24" s="3" t="s">
        <v>365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366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217</v>
      </c>
      <c r="B26" s="8" t="s">
        <v>122</v>
      </c>
      <c r="C26" s="3" t="s">
        <v>365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366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216</v>
      </c>
      <c r="B28" s="8" t="s">
        <v>122</v>
      </c>
      <c r="C28" s="3" t="s">
        <v>365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366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219</v>
      </c>
      <c r="B30" s="3" t="s">
        <v>260</v>
      </c>
      <c r="C30" s="3" t="s">
        <v>365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244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vqRumvdvLey2zzRxcKMifor4HQpiz7ISFrxYo4AScQ/FL8u3xxlMCSkDBvm4viZUYbCiZk6kkTmHv+jJivXF2Q==" saltValue="K6DA+wYxciudsR3aLFQmtw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Rapports des cotes</vt:lpstr>
      <vt:lpstr>Programmes-rés. des naissances</vt:lpstr>
      <vt:lpstr>Risques des rés. des naissances</vt:lpstr>
      <vt:lpstr>Risques relatifs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lang=fr</cp:keywords>
  <dc:description/>
  <cp:lastModifiedBy>Tharindu Wickramaarachchi</cp:lastModifiedBy>
  <cp:revision/>
  <dcterms:created xsi:type="dcterms:W3CDTF">2017-08-01T10:42:13Z</dcterms:created>
  <dcterms:modified xsi:type="dcterms:W3CDTF">2025-07-04T04:56:34Z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