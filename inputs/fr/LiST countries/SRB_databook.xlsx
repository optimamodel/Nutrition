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388E23E2-7F2C-4003-B42D-242A91C4C75C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<sst xmlns="http://schemas.openxmlformats.org/spreadsheetml/2006/main" count="2102" uniqueCount="337">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</sst>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328680.9375</v>
      </c>
    </row>
    <row r="8" spans="1:3" ht="15" customHeight="1" x14ac:dyDescent="0.25">
      <c r="B8" s="5" t="s">
        <v>19</v>
      </c>
      <c r="C8" s="44">
        <v>5.5E-2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0.92928009033203096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0.74900000000000011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5.9700000000000003E-2</v>
      </c>
    </row>
    <row r="24" spans="1:3" ht="15" customHeight="1" x14ac:dyDescent="0.25">
      <c r="B24" s="15" t="s">
        <v>33</v>
      </c>
      <c r="C24" s="45">
        <v>0.495</v>
      </c>
    </row>
    <row r="25" spans="1:3" ht="15" customHeight="1" x14ac:dyDescent="0.25">
      <c r="B25" s="15" t="s">
        <v>34</v>
      </c>
      <c r="C25" s="45">
        <v>0.42230000000000001</v>
      </c>
    </row>
    <row r="26" spans="1:3" ht="15" customHeight="1" x14ac:dyDescent="0.25">
      <c r="B26" s="15" t="s">
        <v>35</v>
      </c>
      <c r="C26" s="45">
        <v>2.3E-2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0.51101988116637098</v>
      </c>
    </row>
    <row r="30" spans="1:3" ht="14.25" customHeight="1" x14ac:dyDescent="0.25">
      <c r="B30" s="25" t="s">
        <v>38</v>
      </c>
      <c r="C30" s="99">
        <v>3.6928466503456402E-2</v>
      </c>
    </row>
    <row r="31" spans="1:3" ht="14.25" customHeight="1" x14ac:dyDescent="0.25">
      <c r="B31" s="25" t="s">
        <v>39</v>
      </c>
      <c r="C31" s="99">
        <v>4.0966963582223501E-2</v>
      </c>
    </row>
    <row r="32" spans="1:3" ht="14.25" customHeight="1" x14ac:dyDescent="0.25">
      <c r="B32" s="25" t="s">
        <v>40</v>
      </c>
      <c r="C32" s="99">
        <v>0.41108468874794901</v>
      </c>
    </row>
    <row r="33" spans="1:5" ht="13" customHeight="1" x14ac:dyDescent="0.25">
      <c r="B33" s="27" t="s">
        <v>41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3.5533999999999999</v>
      </c>
    </row>
    <row r="38" spans="1:5" ht="15" customHeight="1" x14ac:dyDescent="0.25">
      <c r="B38" s="11" t="s">
        <v>45</v>
      </c>
      <c r="C38" s="43">
        <v>4.7455299999999996</v>
      </c>
      <c r="D38" s="12"/>
      <c r="E38" s="13"/>
    </row>
    <row r="39" spans="1:5" ht="15" customHeight="1" x14ac:dyDescent="0.25">
      <c r="B39" s="11" t="s">
        <v>46</v>
      </c>
      <c r="C39" s="43">
        <v>5.4872699999999996</v>
      </c>
      <c r="D39" s="12"/>
      <c r="E39" s="12"/>
    </row>
    <row r="40" spans="1:5" ht="15" customHeight="1" x14ac:dyDescent="0.25">
      <c r="B40" s="11" t="s">
        <v>47</v>
      </c>
      <c r="C40" s="100">
        <v>0.1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4.8106900000000001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3.4918000000000002E-3</v>
      </c>
      <c r="D45" s="12"/>
    </row>
    <row r="46" spans="1:5" ht="15.75" customHeight="1" x14ac:dyDescent="0.25">
      <c r="B46" s="11" t="s">
        <v>52</v>
      </c>
      <c r="C46" s="45">
        <v>3.7518500000000003E-2</v>
      </c>
      <c r="D46" s="12"/>
    </row>
    <row r="47" spans="1:5" ht="15.75" customHeight="1" x14ac:dyDescent="0.25">
      <c r="B47" s="11" t="s">
        <v>53</v>
      </c>
      <c r="C47" s="45">
        <v>7.7681799999999995E-2</v>
      </c>
      <c r="D47" s="12"/>
      <c r="E47" s="13"/>
    </row>
    <row r="48" spans="1:5" ht="15" customHeight="1" x14ac:dyDescent="0.25">
      <c r="B48" s="11" t="s">
        <v>54</v>
      </c>
      <c r="C48" s="46">
        <v>0.88130790000000003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0.62314999999999998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4.5343641999999899E-2</v>
      </c>
    </row>
    <row r="63" spans="1:4" ht="15.75" customHeight="1" x14ac:dyDescent="0.3">
      <c r="A63" s="4"/>
    </row>
  </sheetData>
  <sheetProtection algorithmName="SHA-512" hashValue="QSXmXJXBv9dBoZU7Yn2Y99/eQ/m+CfpJj5/sjJs8C3swpsWkYzXYue97XVKtynq2es1BSByuTuyQwYK/274enw==" saltValue="e7Ut9t6cCp6ZD6DfvzQm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64006</v>
      </c>
      <c r="C2" s="49">
        <v>194945</v>
      </c>
      <c r="D2" s="49">
        <v>376956.5</v>
      </c>
      <c r="E2" s="49">
        <v>464579</v>
      </c>
      <c r="F2" s="49">
        <v>480253.5</v>
      </c>
      <c r="G2" s="17">
        <f t="shared" ref="G2:G13" si="0">C2+D2+E2+F2</f>
        <v>1516734</v>
      </c>
      <c r="H2" s="17">
        <f t="shared" ref="H2:H13" si="1">(B2 + stillbirth*B2/(1000-stillbirth))/(1-abortion)</f>
        <v>73085.683475730766</v>
      </c>
      <c r="I2" s="17">
        <f t="shared" ref="I2:I13" si="2">G2-H2</f>
        <v>1443648.3165242693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62797</v>
      </c>
      <c r="C3" s="50">
        <v>195061.5</v>
      </c>
      <c r="D3" s="50">
        <v>366056.5</v>
      </c>
      <c r="E3" s="50">
        <v>454467</v>
      </c>
      <c r="F3" s="50">
        <v>475340.49999999988</v>
      </c>
      <c r="G3" s="17">
        <f t="shared" si="0"/>
        <v>1490925.5</v>
      </c>
      <c r="H3" s="17">
        <f t="shared" si="1"/>
        <v>71705.178658648656</v>
      </c>
      <c r="I3" s="17">
        <f t="shared" si="2"/>
        <v>1419220.3213413514</v>
      </c>
    </row>
    <row r="4" spans="1:9" ht="15.75" customHeight="1" x14ac:dyDescent="0.25">
      <c r="A4" s="5">
        <f t="shared" si="3"/>
        <v>2026</v>
      </c>
      <c r="B4" s="49">
        <v>61587</v>
      </c>
      <c r="C4" s="50">
        <v>197352.5</v>
      </c>
      <c r="D4" s="50">
        <v>353441</v>
      </c>
      <c r="E4" s="50">
        <v>445705</v>
      </c>
      <c r="F4" s="50">
        <v>469483.50000000012</v>
      </c>
      <c r="G4" s="17">
        <f t="shared" si="0"/>
        <v>1465982</v>
      </c>
      <c r="H4" s="17">
        <f t="shared" si="1"/>
        <v>70323.531984811285</v>
      </c>
      <c r="I4" s="17">
        <f t="shared" si="2"/>
        <v>1395658.4680151888</v>
      </c>
    </row>
    <row r="5" spans="1:9" ht="15.75" customHeight="1" x14ac:dyDescent="0.25">
      <c r="A5" s="5">
        <f t="shared" si="3"/>
        <v>2027</v>
      </c>
      <c r="B5" s="49">
        <v>60158</v>
      </c>
      <c r="C5" s="50">
        <v>200401</v>
      </c>
      <c r="D5" s="50">
        <v>341746</v>
      </c>
      <c r="E5" s="50">
        <v>435847</v>
      </c>
      <c r="F5" s="50">
        <v>462565.5</v>
      </c>
      <c r="G5" s="17">
        <f t="shared" si="0"/>
        <v>1440559.5</v>
      </c>
      <c r="H5" s="17">
        <f t="shared" si="1"/>
        <v>68691.818681576915</v>
      </c>
      <c r="I5" s="17">
        <f t="shared" si="2"/>
        <v>1371867.681318423</v>
      </c>
    </row>
    <row r="6" spans="1:9" ht="15.75" customHeight="1" x14ac:dyDescent="0.25">
      <c r="A6" s="5">
        <f t="shared" si="3"/>
        <v>2028</v>
      </c>
      <c r="B6" s="49">
        <v>58899</v>
      </c>
      <c r="C6" s="50">
        <v>202412</v>
      </c>
      <c r="D6" s="50">
        <v>336839.5</v>
      </c>
      <c r="E6" s="50">
        <v>420485.5</v>
      </c>
      <c r="F6" s="50">
        <v>456128.5</v>
      </c>
      <c r="G6" s="17">
        <f t="shared" si="0"/>
        <v>1415865.5</v>
      </c>
      <c r="H6" s="17">
        <f t="shared" si="1"/>
        <v>67254.221026732906</v>
      </c>
      <c r="I6" s="17">
        <f t="shared" si="2"/>
        <v>1348611.2789732672</v>
      </c>
    </row>
    <row r="7" spans="1:9" ht="15.75" customHeight="1" x14ac:dyDescent="0.25">
      <c r="A7" s="5">
        <f t="shared" si="3"/>
        <v>2029</v>
      </c>
      <c r="B7" s="49">
        <v>57606</v>
      </c>
      <c r="C7" s="50">
        <v>203577</v>
      </c>
      <c r="D7" s="50">
        <v>336796.5</v>
      </c>
      <c r="E7" s="50">
        <v>402995</v>
      </c>
      <c r="F7" s="50">
        <v>450686.5</v>
      </c>
      <c r="G7" s="17">
        <f t="shared" si="0"/>
        <v>1394055</v>
      </c>
      <c r="H7" s="17">
        <f t="shared" si="1"/>
        <v>65777.80024221084</v>
      </c>
      <c r="I7" s="17">
        <f t="shared" si="2"/>
        <v>1328277.1997577893</v>
      </c>
    </row>
    <row r="8" spans="1:9" ht="15.75" customHeight="1" x14ac:dyDescent="0.25">
      <c r="A8" s="5">
        <f t="shared" si="3"/>
        <v>2030</v>
      </c>
      <c r="B8" s="49">
        <v>56733</v>
      </c>
      <c r="C8" s="50">
        <v>203652</v>
      </c>
      <c r="D8" s="50">
        <v>335027</v>
      </c>
      <c r="E8" s="50">
        <v>389654.5</v>
      </c>
      <c r="F8" s="50">
        <v>444156.5</v>
      </c>
      <c r="G8" s="17">
        <f t="shared" si="0"/>
        <v>1372490</v>
      </c>
      <c r="H8" s="17">
        <f t="shared" si="1"/>
        <v>64780.959294888511</v>
      </c>
      <c r="I8" s="17">
        <f t="shared" si="2"/>
        <v>1307709.0407051116</v>
      </c>
    </row>
    <row r="9" spans="1:9" ht="15.75" customHeight="1" x14ac:dyDescent="0.25">
      <c r="A9" s="5">
        <f t="shared" si="3"/>
        <v>2031</v>
      </c>
      <c r="B9" s="49">
        <v>55693</v>
      </c>
      <c r="C9" s="50">
        <v>203015</v>
      </c>
      <c r="D9" s="50">
        <v>330494</v>
      </c>
      <c r="E9" s="50">
        <v>380410</v>
      </c>
      <c r="F9" s="50">
        <v>437503.5</v>
      </c>
      <c r="G9" s="17">
        <f t="shared" si="0"/>
        <v>1351422.5</v>
      </c>
      <c r="H9" s="17">
        <f t="shared" si="1"/>
        <v>63593.428269441516</v>
      </c>
      <c r="I9" s="17">
        <f t="shared" si="2"/>
        <v>1287829.0717305585</v>
      </c>
    </row>
    <row r="10" spans="1:9" ht="15.75" customHeight="1" x14ac:dyDescent="0.25">
      <c r="A10" s="5">
        <f t="shared" si="3"/>
        <v>2032</v>
      </c>
      <c r="B10" s="49">
        <v>54673</v>
      </c>
      <c r="C10" s="50">
        <v>201871</v>
      </c>
      <c r="D10" s="50">
        <v>324783</v>
      </c>
      <c r="E10" s="50">
        <v>374300.99999999988</v>
      </c>
      <c r="F10" s="50">
        <v>430965</v>
      </c>
      <c r="G10" s="17">
        <f t="shared" si="0"/>
        <v>1331920</v>
      </c>
      <c r="H10" s="17">
        <f t="shared" si="1"/>
        <v>62428.734379099282</v>
      </c>
      <c r="I10" s="17">
        <f t="shared" si="2"/>
        <v>1269491.2656209008</v>
      </c>
    </row>
    <row r="11" spans="1:9" ht="15.75" customHeight="1" x14ac:dyDescent="0.25">
      <c r="A11" s="5">
        <f t="shared" si="3"/>
        <v>2033</v>
      </c>
      <c r="B11" s="49">
        <v>53922</v>
      </c>
      <c r="C11" s="50">
        <v>200555</v>
      </c>
      <c r="D11" s="50">
        <v>319626.5</v>
      </c>
      <c r="E11" s="50">
        <v>368399.5</v>
      </c>
      <c r="F11" s="50">
        <v>422290.5</v>
      </c>
      <c r="G11" s="17">
        <f t="shared" si="0"/>
        <v>1310871.5</v>
      </c>
      <c r="H11" s="17">
        <f t="shared" si="1"/>
        <v>61571.199955915923</v>
      </c>
      <c r="I11" s="17">
        <f t="shared" si="2"/>
        <v>1249300.300044084</v>
      </c>
    </row>
    <row r="12" spans="1:9" ht="15.75" customHeight="1" x14ac:dyDescent="0.25">
      <c r="A12" s="5">
        <f t="shared" si="3"/>
        <v>2034</v>
      </c>
      <c r="B12" s="49">
        <v>53150</v>
      </c>
      <c r="C12" s="50">
        <v>199174.5</v>
      </c>
      <c r="D12" s="50">
        <v>316780.5</v>
      </c>
      <c r="E12" s="50">
        <v>360337</v>
      </c>
      <c r="F12" s="50">
        <v>412526</v>
      </c>
      <c r="G12" s="17">
        <f t="shared" si="0"/>
        <v>1288818</v>
      </c>
      <c r="H12" s="17">
        <f t="shared" si="1"/>
        <v>60689.686540872579</v>
      </c>
      <c r="I12" s="17">
        <f t="shared" si="2"/>
        <v>1228128.3134591274</v>
      </c>
    </row>
    <row r="13" spans="1:9" ht="15.75" customHeight="1" x14ac:dyDescent="0.25">
      <c r="A13" s="5">
        <f t="shared" si="3"/>
        <v>2035</v>
      </c>
      <c r="B13" s="49">
        <v>52470</v>
      </c>
      <c r="C13" s="50">
        <v>197270.5</v>
      </c>
      <c r="D13" s="50">
        <v>316916</v>
      </c>
      <c r="E13" s="50">
        <v>349489.5</v>
      </c>
      <c r="F13" s="50">
        <v>402773.5</v>
      </c>
      <c r="G13" s="17">
        <f t="shared" si="0"/>
        <v>1266449.5</v>
      </c>
      <c r="H13" s="17">
        <f t="shared" si="1"/>
        <v>59913.223947311089</v>
      </c>
      <c r="I13" s="17">
        <f t="shared" si="2"/>
        <v>1206536.2760526889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P/L8+4vorJ6o9yTLPp3t6HPXd87KpU5/uDM2peU1U8+ZcFve0dqjmAi7me9zp3Ghd0eGrU7kWZP1VrhlRb36g==" saltValue="ORRKEgCesmtFf4a7TeG4e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2.6376197362380321E-2</v>
      </c>
    </row>
    <row r="5" spans="1:8" ht="15.75" customHeight="1" x14ac:dyDescent="0.25">
      <c r="B5" s="19" t="s">
        <v>80</v>
      </c>
      <c r="C5" s="101">
        <v>1.9977998002200119E-2</v>
      </c>
    </row>
    <row r="6" spans="1:8" ht="15.75" customHeight="1" x14ac:dyDescent="0.25">
      <c r="B6" s="19" t="s">
        <v>81</v>
      </c>
      <c r="C6" s="101">
        <v>0.1411632858836713</v>
      </c>
    </row>
    <row r="7" spans="1:8" ht="15.75" customHeight="1" x14ac:dyDescent="0.25">
      <c r="B7" s="19" t="s">
        <v>82</v>
      </c>
      <c r="C7" s="101">
        <v>0.63213873678612653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0.1415473858452613</v>
      </c>
    </row>
    <row r="10" spans="1:8" ht="15.75" customHeight="1" x14ac:dyDescent="0.25">
      <c r="B10" s="19" t="s">
        <v>85</v>
      </c>
      <c r="C10" s="101">
        <v>3.8796396120360288E-2</v>
      </c>
    </row>
    <row r="11" spans="1:8" ht="15.75" customHeight="1" x14ac:dyDescent="0.25">
      <c r="B11" s="27" t="s">
        <v>41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1.3038873925610541E-2</v>
      </c>
      <c r="D14" s="55">
        <v>1.3038873925610541E-2</v>
      </c>
      <c r="E14" s="55">
        <v>1.3038873925610541E-2</v>
      </c>
      <c r="F14" s="55">
        <v>1.3038873925610541E-2</v>
      </c>
    </row>
    <row r="15" spans="1:8" ht="15.75" customHeight="1" x14ac:dyDescent="0.25">
      <c r="B15" s="19" t="s">
        <v>88</v>
      </c>
      <c r="C15" s="101">
        <v>0.2425058603064156</v>
      </c>
      <c r="D15" s="101">
        <v>0.2425058603064156</v>
      </c>
      <c r="E15" s="101">
        <v>0.2425058603064156</v>
      </c>
      <c r="F15" s="101">
        <v>0.2425058603064156</v>
      </c>
    </row>
    <row r="16" spans="1:8" ht="15.75" customHeight="1" x14ac:dyDescent="0.25">
      <c r="B16" s="19" t="s">
        <v>89</v>
      </c>
      <c r="C16" s="101">
        <v>0.16458964421727099</v>
      </c>
      <c r="D16" s="101">
        <v>0.16458964421727099</v>
      </c>
      <c r="E16" s="101">
        <v>0.16458964421727099</v>
      </c>
      <c r="F16" s="101">
        <v>0.16458964421727099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0.37636846830508891</v>
      </c>
      <c r="D21" s="101">
        <v>0.37636846830508891</v>
      </c>
      <c r="E21" s="101">
        <v>0.37636846830508891</v>
      </c>
      <c r="F21" s="101">
        <v>0.37636846830508891</v>
      </c>
    </row>
    <row r="22" spans="1:8" ht="15.75" customHeight="1" x14ac:dyDescent="0.25">
      <c r="B22" s="19" t="s">
        <v>95</v>
      </c>
      <c r="C22" s="101">
        <v>0.2034971532456139</v>
      </c>
      <c r="D22" s="101">
        <v>0.2034971532456139</v>
      </c>
      <c r="E22" s="101">
        <v>0.2034971532456139</v>
      </c>
      <c r="F22" s="101">
        <v>0.2034971532456139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7.6356962E-2</v>
      </c>
    </row>
    <row r="27" spans="1:8" ht="15.75" customHeight="1" x14ac:dyDescent="0.25">
      <c r="B27" s="19" t="s">
        <v>102</v>
      </c>
      <c r="C27" s="101">
        <v>4.6857983999999978E-2</v>
      </c>
    </row>
    <row r="28" spans="1:8" ht="15.75" customHeight="1" x14ac:dyDescent="0.25">
      <c r="B28" s="19" t="s">
        <v>103</v>
      </c>
      <c r="C28" s="101">
        <v>8.0995853000000007E-2</v>
      </c>
    </row>
    <row r="29" spans="1:8" ht="15.75" customHeight="1" x14ac:dyDescent="0.25">
      <c r="B29" s="19" t="s">
        <v>104</v>
      </c>
      <c r="C29" s="101">
        <v>0.17572802300000001</v>
      </c>
    </row>
    <row r="30" spans="1:8" ht="15.75" customHeight="1" x14ac:dyDescent="0.25">
      <c r="B30" s="19" t="s">
        <v>2</v>
      </c>
      <c r="C30" s="101">
        <v>0.102999484</v>
      </c>
    </row>
    <row r="31" spans="1:8" ht="15.75" customHeight="1" x14ac:dyDescent="0.25">
      <c r="B31" s="19" t="s">
        <v>105</v>
      </c>
      <c r="C31" s="101">
        <v>3.8216664999999997E-2</v>
      </c>
    </row>
    <row r="32" spans="1:8" ht="15.75" customHeight="1" x14ac:dyDescent="0.25">
      <c r="B32" s="19" t="s">
        <v>106</v>
      </c>
      <c r="C32" s="101">
        <v>0.17722406800000001</v>
      </c>
    </row>
    <row r="33" spans="2:3" ht="15.75" customHeight="1" x14ac:dyDescent="0.25">
      <c r="B33" s="19" t="s">
        <v>107</v>
      </c>
      <c r="C33" s="101">
        <v>0.162579839</v>
      </c>
    </row>
    <row r="34" spans="2:3" ht="15.75" customHeight="1" x14ac:dyDescent="0.25">
      <c r="B34" s="19" t="s">
        <v>108</v>
      </c>
      <c r="C34" s="101">
        <v>0.13904112199999999</v>
      </c>
    </row>
    <row r="35" spans="2:3" ht="15.75" customHeight="1" x14ac:dyDescent="0.25">
      <c r="B35" s="27" t="s">
        <v>41</v>
      </c>
      <c r="C35" s="48">
        <f>SUM(C26:C34)</f>
        <v>0.99999999999999989</v>
      </c>
    </row>
  </sheetData>
  <sheetProtection algorithmName="SHA-512" hashValue="q91gqQ0HWqz2aIWEwW0h0Agw1ANudaYOHCpCHaB9jgKSaSU6i8tNy2BkiChI5Z285GRyfpd8gFUFvpFmQimPwA==" saltValue="o+HOW7YzhF2LcdseqEDmC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0.59390726713780428</v>
      </c>
      <c r="D2" s="52">
        <f>IFERROR(1-_xlfn.NORM.DIST(_xlfn.NORM.INV(SUM(D4:D5), 0, 1) + 1, 0, 1, TRUE), "")</f>
        <v>0.59390726713780428</v>
      </c>
      <c r="E2" s="52">
        <f>IFERROR(1-_xlfn.NORM.DIST(_xlfn.NORM.INV(SUM(E4:E5), 0, 1) + 1, 0, 1, TRUE), "")</f>
        <v>0.74371708472323184</v>
      </c>
      <c r="F2" s="52">
        <f>IFERROR(1-_xlfn.NORM.DIST(_xlfn.NORM.INV(SUM(F4:F5), 0, 1) + 1, 0, 1, TRUE), "")</f>
        <v>0.77886571160733875</v>
      </c>
      <c r="G2" s="52">
        <f>IFERROR(1-_xlfn.NORM.DIST(_xlfn.NORM.INV(SUM(G4:G5), 0, 1) + 1, 0, 1, TRUE), "")</f>
        <v>0.72889505518581521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0.29816193286219578</v>
      </c>
      <c r="D3" s="52">
        <f>IFERROR(_xlfn.NORM.DIST(_xlfn.NORM.INV(SUM(D4:D5), 0, 1) + 1, 0, 1, TRUE) - SUM(D4:D5), "")</f>
        <v>0.29816193286219578</v>
      </c>
      <c r="E3" s="52">
        <f>IFERROR(_xlfn.NORM.DIST(_xlfn.NORM.INV(SUM(E4:E5), 0, 1) + 1, 0, 1, TRUE) - SUM(E4:E5), "")</f>
        <v>0.20730521527676815</v>
      </c>
      <c r="F3" s="52">
        <f>IFERROR(_xlfn.NORM.DIST(_xlfn.NORM.INV(SUM(F4:F5), 0, 1) + 1, 0, 1, TRUE) - SUM(F4:F5), "")</f>
        <v>0.18263458839266131</v>
      </c>
      <c r="G3" s="52">
        <f>IFERROR(_xlfn.NORM.DIST(_xlfn.NORM.INV(SUM(G4:G5), 0, 1) + 1, 0, 1, TRUE) - SUM(G4:G5), "")</f>
        <v>0.21734864481418481</v>
      </c>
    </row>
    <row r="4" spans="1:15" ht="15.75" customHeight="1" x14ac:dyDescent="0.25">
      <c r="B4" s="5" t="s">
        <v>114</v>
      </c>
      <c r="C4" s="45">
        <v>7.0136699999999996E-2</v>
      </c>
      <c r="D4" s="53">
        <v>7.0136699999999996E-2</v>
      </c>
      <c r="E4" s="53">
        <v>3.4336800000000001E-2</v>
      </c>
      <c r="F4" s="53">
        <v>2.6632300000000001E-2</v>
      </c>
      <c r="G4" s="53">
        <v>3.4629399999999998E-2</v>
      </c>
    </row>
    <row r="5" spans="1:15" ht="15.75" customHeight="1" x14ac:dyDescent="0.25">
      <c r="B5" s="5" t="s">
        <v>115</v>
      </c>
      <c r="C5" s="45">
        <v>3.7794099999999997E-2</v>
      </c>
      <c r="D5" s="53">
        <v>3.7794099999999997E-2</v>
      </c>
      <c r="E5" s="53">
        <v>1.46409E-2</v>
      </c>
      <c r="F5" s="53">
        <v>1.18674E-2</v>
      </c>
      <c r="G5" s="53">
        <v>1.9126899999999999E-2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0.68723648599051779</v>
      </c>
      <c r="D8" s="52">
        <f>IFERROR(1-_xlfn.NORM.DIST(_xlfn.NORM.INV(SUM(D10:D11), 0, 1) + 1, 0, 1, TRUE), "")</f>
        <v>0.68723648599051779</v>
      </c>
      <c r="E8" s="52">
        <f>IFERROR(1-_xlfn.NORM.DIST(_xlfn.NORM.INV(SUM(E10:E11), 0, 1) + 1, 0, 1, TRUE), "")</f>
        <v>0.77701468268072693</v>
      </c>
      <c r="F8" s="52">
        <f>IFERROR(1-_xlfn.NORM.DIST(_xlfn.NORM.INV(SUM(F10:F11), 0, 1) + 1, 0, 1, TRUE), "")</f>
        <v>0.9136633808576291</v>
      </c>
      <c r="G8" s="52">
        <f>IFERROR(1-_xlfn.NORM.DIST(_xlfn.NORM.INV(SUM(G10:G11), 0, 1) + 1, 0, 1, TRUE), "")</f>
        <v>0.83498121266580128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0.24439231400948222</v>
      </c>
      <c r="D9" s="52">
        <f>IFERROR(_xlfn.NORM.DIST(_xlfn.NORM.INV(SUM(D10:D11), 0, 1) + 1, 0, 1, TRUE) - SUM(D10:D11), "")</f>
        <v>0.24439231400948222</v>
      </c>
      <c r="E9" s="52">
        <f>IFERROR(_xlfn.NORM.DIST(_xlfn.NORM.INV(SUM(E10:E11), 0, 1) + 1, 0, 1, TRUE) - SUM(E10:E11), "")</f>
        <v>0.18396331731927304</v>
      </c>
      <c r="F9" s="52">
        <f>IFERROR(_xlfn.NORM.DIST(_xlfn.NORM.INV(SUM(F10:F11), 0, 1) + 1, 0, 1, TRUE) - SUM(F10:F11), "")</f>
        <v>7.7289019142370949E-2</v>
      </c>
      <c r="G9" s="52">
        <f>IFERROR(_xlfn.NORM.DIST(_xlfn.NORM.INV(SUM(G10:G11), 0, 1) + 1, 0, 1, TRUE) - SUM(G10:G11), "")</f>
        <v>0.14083008733419869</v>
      </c>
    </row>
    <row r="10" spans="1:15" ht="15.75" customHeight="1" x14ac:dyDescent="0.25">
      <c r="B10" s="5" t="s">
        <v>119</v>
      </c>
      <c r="C10" s="45">
        <v>6.8371199999999993E-2</v>
      </c>
      <c r="D10" s="53">
        <v>6.8371199999999993E-2</v>
      </c>
      <c r="E10" s="53">
        <v>2.5490800000000001E-2</v>
      </c>
      <c r="F10" s="53">
        <v>2.9429999999999999E-3</v>
      </c>
      <c r="G10" s="53">
        <v>2.01747E-2</v>
      </c>
    </row>
    <row r="11" spans="1:15" ht="15.75" customHeight="1" x14ac:dyDescent="0.25">
      <c r="B11" s="5" t="s">
        <v>120</v>
      </c>
      <c r="C11" s="45">
        <v>0</v>
      </c>
      <c r="D11" s="53">
        <v>0</v>
      </c>
      <c r="E11" s="53">
        <v>1.35312E-2</v>
      </c>
      <c r="F11" s="53">
        <v>6.1046E-3</v>
      </c>
      <c r="G11" s="53">
        <v>4.0140000000000002E-3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0.40326360550000012</v>
      </c>
      <c r="D14" s="54">
        <v>0.41716673795999992</v>
      </c>
      <c r="E14" s="54">
        <v>0.41716673795999992</v>
      </c>
      <c r="F14" s="54">
        <v>0.180481621654</v>
      </c>
      <c r="G14" s="54">
        <v>0.180481621654</v>
      </c>
      <c r="H14" s="45">
        <v>0.28399999999999997</v>
      </c>
      <c r="I14" s="55">
        <v>0.28399999999999997</v>
      </c>
      <c r="J14" s="55">
        <v>0.28399999999999997</v>
      </c>
      <c r="K14" s="55">
        <v>0.28399999999999997</v>
      </c>
      <c r="L14" s="45">
        <v>0.27200000000000002</v>
      </c>
      <c r="M14" s="55">
        <v>0.27200000000000002</v>
      </c>
      <c r="N14" s="55">
        <v>0.27200000000000002</v>
      </c>
      <c r="O14" s="55">
        <v>0.27200000000000002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0.25129371576732507</v>
      </c>
      <c r="D15" s="52">
        <f t="shared" si="0"/>
        <v>0.25995745275977394</v>
      </c>
      <c r="E15" s="52">
        <f t="shared" si="0"/>
        <v>0.25995745275977394</v>
      </c>
      <c r="F15" s="52">
        <f t="shared" si="0"/>
        <v>0.11246712253369009</v>
      </c>
      <c r="G15" s="52">
        <f t="shared" si="0"/>
        <v>0.11246712253369009</v>
      </c>
      <c r="H15" s="52">
        <f t="shared" si="0"/>
        <v>0.17697459999999998</v>
      </c>
      <c r="I15" s="52">
        <f t="shared" si="0"/>
        <v>0.17697459999999998</v>
      </c>
      <c r="J15" s="52">
        <f t="shared" si="0"/>
        <v>0.17697459999999998</v>
      </c>
      <c r="K15" s="52">
        <f t="shared" si="0"/>
        <v>0.17697459999999998</v>
      </c>
      <c r="L15" s="52">
        <f t="shared" si="0"/>
        <v>0.1694968</v>
      </c>
      <c r="M15" s="52">
        <f t="shared" si="0"/>
        <v>0.1694968</v>
      </c>
      <c r="N15" s="52">
        <f t="shared" si="0"/>
        <v>0.1694968</v>
      </c>
      <c r="O15" s="52">
        <f t="shared" si="0"/>
        <v>0.1694968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T19V3XABToyfxcdcunV3ztSGdbKpQiKAMtehWLxU0lsQLMb8L4HVdFbFZyTbN+EdUNhFc/Wc27u6QKW7502Anw==" saltValue="PjLywQD/s3le0HBvn9MY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0.57374920000000007</v>
      </c>
      <c r="D2" s="53">
        <v>0.21961839999999999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0.32482139999999998</v>
      </c>
      <c r="D3" s="53">
        <v>0.29721890000000001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5.2271599999999988E-2</v>
      </c>
      <c r="D4" s="53">
        <v>0.1803351</v>
      </c>
      <c r="E4" s="53">
        <v>0.44911450000000003</v>
      </c>
      <c r="F4" s="53">
        <v>0.1620346</v>
      </c>
      <c r="G4" s="53">
        <v>0</v>
      </c>
    </row>
    <row r="5" spans="1:7" x14ac:dyDescent="0.25">
      <c r="B5" s="3" t="s">
        <v>132</v>
      </c>
      <c r="C5" s="52">
        <v>4.9157800000000001E-2</v>
      </c>
      <c r="D5" s="52">
        <v>0.30282759999999997</v>
      </c>
      <c r="E5" s="52">
        <f>1-SUM(E2:E4)</f>
        <v>0.55088549999999992</v>
      </c>
      <c r="F5" s="52">
        <f>1-SUM(F2:F4)</f>
        <v>0.83796539999999997</v>
      </c>
      <c r="G5" s="52">
        <f>1-SUM(G2:G4)</f>
        <v>1</v>
      </c>
    </row>
  </sheetData>
  <sheetProtection algorithmName="SHA-512" hashValue="yJehBGLxZciaA7lQCXJNLDZ9pW9VBlPrVjU4omeod+JHKHprK0zjkXxQoCQQ4t814Vmje0/RkUEKz4JOrwlXtg==" saltValue="dFSViJFtoxFytcsNqEieA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HQjKeqU1FPPG4XK2IS/7cloGWv4y1eYx381E3pP7lf7GrR7+vlhxN6/CN31QYeQsqf3slW5qCbpj8csDhOeL4Q==" saltValue="smfr6SReZnOeB8+Z7ymt1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kMMou4SRMHFk2FDBPwr6Yudbs5CFcFBpC2aQ/89EXRQyaEdIPkdb6TcXeePCllh0s7LAR811lzKHqK0Lu5iW8Q==" saltValue="uhZQbH7UCjkg/5cx56EOQ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tJdzrlvFWppvvF3hYN+ZcFploaf4XyPvnQF++GJwWlKpEdBM8msYT8YdyktroaSDjh738jjebM785PIKeDhF6w==" saltValue="k6g+jy01ayg/uXyTGi7Bo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zAbkq0P9B5cP077VE+wzujGMieVbFrZpzf2DDaAmUx6qpprFYJtqxDkhcdz0pQRUiPeGYqBGIrTF9GVjBxIOwA==" saltValue="SlMWufeGpDsdEO6mDanXW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66.2077864022162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6.0795311102264001E-2</v>
      </c>
      <c r="C3" s="98">
        <v>0.95</v>
      </c>
      <c r="D3" s="56">
        <v>40.063438578113967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542.61982788724652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6.9000643786438447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13.195738021909881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13.195738021909881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13.195738021909881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13.195738021909881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13.195738021909881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13.195738021909881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0.90250382180522548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0.12592909999999999</v>
      </c>
      <c r="C18" s="98">
        <v>0.95</v>
      </c>
      <c r="D18" s="56">
        <v>12.47074045559749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0.97910419999999998</v>
      </c>
      <c r="C19" s="98">
        <v>0.95</v>
      </c>
      <c r="D19" s="56">
        <v>12.47074045559749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0.94893539999999998</v>
      </c>
      <c r="C21" s="98">
        <v>0.95</v>
      </c>
      <c r="D21" s="56">
        <v>68.582775194044444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22.867873379757981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4.3940617735474108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0.95424920000000002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18.764182705510279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0.74832009999999993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132.3139429353005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1.1924310040780739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1.956691543072911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0.85884820000000006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0.35967890000000002</v>
      </c>
      <c r="C38" s="98">
        <v>0.95</v>
      </c>
      <c r="D38" s="56">
        <v>2.764629090051816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ifcvf+ZxuGK2DqIr5/HzjXVUzjXZif87I9Rcb5dWI/encdRDwKWHSOXUIkW6C8OUzgl7dMLuIFljdAyUsmwWOA==" saltValue="zVOv4eCyy1zz28HvsR6B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33N1xcTslaQuYdrPmVaXgUGIPgjPk4JiAwD/yONhgHptBZGU/17+1xFz/w8NnYZOOhfRCCp83pVEraao+Gl5Bw==" saltValue="cyG49xR6onlLK6JUIbP4Y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aAbGLasXbdOpHlCvFrQcbjXORpYjof40FFeYOa2YL4XMq806jYVzRSmzM83g9nPvBb9O+WcooQM1yU5dR7GhwA==" saltValue="RXodUjmGR6G7mRLdNnkb5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0.17776512</v>
      </c>
      <c r="C3" s="21">
        <f>frac_mam_1_5months * 2.6</f>
        <v>0.17776512</v>
      </c>
      <c r="D3" s="21">
        <f>frac_mam_6_11months * 2.6</f>
        <v>6.6276080000000001E-2</v>
      </c>
      <c r="E3" s="21">
        <f>frac_mam_12_23months * 2.6</f>
        <v>7.6518000000000003E-3</v>
      </c>
      <c r="F3" s="21">
        <f>frac_mam_24_59months * 2.6</f>
        <v>5.2454220000000003E-2</v>
      </c>
    </row>
    <row r="4" spans="1:6" ht="15.75" customHeight="1" x14ac:dyDescent="0.25">
      <c r="A4" s="3" t="s">
        <v>208</v>
      </c>
      <c r="B4" s="21">
        <f>frac_sam_1month * 2.6</f>
        <v>0</v>
      </c>
      <c r="C4" s="21">
        <f>frac_sam_1_5months * 2.6</f>
        <v>0</v>
      </c>
      <c r="D4" s="21">
        <f>frac_sam_6_11months * 2.6</f>
        <v>3.5181120000000003E-2</v>
      </c>
      <c r="E4" s="21">
        <f>frac_sam_12_23months * 2.6</f>
        <v>1.5871960000000001E-2</v>
      </c>
      <c r="F4" s="21">
        <f>frac_sam_24_59months * 2.6</f>
        <v>1.04364E-2</v>
      </c>
    </row>
  </sheetData>
  <sheetProtection algorithmName="SHA-512" hashValue="qmxMtqjGeb9aZJ0U1FSzhwuroYuk+B05BLoJxinsENn8z/8o9tyR+LOnBu3afsmX+b5IdmuDDWIQ/Rx05wP+Mw==" saltValue="r2tB3UXdfN4cToxEYYP7t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5.5E-2</v>
      </c>
      <c r="E2" s="60">
        <f>food_insecure</f>
        <v>5.5E-2</v>
      </c>
      <c r="F2" s="60">
        <f>food_insecure</f>
        <v>5.5E-2</v>
      </c>
      <c r="G2" s="60">
        <f>food_insecure</f>
        <v>5.5E-2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5.5E-2</v>
      </c>
      <c r="F5" s="60">
        <f>food_insecure</f>
        <v>5.5E-2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5.5E-2</v>
      </c>
      <c r="F8" s="60">
        <f>food_insecure</f>
        <v>5.5E-2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5.5E-2</v>
      </c>
      <c r="F9" s="60">
        <f>food_insecure</f>
        <v>5.5E-2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5.5E-2</v>
      </c>
      <c r="I15" s="60">
        <f>food_insecure</f>
        <v>5.5E-2</v>
      </c>
      <c r="J15" s="60">
        <f>food_insecure</f>
        <v>5.5E-2</v>
      </c>
      <c r="K15" s="60">
        <f>food_insecure</f>
        <v>5.5E-2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0.74900000000000011</v>
      </c>
      <c r="M24" s="60">
        <f>famplan_unmet_need</f>
        <v>0.74900000000000011</v>
      </c>
      <c r="N24" s="60">
        <f>famplan_unmet_need</f>
        <v>0.74900000000000011</v>
      </c>
      <c r="O24" s="60">
        <f>famplan_unmet_need</f>
        <v>0.74900000000000011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3.5469570693969873E-2</v>
      </c>
      <c r="M25" s="60">
        <f>(1-food_insecure)*(0.49)+food_insecure*(0.7)</f>
        <v>0.50154999999999994</v>
      </c>
      <c r="N25" s="60">
        <f>(1-food_insecure)*(0.49)+food_insecure*(0.7)</f>
        <v>0.50154999999999994</v>
      </c>
      <c r="O25" s="60">
        <f>(1-food_insecure)*(0.49)+food_insecure*(0.7)</f>
        <v>0.50154999999999994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1.5201244583129945E-2</v>
      </c>
      <c r="M26" s="60">
        <f>(1-food_insecure)*(0.21)+food_insecure*(0.3)</f>
        <v>0.21494999999999997</v>
      </c>
      <c r="N26" s="60">
        <f>(1-food_insecure)*(0.21)+food_insecure*(0.3)</f>
        <v>0.21494999999999997</v>
      </c>
      <c r="O26" s="60">
        <f>(1-food_insecure)*(0.21)+food_insecure*(0.3)</f>
        <v>0.21494999999999997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2.0049094390869222E-2</v>
      </c>
      <c r="M27" s="60">
        <f>(1-food_insecure)*(0.3)</f>
        <v>0.28349999999999997</v>
      </c>
      <c r="N27" s="60">
        <f>(1-food_insecure)*(0.3)</f>
        <v>0.28349999999999997</v>
      </c>
      <c r="O27" s="60">
        <f>(1-food_insecure)*(0.3)</f>
        <v>0.28349999999999997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0.92928009033203085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3zsSkGyqoyDENdJlBeh4KFx1Ks9pfKnS33cSZKe0dOKJsHRuuX+dWpGR6a05HrAG9R6R7yZeRFJ4671yMz2mg==" saltValue="KHrhPQVmCFjLMX40FWmHY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dyFRt9jC+WhfMbevGBiFvSlwjgy6W8eHB1xWEpU6BPCsmGOlq0ym4dtDclkw2IhKn3uWBqkErbBXmvTPmIDO+A==" saltValue="ZK8N+ZgGknEEKfr6Y3Dwe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q29ZkpzcL5o79RxjpWRCHC1RloRgjheuNJCcJ/nHnilEwBFzHy29rZAIoE6V5KowBZzeHH9vnzpfzXbdCOr8w==" saltValue="zmH6Zw2G/LTOwdhWN3Nnr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+UZSMPI1A2PsVV0ndnWIYWVjmgeSNNMznWhhj80QMcl5Sqm50QzGbIVAaNDClgFSsSBHilJGlfeEEnOEEo1EAg==" saltValue="tRMZYhasUvm5np1YK57iq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nAc2GvybMaZ4l2OeKaHCXBqRQjPtJEY9pDznqP2N1xS9ouof9/pK43G9BhL1AL0Uz+/pEjMHOF/MGJZUKKsq+A==" saltValue="N9RrarQAODsRr6KVe861M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1txmCU6HwKUk+hpUYIguCHqonc0e+Qd3u0dlCwhwRsSbP8kFe4mgeLNAe+bwLEmqG1+2BUsZEcEwlKdsTgurzA==" saltValue="ThuJ6GtpTYawOtKT7Cf34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UW9ycj5fLUjG9Vn7KcqMjU/qc10GuxcoelLIfzw7HsVn4Do5u/cm2tOyhKyFEceIPWiBVV9wWaTRFtrowbVnzg==" saltValue="54LRg+Vv6zithuVt9d8j0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WN1KOs9KJ0N/n419x7OenctOeDdojRpGwbxzcxCHOzOYum6NAkK0BMal4mKOET4sR/Nq58xQkpEOvPzLY6EWg==" saltValue="MzG3OlDatX/hdWT7XzXz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a18qFmJJig4dBH9JpAyaLYmXzB9RKC9ax1TY3xdna740Eh03uDTf+RteDfLtv+iayMS1OQztA7l0xCHcqdCIg==" saltValue="HwHUzMuSths0jSZTv6aC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hyOMN+IDvrx4SoaMWQ9jo5Xbb7g0JZcOLHGgYeNuAh4k8aq65iF6US3XiLXjj6RpFRmkBqdKStcviQxYz0h/Fw==" saltValue="2CCF/VmEDxDNif3zsHbg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MEIpRDfZcjPmNr9AiPtjwgZI6HSr2gTXiuXO3Rzy78MufhDedug7aFK9UHAT+fKQLkyCsHQlESjyXhSpem7UvA==" saltValue="oKHk485O8wjeIQ+4Gfbt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KNozxfoT+pQtc6g8vJKIneoCSL/KBtXRdmLoYslwDMEYaX1uBPkt0hBDS+PMVrmgqHeI/3oU4Um0oiSoKF5kQ==" saltValue="OczeLkWrVqD0uoOP6Kuz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iTFsucKB/aldZbsvkpHHNEzFf3KCb8EyBzrjqB1FBCQMzvl5D/y3FjCb9/MGbqDj2TV5JtTMVJmPZkAcVxT+KA==" saltValue="BiSmXvKbukcjJotP6kHgf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uXUfFSWO9UOFhY9Q3RAmd3c4lZsc9DBJRTZ1SEJAgQsF2sOJio8X4qIuAo0lKWRIPpyMMt+SyfNEeQRAQZ9cKw==" saltValue="hp9bMHPh8vBxVoSbWTnn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UOuJtjdM9DgBNr6hltx7dYUpCWpkrLseh6YwYQO0Wx2zvA7Hb4k+TSexwGTllWYbM3+QcTX0Utgm2l72KxBCyA==" saltValue="gqDWS80FJpr9QssYaoHl3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2024-05-17T00:52:36Z</dcterms:modified>
</cp:coreProperties>
</file>