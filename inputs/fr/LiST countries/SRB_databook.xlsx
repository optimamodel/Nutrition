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A05B8F34-4898-47F9-A20D-1EF5A3F58653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4" i="2"/>
  <c r="A31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7" i="2" l="1"/>
  <c r="I13" i="2"/>
  <c r="A23" i="2"/>
  <c r="A25" i="2"/>
  <c r="A40" i="2"/>
  <c r="A24" i="2"/>
  <c r="A26" i="2"/>
  <c r="I6" i="2"/>
  <c r="I12" i="2"/>
  <c r="A35" i="2"/>
  <c r="A36" i="2"/>
  <c r="I4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<sst xmlns="http://schemas.openxmlformats.org/spreadsheetml/2006/main" count="2169" uniqueCount="369">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</sst>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301541</v>
      </c>
    </row>
    <row r="8" spans="1:3" ht="15" customHeight="1" x14ac:dyDescent="0.25">
      <c r="B8" s="5" t="s">
        <v>37</v>
      </c>
      <c r="C8" s="44">
        <v>5.5E-2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0.92928009033203096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5.9700000000000003E-2</v>
      </c>
    </row>
    <row r="24" spans="1:3" ht="15" customHeight="1" x14ac:dyDescent="0.25">
      <c r="B24" s="15" t="s">
        <v>51</v>
      </c>
      <c r="C24" s="45">
        <v>0.495</v>
      </c>
    </row>
    <row r="25" spans="1:3" ht="15" customHeight="1" x14ac:dyDescent="0.25">
      <c r="B25" s="15" t="s">
        <v>52</v>
      </c>
      <c r="C25" s="45">
        <v>0.42230000000000001</v>
      </c>
    </row>
    <row r="26" spans="1:3" ht="15" customHeight="1" x14ac:dyDescent="0.25">
      <c r="B26" s="15" t="s">
        <v>53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0.51101988116637098</v>
      </c>
    </row>
    <row r="30" spans="1:3" ht="14.25" customHeight="1" x14ac:dyDescent="0.25">
      <c r="B30" s="25" t="s">
        <v>56</v>
      </c>
      <c r="C30" s="97">
        <v>3.6928466503456402E-2</v>
      </c>
    </row>
    <row r="31" spans="1:3" ht="14.25" customHeight="1" x14ac:dyDescent="0.25">
      <c r="B31" s="25" t="s">
        <v>57</v>
      </c>
      <c r="C31" s="97">
        <v>4.0966963582223501E-2</v>
      </c>
    </row>
    <row r="32" spans="1:3" ht="14.25" customHeight="1" x14ac:dyDescent="0.25">
      <c r="B32" s="25" t="s">
        <v>58</v>
      </c>
      <c r="C32" s="97">
        <v>0.41108468874794901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3.5533999999999999</v>
      </c>
    </row>
    <row r="38" spans="1:5" ht="15" customHeight="1" x14ac:dyDescent="0.25">
      <c r="B38" s="11" t="s">
        <v>63</v>
      </c>
      <c r="C38" s="43">
        <v>4.7455299999999996</v>
      </c>
      <c r="D38" s="12"/>
      <c r="E38" s="13"/>
    </row>
    <row r="39" spans="1:5" ht="15" customHeight="1" x14ac:dyDescent="0.25">
      <c r="B39" s="11" t="s">
        <v>64</v>
      </c>
      <c r="C39" s="43">
        <v>5.4872699999999996</v>
      </c>
      <c r="D39" s="12"/>
      <c r="E39" s="12"/>
    </row>
    <row r="40" spans="1:5" ht="15" customHeight="1" x14ac:dyDescent="0.25">
      <c r="B40" s="11" t="s">
        <v>65</v>
      </c>
      <c r="C40" s="98">
        <v>0.1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3.4918000000000002E-3</v>
      </c>
      <c r="D45" s="12"/>
    </row>
    <row r="46" spans="1:5" ht="15.75" customHeight="1" x14ac:dyDescent="0.25">
      <c r="B46" s="11" t="s">
        <v>70</v>
      </c>
      <c r="C46" s="45">
        <v>3.7518500000000003E-2</v>
      </c>
      <c r="D46" s="12"/>
    </row>
    <row r="47" spans="1:5" ht="15.75" customHeight="1" x14ac:dyDescent="0.25">
      <c r="B47" s="11" t="s">
        <v>71</v>
      </c>
      <c r="C47" s="45">
        <v>7.7681799999999995E-2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0.62314999999999998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koZ5eZNeZZRCFs2AWDIaXTVWmxwRQuOI5V5GFaA1m12wrCLqAviPlhHYx250evT0wDoMs07Nn/Gtwtyc1i9ouQ==" saltValue="zLqWEjjZRa8XjiMahxRn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58988</v>
      </c>
      <c r="C2" s="49">
        <v>168609</v>
      </c>
      <c r="D2" s="49">
        <v>363775</v>
      </c>
      <c r="E2" s="49">
        <v>428512</v>
      </c>
      <c r="F2" s="49">
        <v>489881</v>
      </c>
      <c r="G2" s="17">
        <f t="shared" ref="G2:G13" si="0">C2+D2+E2+F2</f>
        <v>1450777</v>
      </c>
      <c r="H2" s="17">
        <f t="shared" ref="H2:H13" si="1">(B2 + stillbirth*B2/(1000-stillbirth))/(1-abortion)</f>
        <v>67355.846277949051</v>
      </c>
      <c r="I2" s="17">
        <f t="shared" ref="I2:I13" si="2">G2-H2</f>
        <v>1383421.1537220511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58142</v>
      </c>
      <c r="C3" s="50">
        <v>166224.5</v>
      </c>
      <c r="D3" s="50">
        <v>356852.5</v>
      </c>
      <c r="E3" s="50">
        <v>419605.5</v>
      </c>
      <c r="F3" s="50">
        <v>486820.5</v>
      </c>
      <c r="G3" s="17">
        <f t="shared" si="0"/>
        <v>1429503</v>
      </c>
      <c r="H3" s="17">
        <f t="shared" si="1"/>
        <v>66389.835463018127</v>
      </c>
      <c r="I3" s="17">
        <f t="shared" si="2"/>
        <v>1363113.1645369818</v>
      </c>
    </row>
    <row r="4" spans="1:9" ht="15.75" customHeight="1" x14ac:dyDescent="0.25">
      <c r="A4" s="5">
        <f t="shared" si="3"/>
        <v>2026</v>
      </c>
      <c r="B4" s="49">
        <v>57151</v>
      </c>
      <c r="C4" s="50">
        <v>164395</v>
      </c>
      <c r="D4" s="50">
        <v>350086</v>
      </c>
      <c r="E4" s="50">
        <v>411985</v>
      </c>
      <c r="F4" s="50">
        <v>481438.99999999994</v>
      </c>
      <c r="G4" s="17">
        <f t="shared" si="0"/>
        <v>1407905</v>
      </c>
      <c r="H4" s="17">
        <f t="shared" si="1"/>
        <v>65258.255418577777</v>
      </c>
      <c r="I4" s="17">
        <f t="shared" si="2"/>
        <v>1342646.7445814223</v>
      </c>
    </row>
    <row r="5" spans="1:9" ht="15.75" customHeight="1" x14ac:dyDescent="0.25">
      <c r="A5" s="5">
        <f t="shared" si="3"/>
        <v>2027</v>
      </c>
      <c r="B5" s="49">
        <v>56385</v>
      </c>
      <c r="C5" s="50">
        <v>163258.5</v>
      </c>
      <c r="D5" s="50">
        <v>344814.49999999994</v>
      </c>
      <c r="E5" s="50">
        <v>404082</v>
      </c>
      <c r="F5" s="50">
        <v>475496.49999999994</v>
      </c>
      <c r="G5" s="17">
        <f t="shared" si="0"/>
        <v>1387651.5</v>
      </c>
      <c r="H5" s="17">
        <f t="shared" si="1"/>
        <v>64383.593144065868</v>
      </c>
      <c r="I5" s="17">
        <f t="shared" si="2"/>
        <v>1323267.9068559341</v>
      </c>
    </row>
    <row r="6" spans="1:9" ht="15.75" customHeight="1" x14ac:dyDescent="0.25">
      <c r="A6" s="5">
        <f t="shared" si="3"/>
        <v>2028</v>
      </c>
      <c r="B6" s="49">
        <v>55641</v>
      </c>
      <c r="C6" s="50">
        <v>162542</v>
      </c>
      <c r="D6" s="50">
        <v>340786</v>
      </c>
      <c r="E6" s="50">
        <v>395133.5</v>
      </c>
      <c r="F6" s="50">
        <v>469486.99999999994</v>
      </c>
      <c r="G6" s="17">
        <f t="shared" si="0"/>
        <v>1367948.5</v>
      </c>
      <c r="H6" s="17">
        <f t="shared" si="1"/>
        <v>63534.051718169168</v>
      </c>
      <c r="I6" s="17">
        <f t="shared" si="2"/>
        <v>1304414.4482818309</v>
      </c>
    </row>
    <row r="7" spans="1:9" ht="15.75" customHeight="1" x14ac:dyDescent="0.25">
      <c r="A7" s="5">
        <f t="shared" si="3"/>
        <v>2029</v>
      </c>
      <c r="B7" s="49">
        <v>54918</v>
      </c>
      <c r="C7" s="50">
        <v>162084.5</v>
      </c>
      <c r="D7" s="50">
        <v>337685</v>
      </c>
      <c r="E7" s="50">
        <v>386496</v>
      </c>
      <c r="F7" s="50">
        <v>462685.5</v>
      </c>
      <c r="G7" s="17">
        <f t="shared" si="0"/>
        <v>1348951</v>
      </c>
      <c r="H7" s="17">
        <f t="shared" si="1"/>
        <v>62708.489284132462</v>
      </c>
      <c r="I7" s="17">
        <f t="shared" si="2"/>
        <v>1286242.5107158676</v>
      </c>
    </row>
    <row r="8" spans="1:9" ht="15.75" customHeight="1" x14ac:dyDescent="0.25">
      <c r="A8" s="5">
        <f t="shared" si="3"/>
        <v>2030</v>
      </c>
      <c r="B8" s="49">
        <v>54248</v>
      </c>
      <c r="C8" s="50">
        <v>161796.5</v>
      </c>
      <c r="D8" s="50">
        <v>335078.99999999994</v>
      </c>
      <c r="E8" s="50">
        <v>378670.49999999994</v>
      </c>
      <c r="F8" s="50">
        <v>454998</v>
      </c>
      <c r="G8" s="17">
        <f t="shared" si="0"/>
        <v>1330544</v>
      </c>
      <c r="H8" s="17">
        <f t="shared" si="1"/>
        <v>61943.445258123342</v>
      </c>
      <c r="I8" s="17">
        <f t="shared" si="2"/>
        <v>1268600.5547418767</v>
      </c>
    </row>
    <row r="9" spans="1:9" ht="15.75" customHeight="1" x14ac:dyDescent="0.25">
      <c r="A9" s="5">
        <f t="shared" si="3"/>
        <v>2031</v>
      </c>
      <c r="B9" s="49">
        <v>53607</v>
      </c>
      <c r="C9" s="50">
        <v>161580.5</v>
      </c>
      <c r="D9" s="50">
        <v>331620.5</v>
      </c>
      <c r="E9" s="50">
        <v>371982.49999999994</v>
      </c>
      <c r="F9" s="50">
        <v>447359</v>
      </c>
      <c r="G9" s="17">
        <f t="shared" si="0"/>
        <v>1312542.5</v>
      </c>
      <c r="H9" s="17">
        <f t="shared" si="1"/>
        <v>61211.515078016113</v>
      </c>
      <c r="I9" s="17">
        <f t="shared" si="2"/>
        <v>1251330.9849219839</v>
      </c>
    </row>
    <row r="10" spans="1:9" ht="15.75" customHeight="1" x14ac:dyDescent="0.25">
      <c r="A10" s="5">
        <f t="shared" si="3"/>
        <v>2032</v>
      </c>
      <c r="B10" s="49">
        <v>53089</v>
      </c>
      <c r="C10" s="50">
        <v>161340.5</v>
      </c>
      <c r="D10" s="50">
        <v>327357</v>
      </c>
      <c r="E10" s="50">
        <v>366563.5</v>
      </c>
      <c r="F10" s="50">
        <v>439566.00000000006</v>
      </c>
      <c r="G10" s="17">
        <f t="shared" si="0"/>
        <v>1294827</v>
      </c>
      <c r="H10" s="17">
        <f t="shared" si="1"/>
        <v>60620.033278803094</v>
      </c>
      <c r="I10" s="17">
        <f t="shared" si="2"/>
        <v>1234206.9667211969</v>
      </c>
    </row>
    <row r="11" spans="1:9" ht="15.75" customHeight="1" x14ac:dyDescent="0.25">
      <c r="A11" s="5">
        <f t="shared" si="3"/>
        <v>2033</v>
      </c>
      <c r="B11" s="49">
        <v>52565</v>
      </c>
      <c r="C11" s="50">
        <v>160991.5</v>
      </c>
      <c r="D11" s="50">
        <v>323592.99999999994</v>
      </c>
      <c r="E11" s="50">
        <v>361291.00000000006</v>
      </c>
      <c r="F11" s="50">
        <v>430987.49999999994</v>
      </c>
      <c r="G11" s="17">
        <f t="shared" si="0"/>
        <v>1276863</v>
      </c>
      <c r="H11" s="17">
        <f t="shared" si="1"/>
        <v>60021.700339058654</v>
      </c>
      <c r="I11" s="17">
        <f t="shared" si="2"/>
        <v>1216841.2996609414</v>
      </c>
    </row>
    <row r="12" spans="1:9" ht="15.75" customHeight="1" x14ac:dyDescent="0.25">
      <c r="A12" s="5">
        <f t="shared" si="3"/>
        <v>2034</v>
      </c>
      <c r="B12" s="49">
        <v>52055</v>
      </c>
      <c r="C12" s="50">
        <v>160349</v>
      </c>
      <c r="D12" s="50">
        <v>320683.99999999994</v>
      </c>
      <c r="E12" s="50">
        <v>355714.50000000006</v>
      </c>
      <c r="F12" s="50">
        <v>421905.49999999994</v>
      </c>
      <c r="G12" s="17">
        <f t="shared" si="0"/>
        <v>1258653</v>
      </c>
      <c r="H12" s="17">
        <f t="shared" si="1"/>
        <v>59439.353393887533</v>
      </c>
      <c r="I12" s="17">
        <f t="shared" si="2"/>
        <v>1199213.6466061124</v>
      </c>
    </row>
    <row r="13" spans="1:9" ht="15.75" customHeight="1" x14ac:dyDescent="0.25">
      <c r="A13" s="5">
        <f t="shared" si="3"/>
        <v>2035</v>
      </c>
      <c r="B13" s="49">
        <v>51638</v>
      </c>
      <c r="C13" s="50">
        <v>159217.5</v>
      </c>
      <c r="D13" s="50">
        <v>318483.5</v>
      </c>
      <c r="E13" s="50">
        <v>349934.49999999994</v>
      </c>
      <c r="F13" s="50">
        <v>413707.5</v>
      </c>
      <c r="G13" s="17">
        <f t="shared" si="0"/>
        <v>1241343</v>
      </c>
      <c r="H13" s="17">
        <f t="shared" si="1"/>
        <v>58963.199126953499</v>
      </c>
      <c r="I13" s="17">
        <f t="shared" si="2"/>
        <v>1182379.8008730465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4y+4MebukEYhzXcEWjX8f1HEszzTbWEmSELdZTEJMS6XYIHNrApeonKVwdPlm9RI5tnQ/ZqhGmjFsqoi1SCPw==" saltValue="xhLoQZah0bobbYF53TTKz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2.6376197362380321E-2</v>
      </c>
    </row>
    <row r="5" spans="1:8" ht="15.75" customHeight="1" x14ac:dyDescent="0.25">
      <c r="B5" s="19" t="s">
        <v>98</v>
      </c>
      <c r="C5" s="99">
        <v>1.9977998002200119E-2</v>
      </c>
    </row>
    <row r="6" spans="1:8" ht="15.75" customHeight="1" x14ac:dyDescent="0.25">
      <c r="B6" s="19" t="s">
        <v>99</v>
      </c>
      <c r="C6" s="99">
        <v>0.1411632858836713</v>
      </c>
    </row>
    <row r="7" spans="1:8" ht="15.75" customHeight="1" x14ac:dyDescent="0.25">
      <c r="B7" s="19" t="s">
        <v>100</v>
      </c>
      <c r="C7" s="99">
        <v>0.63213873678612653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0.1415473858452613</v>
      </c>
    </row>
    <row r="10" spans="1:8" ht="15.75" customHeight="1" x14ac:dyDescent="0.25">
      <c r="B10" s="19" t="s">
        <v>103</v>
      </c>
      <c r="C10" s="99">
        <v>3.8796396120360288E-2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106</v>
      </c>
      <c r="C15" s="99">
        <v>0.2425058603064156</v>
      </c>
      <c r="D15" s="99">
        <v>0.2425058603064156</v>
      </c>
      <c r="E15" s="99">
        <v>0.2425058603064156</v>
      </c>
      <c r="F15" s="99">
        <v>0.2425058603064156</v>
      </c>
    </row>
    <row r="16" spans="1:8" ht="15.75" customHeight="1" x14ac:dyDescent="0.25">
      <c r="B16" s="19" t="s">
        <v>107</v>
      </c>
      <c r="C16" s="99">
        <v>0.16458964421727099</v>
      </c>
      <c r="D16" s="99">
        <v>0.16458964421727099</v>
      </c>
      <c r="E16" s="99">
        <v>0.16458964421727099</v>
      </c>
      <c r="F16" s="99">
        <v>0.16458964421727099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0.37636846830508891</v>
      </c>
      <c r="D21" s="99">
        <v>0.37636846830508891</v>
      </c>
      <c r="E21" s="99">
        <v>0.37636846830508891</v>
      </c>
      <c r="F21" s="99">
        <v>0.37636846830508891</v>
      </c>
    </row>
    <row r="22" spans="1:8" ht="15.75" customHeight="1" x14ac:dyDescent="0.25">
      <c r="B22" s="19" t="s">
        <v>113</v>
      </c>
      <c r="C22" s="99">
        <v>0.2034971532456139</v>
      </c>
      <c r="D22" s="99">
        <v>0.2034971532456139</v>
      </c>
      <c r="E22" s="99">
        <v>0.2034971532456139</v>
      </c>
      <c r="F22" s="99">
        <v>0.2034971532456139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7.6356962E-2</v>
      </c>
    </row>
    <row r="27" spans="1:8" ht="15.75" customHeight="1" x14ac:dyDescent="0.25">
      <c r="B27" s="19" t="s">
        <v>120</v>
      </c>
      <c r="C27" s="99">
        <v>4.6857983999999978E-2</v>
      </c>
    </row>
    <row r="28" spans="1:8" ht="15.75" customHeight="1" x14ac:dyDescent="0.25">
      <c r="B28" s="19" t="s">
        <v>121</v>
      </c>
      <c r="C28" s="99">
        <v>8.0995853000000007E-2</v>
      </c>
    </row>
    <row r="29" spans="1:8" ht="15.75" customHeight="1" x14ac:dyDescent="0.25">
      <c r="B29" s="19" t="s">
        <v>122</v>
      </c>
      <c r="C29" s="99">
        <v>0.17572802300000001</v>
      </c>
    </row>
    <row r="30" spans="1:8" ht="15.75" customHeight="1" x14ac:dyDescent="0.25">
      <c r="B30" s="19" t="s">
        <v>2</v>
      </c>
      <c r="C30" s="99">
        <v>0.102999484</v>
      </c>
    </row>
    <row r="31" spans="1:8" ht="15.75" customHeight="1" x14ac:dyDescent="0.25">
      <c r="B31" s="19" t="s">
        <v>123</v>
      </c>
      <c r="C31" s="99">
        <v>3.8216664999999997E-2</v>
      </c>
    </row>
    <row r="32" spans="1:8" ht="15.75" customHeight="1" x14ac:dyDescent="0.25">
      <c r="B32" s="19" t="s">
        <v>124</v>
      </c>
      <c r="C32" s="99">
        <v>0.17722406800000001</v>
      </c>
    </row>
    <row r="33" spans="2:3" ht="15.75" customHeight="1" x14ac:dyDescent="0.25">
      <c r="B33" s="19" t="s">
        <v>125</v>
      </c>
      <c r="C33" s="99">
        <v>0.162579839</v>
      </c>
    </row>
    <row r="34" spans="2:3" ht="15.75" customHeight="1" x14ac:dyDescent="0.25">
      <c r="B34" s="19" t="s">
        <v>126</v>
      </c>
      <c r="C34" s="99">
        <v>0.13904112199999999</v>
      </c>
    </row>
    <row r="35" spans="2:3" ht="15.75" customHeight="1" x14ac:dyDescent="0.25">
      <c r="B35" s="27" t="s">
        <v>59</v>
      </c>
      <c r="C35" s="48">
        <f>SUM(C26:C34)</f>
        <v>0.99999999999999989</v>
      </c>
    </row>
  </sheetData>
  <sheetProtection algorithmName="SHA-512" hashValue="ZrrxsFiy7liO3add2x18BfJEs8PvFD+DIuwx+qBvMV6Ju2kTC5UyUPyqU1egx3HJatConpqwEq1zmHioo06C9g==" saltValue="YZEEonZIfiny4tQVkzquC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132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133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137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ZDYQAx53/+RtFDMsd8RtBp6bmk4X6Q7a6PEOJNuxOJ82edw1R53a52/nqkWPfXuhnuQmrfhV0k9q4tgDlDYLg==" saltValue="9Tf3zYunUQ2z4HkFyEsD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4.9157800000000029E-2</v>
      </c>
      <c r="D5" s="52">
        <f t="shared" si="0"/>
        <v>0.30282760000000009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9s5PT9ciAQEYhGQNaaUAgV4gihz9sVAE4xWykh4qrYVRoNnXdLT5ak32pKx3HqSBHv7Ws8Rw3eYB25BqflY32w==" saltValue="dcPQ4SR0n9GFBp0Oc/0Q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XT2sNP3v9CbYJ2VDcevhR86RyJbozMnhbUt0X+Ky2wpWhXB5zJdFZ3wwzwWJqbvP2lFKJlvWHz9iHdh6Y9KQQ==" saltValue="Gcw+x4yqhWjsYj+KXuHQ9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9537.6828667312802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0.52329000000000003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0.66799999999999993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1.5414724456413276E-2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99487.869449999998</v>
      </c>
      <c r="C22" s="107">
        <v>99438.333670000007</v>
      </c>
      <c r="D22" s="107">
        <v>99369.294320000001</v>
      </c>
      <c r="E22" s="107">
        <v>99230.96643</v>
      </c>
      <c r="F22" s="107">
        <v>99040.410910000006</v>
      </c>
      <c r="G22" s="107">
        <v>98793.598800000007</v>
      </c>
      <c r="H22" s="107">
        <v>98405.441009999995</v>
      </c>
      <c r="I22" s="107">
        <v>97834.529139999999</v>
      </c>
      <c r="J22" s="107">
        <v>96965.630709999998</v>
      </c>
      <c r="K22" s="107">
        <v>95476.325209999995</v>
      </c>
      <c r="L22" s="107">
        <v>92758.775460000004</v>
      </c>
      <c r="M22" s="107">
        <v>88503.757599999997</v>
      </c>
      <c r="N22" s="107">
        <v>81995.464470000006</v>
      </c>
      <c r="O22" s="107">
        <v>72957.361430000004</v>
      </c>
    </row>
  </sheetData>
  <sheetProtection algorithmName="SHA-512" hashValue="w9lMvlDGf5Cr4sHl3MMFUndFXbnfBknaa3z/xr3r5yrb+Yqa5fqxJ6zlnxoepCnSTKXLxaVwJDoa+3R6GI5C3A==" saltValue="DMuwbPD7di64SlcJompUV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MnYOJ1cJNr1c7FMPO01DaOrWhiBQF+NH9XwGbijB3hwwAUE4oxmzOkNxTO+fPJDV48ww7qu8ZR/EWAdnY22ZQ==" saltValue="1tYqubj7swckKMPqKkKp0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FTNtnauBkqlSZGSXHA3Vm68TErfatInoKv8JwUNFJxfwqBN63rzNBmLyPxJeRKBbr4U/VvBdu37v/Z37TjKfw==" saltValue="bxq8lHsfR30KQVpnCyG+i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13.195738021909881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13.195738021909881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13.195738021909881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13.195738021909881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13.195738021909881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13.195738021909881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0.21961839999999999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0.21961839999999999</v>
      </c>
      <c r="C19" s="96">
        <v>0.95</v>
      </c>
      <c r="D19" s="56">
        <v>12.47074045559749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4.3940617735474108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0.71505740000000007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0.35967890000000002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0.85884820000000006</v>
      </c>
      <c r="C29" s="96">
        <v>0.95</v>
      </c>
      <c r="D29" s="56">
        <v>132.3139429353005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0.9813012000000001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0.25723400000000002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4.8444399999999999E-2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0.94893539999999998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j7/f0kmEX/12CNQ8aD+xfrqw1Lo6Tc0KG5ByNxUrkeM40Co9eFgLmASsOj5g9sE82VmJcYSxzQiUZGTvRoAccA==" saltValue="86QjLm77/afs/khDKUM5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52ajfyGzutof9/iV00EgxO1VrIhrRqxmzS0i720DToLjFcgxPpZbOENxtOO8mOWh1my7lROFgowN+3kM2FaGw==" saltValue="goo3vfXjq8ddiS0rH8Sm7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Ai18E/9LZ6kg52q/kHZVhJ+mCtu82ehCFz8TZbX06czisFS1C7lTF07+ZNkOhlY4l5yD3knOxrTDqDsPovsgg==" saltValue="7LPvN/HzEpBJFWExQVsp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237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sheetProtection algorithmName="SHA-512" hashValue="7mo0r5ZZ4Ij40H+IwTeevS5NmD0T3pKWQs34vK1ghUq+u12n+fcXPotC6vxPQVYROJ03zAwYk9JRRhUTOmLw6g==" saltValue="PaWQZJeNYfCl/QHXMOsgA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5.5E-2</v>
      </c>
      <c r="F2" s="60">
        <f>food_insecure</f>
        <v>5.5E-2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5.5E-2</v>
      </c>
      <c r="I15" s="60">
        <f t="shared" si="0"/>
        <v>5.5E-2</v>
      </c>
      <c r="J15" s="60">
        <f t="shared" si="0"/>
        <v>5.5E-2</v>
      </c>
      <c r="K15" s="60">
        <f t="shared" si="0"/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5.5E-2</v>
      </c>
      <c r="I16" s="60">
        <f t="shared" si="0"/>
        <v>5.5E-2</v>
      </c>
      <c r="J16" s="60">
        <f t="shared" si="0"/>
        <v>5.5E-2</v>
      </c>
      <c r="K16" s="60">
        <f t="shared" si="0"/>
        <v>5.5E-2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NadLz0vRO8Q6WWg5y2ziJxyQQR525eDPD128MTztcdS4unecpyDglC9hqTmsBwysXoja7WQ+6Z9X6ckRMswSA==" saltValue="T1KziDlvK0+VEB8CKWas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s2DX0NINzTM58rx08gY7CUjWq8pq9BCD+enatnSZfDJFoCCPPKN1I+G7HeCkoDs4syQ9/hNkivcdsXPf5h5cw==" saltValue="qua2G1VhMzdHdYye00BVe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xLSkSMgAnk+QX/BkB0AT39N5pydS711c3KtFZJA9VMV3Me3QTvvOCRyYzHJk4ZFUCuuSgd3kFiNXiLNCibPfQ==" saltValue="pH8E1lqPSsoxeYcefuPao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d325Xmxy9WiKdEkMPAZTd2aQbt9WkbZjzXVmm+yyKRdDczG8iMPu4EPwsxW9Y+l6SKTcQSnvkXoDT7hvZSp8A==" saltValue="rFRN+WUDSxug44dXMfaz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ALi4CJf57onFHGoGKJVb+g3Lw4fDZtwXv+1zlcq2ZYDsV9Xw3rcgeH/DdEy03MZDYNC7U+9eL25TmvtAAZn2gQ==" saltValue="rISFIeBoWoi306zyXaCO9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iXE0U7qO7eUG1rqjHK5/en0TVQMRigqhnrp6J/7eLxzLUCJuXvewE3akBU16pF2bxMYhJURA9WfPx6UDCC1dmA==" saltValue="hDALZZmqwpeP+KI/rQK0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UmnrlEKCayWVJOURJwZhkeMeChu0XPiCs/qCXifTdO0Rb7dXxiYC43yenHvDltkRhwCOmtvcvk4mlwU9XqzPQ==" saltValue="xUZQXLzr2/l98Yt6zLLZ2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6orwvcCjHPXIgV7BOqI8aY1UbhjM2ffqBrxEDFpFUPUfzUgcXxZxQT5MNMH7GG4UvOy0HCl6fpmfNrU1DrSZQ==" saltValue="VOL7j2OQHuldI492m9WV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ZpSbrfmHibF+tj3Rv5qSdqulJ5L3wxViEFA0/2XFEa/+3cstPyU4sbYsEsBqktnE1uLyIUDqjTritdOjhjSCA==" saltValue="72hC4tICU5uJPzHKmi7b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Ubn91DF2pyzWcFUb7H7rcGzVaXYZNNw1Xid//DxWWiXL8ZR2xuV5uO7r7Lx59A6dpNyzeba/KucpBkl6OKQcg==" saltValue="5SjroQHOE93R0ra5TtW/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g+uTHG1SwuIHxkSHbPu3+eqrXP+DHNWDIqcfcERL8HAG+zz7+v82U0QDjOfYAMQ7Sn71dq4e9EDGqS4Yb4iPQ==" saltValue="I4KdymlSMvbLrdnAHYsc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9q7U9Zj4EEiXxHYZzmft2mID8u51PpNPRygl9RLd5XxSRRVK/R+HyzrBv4WsM8LIwbANOYMNeRd18WYO547DA==" saltValue="3EXVFZntVTRwjvjIlczv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swSK6No1aw0ycCXx8jd6oYTVn4YzBkcBfz3yR6+0duG0wTaVp1wOUGTag/R1G8gPhcI7/39TmUQITd5V6p35w==" saltValue="HnuteLdv2BXNdbHmrVp20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1ZD4A+IHayDjsy4U67yNIjb0jKYT+RHCaejneyPJ9NTbcenz0EjG3Hx2C7twu5u0PVfnuWyAo1BtNdID1NlxA==" saltValue="TpHisLNU4bV+8IH/dYvz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fvJC0YZydTTMh+n796xlscv/18WxL7REcGZt81vuKJlU5hmZcloXjRtS7HmMs32o9OUd8p3ZHjK9+zVM4SqUw==" saltValue="psUBDVnydU744qK1ojbXQ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