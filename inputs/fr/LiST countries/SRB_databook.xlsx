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3ACBAB11-7BC5-48DB-99F7-3754EF363CD5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A23" i="2"/>
  <c r="A22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3" i="2" l="1"/>
  <c r="I7" i="2"/>
  <c r="I11" i="2"/>
  <c r="A36" i="2"/>
  <c r="A37" i="2"/>
  <c r="I12" i="2"/>
  <c r="I38" i="2"/>
  <c r="A26" i="2"/>
  <c r="I39" i="2"/>
  <c r="A31" i="2"/>
  <c r="A34" i="2"/>
  <c r="A40" i="2"/>
  <c r="I2" i="2"/>
  <c r="I6" i="2"/>
  <c r="A19" i="2"/>
  <c r="A35" i="2"/>
  <c r="A24" i="2"/>
  <c r="I4" i="2"/>
  <c r="I8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<sst xmlns="http://schemas.openxmlformats.org/spreadsheetml/2006/main" count="2169" uniqueCount="369">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</sst>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301541</v>
      </c>
    </row>
    <row r="8" spans="1:3" ht="15" customHeight="1" x14ac:dyDescent="0.25">
      <c r="B8" s="5" t="s">
        <v>37</v>
      </c>
      <c r="C8" s="44">
        <v>5.5E-2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0.92928009033203096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0.74900000000000011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5.9700000000000003E-2</v>
      </c>
    </row>
    <row r="24" spans="1:3" ht="15" customHeight="1" x14ac:dyDescent="0.25">
      <c r="B24" s="15" t="s">
        <v>51</v>
      </c>
      <c r="C24" s="45">
        <v>0.495</v>
      </c>
    </row>
    <row r="25" spans="1:3" ht="15" customHeight="1" x14ac:dyDescent="0.25">
      <c r="B25" s="15" t="s">
        <v>52</v>
      </c>
      <c r="C25" s="45">
        <v>0.42230000000000001</v>
      </c>
    </row>
    <row r="26" spans="1:3" ht="15" customHeight="1" x14ac:dyDescent="0.25">
      <c r="B26" s="15" t="s">
        <v>53</v>
      </c>
      <c r="C26" s="45">
        <v>2.3E-2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0.51101988116637098</v>
      </c>
    </row>
    <row r="30" spans="1:3" ht="14.25" customHeight="1" x14ac:dyDescent="0.25">
      <c r="B30" s="25" t="s">
        <v>56</v>
      </c>
      <c r="C30" s="97">
        <v>3.6928466503456402E-2</v>
      </c>
    </row>
    <row r="31" spans="1:3" ht="14.25" customHeight="1" x14ac:dyDescent="0.25">
      <c r="B31" s="25" t="s">
        <v>57</v>
      </c>
      <c r="C31" s="97">
        <v>4.0966963582223501E-2</v>
      </c>
    </row>
    <row r="32" spans="1:3" ht="14.25" customHeight="1" x14ac:dyDescent="0.25">
      <c r="B32" s="25" t="s">
        <v>58</v>
      </c>
      <c r="C32" s="97">
        <v>0.41108468874794901</v>
      </c>
    </row>
    <row r="33" spans="1:5" ht="13.25" customHeight="1" x14ac:dyDescent="0.25">
      <c r="B33" s="27" t="s">
        <v>59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3.5533999999999999</v>
      </c>
    </row>
    <row r="38" spans="1:5" ht="15" customHeight="1" x14ac:dyDescent="0.25">
      <c r="B38" s="11" t="s">
        <v>63</v>
      </c>
      <c r="C38" s="43">
        <v>4.7455299999999996</v>
      </c>
      <c r="D38" s="12"/>
      <c r="E38" s="13"/>
    </row>
    <row r="39" spans="1:5" ht="15" customHeight="1" x14ac:dyDescent="0.25">
      <c r="B39" s="11" t="s">
        <v>64</v>
      </c>
      <c r="C39" s="43">
        <v>5.4872699999999996</v>
      </c>
      <c r="D39" s="12"/>
      <c r="E39" s="12"/>
    </row>
    <row r="40" spans="1:5" ht="15" customHeight="1" x14ac:dyDescent="0.25">
      <c r="B40" s="11" t="s">
        <v>65</v>
      </c>
      <c r="C40" s="98">
        <v>0.1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4.8106900000000001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3.4918000000000002E-3</v>
      </c>
      <c r="D45" s="12"/>
    </row>
    <row r="46" spans="1:5" ht="15.75" customHeight="1" x14ac:dyDescent="0.25">
      <c r="B46" s="11" t="s">
        <v>70</v>
      </c>
      <c r="C46" s="45">
        <v>3.7518500000000003E-2</v>
      </c>
      <c r="D46" s="12"/>
    </row>
    <row r="47" spans="1:5" ht="15.75" customHeight="1" x14ac:dyDescent="0.25">
      <c r="B47" s="11" t="s">
        <v>71</v>
      </c>
      <c r="C47" s="45">
        <v>7.7681799999999995E-2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2.8</v>
      </c>
      <c r="D51" s="12"/>
    </row>
    <row r="52" spans="1:4" ht="15" customHeight="1" x14ac:dyDescent="0.25">
      <c r="B52" s="11" t="s">
        <v>75</v>
      </c>
      <c r="C52" s="98">
        <v>2.8</v>
      </c>
    </row>
    <row r="53" spans="1:4" ht="15.75" customHeight="1" x14ac:dyDescent="0.25">
      <c r="B53" s="11" t="s">
        <v>76</v>
      </c>
      <c r="C53" s="98">
        <v>2.8</v>
      </c>
    </row>
    <row r="54" spans="1:4" ht="15.75" customHeight="1" x14ac:dyDescent="0.25">
      <c r="B54" s="11" t="s">
        <v>77</v>
      </c>
      <c r="C54" s="98">
        <v>2.8</v>
      </c>
    </row>
    <row r="55" spans="1:4" ht="15.75" customHeight="1" x14ac:dyDescent="0.25">
      <c r="B55" s="11" t="s">
        <v>78</v>
      </c>
      <c r="C55" s="98">
        <v>2.8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1.6428571428571431E-2</v>
      </c>
    </row>
    <row r="59" spans="1:4" ht="15.75" customHeight="1" x14ac:dyDescent="0.25">
      <c r="B59" s="11" t="s">
        <v>81</v>
      </c>
      <c r="C59" s="45">
        <v>0.62314999999999998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4.5343641999999899E-2</v>
      </c>
    </row>
    <row r="63" spans="1:4" ht="15.75" customHeight="1" x14ac:dyDescent="0.3">
      <c r="A63" s="4"/>
    </row>
  </sheetData>
  <sheetProtection algorithmName="SHA-512" hashValue="OCu5ST6P2eMS5a9tTBeNdXLHjUy8l4iHVlM5mHyaCcS9a9Sr7Nhkn05EiHBga13iUTfLxFAPtFHI13F0q6XGcA==" saltValue="Acskyvhb4PAZyP4v+MCmh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58988</v>
      </c>
      <c r="C2" s="49">
        <v>168609</v>
      </c>
      <c r="D2" s="49">
        <v>363775</v>
      </c>
      <c r="E2" s="49">
        <v>428512</v>
      </c>
      <c r="F2" s="49">
        <v>489881</v>
      </c>
      <c r="G2" s="17">
        <f t="shared" ref="G2:G13" si="0">C2+D2+E2+F2</f>
        <v>1450777</v>
      </c>
      <c r="H2" s="17">
        <f t="shared" ref="H2:H13" si="1">(B2 + stillbirth*B2/(1000-stillbirth))/(1-abortion)</f>
        <v>67355.846277949051</v>
      </c>
      <c r="I2" s="17">
        <f t="shared" ref="I2:I13" si="2">G2-H2</f>
        <v>1383421.1537220511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58142</v>
      </c>
      <c r="C3" s="50">
        <v>166224.5</v>
      </c>
      <c r="D3" s="50">
        <v>356852.5</v>
      </c>
      <c r="E3" s="50">
        <v>419605.5</v>
      </c>
      <c r="F3" s="50">
        <v>486820.5</v>
      </c>
      <c r="G3" s="17">
        <f t="shared" si="0"/>
        <v>1429503</v>
      </c>
      <c r="H3" s="17">
        <f t="shared" si="1"/>
        <v>66389.835463018127</v>
      </c>
      <c r="I3" s="17">
        <f t="shared" si="2"/>
        <v>1363113.1645369818</v>
      </c>
    </row>
    <row r="4" spans="1:9" ht="15.75" customHeight="1" x14ac:dyDescent="0.25">
      <c r="A4" s="5">
        <f t="shared" si="3"/>
        <v>2026</v>
      </c>
      <c r="B4" s="49">
        <v>57151</v>
      </c>
      <c r="C4" s="50">
        <v>164395</v>
      </c>
      <c r="D4" s="50">
        <v>350086</v>
      </c>
      <c r="E4" s="50">
        <v>411985</v>
      </c>
      <c r="F4" s="50">
        <v>481438.99999999994</v>
      </c>
      <c r="G4" s="17">
        <f t="shared" si="0"/>
        <v>1407905</v>
      </c>
      <c r="H4" s="17">
        <f t="shared" si="1"/>
        <v>65258.255418577777</v>
      </c>
      <c r="I4" s="17">
        <f t="shared" si="2"/>
        <v>1342646.7445814223</v>
      </c>
    </row>
    <row r="5" spans="1:9" ht="15.75" customHeight="1" x14ac:dyDescent="0.25">
      <c r="A5" s="5">
        <f t="shared" si="3"/>
        <v>2027</v>
      </c>
      <c r="B5" s="49">
        <v>56385</v>
      </c>
      <c r="C5" s="50">
        <v>163258.5</v>
      </c>
      <c r="D5" s="50">
        <v>344814.49999999994</v>
      </c>
      <c r="E5" s="50">
        <v>404082</v>
      </c>
      <c r="F5" s="50">
        <v>475496.49999999994</v>
      </c>
      <c r="G5" s="17">
        <f t="shared" si="0"/>
        <v>1387651.5</v>
      </c>
      <c r="H5" s="17">
        <f t="shared" si="1"/>
        <v>64383.593144065868</v>
      </c>
      <c r="I5" s="17">
        <f t="shared" si="2"/>
        <v>1323267.9068559341</v>
      </c>
    </row>
    <row r="6" spans="1:9" ht="15.75" customHeight="1" x14ac:dyDescent="0.25">
      <c r="A6" s="5">
        <f t="shared" si="3"/>
        <v>2028</v>
      </c>
      <c r="B6" s="49">
        <v>55641</v>
      </c>
      <c r="C6" s="50">
        <v>162542</v>
      </c>
      <c r="D6" s="50">
        <v>340786</v>
      </c>
      <c r="E6" s="50">
        <v>395133.5</v>
      </c>
      <c r="F6" s="50">
        <v>469486.99999999994</v>
      </c>
      <c r="G6" s="17">
        <f t="shared" si="0"/>
        <v>1367948.5</v>
      </c>
      <c r="H6" s="17">
        <f t="shared" si="1"/>
        <v>63534.051718169168</v>
      </c>
      <c r="I6" s="17">
        <f t="shared" si="2"/>
        <v>1304414.4482818309</v>
      </c>
    </row>
    <row r="7" spans="1:9" ht="15.75" customHeight="1" x14ac:dyDescent="0.25">
      <c r="A7" s="5">
        <f t="shared" si="3"/>
        <v>2029</v>
      </c>
      <c r="B7" s="49">
        <v>54918</v>
      </c>
      <c r="C7" s="50">
        <v>162084.5</v>
      </c>
      <c r="D7" s="50">
        <v>337685</v>
      </c>
      <c r="E7" s="50">
        <v>386496</v>
      </c>
      <c r="F7" s="50">
        <v>462685.5</v>
      </c>
      <c r="G7" s="17">
        <f t="shared" si="0"/>
        <v>1348951</v>
      </c>
      <c r="H7" s="17">
        <f t="shared" si="1"/>
        <v>62708.489284132462</v>
      </c>
      <c r="I7" s="17">
        <f t="shared" si="2"/>
        <v>1286242.5107158676</v>
      </c>
    </row>
    <row r="8" spans="1:9" ht="15.75" customHeight="1" x14ac:dyDescent="0.25">
      <c r="A8" s="5">
        <f t="shared" si="3"/>
        <v>2030</v>
      </c>
      <c r="B8" s="49">
        <v>54248</v>
      </c>
      <c r="C8" s="50">
        <v>161796.5</v>
      </c>
      <c r="D8" s="50">
        <v>335078.99999999994</v>
      </c>
      <c r="E8" s="50">
        <v>378670.49999999994</v>
      </c>
      <c r="F8" s="50">
        <v>454998</v>
      </c>
      <c r="G8" s="17">
        <f t="shared" si="0"/>
        <v>1330544</v>
      </c>
      <c r="H8" s="17">
        <f t="shared" si="1"/>
        <v>61943.445258123342</v>
      </c>
      <c r="I8" s="17">
        <f t="shared" si="2"/>
        <v>1268600.5547418767</v>
      </c>
    </row>
    <row r="9" spans="1:9" ht="15.75" customHeight="1" x14ac:dyDescent="0.25">
      <c r="A9" s="5">
        <f t="shared" si="3"/>
        <v>2031</v>
      </c>
      <c r="B9" s="49">
        <v>53607</v>
      </c>
      <c r="C9" s="50">
        <v>161580.5</v>
      </c>
      <c r="D9" s="50">
        <v>331620.5</v>
      </c>
      <c r="E9" s="50">
        <v>371982.49999999994</v>
      </c>
      <c r="F9" s="50">
        <v>447359</v>
      </c>
      <c r="G9" s="17">
        <f t="shared" si="0"/>
        <v>1312542.5</v>
      </c>
      <c r="H9" s="17">
        <f t="shared" si="1"/>
        <v>61211.515078016113</v>
      </c>
      <c r="I9" s="17">
        <f t="shared" si="2"/>
        <v>1251330.9849219839</v>
      </c>
    </row>
    <row r="10" spans="1:9" ht="15.75" customHeight="1" x14ac:dyDescent="0.25">
      <c r="A10" s="5">
        <f t="shared" si="3"/>
        <v>2032</v>
      </c>
      <c r="B10" s="49">
        <v>53089</v>
      </c>
      <c r="C10" s="50">
        <v>161340.5</v>
      </c>
      <c r="D10" s="50">
        <v>327357</v>
      </c>
      <c r="E10" s="50">
        <v>366563.5</v>
      </c>
      <c r="F10" s="50">
        <v>439566.00000000006</v>
      </c>
      <c r="G10" s="17">
        <f t="shared" si="0"/>
        <v>1294827</v>
      </c>
      <c r="H10" s="17">
        <f t="shared" si="1"/>
        <v>60620.033278803094</v>
      </c>
      <c r="I10" s="17">
        <f t="shared" si="2"/>
        <v>1234206.9667211969</v>
      </c>
    </row>
    <row r="11" spans="1:9" ht="15.75" customHeight="1" x14ac:dyDescent="0.25">
      <c r="A11" s="5">
        <f t="shared" si="3"/>
        <v>2033</v>
      </c>
      <c r="B11" s="49">
        <v>52565</v>
      </c>
      <c r="C11" s="50">
        <v>160991.5</v>
      </c>
      <c r="D11" s="50">
        <v>323592.99999999994</v>
      </c>
      <c r="E11" s="50">
        <v>361291.00000000006</v>
      </c>
      <c r="F11" s="50">
        <v>430987.49999999994</v>
      </c>
      <c r="G11" s="17">
        <f t="shared" si="0"/>
        <v>1276863</v>
      </c>
      <c r="H11" s="17">
        <f t="shared" si="1"/>
        <v>60021.700339058654</v>
      </c>
      <c r="I11" s="17">
        <f t="shared" si="2"/>
        <v>1216841.2996609414</v>
      </c>
    </row>
    <row r="12" spans="1:9" ht="15.75" customHeight="1" x14ac:dyDescent="0.25">
      <c r="A12" s="5">
        <f t="shared" si="3"/>
        <v>2034</v>
      </c>
      <c r="B12" s="49">
        <v>52055</v>
      </c>
      <c r="C12" s="50">
        <v>160349</v>
      </c>
      <c r="D12" s="50">
        <v>320683.99999999994</v>
      </c>
      <c r="E12" s="50">
        <v>355714.50000000006</v>
      </c>
      <c r="F12" s="50">
        <v>421905.49999999994</v>
      </c>
      <c r="G12" s="17">
        <f t="shared" si="0"/>
        <v>1258653</v>
      </c>
      <c r="H12" s="17">
        <f t="shared" si="1"/>
        <v>59439.353393887533</v>
      </c>
      <c r="I12" s="17">
        <f t="shared" si="2"/>
        <v>1199213.6466061124</v>
      </c>
    </row>
    <row r="13" spans="1:9" ht="15.75" customHeight="1" x14ac:dyDescent="0.25">
      <c r="A13" s="5">
        <f t="shared" si="3"/>
        <v>2035</v>
      </c>
      <c r="B13" s="49">
        <v>51638</v>
      </c>
      <c r="C13" s="50">
        <v>159217.5</v>
      </c>
      <c r="D13" s="50">
        <v>318483.5</v>
      </c>
      <c r="E13" s="50">
        <v>349934.49999999994</v>
      </c>
      <c r="F13" s="50">
        <v>413707.5</v>
      </c>
      <c r="G13" s="17">
        <f t="shared" si="0"/>
        <v>1241343</v>
      </c>
      <c r="H13" s="17">
        <f t="shared" si="1"/>
        <v>58963.199126953499</v>
      </c>
      <c r="I13" s="17">
        <f t="shared" si="2"/>
        <v>1182379.8008730465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YVDRmL84o5Dv8SPbofpMcUein6RHVo9uQ+E5N3eb0KJHa5XaWuGSStb80bI/GHDvE5w7sDDReToK13CTRLTI+g==" saltValue="hEB3VaDh5lTsyFaTB3aNA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99">
        <v>2.6376197362380321E-2</v>
      </c>
    </row>
    <row r="5" spans="1:8" ht="15.75" customHeight="1" x14ac:dyDescent="0.25">
      <c r="B5" s="19" t="s">
        <v>98</v>
      </c>
      <c r="C5" s="99">
        <v>1.9977998002200119E-2</v>
      </c>
    </row>
    <row r="6" spans="1:8" ht="15.75" customHeight="1" x14ac:dyDescent="0.25">
      <c r="B6" s="19" t="s">
        <v>99</v>
      </c>
      <c r="C6" s="99">
        <v>0.1411632858836713</v>
      </c>
    </row>
    <row r="7" spans="1:8" ht="15.75" customHeight="1" x14ac:dyDescent="0.25">
      <c r="B7" s="19" t="s">
        <v>100</v>
      </c>
      <c r="C7" s="99">
        <v>0.63213873678612653</v>
      </c>
    </row>
    <row r="8" spans="1:8" ht="15.75" customHeight="1" x14ac:dyDescent="0.25">
      <c r="B8" s="19" t="s">
        <v>101</v>
      </c>
      <c r="C8" s="99">
        <v>0</v>
      </c>
    </row>
    <row r="9" spans="1:8" ht="15.75" customHeight="1" x14ac:dyDescent="0.25">
      <c r="B9" s="19" t="s">
        <v>102</v>
      </c>
      <c r="C9" s="99">
        <v>0.1415473858452613</v>
      </c>
    </row>
    <row r="10" spans="1:8" ht="15.75" customHeight="1" x14ac:dyDescent="0.25">
      <c r="B10" s="19" t="s">
        <v>103</v>
      </c>
      <c r="C10" s="99">
        <v>3.8796396120360288E-2</v>
      </c>
    </row>
    <row r="11" spans="1:8" ht="15.75" customHeight="1" x14ac:dyDescent="0.25">
      <c r="B11" s="27" t="s">
        <v>59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1.3038873925610541E-2</v>
      </c>
      <c r="D14" s="55">
        <v>1.3038873925610541E-2</v>
      </c>
      <c r="E14" s="55">
        <v>1.3038873925610541E-2</v>
      </c>
      <c r="F14" s="55">
        <v>1.3038873925610541E-2</v>
      </c>
    </row>
    <row r="15" spans="1:8" ht="15.75" customHeight="1" x14ac:dyDescent="0.25">
      <c r="B15" s="19" t="s">
        <v>106</v>
      </c>
      <c r="C15" s="99">
        <v>0.2425058603064156</v>
      </c>
      <c r="D15" s="99">
        <v>0.2425058603064156</v>
      </c>
      <c r="E15" s="99">
        <v>0.2425058603064156</v>
      </c>
      <c r="F15" s="99">
        <v>0.2425058603064156</v>
      </c>
    </row>
    <row r="16" spans="1:8" ht="15.75" customHeight="1" x14ac:dyDescent="0.25">
      <c r="B16" s="19" t="s">
        <v>107</v>
      </c>
      <c r="C16" s="99">
        <v>0.16458964421727099</v>
      </c>
      <c r="D16" s="99">
        <v>0.16458964421727099</v>
      </c>
      <c r="E16" s="99">
        <v>0.16458964421727099</v>
      </c>
      <c r="F16" s="99">
        <v>0.16458964421727099</v>
      </c>
    </row>
    <row r="17" spans="1:8" ht="15.75" customHeight="1" x14ac:dyDescent="0.25">
      <c r="B17" s="19" t="s">
        <v>108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109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110</v>
      </c>
      <c r="C19" s="99">
        <v>0</v>
      </c>
      <c r="D19" s="99">
        <v>0</v>
      </c>
      <c r="E19" s="99">
        <v>0</v>
      </c>
      <c r="F19" s="99">
        <v>0</v>
      </c>
    </row>
    <row r="20" spans="1:8" ht="15.75" customHeight="1" x14ac:dyDescent="0.25">
      <c r="B20" s="19" t="s">
        <v>111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112</v>
      </c>
      <c r="C21" s="99">
        <v>0.37636846830508891</v>
      </c>
      <c r="D21" s="99">
        <v>0.37636846830508891</v>
      </c>
      <c r="E21" s="99">
        <v>0.37636846830508891</v>
      </c>
      <c r="F21" s="99">
        <v>0.37636846830508891</v>
      </c>
    </row>
    <row r="22" spans="1:8" ht="15.75" customHeight="1" x14ac:dyDescent="0.25">
      <c r="B22" s="19" t="s">
        <v>113</v>
      </c>
      <c r="C22" s="99">
        <v>0.2034971532456139</v>
      </c>
      <c r="D22" s="99">
        <v>0.2034971532456139</v>
      </c>
      <c r="E22" s="99">
        <v>0.2034971532456139</v>
      </c>
      <c r="F22" s="99">
        <v>0.2034971532456139</v>
      </c>
    </row>
    <row r="23" spans="1:8" ht="15.75" customHeight="1" x14ac:dyDescent="0.25">
      <c r="B23" s="27" t="s">
        <v>59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7.6356962E-2</v>
      </c>
    </row>
    <row r="27" spans="1:8" ht="15.75" customHeight="1" x14ac:dyDescent="0.25">
      <c r="B27" s="19" t="s">
        <v>120</v>
      </c>
      <c r="C27" s="99">
        <v>4.6857983999999978E-2</v>
      </c>
    </row>
    <row r="28" spans="1:8" ht="15.75" customHeight="1" x14ac:dyDescent="0.25">
      <c r="B28" s="19" t="s">
        <v>121</v>
      </c>
      <c r="C28" s="99">
        <v>8.0995853000000007E-2</v>
      </c>
    </row>
    <row r="29" spans="1:8" ht="15.75" customHeight="1" x14ac:dyDescent="0.25">
      <c r="B29" s="19" t="s">
        <v>122</v>
      </c>
      <c r="C29" s="99">
        <v>0.17572802300000001</v>
      </c>
    </row>
    <row r="30" spans="1:8" ht="15.75" customHeight="1" x14ac:dyDescent="0.25">
      <c r="B30" s="19" t="s">
        <v>2</v>
      </c>
      <c r="C30" s="99">
        <v>0.102999484</v>
      </c>
    </row>
    <row r="31" spans="1:8" ht="15.75" customHeight="1" x14ac:dyDescent="0.25">
      <c r="B31" s="19" t="s">
        <v>123</v>
      </c>
      <c r="C31" s="99">
        <v>3.8216664999999997E-2</v>
      </c>
    </row>
    <row r="32" spans="1:8" ht="15.75" customHeight="1" x14ac:dyDescent="0.25">
      <c r="B32" s="19" t="s">
        <v>124</v>
      </c>
      <c r="C32" s="99">
        <v>0.17722406800000001</v>
      </c>
    </row>
    <row r="33" spans="2:3" ht="15.75" customHeight="1" x14ac:dyDescent="0.25">
      <c r="B33" s="19" t="s">
        <v>125</v>
      </c>
      <c r="C33" s="99">
        <v>0.162579839</v>
      </c>
    </row>
    <row r="34" spans="2:3" ht="15.75" customHeight="1" x14ac:dyDescent="0.25">
      <c r="B34" s="19" t="s">
        <v>126</v>
      </c>
      <c r="C34" s="99">
        <v>0.13904112199999999</v>
      </c>
    </row>
    <row r="35" spans="2:3" ht="15.75" customHeight="1" x14ac:dyDescent="0.25">
      <c r="B35" s="27" t="s">
        <v>59</v>
      </c>
      <c r="C35" s="48">
        <f>SUM(C26:C34)</f>
        <v>0.99999999999999989</v>
      </c>
    </row>
  </sheetData>
  <sheetProtection algorithmName="SHA-512" hashValue="ZmsOofSDdxnuSqwSwW/zPtYoRi3MH7IYiV1o2IPQ3tSFWpD8iEStHiLznt+t91Hl5I79nfqKBIYokZ3TrMZj7w==" saltValue="C4adRTWI2WGcwicZ/LiYo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0.59390726713780428</v>
      </c>
      <c r="D2" s="52">
        <f>IFERROR(1-_xlfn.NORM.DIST(_xlfn.NORM.INV(SUM(D4:D5), 0, 1) + 1, 0, 1, TRUE), "")</f>
        <v>0.59390726713780428</v>
      </c>
      <c r="E2" s="52">
        <f>IFERROR(1-_xlfn.NORM.DIST(_xlfn.NORM.INV(SUM(E4:E5), 0, 1) + 1, 0, 1, TRUE), "")</f>
        <v>0.74371708472323184</v>
      </c>
      <c r="F2" s="52">
        <f>IFERROR(1-_xlfn.NORM.DIST(_xlfn.NORM.INV(SUM(F4:F5), 0, 1) + 1, 0, 1, TRUE), "")</f>
        <v>0.77886571160733875</v>
      </c>
      <c r="G2" s="52">
        <f>IFERROR(1-_xlfn.NORM.DIST(_xlfn.NORM.INV(SUM(G4:G5), 0, 1) + 1, 0, 1, TRUE), "")</f>
        <v>0.72889505518581521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0.29816193286219578</v>
      </c>
      <c r="D3" s="52">
        <f>IFERROR(_xlfn.NORM.DIST(_xlfn.NORM.INV(SUM(D4:D5), 0, 1) + 1, 0, 1, TRUE) - SUM(D4:D5), "")</f>
        <v>0.29816193286219578</v>
      </c>
      <c r="E3" s="52">
        <f>IFERROR(_xlfn.NORM.DIST(_xlfn.NORM.INV(SUM(E4:E5), 0, 1) + 1, 0, 1, TRUE) - SUM(E4:E5), "")</f>
        <v>0.20730521527676815</v>
      </c>
      <c r="F3" s="52">
        <f>IFERROR(_xlfn.NORM.DIST(_xlfn.NORM.INV(SUM(F4:F5), 0, 1) + 1, 0, 1, TRUE) - SUM(F4:F5), "")</f>
        <v>0.18263458839266131</v>
      </c>
      <c r="G3" s="52">
        <f>IFERROR(_xlfn.NORM.DIST(_xlfn.NORM.INV(SUM(G4:G5), 0, 1) + 1, 0, 1, TRUE) - SUM(G4:G5), "")</f>
        <v>0.21734864481418481</v>
      </c>
    </row>
    <row r="4" spans="1:15" ht="15.75" customHeight="1" x14ac:dyDescent="0.25">
      <c r="B4" s="5" t="s">
        <v>132</v>
      </c>
      <c r="C4" s="45">
        <v>7.0136699999999996E-2</v>
      </c>
      <c r="D4" s="53">
        <v>7.0136699999999996E-2</v>
      </c>
      <c r="E4" s="53">
        <v>3.4336800000000001E-2</v>
      </c>
      <c r="F4" s="53">
        <v>2.6632300000000001E-2</v>
      </c>
      <c r="G4" s="53">
        <v>3.4629399999999998E-2</v>
      </c>
    </row>
    <row r="5" spans="1:15" ht="15.75" customHeight="1" x14ac:dyDescent="0.25">
      <c r="B5" s="5" t="s">
        <v>133</v>
      </c>
      <c r="C5" s="45">
        <v>3.7794099999999997E-2</v>
      </c>
      <c r="D5" s="53">
        <v>3.7794099999999997E-2</v>
      </c>
      <c r="E5" s="53">
        <v>1.46409E-2</v>
      </c>
      <c r="F5" s="53">
        <v>1.18674E-2</v>
      </c>
      <c r="G5" s="53">
        <v>1.9126899999999999E-2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0.68723648599051779</v>
      </c>
      <c r="D8" s="52">
        <f>IFERROR(1-_xlfn.NORM.DIST(_xlfn.NORM.INV(SUM(D10:D11), 0, 1) + 1, 0, 1, TRUE), "")</f>
        <v>0.68723648599051779</v>
      </c>
      <c r="E8" s="52">
        <f>IFERROR(1-_xlfn.NORM.DIST(_xlfn.NORM.INV(SUM(E10:E11), 0, 1) + 1, 0, 1, TRUE), "")</f>
        <v>0.77701468268072693</v>
      </c>
      <c r="F8" s="52">
        <f>IFERROR(1-_xlfn.NORM.DIST(_xlfn.NORM.INV(SUM(F10:F11), 0, 1) + 1, 0, 1, TRUE), "")</f>
        <v>0.9136633808576291</v>
      </c>
      <c r="G8" s="52">
        <f>IFERROR(1-_xlfn.NORM.DIST(_xlfn.NORM.INV(SUM(G10:G11), 0, 1) + 1, 0, 1, TRUE), "")</f>
        <v>0.83498121266580128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0.24439231400948222</v>
      </c>
      <c r="D9" s="52">
        <f>IFERROR(_xlfn.NORM.DIST(_xlfn.NORM.INV(SUM(D10:D11), 0, 1) + 1, 0, 1, TRUE) - SUM(D10:D11), "")</f>
        <v>0.24439231400948222</v>
      </c>
      <c r="E9" s="52">
        <f>IFERROR(_xlfn.NORM.DIST(_xlfn.NORM.INV(SUM(E10:E11), 0, 1) + 1, 0, 1, TRUE) - SUM(E10:E11), "")</f>
        <v>0.18396331731927304</v>
      </c>
      <c r="F9" s="52">
        <f>IFERROR(_xlfn.NORM.DIST(_xlfn.NORM.INV(SUM(F10:F11), 0, 1) + 1, 0, 1, TRUE) - SUM(F10:F11), "")</f>
        <v>7.7289019142370949E-2</v>
      </c>
      <c r="G9" s="52">
        <f>IFERROR(_xlfn.NORM.DIST(_xlfn.NORM.INV(SUM(G10:G11), 0, 1) + 1, 0, 1, TRUE) - SUM(G10:G11), "")</f>
        <v>0.14083008733419869</v>
      </c>
    </row>
    <row r="10" spans="1:15" ht="15.75" customHeight="1" x14ac:dyDescent="0.25">
      <c r="B10" s="5" t="s">
        <v>137</v>
      </c>
      <c r="C10" s="45">
        <v>6.8371199999999993E-2</v>
      </c>
      <c r="D10" s="53">
        <v>6.8371199999999993E-2</v>
      </c>
      <c r="E10" s="53">
        <v>2.5490800000000001E-2</v>
      </c>
      <c r="F10" s="53">
        <v>2.9429999999999999E-3</v>
      </c>
      <c r="G10" s="53">
        <v>2.01747E-2</v>
      </c>
    </row>
    <row r="11" spans="1:15" ht="15.75" customHeight="1" x14ac:dyDescent="0.25">
      <c r="B11" s="5" t="s">
        <v>138</v>
      </c>
      <c r="C11" s="45">
        <v>0</v>
      </c>
      <c r="D11" s="53">
        <v>0</v>
      </c>
      <c r="E11" s="53">
        <v>1.35312E-2</v>
      </c>
      <c r="F11" s="53">
        <v>6.1046E-3</v>
      </c>
      <c r="G11" s="53">
        <v>4.0140000000000002E-3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0.40326360550000012</v>
      </c>
      <c r="D14" s="54">
        <v>0.41716673795999992</v>
      </c>
      <c r="E14" s="54">
        <v>0.41716673795999992</v>
      </c>
      <c r="F14" s="54">
        <v>0.180481621654</v>
      </c>
      <c r="G14" s="54">
        <v>0.180481621654</v>
      </c>
      <c r="H14" s="45">
        <v>0.28399999999999997</v>
      </c>
      <c r="I14" s="55">
        <v>0.28399999999999997</v>
      </c>
      <c r="J14" s="55">
        <v>0.28399999999999997</v>
      </c>
      <c r="K14" s="55">
        <v>0.28399999999999997</v>
      </c>
      <c r="L14" s="45">
        <v>0.27200000000000002</v>
      </c>
      <c r="M14" s="55">
        <v>0.27200000000000002</v>
      </c>
      <c r="N14" s="55">
        <v>0.27200000000000002</v>
      </c>
      <c r="O14" s="55">
        <v>0.27200000000000002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0.25129371576732507</v>
      </c>
      <c r="D15" s="52">
        <f t="shared" si="0"/>
        <v>0.25995745275977394</v>
      </c>
      <c r="E15" s="52">
        <f t="shared" si="0"/>
        <v>0.25995745275977394</v>
      </c>
      <c r="F15" s="52">
        <f t="shared" si="0"/>
        <v>0.11246712253369009</v>
      </c>
      <c r="G15" s="52">
        <f t="shared" si="0"/>
        <v>0.11246712253369009</v>
      </c>
      <c r="H15" s="52">
        <f t="shared" si="0"/>
        <v>0.17697459999999998</v>
      </c>
      <c r="I15" s="52">
        <f t="shared" si="0"/>
        <v>0.17697459999999998</v>
      </c>
      <c r="J15" s="52">
        <f t="shared" si="0"/>
        <v>0.17697459999999998</v>
      </c>
      <c r="K15" s="52">
        <f t="shared" si="0"/>
        <v>0.17697459999999998</v>
      </c>
      <c r="L15" s="52">
        <f t="shared" si="0"/>
        <v>0.1694968</v>
      </c>
      <c r="M15" s="52">
        <f t="shared" si="0"/>
        <v>0.1694968</v>
      </c>
      <c r="N15" s="52">
        <f t="shared" si="0"/>
        <v>0.1694968</v>
      </c>
      <c r="O15" s="52">
        <f t="shared" si="0"/>
        <v>0.1694968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JCc/MYMrL0WmvZpNFe+JgCaM5IGmCjK76rL9LlLSInIDzo2guS1SfvwN+IcrmYfjPhuJAOsHckBCZvAySsmDkA==" saltValue="3HyrL6DZ1J/LzZVaTyfMg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0.57374920000000007</v>
      </c>
      <c r="D2" s="53">
        <v>0.21961839999999999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0.32482139999999998</v>
      </c>
      <c r="D3" s="53">
        <v>0.29721890000000001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5.2271599999999988E-2</v>
      </c>
      <c r="D4" s="53">
        <v>0.1803351</v>
      </c>
      <c r="E4" s="53">
        <v>0.44911450000000003</v>
      </c>
      <c r="F4" s="53">
        <v>0.1620346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4.9157800000000029E-2</v>
      </c>
      <c r="D5" s="52">
        <f t="shared" si="0"/>
        <v>0.30282760000000009</v>
      </c>
      <c r="E5" s="52">
        <f>1-SUM(E2:E4)</f>
        <v>0.55088549999999992</v>
      </c>
      <c r="F5" s="52">
        <f>1-SUM(F2:F4)</f>
        <v>0.83796539999999997</v>
      </c>
      <c r="G5" s="52">
        <f>1-SUM(G2:G4)</f>
        <v>1</v>
      </c>
    </row>
  </sheetData>
  <sheetProtection algorithmName="SHA-512" hashValue="y14rrh4gmN7stj3LcKsTytLRBn9Fr7ny+iGrr8ExD51qz2CcuOUBsevGt2y7Wt6JpJYFCgRzYLwVRFDeZfeybQ==" saltValue="pdk6xIX72gKZfoyPkVYZH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ATcEOzZFl14Cj+fbnjBsiIxCnQZuq/vOPBxXCAiGLGhtCuYY1RwWLXBbT/rEht12CM1yRrnaeTMtlxvNH16hfQ==" saltValue="Bb/ZvO/HHAHjhegGECmb2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9537.6828667312802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0.52329000000000003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0.66799999999999993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1.5414724456413276E-2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99487.869449999998</v>
      </c>
      <c r="C22" s="107">
        <v>99438.333670000007</v>
      </c>
      <c r="D22" s="107">
        <v>99369.294320000001</v>
      </c>
      <c r="E22" s="107">
        <v>99230.96643</v>
      </c>
      <c r="F22" s="107">
        <v>99040.410910000006</v>
      </c>
      <c r="G22" s="107">
        <v>98793.598800000007</v>
      </c>
      <c r="H22" s="107">
        <v>98405.441009999995</v>
      </c>
      <c r="I22" s="107">
        <v>97834.529139999999</v>
      </c>
      <c r="J22" s="107">
        <v>96965.630709999998</v>
      </c>
      <c r="K22" s="107">
        <v>95476.325209999995</v>
      </c>
      <c r="L22" s="107">
        <v>92758.775460000004</v>
      </c>
      <c r="M22" s="107">
        <v>88503.757599999997</v>
      </c>
      <c r="N22" s="107">
        <v>81995.464470000006</v>
      </c>
      <c r="O22" s="107">
        <v>72957.361430000004</v>
      </c>
    </row>
  </sheetData>
  <sheetProtection algorithmName="SHA-512" hashValue="fNROLSG/WsPTXab6UooAxrkHU86gcYPeT6qMZmBUST8A3ig5w+8CAPXJWFwW4rxAyyxwxiTD2RbDQpwqt1aL1g==" saltValue="2bNOBc/zEGoJsuBMqR/FN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s7fCVDv1aDPesMRFcts68wB9xw/wcit8goFercTxEUHoRLl++Bd8Nc1W91xwqDKPRZvnyrHCm0+h20qB8bf/Gg==" saltValue="7vhQZAXNXxzWiddHDMT1C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uB3TGP0ZDds1sI0ZjbfLKc1qFWv9Bf4mUAE08TbkIes75Kw+syH3XbFEoqGSU1HSXjBJz9PtaVK7EaFNwiNP4g==" saltValue="wq/i7ywaV0ybPWqjbgCve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12.008526100307062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12.008526100307062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8.8894216990788131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</v>
      </c>
      <c r="C9" s="96">
        <v>0.95</v>
      </c>
      <c r="D9" s="56">
        <v>0.40262538382804508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</v>
      </c>
      <c r="C10" s="96">
        <v>0.95</v>
      </c>
      <c r="D10" s="56">
        <v>13.195738021909881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13.195738021909881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13.195738021909881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13.195738021909881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</v>
      </c>
      <c r="C14" s="96">
        <v>0.95</v>
      </c>
      <c r="D14" s="56">
        <v>13.195738021909881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13.195738021909881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2.5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0.14000000000000001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0.21961839999999999</v>
      </c>
      <c r="C18" s="96">
        <v>0.95</v>
      </c>
      <c r="D18" s="56">
        <v>8.8894216990788131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0.21961839999999999</v>
      </c>
      <c r="C19" s="96">
        <v>0.95</v>
      </c>
      <c r="D19" s="56">
        <v>12.47074045559749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8.8894216990788131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4.3940617735474108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0.71505740000000007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5.1498336745138182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11.470990276356194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0.35967890000000002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0.85884820000000006</v>
      </c>
      <c r="C29" s="96">
        <v>0.95</v>
      </c>
      <c r="D29" s="56">
        <v>132.3139429353005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170.92419651995908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</v>
      </c>
      <c r="C32" s="96">
        <v>0.95</v>
      </c>
      <c r="D32" s="56">
        <v>1.1057036847492325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0.9813012000000001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0.25723400000000002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4.8444399999999999E-2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0.94893539999999998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</v>
      </c>
      <c r="C38" s="96">
        <v>0.95</v>
      </c>
      <c r="D38" s="56">
        <v>2.6374181166837261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ZYV3WXUoJ8G/WYWwiDEYL5z8OlIUVEUHcVFccQLiMAwzjvB7TCxXmovfoaVi5ITFzr1BNPF1BIywgErPsRt8+Q==" saltValue="ZNBoeqo2ehUTj3leXpIgX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AYH+Ya/8lwOnAVv8SIhtTgEqAh8HIeCvQ/4WKtcbXqVJYglmjGH55p/JMINP2eNzogb8I92G/nUpkcmIhAhLCA==" saltValue="8cm2c+lY94PmFJf77KzBB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tQtCGazl10ajSOFcGfCiifqYF5eWxf1HJYRjL8BHT+IdX8tdQZnyMDyMjdol5rnzTFaUNp1sTd8WLDo9p8hnPQ==" saltValue="AE3E9HmZ2ZeSSO+V7wVqd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2.8</v>
      </c>
      <c r="C2" s="21">
        <f>'Données pop de l''année de ref'!C52</f>
        <v>2.8</v>
      </c>
      <c r="D2" s="21">
        <f>'Données pop de l''année de ref'!C53</f>
        <v>2.8</v>
      </c>
      <c r="E2" s="21">
        <f>'Données pop de l''année de ref'!C54</f>
        <v>2.8</v>
      </c>
      <c r="F2" s="21">
        <f>'Données pop de l''année de ref'!C55</f>
        <v>2.8</v>
      </c>
    </row>
    <row r="3" spans="1:6" ht="15.75" customHeight="1" x14ac:dyDescent="0.25">
      <c r="A3" s="3" t="s">
        <v>238</v>
      </c>
      <c r="B3" s="21">
        <f>frac_mam_1month * 2.6</f>
        <v>0.17776512</v>
      </c>
      <c r="C3" s="21">
        <f>frac_mam_1_5months * 2.6</f>
        <v>0.17776512</v>
      </c>
      <c r="D3" s="21">
        <f>frac_mam_6_11months * 2.6</f>
        <v>6.6276080000000001E-2</v>
      </c>
      <c r="E3" s="21">
        <f>frac_mam_12_23months * 2.6</f>
        <v>7.6518000000000003E-3</v>
      </c>
      <c r="F3" s="21">
        <f>frac_mam_24_59months * 2.6</f>
        <v>5.2454220000000003E-2</v>
      </c>
    </row>
    <row r="4" spans="1:6" ht="15.75" customHeight="1" x14ac:dyDescent="0.25">
      <c r="A4" s="3" t="s">
        <v>237</v>
      </c>
      <c r="B4" s="21">
        <f>frac_sam_1month * 2.6</f>
        <v>0</v>
      </c>
      <c r="C4" s="21">
        <f>frac_sam_1_5months * 2.6</f>
        <v>0</v>
      </c>
      <c r="D4" s="21">
        <f>frac_sam_6_11months * 2.6</f>
        <v>3.5181120000000003E-2</v>
      </c>
      <c r="E4" s="21">
        <f>frac_sam_12_23months * 2.6</f>
        <v>1.5871960000000001E-2</v>
      </c>
      <c r="F4" s="21">
        <f>frac_sam_24_59months * 2.6</f>
        <v>1.04364E-2</v>
      </c>
    </row>
  </sheetData>
  <sheetProtection algorithmName="SHA-512" hashValue="86O48QXhM7o389wiLe359m7+T4bTg8e5rpnoqFESn2dQvoN6siwSKUxbWVFWPaOy4nT0ejxHA1DrFesj/8fVXQ==" saltValue="QyvJWoOrug6r6kgm8bdFE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5.5E-2</v>
      </c>
      <c r="F2" s="60">
        <f>food_insecure</f>
        <v>5.5E-2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5.5E-2</v>
      </c>
      <c r="F5" s="60">
        <f>food_insecure</f>
        <v>5.5E-2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5.5E-2</v>
      </c>
      <c r="F8" s="60">
        <f>food_insecure</f>
        <v>5.5E-2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5.5E-2</v>
      </c>
      <c r="F9" s="60">
        <f>food_insecure</f>
        <v>5.5E-2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5.5E-2</v>
      </c>
      <c r="I15" s="60">
        <f t="shared" si="0"/>
        <v>5.5E-2</v>
      </c>
      <c r="J15" s="60">
        <f t="shared" si="0"/>
        <v>5.5E-2</v>
      </c>
      <c r="K15" s="60">
        <f t="shared" si="0"/>
        <v>5.5E-2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5.5E-2</v>
      </c>
      <c r="I16" s="60">
        <f t="shared" si="0"/>
        <v>5.5E-2</v>
      </c>
      <c r="J16" s="60">
        <f t="shared" si="0"/>
        <v>5.5E-2</v>
      </c>
      <c r="K16" s="60">
        <f t="shared" si="0"/>
        <v>5.5E-2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0.74900000000000011</v>
      </c>
      <c r="M24" s="60">
        <f>famplan_unmet_need</f>
        <v>0.74900000000000011</v>
      </c>
      <c r="N24" s="60">
        <f>famplan_unmet_need</f>
        <v>0.74900000000000011</v>
      </c>
      <c r="O24" s="60">
        <f>famplan_unmet_need</f>
        <v>0.74900000000000011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3.5469570693969873E-2</v>
      </c>
      <c r="M25" s="60">
        <f>(1-food_insecure)*(0.49)+food_insecure*(0.7)</f>
        <v>0.50154999999999994</v>
      </c>
      <c r="N25" s="60">
        <f>(1-food_insecure)*(0.49)+food_insecure*(0.7)</f>
        <v>0.50154999999999994</v>
      </c>
      <c r="O25" s="60">
        <f>(1-food_insecure)*(0.49)+food_insecure*(0.7)</f>
        <v>0.50154999999999994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1.5201244583129945E-2</v>
      </c>
      <c r="M26" s="60">
        <f>(1-food_insecure)*(0.21)+food_insecure*(0.3)</f>
        <v>0.21494999999999997</v>
      </c>
      <c r="N26" s="60">
        <f>(1-food_insecure)*(0.21)+food_insecure*(0.3)</f>
        <v>0.21494999999999997</v>
      </c>
      <c r="O26" s="60">
        <f>(1-food_insecure)*(0.21)+food_insecure*(0.3)</f>
        <v>0.21494999999999997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2.0049094390869222E-2</v>
      </c>
      <c r="M27" s="60">
        <f>(1-food_insecure)*(0.3)</f>
        <v>0.28349999999999997</v>
      </c>
      <c r="N27" s="60">
        <f>(1-food_insecure)*(0.3)</f>
        <v>0.28349999999999997</v>
      </c>
      <c r="O27" s="60">
        <f>(1-food_insecure)*(0.3)</f>
        <v>0.28349999999999997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0.92928009033203085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2lZOBPwRSxe+MsELC3xBn793LvJQ79RQWq9geORXpmgzBgBWxp2vJupBfXE/FTSGq7eRqz2x9CjfwMW6LcUj8A==" saltValue="i9NaMDcy2gPzNtN8ecuOz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Twu8Dja5oO+MUi6nZags+LJ1XmYNuyDH1Cdtg6c3yyPA8m3LvCbXKqQ7dhjZscAQUI8hcwv1pEv4m13kKYuwYg==" saltValue="DvrUtHEIUvMweHQfTqrEY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QTe+bH1ls3sPCupPQVzU6Do3mc+h8x8lq6y+m9mn/aVdXTuVy1Q63WifxLECA2UQpVhVMnIQ6NlQZWiDV+kQKQ==" saltValue="hHJ0YxMVtmRtPofeEp7Ue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Rea1u+6Wrxb1IqU0ROZfjwSCe4V7+gEnn676w1/28u+6jq0NDzEqltiG9jDH8TrIQQcIh/Y40o3WNZHA4aTC9Q==" saltValue="lqMYMqa5lZwPswtcieTFz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g+McMOg0bXx33y5vbUiIOU3WIdKoxDmf9904+hBo6aeCCDc7WsgN2hOZRdF9ufWWG9VxPMFdoui617n46FIozQ==" saltValue="kus+L8DJCSuVErmKAbxSf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ZPT5DBCGQGc83FkM0WPmIoKoC4thgWTegat7s+ZTv14mf0bFkUG1dvvvyGlzKBxmtwpZoSI9p163kyucj00URA==" saltValue="ZObKgzC5OkDqh69LEjtjR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ooXzZBXYJkwtkkPh2fLDYJvA4InnlhHTySzQ4e9P012nm63vh+C1VqETKUC8fWADtgQvucoXPT5ZDCXngg/eRw==" saltValue="fQP7JiedReWAoKVVw+xraQ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RqaQnXQSPnqRLDjOmrhbdHhf011UtUv59bYcWalw6To61KsdfbNCKypETNjbCAxYSnRc30tm3cmuOBC62HvMjQ==" saltValue="g/TdvzkPrSo7Cl/jxRxX6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OsZxcQsuAqj1mGKK7M0l3sl81JlSGOlV4aQGAhGgi8yIsBQn0HjH0PXahLlXMcyFVhQRW1CxUYQA/czIvMV7qg==" saltValue="aCicrYpb6ZskKOHGxFkpI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3cFFUl5ZBOQkW9NRL9gRuVw6oGaQZii/hb+NmBvmdFhL0jSj+PydmGbJXdh7qqSssbmjtDyrL4fpdToJI4yyqg==" saltValue="OeGXOKgh7cGnSzKjy79iy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c9G/p/O5TuUA5nqfZVwcqaYOw30UmnQBhGu4u/1jMK1pNjuExUJOm5FRFH99tUnokj1ZWgyj7qW9xGh855e8Q==" saltValue="ArLAXO+NHK61/dzw9k3x2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lNRYsojuX6E+vFkkXZikxEZv0vpvCj/ogHv1c9A0zk9nrPhGhmHuJF/yYhUVTMcxwnziTym4kRp+GuW9EtWeeA==" saltValue="TcRzQn8AOPUhLL5eiL0Gt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b8eLXq6a+pcV2R0u0wWtXuvB+8xdBn6jwqX23z/zoWpxNIdK7CCLQ6+xC61Y07HZ2yf0aVTfg59LIDcs0QUi3A==" saltValue="txekozt3PBH6T4zhXdf/J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NeAPWp+IFJqtNNgnCEkxlch9+81c+skB3kokrTpE5JVdXnKX8eHTPDHJELRbGpaLK5cvak8h075sK+1fHxdPgQ==" saltValue="LPBHuerdC2ZhpT68lyfGX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xEWDI+UN5BPxbxkk1YYNq7K3PmtF2D+N9WUrjwuyjIz3wlVMYqaRg50FQrxBuI+V7vBhOO3XAsXh2M2rYkcsTg==" saltValue="ICU+dmcIkJu98pt6J3Uaz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2025-07-30T03:26:20Z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