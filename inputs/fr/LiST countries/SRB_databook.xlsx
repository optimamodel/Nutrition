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D3F2ABD-8675-4617-9940-13E3D821B444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2" i="2"/>
  <c r="A23" i="2"/>
  <c r="I13" i="2"/>
  <c r="H13" i="2"/>
  <c r="G13" i="2"/>
  <c r="H12" i="2"/>
  <c r="G12" i="2"/>
  <c r="I12" i="2" s="1"/>
  <c r="H11" i="2"/>
  <c r="I11" i="2" s="1"/>
  <c r="G11" i="2"/>
  <c r="H10" i="2"/>
  <c r="G10" i="2"/>
  <c r="I9" i="2"/>
  <c r="H9" i="2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4" i="2" l="1"/>
  <c r="I6" i="2"/>
  <c r="A19" i="2"/>
  <c r="A28" i="2"/>
  <c r="A37" i="2"/>
  <c r="A15" i="2"/>
  <c r="A33" i="2"/>
  <c r="A16" i="2"/>
  <c r="A25" i="2"/>
  <c r="A34" i="2"/>
  <c r="A17" i="2"/>
  <c r="A26" i="2"/>
  <c r="A27" i="2"/>
  <c r="A3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6" i="2"/>
  <c r="A20" i="2"/>
  <c r="A29" i="2"/>
  <c r="I10" i="2"/>
  <c r="A21" i="2"/>
  <c r="A31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<sst xmlns="http://schemas.openxmlformats.org/spreadsheetml/2006/main" count="2101" uniqueCount="337">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</sst>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328680.9375</v>
      </c>
    </row>
    <row r="8" spans="1:3" ht="15" customHeight="1" x14ac:dyDescent="0.25">
      <c r="B8" s="5" t="s">
        <v>19</v>
      </c>
      <c r="C8" s="44">
        <v>5.5E-2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0.92928009033203096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5.9700000000000003E-2</v>
      </c>
    </row>
    <row r="24" spans="1:3" ht="15" customHeight="1" x14ac:dyDescent="0.25">
      <c r="B24" s="15" t="s">
        <v>33</v>
      </c>
      <c r="C24" s="45">
        <v>0.495</v>
      </c>
    </row>
    <row r="25" spans="1:3" ht="15" customHeight="1" x14ac:dyDescent="0.25">
      <c r="B25" s="15" t="s">
        <v>34</v>
      </c>
      <c r="C25" s="45">
        <v>0.42230000000000001</v>
      </c>
    </row>
    <row r="26" spans="1:3" ht="15" customHeight="1" x14ac:dyDescent="0.25">
      <c r="B26" s="15" t="s">
        <v>35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0.51101988116637098</v>
      </c>
    </row>
    <row r="30" spans="1:3" ht="14.25" customHeight="1" x14ac:dyDescent="0.25">
      <c r="B30" s="25" t="s">
        <v>38</v>
      </c>
      <c r="C30" s="99">
        <v>3.6928466503456402E-2</v>
      </c>
    </row>
    <row r="31" spans="1:3" ht="14.25" customHeight="1" x14ac:dyDescent="0.25">
      <c r="B31" s="25" t="s">
        <v>39</v>
      </c>
      <c r="C31" s="99">
        <v>4.0966963582223501E-2</v>
      </c>
    </row>
    <row r="32" spans="1:3" ht="14.25" customHeight="1" x14ac:dyDescent="0.25">
      <c r="B32" s="25" t="s">
        <v>40</v>
      </c>
      <c r="C32" s="99">
        <v>0.41108468874794901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3.5533999999999999</v>
      </c>
    </row>
    <row r="38" spans="1:5" ht="15" customHeight="1" x14ac:dyDescent="0.25">
      <c r="B38" s="11" t="s">
        <v>45</v>
      </c>
      <c r="C38" s="43">
        <v>4.7455299999999996</v>
      </c>
      <c r="D38" s="12"/>
      <c r="E38" s="13"/>
    </row>
    <row r="39" spans="1:5" ht="15" customHeight="1" x14ac:dyDescent="0.25">
      <c r="B39" s="11" t="s">
        <v>46</v>
      </c>
      <c r="C39" s="43">
        <v>5.4872699999999996</v>
      </c>
      <c r="D39" s="12"/>
      <c r="E39" s="12"/>
    </row>
    <row r="40" spans="1:5" ht="15" customHeight="1" x14ac:dyDescent="0.25">
      <c r="B40" s="11" t="s">
        <v>47</v>
      </c>
      <c r="C40" s="100">
        <v>0.1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3.4918000000000002E-3</v>
      </c>
      <c r="D45" s="12"/>
    </row>
    <row r="46" spans="1:5" ht="15.75" customHeight="1" x14ac:dyDescent="0.25">
      <c r="B46" s="11" t="s">
        <v>52</v>
      </c>
      <c r="C46" s="45">
        <v>3.7518500000000003E-2</v>
      </c>
      <c r="D46" s="12"/>
    </row>
    <row r="47" spans="1:5" ht="15.75" customHeight="1" x14ac:dyDescent="0.25">
      <c r="B47" s="11" t="s">
        <v>53</v>
      </c>
      <c r="C47" s="45">
        <v>7.7681799999999995E-2</v>
      </c>
      <c r="D47" s="12"/>
      <c r="E47" s="13"/>
    </row>
    <row r="48" spans="1:5" ht="15" customHeight="1" x14ac:dyDescent="0.25">
      <c r="B48" s="11" t="s">
        <v>54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0.62314999999999998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l6LhQyKwfen2JawFwIKT4A9fb3Ox7Yp48nTQF9nmJT5oo7IUbk9ivZXo3LXYZQABPbvVUfA22INpjiYWEp0GCA==" saltValue="7U68Pa8r8K/peZ03tmzp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actEmqluJfq1Jpwk05I7nxKN0Gn79UH9bc8OXm/tYl997Y6KUxaAj09/P42YON/aFsMuoIiSeMG6bhpNjY4xA==" saltValue="fMJ7E0UlJes+dot4ttfi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2.6376197362380321E-2</v>
      </c>
    </row>
    <row r="5" spans="1:8" ht="15.75" customHeight="1" x14ac:dyDescent="0.25">
      <c r="B5" s="19" t="s">
        <v>80</v>
      </c>
      <c r="C5" s="101">
        <v>1.9977998002200119E-2</v>
      </c>
    </row>
    <row r="6" spans="1:8" ht="15.75" customHeight="1" x14ac:dyDescent="0.25">
      <c r="B6" s="19" t="s">
        <v>81</v>
      </c>
      <c r="C6" s="101">
        <v>0.1411632858836713</v>
      </c>
    </row>
    <row r="7" spans="1:8" ht="15.75" customHeight="1" x14ac:dyDescent="0.25">
      <c r="B7" s="19" t="s">
        <v>82</v>
      </c>
      <c r="C7" s="101">
        <v>0.63213873678612653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0.1415473858452613</v>
      </c>
    </row>
    <row r="10" spans="1:8" ht="15.75" customHeight="1" x14ac:dyDescent="0.25">
      <c r="B10" s="19" t="s">
        <v>85</v>
      </c>
      <c r="C10" s="101">
        <v>3.8796396120360288E-2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88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89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95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7.6356962E-2</v>
      </c>
    </row>
    <row r="27" spans="1:8" ht="15.75" customHeight="1" x14ac:dyDescent="0.25">
      <c r="B27" s="19" t="s">
        <v>102</v>
      </c>
      <c r="C27" s="101">
        <v>4.6857983999999978E-2</v>
      </c>
    </row>
    <row r="28" spans="1:8" ht="15.75" customHeight="1" x14ac:dyDescent="0.25">
      <c r="B28" s="19" t="s">
        <v>103</v>
      </c>
      <c r="C28" s="101">
        <v>8.0995853000000007E-2</v>
      </c>
    </row>
    <row r="29" spans="1:8" ht="15.75" customHeight="1" x14ac:dyDescent="0.25">
      <c r="B29" s="19" t="s">
        <v>104</v>
      </c>
      <c r="C29" s="101">
        <v>0.17572802300000001</v>
      </c>
    </row>
    <row r="30" spans="1:8" ht="15.75" customHeight="1" x14ac:dyDescent="0.25">
      <c r="B30" s="19" t="s">
        <v>2</v>
      </c>
      <c r="C30" s="101">
        <v>0.102999484</v>
      </c>
    </row>
    <row r="31" spans="1:8" ht="15.75" customHeight="1" x14ac:dyDescent="0.25">
      <c r="B31" s="19" t="s">
        <v>105</v>
      </c>
      <c r="C31" s="101">
        <v>3.8216664999999997E-2</v>
      </c>
    </row>
    <row r="32" spans="1:8" ht="15.75" customHeight="1" x14ac:dyDescent="0.25">
      <c r="B32" s="19" t="s">
        <v>106</v>
      </c>
      <c r="C32" s="101">
        <v>0.17722406800000001</v>
      </c>
    </row>
    <row r="33" spans="2:3" ht="15.75" customHeight="1" x14ac:dyDescent="0.25">
      <c r="B33" s="19" t="s">
        <v>107</v>
      </c>
      <c r="C33" s="101">
        <v>0.162579839</v>
      </c>
    </row>
    <row r="34" spans="2:3" ht="15.75" customHeight="1" x14ac:dyDescent="0.25">
      <c r="B34" s="19" t="s">
        <v>108</v>
      </c>
      <c r="C34" s="101">
        <v>0.13904112199999999</v>
      </c>
    </row>
    <row r="35" spans="2:3" ht="15.75" customHeight="1" x14ac:dyDescent="0.25">
      <c r="B35" s="27" t="s">
        <v>41</v>
      </c>
      <c r="C35" s="48">
        <f>SUM(C26:C34)</f>
        <v>0.99999999999999989</v>
      </c>
    </row>
  </sheetData>
  <sheetProtection algorithmName="SHA-512" hashValue="RvtAJgVdc78chNljj/FFcXki5H9T2Dh/Jw7q949fb+JnKvVsERyZ8mknyG+3ZczV9RZsIjN0hJf+NRVjksCCeA==" saltValue="0L4rKOQo7W8BKy/0TD98V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114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115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119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120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CZDipaBeIGNX5+RwKzWdsE2VvfmqMAzuMjYu15yAEmqrNCuhDzNp5nD7MwGiymxNhd+m/3reK2eWPKMLe5ERQ==" saltValue="87KRHDjhJ/48RJk3bGDv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132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zhkaT0sYNkbUJwygLS00voh8MB2XuSFiLWgu/jRvXrysblEHQn0jRKejz/oCd42NgcjlHU/kgYoGCgQllq37fQ==" saltValue="4/vHWTOfr0mCUBLY7ozF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mfidEs59Eg5ipYJBLNBDdjmygz3prC1fZnfKD/ZqKo6K/5LlkKVrxsytqlkAgyqQkc6arJpEqmausawYZlSqw==" saltValue="9owdpMuwJBhwDSN7emtf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54k7pqVdijKqkmsTim74mwCqfwFVMtEgh9US3f2UiiZMUHnPkK08aXVVtDkyuCVh0ndrriaOc8nliQ7YiFwbyg==" saltValue="Fdz4aGof/Cfm2jbLAhh7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fHbD3DsXUtke2kO0YH0+vuhBnavwGGiS+KZ41zsDEPBPQaJ5l4V0LlVhvXQjl+Ta2ozjWWZp9GlRNw8QuPvXg==" saltValue="hY6i8Ky5ytXCvnxJTT4V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0kdmpfdyypgHyHM+taVL0f+ijkK2ytXIuYI6ks5wUJal5kvnadZKP3oQCHstxagIuaVn5Wy/dImm2KBtDvl41g==" saltValue="G3yqWB8YRaJJa6lWpnqkS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66.2077864022162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40.063438578113967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542.61982788724652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6.9000643786438447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13.195738021909881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13.195738021909881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13.195738021909881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13.195738021909881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13.195738021909881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13.195738021909881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0.90250382180522548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0.21961839999999999</v>
      </c>
      <c r="C18" s="98">
        <v>0.95</v>
      </c>
      <c r="D18" s="56">
        <v>12.47074045559749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0.21961839999999999</v>
      </c>
      <c r="C19" s="98">
        <v>0.95</v>
      </c>
      <c r="D19" s="56">
        <v>12.47074045559749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68.582775194044444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22.867873379757981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4.3940617735474108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0.71505740000000007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18.764182705510279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0.35967890000000002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0.85884820000000006</v>
      </c>
      <c r="C29" s="98">
        <v>0.95</v>
      </c>
      <c r="D29" s="56">
        <v>132.3139429353005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1.1924310040780739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1.956691543072911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0.9813012000000001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0.25723400000000002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4.8444399999999999E-2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0.94893539999999998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2.764629090051816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D8+8J8tyzGinYeeNaKDYnN6gLuYtmmaItfR+fvghQfRDyXElzz9I6mdKH/QwcpmmuTGGBb1kDmF/mTBcY1lwmw==" saltValue="BYWnUBvh9d+weqNj72YD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ktmncxFvrDVrv7mJk0zuSFkTfvIwdUTqaRioVTBPAQBUZLJpFrXEvluEZsAKpxoe2GmPB+xzP9xSdKh7qum00w==" saltValue="6GxlzVuxUDBxQ1AwI8bm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IxHm4IP1Ru6hqiPcnKomGfYXHH/hOxAkc+DOT57PsKSHS6foqo25udFHvZnpdBDsom1m578+Vyf0kQCug8o/Cw==" saltValue="RTa0hJji3TX1C1v6E+5+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X7x4m482SrMrlu6g4kPt+wqr/0gEpZzlXOY13sdQ0qhp3cfZGYZ4lcI5xeQNhFoPEhuqE0pr9y1mMmVjDsT9zQ==" saltValue="5+nwzp7vcXJVpK91xici9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cXzrONccc+0oxfPrk72iwFn72l2AmeKLq71ae0pCQVfT5R5OLkavz9vYnTr8CirJKgATCurlLoBiFRsKLOIXA==" saltValue="EXRvcRPVehXzqYU1xWHa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gdRcGFIovYGV9w42WXGsT2Vm0xmZjg8tCzHhIk/vjq1wFoZYX4yBLZKLkoZHvGEOdmwUEY48hXKcQjqW0iEhlw==" saltValue="htiUhRU55eH+sboQ53th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0cTgOC9oZRs7K7KyZInr/Wi4BklL46SGkGv3kgiCGG81IL4N6ep3a00NQtjIaUy44cltei4zid5tQqan62XQQ==" saltValue="UI5JURv912EWbICwkB8cw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mIc/VmPIzncKJfqIF9Zmk8PdXKu3mGHBq619rHj+9rg+qqdnJRqpNC9A0bDs0llVIvR1MVXI/rbZiuunWkAHQ==" saltValue="a8BmJlgzT6wtWnnbF7D9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8/V+TQ/KnA99Usb+WuCH3khIpSE3YkGFBSNCWBrDuX4Gb3/xulE0RwrqAMkqH8p8cFmkfGmAp/N1bvL4Pi9lQ==" saltValue="xc+ipbQCiktwHhp1MdRr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U7qbGW2chEcKsYUVE3vUiF1Io+5tkcCjp0+lavtyZ3C3QPZqNwxbQDFgPNo1+RDUgyX4oNRmd7eIpoRdh4POQ==" saltValue="tnFf1Lczq3kMwqCrdIFV7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x3Sk3mWfoxizx8WcWa5H2V7G9lKOu/5YxWU4cYV0u8KbA/YD3SRjBvyygm1uXTNL6lnb9NInSbM2rclEJuPqw==" saltValue="tz4aXI+XOOmp2e2a0ge6U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uUNdnXyQjH//xFXHmlejh95Hwf7q7sxATUf6BcAXCMF8UFVk6PGJqm5n7mXbNH27tz178xEd1fe+pkcSM9v8A==" saltValue="AvpdeyLlLkYrt1dl7wrr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1gxcI00aJAiu+9htIYJdYztsMEZ9EIHlwjqXsQLEiRLra0Jtk/8IhfDtp2Aa8OgCtDVjTosFkUT6WRg3137OA==" saltValue="wAeUBk6jwa3GeJhYeeSA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xTJHGXYtmyG9hvtNReM4JjN3IfPEZHdyk0NBnuwm1t6iIEr6+jodGwJ+3LTcR5fAXKMup+BxaiX65/pG0NTuw==" saltValue="CDgw2hGBy/Vd6kPjK0LU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1oujywG7orUwMzBpJC3vI25njpZOqRSOeOAU7DWP0viAX66bbuOFGOqEBsFQlMiUTJIu7VV6NDnAANco2y0Cg==" saltValue="ZLt/ow79Q1G62/BXl9+U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NllrXlgTOE44lsmByyy7B/f8x7kMRJVsIYYcjfhu0RWacCjC63whAaGwJ1wSCSE+b/ijgBQm3gKuwEI6L+x9g==" saltValue="ebVVWM1Q1Ia4X7Ad0wvA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+Eo4Eymcznb+chdtDOh7iXU/HxGp3NqnUCYvh104Y/lzpb83DbGuBOFW6BN8zwX9LgfJX7qrnLbxKTF2K1MMQ==" saltValue="FLO4uU4cnDs+9fS3Yufw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0.10867332084829695</v>
      </c>
      <c r="G18" s="90">
        <f>MIN(MAX(1-0.89/(1-frac_sam_12_23months+(frac_sam_12_23months*0.89)),0),1)</f>
        <v>0.10940195807125663</v>
      </c>
      <c r="H18" s="90">
        <f>MIN(MAX(1-0.89/(1-frac_sam_24_59months+(frac_sam_24_59months*0.89)),0),1)</f>
        <v>0.10960685581111484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0.10749743351360286</v>
      </c>
      <c r="G20" s="90">
        <f>MIN(MAX(1-0.89/(1-frac_mam_12_23months+(frac_mam_12_23months*0.89)),0),1)</f>
        <v>0.10971178699680439</v>
      </c>
      <c r="H20" s="90">
        <f>MIN(MAX(1-0.89/(1-frac_mam_24_59months+(frac_mam_24_59months*0.89)),0),1)</f>
        <v>0.10802050393868934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9.866022991303014E-3</v>
      </c>
      <c r="G73" s="90">
        <f>MIN(MAX(1-0.99/(1-frac_sam_12_23months+(frac_sam_12_23months*0.99)),0),1)</f>
        <v>9.9395607704267919E-3</v>
      </c>
      <c r="H73" s="90">
        <f>MIN(MAX(1-0.99/(1-frac_sam_24_59months+(frac_sam_24_59months*0.99)),0),1)</f>
        <v>9.9602598048286195E-3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9.7475767352903642E-3</v>
      </c>
      <c r="G75" s="90">
        <f>MIN(MAX(1-0.99/(1-frac_mam_12_23months+(frac_mam_12_23months*0.99)),0),1)</f>
        <v>9.9708634425110798E-3</v>
      </c>
      <c r="H75" s="90">
        <f>MIN(MAX(1-0.99/(1-frac_mam_24_59months+(frac_mam_24_59months*0.99)),0),1)</f>
        <v>9.8002301670355729E-3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0.19782913311319628</v>
      </c>
      <c r="G128" s="90">
        <f>MIN(MAX(1-0.8/(1-frac_sam_12_23months+(frac_sam_12_23months*0.8)),0),1)</f>
        <v>0.19902207002573569</v>
      </c>
      <c r="H128" s="90">
        <f>MIN(MAX(1-0.8/(1-frac_sam_24_59months+(frac_sam_24_59months*0.8)),0),1)</f>
        <v>0.19935724399547949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0.19590057246250536</v>
      </c>
      <c r="G130" s="90">
        <f>MIN(MAX(1-0.8/(1-frac_mam_12_23months+(frac_mam_12_23months*0.8)),0),1)</f>
        <v>0.19952884267679949</v>
      </c>
      <c r="H130" s="90">
        <f>MIN(MAX(1-0.8/(1-frac_mam_24_59months+(frac_mam_24_59months*0.8)),0),1)</f>
        <v>0.19675897064099812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fMjof0AxhyOaYjJpW0WL+X404IR2YJdk/YmvyBtSMK/o//vIs/qD0WCcnNCGc70Pe5EM2D8s1ui1wrysq8sSQ==" saltValue="a+q72yQVJR1s0kgo6Zk7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tvhv2KB/rI8Q9uAMZnq3LshYrAfwNctRRdHdB2hQWimUZY5BRkuyVbaJFEyMyjze6MUfB4Jib2OwyiC5tEixA==" saltValue="vIwgmzTaxBviINZf70yDk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2024-08-06T09:45:03Z</dcterms:modified>
</cp:coreProperties>
</file>