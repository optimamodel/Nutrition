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3FE2A44-0F4F-4BB8-80BE-A70A6625B2A7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23" i="2" l="1"/>
  <c r="A39" i="2"/>
  <c r="A33" i="2"/>
  <c r="A26" i="2"/>
  <c r="A18" i="2"/>
  <c r="A36" i="2"/>
  <c r="I4" i="2"/>
  <c r="A19" i="2"/>
  <c r="A28" i="2"/>
  <c r="A37" i="2"/>
  <c r="A21" i="2"/>
  <c r="A31" i="2"/>
  <c r="A32" i="2"/>
  <c r="A15" i="2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5" i="2"/>
  <c r="A34" i="2"/>
  <c r="A17" i="2"/>
  <c r="A35" i="2"/>
  <c r="A27" i="2"/>
  <c r="A20" i="2"/>
  <c r="A29" i="2"/>
  <c r="I38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<sst xmlns="http://schemas.openxmlformats.org/spreadsheetml/2006/main" count="2101" uniqueCount="337">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</sst>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161370.9033203125</v>
      </c>
    </row>
    <row r="8" spans="1:3" ht="15" customHeight="1" x14ac:dyDescent="0.25">
      <c r="B8" s="5" t="s">
        <v>19</v>
      </c>
      <c r="C8" s="44">
        <v>2.1000000000000001E-2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0.88051116943359409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0.11559999999999999</v>
      </c>
    </row>
    <row r="24" spans="1:3" ht="15" customHeight="1" x14ac:dyDescent="0.25">
      <c r="B24" s="15" t="s">
        <v>33</v>
      </c>
      <c r="C24" s="45">
        <v>0.64219999999999999</v>
      </c>
    </row>
    <row r="25" spans="1:3" ht="15" customHeight="1" x14ac:dyDescent="0.25">
      <c r="B25" s="15" t="s">
        <v>34</v>
      </c>
      <c r="C25" s="45">
        <v>0.23319999999999999</v>
      </c>
    </row>
    <row r="26" spans="1:3" ht="15" customHeight="1" x14ac:dyDescent="0.25">
      <c r="B26" s="15" t="s">
        <v>35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0.443381353500297</v>
      </c>
    </row>
    <row r="30" spans="1:3" ht="14.25" customHeight="1" x14ac:dyDescent="0.25">
      <c r="B30" s="25" t="s">
        <v>38</v>
      </c>
      <c r="C30" s="99">
        <v>5.9529082105141198E-2</v>
      </c>
    </row>
    <row r="31" spans="1:3" ht="14.25" customHeight="1" x14ac:dyDescent="0.25">
      <c r="B31" s="25" t="s">
        <v>39</v>
      </c>
      <c r="C31" s="99">
        <v>6.7946136004371396E-2</v>
      </c>
    </row>
    <row r="32" spans="1:3" ht="14.25" customHeight="1" x14ac:dyDescent="0.25">
      <c r="B32" s="25" t="s">
        <v>40</v>
      </c>
      <c r="C32" s="99">
        <v>0.42914342839018998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5.6370300000000002</v>
      </c>
    </row>
    <row r="38" spans="1:5" ht="15" customHeight="1" x14ac:dyDescent="0.25">
      <c r="B38" s="11" t="s">
        <v>45</v>
      </c>
      <c r="C38" s="43">
        <v>9.5448000000000004</v>
      </c>
      <c r="D38" s="12"/>
      <c r="E38" s="13"/>
    </row>
    <row r="39" spans="1:5" ht="15" customHeight="1" x14ac:dyDescent="0.25">
      <c r="B39" s="11" t="s">
        <v>46</v>
      </c>
      <c r="C39" s="43">
        <v>10.72114</v>
      </c>
      <c r="D39" s="12"/>
      <c r="E39" s="12"/>
    </row>
    <row r="40" spans="1:5" ht="15" customHeight="1" x14ac:dyDescent="0.25">
      <c r="B40" s="11" t="s">
        <v>47</v>
      </c>
      <c r="C40" s="100">
        <v>0.27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6.5369E-3</v>
      </c>
      <c r="D45" s="12"/>
    </row>
    <row r="46" spans="1:5" ht="15.75" customHeight="1" x14ac:dyDescent="0.25">
      <c r="B46" s="11" t="s">
        <v>52</v>
      </c>
      <c r="C46" s="45">
        <v>7.0238399999999993E-2</v>
      </c>
      <c r="D46" s="12"/>
    </row>
    <row r="47" spans="1:5" ht="15.75" customHeight="1" x14ac:dyDescent="0.25">
      <c r="B47" s="11" t="s">
        <v>53</v>
      </c>
      <c r="C47" s="45">
        <v>7.4784699999999996E-2</v>
      </c>
      <c r="D47" s="12"/>
      <c r="E47" s="13"/>
    </row>
    <row r="48" spans="1:5" ht="15" customHeight="1" x14ac:dyDescent="0.25">
      <c r="B48" s="11" t="s">
        <v>54</v>
      </c>
      <c r="C48" s="46">
        <v>0.84843999999999997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0.60118799999999994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Ernz7XOg28/alN1GE85RGmmUfKBYQJ7SHLV5wAGZT62MRjOhLvjRVmqKsKlg0tj5tg5KrI6OhiQeuargE4lxKA==" saltValue="2+KRcgWPwq1aLnLsc9/H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30717</v>
      </c>
      <c r="C2" s="49">
        <v>98062.5</v>
      </c>
      <c r="D2" s="49">
        <v>164124</v>
      </c>
      <c r="E2" s="49">
        <v>268326.5</v>
      </c>
      <c r="F2" s="49">
        <v>173916.5</v>
      </c>
      <c r="G2" s="17">
        <f t="shared" ref="G2:G13" si="0">C2+D2+E2+F2</f>
        <v>704429.5</v>
      </c>
      <c r="H2" s="17">
        <f t="shared" ref="H2:H13" si="1">(B2 + stillbirth*B2/(1000-stillbirth))/(1-abortion)</f>
        <v>35287.538505738587</v>
      </c>
      <c r="I2" s="17">
        <f t="shared" ref="I2:I13" si="2">G2-H2</f>
        <v>669141.9614942614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29876</v>
      </c>
      <c r="C3" s="50">
        <v>99728.000000000015</v>
      </c>
      <c r="D3" s="50">
        <v>158995.5</v>
      </c>
      <c r="E3" s="50">
        <v>261005.5</v>
      </c>
      <c r="F3" s="50">
        <v>181866</v>
      </c>
      <c r="G3" s="17">
        <f t="shared" si="0"/>
        <v>701595</v>
      </c>
      <c r="H3" s="17">
        <f t="shared" si="1"/>
        <v>34321.401842544714</v>
      </c>
      <c r="I3" s="17">
        <f t="shared" si="2"/>
        <v>667273.59815745533</v>
      </c>
    </row>
    <row r="4" spans="1:9" ht="15.75" customHeight="1" x14ac:dyDescent="0.25">
      <c r="A4" s="5">
        <f t="shared" si="3"/>
        <v>2026</v>
      </c>
      <c r="B4" s="49">
        <v>29116</v>
      </c>
      <c r="C4" s="50">
        <v>102978.5</v>
      </c>
      <c r="D4" s="50">
        <v>154695.5</v>
      </c>
      <c r="E4" s="50">
        <v>251958.5</v>
      </c>
      <c r="F4" s="50">
        <v>190762.5</v>
      </c>
      <c r="G4" s="17">
        <f t="shared" si="0"/>
        <v>700395</v>
      </c>
      <c r="H4" s="17">
        <f t="shared" si="1"/>
        <v>33448.317580918854</v>
      </c>
      <c r="I4" s="17">
        <f t="shared" si="2"/>
        <v>666946.6824190811</v>
      </c>
    </row>
    <row r="5" spans="1:9" ht="15.75" customHeight="1" x14ac:dyDescent="0.25">
      <c r="A5" s="5">
        <f t="shared" si="3"/>
        <v>2027</v>
      </c>
      <c r="B5" s="49">
        <v>28349</v>
      </c>
      <c r="C5" s="50">
        <v>107276.5</v>
      </c>
      <c r="D5" s="50">
        <v>151149.5</v>
      </c>
      <c r="E5" s="50">
        <v>242140.00000000009</v>
      </c>
      <c r="F5" s="50">
        <v>199980</v>
      </c>
      <c r="G5" s="17">
        <f t="shared" si="0"/>
        <v>700546.00000000012</v>
      </c>
      <c r="H5" s="17">
        <f t="shared" si="1"/>
        <v>32567.191753725398</v>
      </c>
      <c r="I5" s="17">
        <f t="shared" si="2"/>
        <v>667978.80824627471</v>
      </c>
    </row>
    <row r="6" spans="1:9" ht="15.75" customHeight="1" x14ac:dyDescent="0.25">
      <c r="A6" s="5">
        <f t="shared" si="3"/>
        <v>2028</v>
      </c>
      <c r="B6" s="49">
        <v>27815</v>
      </c>
      <c r="C6" s="50">
        <v>111248</v>
      </c>
      <c r="D6" s="50">
        <v>149570</v>
      </c>
      <c r="E6" s="50">
        <v>231088</v>
      </c>
      <c r="F6" s="50">
        <v>208385.5</v>
      </c>
      <c r="G6" s="17">
        <f t="shared" si="0"/>
        <v>700291.5</v>
      </c>
      <c r="H6" s="17">
        <f t="shared" si="1"/>
        <v>31953.735180425127</v>
      </c>
      <c r="I6" s="17">
        <f t="shared" si="2"/>
        <v>668337.76481957489</v>
      </c>
    </row>
    <row r="7" spans="1:9" ht="15.75" customHeight="1" x14ac:dyDescent="0.25">
      <c r="A7" s="5">
        <f t="shared" si="3"/>
        <v>2029</v>
      </c>
      <c r="B7" s="49">
        <v>27329</v>
      </c>
      <c r="C7" s="50">
        <v>113835</v>
      </c>
      <c r="D7" s="50">
        <v>150137.5</v>
      </c>
      <c r="E7" s="50">
        <v>218750.5</v>
      </c>
      <c r="F7" s="50">
        <v>216038.5</v>
      </c>
      <c r="G7" s="17">
        <f t="shared" si="0"/>
        <v>698761.5</v>
      </c>
      <c r="H7" s="17">
        <f t="shared" si="1"/>
        <v>31395.420771017016</v>
      </c>
      <c r="I7" s="17">
        <f t="shared" si="2"/>
        <v>667366.07922898303</v>
      </c>
    </row>
    <row r="8" spans="1:9" ht="15.75" customHeight="1" x14ac:dyDescent="0.25">
      <c r="A8" s="5">
        <f t="shared" si="3"/>
        <v>2030</v>
      </c>
      <c r="B8" s="49">
        <v>26888</v>
      </c>
      <c r="C8" s="50">
        <v>114962</v>
      </c>
      <c r="D8" s="50">
        <v>152183</v>
      </c>
      <c r="E8" s="50">
        <v>204469</v>
      </c>
      <c r="F8" s="50">
        <v>222916.5</v>
      </c>
      <c r="G8" s="17">
        <f t="shared" si="0"/>
        <v>694530.5</v>
      </c>
      <c r="H8" s="17">
        <f t="shared" si="1"/>
        <v>30888.802140257802</v>
      </c>
      <c r="I8" s="17">
        <f t="shared" si="2"/>
        <v>663641.69785974221</v>
      </c>
    </row>
    <row r="9" spans="1:9" ht="15.75" customHeight="1" x14ac:dyDescent="0.25">
      <c r="A9" s="5">
        <f t="shared" si="3"/>
        <v>2031</v>
      </c>
      <c r="B9" s="49">
        <v>26464</v>
      </c>
      <c r="C9" s="50">
        <v>115547.5</v>
      </c>
      <c r="D9" s="50">
        <v>154760</v>
      </c>
      <c r="E9" s="50">
        <v>189288.5</v>
      </c>
      <c r="F9" s="50">
        <v>229960.5</v>
      </c>
      <c r="G9" s="17">
        <f t="shared" si="0"/>
        <v>689556.5</v>
      </c>
      <c r="H9" s="17">
        <f t="shared" si="1"/>
        <v>30401.713025877063</v>
      </c>
      <c r="I9" s="17">
        <f t="shared" si="2"/>
        <v>659154.78697412298</v>
      </c>
    </row>
    <row r="10" spans="1:9" ht="15.75" customHeight="1" x14ac:dyDescent="0.25">
      <c r="A10" s="5">
        <f t="shared" si="3"/>
        <v>2032</v>
      </c>
      <c r="B10" s="49">
        <v>26297</v>
      </c>
      <c r="C10" s="50">
        <v>114466</v>
      </c>
      <c r="D10" s="50">
        <v>158382</v>
      </c>
      <c r="E10" s="50">
        <v>175009</v>
      </c>
      <c r="F10" s="50">
        <v>236814.5</v>
      </c>
      <c r="G10" s="17">
        <f t="shared" si="0"/>
        <v>684671.5</v>
      </c>
      <c r="H10" s="17">
        <f t="shared" si="1"/>
        <v>30209.864247335594</v>
      </c>
      <c r="I10" s="17">
        <f t="shared" si="2"/>
        <v>654461.63575266441</v>
      </c>
    </row>
    <row r="11" spans="1:9" ht="15.75" customHeight="1" x14ac:dyDescent="0.25">
      <c r="A11" s="5">
        <f t="shared" si="3"/>
        <v>2033</v>
      </c>
      <c r="B11" s="49">
        <v>26157</v>
      </c>
      <c r="C11" s="50">
        <v>112122</v>
      </c>
      <c r="D11" s="50">
        <v>162558.5</v>
      </c>
      <c r="E11" s="50">
        <v>163555</v>
      </c>
      <c r="F11" s="50">
        <v>241103.5</v>
      </c>
      <c r="G11" s="17">
        <f t="shared" si="0"/>
        <v>679339</v>
      </c>
      <c r="H11" s="17">
        <f t="shared" si="1"/>
        <v>30049.032935983461</v>
      </c>
      <c r="I11" s="17">
        <f t="shared" si="2"/>
        <v>649289.9670640165</v>
      </c>
    </row>
    <row r="12" spans="1:9" ht="15.75" customHeight="1" x14ac:dyDescent="0.25">
      <c r="A12" s="5">
        <f t="shared" si="3"/>
        <v>2034</v>
      </c>
      <c r="B12" s="49">
        <v>26036</v>
      </c>
      <c r="C12" s="50">
        <v>108557</v>
      </c>
      <c r="D12" s="50">
        <v>166873</v>
      </c>
      <c r="E12" s="50">
        <v>155835</v>
      </c>
      <c r="F12" s="50">
        <v>240850.5</v>
      </c>
      <c r="G12" s="17">
        <f t="shared" si="0"/>
        <v>672115.5</v>
      </c>
      <c r="H12" s="17">
        <f t="shared" si="1"/>
        <v>29910.02873117198</v>
      </c>
      <c r="I12" s="17">
        <f t="shared" si="2"/>
        <v>642205.47126882803</v>
      </c>
    </row>
    <row r="13" spans="1:9" ht="15.75" customHeight="1" x14ac:dyDescent="0.25">
      <c r="A13" s="5">
        <f t="shared" si="3"/>
        <v>2035</v>
      </c>
      <c r="B13" s="49">
        <v>26039</v>
      </c>
      <c r="C13" s="50">
        <v>104549.5</v>
      </c>
      <c r="D13" s="50">
        <v>170580.5</v>
      </c>
      <c r="E13" s="50">
        <v>150733.5</v>
      </c>
      <c r="F13" s="50">
        <v>235790.5</v>
      </c>
      <c r="G13" s="17">
        <f t="shared" si="0"/>
        <v>661654</v>
      </c>
      <c r="H13" s="17">
        <f t="shared" si="1"/>
        <v>29913.47511641524</v>
      </c>
      <c r="I13" s="17">
        <f t="shared" si="2"/>
        <v>631740.52488358482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2TE29xLkGavidpJ9Jju70dwfPpj+x6pqxTvmXBb+sS99IvPRHDy8oPpfoKFk1SkAajv+RqGqL/a3mLk4akAbg==" saltValue="aOZudsqGLPHkVsovDHmMR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6.6593800000000078E-2</v>
      </c>
    </row>
    <row r="5" spans="1:8" ht="15.75" customHeight="1" x14ac:dyDescent="0.25">
      <c r="B5" s="19" t="s">
        <v>80</v>
      </c>
      <c r="C5" s="101">
        <v>3.3228800000000072E-2</v>
      </c>
    </row>
    <row r="6" spans="1:8" ht="15.75" customHeight="1" x14ac:dyDescent="0.25">
      <c r="B6" s="19" t="s">
        <v>81</v>
      </c>
      <c r="C6" s="101">
        <v>0.15369620000000031</v>
      </c>
    </row>
    <row r="7" spans="1:8" ht="15.75" customHeight="1" x14ac:dyDescent="0.25">
      <c r="B7" s="19" t="s">
        <v>82</v>
      </c>
      <c r="C7" s="101">
        <v>0.39472369999999951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0.25617429999999969</v>
      </c>
    </row>
    <row r="10" spans="1:8" ht="15.75" customHeight="1" x14ac:dyDescent="0.25">
      <c r="B10" s="19" t="s">
        <v>85</v>
      </c>
      <c r="C10" s="101">
        <v>9.5583200000000174E-2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88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89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93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94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95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5.5148427E-2</v>
      </c>
    </row>
    <row r="27" spans="1:8" ht="15.75" customHeight="1" x14ac:dyDescent="0.25">
      <c r="B27" s="19" t="s">
        <v>102</v>
      </c>
      <c r="C27" s="101">
        <v>5.9724672999999999E-2</v>
      </c>
    </row>
    <row r="28" spans="1:8" ht="15.75" customHeight="1" x14ac:dyDescent="0.25">
      <c r="B28" s="19" t="s">
        <v>103</v>
      </c>
      <c r="C28" s="101">
        <v>0.12066906600000001</v>
      </c>
    </row>
    <row r="29" spans="1:8" ht="15.75" customHeight="1" x14ac:dyDescent="0.25">
      <c r="B29" s="19" t="s">
        <v>104</v>
      </c>
      <c r="C29" s="101">
        <v>0.1353181</v>
      </c>
    </row>
    <row r="30" spans="1:8" ht="15.75" customHeight="1" x14ac:dyDescent="0.25">
      <c r="B30" s="19" t="s">
        <v>2</v>
      </c>
      <c r="C30" s="101">
        <v>8.1906013999999999E-2</v>
      </c>
    </row>
    <row r="31" spans="1:8" ht="15.75" customHeight="1" x14ac:dyDescent="0.25">
      <c r="B31" s="19" t="s">
        <v>105</v>
      </c>
      <c r="C31" s="101">
        <v>6.5112185000000003E-2</v>
      </c>
    </row>
    <row r="32" spans="1:8" ht="15.75" customHeight="1" x14ac:dyDescent="0.25">
      <c r="B32" s="19" t="s">
        <v>106</v>
      </c>
      <c r="C32" s="101">
        <v>0.130658369</v>
      </c>
    </row>
    <row r="33" spans="2:3" ht="15.75" customHeight="1" x14ac:dyDescent="0.25">
      <c r="B33" s="19" t="s">
        <v>107</v>
      </c>
      <c r="C33" s="101">
        <v>0.127118964</v>
      </c>
    </row>
    <row r="34" spans="2:3" ht="15.75" customHeight="1" x14ac:dyDescent="0.25">
      <c r="B34" s="19" t="s">
        <v>108</v>
      </c>
      <c r="C34" s="101">
        <v>0.22434420299999999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+0Nj7VOQTBKw7YY0RICAFWQeZ/OJ9Yzfc7cmJ69syUVLLsqT1OifA8Tf4bsrBVyelpjajpX10Ga3/L55qHtj8w==" saltValue="ZdqLl/JbyQE2jAVYRJE5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114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115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119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120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ZzhhC5HZv+8gyaM5qObwCvdfmyrvNWPY5IkE5HpEXXeafJSWkCOmayhudQ/jsA0oW1CbF7JF19hEbBQ6ZPlgA==" saltValue="4vSwLenGVLYYJxAtuCqq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132</v>
      </c>
      <c r="C5" s="52">
        <v>6.8789199999999995E-2</v>
      </c>
      <c r="D5" s="52">
        <v>0.16475770000000001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vUvd4cf7g+Ox2isieciE33C1QuZiAP4liiZ9BL0zJE5tMkGoFRUo4mOrK3DiU2owOSVUgHIfIvYwfkUmnvVHsw==" saltValue="qyIaTJ//O0HAO6rjU7S/9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wpWetK9mID9MNKGUGRBL2AylyRzLbNqMKueTVezkNxRuIGrntKD5cq6daoixPlvH0KuLf/IyceEzLYdltaXAw==" saltValue="2wB/UOA+IXdtR3SUCwj4C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LRfIlJKEsoummz0WMWrhQSpoiBFZKghSSTm1ZYSLc2elCRt/NL7KfWb/eE/9/jc8C25/ZFsWYGvhW7qFoEWvaQ==" saltValue="aYGZtmw2ls+Lqy5PHNkl+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7rNKAKYswH4zdTQIHjsLEPenouOAtkhuAYi2SbELlYXmuJkdjPE9wOh6PTJnBiBPYXSC/7poG74zLmf/kHtYgA==" saltValue="eGD0ZB2Qv1f9YrptIshT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02lwmbCP9zvkpbtHsEU9pxyTcY2QRygrzPlFgFDDdkj6RZmovgZ8En3Pn+uCy/cEeI9KqbE8bXbJmXPWkvpOoA==" saltValue="3DhHzv61sjX0wOmoGqTe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54.653082799861807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39.804453792134552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361.46883569981048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5.5247082862578214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4.5260500000000002E-2</v>
      </c>
      <c r="C10" s="98">
        <v>0.95</v>
      </c>
      <c r="D10" s="56">
        <v>12.93675323593046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12.93675323593046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12.93675323593046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12.93675323593046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4.5260500000000002E-2</v>
      </c>
      <c r="C14" s="98">
        <v>0.95</v>
      </c>
      <c r="D14" s="56">
        <v>12.93675323593046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12.93675323593046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0.64351903582580905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0.40002630000000011</v>
      </c>
      <c r="C18" s="98">
        <v>0.95</v>
      </c>
      <c r="D18" s="56">
        <v>8.3490838120479509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0.40002630000000011</v>
      </c>
      <c r="C19" s="98">
        <v>0.95</v>
      </c>
      <c r="D19" s="56">
        <v>8.3490838120479509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48.402555773686338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22.285157611304289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4.2321962823102757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0.79985384621333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4.5260500000000002E-2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18.478532540848281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0.36939440000000001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0.36308820000000003</v>
      </c>
      <c r="C29" s="98">
        <v>0.95</v>
      </c>
      <c r="D29" s="56">
        <v>105.9420671559127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1.943813180751375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1.373975774619224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0.94423659999999998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0.43367780000000011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1.2278000000000001E-2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3.6618100000000001E-2</v>
      </c>
      <c r="C38" s="98">
        <v>0.95</v>
      </c>
      <c r="D38" s="56">
        <v>2.4094410013032479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6fBdWlKzl5IROzSuzVvv9fApwMfat5rFxe2JW9RPE7ZfVX7i0ic5vqtqx0yzHF5deTMgqvYHRi/YlSyXiPZuNA==" saltValue="Jg0cnz2J4V1zAwM1pnxx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UjektB+FEQ5jXChwqrHbpBPRBjIHIHeU/ls/TPeWyeuq4TRrOmoo17ZgwDrUJ/nR0/jDPwsoIEYu2qkC62C/8w==" saltValue="JFREESv7YoeLplkH+2wK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tjOvyVJbDehexOKHjzFIjvpyN2exsMe+rjBdYvdkMXek6LTdkiumHaP+uCMJkbvc0nZ3a2ZydHnUcZ5dXQ7Yw==" saltValue="17UNzmdxYACFr7rfaJfnO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208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sheetProtection algorithmName="SHA-512" hashValue="vpzLS8/BfpWNyipsjj7igeKF+EwOraDcqY0aQ2/WFYjYtv1nf0h+ZTdZbTyro7d2PBkYeySdP3Pc48BBoo29xg==" saltValue="Om46mkMzW4opaN3PMgbqq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2.1000000000000001E-2</v>
      </c>
      <c r="E2" s="60">
        <f>food_insecure</f>
        <v>2.1000000000000001E-2</v>
      </c>
      <c r="F2" s="60">
        <f>food_insecure</f>
        <v>2.1000000000000001E-2</v>
      </c>
      <c r="G2" s="60">
        <f>food_insecure</f>
        <v>2.1000000000000001E-2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2.1000000000000001E-2</v>
      </c>
      <c r="I15" s="60">
        <f>food_insecure</f>
        <v>2.1000000000000001E-2</v>
      </c>
      <c r="J15" s="60">
        <f>food_insecure</f>
        <v>2.1000000000000001E-2</v>
      </c>
      <c r="K15" s="60">
        <f>food_insecure</f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2HAFJciT2rm31YQVVCf9UrkcLNL3Sx1PmeaMSGTGnUoDsI47gSLSXi2q5NqDhl2Lo4LjKWIVeyUOuPURc3GGQ==" saltValue="pwCAg1JqoTu84k67rJ5q5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qVf8ZUi/FRz8GN6rMZ0hfguzdervFK0+75bgGbPgFYGh9MkPEZcOjeO027NOvy0hoFOByQrn38p/O8Vr19LB3g==" saltValue="DQZxWC/uvmVtxQL3T2Dzo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rdepJPG+R+mQIAkcwEE0eVXEc2013KUaFPJzYjvLkHdijM1onb1J8sN9rtTDBi3tEYqZmmOiHQDNYxOG6II2Q==" saltValue="+jknu9rH6JWLzr2CQJCQ2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HqDT5EJ+VIJm5sbOgJODPFNSUZRAFHfSMLpORwIKWVDAuk45bIJ8MX6i8TNWAA0qcPplBw+tBIF3zDqvqkk/Q==" saltValue="NJXTMHZhepNMW0Gnx5eEl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08BdBK2RdALcvPYH/JIyLi4FlM1lH8xB0OYrDPLBIxzEYZrJt6aXNuUk+t7TZBPFklBSG4m7rE4whdHzFs6SA==" saltValue="cQ3NPtisJCmEtPx7bH8oU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Hkft8VT7JcRVLNw8j61l7W/sVbRvZHarCKdl2VoVDvuhsKWKNWzdjqsVYT2lJHjcXEhn0IRHhCbGLT5OSuBTw==" saltValue="wi93vfdOKY9QMAqY+shm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WxHf0UG9OL35RTAJq7pY8wnlxoT/Si12ahhc/RuZsvq+1a4heJ5JHSXSr044Ei6tK4ux6k7yhUmvcl4gbl5AQ==" saltValue="wzhylqiVwdRQY9kt2NsIy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3/HBGkvV1tAXiy9Jxv3Sm07cF7el7PXjzCQJDTNY/1wr6cgHtnhKF9yvVEXEwoT6Vw9xlj/PO8hQj8PvmmNAA==" saltValue="YgHLCQOTsyh/kt5beoSN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JKPJ+kMgTPWEkZBubqDFPDNBhKWFW8PO33Sg98fw5ETOAm2A899dhpXnAepPHxSZ/rbkz6zWkcHC7JTtveT9Q==" saltValue="YDNzPRyxTNIOwmk+E3qe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tEGvssndmKNoKAU5RkHkm7HuvcTkwX5SHcct0Bl/CEKaneK6eKfXbkNtP3Te6qMtdk9ovkOHtY/XCyLlG+CuA==" saltValue="hQMguj81nGKERgQh8L6H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yRCku30tgjvYFR3OBGnnfBuck0TcErDsXKhJYPKZfxPesWP7JunqAQkpYcnVo4WYkhREmIn3kq0/cFs1Rox3A==" saltValue="987D2KVhNrt0CB32pPS6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xDcPwciczBKs90cwiTsRlSyT1QKNa+3Zh9dfIdOyDBa+x/8DyrbJcf7+GGgqo/ojGcJzo+wrcSQEYDvHLV+Xg==" saltValue="MyIkDGxk8HitDIDBCu7A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WKicVOz7yDSqZxpe24yAdJQmXjKHxYq/VDWuj8og48evTzJ2ysxLdbSi2ryYXxCUjNAX8eVEipgh8Re1yFWcw==" saltValue="a1A5TZGqLpqNgWFXRLye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0.10860228303140695</v>
      </c>
      <c r="G18" s="90">
        <f>MIN(MAX(1-0.89/(1-frac_sam_12_23months+(frac_sam_12_23months*0.89)),0),1)</f>
        <v>0.10946039088194903</v>
      </c>
      <c r="H18" s="90">
        <f>MIN(MAX(1-0.89/(1-frac_sam_24_59months+(frac_sam_24_59months*0.89)),0),1)</f>
        <v>0.10782000099707623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0.1081032459842789</v>
      </c>
      <c r="G20" s="90">
        <f>MIN(MAX(1-0.89/(1-frac_mam_12_23months+(frac_mam_12_23months*0.89)),0),1)</f>
        <v>0.10896716195888312</v>
      </c>
      <c r="H20" s="90">
        <f>MIN(MAX(1-0.89/(1-frac_mam_24_59months+(frac_mam_24_59months*0.89)),0),1)</f>
        <v>0.10699657676770102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9.8588593409636438E-3</v>
      </c>
      <c r="G73" s="90">
        <f>MIN(MAX(1-0.99/(1-frac_sam_12_23months+(frac_sam_12_23months*0.99)),0),1)</f>
        <v>9.9454628458207628E-3</v>
      </c>
      <c r="H73" s="90">
        <f>MIN(MAX(1-0.99/(1-frac_sam_24_59months+(frac_sam_24_59months*0.99)),0),1)</f>
        <v>9.7800404599474033E-3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9.8085643093550612E-3</v>
      </c>
      <c r="G75" s="90">
        <f>MIN(MAX(1-0.99/(1-frac_mam_12_23months+(frac_mam_12_23months*0.99)),0),1)</f>
        <v>9.8956657755724375E-3</v>
      </c>
      <c r="H75" s="90">
        <f>MIN(MAX(1-0.99/(1-frac_mam_24_59months+(frac_mam_24_59months*0.99)),0),1)</f>
        <v>9.6972119516458566E-3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0.19771274321388332</v>
      </c>
      <c r="G128" s="90">
        <f>MIN(MAX(1-0.8/(1-frac_sam_12_23months+(frac_sam_12_23months*0.8)),0),1)</f>
        <v>0.19911766793476371</v>
      </c>
      <c r="H128" s="90">
        <f>MIN(MAX(1-0.8/(1-frac_sam_24_59months+(frac_sam_24_59months*0.8)),0),1)</f>
        <v>0.19643002789914576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0.19689468084875694</v>
      </c>
      <c r="G130" s="90">
        <f>MIN(MAX(1-0.8/(1-frac_mam_12_23months+(frac_mam_12_23months*0.8)),0),1)</f>
        <v>0.19831040711541192</v>
      </c>
      <c r="H130" s="90">
        <f>MIN(MAX(1-0.8/(1-frac_mam_24_59months+(frac_mam_24_59months*0.8)),0),1)</f>
        <v>0.1950778527743865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4DeqEG85QPx2VwCq7iy3dlkK9yXjjOaxV57DArX3lTPbq83GmRCjYMtyOhuINNXtUCpLbaMU/NDrd4KZLzYsw==" saltValue="RiKk+uI79KFHtHDaXZ9v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KJ0kAKf73fvtHFqqSofwpcQX2OKCqMnbTdxALnC20dtIeCWwJYkkUEwF1aHlB7QCOTtc96uONz/2W/j3MMrig==" saltValue="mkJl3cxH3ApbWzxfZeE3j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2024-08-06T08:41:39Z</dcterms:modified>
</cp:coreProperties>
</file>