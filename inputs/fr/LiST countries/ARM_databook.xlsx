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1360BAE9-7829-44F8-9260-CAC3B6168588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2" i="2" l="1"/>
  <c r="A26" i="2"/>
  <c r="I3" i="2"/>
  <c r="I7" i="2"/>
  <c r="I11" i="2"/>
  <c r="A31" i="2"/>
  <c r="I4" i="2"/>
  <c r="I8" i="2"/>
  <c r="I12" i="2"/>
  <c r="A25" i="2"/>
  <c r="A34" i="2"/>
  <c r="A40" i="2"/>
  <c r="I2" i="2"/>
  <c r="I6" i="2"/>
  <c r="A19" i="2"/>
  <c r="A35" i="2"/>
  <c r="A36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<sst xmlns="http://schemas.openxmlformats.org/spreadsheetml/2006/main" count="2159" uniqueCount="368">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</sst>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172660.5</v>
      </c>
    </row>
    <row r="8" spans="1:3" ht="15" customHeight="1" x14ac:dyDescent="0.25">
      <c r="B8" s="5" t="s">
        <v>37</v>
      </c>
      <c r="C8" s="44">
        <v>2.1000000000000001E-2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0.88051116943359409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0.59799999999999998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0.11559999999999999</v>
      </c>
    </row>
    <row r="24" spans="1:3" ht="15" customHeight="1" x14ac:dyDescent="0.25">
      <c r="B24" s="15" t="s">
        <v>51</v>
      </c>
      <c r="C24" s="45">
        <v>0.64219999999999999</v>
      </c>
    </row>
    <row r="25" spans="1:3" ht="15" customHeight="1" x14ac:dyDescent="0.25">
      <c r="B25" s="15" t="s">
        <v>52</v>
      </c>
      <c r="C25" s="45">
        <v>0.23319999999999999</v>
      </c>
    </row>
    <row r="26" spans="1:3" ht="15" customHeight="1" x14ac:dyDescent="0.25">
      <c r="B26" s="15" t="s">
        <v>53</v>
      </c>
      <c r="C26" s="45">
        <v>9.0000000000000011E-3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0.443381353500297</v>
      </c>
    </row>
    <row r="30" spans="1:3" ht="14.25" customHeight="1" x14ac:dyDescent="0.25">
      <c r="B30" s="25" t="s">
        <v>56</v>
      </c>
      <c r="C30" s="99">
        <v>5.9529082105141198E-2</v>
      </c>
    </row>
    <row r="31" spans="1:3" ht="14.25" customHeight="1" x14ac:dyDescent="0.25">
      <c r="B31" s="25" t="s">
        <v>57</v>
      </c>
      <c r="C31" s="99">
        <v>6.7946136004371396E-2</v>
      </c>
    </row>
    <row r="32" spans="1:3" ht="14.25" customHeight="1" x14ac:dyDescent="0.25">
      <c r="B32" s="25" t="s">
        <v>58</v>
      </c>
      <c r="C32" s="99">
        <v>0.42914342839018998</v>
      </c>
    </row>
    <row r="33" spans="1:5" ht="13.25" customHeight="1" x14ac:dyDescent="0.25">
      <c r="B33" s="27" t="s">
        <v>59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5.6370300000000002</v>
      </c>
    </row>
    <row r="38" spans="1:5" ht="15" customHeight="1" x14ac:dyDescent="0.25">
      <c r="B38" s="11" t="s">
        <v>63</v>
      </c>
      <c r="C38" s="43">
        <v>9.5448000000000004</v>
      </c>
      <c r="D38" s="12"/>
      <c r="E38" s="13"/>
    </row>
    <row r="39" spans="1:5" ht="15" customHeight="1" x14ac:dyDescent="0.25">
      <c r="B39" s="11" t="s">
        <v>64</v>
      </c>
      <c r="C39" s="43">
        <v>10.72114</v>
      </c>
      <c r="D39" s="12"/>
      <c r="E39" s="12"/>
    </row>
    <row r="40" spans="1:5" ht="15" customHeight="1" x14ac:dyDescent="0.25">
      <c r="B40" s="11" t="s">
        <v>65</v>
      </c>
      <c r="C40" s="100">
        <v>0.27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10.821289999999999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6.5369E-3</v>
      </c>
      <c r="D45" s="12"/>
    </row>
    <row r="46" spans="1:5" ht="15.75" customHeight="1" x14ac:dyDescent="0.25">
      <c r="B46" s="11" t="s">
        <v>70</v>
      </c>
      <c r="C46" s="45">
        <v>7.0238399999999993E-2</v>
      </c>
      <c r="D46" s="12"/>
    </row>
    <row r="47" spans="1:5" ht="15.75" customHeight="1" x14ac:dyDescent="0.25">
      <c r="B47" s="11" t="s">
        <v>71</v>
      </c>
      <c r="C47" s="45">
        <v>7.4784699999999996E-2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2.8</v>
      </c>
      <c r="D51" s="12"/>
    </row>
    <row r="52" spans="1:4" ht="15" customHeight="1" x14ac:dyDescent="0.25">
      <c r="B52" s="11" t="s">
        <v>75</v>
      </c>
      <c r="C52" s="100">
        <v>2.8</v>
      </c>
    </row>
    <row r="53" spans="1:4" ht="15.75" customHeight="1" x14ac:dyDescent="0.25">
      <c r="B53" s="11" t="s">
        <v>76</v>
      </c>
      <c r="C53" s="100">
        <v>2.8</v>
      </c>
    </row>
    <row r="54" spans="1:4" ht="15.75" customHeight="1" x14ac:dyDescent="0.25">
      <c r="B54" s="11" t="s">
        <v>77</v>
      </c>
      <c r="C54" s="100">
        <v>2.8</v>
      </c>
    </row>
    <row r="55" spans="1:4" ht="15.75" customHeight="1" x14ac:dyDescent="0.25">
      <c r="B55" s="11" t="s">
        <v>78</v>
      </c>
      <c r="C55" s="100">
        <v>2.8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0.60118799999999994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8.9790992999999902E-2</v>
      </c>
    </row>
    <row r="63" spans="1:4" ht="15.75" customHeight="1" x14ac:dyDescent="0.3">
      <c r="A63" s="4"/>
    </row>
  </sheetData>
  <sheetProtection algorithmName="SHA-512" hashValue="nyXfglcjaoVq1/JbDLNtmv5gmNSTEOQ4/MGAbeDch7oMiYzpiDD/Wt+mmAtRRk3MrfST5YTZLK5co2mzqGX4OA==" saltValue="qkFW6kV6Ntj/vjp7Y9Mh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36278</v>
      </c>
      <c r="C2" s="49">
        <v>92604.5</v>
      </c>
      <c r="D2" s="49">
        <v>189257.99999999997</v>
      </c>
      <c r="E2" s="49">
        <v>256271.5</v>
      </c>
      <c r="F2" s="49">
        <v>218438.5</v>
      </c>
      <c r="G2" s="17">
        <f t="shared" ref="G2:G13" si="0">C2+D2+E2+F2</f>
        <v>756572.5</v>
      </c>
      <c r="H2" s="17">
        <f t="shared" ref="H2:H13" si="1">(B2 + stillbirth*B2/(1000-stillbirth))/(1-abortion)</f>
        <v>41675.987951661431</v>
      </c>
      <c r="I2" s="17">
        <f t="shared" ref="I2:I13" si="2">G2-H2</f>
        <v>714896.51204833854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34934</v>
      </c>
      <c r="C3" s="50">
        <v>92887.5</v>
      </c>
      <c r="D3" s="50">
        <v>181490</v>
      </c>
      <c r="E3" s="50">
        <v>249033.5</v>
      </c>
      <c r="F3" s="50">
        <v>223512</v>
      </c>
      <c r="G3" s="17">
        <f t="shared" si="0"/>
        <v>746923</v>
      </c>
      <c r="H3" s="17">
        <f t="shared" si="1"/>
        <v>40132.007362680983</v>
      </c>
      <c r="I3" s="17">
        <f t="shared" si="2"/>
        <v>706790.99263731902</v>
      </c>
    </row>
    <row r="4" spans="1:9" ht="15.75" customHeight="1" x14ac:dyDescent="0.25">
      <c r="A4" s="5">
        <f t="shared" si="3"/>
        <v>2026</v>
      </c>
      <c r="B4" s="49">
        <v>33694</v>
      </c>
      <c r="C4" s="50">
        <v>93400.5</v>
      </c>
      <c r="D4" s="50">
        <v>175145</v>
      </c>
      <c r="E4" s="50">
        <v>240276.5</v>
      </c>
      <c r="F4" s="50">
        <v>228474</v>
      </c>
      <c r="G4" s="17">
        <f t="shared" si="0"/>
        <v>737296</v>
      </c>
      <c r="H4" s="17">
        <f t="shared" si="1"/>
        <v>38707.501462133536</v>
      </c>
      <c r="I4" s="17">
        <f t="shared" si="2"/>
        <v>698588.49853786652</v>
      </c>
    </row>
    <row r="5" spans="1:9" ht="15.75" customHeight="1" x14ac:dyDescent="0.25">
      <c r="A5" s="5">
        <f t="shared" si="3"/>
        <v>2027</v>
      </c>
      <c r="B5" s="49">
        <v>32573.999999999996</v>
      </c>
      <c r="C5" s="50">
        <v>93920</v>
      </c>
      <c r="D5" s="50">
        <v>170351</v>
      </c>
      <c r="E5" s="50">
        <v>230397</v>
      </c>
      <c r="F5" s="50">
        <v>233205</v>
      </c>
      <c r="G5" s="17">
        <f t="shared" si="0"/>
        <v>727873</v>
      </c>
      <c r="H5" s="17">
        <f t="shared" si="1"/>
        <v>37420.850971316482</v>
      </c>
      <c r="I5" s="17">
        <f t="shared" si="2"/>
        <v>690452.14902868355</v>
      </c>
    </row>
    <row r="6" spans="1:9" ht="15.75" customHeight="1" x14ac:dyDescent="0.25">
      <c r="A6" s="5">
        <f t="shared" si="3"/>
        <v>2028</v>
      </c>
      <c r="B6" s="49">
        <v>31571</v>
      </c>
      <c r="C6" s="50">
        <v>94203</v>
      </c>
      <c r="D6" s="50">
        <v>166992.00000000003</v>
      </c>
      <c r="E6" s="50">
        <v>219562</v>
      </c>
      <c r="F6" s="50">
        <v>237587</v>
      </c>
      <c r="G6" s="17">
        <f t="shared" si="0"/>
        <v>718344</v>
      </c>
      <c r="H6" s="17">
        <f t="shared" si="1"/>
        <v>36268.609504986576</v>
      </c>
      <c r="I6" s="17">
        <f t="shared" si="2"/>
        <v>682075.39049501345</v>
      </c>
    </row>
    <row r="7" spans="1:9" ht="15.75" customHeight="1" x14ac:dyDescent="0.25">
      <c r="A7" s="5">
        <f t="shared" si="3"/>
        <v>2029</v>
      </c>
      <c r="B7" s="49">
        <v>30705</v>
      </c>
      <c r="C7" s="50">
        <v>94064</v>
      </c>
      <c r="D7" s="50">
        <v>164780.50000000003</v>
      </c>
      <c r="E7" s="50">
        <v>207964</v>
      </c>
      <c r="F7" s="50">
        <v>241373</v>
      </c>
      <c r="G7" s="17">
        <f t="shared" si="0"/>
        <v>708181.5</v>
      </c>
      <c r="H7" s="17">
        <f t="shared" si="1"/>
        <v>35273.752964765539</v>
      </c>
      <c r="I7" s="17">
        <f t="shared" si="2"/>
        <v>672907.74703523447</v>
      </c>
    </row>
    <row r="8" spans="1:9" ht="15.75" customHeight="1" x14ac:dyDescent="0.25">
      <c r="A8" s="5">
        <f t="shared" si="3"/>
        <v>2030</v>
      </c>
      <c r="B8" s="49">
        <v>29923</v>
      </c>
      <c r="C8" s="50">
        <v>93447.5</v>
      </c>
      <c r="D8" s="50">
        <v>163569.00000000003</v>
      </c>
      <c r="E8" s="50">
        <v>195983</v>
      </c>
      <c r="F8" s="50">
        <v>244329.5</v>
      </c>
      <c r="G8" s="17">
        <f t="shared" si="0"/>
        <v>697329</v>
      </c>
      <c r="H8" s="17">
        <f t="shared" si="1"/>
        <v>34375.395211355783</v>
      </c>
      <c r="I8" s="17">
        <f t="shared" si="2"/>
        <v>662953.60478864424</v>
      </c>
    </row>
    <row r="9" spans="1:9" ht="15.75" customHeight="1" x14ac:dyDescent="0.25">
      <c r="A9" s="5">
        <f t="shared" si="3"/>
        <v>2031</v>
      </c>
      <c r="B9" s="49">
        <v>29215</v>
      </c>
      <c r="C9" s="50">
        <v>92400</v>
      </c>
      <c r="D9" s="50">
        <v>163196</v>
      </c>
      <c r="E9" s="50">
        <v>184238</v>
      </c>
      <c r="F9" s="50">
        <v>246081.00000000003</v>
      </c>
      <c r="G9" s="17">
        <f t="shared" si="0"/>
        <v>685915</v>
      </c>
      <c r="H9" s="17">
        <f t="shared" si="1"/>
        <v>33562.048293946435</v>
      </c>
      <c r="I9" s="17">
        <f t="shared" si="2"/>
        <v>652352.95170605357</v>
      </c>
    </row>
    <row r="10" spans="1:9" ht="15.75" customHeight="1" x14ac:dyDescent="0.25">
      <c r="A10" s="5">
        <f t="shared" si="3"/>
        <v>2032</v>
      </c>
      <c r="B10" s="49">
        <v>28597</v>
      </c>
      <c r="C10" s="50">
        <v>90902</v>
      </c>
      <c r="D10" s="50">
        <v>163503</v>
      </c>
      <c r="E10" s="50">
        <v>173627</v>
      </c>
      <c r="F10" s="50">
        <v>246070</v>
      </c>
      <c r="G10" s="17">
        <f t="shared" si="0"/>
        <v>674102</v>
      </c>
      <c r="H10" s="17">
        <f t="shared" si="1"/>
        <v>32852.092933834887</v>
      </c>
      <c r="I10" s="17">
        <f t="shared" si="2"/>
        <v>641249.90706616512</v>
      </c>
    </row>
    <row r="11" spans="1:9" ht="15.75" customHeight="1" x14ac:dyDescent="0.25">
      <c r="A11" s="5">
        <f t="shared" si="3"/>
        <v>2033</v>
      </c>
      <c r="B11" s="49">
        <v>28079</v>
      </c>
      <c r="C11" s="50">
        <v>88992</v>
      </c>
      <c r="D11" s="50">
        <v>164267</v>
      </c>
      <c r="E11" s="50">
        <v>164700.49999999997</v>
      </c>
      <c r="F11" s="50">
        <v>243915</v>
      </c>
      <c r="G11" s="17">
        <f t="shared" si="0"/>
        <v>661874.5</v>
      </c>
      <c r="H11" s="17">
        <f t="shared" si="1"/>
        <v>32257.017081832004</v>
      </c>
      <c r="I11" s="17">
        <f t="shared" si="2"/>
        <v>629617.48291816795</v>
      </c>
    </row>
    <row r="12" spans="1:9" ht="15.75" customHeight="1" x14ac:dyDescent="0.25">
      <c r="A12" s="5">
        <f t="shared" si="3"/>
        <v>2034</v>
      </c>
      <c r="B12" s="49">
        <v>27628</v>
      </c>
      <c r="C12" s="50">
        <v>86804</v>
      </c>
      <c r="D12" s="50">
        <v>165214</v>
      </c>
      <c r="E12" s="50">
        <v>157483.99999999997</v>
      </c>
      <c r="F12" s="50">
        <v>239592.5</v>
      </c>
      <c r="G12" s="17">
        <f t="shared" si="0"/>
        <v>649094.5</v>
      </c>
      <c r="H12" s="17">
        <f t="shared" si="1"/>
        <v>31738.910500261925</v>
      </c>
      <c r="I12" s="17">
        <f t="shared" si="2"/>
        <v>617355.58949973807</v>
      </c>
    </row>
    <row r="13" spans="1:9" ht="15.75" customHeight="1" x14ac:dyDescent="0.25">
      <c r="A13" s="5">
        <f t="shared" si="3"/>
        <v>2035</v>
      </c>
      <c r="B13" s="49">
        <v>27218</v>
      </c>
      <c r="C13" s="50">
        <v>84381</v>
      </c>
      <c r="D13" s="50">
        <v>166083</v>
      </c>
      <c r="E13" s="50">
        <v>151753.5</v>
      </c>
      <c r="F13" s="50">
        <v>233373.49999999997</v>
      </c>
      <c r="G13" s="17">
        <f t="shared" si="0"/>
        <v>635591</v>
      </c>
      <c r="H13" s="17">
        <f t="shared" si="1"/>
        <v>31267.904517016399</v>
      </c>
      <c r="I13" s="17">
        <f t="shared" si="2"/>
        <v>604323.09548298363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ff09FRs7V0vVIrZ/H0XWTrDrZ2rr2DlN8zrI96myIDxkXNHPliQl2WKqW2OzqfhN+H9KQrLd1Ijxc7P9jiRhFQ==" saltValue="g8VlXzhd69+G9QTD2OiBd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101">
        <v>6.6593800000000078E-2</v>
      </c>
    </row>
    <row r="5" spans="1:8" ht="15.75" customHeight="1" x14ac:dyDescent="0.25">
      <c r="B5" s="19" t="s">
        <v>98</v>
      </c>
      <c r="C5" s="101">
        <v>3.3228800000000072E-2</v>
      </c>
    </row>
    <row r="6" spans="1:8" ht="15.75" customHeight="1" x14ac:dyDescent="0.25">
      <c r="B6" s="19" t="s">
        <v>99</v>
      </c>
      <c r="C6" s="101">
        <v>0.15369620000000031</v>
      </c>
    </row>
    <row r="7" spans="1:8" ht="15.75" customHeight="1" x14ac:dyDescent="0.25">
      <c r="B7" s="19" t="s">
        <v>100</v>
      </c>
      <c r="C7" s="101">
        <v>0.39472369999999951</v>
      </c>
    </row>
    <row r="8" spans="1:8" ht="15.75" customHeight="1" x14ac:dyDescent="0.25">
      <c r="B8" s="19" t="s">
        <v>101</v>
      </c>
      <c r="C8" s="101">
        <v>0</v>
      </c>
    </row>
    <row r="9" spans="1:8" ht="15.75" customHeight="1" x14ac:dyDescent="0.25">
      <c r="B9" s="19" t="s">
        <v>102</v>
      </c>
      <c r="C9" s="101">
        <v>0.25617429999999969</v>
      </c>
    </row>
    <row r="10" spans="1:8" ht="15.75" customHeight="1" x14ac:dyDescent="0.25">
      <c r="B10" s="19" t="s">
        <v>103</v>
      </c>
      <c r="C10" s="101">
        <v>9.5583200000000174E-2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3.7245204329117688E-2</v>
      </c>
      <c r="D14" s="55">
        <v>3.7245204329117688E-2</v>
      </c>
      <c r="E14" s="55">
        <v>3.7245204329117688E-2</v>
      </c>
      <c r="F14" s="55">
        <v>3.7245204329117688E-2</v>
      </c>
    </row>
    <row r="15" spans="1:8" ht="15.75" customHeight="1" x14ac:dyDescent="0.25">
      <c r="B15" s="19" t="s">
        <v>106</v>
      </c>
      <c r="C15" s="101">
        <v>0.40951930746254001</v>
      </c>
      <c r="D15" s="101">
        <v>0.40951930746254001</v>
      </c>
      <c r="E15" s="101">
        <v>0.40951930746254001</v>
      </c>
      <c r="F15" s="101">
        <v>0.40951930746254001</v>
      </c>
    </row>
    <row r="16" spans="1:8" ht="15.75" customHeight="1" x14ac:dyDescent="0.25">
      <c r="B16" s="19" t="s">
        <v>107</v>
      </c>
      <c r="C16" s="101">
        <v>4.8813235664483597E-2</v>
      </c>
      <c r="D16" s="101">
        <v>4.8813235664483597E-2</v>
      </c>
      <c r="E16" s="101">
        <v>4.8813235664483597E-2</v>
      </c>
      <c r="F16" s="101">
        <v>4.8813235664483597E-2</v>
      </c>
    </row>
    <row r="17" spans="1:8" ht="15.75" customHeight="1" x14ac:dyDescent="0.25">
      <c r="B17" s="19" t="s">
        <v>108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1.220727114635429E-2</v>
      </c>
      <c r="D19" s="101">
        <v>1.220727114635429E-2</v>
      </c>
      <c r="E19" s="101">
        <v>1.220727114635429E-2</v>
      </c>
      <c r="F19" s="101">
        <v>1.220727114635429E-2</v>
      </c>
    </row>
    <row r="20" spans="1:8" ht="15.75" customHeight="1" x14ac:dyDescent="0.25">
      <c r="B20" s="19" t="s">
        <v>111</v>
      </c>
      <c r="C20" s="101">
        <v>1.6875345432903501E-2</v>
      </c>
      <c r="D20" s="101">
        <v>1.6875345432903501E-2</v>
      </c>
      <c r="E20" s="101">
        <v>1.6875345432903501E-2</v>
      </c>
      <c r="F20" s="101">
        <v>1.6875345432903501E-2</v>
      </c>
    </row>
    <row r="21" spans="1:8" ht="15.75" customHeight="1" x14ac:dyDescent="0.25">
      <c r="B21" s="19" t="s">
        <v>112</v>
      </c>
      <c r="C21" s="101">
        <v>0.40032068980674668</v>
      </c>
      <c r="D21" s="101">
        <v>0.40032068980674668</v>
      </c>
      <c r="E21" s="101">
        <v>0.40032068980674668</v>
      </c>
      <c r="F21" s="101">
        <v>0.40032068980674668</v>
      </c>
    </row>
    <row r="22" spans="1:8" ht="15.75" customHeight="1" x14ac:dyDescent="0.25">
      <c r="B22" s="19" t="s">
        <v>113</v>
      </c>
      <c r="C22" s="101">
        <v>7.5018946157854288E-2</v>
      </c>
      <c r="D22" s="101">
        <v>7.5018946157854288E-2</v>
      </c>
      <c r="E22" s="101">
        <v>7.5018946157854288E-2</v>
      </c>
      <c r="F22" s="101">
        <v>7.5018946157854288E-2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5.5148427E-2</v>
      </c>
    </row>
    <row r="27" spans="1:8" ht="15.75" customHeight="1" x14ac:dyDescent="0.25">
      <c r="B27" s="19" t="s">
        <v>120</v>
      </c>
      <c r="C27" s="101">
        <v>5.9724672999999999E-2</v>
      </c>
    </row>
    <row r="28" spans="1:8" ht="15.75" customHeight="1" x14ac:dyDescent="0.25">
      <c r="B28" s="19" t="s">
        <v>121</v>
      </c>
      <c r="C28" s="101">
        <v>0.12066906600000001</v>
      </c>
    </row>
    <row r="29" spans="1:8" ht="15.75" customHeight="1" x14ac:dyDescent="0.25">
      <c r="B29" s="19" t="s">
        <v>122</v>
      </c>
      <c r="C29" s="101">
        <v>0.1353181</v>
      </c>
    </row>
    <row r="30" spans="1:8" ht="15.75" customHeight="1" x14ac:dyDescent="0.25">
      <c r="B30" s="19" t="s">
        <v>2</v>
      </c>
      <c r="C30" s="101">
        <v>8.1906013999999999E-2</v>
      </c>
    </row>
    <row r="31" spans="1:8" ht="15.75" customHeight="1" x14ac:dyDescent="0.25">
      <c r="B31" s="19" t="s">
        <v>123</v>
      </c>
      <c r="C31" s="101">
        <v>6.5112185000000003E-2</v>
      </c>
    </row>
    <row r="32" spans="1:8" ht="15.75" customHeight="1" x14ac:dyDescent="0.25">
      <c r="B32" s="19" t="s">
        <v>124</v>
      </c>
      <c r="C32" s="101">
        <v>0.130658369</v>
      </c>
    </row>
    <row r="33" spans="2:3" ht="15.75" customHeight="1" x14ac:dyDescent="0.25">
      <c r="B33" s="19" t="s">
        <v>125</v>
      </c>
      <c r="C33" s="101">
        <v>0.127118964</v>
      </c>
    </row>
    <row r="34" spans="2:3" ht="15.75" customHeight="1" x14ac:dyDescent="0.25">
      <c r="B34" s="19" t="s">
        <v>126</v>
      </c>
      <c r="C34" s="101">
        <v>0.22434420299999999</v>
      </c>
    </row>
    <row r="35" spans="2:3" ht="15.75" customHeight="1" x14ac:dyDescent="0.25">
      <c r="B35" s="27" t="s">
        <v>59</v>
      </c>
      <c r="C35" s="48">
        <f>SUM(C26:C34)</f>
        <v>1.0000000009999999</v>
      </c>
    </row>
  </sheetData>
  <sheetProtection algorithmName="SHA-512" hashValue="72ftkojRuWHDsTcMErlInpkxBx/fJnqmqNoi7lq1h9KSHBb9Mmkuh2pbnpx1ix23y7oI/m2Cy8MC3AWtp8j2Lg==" saltValue="EBtZ/tpWFK5itqbtncB5t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0.50786787087998775</v>
      </c>
      <c r="D2" s="52">
        <f>IFERROR(1-_xlfn.NORM.DIST(_xlfn.NORM.INV(SUM(D4:D5), 0, 1) + 1, 0, 1, TRUE), "")</f>
        <v>0.50786787087998775</v>
      </c>
      <c r="E2" s="52">
        <f>IFERROR(1-_xlfn.NORM.DIST(_xlfn.NORM.INV(SUM(E4:E5), 0, 1) + 1, 0, 1, TRUE), "")</f>
        <v>0.52868011666033976</v>
      </c>
      <c r="F2" s="52">
        <f>IFERROR(1-_xlfn.NORM.DIST(_xlfn.NORM.INV(SUM(F4:F5), 0, 1) + 1, 0, 1, TRUE), "")</f>
        <v>0.58702505645453118</v>
      </c>
      <c r="G2" s="52">
        <f>IFERROR(1-_xlfn.NORM.DIST(_xlfn.NORM.INV(SUM(G4:G5), 0, 1) + 1, 0, 1, TRUE), "")</f>
        <v>0.68142940936982244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0.33820222912001224</v>
      </c>
      <c r="D3" s="52">
        <f>IFERROR(_xlfn.NORM.DIST(_xlfn.NORM.INV(SUM(D4:D5), 0, 1) + 1, 0, 1, TRUE) - SUM(D4:D5), "")</f>
        <v>0.33820222912001224</v>
      </c>
      <c r="E3" s="52">
        <f>IFERROR(_xlfn.NORM.DIST(_xlfn.NORM.INV(SUM(E4:E5), 0, 1) + 1, 0, 1, TRUE) - SUM(E4:E5), "")</f>
        <v>0.32944918333966022</v>
      </c>
      <c r="F3" s="52">
        <f>IFERROR(_xlfn.NORM.DIST(_xlfn.NORM.INV(SUM(F4:F5), 0, 1) + 1, 0, 1, TRUE) - SUM(F4:F5), "")</f>
        <v>0.30172334354546876</v>
      </c>
      <c r="G3" s="52">
        <f>IFERROR(_xlfn.NORM.DIST(_xlfn.NORM.INV(SUM(G4:G5), 0, 1) + 1, 0, 1, TRUE) - SUM(G4:G5), "")</f>
        <v>0.24801959063017756</v>
      </c>
    </row>
    <row r="4" spans="1:15" ht="15.75" customHeight="1" x14ac:dyDescent="0.25">
      <c r="B4" s="5" t="s">
        <v>132</v>
      </c>
      <c r="C4" s="45">
        <v>0.11207780000000001</v>
      </c>
      <c r="D4" s="53">
        <v>0.11207780000000001</v>
      </c>
      <c r="E4" s="53">
        <v>3.4042200000000002E-2</v>
      </c>
      <c r="F4" s="53">
        <v>6.6427E-2</v>
      </c>
      <c r="G4" s="53">
        <v>4.76018E-2</v>
      </c>
    </row>
    <row r="5" spans="1:15" ht="15.75" customHeight="1" x14ac:dyDescent="0.25">
      <c r="B5" s="5" t="s">
        <v>133</v>
      </c>
      <c r="C5" s="45">
        <v>4.1852100000000003E-2</v>
      </c>
      <c r="D5" s="53">
        <v>4.1852100000000003E-2</v>
      </c>
      <c r="E5" s="53">
        <v>0.10782849999999999</v>
      </c>
      <c r="F5" s="53">
        <v>4.4824599999999999E-2</v>
      </c>
      <c r="G5" s="53">
        <v>2.2949199999999999E-2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0.70194925713081202</v>
      </c>
      <c r="D8" s="52">
        <f>IFERROR(1-_xlfn.NORM.DIST(_xlfn.NORM.INV(SUM(D10:D11), 0, 1) + 1, 0, 1, TRUE), "")</f>
        <v>0.70194925713081202</v>
      </c>
      <c r="E8" s="52">
        <f>IFERROR(1-_xlfn.NORM.DIST(_xlfn.NORM.INV(SUM(E10:E11), 0, 1) + 1, 0, 1, TRUE), "")</f>
        <v>0.79687118231056908</v>
      </c>
      <c r="F8" s="52">
        <f>IFERROR(1-_xlfn.NORM.DIST(_xlfn.NORM.INV(SUM(F10:F11), 0, 1) + 1, 0, 1, TRUE), "")</f>
        <v>0.87353422346659504</v>
      </c>
      <c r="G8" s="52">
        <f>IFERROR(1-_xlfn.NORM.DIST(_xlfn.NORM.INV(SUM(G10:G11), 0, 1) + 1, 0, 1, TRUE), "")</f>
        <v>0.73184326679917455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0.23504424286918796</v>
      </c>
      <c r="D9" s="52">
        <f>IFERROR(_xlfn.NORM.DIST(_xlfn.NORM.INV(SUM(D10:D11), 0, 1) + 1, 0, 1, TRUE) - SUM(D10:D11), "")</f>
        <v>0.23504424286918796</v>
      </c>
      <c r="E9" s="52">
        <f>IFERROR(_xlfn.NORM.DIST(_xlfn.NORM.INV(SUM(E10:E11), 0, 1) + 1, 0, 1, TRUE) - SUM(E10:E11), "")</f>
        <v>0.16954101768943095</v>
      </c>
      <c r="F9" s="52">
        <f>IFERROR(_xlfn.NORM.DIST(_xlfn.NORM.INV(SUM(F10:F11), 0, 1) + 1, 0, 1, TRUE) - SUM(F10:F11), "")</f>
        <v>0.11041957653340496</v>
      </c>
      <c r="G9" s="52">
        <f>IFERROR(_xlfn.NORM.DIST(_xlfn.NORM.INV(SUM(G10:G11), 0, 1) + 1, 0, 1, TRUE) - SUM(G10:G11), "")</f>
        <v>0.21536823320082538</v>
      </c>
    </row>
    <row r="10" spans="1:15" ht="15.75" customHeight="1" x14ac:dyDescent="0.25">
      <c r="B10" s="5" t="s">
        <v>137</v>
      </c>
      <c r="C10" s="45">
        <v>4.6006400000000003E-2</v>
      </c>
      <c r="D10" s="53">
        <v>4.6006400000000003E-2</v>
      </c>
      <c r="E10" s="53">
        <v>1.9333199999999998E-2</v>
      </c>
      <c r="F10" s="53">
        <v>1.0537700000000001E-2</v>
      </c>
      <c r="G10" s="53">
        <v>3.05753E-2</v>
      </c>
    </row>
    <row r="11" spans="1:15" ht="15.75" customHeight="1" x14ac:dyDescent="0.25">
      <c r="B11" s="5" t="s">
        <v>138</v>
      </c>
      <c r="C11" s="45">
        <v>1.7000100000000001E-2</v>
      </c>
      <c r="D11" s="53">
        <v>1.7000100000000001E-2</v>
      </c>
      <c r="E11" s="53">
        <v>1.4254599999999999E-2</v>
      </c>
      <c r="F11" s="53">
        <v>5.5085000000000004E-3</v>
      </c>
      <c r="G11" s="53">
        <v>2.2213199999999999E-2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0.62407766624999994</v>
      </c>
      <c r="D14" s="54">
        <v>0.59355650138799998</v>
      </c>
      <c r="E14" s="54">
        <v>0.59355650138799998</v>
      </c>
      <c r="F14" s="54">
        <v>0.38795445540500001</v>
      </c>
      <c r="G14" s="54">
        <v>0.38795445540500001</v>
      </c>
      <c r="H14" s="45">
        <v>0.35499999999999998</v>
      </c>
      <c r="I14" s="55">
        <v>0.35499999999999998</v>
      </c>
      <c r="J14" s="55">
        <v>0.35499999999999998</v>
      </c>
      <c r="K14" s="55">
        <v>0.35499999999999998</v>
      </c>
      <c r="L14" s="45">
        <v>0.29199999999999998</v>
      </c>
      <c r="M14" s="55">
        <v>0.29199999999999998</v>
      </c>
      <c r="N14" s="55">
        <v>0.29199999999999998</v>
      </c>
      <c r="O14" s="55">
        <v>0.29199999999999998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0.37518800401750491</v>
      </c>
      <c r="D15" s="52">
        <f t="shared" si="0"/>
        <v>0.35683904595644889</v>
      </c>
      <c r="E15" s="52">
        <f t="shared" si="0"/>
        <v>0.35683904595644889</v>
      </c>
      <c r="F15" s="52">
        <f t="shared" si="0"/>
        <v>0.23323356313602112</v>
      </c>
      <c r="G15" s="52">
        <f t="shared" si="0"/>
        <v>0.23323356313602112</v>
      </c>
      <c r="H15" s="52">
        <f t="shared" si="0"/>
        <v>0.21342173999999997</v>
      </c>
      <c r="I15" s="52">
        <f t="shared" si="0"/>
        <v>0.21342173999999997</v>
      </c>
      <c r="J15" s="52">
        <f t="shared" si="0"/>
        <v>0.21342173999999997</v>
      </c>
      <c r="K15" s="52">
        <f t="shared" si="0"/>
        <v>0.21342173999999997</v>
      </c>
      <c r="L15" s="52">
        <f t="shared" si="0"/>
        <v>0.17554689599999998</v>
      </c>
      <c r="M15" s="52">
        <f t="shared" si="0"/>
        <v>0.17554689599999998</v>
      </c>
      <c r="N15" s="52">
        <f t="shared" si="0"/>
        <v>0.17554689599999998</v>
      </c>
      <c r="O15" s="52">
        <f t="shared" si="0"/>
        <v>0.17554689599999998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HG1rKvu8UQl+Ahcayidh0tNqqUNQpcY91R2zBZiUAB270ldyHNKyr3KcBnTIAzry3kyc9p8DYjeK5vlATsZmA==" saltValue="PtIsf5Brbx6dvv3HJsRw0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0.79653980000000002</v>
      </c>
      <c r="D2" s="53">
        <v>0.40002630000000011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7.6248999999999997E-2</v>
      </c>
      <c r="D3" s="53">
        <v>0.16771440000000001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5.8421900000000013E-2</v>
      </c>
      <c r="D4" s="53">
        <v>0.2675015</v>
      </c>
      <c r="E4" s="53">
        <v>0.70920899999999998</v>
      </c>
      <c r="F4" s="53">
        <v>0.28720590000000001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6.8789299999999942E-2</v>
      </c>
      <c r="D5" s="52">
        <f t="shared" si="0"/>
        <v>0.16475779999999984</v>
      </c>
      <c r="E5" s="52">
        <f>1-SUM(E2:E4)</f>
        <v>0.29079100000000002</v>
      </c>
      <c r="F5" s="52">
        <f>1-SUM(F2:F4)</f>
        <v>0.71279409999999999</v>
      </c>
      <c r="G5" s="52">
        <f>1-SUM(G2:G4)</f>
        <v>1</v>
      </c>
    </row>
  </sheetData>
  <sheetProtection algorithmName="SHA-512" hashValue="Bk6cbINoR9L/ceHq6rj/qA0DY7agqwlpv8soqJ5kALs5Vjr7eojCaBjIMPgpunN8PvPFoOu6Hxii7hCKLRuWqg==" saltValue="Fu74LDHFGnZevzsdVFD3H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IBm3QqVOlebNVOgrhK8/VI66FqG/l4Kjhh4/Qkrx+SEGbmaJ/oDBLrS4hO0EOeBbWf6M1DyziOVfAXfhDUBaoA==" saltValue="JSBYk+97a8IgjgWzuNlJJ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7018.05150434798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0.53339000000000003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0.68500000000000005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1.7152469783218358E-2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98785.040550000005</v>
      </c>
      <c r="C22" s="109">
        <v>98685.961750000002</v>
      </c>
      <c r="D22" s="109">
        <v>98592.734689999997</v>
      </c>
      <c r="E22" s="109">
        <v>98405.381670000002</v>
      </c>
      <c r="F22" s="109">
        <v>98167.557589999997</v>
      </c>
      <c r="G22" s="109">
        <v>97894.532720000003</v>
      </c>
      <c r="H22" s="109">
        <v>97545.864100000006</v>
      </c>
      <c r="I22" s="109">
        <v>97007.372409999996</v>
      </c>
      <c r="J22" s="109">
        <v>95956.066550000003</v>
      </c>
      <c r="K22" s="109">
        <v>94441.577600000004</v>
      </c>
      <c r="L22" s="109">
        <v>91906.150439999998</v>
      </c>
      <c r="M22" s="109">
        <v>88094.593099999998</v>
      </c>
      <c r="N22" s="109">
        <v>82835.138640000005</v>
      </c>
      <c r="O22" s="109">
        <v>73899.467099999994</v>
      </c>
    </row>
  </sheetData>
  <sheetProtection algorithmName="SHA-512" hashValue="ywdMHsxkPV1i+2iScPBTgCbAY3D49BYNofAXl7po4lTwt77qc0zATYZKs4TYFPs2Zmeuc5Te7x6QyzDyKMGEKA==" saltValue="00S2UFLArPjazDWRw/FyC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pjjJsYLMqcqkamAzWFNpGTgM0phZKSqNJngGnqfSfcId3weqd4SOgNH8d0AMdB3HIHvQI4fClBVHsHd3Se0g7A==" saltValue="G1w4QJeV5XiscsCM6Lf/F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7E4UZep4QGK2Ff1xrGpO7FQHeKds9k50OkB6JZOcuvgJesgt2XU6cRkhlILR5IV4dd/Iv3egqRgHN4veQby/SQ==" saltValue="B8Sr14X/E2VCpDs/vk7zs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12.008526100307062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12.008526100307062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8.8894216990788131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0.79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0.40262538382804508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4.5260500000000002E-2</v>
      </c>
      <c r="C10" s="98">
        <v>0.95</v>
      </c>
      <c r="D10" s="56">
        <v>12.93675323593046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12.93675323593046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12.93675323593046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12.93675323593046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4.5260500000000002E-2</v>
      </c>
      <c r="C14" s="98">
        <v>0.95</v>
      </c>
      <c r="D14" s="56">
        <v>12.93675323593046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12.93675323593046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</v>
      </c>
      <c r="C16" s="98">
        <v>0.95</v>
      </c>
      <c r="D16" s="56">
        <v>2.5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0.14000000000000001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0.40002630000000011</v>
      </c>
      <c r="C18" s="98">
        <v>0.95</v>
      </c>
      <c r="D18" s="56">
        <v>8.8894216990788131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0.40002630000000011</v>
      </c>
      <c r="C19" s="98">
        <v>0.95</v>
      </c>
      <c r="D19" s="56">
        <v>8.3490838120479509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8.8894216990788131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4.2321962823102757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0.79985384621333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4.5260500000000002E-2</v>
      </c>
      <c r="C26" s="98">
        <v>0.95</v>
      </c>
      <c r="D26" s="56">
        <v>5.1498336745138182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11.470990276356194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0.36939440000000001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0.36308820000000003</v>
      </c>
      <c r="C29" s="98">
        <v>0.95</v>
      </c>
      <c r="D29" s="56">
        <v>105.9420671559127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170.92419651995908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1.1057036847492325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0.94423659999999998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0.43367780000000011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1.2278000000000001E-2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0.99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2.8000000000000001E-2</v>
      </c>
      <c r="C38" s="98">
        <v>0.95</v>
      </c>
      <c r="D38" s="56">
        <v>2.6374181166837261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SZIkR34dQbpQHLNnfy/aXwnWESEOQIw/+SKU7Qe7YWK4QiimKdarYPSxdQUaSczYeBEhjWfIS5BUHBfhCNoSDw==" saltValue="0K26fizDgguthyCL+MsR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yKoleDBI35M6JY1BZe6mUGxxc2CGYgudcsjcromaKkmJnMJuKYXxPwWfc7dnE/+iK9aagbzGNKghV5M2ovolbA==" saltValue="olxHSt2yT+RctbOhdzwOd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E2dhhPIJXkSEX6zPRkB7JTAOZ+XVi+mRX/VsFUxwUl+FwFR7QY1vmAwVXleSFigdc6NFogeqqser62pg9Xojkg==" saltValue="XOBEkye6Bde1IRz1RIfF1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238</v>
      </c>
      <c r="B3" s="21">
        <f>frac_mam_1month * 2.6</f>
        <v>0.11961664000000001</v>
      </c>
      <c r="C3" s="21">
        <f>frac_mam_1_5months * 2.6</f>
        <v>0.11961664000000001</v>
      </c>
      <c r="D3" s="21">
        <f>frac_mam_6_11months * 2.6</f>
        <v>5.0266319999999996E-2</v>
      </c>
      <c r="E3" s="21">
        <f>frac_mam_12_23months * 2.6</f>
        <v>2.7398020000000002E-2</v>
      </c>
      <c r="F3" s="21">
        <f>frac_mam_24_59months * 2.6</f>
        <v>7.9495780000000002E-2</v>
      </c>
    </row>
    <row r="4" spans="1:6" ht="15.75" customHeight="1" x14ac:dyDescent="0.25">
      <c r="A4" s="3" t="s">
        <v>237</v>
      </c>
      <c r="B4" s="21">
        <f>frac_sam_1month * 2.6</f>
        <v>4.4200260000000005E-2</v>
      </c>
      <c r="C4" s="21">
        <f>frac_sam_1_5months * 2.6</f>
        <v>4.4200260000000005E-2</v>
      </c>
      <c r="D4" s="21">
        <f>frac_sam_6_11months * 2.6</f>
        <v>3.7061959999999998E-2</v>
      </c>
      <c r="E4" s="21">
        <f>frac_sam_12_23months * 2.6</f>
        <v>1.4322100000000001E-2</v>
      </c>
      <c r="F4" s="21">
        <f>frac_sam_24_59months * 2.6</f>
        <v>5.7754319999999998E-2</v>
      </c>
    </row>
  </sheetData>
  <sheetProtection algorithmName="SHA-512" hashValue="24mqNA2REJUVbmKQmD0ArdlE64LO2/dItm9c2QPEPW83xNOf5Sg+GiB3aFI7W8OTRpCB7+D0QjR3bVFiIhmJfw==" saltValue="eIiCbohUtfq8uMKOMZt11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2.1000000000000001E-2</v>
      </c>
      <c r="F2" s="60">
        <f>food_insecure</f>
        <v>2.1000000000000001E-2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2.1000000000000001E-2</v>
      </c>
      <c r="F5" s="60">
        <f>food_insecure</f>
        <v>2.1000000000000001E-2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2.1000000000000001E-2</v>
      </c>
      <c r="F8" s="60">
        <f>food_insecure</f>
        <v>2.1000000000000001E-2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2.1000000000000001E-2</v>
      </c>
      <c r="F9" s="60">
        <f>food_insecure</f>
        <v>2.1000000000000001E-2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2.1000000000000001E-2</v>
      </c>
      <c r="I15" s="60">
        <f t="shared" si="0"/>
        <v>2.1000000000000001E-2</v>
      </c>
      <c r="J15" s="60">
        <f t="shared" si="0"/>
        <v>2.1000000000000001E-2</v>
      </c>
      <c r="K15" s="60">
        <f t="shared" si="0"/>
        <v>2.1000000000000001E-2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2.1000000000000001E-2</v>
      </c>
      <c r="I16" s="60">
        <f t="shared" si="0"/>
        <v>2.1000000000000001E-2</v>
      </c>
      <c r="J16" s="60">
        <f t="shared" si="0"/>
        <v>2.1000000000000001E-2</v>
      </c>
      <c r="K16" s="60">
        <f t="shared" si="0"/>
        <v>2.1000000000000001E-2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0.59799999999999998</v>
      </c>
      <c r="M24" s="60">
        <f>famplan_unmet_need</f>
        <v>0.59799999999999998</v>
      </c>
      <c r="N24" s="60">
        <f>famplan_unmet_need</f>
        <v>0.59799999999999998</v>
      </c>
      <c r="O24" s="60">
        <f>famplan_unmet_need</f>
        <v>0.59799999999999998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5.907647272033674E-2</v>
      </c>
      <c r="M25" s="60">
        <f>(1-food_insecure)*(0.49)+food_insecure*(0.7)</f>
        <v>0.49440999999999996</v>
      </c>
      <c r="N25" s="60">
        <f>(1-food_insecure)*(0.49)+food_insecure*(0.7)</f>
        <v>0.49440999999999996</v>
      </c>
      <c r="O25" s="60">
        <f>(1-food_insecure)*(0.49)+food_insecure*(0.7)</f>
        <v>0.49440999999999996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2.5318488308715748E-2</v>
      </c>
      <c r="M26" s="60">
        <f>(1-food_insecure)*(0.21)+food_insecure*(0.3)</f>
        <v>0.21189</v>
      </c>
      <c r="N26" s="60">
        <f>(1-food_insecure)*(0.21)+food_insecure*(0.3)</f>
        <v>0.21189</v>
      </c>
      <c r="O26" s="60">
        <f>(1-food_insecure)*(0.21)+food_insecure*(0.3)</f>
        <v>0.21189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3.5093869537353412E-2</v>
      </c>
      <c r="M27" s="60">
        <f>(1-food_insecure)*(0.3)</f>
        <v>0.29369999999999996</v>
      </c>
      <c r="N27" s="60">
        <f>(1-food_insecure)*(0.3)</f>
        <v>0.29369999999999996</v>
      </c>
      <c r="O27" s="60">
        <f>(1-food_insecure)*(0.3)</f>
        <v>0.29369999999999996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0.88051116943359409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vwWjy2QLT9VvVuWI6NV46otZTMBcCA+HI9v6r7KQzZEp1nLtEobrykCQLjMfUUSRE1WnQ336AwNl4bU00krvug==" saltValue="DMKUfrAQXvYrwdnqbXjxY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awq3STjWx1Ejm+fFRSnhYEMC+daYuoT66g6LoA0qf7IeyL+1Ar1wWN0Q89GnJ3XmTZvO/T95/3mVYJbRf71gaA==" saltValue="rFH00jx5dCZmRFSApJn0o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2n0pJkyj9i+4ZjGQJZaqkiTwrweMMCgMTGXORBdnX3KPmMEWW8IVMiI20DUSyI9kbaE7R2bBBAq2LxaiXG5h1w==" saltValue="LzLs1tVuhdHS1QARlm/uS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LKuGuMhCQiaeW+xxR8jVcz260OneVfUDKSuwmjgtk1Dp0Ktbgi5UdKuv45kiRfKsPRu+mEjYCKh0Om6+fK32Rg==" saltValue="KfYS1fxvyMXFuBSEoghnc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lLL+8PyS5qTq5hmcmoSy6/cDMgvo6Jcuqof5XmS8lAlncs79Rtq2XXSpBRKQHhde2dO+U0Ey1jo04Sa1KVWkJA==" saltValue="LK9V1PU7HtyiBvBovQQtE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x0u2pqx2T/lG6K7epYjkOKL8Bhvv5khYYVMtD06Qtf8N1fLSWL52X7m3R/hBNflw4PGYeULtKebRMcD02LtO+w==" saltValue="05bagqb/k5ZdJ5bQ2V1h7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PgqUtnaUx1cwHpKYEP8EuXdGiWd+sgB+4as+q7HhV3DEOYDe5FrMsG1+40uGppHmVOluT+006ixNWymSE0L2oQ==" saltValue="8YL+cLmao8NX06GfH7QCy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ckj2m9h5HNzMaWuso3tjdAD3kZJFCQFU4XD9vhUEpTnZlaNc4YFUhzqC8oB9D/5xIoLNaAZhlWdlEFVypqYg==" saltValue="26Qa/F/zcDt5m3spgKp9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4PSdnTyr7SQUo3gOjFwD2m500Mq/Tb94BqPeaJOj44UUxNSc9CLXHpSiUxVx5FFW/oLpNplhUV8DQxd9R5J6kw==" saltValue="N3itWTbS/znudJ1rymhQ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sbkUJfDTksC7Ps76zHhvgRthiQz5vK9vctYXRRIRKK7D1C19EXjLzDzUs2fat1mtgKwbc5Ifg1tQiWLUU/kqUw==" saltValue="EbgrDFwAQfYUz6/C7VuI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VtrBx0ZMqcYNxWQZ6oWAUxmrN/29iSBUJsr/MU/9PaDaxUJuJfuSPGnJ5fC/9oonVvjFAtfk/rwArnoWEO3bXg==" saltValue="gMsqGZ0N7PtBC4LPpRDS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nBXyWilKmRgGl1o7/FvHAawoHhAFFzsa8LOxGnX5Q/EdDi1rXBQa+Vm15AoszJS42sSLCeQEIPhHKGteW37llQ==" saltValue="lMpGIvXx+HPa6gRD8GIf5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WvwjlsAqWMrUhNalFmgRP71UToejHvfaDhfBm59nHF11oW9GcvWwZvUDTmIZkZpx85NQQ3oGl1fzU4Elcppllg==" saltValue="8A7y/J0/oTobt4CNER9vP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Rjr2XPK4dCdNhNFRi+DjhGp8pyjjAn5KTf9OlORg555Sndy1AKlrjRfXiJUvrJR0p0jCw4X4put+pGoPcSFYoQ==" saltValue="HTrUIC3GJC7dh7hNvvod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limHJv1vaXBPtUS+15Qh5XlO1J5CAq+TAXUoZxueHWOs7Mr9ZFJn3jbM4AQBe5fB+cjjCNgTeshoAy/fvmeVdw==" saltValue="uWBF5TkL/DzuDkbfEKhJH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2025-07-04T03:11:16Z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