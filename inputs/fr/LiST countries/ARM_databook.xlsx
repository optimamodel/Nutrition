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9241D655-4994-4300-935C-B6FEB8097EF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<sst xmlns="http://schemas.openxmlformats.org/spreadsheetml/2006/main" count="2102" uniqueCount="337">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</sst>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161370.9033203125</v>
      </c>
    </row>
    <row r="8" spans="1:3" ht="15" customHeight="1" x14ac:dyDescent="0.25">
      <c r="B8" s="5" t="s">
        <v>19</v>
      </c>
      <c r="C8" s="44">
        <v>2.1000000000000001E-2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0.88051116943359409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0.11559999999999999</v>
      </c>
    </row>
    <row r="24" spans="1:3" ht="15" customHeight="1" x14ac:dyDescent="0.25">
      <c r="B24" s="15" t="s">
        <v>33</v>
      </c>
      <c r="C24" s="45">
        <v>0.64219999999999999</v>
      </c>
    </row>
    <row r="25" spans="1:3" ht="15" customHeight="1" x14ac:dyDescent="0.25">
      <c r="B25" s="15" t="s">
        <v>34</v>
      </c>
      <c r="C25" s="45">
        <v>0.23319999999999999</v>
      </c>
    </row>
    <row r="26" spans="1:3" ht="15" customHeight="1" x14ac:dyDescent="0.25">
      <c r="B26" s="15" t="s">
        <v>35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0.443381353500297</v>
      </c>
    </row>
    <row r="30" spans="1:3" ht="14.25" customHeight="1" x14ac:dyDescent="0.25">
      <c r="B30" s="25" t="s">
        <v>38</v>
      </c>
      <c r="C30" s="99">
        <v>5.9529082105141198E-2</v>
      </c>
    </row>
    <row r="31" spans="1:3" ht="14.25" customHeight="1" x14ac:dyDescent="0.25">
      <c r="B31" s="25" t="s">
        <v>39</v>
      </c>
      <c r="C31" s="99">
        <v>6.7946136004371396E-2</v>
      </c>
    </row>
    <row r="32" spans="1:3" ht="14.25" customHeight="1" x14ac:dyDescent="0.25">
      <c r="B32" s="25" t="s">
        <v>40</v>
      </c>
      <c r="C32" s="99">
        <v>0.42914342839018998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5.6370300000000002</v>
      </c>
    </row>
    <row r="38" spans="1:5" ht="15" customHeight="1" x14ac:dyDescent="0.25">
      <c r="B38" s="11" t="s">
        <v>45</v>
      </c>
      <c r="C38" s="43">
        <v>9.5448000000000004</v>
      </c>
      <c r="D38" s="12"/>
      <c r="E38" s="13"/>
    </row>
    <row r="39" spans="1:5" ht="15" customHeight="1" x14ac:dyDescent="0.25">
      <c r="B39" s="11" t="s">
        <v>46</v>
      </c>
      <c r="C39" s="43">
        <v>10.72114</v>
      </c>
      <c r="D39" s="12"/>
      <c r="E39" s="12"/>
    </row>
    <row r="40" spans="1:5" ht="15" customHeight="1" x14ac:dyDescent="0.25">
      <c r="B40" s="11" t="s">
        <v>47</v>
      </c>
      <c r="C40" s="100">
        <v>0.27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6.5369E-3</v>
      </c>
      <c r="D45" s="12"/>
    </row>
    <row r="46" spans="1:5" ht="15.75" customHeight="1" x14ac:dyDescent="0.25">
      <c r="B46" s="11" t="s">
        <v>52</v>
      </c>
      <c r="C46" s="45">
        <v>7.0238399999999993E-2</v>
      </c>
      <c r="D46" s="12"/>
    </row>
    <row r="47" spans="1:5" ht="15.75" customHeight="1" x14ac:dyDescent="0.25">
      <c r="B47" s="11" t="s">
        <v>53</v>
      </c>
      <c r="C47" s="45">
        <v>7.4784699999999996E-2</v>
      </c>
      <c r="D47" s="12"/>
      <c r="E47" s="13"/>
    </row>
    <row r="48" spans="1:5" ht="15" customHeight="1" x14ac:dyDescent="0.25">
      <c r="B48" s="11" t="s">
        <v>54</v>
      </c>
      <c r="C48" s="46">
        <v>0.84843999999999997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0.60118799999999994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Z8VHeRJUjkfFyp4MTLnBkPoTYww/hR76sq4oK8/m1DvaoZqh5r0hROvqF63oROWYfy1UzJ1l0s+0ccTrcikSaA==" saltValue="+kEiJNSQ1NGHPcQchqrf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30717</v>
      </c>
      <c r="C2" s="49">
        <v>98062.5</v>
      </c>
      <c r="D2" s="49">
        <v>164124</v>
      </c>
      <c r="E2" s="49">
        <v>268326.5</v>
      </c>
      <c r="F2" s="49">
        <v>173916.5</v>
      </c>
      <c r="G2" s="17">
        <f t="shared" ref="G2:G13" si="0">C2+D2+E2+F2</f>
        <v>704429.5</v>
      </c>
      <c r="H2" s="17">
        <f t="shared" ref="H2:H13" si="1">(B2 + stillbirth*B2/(1000-stillbirth))/(1-abortion)</f>
        <v>35287.538505738587</v>
      </c>
      <c r="I2" s="17">
        <f t="shared" ref="I2:I13" si="2">G2-H2</f>
        <v>669141.9614942614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29876</v>
      </c>
      <c r="C3" s="50">
        <v>99728.000000000015</v>
      </c>
      <c r="D3" s="50">
        <v>158995.5</v>
      </c>
      <c r="E3" s="50">
        <v>261005.5</v>
      </c>
      <c r="F3" s="50">
        <v>181866</v>
      </c>
      <c r="G3" s="17">
        <f t="shared" si="0"/>
        <v>701595</v>
      </c>
      <c r="H3" s="17">
        <f t="shared" si="1"/>
        <v>34321.401842544714</v>
      </c>
      <c r="I3" s="17">
        <f t="shared" si="2"/>
        <v>667273.59815745533</v>
      </c>
    </row>
    <row r="4" spans="1:9" ht="15.75" customHeight="1" x14ac:dyDescent="0.25">
      <c r="A4" s="5">
        <f t="shared" si="3"/>
        <v>2026</v>
      </c>
      <c r="B4" s="49">
        <v>29116</v>
      </c>
      <c r="C4" s="50">
        <v>102978.5</v>
      </c>
      <c r="D4" s="50">
        <v>154695.5</v>
      </c>
      <c r="E4" s="50">
        <v>251958.5</v>
      </c>
      <c r="F4" s="50">
        <v>190762.5</v>
      </c>
      <c r="G4" s="17">
        <f t="shared" si="0"/>
        <v>700395</v>
      </c>
      <c r="H4" s="17">
        <f t="shared" si="1"/>
        <v>33448.317580918854</v>
      </c>
      <c r="I4" s="17">
        <f t="shared" si="2"/>
        <v>666946.6824190811</v>
      </c>
    </row>
    <row r="5" spans="1:9" ht="15.75" customHeight="1" x14ac:dyDescent="0.25">
      <c r="A5" s="5">
        <f t="shared" si="3"/>
        <v>2027</v>
      </c>
      <c r="B5" s="49">
        <v>28349</v>
      </c>
      <c r="C5" s="50">
        <v>107276.5</v>
      </c>
      <c r="D5" s="50">
        <v>151149.5</v>
      </c>
      <c r="E5" s="50">
        <v>242140.00000000009</v>
      </c>
      <c r="F5" s="50">
        <v>199980</v>
      </c>
      <c r="G5" s="17">
        <f t="shared" si="0"/>
        <v>700546.00000000012</v>
      </c>
      <c r="H5" s="17">
        <f t="shared" si="1"/>
        <v>32567.191753725398</v>
      </c>
      <c r="I5" s="17">
        <f t="shared" si="2"/>
        <v>667978.80824627471</v>
      </c>
    </row>
    <row r="6" spans="1:9" ht="15.75" customHeight="1" x14ac:dyDescent="0.25">
      <c r="A6" s="5">
        <f t="shared" si="3"/>
        <v>2028</v>
      </c>
      <c r="B6" s="49">
        <v>27815</v>
      </c>
      <c r="C6" s="50">
        <v>111248</v>
      </c>
      <c r="D6" s="50">
        <v>149570</v>
      </c>
      <c r="E6" s="50">
        <v>231088</v>
      </c>
      <c r="F6" s="50">
        <v>208385.5</v>
      </c>
      <c r="G6" s="17">
        <f t="shared" si="0"/>
        <v>700291.5</v>
      </c>
      <c r="H6" s="17">
        <f t="shared" si="1"/>
        <v>31953.735180425127</v>
      </c>
      <c r="I6" s="17">
        <f t="shared" si="2"/>
        <v>668337.76481957489</v>
      </c>
    </row>
    <row r="7" spans="1:9" ht="15.75" customHeight="1" x14ac:dyDescent="0.25">
      <c r="A7" s="5">
        <f t="shared" si="3"/>
        <v>2029</v>
      </c>
      <c r="B7" s="49">
        <v>27329</v>
      </c>
      <c r="C7" s="50">
        <v>113835</v>
      </c>
      <c r="D7" s="50">
        <v>150137.5</v>
      </c>
      <c r="E7" s="50">
        <v>218750.5</v>
      </c>
      <c r="F7" s="50">
        <v>216038.5</v>
      </c>
      <c r="G7" s="17">
        <f t="shared" si="0"/>
        <v>698761.5</v>
      </c>
      <c r="H7" s="17">
        <f t="shared" si="1"/>
        <v>31395.420771017016</v>
      </c>
      <c r="I7" s="17">
        <f t="shared" si="2"/>
        <v>667366.07922898303</v>
      </c>
    </row>
    <row r="8" spans="1:9" ht="15.75" customHeight="1" x14ac:dyDescent="0.25">
      <c r="A8" s="5">
        <f t="shared" si="3"/>
        <v>2030</v>
      </c>
      <c r="B8" s="49">
        <v>26888</v>
      </c>
      <c r="C8" s="50">
        <v>114962</v>
      </c>
      <c r="D8" s="50">
        <v>152183</v>
      </c>
      <c r="E8" s="50">
        <v>204469</v>
      </c>
      <c r="F8" s="50">
        <v>222916.5</v>
      </c>
      <c r="G8" s="17">
        <f t="shared" si="0"/>
        <v>694530.5</v>
      </c>
      <c r="H8" s="17">
        <f t="shared" si="1"/>
        <v>30888.802140257802</v>
      </c>
      <c r="I8" s="17">
        <f t="shared" si="2"/>
        <v>663641.69785974221</v>
      </c>
    </row>
    <row r="9" spans="1:9" ht="15.75" customHeight="1" x14ac:dyDescent="0.25">
      <c r="A9" s="5">
        <f t="shared" si="3"/>
        <v>2031</v>
      </c>
      <c r="B9" s="49">
        <v>26464</v>
      </c>
      <c r="C9" s="50">
        <v>115547.5</v>
      </c>
      <c r="D9" s="50">
        <v>154760</v>
      </c>
      <c r="E9" s="50">
        <v>189288.5</v>
      </c>
      <c r="F9" s="50">
        <v>229960.5</v>
      </c>
      <c r="G9" s="17">
        <f t="shared" si="0"/>
        <v>689556.5</v>
      </c>
      <c r="H9" s="17">
        <f t="shared" si="1"/>
        <v>30401.713025877063</v>
      </c>
      <c r="I9" s="17">
        <f t="shared" si="2"/>
        <v>659154.78697412298</v>
      </c>
    </row>
    <row r="10" spans="1:9" ht="15.75" customHeight="1" x14ac:dyDescent="0.25">
      <c r="A10" s="5">
        <f t="shared" si="3"/>
        <v>2032</v>
      </c>
      <c r="B10" s="49">
        <v>26297</v>
      </c>
      <c r="C10" s="50">
        <v>114466</v>
      </c>
      <c r="D10" s="50">
        <v>158382</v>
      </c>
      <c r="E10" s="50">
        <v>175009</v>
      </c>
      <c r="F10" s="50">
        <v>236814.5</v>
      </c>
      <c r="G10" s="17">
        <f t="shared" si="0"/>
        <v>684671.5</v>
      </c>
      <c r="H10" s="17">
        <f t="shared" si="1"/>
        <v>30209.864247335594</v>
      </c>
      <c r="I10" s="17">
        <f t="shared" si="2"/>
        <v>654461.63575266441</v>
      </c>
    </row>
    <row r="11" spans="1:9" ht="15.75" customHeight="1" x14ac:dyDescent="0.25">
      <c r="A11" s="5">
        <f t="shared" si="3"/>
        <v>2033</v>
      </c>
      <c r="B11" s="49">
        <v>26157</v>
      </c>
      <c r="C11" s="50">
        <v>112122</v>
      </c>
      <c r="D11" s="50">
        <v>162558.5</v>
      </c>
      <c r="E11" s="50">
        <v>163555</v>
      </c>
      <c r="F11" s="50">
        <v>241103.5</v>
      </c>
      <c r="G11" s="17">
        <f t="shared" si="0"/>
        <v>679339</v>
      </c>
      <c r="H11" s="17">
        <f t="shared" si="1"/>
        <v>30049.032935983461</v>
      </c>
      <c r="I11" s="17">
        <f t="shared" si="2"/>
        <v>649289.9670640165</v>
      </c>
    </row>
    <row r="12" spans="1:9" ht="15.75" customHeight="1" x14ac:dyDescent="0.25">
      <c r="A12" s="5">
        <f t="shared" si="3"/>
        <v>2034</v>
      </c>
      <c r="B12" s="49">
        <v>26036</v>
      </c>
      <c r="C12" s="50">
        <v>108557</v>
      </c>
      <c r="D12" s="50">
        <v>166873</v>
      </c>
      <c r="E12" s="50">
        <v>155835</v>
      </c>
      <c r="F12" s="50">
        <v>240850.5</v>
      </c>
      <c r="G12" s="17">
        <f t="shared" si="0"/>
        <v>672115.5</v>
      </c>
      <c r="H12" s="17">
        <f t="shared" si="1"/>
        <v>29910.02873117198</v>
      </c>
      <c r="I12" s="17">
        <f t="shared" si="2"/>
        <v>642205.47126882803</v>
      </c>
    </row>
    <row r="13" spans="1:9" ht="15.75" customHeight="1" x14ac:dyDescent="0.25">
      <c r="A13" s="5">
        <f t="shared" si="3"/>
        <v>2035</v>
      </c>
      <c r="B13" s="49">
        <v>26039</v>
      </c>
      <c r="C13" s="50">
        <v>104549.5</v>
      </c>
      <c r="D13" s="50">
        <v>170580.5</v>
      </c>
      <c r="E13" s="50">
        <v>150733.5</v>
      </c>
      <c r="F13" s="50">
        <v>235790.5</v>
      </c>
      <c r="G13" s="17">
        <f t="shared" si="0"/>
        <v>661654</v>
      </c>
      <c r="H13" s="17">
        <f t="shared" si="1"/>
        <v>29913.47511641524</v>
      </c>
      <c r="I13" s="17">
        <f t="shared" si="2"/>
        <v>631740.52488358482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jctjV7Wj4o8IQ6oozImHgPdcSI7GM9FfIH+IzWvEiL9rPHpQBQV+Tx9b8Y6KwZ5XizGaSCW/o29uJHuLvwyFw==" saltValue="RzxCBrrGVG4/ApgPNunH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6.6593800000000078E-2</v>
      </c>
    </row>
    <row r="5" spans="1:8" ht="15.75" customHeight="1" x14ac:dyDescent="0.25">
      <c r="B5" s="19" t="s">
        <v>80</v>
      </c>
      <c r="C5" s="101">
        <v>3.3228800000000072E-2</v>
      </c>
    </row>
    <row r="6" spans="1:8" ht="15.75" customHeight="1" x14ac:dyDescent="0.25">
      <c r="B6" s="19" t="s">
        <v>81</v>
      </c>
      <c r="C6" s="101">
        <v>0.15369620000000031</v>
      </c>
    </row>
    <row r="7" spans="1:8" ht="15.75" customHeight="1" x14ac:dyDescent="0.25">
      <c r="B7" s="19" t="s">
        <v>82</v>
      </c>
      <c r="C7" s="101">
        <v>0.39472369999999951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0.25617429999999969</v>
      </c>
    </row>
    <row r="10" spans="1:8" ht="15.75" customHeight="1" x14ac:dyDescent="0.25">
      <c r="B10" s="19" t="s">
        <v>85</v>
      </c>
      <c r="C10" s="101">
        <v>9.5583200000000174E-2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88</v>
      </c>
      <c r="C15" s="101">
        <v>0.40951930746254001</v>
      </c>
      <c r="D15" s="101">
        <v>0.40951930746254001</v>
      </c>
      <c r="E15" s="101">
        <v>0.40951930746254001</v>
      </c>
      <c r="F15" s="101">
        <v>0.40951930746254001</v>
      </c>
    </row>
    <row r="16" spans="1:8" ht="15.75" customHeight="1" x14ac:dyDescent="0.25">
      <c r="B16" s="19" t="s">
        <v>89</v>
      </c>
      <c r="C16" s="101">
        <v>4.8813235664483597E-2</v>
      </c>
      <c r="D16" s="101">
        <v>4.8813235664483597E-2</v>
      </c>
      <c r="E16" s="101">
        <v>4.8813235664483597E-2</v>
      </c>
      <c r="F16" s="101">
        <v>4.8813235664483597E-2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1.220727114635429E-2</v>
      </c>
      <c r="D19" s="101">
        <v>1.220727114635429E-2</v>
      </c>
      <c r="E19" s="101">
        <v>1.220727114635429E-2</v>
      </c>
      <c r="F19" s="101">
        <v>1.220727114635429E-2</v>
      </c>
    </row>
    <row r="20" spans="1:8" ht="15.75" customHeight="1" x14ac:dyDescent="0.25">
      <c r="B20" s="19" t="s">
        <v>93</v>
      </c>
      <c r="C20" s="101">
        <v>1.6875345432903501E-2</v>
      </c>
      <c r="D20" s="101">
        <v>1.6875345432903501E-2</v>
      </c>
      <c r="E20" s="101">
        <v>1.6875345432903501E-2</v>
      </c>
      <c r="F20" s="101">
        <v>1.6875345432903501E-2</v>
      </c>
    </row>
    <row r="21" spans="1:8" ht="15.75" customHeight="1" x14ac:dyDescent="0.25">
      <c r="B21" s="19" t="s">
        <v>94</v>
      </c>
      <c r="C21" s="101">
        <v>0.40032068980674668</v>
      </c>
      <c r="D21" s="101">
        <v>0.40032068980674668</v>
      </c>
      <c r="E21" s="101">
        <v>0.40032068980674668</v>
      </c>
      <c r="F21" s="101">
        <v>0.40032068980674668</v>
      </c>
    </row>
    <row r="22" spans="1:8" ht="15.75" customHeight="1" x14ac:dyDescent="0.25">
      <c r="B22" s="19" t="s">
        <v>95</v>
      </c>
      <c r="C22" s="101">
        <v>7.5018946157854288E-2</v>
      </c>
      <c r="D22" s="101">
        <v>7.5018946157854288E-2</v>
      </c>
      <c r="E22" s="101">
        <v>7.5018946157854288E-2</v>
      </c>
      <c r="F22" s="101">
        <v>7.5018946157854288E-2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5.5148427E-2</v>
      </c>
    </row>
    <row r="27" spans="1:8" ht="15.75" customHeight="1" x14ac:dyDescent="0.25">
      <c r="B27" s="19" t="s">
        <v>102</v>
      </c>
      <c r="C27" s="101">
        <v>5.9724672999999999E-2</v>
      </c>
    </row>
    <row r="28" spans="1:8" ht="15.75" customHeight="1" x14ac:dyDescent="0.25">
      <c r="B28" s="19" t="s">
        <v>103</v>
      </c>
      <c r="C28" s="101">
        <v>0.12066906600000001</v>
      </c>
    </row>
    <row r="29" spans="1:8" ht="15.75" customHeight="1" x14ac:dyDescent="0.25">
      <c r="B29" s="19" t="s">
        <v>104</v>
      </c>
      <c r="C29" s="101">
        <v>0.1353181</v>
      </c>
    </row>
    <row r="30" spans="1:8" ht="15.75" customHeight="1" x14ac:dyDescent="0.25">
      <c r="B30" s="19" t="s">
        <v>2</v>
      </c>
      <c r="C30" s="101">
        <v>8.1906013999999999E-2</v>
      </c>
    </row>
    <row r="31" spans="1:8" ht="15.75" customHeight="1" x14ac:dyDescent="0.25">
      <c r="B31" s="19" t="s">
        <v>105</v>
      </c>
      <c r="C31" s="101">
        <v>6.5112185000000003E-2</v>
      </c>
    </row>
    <row r="32" spans="1:8" ht="15.75" customHeight="1" x14ac:dyDescent="0.25">
      <c r="B32" s="19" t="s">
        <v>106</v>
      </c>
      <c r="C32" s="101">
        <v>0.130658369</v>
      </c>
    </row>
    <row r="33" spans="2:3" ht="15.75" customHeight="1" x14ac:dyDescent="0.25">
      <c r="B33" s="19" t="s">
        <v>107</v>
      </c>
      <c r="C33" s="101">
        <v>0.127118964</v>
      </c>
    </row>
    <row r="34" spans="2:3" ht="15.75" customHeight="1" x14ac:dyDescent="0.25">
      <c r="B34" s="19" t="s">
        <v>108</v>
      </c>
      <c r="C34" s="101">
        <v>0.22434420299999999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+c8EZ8WTBnaMZYAFMYchpvWuwJ3bcEZdEOvR0pki+eTcRwBoFeR7IeRb6pQDKGVyX6cjAYTL/T5vldDUSXHcSQ==" saltValue="r8l9VbR6YQ7WFyGMBIYon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114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115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119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120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l1Y2OtPB1qMHYWZZIRnABUUuxfDcKYqEvWBmu2aaJvW/Er2KW9pL6PDG8+R/6etxVuWRwels7kx/cUsgJAbmQ==" saltValue="s9HRmSBtBOnPD0eVLU5X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132</v>
      </c>
      <c r="C5" s="52">
        <v>6.8789199999999995E-2</v>
      </c>
      <c r="D5" s="52">
        <v>0.16475770000000001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T3lLUvHWRgU51onq7PGMVMjoivBlCshloIKAHGKxK7nwSt5RF1O5QhCj1JbF/TSuD6jFkRc/e8SqhRaJjK4nRg==" saltValue="SBlfspJLztPL9zwPqeYV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ZtAL2hUIHl8HFsZSKjcxcQR/VvuACHlztjperi+UDLgwuqraM2CII4tl5TwcQFa0rrBUrFkWgD3HS6FrfaU+A==" saltValue="eFGQV9VyCicZw1A//2AD8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5Tg+po3X93/GNnnYy6aYMvBwe/dO5wMyJP6vSUzpQh3go+LWTJkXkwiVOasyB+d0D+zmmBoLRGpHM9PwgnfZew==" saltValue="j109C8czRtkKFsU/3NwZ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MqdqDCbWIX9ceM3rvzkTf8V7A+eExlkGx2v0q98AmXTC/AyQxfeig96eHgunkx3W2H+zJofbxD/l072sSHdyIA==" saltValue="oGtqcA0v4AUJNNK4KqgO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zYYeF77VNx50o8L8TWFVej3uxnR3C1XJ7vLYksE2aDgTXMvvR3ck4ndjtUyddzyDmPQHnDWv4aW2QWiwG11L8A==" saltValue="wR2NN13dTwZufzfEk7393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54.653082799861807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0.24204309631134699</v>
      </c>
      <c r="C3" s="98">
        <v>0.95</v>
      </c>
      <c r="D3" s="56">
        <v>39.804453792134552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361.46883569981048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5.5247082862578214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4.5260500000000002E-2</v>
      </c>
      <c r="C10" s="98">
        <v>0.95</v>
      </c>
      <c r="D10" s="56">
        <v>12.93675323593046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4.5260500000000002E-2</v>
      </c>
      <c r="C11" s="98">
        <v>0.95</v>
      </c>
      <c r="D11" s="56">
        <v>12.93675323593046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4.5260500000000002E-2</v>
      </c>
      <c r="C12" s="98">
        <v>0.95</v>
      </c>
      <c r="D12" s="56">
        <v>12.93675323593046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4.5260500000000002E-2</v>
      </c>
      <c r="C13" s="98">
        <v>0.95</v>
      </c>
      <c r="D13" s="56">
        <v>12.93675323593046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4.5260500000000002E-2</v>
      </c>
      <c r="C14" s="98">
        <v>0.95</v>
      </c>
      <c r="D14" s="56">
        <v>12.93675323593046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4.5260500000000002E-2</v>
      </c>
      <c r="C15" s="98">
        <v>0.95</v>
      </c>
      <c r="D15" s="56">
        <v>12.93675323593046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0.64351903582580905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0.40240117381545898</v>
      </c>
      <c r="C18" s="98">
        <v>0.95</v>
      </c>
      <c r="D18" s="56">
        <v>8.3490838120479509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0.93979709999999994</v>
      </c>
      <c r="C19" s="98">
        <v>0.95</v>
      </c>
      <c r="D19" s="56">
        <v>8.3490838120479509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0.99</v>
      </c>
      <c r="C21" s="98">
        <v>0.95</v>
      </c>
      <c r="D21" s="56">
        <v>48.402555773686338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22.285157611304289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4.2321962823102757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0.96616626263960892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4.5260500000000002E-2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18.478532540848281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0.82294700032909207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105.9420671559127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1.943813180751375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1.373975774619224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0.36308820000000003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0.36939440000000001</v>
      </c>
      <c r="C38" s="98">
        <v>0.95</v>
      </c>
      <c r="D38" s="56">
        <v>2.4094410013032479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wn5PZldQFOmyKv3m+O6v8/novVFXQqxlnrTz7EFuNJ84hxPZ5FYsdxioWU8fHXhXKFo9I7Zsy/cu8ovOaji48A==" saltValue="JAF3FreSkMEgSSuoGa1M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usty+aZxyGrFVeUkNSdVjPioWdZ+84m3jaOamQnGFWv3TROB1NJao/oRBIXXvOn/x5Ws+b//DtBaSqpRZgfAg==" saltValue="ZjVK0QGYkmpVY15AcDv3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edwhcqXPS45Fqzo6SycRLlt/CF4QZIiDO1QOD3v9/J6hhkiHJCHFJB/s5e3s1KEET5f3HMDATnrEwZr0HB8Sg==" saltValue="7OgWDJVCASvwSNueZgvg+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208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sheetProtection algorithmName="SHA-512" hashValue="ruzHsXrxMiIaQVYEZ0hNnNiUrsDPKTV9CbAigpiT2QfVMacz6ZWtjPM59Z96dnmnyjFupnW9iyk9dYkYAQaSZg==" saltValue="Knm5jQ6Zum8ojWX2lMz8R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2.1000000000000001E-2</v>
      </c>
      <c r="E2" s="60">
        <f>food_insecure</f>
        <v>2.1000000000000001E-2</v>
      </c>
      <c r="F2" s="60">
        <f>food_insecure</f>
        <v>2.1000000000000001E-2</v>
      </c>
      <c r="G2" s="60">
        <f>food_insecure</f>
        <v>2.1000000000000001E-2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2.1000000000000001E-2</v>
      </c>
      <c r="I15" s="60">
        <f>food_insecure</f>
        <v>2.1000000000000001E-2</v>
      </c>
      <c r="J15" s="60">
        <f>food_insecure</f>
        <v>2.1000000000000001E-2</v>
      </c>
      <c r="K15" s="60">
        <f>food_insecure</f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ht0Ns2ksbS76RwwZSx8mgf+xKn6pZxOFq5BdqF9doOlgRK8yIsdBHPhqHgBUqCQG7+522H3jNyW2Bh37gIjmA==" saltValue="I70xAzu/OzNhyCrCD1yP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6aEFWjrdaztfldARZubPsYMJIad4Lg0yi03uZP6NQAhx56XuTLQbznxGVfDzGQdCKnuXrafhsUDAvl0rBPZkdQ==" saltValue="KEFR/q3/PW4UrZOeJ14hu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Tzdg4ezThyp2dmLdE1DCLq/AJENYcjYgBXKiJepDapQ/Q+5941DrxIIDZfGnWyH2L2VnfC/hnKVAcLWuAbG0Q==" saltValue="fL11Bp8IRtMgQXnWYl7U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EhwItMSIJFoXN525XPjYnX8uGD+aNBzClTj6kaqfFl4o5ufspJOcB+yG4RA3cq4oORQYFCNdc0KUvRNQ9vaLQ==" saltValue="AYD7VQrIOgewRYI3KWjNm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S2nskDyJMfSYyuypVDQdlE6Wvk19raUFy84Ditalr2VfuYlMmH+nnq4/e5GEriu518mmdzIe4uDBNVszB5XeWg==" saltValue="hRGsRsuB/Nk7g6QeJzpM1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AJL22V4FDzc/HHUtkvshuaT2Xs9Guoij2uGCjzE1Gq3A5M0gHMV+3BKO7kMPwJIfKjTXCvCqNzqM9xec6BYl3g==" saltValue="y36vQlurHNAA9vPU5iyf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cFKTV4xx7IwFgHFaU0IyRj03vL5UZIYA01smcB5En7ZMLskSlkAsWXFn8AEKQDw3+FGOsjZ2NUPRFRQLW6ggoQ==" saltValue="JHKgyaN3FnBfHMrRj/uet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dkkIhb52MJKfyT9J2rKZpBbNl0T/EZgT2EzVKIru1XKKzrZzHJjvlEyNmeGDVLSnXowedR445Ls0eqFMFhvTw==" saltValue="ATtzmCeeTxdYeZGmqQgw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D0341jVI06mJdW+6XDL72I9EUM6BRroA45cTX6FS3XNvphalvSCgCpyVscJj15wbPzapj4sMott5R3BJ1wPyw==" saltValue="PeO3DO68pAaaVyF+au1N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ZL0gVm6F37VsOOF/5ydXsEHDTtW+KPk3t1WjhgbvqasTijlq+gKEf0vn/xZFepkFRdvNbs8zPBxr6ziigwvDw==" saltValue="lKGIqCef0Woz7RxLKofi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7gqbie+4J+BoAz/Ui9eMtgERWrdp7P/eiMlAEMgy18ZvVenT2NOiZCLVO0sORAxiqCgqLLr1ngeFhkJmS8MWg==" saltValue="n7tRkBbkidbgQcrhNhQI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3T+ibQqOaftecU9mXTghlQFV2xpHJZbQmr0ZU7DP1DPqxm0wVOtGwRL+2sBQOKYbPQasbsWaO6IDAiVlN9WmA==" saltValue="MyJhXQyzZSPA4eOlGCYb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dhnipMBO5MGs9FbO5npWBeYK7EV8nA6U92ncx3lWuNqEEMq6q42c5M3QAH7soHruLYMqRnz+N2oZ2rMnYLe8g==" saltValue="SnD7AWv24MXwow7hDxRP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ONT8j4XWMWqTdkOH3u2/hsHE5VyVTcpRR5bH3/z/NFcF5IaI5yLM6o9QgRAd38JDFN06svlSb68kdsKBrINng==" saltValue="HUB1KxUg8HVqtDEQkFul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YEIPG5q3LYw7hXOuQ+z+HEHerhkOtPs0zBBrK9NufviKvpy4ZLpEiw0ntWLD3ZSh45UeTTyewR9j2CUvF5JTQ==" saltValue="uKWhhxjdZSzQWqC99qLYc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2024-05-17T00:11:29Z</dcterms:modified>
</cp:coreProperties>
</file>