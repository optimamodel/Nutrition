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DCF26263-AD47-4AFF-A156-1A8D02C2A21F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<sst xmlns="http://schemas.openxmlformats.org/spreadsheetml/2006/main" count="2102" uniqueCount="337">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</sst>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1323554.78125</v>
      </c>
    </row>
    <row r="8" spans="1:3" ht="15" customHeight="1" x14ac:dyDescent="0.25">
      <c r="B8" s="5" t="s">
        <v>19</v>
      </c>
      <c r="C8" s="44">
        <v>0.498</v>
      </c>
    </row>
    <row r="9" spans="1:3" ht="15" customHeight="1" x14ac:dyDescent="0.25">
      <c r="B9" s="5" t="s">
        <v>20</v>
      </c>
      <c r="C9" s="45">
        <v>1</v>
      </c>
    </row>
    <row r="10" spans="1:3" ht="15" customHeight="1" x14ac:dyDescent="0.25">
      <c r="B10" s="5" t="s">
        <v>21</v>
      </c>
      <c r="C10" s="45">
        <v>0.33364898681640598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0.67900000000000005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0.10150000000000001</v>
      </c>
    </row>
    <row r="24" spans="1:3" ht="15" customHeight="1" x14ac:dyDescent="0.25">
      <c r="B24" s="15" t="s">
        <v>33</v>
      </c>
      <c r="C24" s="45">
        <v>0.48739999999999989</v>
      </c>
    </row>
    <row r="25" spans="1:3" ht="15" customHeight="1" x14ac:dyDescent="0.25">
      <c r="B25" s="15" t="s">
        <v>34</v>
      </c>
      <c r="C25" s="45">
        <v>0.33069999999999999</v>
      </c>
    </row>
    <row r="26" spans="1:3" ht="15" customHeight="1" x14ac:dyDescent="0.25">
      <c r="B26" s="15" t="s">
        <v>35</v>
      </c>
      <c r="C26" s="45">
        <v>8.0400000000000013E-2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0.23555809089780999</v>
      </c>
    </row>
    <row r="30" spans="1:3" ht="14.25" customHeight="1" x14ac:dyDescent="0.25">
      <c r="B30" s="25" t="s">
        <v>38</v>
      </c>
      <c r="C30" s="99">
        <v>3.4184984059818603E-2</v>
      </c>
    </row>
    <row r="31" spans="1:3" ht="14.25" customHeight="1" x14ac:dyDescent="0.25">
      <c r="B31" s="25" t="s">
        <v>39</v>
      </c>
      <c r="C31" s="99">
        <v>6.8897621814072496E-2</v>
      </c>
    </row>
    <row r="32" spans="1:3" ht="14.25" customHeight="1" x14ac:dyDescent="0.25">
      <c r="B32" s="25" t="s">
        <v>40</v>
      </c>
      <c r="C32" s="99">
        <v>0.66135930322829906</v>
      </c>
    </row>
    <row r="33" spans="1:5" ht="13" customHeight="1" x14ac:dyDescent="0.25">
      <c r="B33" s="27" t="s">
        <v>41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24.042400000000001</v>
      </c>
    </row>
    <row r="38" spans="1:5" ht="15" customHeight="1" x14ac:dyDescent="0.25">
      <c r="B38" s="11" t="s">
        <v>45</v>
      </c>
      <c r="C38" s="43">
        <v>43.35671</v>
      </c>
      <c r="D38" s="12"/>
      <c r="E38" s="13"/>
    </row>
    <row r="39" spans="1:5" ht="15" customHeight="1" x14ac:dyDescent="0.25">
      <c r="B39" s="11" t="s">
        <v>46</v>
      </c>
      <c r="C39" s="43">
        <v>62.60445</v>
      </c>
      <c r="D39" s="12"/>
      <c r="E39" s="12"/>
    </row>
    <row r="40" spans="1:5" ht="15" customHeight="1" x14ac:dyDescent="0.25">
      <c r="B40" s="11" t="s">
        <v>47</v>
      </c>
      <c r="C40" s="100">
        <v>3.99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20.872589999999999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7.9379999999999989E-3</v>
      </c>
      <c r="D45" s="12"/>
    </row>
    <row r="46" spans="1:5" ht="15.75" customHeight="1" x14ac:dyDescent="0.25">
      <c r="B46" s="11" t="s">
        <v>52</v>
      </c>
      <c r="C46" s="45">
        <v>8.529260000000001E-2</v>
      </c>
      <c r="D46" s="12"/>
    </row>
    <row r="47" spans="1:5" ht="15.75" customHeight="1" x14ac:dyDescent="0.25">
      <c r="B47" s="11" t="s">
        <v>53</v>
      </c>
      <c r="C47" s="45">
        <v>7.3451799999999998E-2</v>
      </c>
      <c r="D47" s="12"/>
      <c r="E47" s="13"/>
    </row>
    <row r="48" spans="1:5" ht="15" customHeight="1" x14ac:dyDescent="0.25">
      <c r="B48" s="11" t="s">
        <v>54</v>
      </c>
      <c r="C48" s="46">
        <v>0.83331759999999999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0.42155599999999999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0.16087605999999999</v>
      </c>
    </row>
    <row r="63" spans="1:4" ht="15.75" customHeight="1" x14ac:dyDescent="0.3">
      <c r="A63" s="4"/>
    </row>
  </sheetData>
  <sheetProtection algorithmName="SHA-512" hashValue="leDtIZA2jPPgxJtgBHa2+vm7mw8bgVlzCoF9ykKXQhK7SeFtXxvGrEheJdd7N8vp3TEqbVIYKmrcbRkhioM7uA==" saltValue="NxU8NBRzkaCOKRWCjlCj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284629</v>
      </c>
      <c r="C2" s="49">
        <v>592092.50000000012</v>
      </c>
      <c r="D2" s="49">
        <v>768076.5</v>
      </c>
      <c r="E2" s="49">
        <v>577717.5</v>
      </c>
      <c r="F2" s="49">
        <v>380112</v>
      </c>
      <c r="G2" s="17">
        <f t="shared" ref="G2:G13" si="0">C2+D2+E2+F2</f>
        <v>2317998.5</v>
      </c>
      <c r="H2" s="17">
        <f t="shared" ref="H2:H13" si="1">(B2 + stillbirth*B2/(1000-stillbirth))/(1-abortion)</f>
        <v>330337.0349468058</v>
      </c>
      <c r="I2" s="17">
        <f t="shared" ref="I2:I13" si="2">G2-H2</f>
        <v>1987661.4650531942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288578</v>
      </c>
      <c r="C3" s="50">
        <v>609174</v>
      </c>
      <c r="D3" s="50">
        <v>788384.5</v>
      </c>
      <c r="E3" s="50">
        <v>590757.5</v>
      </c>
      <c r="F3" s="50">
        <v>390511</v>
      </c>
      <c r="G3" s="17">
        <f t="shared" si="0"/>
        <v>2378827</v>
      </c>
      <c r="H3" s="17">
        <f t="shared" si="1"/>
        <v>334920.19741796982</v>
      </c>
      <c r="I3" s="17">
        <f t="shared" si="2"/>
        <v>2043906.8025820302</v>
      </c>
    </row>
    <row r="4" spans="1:9" ht="15.75" customHeight="1" x14ac:dyDescent="0.25">
      <c r="A4" s="5">
        <f t="shared" si="3"/>
        <v>2026</v>
      </c>
      <c r="B4" s="49">
        <v>292230</v>
      </c>
      <c r="C4" s="50">
        <v>624479.5</v>
      </c>
      <c r="D4" s="50">
        <v>810139.00000000012</v>
      </c>
      <c r="E4" s="50">
        <v>603882</v>
      </c>
      <c r="F4" s="50">
        <v>400762</v>
      </c>
      <c r="G4" s="17">
        <f t="shared" si="0"/>
        <v>2439262.5</v>
      </c>
      <c r="H4" s="17">
        <f t="shared" si="1"/>
        <v>339158.66521860054</v>
      </c>
      <c r="I4" s="17">
        <f t="shared" si="2"/>
        <v>2100103.8347813995</v>
      </c>
    </row>
    <row r="5" spans="1:9" ht="15.75" customHeight="1" x14ac:dyDescent="0.25">
      <c r="A5" s="5">
        <f t="shared" si="3"/>
        <v>2027</v>
      </c>
      <c r="B5" s="49">
        <v>295652</v>
      </c>
      <c r="C5" s="50">
        <v>637618.5</v>
      </c>
      <c r="D5" s="50">
        <v>833777.5</v>
      </c>
      <c r="E5" s="50">
        <v>617127.5</v>
      </c>
      <c r="F5" s="50">
        <v>410950.5</v>
      </c>
      <c r="G5" s="17">
        <f t="shared" si="0"/>
        <v>2499474</v>
      </c>
      <c r="H5" s="17">
        <f t="shared" si="1"/>
        <v>343130.19775248843</v>
      </c>
      <c r="I5" s="17">
        <f t="shared" si="2"/>
        <v>2156343.8022475117</v>
      </c>
    </row>
    <row r="6" spans="1:9" ht="15.75" customHeight="1" x14ac:dyDescent="0.25">
      <c r="A6" s="5">
        <f t="shared" si="3"/>
        <v>2028</v>
      </c>
      <c r="B6" s="49">
        <v>299710</v>
      </c>
      <c r="C6" s="50">
        <v>649249.5</v>
      </c>
      <c r="D6" s="50">
        <v>858575.5</v>
      </c>
      <c r="E6" s="50">
        <v>631026.5</v>
      </c>
      <c r="F6" s="50">
        <v>421288</v>
      </c>
      <c r="G6" s="17">
        <f t="shared" si="0"/>
        <v>2560139.5</v>
      </c>
      <c r="H6" s="17">
        <f t="shared" si="1"/>
        <v>347839.86432832619</v>
      </c>
      <c r="I6" s="17">
        <f t="shared" si="2"/>
        <v>2212299.6356716738</v>
      </c>
    </row>
    <row r="7" spans="1:9" ht="15.75" customHeight="1" x14ac:dyDescent="0.25">
      <c r="A7" s="5">
        <f t="shared" si="3"/>
        <v>2029</v>
      </c>
      <c r="B7" s="49">
        <v>305305</v>
      </c>
      <c r="C7" s="50">
        <v>659837.5</v>
      </c>
      <c r="D7" s="50">
        <v>883674</v>
      </c>
      <c r="E7" s="50">
        <v>646179</v>
      </c>
      <c r="F7" s="50">
        <v>431796</v>
      </c>
      <c r="G7" s="17">
        <f t="shared" si="0"/>
        <v>2621486.5</v>
      </c>
      <c r="H7" s="17">
        <f t="shared" si="1"/>
        <v>354333.3548388764</v>
      </c>
      <c r="I7" s="17">
        <f t="shared" si="2"/>
        <v>2267153.1451611235</v>
      </c>
    </row>
    <row r="8" spans="1:9" ht="15.75" customHeight="1" x14ac:dyDescent="0.25">
      <c r="A8" s="5">
        <f t="shared" si="3"/>
        <v>2030</v>
      </c>
      <c r="B8" s="49">
        <v>309803</v>
      </c>
      <c r="C8" s="50">
        <v>669460.49999999988</v>
      </c>
      <c r="D8" s="50">
        <v>909383</v>
      </c>
      <c r="E8" s="50">
        <v>662411</v>
      </c>
      <c r="F8" s="50">
        <v>442427</v>
      </c>
      <c r="G8" s="17">
        <f t="shared" si="0"/>
        <v>2683681.5</v>
      </c>
      <c r="H8" s="17">
        <f t="shared" si="1"/>
        <v>359553.68018587452</v>
      </c>
      <c r="I8" s="17">
        <f t="shared" si="2"/>
        <v>2324127.8198141255</v>
      </c>
    </row>
    <row r="9" spans="1:9" ht="15.75" customHeight="1" x14ac:dyDescent="0.25">
      <c r="A9" s="5">
        <f t="shared" si="3"/>
        <v>2031</v>
      </c>
      <c r="B9" s="49">
        <v>312774</v>
      </c>
      <c r="C9" s="50">
        <v>679026</v>
      </c>
      <c r="D9" s="50">
        <v>934839</v>
      </c>
      <c r="E9" s="50">
        <v>679550.00000000012</v>
      </c>
      <c r="F9" s="50">
        <v>453193</v>
      </c>
      <c r="G9" s="17">
        <f t="shared" si="0"/>
        <v>2746608</v>
      </c>
      <c r="H9" s="17">
        <f t="shared" si="1"/>
        <v>363001.78747932304</v>
      </c>
      <c r="I9" s="17">
        <f t="shared" si="2"/>
        <v>2383606.2125206771</v>
      </c>
    </row>
    <row r="10" spans="1:9" ht="15.75" customHeight="1" x14ac:dyDescent="0.25">
      <c r="A10" s="5">
        <f t="shared" si="3"/>
        <v>2032</v>
      </c>
      <c r="B10" s="49">
        <v>317742</v>
      </c>
      <c r="C10" s="50">
        <v>689190</v>
      </c>
      <c r="D10" s="50">
        <v>958975</v>
      </c>
      <c r="E10" s="50">
        <v>697711</v>
      </c>
      <c r="F10" s="50">
        <v>464167.5</v>
      </c>
      <c r="G10" s="17">
        <f t="shared" si="0"/>
        <v>2810043.5</v>
      </c>
      <c r="H10" s="17">
        <f t="shared" si="1"/>
        <v>368767.58924096974</v>
      </c>
      <c r="I10" s="17">
        <f t="shared" si="2"/>
        <v>2441275.9107590304</v>
      </c>
    </row>
    <row r="11" spans="1:9" ht="15.75" customHeight="1" x14ac:dyDescent="0.25">
      <c r="A11" s="5">
        <f t="shared" si="3"/>
        <v>2033</v>
      </c>
      <c r="B11" s="49">
        <v>321744</v>
      </c>
      <c r="C11" s="50">
        <v>699728</v>
      </c>
      <c r="D11" s="50">
        <v>982140.5</v>
      </c>
      <c r="E11" s="50">
        <v>716761.5</v>
      </c>
      <c r="F11" s="50">
        <v>475324.5</v>
      </c>
      <c r="G11" s="17">
        <f t="shared" si="0"/>
        <v>2873954.5</v>
      </c>
      <c r="H11" s="17">
        <f t="shared" si="1"/>
        <v>373412.26288229617</v>
      </c>
      <c r="I11" s="17">
        <f t="shared" si="2"/>
        <v>2500542.237117704</v>
      </c>
    </row>
    <row r="12" spans="1:9" ht="15.75" customHeight="1" x14ac:dyDescent="0.25">
      <c r="A12" s="5">
        <f t="shared" si="3"/>
        <v>2034</v>
      </c>
      <c r="B12" s="49">
        <v>325570</v>
      </c>
      <c r="C12" s="50">
        <v>710202.5</v>
      </c>
      <c r="D12" s="50">
        <v>1005113.5</v>
      </c>
      <c r="E12" s="50">
        <v>736208.00000000012</v>
      </c>
      <c r="F12" s="50">
        <v>486599.5</v>
      </c>
      <c r="G12" s="17">
        <f t="shared" si="0"/>
        <v>2938123.5</v>
      </c>
      <c r="H12" s="17">
        <f t="shared" si="1"/>
        <v>377852.67301515857</v>
      </c>
      <c r="I12" s="17">
        <f t="shared" si="2"/>
        <v>2560270.8269848414</v>
      </c>
    </row>
    <row r="13" spans="1:9" ht="15.75" customHeight="1" x14ac:dyDescent="0.25">
      <c r="A13" s="5">
        <f t="shared" si="3"/>
        <v>2035</v>
      </c>
      <c r="B13" s="49">
        <v>330172</v>
      </c>
      <c r="C13" s="50">
        <v>720422</v>
      </c>
      <c r="D13" s="50">
        <v>1027745</v>
      </c>
      <c r="E13" s="50">
        <v>756369.5</v>
      </c>
      <c r="F13" s="50">
        <v>498114</v>
      </c>
      <c r="G13" s="17">
        <f t="shared" si="0"/>
        <v>3002650.5</v>
      </c>
      <c r="H13" s="17">
        <f t="shared" si="1"/>
        <v>383193.69952624908</v>
      </c>
      <c r="I13" s="17">
        <f t="shared" si="2"/>
        <v>2619456.800473751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eUfc3XhIpo4LGhywgzsejokKnnh4HBv7aMy4ZKaqYJ4bgPrki9sGNRubi2++dgx4AFQn6jEGcwDFoVunx/JEfg==" saltValue="e+4AVA2xyX4tpfirsS+Vu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1.657067544407495E-2</v>
      </c>
    </row>
    <row r="4" spans="1:8" ht="15.75" customHeight="1" x14ac:dyDescent="0.25">
      <c r="B4" s="19" t="s">
        <v>79</v>
      </c>
      <c r="C4" s="101">
        <v>7.4120555470898866E-2</v>
      </c>
    </row>
    <row r="5" spans="1:8" ht="15.75" customHeight="1" x14ac:dyDescent="0.25">
      <c r="B5" s="19" t="s">
        <v>80</v>
      </c>
      <c r="C5" s="101">
        <v>0.1088008429259477</v>
      </c>
    </row>
    <row r="6" spans="1:8" ht="15.75" customHeight="1" x14ac:dyDescent="0.25">
      <c r="B6" s="19" t="s">
        <v>81</v>
      </c>
      <c r="C6" s="101">
        <v>0.25677873974801529</v>
      </c>
    </row>
    <row r="7" spans="1:8" ht="15.75" customHeight="1" x14ac:dyDescent="0.25">
      <c r="B7" s="19" t="s">
        <v>82</v>
      </c>
      <c r="C7" s="101">
        <v>0.36988411970846008</v>
      </c>
    </row>
    <row r="8" spans="1:8" ht="15.75" customHeight="1" x14ac:dyDescent="0.25">
      <c r="B8" s="19" t="s">
        <v>83</v>
      </c>
      <c r="C8" s="101">
        <v>2.8233694090527761E-3</v>
      </c>
    </row>
    <row r="9" spans="1:8" ht="15.75" customHeight="1" x14ac:dyDescent="0.25">
      <c r="B9" s="19" t="s">
        <v>84</v>
      </c>
      <c r="C9" s="101">
        <v>5.5443065754671679E-2</v>
      </c>
    </row>
    <row r="10" spans="1:8" ht="15.75" customHeight="1" x14ac:dyDescent="0.25">
      <c r="B10" s="19" t="s">
        <v>85</v>
      </c>
      <c r="C10" s="101">
        <v>0.1155786315388786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0.15073770571059761</v>
      </c>
      <c r="D14" s="55">
        <v>0.15073770571059761</v>
      </c>
      <c r="E14" s="55">
        <v>0.15073770571059761</v>
      </c>
      <c r="F14" s="55">
        <v>0.15073770571059761</v>
      </c>
    </row>
    <row r="15" spans="1:8" ht="15.75" customHeight="1" x14ac:dyDescent="0.25">
      <c r="B15" s="19" t="s">
        <v>88</v>
      </c>
      <c r="C15" s="101">
        <v>0.2246449483302744</v>
      </c>
      <c r="D15" s="101">
        <v>0.2246449483302744</v>
      </c>
      <c r="E15" s="101">
        <v>0.2246449483302744</v>
      </c>
      <c r="F15" s="101">
        <v>0.2246449483302744</v>
      </c>
    </row>
    <row r="16" spans="1:8" ht="15.75" customHeight="1" x14ac:dyDescent="0.25">
      <c r="B16" s="19" t="s">
        <v>89</v>
      </c>
      <c r="C16" s="101">
        <v>2.822839752136674E-2</v>
      </c>
      <c r="D16" s="101">
        <v>2.822839752136674E-2</v>
      </c>
      <c r="E16" s="101">
        <v>2.822839752136674E-2</v>
      </c>
      <c r="F16" s="101">
        <v>2.822839752136674E-2</v>
      </c>
    </row>
    <row r="17" spans="1:8" ht="15.75" customHeight="1" x14ac:dyDescent="0.25">
      <c r="B17" s="19" t="s">
        <v>90</v>
      </c>
      <c r="C17" s="101">
        <v>2.7112007522432147E-4</v>
      </c>
      <c r="D17" s="101">
        <v>2.7112007522432147E-4</v>
      </c>
      <c r="E17" s="101">
        <v>2.7112007522432147E-4</v>
      </c>
      <c r="F17" s="101">
        <v>2.7112007522432147E-4</v>
      </c>
    </row>
    <row r="18" spans="1:8" ht="15.75" customHeight="1" x14ac:dyDescent="0.25">
      <c r="B18" s="19" t="s">
        <v>91</v>
      </c>
      <c r="C18" s="101">
        <v>0.27503508057082687</v>
      </c>
      <c r="D18" s="101">
        <v>0.27503508057082687</v>
      </c>
      <c r="E18" s="101">
        <v>0.27503508057082687</v>
      </c>
      <c r="F18" s="101">
        <v>0.27503508057082687</v>
      </c>
    </row>
    <row r="19" spans="1:8" ht="15.75" customHeight="1" x14ac:dyDescent="0.25">
      <c r="B19" s="19" t="s">
        <v>92</v>
      </c>
      <c r="C19" s="101">
        <v>2.040962263752499E-2</v>
      </c>
      <c r="D19" s="101">
        <v>2.040962263752499E-2</v>
      </c>
      <c r="E19" s="101">
        <v>2.040962263752499E-2</v>
      </c>
      <c r="F19" s="101">
        <v>2.040962263752499E-2</v>
      </c>
    </row>
    <row r="20" spans="1:8" ht="15.75" customHeight="1" x14ac:dyDescent="0.25">
      <c r="B20" s="19" t="s">
        <v>93</v>
      </c>
      <c r="C20" s="101">
        <v>5.8000995162372573E-2</v>
      </c>
      <c r="D20" s="101">
        <v>5.8000995162372573E-2</v>
      </c>
      <c r="E20" s="101">
        <v>5.8000995162372573E-2</v>
      </c>
      <c r="F20" s="101">
        <v>5.8000995162372573E-2</v>
      </c>
    </row>
    <row r="21" spans="1:8" ht="15.75" customHeight="1" x14ac:dyDescent="0.25">
      <c r="B21" s="19" t="s">
        <v>94</v>
      </c>
      <c r="C21" s="101">
        <v>9.9798367117911957E-2</v>
      </c>
      <c r="D21" s="101">
        <v>9.9798367117911957E-2</v>
      </c>
      <c r="E21" s="101">
        <v>9.9798367117911957E-2</v>
      </c>
      <c r="F21" s="101">
        <v>9.9798367117911957E-2</v>
      </c>
    </row>
    <row r="22" spans="1:8" ht="15.75" customHeight="1" x14ac:dyDescent="0.25">
      <c r="B22" s="19" t="s">
        <v>95</v>
      </c>
      <c r="C22" s="101">
        <v>0.14287376287390041</v>
      </c>
      <c r="D22" s="101">
        <v>0.14287376287390041</v>
      </c>
      <c r="E22" s="101">
        <v>0.14287376287390041</v>
      </c>
      <c r="F22" s="101">
        <v>0.14287376287390041</v>
      </c>
    </row>
    <row r="23" spans="1:8" ht="15.75" customHeight="1" x14ac:dyDescent="0.25">
      <c r="B23" s="27" t="s">
        <v>41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8.6770851999999982E-2</v>
      </c>
    </row>
    <row r="27" spans="1:8" ht="15.75" customHeight="1" x14ac:dyDescent="0.25">
      <c r="B27" s="19" t="s">
        <v>102</v>
      </c>
      <c r="C27" s="101">
        <v>8.6437730000000004E-3</v>
      </c>
    </row>
    <row r="28" spans="1:8" ht="15.75" customHeight="1" x14ac:dyDescent="0.25">
      <c r="B28" s="19" t="s">
        <v>103</v>
      </c>
      <c r="C28" s="101">
        <v>0.153215352</v>
      </c>
    </row>
    <row r="29" spans="1:8" ht="15.75" customHeight="1" x14ac:dyDescent="0.25">
      <c r="B29" s="19" t="s">
        <v>104</v>
      </c>
      <c r="C29" s="101">
        <v>0.165097191</v>
      </c>
    </row>
    <row r="30" spans="1:8" ht="15.75" customHeight="1" x14ac:dyDescent="0.25">
      <c r="B30" s="19" t="s">
        <v>2</v>
      </c>
      <c r="C30" s="101">
        <v>0.10312302</v>
      </c>
    </row>
    <row r="31" spans="1:8" ht="15.75" customHeight="1" x14ac:dyDescent="0.25">
      <c r="B31" s="19" t="s">
        <v>105</v>
      </c>
      <c r="C31" s="101">
        <v>0.106218667</v>
      </c>
    </row>
    <row r="32" spans="1:8" ht="15.75" customHeight="1" x14ac:dyDescent="0.25">
      <c r="B32" s="19" t="s">
        <v>106</v>
      </c>
      <c r="C32" s="101">
        <v>1.8201770999999999E-2</v>
      </c>
    </row>
    <row r="33" spans="2:3" ht="15.75" customHeight="1" x14ac:dyDescent="0.25">
      <c r="B33" s="19" t="s">
        <v>107</v>
      </c>
      <c r="C33" s="101">
        <v>8.2691194999999981E-2</v>
      </c>
    </row>
    <row r="34" spans="2:3" ht="15.75" customHeight="1" x14ac:dyDescent="0.25">
      <c r="B34" s="19" t="s">
        <v>108</v>
      </c>
      <c r="C34" s="101">
        <v>0.27603818000000002</v>
      </c>
    </row>
    <row r="35" spans="2:3" ht="15.75" customHeight="1" x14ac:dyDescent="0.25">
      <c r="B35" s="27" t="s">
        <v>41</v>
      </c>
      <c r="C35" s="48">
        <f>SUM(C26:C34)</f>
        <v>1.0000000010000001</v>
      </c>
    </row>
  </sheetData>
  <sheetProtection algorithmName="SHA-512" hashValue="NM3rng4PcB4kmwFNc+CpuPgGT9zOXINnT7wy2S4MGvFdTSD5EwWGPXmyIttZ2LmS/xuTWxxQRB5aJizaOvhIdA==" saltValue="/EK1MBztMja+cU2L0QYpp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0.57919360397197361</v>
      </c>
      <c r="D2" s="52">
        <f>IFERROR(1-_xlfn.NORM.DIST(_xlfn.NORM.INV(SUM(D4:D5), 0, 1) + 1, 0, 1, TRUE), "")</f>
        <v>0.57919360397197361</v>
      </c>
      <c r="E2" s="52">
        <f>IFERROR(1-_xlfn.NORM.DIST(_xlfn.NORM.INV(SUM(E4:E5), 0, 1) + 1, 0, 1, TRUE), "")</f>
        <v>0.5463948001767307</v>
      </c>
      <c r="F2" s="52">
        <f>IFERROR(1-_xlfn.NORM.DIST(_xlfn.NORM.INV(SUM(F4:F5), 0, 1) + 1, 0, 1, TRUE), "")</f>
        <v>0.37279200832134851</v>
      </c>
      <c r="G2" s="52">
        <f>IFERROR(1-_xlfn.NORM.DIST(_xlfn.NORM.INV(SUM(G4:G5), 0, 1) + 1, 0, 1, TRUE), "")</f>
        <v>0.34714277559116313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0.30570389602802639</v>
      </c>
      <c r="D3" s="52">
        <f>IFERROR(_xlfn.NORM.DIST(_xlfn.NORM.INV(SUM(D4:D5), 0, 1) + 1, 0, 1, TRUE) - SUM(D4:D5), "")</f>
        <v>0.30570389602802639</v>
      </c>
      <c r="E3" s="52">
        <f>IFERROR(_xlfn.NORM.DIST(_xlfn.NORM.INV(SUM(E4:E5), 0, 1) + 1, 0, 1, TRUE) - SUM(E4:E5), "")</f>
        <v>0.32151349982326938</v>
      </c>
      <c r="F3" s="52">
        <f>IFERROR(_xlfn.NORM.DIST(_xlfn.NORM.INV(SUM(F4:F5), 0, 1) + 1, 0, 1, TRUE) - SUM(F4:F5), "")</f>
        <v>0.37753919167865146</v>
      </c>
      <c r="G3" s="52">
        <f>IFERROR(_xlfn.NORM.DIST(_xlfn.NORM.INV(SUM(G4:G5), 0, 1) + 1, 0, 1, TRUE) - SUM(G4:G5), "")</f>
        <v>0.38091652440883683</v>
      </c>
    </row>
    <row r="4" spans="1:15" ht="15.75" customHeight="1" x14ac:dyDescent="0.25">
      <c r="B4" s="5" t="s">
        <v>114</v>
      </c>
      <c r="C4" s="45">
        <v>8.1605000000000011E-2</v>
      </c>
      <c r="D4" s="53">
        <v>8.1605000000000011E-2</v>
      </c>
      <c r="E4" s="53">
        <v>0.1052949</v>
      </c>
      <c r="F4" s="53">
        <v>0.18231169999999999</v>
      </c>
      <c r="G4" s="53">
        <v>0.19312360000000001</v>
      </c>
    </row>
    <row r="5" spans="1:15" ht="15.75" customHeight="1" x14ac:dyDescent="0.25">
      <c r="B5" s="5" t="s">
        <v>115</v>
      </c>
      <c r="C5" s="45">
        <v>3.3497499999999999E-2</v>
      </c>
      <c r="D5" s="53">
        <v>3.3497499999999999E-2</v>
      </c>
      <c r="E5" s="53">
        <v>2.6796799999999999E-2</v>
      </c>
      <c r="F5" s="53">
        <v>6.7357100000000003E-2</v>
      </c>
      <c r="G5" s="53">
        <v>7.8817100000000001E-2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0.73361145467145561</v>
      </c>
      <c r="D8" s="52">
        <f>IFERROR(1-_xlfn.NORM.DIST(_xlfn.NORM.INV(SUM(D10:D11), 0, 1) + 1, 0, 1, TRUE), "")</f>
        <v>0.73361145467145561</v>
      </c>
      <c r="E8" s="52">
        <f>IFERROR(1-_xlfn.NORM.DIST(_xlfn.NORM.INV(SUM(E10:E11), 0, 1) + 1, 0, 1, TRUE), "")</f>
        <v>0.64267290186158221</v>
      </c>
      <c r="F8" s="52">
        <f>IFERROR(1-_xlfn.NORM.DIST(_xlfn.NORM.INV(SUM(F10:F11), 0, 1) + 1, 0, 1, TRUE), "")</f>
        <v>0.64945178546766857</v>
      </c>
      <c r="G8" s="52">
        <f>IFERROR(1-_xlfn.NORM.DIST(_xlfn.NORM.INV(SUM(G10:G11), 0, 1) + 1, 0, 1, TRUE), "")</f>
        <v>0.75907848725239124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0.21417634532854435</v>
      </c>
      <c r="D9" s="52">
        <f>IFERROR(_xlfn.NORM.DIST(_xlfn.NORM.INV(SUM(D10:D11), 0, 1) + 1, 0, 1, TRUE) - SUM(D10:D11), "")</f>
        <v>0.21417634532854435</v>
      </c>
      <c r="E9" s="52">
        <f>IFERROR(_xlfn.NORM.DIST(_xlfn.NORM.INV(SUM(E10:E11), 0, 1) + 1, 0, 1, TRUE) - SUM(E10:E11), "")</f>
        <v>0.27129679813841778</v>
      </c>
      <c r="F9" s="52">
        <f>IFERROR(_xlfn.NORM.DIST(_xlfn.NORM.INV(SUM(F10:F11), 0, 1) + 1, 0, 1, TRUE) - SUM(F10:F11), "")</f>
        <v>0.26734461453233144</v>
      </c>
      <c r="G9" s="52">
        <f>IFERROR(_xlfn.NORM.DIST(_xlfn.NORM.INV(SUM(G10:G11), 0, 1) + 1, 0, 1, TRUE) - SUM(G10:G11), "")</f>
        <v>0.1966694127476088</v>
      </c>
    </row>
    <row r="10" spans="1:15" ht="15.75" customHeight="1" x14ac:dyDescent="0.25">
      <c r="B10" s="5" t="s">
        <v>119</v>
      </c>
      <c r="C10" s="45">
        <v>2.8096699999999999E-2</v>
      </c>
      <c r="D10" s="53">
        <v>2.8096699999999999E-2</v>
      </c>
      <c r="E10" s="53">
        <v>6.3847899999999999E-2</v>
      </c>
      <c r="F10" s="53">
        <v>7.6616400000000001E-2</v>
      </c>
      <c r="G10" s="53">
        <v>3.5812400000000001E-2</v>
      </c>
    </row>
    <row r="11" spans="1:15" ht="15.75" customHeight="1" x14ac:dyDescent="0.25">
      <c r="B11" s="5" t="s">
        <v>120</v>
      </c>
      <c r="C11" s="45">
        <v>2.4115500000000002E-2</v>
      </c>
      <c r="D11" s="53">
        <v>2.4115500000000002E-2</v>
      </c>
      <c r="E11" s="53">
        <v>2.2182400000000001E-2</v>
      </c>
      <c r="F11" s="53">
        <v>6.5871999999999997E-3</v>
      </c>
      <c r="G11" s="53">
        <v>8.4396999999999996E-3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0.88048884075</v>
      </c>
      <c r="D14" s="54">
        <v>0.87291714786499996</v>
      </c>
      <c r="E14" s="54">
        <v>0.87291714786499996</v>
      </c>
      <c r="F14" s="54">
        <v>0.76156848676900002</v>
      </c>
      <c r="G14" s="54">
        <v>0.76156848676900002</v>
      </c>
      <c r="H14" s="45">
        <v>0.61399999999999999</v>
      </c>
      <c r="I14" s="55">
        <v>0.61399999999999999</v>
      </c>
      <c r="J14" s="55">
        <v>0.61399999999999999</v>
      </c>
      <c r="K14" s="55">
        <v>0.61399999999999999</v>
      </c>
      <c r="L14" s="45">
        <v>0.47699999999999998</v>
      </c>
      <c r="M14" s="55">
        <v>0.47699999999999998</v>
      </c>
      <c r="N14" s="55">
        <v>0.47699999999999998</v>
      </c>
      <c r="O14" s="55">
        <v>0.47699999999999998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0.37117535375120697</v>
      </c>
      <c r="D15" s="52">
        <f t="shared" si="0"/>
        <v>0.36798346118537789</v>
      </c>
      <c r="E15" s="52">
        <f t="shared" si="0"/>
        <v>0.36798346118537789</v>
      </c>
      <c r="F15" s="52">
        <f t="shared" si="0"/>
        <v>0.32104376500839255</v>
      </c>
      <c r="G15" s="52">
        <f t="shared" si="0"/>
        <v>0.32104376500839255</v>
      </c>
      <c r="H15" s="52">
        <f t="shared" si="0"/>
        <v>0.258835384</v>
      </c>
      <c r="I15" s="52">
        <f t="shared" si="0"/>
        <v>0.258835384</v>
      </c>
      <c r="J15" s="52">
        <f t="shared" si="0"/>
        <v>0.258835384</v>
      </c>
      <c r="K15" s="52">
        <f t="shared" si="0"/>
        <v>0.258835384</v>
      </c>
      <c r="L15" s="52">
        <f t="shared" si="0"/>
        <v>0.20108221199999998</v>
      </c>
      <c r="M15" s="52">
        <f t="shared" si="0"/>
        <v>0.20108221199999998</v>
      </c>
      <c r="N15" s="52">
        <f t="shared" si="0"/>
        <v>0.20108221199999998</v>
      </c>
      <c r="O15" s="52">
        <f t="shared" si="0"/>
        <v>0.20108221199999998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/JNS6d81MukSxv9T7Ln+PC81HjujyX15TPQYWddmBB4q3hwCf+6uXfNX3DAXr11e1t9524f4QCPEkegSEidxdg==" saltValue="edxAUFUqYSiWtj1EzJxm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0.85698930000000006</v>
      </c>
      <c r="D2" s="53">
        <v>0.61859039999999998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4.8051399999999987E-2</v>
      </c>
      <c r="D3" s="53">
        <v>0.16119710000000001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8.3939299999999994E-2</v>
      </c>
      <c r="D4" s="53">
        <v>0.21219060000000001</v>
      </c>
      <c r="E4" s="53">
        <v>0.97784219999999999</v>
      </c>
      <c r="F4" s="53">
        <v>0.79836010000000002</v>
      </c>
      <c r="G4" s="53">
        <v>0</v>
      </c>
    </row>
    <row r="5" spans="1:7" x14ac:dyDescent="0.25">
      <c r="B5" s="3" t="s">
        <v>132</v>
      </c>
      <c r="C5" s="52">
        <v>1.102E-2</v>
      </c>
      <c r="D5" s="52">
        <v>8.0219000000000002E-3</v>
      </c>
      <c r="E5" s="52">
        <f>1-SUM(E2:E4)</f>
        <v>2.2157800000000005E-2</v>
      </c>
      <c r="F5" s="52">
        <f>1-SUM(F2:F4)</f>
        <v>0.20163989999999998</v>
      </c>
      <c r="G5" s="52">
        <f>1-SUM(G2:G4)</f>
        <v>1</v>
      </c>
    </row>
  </sheetData>
  <sheetProtection algorithmName="SHA-512" hashValue="I2S9rdpY/iw00vcmyNFVyE35Fh5gGzVQjU5l/hXHWyozBYjHJ7Eoqla1d21CLAIwUg6XlAhQ+VGGwFOpewZF7Q==" saltValue="YlqT9KXHUj42HopOZ0Mv5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YslWePl8uWI5guNjxjC34MZf/hSuX+AEIF6HLkuvBAel0TA+FRw33EMq9lAeALJ1YVQK0IlzJWVB1nUQX1sZGQ==" saltValue="qFC5ksRsrRWQ0lNeBMNjV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Uk2VM7Nb+rbV40J0Cy33OdtipVVC92Nq77A6Br9jn37TqTx4bGn5U58cqwTp9nmrTRd5nDNwE3epy5oO21eEJw==" saltValue="JnAvjV176k9dZezIX2Anf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OdfZVwSKW590ibE2+lkQrKY7xkOmGrqHj//LXJ9/eEoZjtIt6PdMqJxUcEH+a6FCnU7QNLWHKXzK+HUURQleCA==" saltValue="rpBA7PU8berpnLj+7puic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gZxau6cQj2ddKI+Ecrj+y9dt7f/SFn111fQHrIYqO7/XWHpXDDNfPA6JtQ08xbO0BA4b9MunSyYziEOtNfErvQ==" saltValue="kFiAemT9NZQMALpeLdwhk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35.286531868543193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0.19669800138324001</v>
      </c>
      <c r="C3" s="98">
        <v>0.95</v>
      </c>
      <c r="D3" s="56">
        <v>44.645110031904643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57.846169364861282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0.15522933646183931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0.37144779999999999</v>
      </c>
      <c r="C10" s="98">
        <v>0.95</v>
      </c>
      <c r="D10" s="56">
        <v>14.170171901025009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0.37144779999999999</v>
      </c>
      <c r="C11" s="98">
        <v>0.95</v>
      </c>
      <c r="D11" s="56">
        <v>14.170171901025009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0.37144779999999999</v>
      </c>
      <c r="C12" s="98">
        <v>0.95</v>
      </c>
      <c r="D12" s="56">
        <v>14.170171901025009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0.37144779999999999</v>
      </c>
      <c r="C13" s="98">
        <v>0.95</v>
      </c>
      <c r="D13" s="56">
        <v>14.170171901025009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0.37144779999999999</v>
      </c>
      <c r="C14" s="98">
        <v>0.95</v>
      </c>
      <c r="D14" s="56">
        <v>14.170171901025009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0.37144779999999999</v>
      </c>
      <c r="C15" s="98">
        <v>0.95</v>
      </c>
      <c r="D15" s="56">
        <v>14.170171901025009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0.83</v>
      </c>
      <c r="C16" s="98">
        <v>0.95</v>
      </c>
      <c r="D16" s="56">
        <v>0.22645423336558179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0.107333333333333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0.10070697464047</v>
      </c>
      <c r="C18" s="98">
        <v>0.95</v>
      </c>
      <c r="D18" s="56">
        <v>1.4408777640412029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0.19197639999999999</v>
      </c>
      <c r="C19" s="98">
        <v>0.95</v>
      </c>
      <c r="D19" s="56">
        <v>1.4408777640412029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0.30379200000000001</v>
      </c>
      <c r="C21" s="98">
        <v>0.95</v>
      </c>
      <c r="D21" s="56">
        <v>1.33337149951185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24.144360821115921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4.6467238358608798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0.60380408565823995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0.37144779999999999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20.475417278229141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0.63168587413639998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61.740822968925912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0.96</v>
      </c>
      <c r="C31" s="98">
        <v>0.95</v>
      </c>
      <c r="D31" s="56">
        <v>0.95248474388694404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0.42565395189955457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0.96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0.1860724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0.13601840000000001</v>
      </c>
      <c r="C38" s="98">
        <v>0.95</v>
      </c>
      <c r="D38" s="56">
        <v>5.316248687042834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BB1OV9PI8EvWdzN+58B/2AMP4iQPPydSAd86LDGeKNvFSctUuA7fJnbbqfjJ7/aKorwVEGGe3G11Yp+N7pBHqg==" saltValue="7U3QMZD5Eak2gRAJJsFM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Auo29vpXxwf7xa9y5ZsEXmSit4g6q/M8ITSZSLtqW8fETPzHq78dDu6qlVALbc8FSXX41rQ5TOAa62BgAmjGQ==" saltValue="QZVmPKs8zTPAf0wKNl//S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KH4TpFcAdmKNbeG9XTcodvIfzuUy9TPiGaoHnDb7P6+JbN2TnsHBtOOpJkikHhysdf5eUNJpl9yAkplqjwyJnQ==" saltValue="ju/NLdP6zw1WuPW9nqEYQ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7.3051420000000006E-2</v>
      </c>
      <c r="C3" s="21">
        <f>frac_mam_1_5months * 2.6</f>
        <v>7.3051420000000006E-2</v>
      </c>
      <c r="D3" s="21">
        <f>frac_mam_6_11months * 2.6</f>
        <v>0.16600454000000001</v>
      </c>
      <c r="E3" s="21">
        <f>frac_mam_12_23months * 2.6</f>
        <v>0.19920264000000001</v>
      </c>
      <c r="F3" s="21">
        <f>frac_mam_24_59months * 2.6</f>
        <v>9.3112240000000013E-2</v>
      </c>
    </row>
    <row r="4" spans="1:6" ht="15.75" customHeight="1" x14ac:dyDescent="0.25">
      <c r="A4" s="3" t="s">
        <v>208</v>
      </c>
      <c r="B4" s="21">
        <f>frac_sam_1month * 2.6</f>
        <v>6.27003E-2</v>
      </c>
      <c r="C4" s="21">
        <f>frac_sam_1_5months * 2.6</f>
        <v>6.27003E-2</v>
      </c>
      <c r="D4" s="21">
        <f>frac_sam_6_11months * 2.6</f>
        <v>5.7674240000000009E-2</v>
      </c>
      <c r="E4" s="21">
        <f>frac_sam_12_23months * 2.6</f>
        <v>1.7126719999999998E-2</v>
      </c>
      <c r="F4" s="21">
        <f>frac_sam_24_59months * 2.6</f>
        <v>2.1943219999999999E-2</v>
      </c>
    </row>
  </sheetData>
  <sheetProtection algorithmName="SHA-512" hashValue="/K3XLkssOnVOUoaGppU+H3WiT13bTSVoX5cvWqLV0AEf0o9UHc7DfUM28kIsGiCJ76TZJBavbwaZVjImcNmQ7g==" saltValue="axmANx4uVoddiRrgdMm5o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0.498</v>
      </c>
      <c r="E2" s="60">
        <f>food_insecure</f>
        <v>0.498</v>
      </c>
      <c r="F2" s="60">
        <f>food_insecure</f>
        <v>0.498</v>
      </c>
      <c r="G2" s="60">
        <f>food_insecure</f>
        <v>0.498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0.498</v>
      </c>
      <c r="F5" s="60">
        <f>food_insecure</f>
        <v>0.498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0.498</v>
      </c>
      <c r="F8" s="60">
        <f>food_insecure</f>
        <v>0.498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0.498</v>
      </c>
      <c r="F9" s="60">
        <f>food_insecure</f>
        <v>0.498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0.498</v>
      </c>
      <c r="I15" s="60">
        <f>food_insecure</f>
        <v>0.498</v>
      </c>
      <c r="J15" s="60">
        <f>food_insecure</f>
        <v>0.498</v>
      </c>
      <c r="K15" s="60">
        <f>food_insecure</f>
        <v>0.498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0.67900000000000005</v>
      </c>
      <c r="M24" s="60">
        <f>famplan_unmet_need</f>
        <v>0.67900000000000005</v>
      </c>
      <c r="N24" s="60">
        <f>famplan_unmet_need</f>
        <v>0.67900000000000005</v>
      </c>
      <c r="O24" s="60">
        <f>famplan_unmet_need</f>
        <v>0.67900000000000005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0.39619898541870135</v>
      </c>
      <c r="M25" s="60">
        <f>(1-food_insecure)*(0.49)+food_insecure*(0.7)</f>
        <v>0.59458</v>
      </c>
      <c r="N25" s="60">
        <f>(1-food_insecure)*(0.49)+food_insecure*(0.7)</f>
        <v>0.59458</v>
      </c>
      <c r="O25" s="60">
        <f>(1-food_insecure)*(0.49)+food_insecure*(0.7)</f>
        <v>0.59458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0.16979956517944345</v>
      </c>
      <c r="M26" s="60">
        <f>(1-food_insecure)*(0.21)+food_insecure*(0.3)</f>
        <v>0.25481999999999999</v>
      </c>
      <c r="N26" s="60">
        <f>(1-food_insecure)*(0.21)+food_insecure*(0.3)</f>
        <v>0.25481999999999999</v>
      </c>
      <c r="O26" s="60">
        <f>(1-food_insecure)*(0.21)+food_insecure*(0.3)</f>
        <v>0.25481999999999999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0.10035246258544925</v>
      </c>
      <c r="M27" s="60">
        <f>(1-food_insecure)*(0.3)</f>
        <v>0.15059999999999998</v>
      </c>
      <c r="N27" s="60">
        <f>(1-food_insecure)*(0.3)</f>
        <v>0.15059999999999998</v>
      </c>
      <c r="O27" s="60">
        <f>(1-food_insecure)*(0.3)</f>
        <v>0.15059999999999998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0.33364898681640598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AeW+PMqwJv0p7Qvs2ooQG0DycComKxN2Cx7KkmDfGtBd3qx//20e8q5Gq3D2y5gywKNP/qMqAVm55iOZzrgnuQ==" saltValue="mk3+LTDOAEfHuzolPhySa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Ta4UipexJtJQEBW/Hy/NTSbrPnLGJgHZCIGhAAZtp0qkR+cRc7euWaCAJaqRQku/AMz5lKekmCo3VBho+BMBoQ==" saltValue="40my+XPFWRTNaVuRqMBe5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cxOw97VwPJu8L8gAlALkJiLzqQUR6GebZC2iGOLQnl2Y5YX/fQJXmcx/SOS8ocAM2xAE7X7od7JIwsJX2zI6Jg==" saltValue="f+jRxj6kZM7Fsx0dGKeQp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Ur6BT9sPzDFsM36ZdMhOAu3Yrti6jGTzfdWN3krPklSNlIcK0lzPmbbEkgGM68yVJQCI8wD/4Z5vn0jQtatJBg==" saltValue="EIdluP0qbpq684O1nLRI4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WYpQZSqIxGs4P1iizdELWP4XIsCYdwfHOq0uhJYldsRWl1b+LU0QTvFtwOts6VQjf4rzpevPFgsyFuTLyKHPpA==" saltValue="EucBpf+fwWfnR8DwqkSFu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CNpxY1tGfqypPwO1PKZj2pqa8Mx5LR6gYEa7gETlv8ZGyUX+eo9MAyynrrS7JaA/GVQAfCgAwjU0X+FOGyyWkQ==" saltValue="cbPaFTzKWrpn+vR0/DI9S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z4oGEW1E6sxc1ygLArgqx4buy995tu3C4NsBi0v+BrQYokPhXd+7PCWNY+BXA2p6pigzJrufQyACiuhCuO2pNA==" saltValue="OeY2gEqbz3K8AgqysOP8V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+HI3cf8PODIJLQmEbXsAdcPd0zw8GYQzPcaLPdDLMCxo4RlL5IESsTA/FEmGWkRaZToLuLxi123/S+HCtGmyxg==" saltValue="rFcJIFKe7tBgrpjH17NO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MlPTy/m31zS05TuNhl8DIr25ppmjbWIY1eDuccge0S6nWGkqidUQylbDahDlyZvfO6QIfSGHA+i4ZHhTgBGFpw==" saltValue="Qx6V1ks5C224mN/r6GVl7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WFqsqnZeemKZHE/ofMPUrSTWH4nKcOr37UnKDBHXpZBCLHi18yR7CJwD0Kwfw/kWDsI4gZH4w5hJgQUVi9T9bQ==" saltValue="tBEXbWfb6b3meCK4fDpk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oms3KWU/wsYEfca5lTzfN/OkP9Leqmr9lpTIJGPAmPr3BDxKsM67buifiXcpmhObr54F/2K33qPGeN28j8r0tw==" saltValue="XnRh3rP7rbAUV6aIPLij/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b2Aht/WD+GMSzMy5D7s7tZypBISx3yXkLxlLDR6s47HwXu4pZZbBgFieh3lxYpU/JrqbYYEFnulE4TUs5zC3GQ==" saltValue="4YMTbgx2SxEToIxMbyxz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JQctWLYe6yqjGd4IZ4nSs9UgzQu5NYB+2eEjOHP8qnFa0KflbUro/mSZeHCtumnZKgtodwS9tnRZbnr4UyrhIA==" saltValue="Qbr3M6N1VtBNVrT4a0BiQ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WKdbBP6FTI0DHIAvr5ZRmxmFy8xxa4+qglIcdbrznW4eP077x9ELGw1H15WDSO8gXQ6dHyyyysbayveZT2bmAw==" saltValue="cqJF5+fxMBjwHZONSvkW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t+ZswBf1+ThDHxxci8q49dp1CgOa9s8JSrRDIMPZVmFiZy6DP3RMowRKhzGHXITKMtMNf01xj9+bwoeBmqpORQ==" saltValue="mA5Ed/UnrCWDa2i2vuHMv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2024-05-17T00:56:15Z</dcterms:modified>
</cp:coreProperties>
</file>