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588F3522-1839-43D7-9616-F14A918B0AA2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2" i="2" l="1"/>
  <c r="A31" i="2"/>
  <c r="A36" i="2"/>
  <c r="A26" i="2"/>
  <c r="I39" i="2"/>
  <c r="A34" i="2"/>
  <c r="A40" i="2"/>
  <c r="I2" i="2"/>
  <c r="I6" i="2"/>
  <c r="A19" i="2"/>
  <c r="A35" i="2"/>
  <c r="I3" i="2"/>
  <c r="A23" i="2"/>
  <c r="A37" i="2"/>
  <c r="A24" i="2"/>
  <c r="I38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<sst xmlns="http://schemas.openxmlformats.org/spreadsheetml/2006/main" count="2169" uniqueCount="369">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</sst>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1356700</v>
      </c>
    </row>
    <row r="8" spans="1:3" ht="15" customHeight="1" x14ac:dyDescent="0.25">
      <c r="B8" s="5" t="s">
        <v>37</v>
      </c>
      <c r="C8" s="44">
        <v>0.60399999999999998</v>
      </c>
    </row>
    <row r="9" spans="1:3" ht="15" customHeight="1" x14ac:dyDescent="0.25">
      <c r="B9" s="5" t="s">
        <v>38</v>
      </c>
      <c r="C9" s="45">
        <v>1</v>
      </c>
    </row>
    <row r="10" spans="1:3" ht="15" customHeight="1" x14ac:dyDescent="0.25">
      <c r="B10" s="5" t="s">
        <v>39</v>
      </c>
      <c r="C10" s="45">
        <v>0.33452150000000003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0.33600000000000002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0.10150000000000001</v>
      </c>
    </row>
    <row r="24" spans="1:3" ht="15" customHeight="1" x14ac:dyDescent="0.25">
      <c r="B24" s="15" t="s">
        <v>51</v>
      </c>
      <c r="C24" s="45">
        <v>0.48739999999999989</v>
      </c>
    </row>
    <row r="25" spans="1:3" ht="15" customHeight="1" x14ac:dyDescent="0.25">
      <c r="B25" s="15" t="s">
        <v>52</v>
      </c>
      <c r="C25" s="45">
        <v>0.33069999999999999</v>
      </c>
    </row>
    <row r="26" spans="1:3" ht="15" customHeight="1" x14ac:dyDescent="0.25">
      <c r="B26" s="15" t="s">
        <v>53</v>
      </c>
      <c r="C26" s="45">
        <v>8.0400000000000013E-2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0.23555809089780999</v>
      </c>
    </row>
    <row r="30" spans="1:3" ht="14.25" customHeight="1" x14ac:dyDescent="0.25">
      <c r="B30" s="25" t="s">
        <v>56</v>
      </c>
      <c r="C30" s="97">
        <v>3.4184984059818603E-2</v>
      </c>
    </row>
    <row r="31" spans="1:3" ht="14.25" customHeight="1" x14ac:dyDescent="0.25">
      <c r="B31" s="25" t="s">
        <v>57</v>
      </c>
      <c r="C31" s="97">
        <v>6.8897621814072496E-2</v>
      </c>
    </row>
    <row r="32" spans="1:3" ht="14.25" customHeight="1" x14ac:dyDescent="0.25">
      <c r="B32" s="25" t="s">
        <v>58</v>
      </c>
      <c r="C32" s="97">
        <v>0.66135930322829906</v>
      </c>
    </row>
    <row r="33" spans="1:5" ht="13.25" customHeight="1" x14ac:dyDescent="0.25">
      <c r="B33" s="27" t="s">
        <v>59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24.042400000000001</v>
      </c>
    </row>
    <row r="38" spans="1:5" ht="15" customHeight="1" x14ac:dyDescent="0.25">
      <c r="B38" s="11" t="s">
        <v>63</v>
      </c>
      <c r="C38" s="43">
        <v>43.35671</v>
      </c>
      <c r="D38" s="12"/>
      <c r="E38" s="13"/>
    </row>
    <row r="39" spans="1:5" ht="15" customHeight="1" x14ac:dyDescent="0.25">
      <c r="B39" s="11" t="s">
        <v>64</v>
      </c>
      <c r="C39" s="43">
        <v>62.60445</v>
      </c>
      <c r="D39" s="12"/>
      <c r="E39" s="12"/>
    </row>
    <row r="40" spans="1:5" ht="15" customHeight="1" x14ac:dyDescent="0.25">
      <c r="B40" s="11" t="s">
        <v>65</v>
      </c>
      <c r="C40" s="98">
        <v>3.99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20.872589999999999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7.9379999999999989E-3</v>
      </c>
      <c r="D45" s="12"/>
    </row>
    <row r="46" spans="1:5" ht="15.75" customHeight="1" x14ac:dyDescent="0.25">
      <c r="B46" s="11" t="s">
        <v>70</v>
      </c>
      <c r="C46" s="45">
        <v>8.529260000000001E-2</v>
      </c>
      <c r="D46" s="12"/>
    </row>
    <row r="47" spans="1:5" ht="15.75" customHeight="1" x14ac:dyDescent="0.25">
      <c r="B47" s="11" t="s">
        <v>71</v>
      </c>
      <c r="C47" s="45">
        <v>7.3451799999999998E-2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2.3660000000000001</v>
      </c>
      <c r="D51" s="12"/>
    </row>
    <row r="52" spans="1:4" ht="15" customHeight="1" x14ac:dyDescent="0.25">
      <c r="B52" s="11" t="s">
        <v>75</v>
      </c>
      <c r="C52" s="98">
        <v>2.3660000000000001</v>
      </c>
    </row>
    <row r="53" spans="1:4" ht="15.75" customHeight="1" x14ac:dyDescent="0.25">
      <c r="B53" s="11" t="s">
        <v>76</v>
      </c>
      <c r="C53" s="98">
        <v>5.8760000000000003</v>
      </c>
    </row>
    <row r="54" spans="1:4" ht="15.75" customHeight="1" x14ac:dyDescent="0.25">
      <c r="B54" s="11" t="s">
        <v>77</v>
      </c>
      <c r="C54" s="98">
        <v>5.72</v>
      </c>
    </row>
    <row r="55" spans="1:4" ht="15.75" customHeight="1" x14ac:dyDescent="0.25">
      <c r="B55" s="11" t="s">
        <v>78</v>
      </c>
      <c r="C55" s="98">
        <v>3.0680000000000001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0.42155599999999999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0.16087605999999999</v>
      </c>
    </row>
    <row r="63" spans="1:4" ht="15.75" customHeight="1" x14ac:dyDescent="0.3">
      <c r="A63" s="4"/>
    </row>
  </sheetData>
  <sheetProtection algorithmName="SHA-512" hashValue="hV0R/gr0gxbtY6B+MJPlSJg0Z+P6HoBsI5FXWrc5h0htM8kqc3k0nA7njJoeS+9kV0QJI8OasuvWQd9X2+mcRg==" saltValue="NZx8WyZiURF0vsaCD+4O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292572</v>
      </c>
      <c r="C2" s="49">
        <v>498130.5</v>
      </c>
      <c r="D2" s="49">
        <v>775304.5</v>
      </c>
      <c r="E2" s="49">
        <v>590344</v>
      </c>
      <c r="F2" s="49">
        <v>442338.5</v>
      </c>
      <c r="G2" s="17">
        <f t="shared" ref="G2:G13" si="0">C2+D2+E2+F2</f>
        <v>2306117.5</v>
      </c>
      <c r="H2" s="17">
        <f t="shared" ref="H2:H13" si="1">(B2 + stillbirth*B2/(1000-stillbirth))/(1-abortion)</f>
        <v>339555.5863543661</v>
      </c>
      <c r="I2" s="17">
        <f t="shared" ref="I2:I13" si="2">G2-H2</f>
        <v>1966561.913645634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296051</v>
      </c>
      <c r="C3" s="50">
        <v>515561.5</v>
      </c>
      <c r="D3" s="50">
        <v>793322</v>
      </c>
      <c r="E3" s="50">
        <v>602511</v>
      </c>
      <c r="F3" s="50">
        <v>453302.5</v>
      </c>
      <c r="G3" s="17">
        <f t="shared" si="0"/>
        <v>2364697</v>
      </c>
      <c r="H3" s="17">
        <f t="shared" si="1"/>
        <v>343593.27241088159</v>
      </c>
      <c r="I3" s="17">
        <f t="shared" si="2"/>
        <v>2021103.7275891183</v>
      </c>
    </row>
    <row r="4" spans="1:9" ht="15.75" customHeight="1" x14ac:dyDescent="0.25">
      <c r="A4" s="5">
        <f t="shared" si="3"/>
        <v>2026</v>
      </c>
      <c r="B4" s="49">
        <v>299393</v>
      </c>
      <c r="C4" s="50">
        <v>531576</v>
      </c>
      <c r="D4" s="50">
        <v>813768</v>
      </c>
      <c r="E4" s="50">
        <v>614650</v>
      </c>
      <c r="F4" s="50">
        <v>464217</v>
      </c>
      <c r="G4" s="17">
        <f t="shared" si="0"/>
        <v>2424211</v>
      </c>
      <c r="H4" s="17">
        <f t="shared" si="1"/>
        <v>347471.95789546758</v>
      </c>
      <c r="I4" s="17">
        <f t="shared" si="2"/>
        <v>2076739.0421045325</v>
      </c>
    </row>
    <row r="5" spans="1:9" ht="15.75" customHeight="1" x14ac:dyDescent="0.25">
      <c r="A5" s="5">
        <f t="shared" si="3"/>
        <v>2027</v>
      </c>
      <c r="B5" s="49">
        <v>303269</v>
      </c>
      <c r="C5" s="50">
        <v>544477</v>
      </c>
      <c r="D5" s="50">
        <v>836771</v>
      </c>
      <c r="E5" s="50">
        <v>626755.5</v>
      </c>
      <c r="F5" s="50">
        <v>475269</v>
      </c>
      <c r="G5" s="17">
        <f t="shared" si="0"/>
        <v>2483272.5</v>
      </c>
      <c r="H5" s="17">
        <f t="shared" si="1"/>
        <v>351970.39743414358</v>
      </c>
      <c r="I5" s="17">
        <f t="shared" si="2"/>
        <v>2131302.1025658567</v>
      </c>
    </row>
    <row r="6" spans="1:9" ht="15.75" customHeight="1" x14ac:dyDescent="0.25">
      <c r="A6" s="5">
        <f t="shared" si="3"/>
        <v>2028</v>
      </c>
      <c r="B6" s="49">
        <v>306682</v>
      </c>
      <c r="C6" s="50">
        <v>554401</v>
      </c>
      <c r="D6" s="50">
        <v>861542.5</v>
      </c>
      <c r="E6" s="50">
        <v>639119</v>
      </c>
      <c r="F6" s="50">
        <v>486403</v>
      </c>
      <c r="G6" s="17">
        <f t="shared" si="0"/>
        <v>2541465.5</v>
      </c>
      <c r="H6" s="17">
        <f t="shared" si="1"/>
        <v>355931.48467498494</v>
      </c>
      <c r="I6" s="17">
        <f t="shared" si="2"/>
        <v>2185534.0153250149</v>
      </c>
    </row>
    <row r="7" spans="1:9" ht="15.75" customHeight="1" x14ac:dyDescent="0.25">
      <c r="A7" s="5">
        <f t="shared" si="3"/>
        <v>2029</v>
      </c>
      <c r="B7" s="49">
        <v>310615</v>
      </c>
      <c r="C7" s="50">
        <v>562372</v>
      </c>
      <c r="D7" s="50">
        <v>887636.50000000012</v>
      </c>
      <c r="E7" s="50">
        <v>652332.5</v>
      </c>
      <c r="F7" s="50">
        <v>497581</v>
      </c>
      <c r="G7" s="17">
        <f t="shared" si="0"/>
        <v>2599922</v>
      </c>
      <c r="H7" s="17">
        <f t="shared" si="1"/>
        <v>360496.0777362886</v>
      </c>
      <c r="I7" s="17">
        <f t="shared" si="2"/>
        <v>2239425.9222637112</v>
      </c>
    </row>
    <row r="8" spans="1:9" ht="15.75" customHeight="1" x14ac:dyDescent="0.25">
      <c r="A8" s="5">
        <f t="shared" si="3"/>
        <v>2030</v>
      </c>
      <c r="B8" s="49">
        <v>314726</v>
      </c>
      <c r="C8" s="50">
        <v>569153</v>
      </c>
      <c r="D8" s="50">
        <v>915197.5</v>
      </c>
      <c r="E8" s="50">
        <v>666593.5</v>
      </c>
      <c r="F8" s="50">
        <v>508981.5</v>
      </c>
      <c r="G8" s="17">
        <f t="shared" si="0"/>
        <v>2659925.5</v>
      </c>
      <c r="H8" s="17">
        <f t="shared" si="1"/>
        <v>365267.25548228889</v>
      </c>
      <c r="I8" s="17">
        <f t="shared" si="2"/>
        <v>2294658.244517711</v>
      </c>
    </row>
    <row r="9" spans="1:9" ht="15.75" customHeight="1" x14ac:dyDescent="0.25">
      <c r="A9" s="5">
        <f t="shared" si="3"/>
        <v>2031</v>
      </c>
      <c r="B9" s="49">
        <v>319325</v>
      </c>
      <c r="C9" s="50">
        <v>576288.5</v>
      </c>
      <c r="D9" s="50">
        <v>942964.5</v>
      </c>
      <c r="E9" s="50">
        <v>681906</v>
      </c>
      <c r="F9" s="50">
        <v>520640</v>
      </c>
      <c r="G9" s="17">
        <f t="shared" si="0"/>
        <v>2721799</v>
      </c>
      <c r="H9" s="17">
        <f t="shared" si="1"/>
        <v>370604.80022903066</v>
      </c>
      <c r="I9" s="17">
        <f t="shared" si="2"/>
        <v>2351194.1997709693</v>
      </c>
    </row>
    <row r="10" spans="1:9" ht="15.75" customHeight="1" x14ac:dyDescent="0.25">
      <c r="A10" s="5">
        <f t="shared" si="3"/>
        <v>2032</v>
      </c>
      <c r="B10" s="49">
        <v>323844</v>
      </c>
      <c r="C10" s="50">
        <v>584723</v>
      </c>
      <c r="D10" s="50">
        <v>969230</v>
      </c>
      <c r="E10" s="50">
        <v>698012.5</v>
      </c>
      <c r="F10" s="50">
        <v>532440.49999999988</v>
      </c>
      <c r="G10" s="17">
        <f t="shared" si="0"/>
        <v>2784406</v>
      </c>
      <c r="H10" s="17">
        <f t="shared" si="1"/>
        <v>375849.49792647053</v>
      </c>
      <c r="I10" s="17">
        <f t="shared" si="2"/>
        <v>2408556.5020735296</v>
      </c>
    </row>
    <row r="11" spans="1:9" ht="15.75" customHeight="1" x14ac:dyDescent="0.25">
      <c r="A11" s="5">
        <f t="shared" si="3"/>
        <v>2033</v>
      </c>
      <c r="B11" s="49">
        <v>327524</v>
      </c>
      <c r="C11" s="50">
        <v>593967.5</v>
      </c>
      <c r="D11" s="50">
        <v>993949.5</v>
      </c>
      <c r="E11" s="50">
        <v>714622.5</v>
      </c>
      <c r="F11" s="50">
        <v>544378.5</v>
      </c>
      <c r="G11" s="17">
        <f t="shared" si="0"/>
        <v>2846918</v>
      </c>
      <c r="H11" s="17">
        <f t="shared" si="1"/>
        <v>380120.46219435695</v>
      </c>
      <c r="I11" s="17">
        <f t="shared" si="2"/>
        <v>2466797.5378056429</v>
      </c>
    </row>
    <row r="12" spans="1:9" ht="15.75" customHeight="1" x14ac:dyDescent="0.25">
      <c r="A12" s="5">
        <f t="shared" si="3"/>
        <v>2034</v>
      </c>
      <c r="B12" s="49">
        <v>331326</v>
      </c>
      <c r="C12" s="50">
        <v>603208</v>
      </c>
      <c r="D12" s="50">
        <v>1018116</v>
      </c>
      <c r="E12" s="50">
        <v>731516.5</v>
      </c>
      <c r="F12" s="50">
        <v>556445.5</v>
      </c>
      <c r="G12" s="17">
        <f t="shared" si="0"/>
        <v>2909286</v>
      </c>
      <c r="H12" s="17">
        <f t="shared" si="1"/>
        <v>384533.01821242872</v>
      </c>
      <c r="I12" s="17">
        <f t="shared" si="2"/>
        <v>2524752.9817875712</v>
      </c>
    </row>
    <row r="13" spans="1:9" ht="15.75" customHeight="1" x14ac:dyDescent="0.25">
      <c r="A13" s="5">
        <f t="shared" si="3"/>
        <v>2035</v>
      </c>
      <c r="B13" s="49">
        <v>334893</v>
      </c>
      <c r="C13" s="50">
        <v>611891</v>
      </c>
      <c r="D13" s="50">
        <v>1041864.4999999999</v>
      </c>
      <c r="E13" s="50">
        <v>749639</v>
      </c>
      <c r="F13" s="50">
        <v>568591</v>
      </c>
      <c r="G13" s="17">
        <f t="shared" si="0"/>
        <v>2971985.5</v>
      </c>
      <c r="H13" s="17">
        <f t="shared" si="1"/>
        <v>388672.83602317626</v>
      </c>
      <c r="I13" s="17">
        <f t="shared" si="2"/>
        <v>2583312.6639768239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pQioRlCcE+td1dB7MS3jtJOFDcFw22fWpdgSWhk1lFP5o5vTNWI7yfcQJBOZXFv44z5IImyp5ve/0Fr5fWUWOg==" saltValue="y7ZQ3afjT8spzzOxSgSPH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1.657067544407495E-2</v>
      </c>
    </row>
    <row r="4" spans="1:8" ht="15.75" customHeight="1" x14ac:dyDescent="0.25">
      <c r="B4" s="19" t="s">
        <v>97</v>
      </c>
      <c r="C4" s="99">
        <v>7.4120555470898866E-2</v>
      </c>
    </row>
    <row r="5" spans="1:8" ht="15.75" customHeight="1" x14ac:dyDescent="0.25">
      <c r="B5" s="19" t="s">
        <v>98</v>
      </c>
      <c r="C5" s="99">
        <v>0.1088008429259477</v>
      </c>
    </row>
    <row r="6" spans="1:8" ht="15.75" customHeight="1" x14ac:dyDescent="0.25">
      <c r="B6" s="19" t="s">
        <v>99</v>
      </c>
      <c r="C6" s="99">
        <v>0.25677873974801529</v>
      </c>
    </row>
    <row r="7" spans="1:8" ht="15.75" customHeight="1" x14ac:dyDescent="0.25">
      <c r="B7" s="19" t="s">
        <v>100</v>
      </c>
      <c r="C7" s="99">
        <v>0.36988411970846008</v>
      </c>
    </row>
    <row r="8" spans="1:8" ht="15.75" customHeight="1" x14ac:dyDescent="0.25">
      <c r="B8" s="19" t="s">
        <v>101</v>
      </c>
      <c r="C8" s="99">
        <v>2.8233694090527761E-3</v>
      </c>
    </row>
    <row r="9" spans="1:8" ht="15.75" customHeight="1" x14ac:dyDescent="0.25">
      <c r="B9" s="19" t="s">
        <v>102</v>
      </c>
      <c r="C9" s="99">
        <v>5.5443065754671679E-2</v>
      </c>
    </row>
    <row r="10" spans="1:8" ht="15.75" customHeight="1" x14ac:dyDescent="0.25">
      <c r="B10" s="19" t="s">
        <v>103</v>
      </c>
      <c r="C10" s="99">
        <v>0.1155786315388786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0.15073770571059761</v>
      </c>
      <c r="D14" s="55">
        <v>0.15073770571059761</v>
      </c>
      <c r="E14" s="55">
        <v>0.15073770571059761</v>
      </c>
      <c r="F14" s="55">
        <v>0.15073770571059761</v>
      </c>
    </row>
    <row r="15" spans="1:8" ht="15.75" customHeight="1" x14ac:dyDescent="0.25">
      <c r="B15" s="19" t="s">
        <v>106</v>
      </c>
      <c r="C15" s="99">
        <v>0.2246449483302744</v>
      </c>
      <c r="D15" s="99">
        <v>0.2246449483302744</v>
      </c>
      <c r="E15" s="99">
        <v>0.2246449483302744</v>
      </c>
      <c r="F15" s="99">
        <v>0.2246449483302744</v>
      </c>
    </row>
    <row r="16" spans="1:8" ht="15.75" customHeight="1" x14ac:dyDescent="0.25">
      <c r="B16" s="19" t="s">
        <v>107</v>
      </c>
      <c r="C16" s="99">
        <v>2.822839752136674E-2</v>
      </c>
      <c r="D16" s="99">
        <v>2.822839752136674E-2</v>
      </c>
      <c r="E16" s="99">
        <v>2.822839752136674E-2</v>
      </c>
      <c r="F16" s="99">
        <v>2.822839752136674E-2</v>
      </c>
    </row>
    <row r="17" spans="1:8" ht="15.75" customHeight="1" x14ac:dyDescent="0.25">
      <c r="B17" s="19" t="s">
        <v>108</v>
      </c>
      <c r="C17" s="99">
        <v>2.7112007522432147E-4</v>
      </c>
      <c r="D17" s="99">
        <v>2.7112007522432147E-4</v>
      </c>
      <c r="E17" s="99">
        <v>2.7112007522432147E-4</v>
      </c>
      <c r="F17" s="99">
        <v>2.7112007522432147E-4</v>
      </c>
    </row>
    <row r="18" spans="1:8" ht="15.75" customHeight="1" x14ac:dyDescent="0.25">
      <c r="B18" s="19" t="s">
        <v>109</v>
      </c>
      <c r="C18" s="99">
        <v>0.27503508057082687</v>
      </c>
      <c r="D18" s="99">
        <v>0.27503508057082687</v>
      </c>
      <c r="E18" s="99">
        <v>0.27503508057082687</v>
      </c>
      <c r="F18" s="99">
        <v>0.27503508057082687</v>
      </c>
    </row>
    <row r="19" spans="1:8" ht="15.75" customHeight="1" x14ac:dyDescent="0.25">
      <c r="B19" s="19" t="s">
        <v>110</v>
      </c>
      <c r="C19" s="99">
        <v>2.040962263752499E-2</v>
      </c>
      <c r="D19" s="99">
        <v>2.040962263752499E-2</v>
      </c>
      <c r="E19" s="99">
        <v>2.040962263752499E-2</v>
      </c>
      <c r="F19" s="99">
        <v>2.040962263752499E-2</v>
      </c>
    </row>
    <row r="20" spans="1:8" ht="15.75" customHeight="1" x14ac:dyDescent="0.25">
      <c r="B20" s="19" t="s">
        <v>111</v>
      </c>
      <c r="C20" s="99">
        <v>5.8000995162372573E-2</v>
      </c>
      <c r="D20" s="99">
        <v>5.8000995162372573E-2</v>
      </c>
      <c r="E20" s="99">
        <v>5.8000995162372573E-2</v>
      </c>
      <c r="F20" s="99">
        <v>5.8000995162372573E-2</v>
      </c>
    </row>
    <row r="21" spans="1:8" ht="15.75" customHeight="1" x14ac:dyDescent="0.25">
      <c r="B21" s="19" t="s">
        <v>112</v>
      </c>
      <c r="C21" s="99">
        <v>9.9798367117911957E-2</v>
      </c>
      <c r="D21" s="99">
        <v>9.9798367117911957E-2</v>
      </c>
      <c r="E21" s="99">
        <v>9.9798367117911957E-2</v>
      </c>
      <c r="F21" s="99">
        <v>9.9798367117911957E-2</v>
      </c>
    </row>
    <row r="22" spans="1:8" ht="15.75" customHeight="1" x14ac:dyDescent="0.25">
      <c r="B22" s="19" t="s">
        <v>113</v>
      </c>
      <c r="C22" s="99">
        <v>0.14287376287390041</v>
      </c>
      <c r="D22" s="99">
        <v>0.14287376287390041</v>
      </c>
      <c r="E22" s="99">
        <v>0.14287376287390041</v>
      </c>
      <c r="F22" s="99">
        <v>0.14287376287390041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8.6770851999999982E-2</v>
      </c>
    </row>
    <row r="27" spans="1:8" ht="15.75" customHeight="1" x14ac:dyDescent="0.25">
      <c r="B27" s="19" t="s">
        <v>120</v>
      </c>
      <c r="C27" s="99">
        <v>8.6437730000000004E-3</v>
      </c>
    </row>
    <row r="28" spans="1:8" ht="15.75" customHeight="1" x14ac:dyDescent="0.25">
      <c r="B28" s="19" t="s">
        <v>121</v>
      </c>
      <c r="C28" s="99">
        <v>0.153215352</v>
      </c>
    </row>
    <row r="29" spans="1:8" ht="15.75" customHeight="1" x14ac:dyDescent="0.25">
      <c r="B29" s="19" t="s">
        <v>122</v>
      </c>
      <c r="C29" s="99">
        <v>0.165097191</v>
      </c>
    </row>
    <row r="30" spans="1:8" ht="15.75" customHeight="1" x14ac:dyDescent="0.25">
      <c r="B30" s="19" t="s">
        <v>2</v>
      </c>
      <c r="C30" s="99">
        <v>0.10312302</v>
      </c>
    </row>
    <row r="31" spans="1:8" ht="15.75" customHeight="1" x14ac:dyDescent="0.25">
      <c r="B31" s="19" t="s">
        <v>123</v>
      </c>
      <c r="C31" s="99">
        <v>0.106218667</v>
      </c>
    </row>
    <row r="32" spans="1:8" ht="15.75" customHeight="1" x14ac:dyDescent="0.25">
      <c r="B32" s="19" t="s">
        <v>124</v>
      </c>
      <c r="C32" s="99">
        <v>1.8201770999999999E-2</v>
      </c>
    </row>
    <row r="33" spans="2:3" ht="15.75" customHeight="1" x14ac:dyDescent="0.25">
      <c r="B33" s="19" t="s">
        <v>125</v>
      </c>
      <c r="C33" s="99">
        <v>8.2691194999999981E-2</v>
      </c>
    </row>
    <row r="34" spans="2:3" ht="15.75" customHeight="1" x14ac:dyDescent="0.25">
      <c r="B34" s="19" t="s">
        <v>126</v>
      </c>
      <c r="C34" s="99">
        <v>0.27603818000000002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CLHC7E/38UqQpr1s0Jn1kX6q6H2Fjwh9H0b7ofS8UbthP80RyUYFb8+R8E14jv5iBjjIsz2uHgiIz7oaLUILKQ==" saltValue="9IPQtk9U02QzNKBaM/bBd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0.57919360397197361</v>
      </c>
      <c r="D2" s="52">
        <f>IFERROR(1-_xlfn.NORM.DIST(_xlfn.NORM.INV(SUM(D4:D5), 0, 1) + 1, 0, 1, TRUE), "")</f>
        <v>0.57919360397197361</v>
      </c>
      <c r="E2" s="52">
        <f>IFERROR(1-_xlfn.NORM.DIST(_xlfn.NORM.INV(SUM(E4:E5), 0, 1) + 1, 0, 1, TRUE), "")</f>
        <v>0.5463948001767307</v>
      </c>
      <c r="F2" s="52">
        <f>IFERROR(1-_xlfn.NORM.DIST(_xlfn.NORM.INV(SUM(F4:F5), 0, 1) + 1, 0, 1, TRUE), "")</f>
        <v>0.37279200832134851</v>
      </c>
      <c r="G2" s="52">
        <f>IFERROR(1-_xlfn.NORM.DIST(_xlfn.NORM.INV(SUM(G4:G5), 0, 1) + 1, 0, 1, TRUE), "")</f>
        <v>0.34714277559116313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0.30570389602802639</v>
      </c>
      <c r="D3" s="52">
        <f>IFERROR(_xlfn.NORM.DIST(_xlfn.NORM.INV(SUM(D4:D5), 0, 1) + 1, 0, 1, TRUE) - SUM(D4:D5), "")</f>
        <v>0.30570389602802639</v>
      </c>
      <c r="E3" s="52">
        <f>IFERROR(_xlfn.NORM.DIST(_xlfn.NORM.INV(SUM(E4:E5), 0, 1) + 1, 0, 1, TRUE) - SUM(E4:E5), "")</f>
        <v>0.32151349982326938</v>
      </c>
      <c r="F3" s="52">
        <f>IFERROR(_xlfn.NORM.DIST(_xlfn.NORM.INV(SUM(F4:F5), 0, 1) + 1, 0, 1, TRUE) - SUM(F4:F5), "")</f>
        <v>0.37753919167865146</v>
      </c>
      <c r="G3" s="52">
        <f>IFERROR(_xlfn.NORM.DIST(_xlfn.NORM.INV(SUM(G4:G5), 0, 1) + 1, 0, 1, TRUE) - SUM(G4:G5), "")</f>
        <v>0.38091652440883683</v>
      </c>
    </row>
    <row r="4" spans="1:15" ht="15.75" customHeight="1" x14ac:dyDescent="0.25">
      <c r="B4" s="5" t="s">
        <v>132</v>
      </c>
      <c r="C4" s="45">
        <v>8.1605000000000011E-2</v>
      </c>
      <c r="D4" s="53">
        <v>8.1605000000000011E-2</v>
      </c>
      <c r="E4" s="53">
        <v>0.1052949</v>
      </c>
      <c r="F4" s="53">
        <v>0.18231169999999999</v>
      </c>
      <c r="G4" s="53">
        <v>0.19312360000000001</v>
      </c>
    </row>
    <row r="5" spans="1:15" ht="15.75" customHeight="1" x14ac:dyDescent="0.25">
      <c r="B5" s="5" t="s">
        <v>133</v>
      </c>
      <c r="C5" s="45">
        <v>3.3497499999999999E-2</v>
      </c>
      <c r="D5" s="53">
        <v>3.3497499999999999E-2</v>
      </c>
      <c r="E5" s="53">
        <v>2.6796799999999999E-2</v>
      </c>
      <c r="F5" s="53">
        <v>6.7357100000000003E-2</v>
      </c>
      <c r="G5" s="53">
        <v>7.8817100000000001E-2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0.73361145467145561</v>
      </c>
      <c r="D8" s="52">
        <f>IFERROR(1-_xlfn.NORM.DIST(_xlfn.NORM.INV(SUM(D10:D11), 0, 1) + 1, 0, 1, TRUE), "")</f>
        <v>0.73361145467145561</v>
      </c>
      <c r="E8" s="52">
        <f>IFERROR(1-_xlfn.NORM.DIST(_xlfn.NORM.INV(SUM(E10:E11), 0, 1) + 1, 0, 1, TRUE), "")</f>
        <v>0.64267290186158221</v>
      </c>
      <c r="F8" s="52">
        <f>IFERROR(1-_xlfn.NORM.DIST(_xlfn.NORM.INV(SUM(F10:F11), 0, 1) + 1, 0, 1, TRUE), "")</f>
        <v>0.64945178546766857</v>
      </c>
      <c r="G8" s="52">
        <f>IFERROR(1-_xlfn.NORM.DIST(_xlfn.NORM.INV(SUM(G10:G11), 0, 1) + 1, 0, 1, TRUE), "")</f>
        <v>0.75907848725239124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0.21417634532854435</v>
      </c>
      <c r="D9" s="52">
        <f>IFERROR(_xlfn.NORM.DIST(_xlfn.NORM.INV(SUM(D10:D11), 0, 1) + 1, 0, 1, TRUE) - SUM(D10:D11), "")</f>
        <v>0.21417634532854435</v>
      </c>
      <c r="E9" s="52">
        <f>IFERROR(_xlfn.NORM.DIST(_xlfn.NORM.INV(SUM(E10:E11), 0, 1) + 1, 0, 1, TRUE) - SUM(E10:E11), "")</f>
        <v>0.27129679813841778</v>
      </c>
      <c r="F9" s="52">
        <f>IFERROR(_xlfn.NORM.DIST(_xlfn.NORM.INV(SUM(F10:F11), 0, 1) + 1, 0, 1, TRUE) - SUM(F10:F11), "")</f>
        <v>0.26734461453233144</v>
      </c>
      <c r="G9" s="52">
        <f>IFERROR(_xlfn.NORM.DIST(_xlfn.NORM.INV(SUM(G10:G11), 0, 1) + 1, 0, 1, TRUE) - SUM(G10:G11), "")</f>
        <v>0.1966694127476088</v>
      </c>
    </row>
    <row r="10" spans="1:15" ht="15.75" customHeight="1" x14ac:dyDescent="0.25">
      <c r="B10" s="5" t="s">
        <v>137</v>
      </c>
      <c r="C10" s="45">
        <v>2.8096699999999999E-2</v>
      </c>
      <c r="D10" s="53">
        <v>2.8096699999999999E-2</v>
      </c>
      <c r="E10" s="53">
        <v>6.3847899999999999E-2</v>
      </c>
      <c r="F10" s="53">
        <v>7.6616400000000001E-2</v>
      </c>
      <c r="G10" s="53">
        <v>3.5812400000000001E-2</v>
      </c>
    </row>
    <row r="11" spans="1:15" ht="15.75" customHeight="1" x14ac:dyDescent="0.25">
      <c r="B11" s="5" t="s">
        <v>138</v>
      </c>
      <c r="C11" s="45">
        <v>2.4115500000000002E-2</v>
      </c>
      <c r="D11" s="53">
        <v>2.4115500000000002E-2</v>
      </c>
      <c r="E11" s="53">
        <v>2.2182400000000001E-2</v>
      </c>
      <c r="F11" s="53">
        <v>6.5871999999999997E-3</v>
      </c>
      <c r="G11" s="53">
        <v>8.4396999999999996E-3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0.88048884075</v>
      </c>
      <c r="D14" s="54">
        <v>0.87291714786499996</v>
      </c>
      <c r="E14" s="54">
        <v>0.87291714786499996</v>
      </c>
      <c r="F14" s="54">
        <v>0.76156848676900002</v>
      </c>
      <c r="G14" s="54">
        <v>0.76156848676900002</v>
      </c>
      <c r="H14" s="45">
        <v>0.61399999999999999</v>
      </c>
      <c r="I14" s="55">
        <v>0.61399999999999999</v>
      </c>
      <c r="J14" s="55">
        <v>0.61399999999999999</v>
      </c>
      <c r="K14" s="55">
        <v>0.61399999999999999</v>
      </c>
      <c r="L14" s="45">
        <v>0.47699999999999998</v>
      </c>
      <c r="M14" s="55">
        <v>0.47699999999999998</v>
      </c>
      <c r="N14" s="55">
        <v>0.47699999999999998</v>
      </c>
      <c r="O14" s="55">
        <v>0.47699999999999998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0.37117535375120697</v>
      </c>
      <c r="D15" s="52">
        <f t="shared" si="0"/>
        <v>0.36798346118537789</v>
      </c>
      <c r="E15" s="52">
        <f t="shared" si="0"/>
        <v>0.36798346118537789</v>
      </c>
      <c r="F15" s="52">
        <f t="shared" si="0"/>
        <v>0.32104376500839255</v>
      </c>
      <c r="G15" s="52">
        <f t="shared" si="0"/>
        <v>0.32104376500839255</v>
      </c>
      <c r="H15" s="52">
        <f t="shared" si="0"/>
        <v>0.258835384</v>
      </c>
      <c r="I15" s="52">
        <f t="shared" si="0"/>
        <v>0.258835384</v>
      </c>
      <c r="J15" s="52">
        <f t="shared" si="0"/>
        <v>0.258835384</v>
      </c>
      <c r="K15" s="52">
        <f t="shared" si="0"/>
        <v>0.258835384</v>
      </c>
      <c r="L15" s="52">
        <f t="shared" si="0"/>
        <v>0.20108221199999998</v>
      </c>
      <c r="M15" s="52">
        <f t="shared" si="0"/>
        <v>0.20108221199999998</v>
      </c>
      <c r="N15" s="52">
        <f t="shared" si="0"/>
        <v>0.20108221199999998</v>
      </c>
      <c r="O15" s="52">
        <f t="shared" si="0"/>
        <v>0.20108221199999998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jSMJAXf17NdMXGVVKMxyI6gLQImWocHGn2UOSZCKuZgliUb9F0NoWKCSyIQ3NFll/F9iPgW39Mq+l4AepZ2jHQ==" saltValue="Qhey4KrvkhfpxUs15VsB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0.85698930000000006</v>
      </c>
      <c r="D2" s="53">
        <v>0.61859039999999998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4.8051399999999987E-2</v>
      </c>
      <c r="D3" s="53">
        <v>0.16119710000000001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8.3939299999999994E-2</v>
      </c>
      <c r="D4" s="53">
        <v>0.21219060000000001</v>
      </c>
      <c r="E4" s="53">
        <v>0.97784219999999999</v>
      </c>
      <c r="F4" s="53">
        <v>0.79836010000000002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1.102000000000003E-2</v>
      </c>
      <c r="D5" s="52">
        <f t="shared" si="0"/>
        <v>8.0219000000000262E-3</v>
      </c>
      <c r="E5" s="52">
        <f>1-SUM(E2:E4)</f>
        <v>2.2157800000000005E-2</v>
      </c>
      <c r="F5" s="52">
        <f>1-SUM(F2:F4)</f>
        <v>0.20163989999999998</v>
      </c>
      <c r="G5" s="52">
        <f>1-SUM(G2:G4)</f>
        <v>1</v>
      </c>
    </row>
  </sheetData>
  <sheetProtection algorithmName="SHA-512" hashValue="SNOHGpKzc4RcJXvQPVMicFZd5Do7+CxxN5oaQL/MvQlMu5Lz3JBJ5ovlYGhxgplC44n47TJ5egQGyJf3hU22bw==" saltValue="6m7wN/9ig5vHvjMaGJFWN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eFvt6UshX1p3oVSAsLcAqIH/q6BwUDGTI3Iy1UX3HHGbNNEeqfgC8J2obrgZCnqc6XbTKhCR2sCtAvgzzEBUCg==" saltValue="lzYvaAuRj5+a82OsGbo5M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942.64990157953605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0.36761000000000005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0.57177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1.7520841453780484E-2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93257.122029999999</v>
      </c>
      <c r="C22" s="107">
        <v>92584.312149999998</v>
      </c>
      <c r="D22" s="107">
        <v>92057.16545</v>
      </c>
      <c r="E22" s="107">
        <v>91422.733919999999</v>
      </c>
      <c r="F22" s="107">
        <v>90580.78314</v>
      </c>
      <c r="G22" s="107">
        <v>89580.938460000005</v>
      </c>
      <c r="H22" s="107">
        <v>88268.341130000001</v>
      </c>
      <c r="I22" s="107">
        <v>86452.289130000005</v>
      </c>
      <c r="J22" s="107">
        <v>83870.802960000001</v>
      </c>
      <c r="K22" s="107">
        <v>80455.663520000002</v>
      </c>
      <c r="L22" s="107">
        <v>75831.760609999998</v>
      </c>
      <c r="M22" s="107">
        <v>69893.728610000006</v>
      </c>
      <c r="N22" s="107">
        <v>61930.883269999998</v>
      </c>
      <c r="O22" s="107">
        <v>52101.292840000002</v>
      </c>
    </row>
  </sheetData>
  <sheetProtection algorithmName="SHA-512" hashValue="YVDPeYBvUdDBos/rqrbzMUntMNxDWXwIS0eQaHrcPCybNRQtYkDParKEbeyrOVBXW6sFoRqjnz4muTi6aunnvQ==" saltValue="1NnvlZ/twqHxyi0z/k6EZ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eYgJKVQngjTPMAnELRGVk4KjR6g5OI/xgvnM6bCvt+9tzDfgu016iSaBFlXBB+1SllGsPAqDg1zFYJkLPggW1w==" saltValue="vUyApK8uyB4sVJ0NNEy+M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9j9WLMld4KlaROGllEavQv5ItvfN33+f1+MnirZeNllX/HY8hNyo77cerHKP8h0ryMYxqcqJQd3uz5+Z5QHvlw==" saltValue="lZ71URp+cOCJhwKZyNaz7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18.025735670419653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18.025735670419653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9.2882626538987694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1.0608034800409418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0.32139211884942109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0.96417635654826328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5.6224350205198365E-2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0.37144779999999999</v>
      </c>
      <c r="C10" s="96">
        <v>0.95</v>
      </c>
      <c r="D10" s="56">
        <v>14.170171901025009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14.170171901025009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14.170171901025009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14.170171901025009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0.37144779999999999</v>
      </c>
      <c r="C14" s="96">
        <v>0.95</v>
      </c>
      <c r="D14" s="56">
        <v>14.170171901025009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14.170171901025009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0.690859</v>
      </c>
      <c r="C16" s="96">
        <v>0.95</v>
      </c>
      <c r="D16" s="56">
        <v>3.3847058823529408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0.107333333333333</v>
      </c>
      <c r="C17" s="96">
        <v>0.95</v>
      </c>
      <c r="D17" s="56">
        <v>0.35500000000000004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0.58099999999999996</v>
      </c>
      <c r="C18" s="96">
        <v>0.95</v>
      </c>
      <c r="D18" s="56">
        <v>9.2882626538987694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0.61859039999999998</v>
      </c>
      <c r="C19" s="96">
        <v>0.95</v>
      </c>
      <c r="D19" s="56">
        <v>7.2861200073283072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0.32610123119015044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9.2882626538987694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0.71000929999999995</v>
      </c>
      <c r="C23" s="96">
        <v>0.95</v>
      </c>
      <c r="D23" s="56">
        <v>4.6467238358608798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0.14178560559202999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0.37144779999999999</v>
      </c>
      <c r="C26" s="96">
        <v>0.95</v>
      </c>
      <c r="D26" s="56">
        <v>3.8681355531509101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13.457928721749347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0.13601840000000001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0.1860724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44.783843336315748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6.4000000000000001E-2</v>
      </c>
      <c r="C31" s="96">
        <v>0.95</v>
      </c>
      <c r="D31" s="56">
        <v>84.685116279069774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0.9</v>
      </c>
      <c r="C32" s="96">
        <v>0.95</v>
      </c>
      <c r="D32" s="56">
        <v>0.24738714090287278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0.17338333982328599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0.29872090000000001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4.0841000000000002E-3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0.30379200000000001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1E-3</v>
      </c>
      <c r="C38" s="96">
        <v>0.95</v>
      </c>
      <c r="D38" s="56">
        <v>7.9276333789329687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3.4125000000000001</v>
      </c>
      <c r="E39" s="56" t="s">
        <v>230</v>
      </c>
      <c r="F39" s="96">
        <v>1</v>
      </c>
      <c r="G39" s="96">
        <v>1</v>
      </c>
    </row>
  </sheetData>
  <sheetProtection algorithmName="SHA-512" hashValue="6oOEXK3wCbOCLHPrtgbasLZytBERWclw9ypMLlJ+eZf1UY68YKzzMdgaBpIQFeCDjRenc+fv9C2otP41SJWX0A==" saltValue="9hlO3ZGHt9MmrhTdrGxz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dU8vqjghg7Qk4km+Bok4BQujUBmZsOwiPnT4WiWlbS2FDxnDdnSMnCK6QadGChvFVxmS8KNkuy+8WnbK9WQd3g==" saltValue="lsvJEkjFVduN/mAHvnWSU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WQ/LGWMe/Ds9ywKD8CpUJ5fofO0UxOU9EFKFpPhgGoVRlS0f/iz6NK1PVLkwgf0Rz3rjfRp+R4sC+Z/iB0SAsQ==" saltValue="EEhC1JYjCxqECySdPrhxe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2.3660000000000001</v>
      </c>
      <c r="C2" s="21">
        <f>'Données pop de l''année de ref'!C52</f>
        <v>2.3660000000000001</v>
      </c>
      <c r="D2" s="21">
        <f>'Données pop de l''année de ref'!C53</f>
        <v>5.8760000000000003</v>
      </c>
      <c r="E2" s="21">
        <f>'Données pop de l''année de ref'!C54</f>
        <v>5.72</v>
      </c>
      <c r="F2" s="21">
        <f>'Données pop de l''année de ref'!C55</f>
        <v>3.0680000000000001</v>
      </c>
    </row>
    <row r="3" spans="1:6" ht="15.75" customHeight="1" x14ac:dyDescent="0.25">
      <c r="A3" s="3" t="s">
        <v>238</v>
      </c>
      <c r="B3" s="21">
        <f>frac_mam_1month * 2.6</f>
        <v>7.3051420000000006E-2</v>
      </c>
      <c r="C3" s="21">
        <f>frac_mam_1_5months * 2.6</f>
        <v>7.3051420000000006E-2</v>
      </c>
      <c r="D3" s="21">
        <f>frac_mam_6_11months * 2.6</f>
        <v>0.16600454000000001</v>
      </c>
      <c r="E3" s="21">
        <f>frac_mam_12_23months * 2.6</f>
        <v>0.19920264000000001</v>
      </c>
      <c r="F3" s="21">
        <f>frac_mam_24_59months * 2.6</f>
        <v>9.3112240000000013E-2</v>
      </c>
    </row>
    <row r="4" spans="1:6" ht="15.75" customHeight="1" x14ac:dyDescent="0.25">
      <c r="A4" s="3" t="s">
        <v>237</v>
      </c>
      <c r="B4" s="21">
        <f>frac_sam_1month * 2.6</f>
        <v>6.27003E-2</v>
      </c>
      <c r="C4" s="21">
        <f>frac_sam_1_5months * 2.6</f>
        <v>6.27003E-2</v>
      </c>
      <c r="D4" s="21">
        <f>frac_sam_6_11months * 2.6</f>
        <v>5.7674240000000009E-2</v>
      </c>
      <c r="E4" s="21">
        <f>frac_sam_12_23months * 2.6</f>
        <v>1.7126719999999998E-2</v>
      </c>
      <c r="F4" s="21">
        <f>frac_sam_24_59months * 2.6</f>
        <v>2.1943219999999999E-2</v>
      </c>
    </row>
  </sheetData>
  <sheetProtection algorithmName="SHA-512" hashValue="8p1+HQHMngcjsfntvi15saxVYlwcPxx+Bu5lnCga48VHIeZ4kwTIKFvTfzZgWZIapKW8tO5RJEf9NbqNto9jRQ==" saltValue="7pOLIU+olggc4TIRQtXxz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0.60399999999999998</v>
      </c>
      <c r="F2" s="60">
        <f>food_insecure</f>
        <v>0.60399999999999998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0.60399999999999998</v>
      </c>
      <c r="F5" s="60">
        <f>food_insecure</f>
        <v>0.60399999999999998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5.1621818181818185E-2</v>
      </c>
      <c r="D7" s="60">
        <f>diarrhoea_1_5mo*frac_diarrhea_severe</f>
        <v>5.1621818181818185E-2</v>
      </c>
      <c r="E7" s="60">
        <f>diarrhoea_6_11mo*frac_diarrhea_severe</f>
        <v>0.12820363636363638</v>
      </c>
      <c r="F7" s="60">
        <f>diarrhoea_12_23mo*frac_diarrhea_severe</f>
        <v>0.12480000000000001</v>
      </c>
      <c r="G7" s="60">
        <f>diarrhoea_24_59mo*frac_diarrhea_severe</f>
        <v>6.6938181818181827E-2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0.60399999999999998</v>
      </c>
      <c r="F8" s="60">
        <f>food_insecure</f>
        <v>0.60399999999999998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0.60399999999999998</v>
      </c>
      <c r="F9" s="60">
        <f>food_insecure</f>
        <v>0.60399999999999998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5.1621818181818185E-2</v>
      </c>
      <c r="D12" s="60">
        <f>diarrhoea_1_5mo*frac_diarrhea_severe</f>
        <v>5.1621818181818185E-2</v>
      </c>
      <c r="E12" s="60">
        <f>diarrhoea_6_11mo*frac_diarrhea_severe</f>
        <v>0.12820363636363638</v>
      </c>
      <c r="F12" s="60">
        <f>diarrhoea_12_23mo*frac_diarrhea_severe</f>
        <v>0.12480000000000001</v>
      </c>
      <c r="G12" s="60">
        <f>diarrhoea_24_59mo*frac_diarrhea_severe</f>
        <v>6.6938181818181827E-2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0.60399999999999998</v>
      </c>
      <c r="I15" s="60">
        <f t="shared" si="0"/>
        <v>0.60399999999999998</v>
      </c>
      <c r="J15" s="60">
        <f t="shared" si="0"/>
        <v>0.60399999999999998</v>
      </c>
      <c r="K15" s="60">
        <f t="shared" si="0"/>
        <v>0.60399999999999998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0.60399999999999998</v>
      </c>
      <c r="I16" s="60">
        <f t="shared" si="0"/>
        <v>0.60399999999999998</v>
      </c>
      <c r="J16" s="60">
        <f t="shared" si="0"/>
        <v>0.60399999999999998</v>
      </c>
      <c r="K16" s="60">
        <f t="shared" si="0"/>
        <v>0.60399999999999998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0.33600000000000002</v>
      </c>
      <c r="M24" s="60">
        <f>famplan_unmet_need</f>
        <v>0.33600000000000002</v>
      </c>
      <c r="N24" s="60">
        <f>famplan_unmet_need</f>
        <v>0.33600000000000002</v>
      </c>
      <c r="O24" s="60">
        <f>famplan_unmet_need</f>
        <v>0.33600000000000002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0.41049375793999998</v>
      </c>
      <c r="M25" s="60">
        <f>(1-food_insecure)*(0.49)+food_insecure*(0.7)</f>
        <v>0.61683999999999994</v>
      </c>
      <c r="N25" s="60">
        <f>(1-food_insecure)*(0.49)+food_insecure*(0.7)</f>
        <v>0.61683999999999994</v>
      </c>
      <c r="O25" s="60">
        <f>(1-food_insecure)*(0.49)+food_insecure*(0.7)</f>
        <v>0.61683999999999994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0.17592589625999999</v>
      </c>
      <c r="M26" s="60">
        <f>(1-food_insecure)*(0.21)+food_insecure*(0.3)</f>
        <v>0.26435999999999998</v>
      </c>
      <c r="N26" s="60">
        <f>(1-food_insecure)*(0.21)+food_insecure*(0.3)</f>
        <v>0.26435999999999998</v>
      </c>
      <c r="O26" s="60">
        <f>(1-food_insecure)*(0.21)+food_insecure*(0.3)</f>
        <v>0.26435999999999998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7.9058845799999999E-2</v>
      </c>
      <c r="M27" s="60">
        <f>(1-food_insecure)*(0.3)</f>
        <v>0.1188</v>
      </c>
      <c r="N27" s="60">
        <f>(1-food_insecure)*(0.3)</f>
        <v>0.1188</v>
      </c>
      <c r="O27" s="60">
        <f>(1-food_insecure)*(0.3)</f>
        <v>0.1188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0.33452150000000003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ID0L7LGLiWLz5g27yDOv6x6GP52kW4eBn8f5wk3XEIY/sTmIDu7nme/fs0DiYdHZ6GAIJbGT4BBIcENANpwUAg==" saltValue="ZsI2UYP2rQjsOuA+Im9Jr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wwaBXnwoQfUl0wfJ5v8pnWNdegvE6YAuOX/3+6E3J24PODmsHMURWnl+65VxqmDokTTjX6rrY7VIAS0Q4Ht8AQ==" saltValue="ZNfSYzE8992vFTCD8kb/L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NZVo1wpMZFGobrqgsGlUi9UwB5CtVj1nyn8aZ2o0N/pn/IjqKXyVYwog5I8F8ncY5bna1+hQcd2T4g4yBIMZwA==" saltValue="bbBOLV5K5+nxff/vP5U4X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DH8gkg86l6m6EYzi/xHe5wsbMcPwHFnN06M9N4nq4Tj1oR8lwuPJqioPt7YhgBwN08rnI1RVv+GPMxWI5DLzIA==" saltValue="lWlSMaZkpcoX8JUuDS+GN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8If510bVmwD0FcxhMAgBzJC1IdfOMY3N9dx4bZduLyAONCgMBXPaqnvkZAZoimv7BVW8C3gZAyEPPos3WwjrFA==" saltValue="7h2J3wHJkvsdef0IMUZRB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iKDnrwAAGvXeMbPhIVu2MZN3V4kTcisGJcOdcNG+nmPXSPxspvrsjTWWdvbndbogazwLTY+4mObeIY7VN7lvig==" saltValue="VSVccyIhtRu5Bah+c7GOW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1WhcF1AwIsspBC9sAvniV+s7Gu8JiFVxW96yeBIFo+pRicgj0hmZPxPxWiQkQp7zqIS3AGSC88bXrtz6JqJjJA==" saltValue="IJFcV9Ol1NomrGNbRc7vg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kXRmQhdswDu6rEgFu8qx6zCQuOvrtC+vKqg7169fpQmAgejI0QAnz2F9df18Os+FS/xivQoHnLtJM6wbMzcKlg==" saltValue="0S8/ZjwCgrFYlncE5KKU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QRFnfm5NAmCg69PzxTdnxVXRA5RMHhaYoaZ5JyGlJ9/YVgQhZerLnAAmZ0/LOiBdhdjzd+EiHetQ54eqZ5uBdQ==" saltValue="4XBruSM0iZR+2GWOqqBO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MztiCSdvZltWreMj0joOLD4wZO4nIcfR2JWkyCijejmpd/E6p5j0GVcqO/4/hwBSG8qkbqFlFdJAjDKC2Ko4SQ==" saltValue="mVRJeuuCycfhL4r9aczx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jFGiPKGrTgpAZEbQVuxEsHJMOQL8BrPpknIYNW5dDijQGPrcface+ALfGOZjCYpG6BmLzIWbP0vIGvRaq0kcCA==" saltValue="iSpNpEOnGpcQ+yMJ/nOP5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jF2Bn9M/kozAuFkyTmDZgR+30FZpM2mLpFvhtPcpcLja1qi6usrVyi4LbISZWwhLz/2iBoUbxmp5jVm+CYbtg==" saltValue="XV1NE02Bej2uMYDRxDLI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f/TWMkfZvasgrP5KRCiBfg4RVDZpUxsId7UbN1qkbwrGkLMxQWPjC2USXAyKKknJFZZyGf8aELY4Z7JHVbdT5w==" saltValue="akIUBOBNCdT93nurnglTp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eswgXCB864U6Br8SQi7zxANW5H9OjGln2insKWA5uOC/qwYLViJGE214fLcLbblB4W4PYmHlkBiAJWKFJxaurg==" saltValue="zWz+CesIA624eun14uHQ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tU6cgZQatwHHPukWFJ2s/T/8hDczjwlz/zrI+bUut5hbsfpSOE9Rg9QbsxI1xrxCRyVsrJPIL7/dsRNpiHJ6og==" saltValue="sRyEZFLQxg62lHOoZkkf2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2025-07-30T03:32:27Z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