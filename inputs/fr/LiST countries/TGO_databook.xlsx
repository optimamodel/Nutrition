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C67E768-70B4-411D-9BE3-0C491130810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13" i="2" l="1"/>
  <c r="A26" i="2"/>
  <c r="A23" i="2"/>
  <c r="I3" i="2"/>
  <c r="I7" i="2"/>
  <c r="I11" i="2"/>
  <c r="A31" i="2"/>
  <c r="A37" i="2"/>
  <c r="I4" i="2"/>
  <c r="I8" i="2"/>
  <c r="I12" i="2"/>
  <c r="A25" i="2"/>
  <c r="A34" i="2"/>
  <c r="A40" i="2"/>
  <c r="I2" i="2"/>
  <c r="I6" i="2"/>
  <c r="A19" i="2"/>
  <c r="A35" i="2"/>
  <c r="A22" i="2"/>
  <c r="A36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<sst xmlns="http://schemas.openxmlformats.org/spreadsheetml/2006/main" count="2159" uniqueCount="368">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</sst>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1356700</v>
      </c>
    </row>
    <row r="8" spans="1:3" ht="15" customHeight="1" x14ac:dyDescent="0.25">
      <c r="B8" s="5" t="s">
        <v>37</v>
      </c>
      <c r="C8" s="44">
        <v>0.60399999999999998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0.33452150000000003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0.10150000000000001</v>
      </c>
    </row>
    <row r="24" spans="1:3" ht="15" customHeight="1" x14ac:dyDescent="0.25">
      <c r="B24" s="15" t="s">
        <v>51</v>
      </c>
      <c r="C24" s="45">
        <v>0.48739999999999989</v>
      </c>
    </row>
    <row r="25" spans="1:3" ht="15" customHeight="1" x14ac:dyDescent="0.25">
      <c r="B25" s="15" t="s">
        <v>52</v>
      </c>
      <c r="C25" s="45">
        <v>0.33069999999999999</v>
      </c>
    </row>
    <row r="26" spans="1:3" ht="15" customHeight="1" x14ac:dyDescent="0.25">
      <c r="B26" s="15" t="s">
        <v>53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0.23555809089780999</v>
      </c>
    </row>
    <row r="30" spans="1:3" ht="14.25" customHeight="1" x14ac:dyDescent="0.25">
      <c r="B30" s="25" t="s">
        <v>56</v>
      </c>
      <c r="C30" s="99">
        <v>3.4184984059818603E-2</v>
      </c>
    </row>
    <row r="31" spans="1:3" ht="14.25" customHeight="1" x14ac:dyDescent="0.25">
      <c r="B31" s="25" t="s">
        <v>57</v>
      </c>
      <c r="C31" s="99">
        <v>6.8897621814072496E-2</v>
      </c>
    </row>
    <row r="32" spans="1:3" ht="14.25" customHeight="1" x14ac:dyDescent="0.25">
      <c r="B32" s="25" t="s">
        <v>58</v>
      </c>
      <c r="C32" s="99">
        <v>0.66135930322829906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24.042400000000001</v>
      </c>
    </row>
    <row r="38" spans="1:5" ht="15" customHeight="1" x14ac:dyDescent="0.25">
      <c r="B38" s="11" t="s">
        <v>63</v>
      </c>
      <c r="C38" s="43">
        <v>43.35671</v>
      </c>
      <c r="D38" s="12"/>
      <c r="E38" s="13"/>
    </row>
    <row r="39" spans="1:5" ht="15" customHeight="1" x14ac:dyDescent="0.25">
      <c r="B39" s="11" t="s">
        <v>64</v>
      </c>
      <c r="C39" s="43">
        <v>62.60445</v>
      </c>
      <c r="D39" s="12"/>
      <c r="E39" s="12"/>
    </row>
    <row r="40" spans="1:5" ht="15" customHeight="1" x14ac:dyDescent="0.25">
      <c r="B40" s="11" t="s">
        <v>65</v>
      </c>
      <c r="C40" s="100">
        <v>3.99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7.9379999999999989E-3</v>
      </c>
      <c r="D45" s="12"/>
    </row>
    <row r="46" spans="1:5" ht="15.75" customHeight="1" x14ac:dyDescent="0.25">
      <c r="B46" s="11" t="s">
        <v>70</v>
      </c>
      <c r="C46" s="45">
        <v>8.529260000000001E-2</v>
      </c>
      <c r="D46" s="12"/>
    </row>
    <row r="47" spans="1:5" ht="15.75" customHeight="1" x14ac:dyDescent="0.25">
      <c r="B47" s="11" t="s">
        <v>71</v>
      </c>
      <c r="C47" s="45">
        <v>7.3451799999999998E-2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2.3660000000000001</v>
      </c>
      <c r="D51" s="12"/>
    </row>
    <row r="52" spans="1:4" ht="15" customHeight="1" x14ac:dyDescent="0.25">
      <c r="B52" s="11" t="s">
        <v>75</v>
      </c>
      <c r="C52" s="100">
        <v>2.3660000000000001</v>
      </c>
    </row>
    <row r="53" spans="1:4" ht="15.75" customHeight="1" x14ac:dyDescent="0.25">
      <c r="B53" s="11" t="s">
        <v>76</v>
      </c>
      <c r="C53" s="100">
        <v>5.8760000000000003</v>
      </c>
    </row>
    <row r="54" spans="1:4" ht="15.75" customHeight="1" x14ac:dyDescent="0.25">
      <c r="B54" s="11" t="s">
        <v>77</v>
      </c>
      <c r="C54" s="100">
        <v>5.72</v>
      </c>
    </row>
    <row r="55" spans="1:4" ht="15.75" customHeight="1" x14ac:dyDescent="0.25">
      <c r="B55" s="11" t="s">
        <v>78</v>
      </c>
      <c r="C55" s="100">
        <v>3.0680000000000001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0.42155599999999999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A5L5R0+tTVhEUkDQ0D9PEfIM7Y8uVW6bwn9RVgqeBdTDKki1UFZvSxbA6PxS1SW2wFJ+J2Go0J27r+8EXkGi9Q==" saltValue="CZgMfwkWvM1jR2ESG0jV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g7zcah9nZCU/NoKJ9HlK+ZeGBSDtiMYy+xUTRJEZknk8dJK+fUoSR5v4EHV+RC35y1VDjpI60M0e/2hfFovYw==" saltValue="tRHzFCJst0UldaO6+KGv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1.657067544407495E-2</v>
      </c>
    </row>
    <row r="4" spans="1:8" ht="15.75" customHeight="1" x14ac:dyDescent="0.25">
      <c r="B4" s="19" t="s">
        <v>97</v>
      </c>
      <c r="C4" s="101">
        <v>7.4120555470898866E-2</v>
      </c>
    </row>
    <row r="5" spans="1:8" ht="15.75" customHeight="1" x14ac:dyDescent="0.25">
      <c r="B5" s="19" t="s">
        <v>98</v>
      </c>
      <c r="C5" s="101">
        <v>0.1088008429259477</v>
      </c>
    </row>
    <row r="6" spans="1:8" ht="15.75" customHeight="1" x14ac:dyDescent="0.25">
      <c r="B6" s="19" t="s">
        <v>99</v>
      </c>
      <c r="C6" s="101">
        <v>0.25677873974801529</v>
      </c>
    </row>
    <row r="7" spans="1:8" ht="15.75" customHeight="1" x14ac:dyDescent="0.25">
      <c r="B7" s="19" t="s">
        <v>100</v>
      </c>
      <c r="C7" s="101">
        <v>0.36988411970846008</v>
      </c>
    </row>
    <row r="8" spans="1:8" ht="15.75" customHeight="1" x14ac:dyDescent="0.25">
      <c r="B8" s="19" t="s">
        <v>101</v>
      </c>
      <c r="C8" s="101">
        <v>2.8233694090527761E-3</v>
      </c>
    </row>
    <row r="9" spans="1:8" ht="15.75" customHeight="1" x14ac:dyDescent="0.25">
      <c r="B9" s="19" t="s">
        <v>102</v>
      </c>
      <c r="C9" s="101">
        <v>5.5443065754671679E-2</v>
      </c>
    </row>
    <row r="10" spans="1:8" ht="15.75" customHeight="1" x14ac:dyDescent="0.25">
      <c r="B10" s="19" t="s">
        <v>103</v>
      </c>
      <c r="C10" s="101">
        <v>0.1155786315388786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106</v>
      </c>
      <c r="C15" s="101">
        <v>0.2246449483302744</v>
      </c>
      <c r="D15" s="101">
        <v>0.2246449483302744</v>
      </c>
      <c r="E15" s="101">
        <v>0.2246449483302744</v>
      </c>
      <c r="F15" s="101">
        <v>0.2246449483302744</v>
      </c>
    </row>
    <row r="16" spans="1:8" ht="15.75" customHeight="1" x14ac:dyDescent="0.25">
      <c r="B16" s="19" t="s">
        <v>107</v>
      </c>
      <c r="C16" s="101">
        <v>2.822839752136674E-2</v>
      </c>
      <c r="D16" s="101">
        <v>2.822839752136674E-2</v>
      </c>
      <c r="E16" s="101">
        <v>2.822839752136674E-2</v>
      </c>
      <c r="F16" s="101">
        <v>2.822839752136674E-2</v>
      </c>
    </row>
    <row r="17" spans="1:8" ht="15.75" customHeight="1" x14ac:dyDescent="0.25">
      <c r="B17" s="19" t="s">
        <v>108</v>
      </c>
      <c r="C17" s="101">
        <v>2.7112007522432147E-4</v>
      </c>
      <c r="D17" s="101">
        <v>2.7112007522432147E-4</v>
      </c>
      <c r="E17" s="101">
        <v>2.7112007522432147E-4</v>
      </c>
      <c r="F17" s="101">
        <v>2.7112007522432147E-4</v>
      </c>
    </row>
    <row r="18" spans="1:8" ht="15.75" customHeight="1" x14ac:dyDescent="0.25">
      <c r="B18" s="19" t="s">
        <v>109</v>
      </c>
      <c r="C18" s="101">
        <v>0.27503508057082687</v>
      </c>
      <c r="D18" s="101">
        <v>0.27503508057082687</v>
      </c>
      <c r="E18" s="101">
        <v>0.27503508057082687</v>
      </c>
      <c r="F18" s="101">
        <v>0.27503508057082687</v>
      </c>
    </row>
    <row r="19" spans="1:8" ht="15.75" customHeight="1" x14ac:dyDescent="0.25">
      <c r="B19" s="19" t="s">
        <v>110</v>
      </c>
      <c r="C19" s="101">
        <v>2.040962263752499E-2</v>
      </c>
      <c r="D19" s="101">
        <v>2.040962263752499E-2</v>
      </c>
      <c r="E19" s="101">
        <v>2.040962263752499E-2</v>
      </c>
      <c r="F19" s="101">
        <v>2.040962263752499E-2</v>
      </c>
    </row>
    <row r="20" spans="1:8" ht="15.75" customHeight="1" x14ac:dyDescent="0.25">
      <c r="B20" s="19" t="s">
        <v>111</v>
      </c>
      <c r="C20" s="101">
        <v>5.8000995162372573E-2</v>
      </c>
      <c r="D20" s="101">
        <v>5.8000995162372573E-2</v>
      </c>
      <c r="E20" s="101">
        <v>5.8000995162372573E-2</v>
      </c>
      <c r="F20" s="101">
        <v>5.8000995162372573E-2</v>
      </c>
    </row>
    <row r="21" spans="1:8" ht="15.75" customHeight="1" x14ac:dyDescent="0.25">
      <c r="B21" s="19" t="s">
        <v>112</v>
      </c>
      <c r="C21" s="101">
        <v>9.9798367117911957E-2</v>
      </c>
      <c r="D21" s="101">
        <v>9.9798367117911957E-2</v>
      </c>
      <c r="E21" s="101">
        <v>9.9798367117911957E-2</v>
      </c>
      <c r="F21" s="101">
        <v>9.9798367117911957E-2</v>
      </c>
    </row>
    <row r="22" spans="1:8" ht="15.75" customHeight="1" x14ac:dyDescent="0.25">
      <c r="B22" s="19" t="s">
        <v>113</v>
      </c>
      <c r="C22" s="101">
        <v>0.14287376287390041</v>
      </c>
      <c r="D22" s="101">
        <v>0.14287376287390041</v>
      </c>
      <c r="E22" s="101">
        <v>0.14287376287390041</v>
      </c>
      <c r="F22" s="101">
        <v>0.14287376287390041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8.6770851999999982E-2</v>
      </c>
    </row>
    <row r="27" spans="1:8" ht="15.75" customHeight="1" x14ac:dyDescent="0.25">
      <c r="B27" s="19" t="s">
        <v>120</v>
      </c>
      <c r="C27" s="101">
        <v>8.6437730000000004E-3</v>
      </c>
    </row>
    <row r="28" spans="1:8" ht="15.75" customHeight="1" x14ac:dyDescent="0.25">
      <c r="B28" s="19" t="s">
        <v>121</v>
      </c>
      <c r="C28" s="101">
        <v>0.153215352</v>
      </c>
    </row>
    <row r="29" spans="1:8" ht="15.75" customHeight="1" x14ac:dyDescent="0.25">
      <c r="B29" s="19" t="s">
        <v>122</v>
      </c>
      <c r="C29" s="101">
        <v>0.165097191</v>
      </c>
    </row>
    <row r="30" spans="1:8" ht="15.75" customHeight="1" x14ac:dyDescent="0.25">
      <c r="B30" s="19" t="s">
        <v>2</v>
      </c>
      <c r="C30" s="101">
        <v>0.10312302</v>
      </c>
    </row>
    <row r="31" spans="1:8" ht="15.75" customHeight="1" x14ac:dyDescent="0.25">
      <c r="B31" s="19" t="s">
        <v>123</v>
      </c>
      <c r="C31" s="101">
        <v>0.106218667</v>
      </c>
    </row>
    <row r="32" spans="1:8" ht="15.75" customHeight="1" x14ac:dyDescent="0.25">
      <c r="B32" s="19" t="s">
        <v>124</v>
      </c>
      <c r="C32" s="101">
        <v>1.8201770999999999E-2</v>
      </c>
    </row>
    <row r="33" spans="2:3" ht="15.75" customHeight="1" x14ac:dyDescent="0.25">
      <c r="B33" s="19" t="s">
        <v>125</v>
      </c>
      <c r="C33" s="101">
        <v>8.2691194999999981E-2</v>
      </c>
    </row>
    <row r="34" spans="2:3" ht="15.75" customHeight="1" x14ac:dyDescent="0.25">
      <c r="B34" s="19" t="s">
        <v>126</v>
      </c>
      <c r="C34" s="101">
        <v>0.27603818000000002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xe2loC7nXs9gZNJFjm7Vsj0eFtKuY3kaZFVCqOCyQ4yeBAd/AhkV3+Vnb/j7W5qlnOdy919vOx0+64Jgo/C+6g==" saltValue="EZcEcO8wtXz5RtLq6fIB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132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133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137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138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DiCnBv5QXbZYUPuln0u7UG6Yt5l5Hk15BfaY8ow37V20sznV4Az7/+VTXLtphKURwZCVdNEv+GSvT1azXuyyg==" saltValue="J+S3cunnYH7D1inflLCb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6KM/IkpG730uQzLEkB0sptjFKaXHy2VfbB6qUNld8dBe6t/dPEjnHMZpAzXLCV9MzCofgQDuDq1U0PeHi7iM2A==" saltValue="8NrKTVAT/j+wfxM/8gPW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tx7WlvaRIi+2clGNsrnZF6qDByWOMnnpW62fQU0D2TMC29FhnF0avDmEjEc9fMYRlDfxmfJ1IGTXAWaZvi/2A==" saltValue="oYBjDomaCHolWPUUEeMo3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942.64990157953605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0.36761000000000005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0.57177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1.7520841453780484E-2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93257.122029999999</v>
      </c>
      <c r="C22" s="109">
        <v>92584.312149999998</v>
      </c>
      <c r="D22" s="109">
        <v>92057.16545</v>
      </c>
      <c r="E22" s="109">
        <v>91422.733919999999</v>
      </c>
      <c r="F22" s="109">
        <v>90580.78314</v>
      </c>
      <c r="G22" s="109">
        <v>89580.938460000005</v>
      </c>
      <c r="H22" s="109">
        <v>88268.341130000001</v>
      </c>
      <c r="I22" s="109">
        <v>86452.289130000005</v>
      </c>
      <c r="J22" s="109">
        <v>83870.802960000001</v>
      </c>
      <c r="K22" s="109">
        <v>80455.663520000002</v>
      </c>
      <c r="L22" s="109">
        <v>75831.760609999998</v>
      </c>
      <c r="M22" s="109">
        <v>69893.728610000006</v>
      </c>
      <c r="N22" s="109">
        <v>61930.883269999998</v>
      </c>
      <c r="O22" s="109">
        <v>52101.292840000002</v>
      </c>
    </row>
  </sheetData>
  <sheetProtection algorithmName="SHA-512" hashValue="mWw/LaKFQKDJZiPn8vBSnB4aS7006uC4IhtjgEAODLoX+h20NFKfzt1XPctV+zXQ6xUD+l01Dxh1g/xjTFPudA==" saltValue="y08iZFAvCf4zzA7FSMwr6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ktmRB9kE7x4ubDiJibFsvDnhk16KQD57x9fIGepxR4ruD1jpOSXuDdryqLEiNVoXqVJi/V62hY3fVVst+WKQg==" saltValue="HZpkpAhUu5ZPd2+huF8y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kxAoKX7dhIuhVISONnY+Vkfx5Y7mc04DBONbjTjhG40ER3UmaYMFzPPYtNe6fd2OSOTib7y1w9Fl0vIDaX97g==" saltValue="mbDA1b5OOwVcODyKCT972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9.2882626538987694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1.0608034800409418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0.32139211884942109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0.96417635654826328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5.6224350205198365E-2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0.37144779999999999</v>
      </c>
      <c r="C10" s="98">
        <v>0.95</v>
      </c>
      <c r="D10" s="56">
        <v>14.170171901025009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14.170171901025009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14.170171901025009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14.170171901025009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0.37144779999999999</v>
      </c>
      <c r="C14" s="98">
        <v>0.95</v>
      </c>
      <c r="D14" s="56">
        <v>14.170171901025009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14.170171901025009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0.690859</v>
      </c>
      <c r="C16" s="98">
        <v>0.95</v>
      </c>
      <c r="D16" s="56">
        <v>3.3847058823529408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0.107333333333333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0.58099999999999996</v>
      </c>
      <c r="C18" s="98">
        <v>0.95</v>
      </c>
      <c r="D18" s="56">
        <v>9.2882626538987694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0.61859039999999998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0.32610123119015044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9.2882626538987694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0.71000929999999995</v>
      </c>
      <c r="C23" s="98">
        <v>0.95</v>
      </c>
      <c r="D23" s="56">
        <v>4.6467238358608798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0.14178560559202999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0.37144779999999999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0.13601840000000001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0.1860724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6.4000000000000001E-2</v>
      </c>
      <c r="C31" s="98">
        <v>0.95</v>
      </c>
      <c r="D31" s="56">
        <v>84.685116279069774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0.9</v>
      </c>
      <c r="C32" s="98">
        <v>0.95</v>
      </c>
      <c r="D32" s="56">
        <v>0.24738714090287278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0.17338333982328599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0.29872090000000001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4.0841000000000002E-3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0.30379200000000001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1E-3</v>
      </c>
      <c r="C38" s="98">
        <v>0.95</v>
      </c>
      <c r="D38" s="56">
        <v>7.9276333789329687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VoHbERG0ZF+IKq9Di6PCwn6DPwMdeJp0CrjQJh8Seu3sEVP9yTaC4oTfIw/ALL8dGeflk73kPIJ2uAqY3xEM/A==" saltValue="pmaUlr86zyOLrWX7wEpb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6yUA7U0XiyBhUkUdWWXjPysBHn/BFKsg/adm6ZwkQXqJwEKcEDMmDLHCgstdLQSHYhiH4KvV0W46CMrIeVw7w==" saltValue="sNh6Ycm2PvEuOkfjOb8L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5GK8LfRYZwbbHonFpXZuphdf4XWy8hr/Mg1KdyhnzIunQRwILUQkE5NP32uDFG0La1HfF9Z4OomRulp23QdhQ==" saltValue="scSF/9qh7/OyTEdSHsH10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2.3660000000000001</v>
      </c>
      <c r="C2" s="21">
        <f>'Données pop de l''année de ref'!C52</f>
        <v>2.3660000000000001</v>
      </c>
      <c r="D2" s="21">
        <f>'Données pop de l''année de ref'!C53</f>
        <v>5.8760000000000003</v>
      </c>
      <c r="E2" s="21">
        <f>'Données pop de l''année de ref'!C54</f>
        <v>5.72</v>
      </c>
      <c r="F2" s="21">
        <f>'Données pop de l''année de ref'!C55</f>
        <v>3.0680000000000001</v>
      </c>
    </row>
    <row r="3" spans="1:6" ht="15.75" customHeight="1" x14ac:dyDescent="0.25">
      <c r="A3" s="3" t="s">
        <v>238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237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sheetProtection algorithmName="SHA-512" hashValue="DYrqr4WKV4PKatVFbbio7YeBkRMbi1teOhMEw222ttvq6IZve88fCxZ7fv5qC3w2Guq0hSeOFqxupUDFLv4ASw==" saltValue="jCeJiaoh3YEdU/3mvBaz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v8Aw/1ca5ZCAkedGy9//oxwfgZk/66ROuozr+GXtdvRATdGCAqTbo9IH35Fqh8bpYc5ds0xwLd4SgTDKjxpjw==" saltValue="VA117KUbyCcsXp+KGIea1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NreAH5ynWlGl1edhdIwTEuIwNYu9KB18rTodYSLF25KaU8oGL6Wb+glCp5KSKoYlKN3sVB290V4DE1lNfc7+g==" saltValue="mgumKx7HyY2CcnoKd6q2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hRHBJ5zjAjyC+6zMkzLlFgJGA2A5vh/PnHOc0vKb4Lc5S/YnxLrrnvjRikXgz1U4+mfPHgXEcOqGpgGeV+rrQ==" saltValue="4hduQ1Cfe/WtP9rUMJut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dizrLHOpcE/o3OQyMza0OAK6FN1xr8r0uATOzWSo/4Fen4R1RuFovPZ/u+Qf0xCBnhooV5j+tQQULZm+CqbXQ==" saltValue="5ygvcQq4JOrqNh447h8t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0dyLR8CO18t9jhcWkQBiV9kEBhjWaQzPuuauwqALhlDpWPjGhWrpnKM/y20f5VdXpTvI6Icek9vsh0RB17ORTg==" saltValue="F8Uwj19hsEMGvd+I/7d2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+nk98A9+aM7jjwGeFtKAJ2PGCXZ6j25STttmVXzeaRJJaJi7VyTOILK0l4Otw39XfoCSPnhZKneWJQfpuJZZ7g==" saltValue="RvtvnzeebEqOmTfwB9WU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zBShqqkfZ0SA5RMqWgAIusvr8xYfACwZBGUCi0+c9PlNedKp5OhIYRyRbI2mp2V0iIXRiEAzM6C5pUmxtGZVg==" saltValue="eIYU3LaqzPW0lYCKSwjlr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+gxr0qQnetEeaFtYXhTWO77Aid7HCsUGcArgmJ4FPYVHVss9UHc7s2xMh0LYFap89awgFFPRskXZaWREGtedw==" saltValue="V8tLcJzOKk+eUIOXev6Q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YQExFHt8lMHZoRyTLfirtdQiTX7NZimWKUs7S2N9G2XK5mU37R3fQoIsgY0MlvSuAZ9x4xSGV6ZBN/goEl+v+A==" saltValue="/uA0+c6ebr1F0FDWugCk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PrUcbMkqNAg8NMrm2eeE2nq9agdRcB5eOOMzxUvfjpaxHJ0LAbjm8yXFQbBxUU7uIDsNelxnrDjndzP0FcLUg==" saltValue="u1u0YmCOmsXzq2BTetqs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KzRubXmqNDFd/m83nPqKaN0Z048buvKFJY/HLxdYreEiN3M7E8D6Z1BYDNaAJULx54lBIt0bv1+E69DubEHMA==" saltValue="tCNhmpY9S18iyCCt7jwa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KEuF9ytUP66z/URrUALh0NiW2DdNMk1J0b+MAuHVheCEmUNNSYoeTYO+dG4H/ERaohGppgA/cORG9jQUBZ+Hg==" saltValue="LiZb6k3KnHAz1Y3hnsuz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I/3X1eMJfB7LgVRY5gcIhK8jEq5HVb9gnMMrXIzDO8Ygz9jjdBAxRze9HMM9+2+jVSO9qFCqR4AjByFKyHmDA==" saltValue="rm7HT6LKPnKQDqwjmoGY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Fyt2Ciwij+AefDtHwZxBCTG/98Z9URYxBU9K5o+m4IRh09H46CL431np+emB0slLVCLuztEpiwuMlNq2xWhaA==" saltValue="H1NUy/QbFWXGVat0BT0I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Nz3qHiiY3P5Yr6OzRpCv7gbIsO+NvaYHdJ8WnrubE2WqJTEpuzHrrs5i9GaCJVcQg+pbmx2bspKOZYKdsp395w==" saltValue="cmjuc5BNrMfMPMp/H+ucN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