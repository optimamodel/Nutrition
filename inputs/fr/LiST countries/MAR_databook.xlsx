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26E0F38-C5B4-4A57-B2AE-F89D33A2E6B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37" i="2"/>
  <c r="A32" i="2"/>
  <c r="A31" i="2"/>
  <c r="A29" i="2"/>
  <c r="A24" i="2"/>
  <c r="A23" i="2"/>
  <c r="A21" i="2"/>
  <c r="A15" i="2"/>
  <c r="H13" i="2"/>
  <c r="I13" i="2" s="1"/>
  <c r="G13" i="2"/>
  <c r="H12" i="2"/>
  <c r="G12" i="2"/>
  <c r="I12" i="2" s="1"/>
  <c r="I11" i="2"/>
  <c r="H11" i="2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I8" i="2" l="1"/>
  <c r="A16" i="2"/>
  <c r="I38" i="2"/>
  <c r="A17" i="2"/>
  <c r="A25" i="2"/>
  <c r="A33" i="2"/>
  <c r="A18" i="2"/>
  <c r="A19" i="2"/>
  <c r="A27" i="2"/>
  <c r="A3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6" i="2"/>
  <c r="A34" i="2"/>
  <c r="A39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<sst xmlns="http://schemas.openxmlformats.org/spreadsheetml/2006/main" count="2101" uniqueCount="337">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</sst>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3163964.28125</v>
      </c>
    </row>
    <row r="8" spans="1:3" ht="15" customHeight="1" x14ac:dyDescent="0.25">
      <c r="B8" s="5" t="s">
        <v>19</v>
      </c>
      <c r="C8" s="44">
        <v>0.01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0.63021438598632795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6.9099999999999995E-2</v>
      </c>
    </row>
    <row r="24" spans="1:3" ht="15" customHeight="1" x14ac:dyDescent="0.25">
      <c r="B24" s="15" t="s">
        <v>33</v>
      </c>
      <c r="C24" s="45">
        <v>0.43240000000000001</v>
      </c>
    </row>
    <row r="25" spans="1:3" ht="15" customHeight="1" x14ac:dyDescent="0.25">
      <c r="B25" s="15" t="s">
        <v>34</v>
      </c>
      <c r="C25" s="45">
        <v>0.39429999999999998</v>
      </c>
    </row>
    <row r="26" spans="1:3" ht="15" customHeight="1" x14ac:dyDescent="0.25">
      <c r="B26" s="15" t="s">
        <v>35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0.27342300031322098</v>
      </c>
    </row>
    <row r="30" spans="1:3" ht="14.25" customHeight="1" x14ac:dyDescent="0.25">
      <c r="B30" s="25" t="s">
        <v>38</v>
      </c>
      <c r="C30" s="99">
        <v>5.2040607424200101E-2</v>
      </c>
    </row>
    <row r="31" spans="1:3" ht="14.25" customHeight="1" x14ac:dyDescent="0.25">
      <c r="B31" s="25" t="s">
        <v>39</v>
      </c>
      <c r="C31" s="99">
        <v>6.8435949585570102E-2</v>
      </c>
    </row>
    <row r="32" spans="1:3" ht="14.25" customHeight="1" x14ac:dyDescent="0.25">
      <c r="B32" s="25" t="s">
        <v>40</v>
      </c>
      <c r="C32" s="99">
        <v>0.60610044267700902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11.120749999999999</v>
      </c>
    </row>
    <row r="38" spans="1:5" ht="15" customHeight="1" x14ac:dyDescent="0.25">
      <c r="B38" s="11" t="s">
        <v>45</v>
      </c>
      <c r="C38" s="43">
        <v>15.422169999999999</v>
      </c>
      <c r="D38" s="12"/>
      <c r="E38" s="13"/>
    </row>
    <row r="39" spans="1:5" ht="15" customHeight="1" x14ac:dyDescent="0.25">
      <c r="B39" s="11" t="s">
        <v>46</v>
      </c>
      <c r="C39" s="43">
        <v>17.995570000000001</v>
      </c>
      <c r="D39" s="12"/>
      <c r="E39" s="12"/>
    </row>
    <row r="40" spans="1:5" ht="15" customHeight="1" x14ac:dyDescent="0.25">
      <c r="B40" s="11" t="s">
        <v>47</v>
      </c>
      <c r="C40" s="100">
        <v>0.72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7.4773000000000001E-3</v>
      </c>
      <c r="D45" s="12"/>
    </row>
    <row r="46" spans="1:5" ht="15.75" customHeight="1" x14ac:dyDescent="0.25">
      <c r="B46" s="11" t="s">
        <v>52</v>
      </c>
      <c r="C46" s="45">
        <v>8.0342499999999997E-2</v>
      </c>
      <c r="D46" s="12"/>
    </row>
    <row r="47" spans="1:5" ht="15.75" customHeight="1" x14ac:dyDescent="0.25">
      <c r="B47" s="11" t="s">
        <v>53</v>
      </c>
      <c r="C47" s="45">
        <v>7.38901E-2</v>
      </c>
      <c r="D47" s="12"/>
      <c r="E47" s="13"/>
    </row>
    <row r="48" spans="1:5" ht="15" customHeight="1" x14ac:dyDescent="0.25">
      <c r="B48" s="11" t="s">
        <v>54</v>
      </c>
      <c r="C48" s="46">
        <v>0.83829009999999993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0.55589599999999983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k/AzuyhN1sfrWbGuAV9J+rQb4V/PVCxOJGy4JN2LeRQGzs3H19sT3+RLLZ1xNCeOLpRS4Z2+RHJcccZwapTLug==" saltValue="BM1vqYX6w4P4n987vXWS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630394</v>
      </c>
      <c r="C2" s="49">
        <v>1852641.5</v>
      </c>
      <c r="D2" s="49">
        <v>2835114</v>
      </c>
      <c r="E2" s="49">
        <v>2798930.5</v>
      </c>
      <c r="F2" s="49">
        <v>2234318</v>
      </c>
      <c r="G2" s="17">
        <f t="shared" ref="G2:G13" si="0">C2+D2+E2+F2</f>
        <v>9721004</v>
      </c>
      <c r="H2" s="17">
        <f t="shared" ref="H2:H13" si="1">(B2 + stillbirth*B2/(1000-stillbirth))/(1-abortion)</f>
        <v>725956.39365992113</v>
      </c>
      <c r="I2" s="17">
        <f t="shared" ref="I2:I13" si="2">G2-H2</f>
        <v>8995047.6063400786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623362</v>
      </c>
      <c r="C3" s="50">
        <v>1880948</v>
      </c>
      <c r="D3" s="50">
        <v>2844455</v>
      </c>
      <c r="E3" s="50">
        <v>2794516.5</v>
      </c>
      <c r="F3" s="50">
        <v>2273010</v>
      </c>
      <c r="G3" s="17">
        <f t="shared" si="0"/>
        <v>9792929.5</v>
      </c>
      <c r="H3" s="17">
        <f t="shared" si="1"/>
        <v>717858.40199087514</v>
      </c>
      <c r="I3" s="17">
        <f t="shared" si="2"/>
        <v>9075071.0980091244</v>
      </c>
    </row>
    <row r="4" spans="1:9" ht="15.75" customHeight="1" x14ac:dyDescent="0.25">
      <c r="A4" s="5">
        <f t="shared" si="3"/>
        <v>2026</v>
      </c>
      <c r="B4" s="49">
        <v>618090</v>
      </c>
      <c r="C4" s="50">
        <v>1909862</v>
      </c>
      <c r="D4" s="50">
        <v>2859133</v>
      </c>
      <c r="E4" s="50">
        <v>2785489.5</v>
      </c>
      <c r="F4" s="50">
        <v>2309130.5</v>
      </c>
      <c r="G4" s="17">
        <f t="shared" si="0"/>
        <v>9863615</v>
      </c>
      <c r="H4" s="17">
        <f t="shared" si="1"/>
        <v>711787.21142215922</v>
      </c>
      <c r="I4" s="17">
        <f t="shared" si="2"/>
        <v>9151827.7885778416</v>
      </c>
    </row>
    <row r="5" spans="1:9" ht="15.75" customHeight="1" x14ac:dyDescent="0.25">
      <c r="A5" s="5">
        <f t="shared" si="3"/>
        <v>2027</v>
      </c>
      <c r="B5" s="49">
        <v>614297</v>
      </c>
      <c r="C5" s="50">
        <v>1937064</v>
      </c>
      <c r="D5" s="50">
        <v>2876348</v>
      </c>
      <c r="E5" s="50">
        <v>2777455</v>
      </c>
      <c r="F5" s="50">
        <v>2343498</v>
      </c>
      <c r="G5" s="17">
        <f t="shared" si="0"/>
        <v>9934365</v>
      </c>
      <c r="H5" s="17">
        <f t="shared" si="1"/>
        <v>707419.22473264101</v>
      </c>
      <c r="I5" s="17">
        <f t="shared" si="2"/>
        <v>9226945.7752673589</v>
      </c>
    </row>
    <row r="6" spans="1:9" ht="15.75" customHeight="1" x14ac:dyDescent="0.25">
      <c r="A6" s="5">
        <f t="shared" si="3"/>
        <v>2028</v>
      </c>
      <c r="B6" s="49">
        <v>611320</v>
      </c>
      <c r="C6" s="50">
        <v>1959953.5</v>
      </c>
      <c r="D6" s="50">
        <v>2896239</v>
      </c>
      <c r="E6" s="50">
        <v>2773700</v>
      </c>
      <c r="F6" s="50">
        <v>2375359</v>
      </c>
      <c r="G6" s="17">
        <f t="shared" si="0"/>
        <v>10005251.5</v>
      </c>
      <c r="H6" s="17">
        <f t="shared" si="1"/>
        <v>703990.93673509418</v>
      </c>
      <c r="I6" s="17">
        <f t="shared" si="2"/>
        <v>9301260.5632649064</v>
      </c>
    </row>
    <row r="7" spans="1:9" ht="15.75" customHeight="1" x14ac:dyDescent="0.25">
      <c r="A7" s="5">
        <f t="shared" si="3"/>
        <v>2029</v>
      </c>
      <c r="B7" s="49">
        <v>607325</v>
      </c>
      <c r="C7" s="50">
        <v>1975324.5</v>
      </c>
      <c r="D7" s="50">
        <v>2923451</v>
      </c>
      <c r="E7" s="50">
        <v>2770270.5</v>
      </c>
      <c r="F7" s="50">
        <v>2401165.5</v>
      </c>
      <c r="G7" s="17">
        <f t="shared" si="0"/>
        <v>10070211.5</v>
      </c>
      <c r="H7" s="17">
        <f t="shared" si="1"/>
        <v>699390.32855565182</v>
      </c>
      <c r="I7" s="17">
        <f t="shared" si="2"/>
        <v>9370821.171444349</v>
      </c>
    </row>
    <row r="8" spans="1:9" ht="15.75" customHeight="1" x14ac:dyDescent="0.25">
      <c r="A8" s="5">
        <f t="shared" si="3"/>
        <v>2030</v>
      </c>
      <c r="B8" s="49">
        <v>606213</v>
      </c>
      <c r="C8" s="50">
        <v>1980200</v>
      </c>
      <c r="D8" s="50">
        <v>2956224.5</v>
      </c>
      <c r="E8" s="50">
        <v>2765334</v>
      </c>
      <c r="F8" s="50">
        <v>2420415</v>
      </c>
      <c r="G8" s="17">
        <f t="shared" si="0"/>
        <v>10122173.5</v>
      </c>
      <c r="H8" s="17">
        <f t="shared" si="1"/>
        <v>698109.7587695343</v>
      </c>
      <c r="I8" s="17">
        <f t="shared" si="2"/>
        <v>9424063.7412304655</v>
      </c>
    </row>
    <row r="9" spans="1:9" ht="15.75" customHeight="1" x14ac:dyDescent="0.25">
      <c r="A9" s="5">
        <f t="shared" si="3"/>
        <v>2031</v>
      </c>
      <c r="B9" s="49">
        <v>601217</v>
      </c>
      <c r="C9" s="50">
        <v>1976081</v>
      </c>
      <c r="D9" s="50">
        <v>2992068.5</v>
      </c>
      <c r="E9" s="50">
        <v>2760482</v>
      </c>
      <c r="F9" s="50">
        <v>2435630</v>
      </c>
      <c r="G9" s="17">
        <f t="shared" si="0"/>
        <v>10164261.5</v>
      </c>
      <c r="H9" s="17">
        <f t="shared" si="1"/>
        <v>692356.40746427909</v>
      </c>
      <c r="I9" s="17">
        <f t="shared" si="2"/>
        <v>9471905.0925357211</v>
      </c>
    </row>
    <row r="10" spans="1:9" ht="15.75" customHeight="1" x14ac:dyDescent="0.25">
      <c r="A10" s="5">
        <f t="shared" si="3"/>
        <v>2032</v>
      </c>
      <c r="B10" s="49">
        <v>600345</v>
      </c>
      <c r="C10" s="50">
        <v>1967055</v>
      </c>
      <c r="D10" s="50">
        <v>3031649</v>
      </c>
      <c r="E10" s="50">
        <v>2755414.5</v>
      </c>
      <c r="F10" s="50">
        <v>2447903.5</v>
      </c>
      <c r="G10" s="17">
        <f t="shared" si="0"/>
        <v>10202022</v>
      </c>
      <c r="H10" s="17">
        <f t="shared" si="1"/>
        <v>691352.21964638832</v>
      </c>
      <c r="I10" s="17">
        <f t="shared" si="2"/>
        <v>9510669.7803536113</v>
      </c>
    </row>
    <row r="11" spans="1:9" ht="15.75" customHeight="1" x14ac:dyDescent="0.25">
      <c r="A11" s="5">
        <f t="shared" si="3"/>
        <v>2033</v>
      </c>
      <c r="B11" s="49">
        <v>601915</v>
      </c>
      <c r="C11" s="50">
        <v>1952066</v>
      </c>
      <c r="D11" s="50">
        <v>3072565.5</v>
      </c>
      <c r="E11" s="50">
        <v>2752578.5</v>
      </c>
      <c r="F11" s="50">
        <v>2457664.5</v>
      </c>
      <c r="G11" s="17">
        <f t="shared" si="0"/>
        <v>10234874.5</v>
      </c>
      <c r="H11" s="17">
        <f t="shared" si="1"/>
        <v>693160.21835520549</v>
      </c>
      <c r="I11" s="17">
        <f t="shared" si="2"/>
        <v>9541714.2816447951</v>
      </c>
    </row>
    <row r="12" spans="1:9" ht="15.75" customHeight="1" x14ac:dyDescent="0.25">
      <c r="A12" s="5">
        <f t="shared" si="3"/>
        <v>2034</v>
      </c>
      <c r="B12" s="49">
        <v>602129</v>
      </c>
      <c r="C12" s="50">
        <v>1933447</v>
      </c>
      <c r="D12" s="50">
        <v>3110031.5</v>
      </c>
      <c r="E12" s="50">
        <v>2755712.5</v>
      </c>
      <c r="F12" s="50">
        <v>2463259</v>
      </c>
      <c r="G12" s="17">
        <f t="shared" si="0"/>
        <v>10262450</v>
      </c>
      <c r="H12" s="17">
        <f t="shared" si="1"/>
        <v>693406.658943541</v>
      </c>
      <c r="I12" s="17">
        <f t="shared" si="2"/>
        <v>9569043.3410564587</v>
      </c>
    </row>
    <row r="13" spans="1:9" ht="15.75" customHeight="1" x14ac:dyDescent="0.25">
      <c r="A13" s="5">
        <f t="shared" si="3"/>
        <v>2035</v>
      </c>
      <c r="B13" s="49">
        <v>599807</v>
      </c>
      <c r="C13" s="50">
        <v>1913295.5</v>
      </c>
      <c r="D13" s="50">
        <v>3142380</v>
      </c>
      <c r="E13" s="50">
        <v>2765336.5</v>
      </c>
      <c r="F13" s="50">
        <v>2462596.5</v>
      </c>
      <c r="G13" s="17">
        <f t="shared" si="0"/>
        <v>10283608.5</v>
      </c>
      <c r="H13" s="17">
        <f t="shared" si="1"/>
        <v>690732.66340094653</v>
      </c>
      <c r="I13" s="17">
        <f t="shared" si="2"/>
        <v>9592875.8365990538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9/emUv6SLj1kr7J1SFA0dv9QrS2RFqdIKwz+LfZAnIgl/8xW6Dnl5Hh7F0k1DBf5IcoCa78uVcHq3Q4HqgKGA==" saltValue="euP+vkOeOkg/OC2GKsIs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4.1866000000000082E-3</v>
      </c>
    </row>
    <row r="4" spans="1:8" ht="15.75" customHeight="1" x14ac:dyDescent="0.25">
      <c r="B4" s="19" t="s">
        <v>79</v>
      </c>
      <c r="C4" s="101">
        <v>3.4764499999999997E-2</v>
      </c>
    </row>
    <row r="5" spans="1:8" ht="15.75" customHeight="1" x14ac:dyDescent="0.25">
      <c r="B5" s="19" t="s">
        <v>80</v>
      </c>
      <c r="C5" s="101">
        <v>3.1592600000000033E-2</v>
      </c>
    </row>
    <row r="6" spans="1:8" ht="15.75" customHeight="1" x14ac:dyDescent="0.25">
      <c r="B6" s="19" t="s">
        <v>81</v>
      </c>
      <c r="C6" s="101">
        <v>0.16727610000000029</v>
      </c>
    </row>
    <row r="7" spans="1:8" ht="15.75" customHeight="1" x14ac:dyDescent="0.25">
      <c r="B7" s="19" t="s">
        <v>82</v>
      </c>
      <c r="C7" s="101">
        <v>0.51364719999999997</v>
      </c>
    </row>
    <row r="8" spans="1:8" ht="15.75" customHeight="1" x14ac:dyDescent="0.25">
      <c r="B8" s="19" t="s">
        <v>83</v>
      </c>
      <c r="C8" s="101">
        <v>5.142000000000009E-4</v>
      </c>
    </row>
    <row r="9" spans="1:8" ht="15.75" customHeight="1" x14ac:dyDescent="0.25">
      <c r="B9" s="19" t="s">
        <v>84</v>
      </c>
      <c r="C9" s="101">
        <v>0.1789375999999997</v>
      </c>
    </row>
    <row r="10" spans="1:8" ht="15.75" customHeight="1" x14ac:dyDescent="0.25">
      <c r="B10" s="19" t="s">
        <v>85</v>
      </c>
      <c r="C10" s="101">
        <v>6.9081200000000106E-2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88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89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90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93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94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95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2.9403015000000001E-2</v>
      </c>
    </row>
    <row r="27" spans="1:8" ht="15.75" customHeight="1" x14ac:dyDescent="0.25">
      <c r="B27" s="19" t="s">
        <v>102</v>
      </c>
      <c r="C27" s="101">
        <v>9.4778499999999995E-3</v>
      </c>
    </row>
    <row r="28" spans="1:8" ht="15.75" customHeight="1" x14ac:dyDescent="0.25">
      <c r="B28" s="19" t="s">
        <v>103</v>
      </c>
      <c r="C28" s="101">
        <v>0.26792401599999999</v>
      </c>
    </row>
    <row r="29" spans="1:8" ht="15.75" customHeight="1" x14ac:dyDescent="0.25">
      <c r="B29" s="19" t="s">
        <v>104</v>
      </c>
      <c r="C29" s="101">
        <v>0.15314538599999999</v>
      </c>
    </row>
    <row r="30" spans="1:8" ht="15.75" customHeight="1" x14ac:dyDescent="0.25">
      <c r="B30" s="19" t="s">
        <v>2</v>
      </c>
      <c r="C30" s="101">
        <v>8.2032367999999994E-2</v>
      </c>
    </row>
    <row r="31" spans="1:8" ht="15.75" customHeight="1" x14ac:dyDescent="0.25">
      <c r="B31" s="19" t="s">
        <v>105</v>
      </c>
      <c r="C31" s="101">
        <v>7.4517409999999996E-3</v>
      </c>
    </row>
    <row r="32" spans="1:8" ht="15.75" customHeight="1" x14ac:dyDescent="0.25">
      <c r="B32" s="19" t="s">
        <v>106</v>
      </c>
      <c r="C32" s="101">
        <v>1.1600134E-2</v>
      </c>
    </row>
    <row r="33" spans="2:3" ht="15.75" customHeight="1" x14ac:dyDescent="0.25">
      <c r="B33" s="19" t="s">
        <v>107</v>
      </c>
      <c r="C33" s="101">
        <v>0.249526525</v>
      </c>
    </row>
    <row r="34" spans="2:3" ht="15.75" customHeight="1" x14ac:dyDescent="0.25">
      <c r="B34" s="19" t="s">
        <v>108</v>
      </c>
      <c r="C34" s="101">
        <v>0.18943896499999999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9QTQTcgU+6cj6mgPDNgw2t4PIQsYC7XLkzQ6/tOeEaMWeylDNsqcblBtLydOTivI71MRqWzJg0Y6GdV0CUqJ9g==" saltValue="V6PMTWfPvgfS80kBgbaZ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114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115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119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120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UNKDlPTy7SC6msSJqKxJcDIo5HZc6AgH9u6LbLRDAq3//rDiXDHvBllNylvWy9i4KG+hnSENkmNYKc7ZkUQ/Q==" saltValue="HHln9+O97A4p6Zug1S99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132</v>
      </c>
      <c r="C5" s="52">
        <v>6.1403399999999997E-2</v>
      </c>
      <c r="D5" s="52">
        <v>0.12617310000000001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Bi5h0+GhGIxr4tgszDQ9T2yD+uxsLDqAi/WK19fVdme7JdF4mZtggKvYqKDMsPrQ++OptbLzkjuGMS32yEs5lw==" saltValue="CqIV+vTUVDFEVBqtLRN+8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XWrQ4E1jQA/R+AF9qnknZdnENqmlg5c5wS6agNbDUoW24OeSrK+r+wcvx62MqIOP/UZ0UCgV8QYo92cGOO9HA==" saltValue="bDS7HwHuw7kLRI0EbWE6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RBNyjYqPjcqarxrEmajrYgjuVJYHBKAp2yQYPtceEHPArcLF5yloSXmkKbsA0TtANF8gZpOCuchBNWaBsaX8hA==" saltValue="Ar0L1n+tZgX2oX+yDh1w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yY2E2hnR4+l6JJX7eMWl78nnUXUvwvygzdPJODARE8dY3haVJJ25mmA9VtbdG6T3bBMqzti1L285IBLXoah8qw==" saltValue="/DhjObKl70sa+1sezzwX9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j+9ypjvTzITEagaiImGBrKfOnXm6Z5xRc9u4wteVilL+G6AOXUac2djawq1oVxdGNfSMGCmacfZl9OtL4i0nrw==" saltValue="3gzBwTt8Ee2njr+7bRfO1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50.04836698295685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39.701244624562811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289.27755605473601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0.82846436751195696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5.2149899999999999E-2</v>
      </c>
      <c r="C10" s="98">
        <v>0.95</v>
      </c>
      <c r="D10" s="56">
        <v>12.833544068358719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12.833544068358719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12.833544068358719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12.833544068358719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5.2149899999999999E-2</v>
      </c>
      <c r="C14" s="98">
        <v>0.95</v>
      </c>
      <c r="D14" s="56">
        <v>12.833544068358719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12.833544068358719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0.54030986825407035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0.26531189999999999</v>
      </c>
      <c r="C18" s="98">
        <v>0.95</v>
      </c>
      <c r="D18" s="56">
        <v>6.7065442721728772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0.26531189999999999</v>
      </c>
      <c r="C19" s="98">
        <v>0.95</v>
      </c>
      <c r="D19" s="56">
        <v>6.7065442721728772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10.934248210384361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22.05293698426788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4.1676905525779402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0.51984672980000002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5.2149899999999999E-2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18.396567802509001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0.22873869999999999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0.223</v>
      </c>
      <c r="C29" s="98">
        <v>0.95</v>
      </c>
      <c r="D29" s="56">
        <v>95.432494803225381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0.78911240795034354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0.99</v>
      </c>
      <c r="C32" s="98">
        <v>0.95</v>
      </c>
      <c r="D32" s="56">
        <v>1.141754871233807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6.2779399999999999E-2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0.7931416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3.7489377776772859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2L0xgrw4NsRIymHhnVlFanpWVsTvNLaQWj7GKoklJfvoFxluyrHjiYKfIVlZXvjvoqueLEONXjsFDqZjU60P6w==" saltValue="iJ14E30FyZ/ouC6GHlBL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Cnqgb8KDheMamgXsKRGg6ZXcUISF3CnomTBHnRE+soc+OxMc7tcq8u7dbRGZnE0dz9igsXJ9tGx7X1TWkxHfug==" saltValue="6yB37EToXjcY0t+3OdX5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oMf3etygqVvgkN1DcyZwjTfsD6Fsax6UvhRsAVtykRAs7K5lXG5HDXQR+mPLVWJm51WAHSnbSazD/FgE9PMJbg==" saltValue="GyGQygzC+mdPUT1v2lNs5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208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sheetProtection algorithmName="SHA-512" hashValue="Wu0tNTJaAr3K+3unBot3HTHrqov/WpY9KBWd7dEpXw3+qfVLlbk7mPxWnzxhF2smeWCYNWW+4x/c+THoD/rGCw==" saltValue="JRyBD5GnxgWCNYJWhhv6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MNVFBwAddaXSeFQHZl8K3mO6nSdlxWKKqD3Kp5IiqlG4bYybFsBaa0CPZDXRpYEWc0DP172RXl1kekU833jVw==" saltValue="vGbNIuqiYAnbrNMMIu5h+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WWaGesgXOe0Tr/jmGkT59UQ8p3eaQnVr9RTMIaYnM4lDnZCYZtp7DVR/B+mNVWlOWMpi0b58pKDT9Mmsw0YC5A==" saltValue="yeNKWYvCIRHYG/NUqNpFF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RlnbkSvmUR4IwdajDFEBK8/Zbx4ICUIR/C9d8U/KqKUQS28Kh+DQZW31IMBDjiWJx+Wgl1sAe6rc/9DiS08LA==" saltValue="slerqTEaevACFZVgcXikR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5sUmUYc17wjNWbO164fsn8b2qb3TUpy3X+R5Ghk6wl7RpPTQy77sw/6Kp4FezyQqpeNSYf1d+r/ZvBD2wmgcw==" saltValue="w+GO/ENR03NH1ylnQbly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QeQArI0KUMx8oef2SA1ZpWTX3dM2SJnzV34BwqMoDdQ0S/LNwLT1vRsRTmS6fk5i+/Hxtwqa94+Xeq1cPOceA==" saltValue="jckJElxGh8IpXTBwGjZMk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nb0NxP2/DXN+DXBPFAwoPZcDS/pxU7XshrWOs2KxWzjZyF8UMt80Z2MCVrZlsA+QYkiTYK3x2m7GGqo+uH1xQ==" saltValue="odRY02KPH4/uhwOnDpdh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lhZBVakIylNS1cqWJdvLcWuDXNMKMqPISVZ/rL9cFlT8mps60c5LhQSecfOYKASb9ukqYIOwAOg+7L8f1ZuCw==" saltValue="FaCJHbR71IlyBqT95CEcF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LG+HvOMk7AsQ7LK9YAE3PaR45A/VuZXJjWe9SIMwa9/4Tm3PganesuX2V6fILC00l/InEo/ZXqQDw9Nck4b3Q==" saltValue="gjwLNfwAck74ge5Fftmk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+pJrm0sR0kRZ/goLycMhqjAwQ/YJEiZPBuCLa4Lq3Q2eTke1wzarX+xKjAwlNQLOmJz0tLfIJ5FlaWQQsC0bw==" saltValue="6jMTR3SZnq41ZxpFDIYh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XVAO8tKycA4PwgkWcB5W6H9J5SZ8llF79UBCLzlh+KsOc8pUT57vWI5B9zQX+RpeneJWq2irAGl879dRBMjcw==" saltValue="5egKmIBJetGtMqT5zJaT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DcPON5HiLcY4on/SAlfqYTcdjiYXh1rPCpobiSxVr/nCvPy7p+v26BTk2drPSo4vgsFeyXY+a1cR7esqagi4A==" saltValue="RWgP2cBI1IDzcER3S3W2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ElACUNXpSFhRKDx9pSqTf7nWGeGqJQlSFf21NCoBUGgxCuGyUwg6oo7M9u5sMP2Jh45xv2V7r3q4fViFsXLuw==" saltValue="pCUyeO6IpX8LjdMQETk8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fUxyxhtvAgfzK+RHOTKNZHKu3iwBFHE8p7pqhD2IohINw9D0td5qzhlSoSMucr1Cwb52BKOl+99QuicLy472Q==" saltValue="1SgjxbbyyZ3FjfWn+Nsg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0.10477722737380568</v>
      </c>
      <c r="G18" s="90">
        <f>MIN(MAX(1-0.89/(1-frac_sam_12_23months+(frac_sam_12_23months*0.89)),0),1)</f>
        <v>0.10681051233807659</v>
      </c>
      <c r="H18" s="90">
        <f>MIN(MAX(1-0.89/(1-frac_sam_24_59months+(frac_sam_24_59months*0.89)),0),1)</f>
        <v>0.10518178240636422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0.10473871415114289</v>
      </c>
      <c r="G20" s="90">
        <f>MIN(MAX(1-0.89/(1-frac_mam_12_23months+(frac_mam_12_23months*0.89)),0),1)</f>
        <v>0.10620977439972468</v>
      </c>
      <c r="H20" s="90">
        <f>MIN(MAX(1-0.89/(1-frac_mam_24_59months+(frac_mam_24_59months*0.89)),0),1)</f>
        <v>0.10386849077987714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9.474657054913016E-3</v>
      </c>
      <c r="G73" s="90">
        <f>MIN(MAX(1-0.99/(1-frac_sam_12_23months+(frac_sam_12_23months*0.99)),0),1)</f>
        <v>9.6785149072589061E-3</v>
      </c>
      <c r="H73" s="90">
        <f>MIN(MAX(1-0.99/(1-frac_sam_24_59months+(frac_sam_24_59months*0.99)),0),1)</f>
        <v>9.5151507328897766E-3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9.4708038337729672E-3</v>
      </c>
      <c r="G75" s="90">
        <f>MIN(MAX(1-0.99/(1-frac_mam_12_23months+(frac_mam_12_23months*0.99)),0),1)</f>
        <v>9.6181969207131957E-3</v>
      </c>
      <c r="H75" s="90">
        <f>MIN(MAX(1-0.99/(1-frac_mam_24_59months+(frac_mam_24_59months*0.99)),0),1)</f>
        <v>9.3838189042672049E-3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0.19142313409568112</v>
      </c>
      <c r="G128" s="90">
        <f>MIN(MAX(1-0.8/(1-frac_sam_12_23months+(frac_sam_12_23months*0.8)),0),1)</f>
        <v>0.19477202516425995</v>
      </c>
      <c r="H128" s="90">
        <f>MIN(MAX(1-0.8/(1-frac_sam_24_59months+(frac_sam_24_59months*0.8)),0),1)</f>
        <v>0.19209045242187339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0.19135958007626441</v>
      </c>
      <c r="G130" s="90">
        <f>MIN(MAX(1-0.8/(1-frac_mam_12_23months+(frac_mam_12_23months*0.8)),0),1)</f>
        <v>0.19378389647427385</v>
      </c>
      <c r="H130" s="90">
        <f>MIN(MAX(1-0.8/(1-frac_mam_24_59months+(frac_mam_24_59months*0.8)),0),1)</f>
        <v>0.18992234231038441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4X3qI8yptSWm44Ec25YqkwJ0+KExL2ikbDmjPP5Y0cBoiDHOp5fp4UBzFSXtl4qIyWmsrtv78UUeWihKgtcIw==" saltValue="2zKxL4uK8RPhlEJhWiE9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EezXDruvNVruqwwvP5bXraxlD9Ixbx+dmC4ljlP0yPnnT59gnyYkRZ4CezqlPA20+oqSeZY28/qlJOWka7k3Q==" saltValue="y+dy4LqTfcbwSsDHMRyot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2024-08-06T09:21:44Z</dcterms:modified>
</cp:coreProperties>
</file>