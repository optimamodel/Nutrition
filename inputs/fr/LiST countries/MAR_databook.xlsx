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70158114-5980-413B-8940-AF9553300C5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3" i="2" l="1"/>
  <c r="I9" i="2"/>
  <c r="I39" i="2"/>
  <c r="A36" i="2"/>
  <c r="A37" i="2"/>
  <c r="A35" i="2"/>
  <c r="A19" i="2"/>
  <c r="A23" i="2"/>
  <c r="A22" i="2"/>
  <c r="A24" i="2"/>
  <c r="A40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<sst xmlns="http://schemas.openxmlformats.org/spreadsheetml/2006/main" count="2169" uniqueCount="369">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</sst>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3145744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0.63021438598632795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6.9099999999999995E-2</v>
      </c>
    </row>
    <row r="24" spans="1:3" ht="15" customHeight="1" x14ac:dyDescent="0.25">
      <c r="B24" s="15" t="s">
        <v>51</v>
      </c>
      <c r="C24" s="45">
        <v>0.43240000000000001</v>
      </c>
    </row>
    <row r="25" spans="1:3" ht="15" customHeight="1" x14ac:dyDescent="0.25">
      <c r="B25" s="15" t="s">
        <v>52</v>
      </c>
      <c r="C25" s="45">
        <v>0.39429999999999998</v>
      </c>
    </row>
    <row r="26" spans="1:3" ht="15" customHeight="1" x14ac:dyDescent="0.25">
      <c r="B26" s="15" t="s">
        <v>53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0.27342300031322098</v>
      </c>
    </row>
    <row r="30" spans="1:3" ht="14.25" customHeight="1" x14ac:dyDescent="0.25">
      <c r="B30" s="25" t="s">
        <v>56</v>
      </c>
      <c r="C30" s="97">
        <v>5.2040607424200101E-2</v>
      </c>
    </row>
    <row r="31" spans="1:3" ht="14.25" customHeight="1" x14ac:dyDescent="0.25">
      <c r="B31" s="25" t="s">
        <v>57</v>
      </c>
      <c r="C31" s="97">
        <v>6.8435949585570102E-2</v>
      </c>
    </row>
    <row r="32" spans="1:3" ht="14.25" customHeight="1" x14ac:dyDescent="0.25">
      <c r="B32" s="25" t="s">
        <v>58</v>
      </c>
      <c r="C32" s="97">
        <v>0.60610044267700902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11.120749999999999</v>
      </c>
    </row>
    <row r="38" spans="1:5" ht="15" customHeight="1" x14ac:dyDescent="0.25">
      <c r="B38" s="11" t="s">
        <v>63</v>
      </c>
      <c r="C38" s="43">
        <v>15.422169999999999</v>
      </c>
      <c r="D38" s="12"/>
      <c r="E38" s="13"/>
    </row>
    <row r="39" spans="1:5" ht="15" customHeight="1" x14ac:dyDescent="0.25">
      <c r="B39" s="11" t="s">
        <v>64</v>
      </c>
      <c r="C39" s="43">
        <v>17.995570000000001</v>
      </c>
      <c r="D39" s="12"/>
      <c r="E39" s="12"/>
    </row>
    <row r="40" spans="1:5" ht="15" customHeight="1" x14ac:dyDescent="0.25">
      <c r="B40" s="11" t="s">
        <v>65</v>
      </c>
      <c r="C40" s="98">
        <v>0.72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7.4773000000000001E-3</v>
      </c>
      <c r="D45" s="12"/>
    </row>
    <row r="46" spans="1:5" ht="15.75" customHeight="1" x14ac:dyDescent="0.25">
      <c r="B46" s="11" t="s">
        <v>70</v>
      </c>
      <c r="C46" s="45">
        <v>8.0342499999999997E-2</v>
      </c>
      <c r="D46" s="12"/>
    </row>
    <row r="47" spans="1:5" ht="15.75" customHeight="1" x14ac:dyDescent="0.25">
      <c r="B47" s="11" t="s">
        <v>71</v>
      </c>
      <c r="C47" s="45">
        <v>7.38901E-2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</v>
      </c>
      <c r="D51" s="12"/>
    </row>
    <row r="52" spans="1:4" ht="15" customHeight="1" x14ac:dyDescent="0.25">
      <c r="B52" s="11" t="s">
        <v>75</v>
      </c>
      <c r="C52" s="98">
        <v>2.9</v>
      </c>
    </row>
    <row r="53" spans="1:4" ht="15.75" customHeight="1" x14ac:dyDescent="0.25">
      <c r="B53" s="11" t="s">
        <v>76</v>
      </c>
      <c r="C53" s="98">
        <v>2.9</v>
      </c>
    </row>
    <row r="54" spans="1:4" ht="15.75" customHeight="1" x14ac:dyDescent="0.25">
      <c r="B54" s="11" t="s">
        <v>77</v>
      </c>
      <c r="C54" s="98">
        <v>2.9</v>
      </c>
    </row>
    <row r="55" spans="1:4" ht="15.75" customHeight="1" x14ac:dyDescent="0.25">
      <c r="B55" s="11" t="s">
        <v>78</v>
      </c>
      <c r="C55" s="98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0.55589599999999983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LjVdyQ3IiJa8T5ZPYgyQIedUYTJZ52Q4MR2/TCb5SPWXyYmnnFnb7QDJhjeNYfPNfbD26SlTPRk8/8loHD5FvA==" saltValue="rwnr1yTLN4l/kTeWMQZl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624620</v>
      </c>
      <c r="C2" s="49">
        <v>1558191</v>
      </c>
      <c r="D2" s="49">
        <v>2827186.5</v>
      </c>
      <c r="E2" s="49">
        <v>2832881.9999999995</v>
      </c>
      <c r="F2" s="49">
        <v>2498031</v>
      </c>
      <c r="G2" s="17">
        <f t="shared" ref="G2:G13" si="0">C2+D2+E2+F2</f>
        <v>9716290.5</v>
      </c>
      <c r="H2" s="17">
        <f t="shared" ref="H2:H13" si="1">(B2 + stillbirth*B2/(1000-stillbirth))/(1-abortion)</f>
        <v>719307.1041409974</v>
      </c>
      <c r="I2" s="17">
        <f t="shared" ref="I2:I13" si="2">G2-H2</f>
        <v>8996983.3958590031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619057</v>
      </c>
      <c r="C3" s="50">
        <v>1584877.5</v>
      </c>
      <c r="D3" s="50">
        <v>2833963.5</v>
      </c>
      <c r="E3" s="50">
        <v>2828487.5</v>
      </c>
      <c r="F3" s="50">
        <v>2544930.5</v>
      </c>
      <c r="G3" s="17">
        <f t="shared" si="0"/>
        <v>9792259</v>
      </c>
      <c r="H3" s="17">
        <f t="shared" si="1"/>
        <v>712900.80043580651</v>
      </c>
      <c r="I3" s="17">
        <f t="shared" si="2"/>
        <v>9079358.1995641943</v>
      </c>
    </row>
    <row r="4" spans="1:9" ht="15.75" customHeight="1" x14ac:dyDescent="0.25">
      <c r="A4" s="5">
        <f t="shared" si="3"/>
        <v>2026</v>
      </c>
      <c r="B4" s="49">
        <v>613838</v>
      </c>
      <c r="C4" s="50">
        <v>1607227.5</v>
      </c>
      <c r="D4" s="50">
        <v>2848341</v>
      </c>
      <c r="E4" s="50">
        <v>2817069.5</v>
      </c>
      <c r="F4" s="50">
        <v>2588567.5</v>
      </c>
      <c r="G4" s="17">
        <f t="shared" si="0"/>
        <v>9861205.5</v>
      </c>
      <c r="H4" s="17">
        <f t="shared" si="1"/>
        <v>706890.64421840722</v>
      </c>
      <c r="I4" s="17">
        <f t="shared" si="2"/>
        <v>9154314.8557815924</v>
      </c>
    </row>
    <row r="5" spans="1:9" ht="15.75" customHeight="1" x14ac:dyDescent="0.25">
      <c r="A5" s="5">
        <f t="shared" si="3"/>
        <v>2027</v>
      </c>
      <c r="B5" s="49">
        <v>608737</v>
      </c>
      <c r="C5" s="50">
        <v>1621788.5</v>
      </c>
      <c r="D5" s="50">
        <v>2867200.5</v>
      </c>
      <c r="E5" s="50">
        <v>2804804</v>
      </c>
      <c r="F5" s="50">
        <v>2627986</v>
      </c>
      <c r="G5" s="17">
        <f t="shared" si="0"/>
        <v>9921779</v>
      </c>
      <c r="H5" s="17">
        <f t="shared" si="1"/>
        <v>701016.37580205291</v>
      </c>
      <c r="I5" s="17">
        <f t="shared" si="2"/>
        <v>9220762.6241979469</v>
      </c>
    </row>
    <row r="6" spans="1:9" ht="15.75" customHeight="1" x14ac:dyDescent="0.25">
      <c r="A6" s="5">
        <f t="shared" si="3"/>
        <v>2028</v>
      </c>
      <c r="B6" s="49">
        <v>604819</v>
      </c>
      <c r="C6" s="50">
        <v>1626641</v>
      </c>
      <c r="D6" s="50">
        <v>2889711.5000000005</v>
      </c>
      <c r="E6" s="50">
        <v>2795500.5</v>
      </c>
      <c r="F6" s="50">
        <v>2661768.5</v>
      </c>
      <c r="G6" s="17">
        <f t="shared" si="0"/>
        <v>9973621.5</v>
      </c>
      <c r="H6" s="17">
        <f t="shared" si="1"/>
        <v>696504.44017075002</v>
      </c>
      <c r="I6" s="17">
        <f t="shared" si="2"/>
        <v>9277117.05982925</v>
      </c>
    </row>
    <row r="7" spans="1:9" ht="15.75" customHeight="1" x14ac:dyDescent="0.25">
      <c r="A7" s="5">
        <f t="shared" si="3"/>
        <v>2029</v>
      </c>
      <c r="B7" s="49">
        <v>601150</v>
      </c>
      <c r="C7" s="50">
        <v>1621387</v>
      </c>
      <c r="D7" s="50">
        <v>2919141.4999999995</v>
      </c>
      <c r="E7" s="50">
        <v>2784534.4999999995</v>
      </c>
      <c r="F7" s="50">
        <v>2690952</v>
      </c>
      <c r="G7" s="17">
        <f t="shared" si="0"/>
        <v>10016015</v>
      </c>
      <c r="H7" s="17">
        <f t="shared" si="1"/>
        <v>692279.25083148258</v>
      </c>
      <c r="I7" s="17">
        <f t="shared" si="2"/>
        <v>9323735.7491685171</v>
      </c>
    </row>
    <row r="8" spans="1:9" ht="15.75" customHeight="1" x14ac:dyDescent="0.25">
      <c r="A8" s="5">
        <f t="shared" si="3"/>
        <v>2030</v>
      </c>
      <c r="B8" s="49">
        <v>598285</v>
      </c>
      <c r="C8" s="50">
        <v>1608407.5</v>
      </c>
      <c r="D8" s="50">
        <v>2954168.5</v>
      </c>
      <c r="E8" s="50">
        <v>2770248</v>
      </c>
      <c r="F8" s="50">
        <v>2717358</v>
      </c>
      <c r="G8" s="17">
        <f t="shared" si="0"/>
        <v>10050182</v>
      </c>
      <c r="H8" s="17">
        <f t="shared" si="1"/>
        <v>688979.94108577468</v>
      </c>
      <c r="I8" s="17">
        <f t="shared" si="2"/>
        <v>9361202.0589142255</v>
      </c>
    </row>
    <row r="9" spans="1:9" ht="15.75" customHeight="1" x14ac:dyDescent="0.25">
      <c r="A9" s="5">
        <f t="shared" si="3"/>
        <v>2031</v>
      </c>
      <c r="B9" s="49">
        <v>594230</v>
      </c>
      <c r="C9" s="50">
        <v>1593172.5</v>
      </c>
      <c r="D9" s="50">
        <v>2989041.5000000005</v>
      </c>
      <c r="E9" s="50">
        <v>2756115.5</v>
      </c>
      <c r="F9" s="50">
        <v>2739125.5</v>
      </c>
      <c r="G9" s="17">
        <f t="shared" si="0"/>
        <v>10077455</v>
      </c>
      <c r="H9" s="17">
        <f t="shared" si="1"/>
        <v>684310.23741427565</v>
      </c>
      <c r="I9" s="17">
        <f t="shared" si="2"/>
        <v>9393144.7625857238</v>
      </c>
    </row>
    <row r="10" spans="1:9" ht="15.75" customHeight="1" x14ac:dyDescent="0.25">
      <c r="A10" s="5">
        <f t="shared" si="3"/>
        <v>2032</v>
      </c>
      <c r="B10" s="49">
        <v>591376</v>
      </c>
      <c r="C10" s="50">
        <v>1579554</v>
      </c>
      <c r="D10" s="50">
        <v>3022098</v>
      </c>
      <c r="E10" s="50">
        <v>2741808.5</v>
      </c>
      <c r="F10" s="50">
        <v>2754194.4999999995</v>
      </c>
      <c r="G10" s="17">
        <f t="shared" si="0"/>
        <v>10097655</v>
      </c>
      <c r="H10" s="17">
        <f t="shared" si="1"/>
        <v>681023.59517544496</v>
      </c>
      <c r="I10" s="17">
        <f t="shared" si="2"/>
        <v>9416631.4048245549</v>
      </c>
    </row>
    <row r="11" spans="1:9" ht="15.75" customHeight="1" x14ac:dyDescent="0.25">
      <c r="A11" s="5">
        <f t="shared" si="3"/>
        <v>2033</v>
      </c>
      <c r="B11" s="49">
        <v>588747</v>
      </c>
      <c r="C11" s="50">
        <v>1569231</v>
      </c>
      <c r="D11" s="50">
        <v>3050403.0000000005</v>
      </c>
      <c r="E11" s="50">
        <v>2729251</v>
      </c>
      <c r="F11" s="50">
        <v>2763036.5</v>
      </c>
      <c r="G11" s="17">
        <f t="shared" si="0"/>
        <v>10111921.5</v>
      </c>
      <c r="H11" s="17">
        <f t="shared" si="1"/>
        <v>677996.061031827</v>
      </c>
      <c r="I11" s="17">
        <f t="shared" si="2"/>
        <v>9433925.4389681723</v>
      </c>
    </row>
    <row r="12" spans="1:9" ht="15.75" customHeight="1" x14ac:dyDescent="0.25">
      <c r="A12" s="5">
        <f t="shared" si="3"/>
        <v>2034</v>
      </c>
      <c r="B12" s="49">
        <v>586104</v>
      </c>
      <c r="C12" s="50">
        <v>1562231</v>
      </c>
      <c r="D12" s="50">
        <v>3070006.5000000005</v>
      </c>
      <c r="E12" s="50">
        <v>2723123.5</v>
      </c>
      <c r="F12" s="50">
        <v>2765014</v>
      </c>
      <c r="G12" s="17">
        <f t="shared" si="0"/>
        <v>10120375</v>
      </c>
      <c r="H12" s="17">
        <f t="shared" si="1"/>
        <v>674952.40460672916</v>
      </c>
      <c r="I12" s="17">
        <f t="shared" si="2"/>
        <v>9445422.5953932703</v>
      </c>
    </row>
    <row r="13" spans="1:9" ht="15.75" customHeight="1" x14ac:dyDescent="0.25">
      <c r="A13" s="5">
        <f t="shared" si="3"/>
        <v>2035</v>
      </c>
      <c r="B13" s="49">
        <v>584049</v>
      </c>
      <c r="C13" s="50">
        <v>1555369</v>
      </c>
      <c r="D13" s="50">
        <v>3081553</v>
      </c>
      <c r="E13" s="50">
        <v>2726149.9999999995</v>
      </c>
      <c r="F13" s="50">
        <v>2759158.0000000005</v>
      </c>
      <c r="G13" s="17">
        <f t="shared" si="0"/>
        <v>10122230</v>
      </c>
      <c r="H13" s="17">
        <f t="shared" si="1"/>
        <v>672585.88400378684</v>
      </c>
      <c r="I13" s="17">
        <f t="shared" si="2"/>
        <v>9449644.1159962136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EbdFVzinHoAkVcmA/XpkTF/FbryNAh+ktgDDlXvciFkL0x0YfW7AFds3iky3JMW9mSHlq2e86MVt/brIJk9ng==" saltValue="CgW1t0ckz+okrapsxUTnm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4.1866000000000082E-3</v>
      </c>
    </row>
    <row r="4" spans="1:8" ht="15.75" customHeight="1" x14ac:dyDescent="0.25">
      <c r="B4" s="19" t="s">
        <v>97</v>
      </c>
      <c r="C4" s="99">
        <v>3.4764499999999997E-2</v>
      </c>
    </row>
    <row r="5" spans="1:8" ht="15.75" customHeight="1" x14ac:dyDescent="0.25">
      <c r="B5" s="19" t="s">
        <v>98</v>
      </c>
      <c r="C5" s="99">
        <v>3.1592600000000033E-2</v>
      </c>
    </row>
    <row r="6" spans="1:8" ht="15.75" customHeight="1" x14ac:dyDescent="0.25">
      <c r="B6" s="19" t="s">
        <v>99</v>
      </c>
      <c r="C6" s="99">
        <v>0.16727610000000029</v>
      </c>
    </row>
    <row r="7" spans="1:8" ht="15.75" customHeight="1" x14ac:dyDescent="0.25">
      <c r="B7" s="19" t="s">
        <v>100</v>
      </c>
      <c r="C7" s="99">
        <v>0.51364719999999997</v>
      </c>
    </row>
    <row r="8" spans="1:8" ht="15.75" customHeight="1" x14ac:dyDescent="0.25">
      <c r="B8" s="19" t="s">
        <v>101</v>
      </c>
      <c r="C8" s="99">
        <v>5.142000000000009E-4</v>
      </c>
    </row>
    <row r="9" spans="1:8" ht="15.75" customHeight="1" x14ac:dyDescent="0.25">
      <c r="B9" s="19" t="s">
        <v>102</v>
      </c>
      <c r="C9" s="99">
        <v>0.1789375999999997</v>
      </c>
    </row>
    <row r="10" spans="1:8" ht="15.75" customHeight="1" x14ac:dyDescent="0.25">
      <c r="B10" s="19" t="s">
        <v>103</v>
      </c>
      <c r="C10" s="99">
        <v>6.9081200000000106E-2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106</v>
      </c>
      <c r="C15" s="99">
        <v>0.64463796691699249</v>
      </c>
      <c r="D15" s="99">
        <v>0.64463796691699249</v>
      </c>
      <c r="E15" s="99">
        <v>0.64463796691699249</v>
      </c>
      <c r="F15" s="99">
        <v>0.64463796691699249</v>
      </c>
    </row>
    <row r="16" spans="1:8" ht="15.75" customHeight="1" x14ac:dyDescent="0.25">
      <c r="B16" s="19" t="s">
        <v>107</v>
      </c>
      <c r="C16" s="99">
        <v>1.1737965988328471E-2</v>
      </c>
      <c r="D16" s="99">
        <v>1.1737965988328471E-2</v>
      </c>
      <c r="E16" s="99">
        <v>1.1737965988328471E-2</v>
      </c>
      <c r="F16" s="99">
        <v>1.1737965988328471E-2</v>
      </c>
    </row>
    <row r="17" spans="1:8" ht="15.75" customHeight="1" x14ac:dyDescent="0.25">
      <c r="B17" s="19" t="s">
        <v>108</v>
      </c>
      <c r="C17" s="99">
        <v>4.1077226371291783E-4</v>
      </c>
      <c r="D17" s="99">
        <v>4.1077226371291783E-4</v>
      </c>
      <c r="E17" s="99">
        <v>4.1077226371291783E-4</v>
      </c>
      <c r="F17" s="99">
        <v>4.1077226371291783E-4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1.566186659983906E-2</v>
      </c>
      <c r="D19" s="99">
        <v>1.566186659983906E-2</v>
      </c>
      <c r="E19" s="99">
        <v>1.566186659983906E-2</v>
      </c>
      <c r="F19" s="99">
        <v>1.566186659983906E-2</v>
      </c>
    </row>
    <row r="20" spans="1:8" ht="15.75" customHeight="1" x14ac:dyDescent="0.25">
      <c r="B20" s="19" t="s">
        <v>111</v>
      </c>
      <c r="C20" s="99">
        <v>9.7501729496966699E-3</v>
      </c>
      <c r="D20" s="99">
        <v>9.7501729496966699E-3</v>
      </c>
      <c r="E20" s="99">
        <v>9.7501729496966699E-3</v>
      </c>
      <c r="F20" s="99">
        <v>9.7501729496966699E-3</v>
      </c>
    </row>
    <row r="21" spans="1:8" ht="15.75" customHeight="1" x14ac:dyDescent="0.25">
      <c r="B21" s="19" t="s">
        <v>112</v>
      </c>
      <c r="C21" s="99">
        <v>0.16638346834571979</v>
      </c>
      <c r="D21" s="99">
        <v>0.16638346834571979</v>
      </c>
      <c r="E21" s="99">
        <v>0.16638346834571979</v>
      </c>
      <c r="F21" s="99">
        <v>0.16638346834571979</v>
      </c>
    </row>
    <row r="22" spans="1:8" ht="15.75" customHeight="1" x14ac:dyDescent="0.25">
      <c r="B22" s="19" t="s">
        <v>113</v>
      </c>
      <c r="C22" s="99">
        <v>9.1294183530432171E-2</v>
      </c>
      <c r="D22" s="99">
        <v>9.1294183530432171E-2</v>
      </c>
      <c r="E22" s="99">
        <v>9.1294183530432171E-2</v>
      </c>
      <c r="F22" s="99">
        <v>9.1294183530432171E-2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2.9403015000000001E-2</v>
      </c>
    </row>
    <row r="27" spans="1:8" ht="15.75" customHeight="1" x14ac:dyDescent="0.25">
      <c r="B27" s="19" t="s">
        <v>120</v>
      </c>
      <c r="C27" s="99">
        <v>9.4778499999999995E-3</v>
      </c>
    </row>
    <row r="28" spans="1:8" ht="15.75" customHeight="1" x14ac:dyDescent="0.25">
      <c r="B28" s="19" t="s">
        <v>121</v>
      </c>
      <c r="C28" s="99">
        <v>0.26792401599999999</v>
      </c>
    </row>
    <row r="29" spans="1:8" ht="15.75" customHeight="1" x14ac:dyDescent="0.25">
      <c r="B29" s="19" t="s">
        <v>122</v>
      </c>
      <c r="C29" s="99">
        <v>0.15314538599999999</v>
      </c>
    </row>
    <row r="30" spans="1:8" ht="15.75" customHeight="1" x14ac:dyDescent="0.25">
      <c r="B30" s="19" t="s">
        <v>2</v>
      </c>
      <c r="C30" s="99">
        <v>8.2032367999999994E-2</v>
      </c>
    </row>
    <row r="31" spans="1:8" ht="15.75" customHeight="1" x14ac:dyDescent="0.25">
      <c r="B31" s="19" t="s">
        <v>123</v>
      </c>
      <c r="C31" s="99">
        <v>7.4517409999999996E-3</v>
      </c>
    </row>
    <row r="32" spans="1:8" ht="15.75" customHeight="1" x14ac:dyDescent="0.25">
      <c r="B32" s="19" t="s">
        <v>124</v>
      </c>
      <c r="C32" s="99">
        <v>1.1600134E-2</v>
      </c>
    </row>
    <row r="33" spans="2:3" ht="15.75" customHeight="1" x14ac:dyDescent="0.25">
      <c r="B33" s="19" t="s">
        <v>125</v>
      </c>
      <c r="C33" s="99">
        <v>0.249526525</v>
      </c>
    </row>
    <row r="34" spans="2:3" ht="15.75" customHeight="1" x14ac:dyDescent="0.25">
      <c r="B34" s="19" t="s">
        <v>126</v>
      </c>
      <c r="C34" s="99">
        <v>0.18943896499999999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pSfDb81E7vxU2lQdOJcGu0KE8xAmiebt7VwqLIpUo/5HsorJIODFUpUBEUZAJMln4ZhYxp9OlUSDSEzNmanq1g==" saltValue="8rrsdseOfOdh4J4BYK/I4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132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133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137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138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HgKrVByx7j6JwJMZzhNhZVFIOqaQQ6+Fia+vahwi0pgKmsprZ2rpPqcnlP/nmzrVTykvqqEzovuJa9zqLYhlA==" saltValue="ak7vOB1RGkBeFWLw+dug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6.1403499999999944E-2</v>
      </c>
      <c r="D5" s="52">
        <f t="shared" si="0"/>
        <v>0.12617310000000004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o0R9qqkay3DHp2/zE4W2EoxhO9b79z7ZQcLZEZlNgy//FH57QjxlMQNBJrZyR0g4Kbob+tzbWb37wyHeQmvfPA==" saltValue="lTc8AX74T82vu5KKwCAZE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1xCSk23mMCslAyrNBBl6S+MEe1Mno+K2kxX166gf7omWaTDo7sGtYUortId2e0GSMS8Pom2BemebAay1Rp1Bg==" saltValue="IpV9MzuX1Q8sZSKGIu+oR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3441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0.43840000000000001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0.21240000000000001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1.6277253939456813E-2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97779.389020000002</v>
      </c>
      <c r="C22" s="107">
        <v>97623.115860000005</v>
      </c>
      <c r="D22" s="107">
        <v>97527.568950000001</v>
      </c>
      <c r="E22" s="107">
        <v>97221.327130000005</v>
      </c>
      <c r="F22" s="107">
        <v>96846.840939999995</v>
      </c>
      <c r="G22" s="107">
        <v>96450.76053</v>
      </c>
      <c r="H22" s="107">
        <v>95963.286129999993</v>
      </c>
      <c r="I22" s="107">
        <v>95273.656870000006</v>
      </c>
      <c r="J22" s="107">
        <v>94188.628530000002</v>
      </c>
      <c r="K22" s="107">
        <v>92401.158649999998</v>
      </c>
      <c r="L22" s="107">
        <v>89520.896380000006</v>
      </c>
      <c r="M22" s="107">
        <v>84976.504459999996</v>
      </c>
      <c r="N22" s="107">
        <v>78084.068639999998</v>
      </c>
      <c r="O22" s="107">
        <v>68409.968930000003</v>
      </c>
    </row>
  </sheetData>
  <sheetProtection algorithmName="SHA-512" hashValue="r8G9lHQjIVjmYRSwlINxOWslo8JyheUrsDpvHXrk9HvfnVwl1LWLVvM8J/cohLMw/pVlkZ9OGkOJyBFfowydsw==" saltValue="hnf9YoCo9DLdIm9SSJsNZ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fDDGyCcPQNAwIaNZKGxTPo7AFB/eF9tpH1KxnD08nR604gVauAlB9oIHYfW6xW+wi1RiGOc/PsEN3iaG0BnC6Q==" saltValue="JwbfWTawEU+cONLJjmRQR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anK4IcVUsFZ2F+nniTRO/TEr6k66pQe4tJk2KT2FR/uIjTijKWlBwSA6CzW3Tit/zyxYAUDO4qnfyChpXTGbqw==" saltValue="htL+fm5nd772UUgDUYnR6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5.2149899999999999E-2</v>
      </c>
      <c r="C10" s="96">
        <v>0.95</v>
      </c>
      <c r="D10" s="56">
        <v>12.833544068358719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12.833544068358719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12.833544068358719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12.833544068358719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5.2149899999999999E-2</v>
      </c>
      <c r="C14" s="96">
        <v>0.95</v>
      </c>
      <c r="D14" s="56">
        <v>12.833544068358719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12.833544068358719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0.7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0.26531189999999999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0.26531189999999999</v>
      </c>
      <c r="C19" s="96">
        <v>0.95</v>
      </c>
      <c r="D19" s="56">
        <v>6.7065442721728772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4.1676905525779402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0.51984672980000002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5.2149899999999999E-2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0.22873869999999999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0.223</v>
      </c>
      <c r="C29" s="96">
        <v>0.95</v>
      </c>
      <c r="D29" s="56">
        <v>95.432494803225381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0.99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6.2779399999999999E-2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0.7931416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m6ji7HXheJQ8LF9+LtI5t7gX+/ZmnTWsZ7aQtOZl4uTA2biXUOitCyz1hT4RCmZj7vKBONvUDKuT7yTXzWWjcQ==" saltValue="PR9IkTS6OzPsu2a8p2tD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0sNxZV9KUKXTi/ggho9S0LmpUb092s14Qqo5pl49FOAX4O4+gXssXcALIgUfKaS71o9Y7GrJvftpwZoeZocrg==" saltValue="EKKeZgP6cFbAdcWnk/RuW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PNrzpi2sn1fL3DE+9fhQto1KAMpYnYVNAovV3RMHi9ahbK3nU0zv742bHlRIrxlnLYKP3m/EjPKTGLmEv7F7w==" saltValue="NAyRye4BZ1TkHw+MhGsDN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237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sheetProtection algorithmName="SHA-512" hashValue="YeGEPyafefG1Mj9Gf1s/5GEyMSByHN4VhCZt9wbhAUi+hz+5TvOxQDFidwrEjWHQA+AkBIcw2AUgeoMqi3olNw==" saltValue="uVlFGiXS5x5bueWhzsh86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mqY4BEU4J00enXlobe36aZko6xJ/KiWVdGCNGOYsfcY0aMPnUpxTk4ADoofs6TW3dsX2etr1oJvLZ6P3kUqcA==" saltValue="kRhZhmuOSohKkbkLSjYVJ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hCeUACuQaVg42+vw1QInlcskSZXRnMT8Mtx9Y+hvrEpkDBWAmG3xIkp5KURhmkpcX2eDwzqP1kG1/TPLa0oYQ==" saltValue="mfpBBcvD+/sOnO20RY3Hf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WgijvpPHewGqHdXk0Bl7E1X6bVLLenI69YxmaGHqL0i5HiDC6c2I/rKftOsIvttaYK4Q4yT9e7OdVKZki/uPQ==" saltValue="t/bSHqz3FqPZG1MIz4arh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YmwGFFKl2X31Cp0BGD01aIWNKaK/BKnGqoOcCVoaGhxPv6zGEKdq6NTmlo7PfyT+UK82zA52ptruPZBCi01Cw==" saltValue="b58ZoKLwWYbokSgtg6mf9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F7FQgsIXEl2qDP9dLk8ts/4zsfctlROoNO0wZbqJs9O7rgaHJUblvj+W7FCMxE95dM8crMLIbXj4v3JAqsvOdA==" saltValue="WDXD1ETc7Z4O/CPiVQ2Nr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eGCTpM2ArbzefPSTVaek1qFYaqcb83yzWwJzYS0U6wrO2sZEML1Y2Ay52hxEauG6km7HC4RI2kgdyUzetwZ90w==" saltValue="vzr7E6dUSMxmDT9SMnJxT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eucxQqjfhRJSYIeeoi3rJkIpL7ck63e1U3wUu3kVggLtIaNYhsfmlGsRvfFusISLmQLTSk/4z3zDUbmI08dCg==" saltValue="IbTPzgVNcFLeCBT/y79yE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0E4zhMmA/7sNnTOyNXd2i5XvAsZe/q1nqhb21lzW71FGhcJXYUUDdMu8MbLKtdBchTBH3Fd+9S4eboPznUhclQ==" saltValue="hjexdXhVUPqn7qy++hAI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q4F+52uxj42OOmLOFOzpLMMBBc9ejhufRKfN+CbyyDiPPz+hxDS34VqwTKBHVrsKQJgGAqax9hdFE3T2zeo/xA==" saltValue="ZsC40sxrnrDT+Nlfy67o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61+e6TqARQLYVmQJ/ymqTl8R0w2NIiGLJUXD2YvPXCyC2HwucqIH5rGwqH9CjxSR/YIlORSPwiQNt32YeQ7Fw==" saltValue="4z9ugNpLummfA8jVgjF4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a168yv/h0umhZtum3KPorp+SVgg0C69+PnzdO9Ejzz3JPwY2AmN5F9te6kOb4VFZEPrfREXoDfwyp68n8evJQ==" saltValue="pqKxgOOuwlPRVRdAF+tc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1kILnII345pzsYUAqbLilIVZEA7mqFPqHjw/Sp16YjssLVZkOiKTsH4/byI+Xtt7kuhCX2uEiZUTmg+FnvQwA==" saltValue="R5dx3Ca1TAj8PtLzR4N6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KLSQMOR9b5tDZvMmun8X2hvi0s03L+7owg1H9lLdnzsaGwysp/LAiXH4zwg2/oxZoo+WhOXis8ncnYYnlTdvg==" saltValue="nP+kju1zoHgiGaLLP5+g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/MmHl+Wu4xiIJQVJqGaaPkETWBiS8xdJPpPzDEKTkqcL1Y3ytSrewJpy2jBPW0PvivlHbjbtkSLz0Ved6v6Rtg==" saltValue="c2d6AjxFiV9dKymtiWn7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z6R96NcZ1ArdHoevYdANowlpeu/dhBmpRgCkJvBocEFBWjJP1CLNTxvv0lDwMn/LF46I4ikrF1JgDOdCd6LOOw==" saltValue="df86pZ22dTZHZaGBv6pfX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2026-04-29T06:24:22Z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