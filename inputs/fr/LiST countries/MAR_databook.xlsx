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BDD345C8-1941-49A2-84FE-00E46B77D5E6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2" i="2" l="1"/>
  <c r="A25" i="2"/>
  <c r="A26" i="2"/>
  <c r="A36" i="2"/>
  <c r="A31" i="2"/>
  <c r="A34" i="2"/>
  <c r="A40" i="2"/>
  <c r="I2" i="2"/>
  <c r="I6" i="2"/>
  <c r="A19" i="2"/>
  <c r="A35" i="2"/>
  <c r="A23" i="2"/>
  <c r="A37" i="2"/>
  <c r="A24" i="2"/>
  <c r="I38" i="2"/>
  <c r="I4" i="2"/>
  <c r="I8" i="2"/>
  <c r="I12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<sst xmlns="http://schemas.openxmlformats.org/spreadsheetml/2006/main" count="2169" uniqueCount="369">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</sst>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3145744</v>
      </c>
    </row>
    <row r="8" spans="1:3" ht="15" customHeight="1" x14ac:dyDescent="0.25">
      <c r="B8" s="5" t="s">
        <v>37</v>
      </c>
      <c r="C8" s="44">
        <v>0.01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0.63021438598632795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0.252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6.9099999999999995E-2</v>
      </c>
    </row>
    <row r="24" spans="1:3" ht="15" customHeight="1" x14ac:dyDescent="0.25">
      <c r="B24" s="15" t="s">
        <v>51</v>
      </c>
      <c r="C24" s="45">
        <v>0.43240000000000001</v>
      </c>
    </row>
    <row r="25" spans="1:3" ht="15" customHeight="1" x14ac:dyDescent="0.25">
      <c r="B25" s="15" t="s">
        <v>52</v>
      </c>
      <c r="C25" s="45">
        <v>0.39429999999999998</v>
      </c>
    </row>
    <row r="26" spans="1:3" ht="15" customHeight="1" x14ac:dyDescent="0.25">
      <c r="B26" s="15" t="s">
        <v>53</v>
      </c>
      <c r="C26" s="45">
        <v>0.1042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0.27342300031322098</v>
      </c>
    </row>
    <row r="30" spans="1:3" ht="14.25" customHeight="1" x14ac:dyDescent="0.25">
      <c r="B30" s="25" t="s">
        <v>56</v>
      </c>
      <c r="C30" s="97">
        <v>5.2040607424200101E-2</v>
      </c>
    </row>
    <row r="31" spans="1:3" ht="14.25" customHeight="1" x14ac:dyDescent="0.25">
      <c r="B31" s="25" t="s">
        <v>57</v>
      </c>
      <c r="C31" s="97">
        <v>6.8435949585570102E-2</v>
      </c>
    </row>
    <row r="32" spans="1:3" ht="14.25" customHeight="1" x14ac:dyDescent="0.25">
      <c r="B32" s="25" t="s">
        <v>58</v>
      </c>
      <c r="C32" s="97">
        <v>0.60610044267700902</v>
      </c>
    </row>
    <row r="33" spans="1:5" ht="13.25" customHeight="1" x14ac:dyDescent="0.25">
      <c r="B33" s="27" t="s">
        <v>59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11.120749999999999</v>
      </c>
    </row>
    <row r="38" spans="1:5" ht="15" customHeight="1" x14ac:dyDescent="0.25">
      <c r="B38" s="11" t="s">
        <v>63</v>
      </c>
      <c r="C38" s="43">
        <v>15.422169999999999</v>
      </c>
      <c r="D38" s="12"/>
      <c r="E38" s="13"/>
    </row>
    <row r="39" spans="1:5" ht="15" customHeight="1" x14ac:dyDescent="0.25">
      <c r="B39" s="11" t="s">
        <v>64</v>
      </c>
      <c r="C39" s="43">
        <v>17.995570000000001</v>
      </c>
      <c r="D39" s="12"/>
      <c r="E39" s="12"/>
    </row>
    <row r="40" spans="1:5" ht="15" customHeight="1" x14ac:dyDescent="0.25">
      <c r="B40" s="11" t="s">
        <v>65</v>
      </c>
      <c r="C40" s="98">
        <v>0.72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13.22335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7.4773000000000001E-3</v>
      </c>
      <c r="D45" s="12"/>
    </row>
    <row r="46" spans="1:5" ht="15.75" customHeight="1" x14ac:dyDescent="0.25">
      <c r="B46" s="11" t="s">
        <v>70</v>
      </c>
      <c r="C46" s="45">
        <v>8.0342499999999997E-2</v>
      </c>
      <c r="D46" s="12"/>
    </row>
    <row r="47" spans="1:5" ht="15.75" customHeight="1" x14ac:dyDescent="0.25">
      <c r="B47" s="11" t="s">
        <v>71</v>
      </c>
      <c r="C47" s="45">
        <v>7.38901E-2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2.9</v>
      </c>
      <c r="D51" s="12"/>
    </row>
    <row r="52" spans="1:4" ht="15" customHeight="1" x14ac:dyDescent="0.25">
      <c r="B52" s="11" t="s">
        <v>75</v>
      </c>
      <c r="C52" s="98">
        <v>2.9</v>
      </c>
    </row>
    <row r="53" spans="1:4" ht="15.75" customHeight="1" x14ac:dyDescent="0.25">
      <c r="B53" s="11" t="s">
        <v>76</v>
      </c>
      <c r="C53" s="98">
        <v>2.9</v>
      </c>
    </row>
    <row r="54" spans="1:4" ht="15.75" customHeight="1" x14ac:dyDescent="0.25">
      <c r="B54" s="11" t="s">
        <v>77</v>
      </c>
      <c r="C54" s="98">
        <v>2.9</v>
      </c>
    </row>
    <row r="55" spans="1:4" ht="15.75" customHeight="1" x14ac:dyDescent="0.25">
      <c r="B55" s="11" t="s">
        <v>78</v>
      </c>
      <c r="C55" s="98">
        <v>2.9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2.0689655172413789E-2</v>
      </c>
    </row>
    <row r="59" spans="1:4" ht="15.75" customHeight="1" x14ac:dyDescent="0.25">
      <c r="B59" s="11" t="s">
        <v>81</v>
      </c>
      <c r="C59" s="45">
        <v>0.55589599999999983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0.17284669999999899</v>
      </c>
    </row>
    <row r="63" spans="1:4" ht="15.75" customHeight="1" x14ac:dyDescent="0.3">
      <c r="A63" s="4"/>
    </row>
  </sheetData>
  <sheetProtection algorithmName="SHA-512" hashValue="y1rLl+2Xl7xR36RJiG6L4Q2jDmL9Bpt8IDf1SjLz1zqYFQxwsb82u8VJ4hoDJuT9akfT7WdI3y9I4sMx3BHvYQ==" saltValue="kyuH7pkoO8XQb7LD3E439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624620</v>
      </c>
      <c r="C2" s="49">
        <v>1558191</v>
      </c>
      <c r="D2" s="49">
        <v>2827186.5</v>
      </c>
      <c r="E2" s="49">
        <v>2832881.9999999995</v>
      </c>
      <c r="F2" s="49">
        <v>2498031</v>
      </c>
      <c r="G2" s="17">
        <f t="shared" ref="G2:G13" si="0">C2+D2+E2+F2</f>
        <v>9716290.5</v>
      </c>
      <c r="H2" s="17">
        <f t="shared" ref="H2:H13" si="1">(B2 + stillbirth*B2/(1000-stillbirth))/(1-abortion)</f>
        <v>719307.1041409974</v>
      </c>
      <c r="I2" s="17">
        <f t="shared" ref="I2:I13" si="2">G2-H2</f>
        <v>8996983.3958590031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619057</v>
      </c>
      <c r="C3" s="50">
        <v>1584877.5</v>
      </c>
      <c r="D3" s="50">
        <v>2833963.5</v>
      </c>
      <c r="E3" s="50">
        <v>2828487.5</v>
      </c>
      <c r="F3" s="50">
        <v>2544930.5</v>
      </c>
      <c r="G3" s="17">
        <f t="shared" si="0"/>
        <v>9792259</v>
      </c>
      <c r="H3" s="17">
        <f t="shared" si="1"/>
        <v>712900.80043580651</v>
      </c>
      <c r="I3" s="17">
        <f t="shared" si="2"/>
        <v>9079358.1995641943</v>
      </c>
    </row>
    <row r="4" spans="1:9" ht="15.75" customHeight="1" x14ac:dyDescent="0.25">
      <c r="A4" s="5">
        <f t="shared" si="3"/>
        <v>2026</v>
      </c>
      <c r="B4" s="49">
        <v>613838</v>
      </c>
      <c r="C4" s="50">
        <v>1607227.5</v>
      </c>
      <c r="D4" s="50">
        <v>2848341</v>
      </c>
      <c r="E4" s="50">
        <v>2817069.5</v>
      </c>
      <c r="F4" s="50">
        <v>2588567.5</v>
      </c>
      <c r="G4" s="17">
        <f t="shared" si="0"/>
        <v>9861205.5</v>
      </c>
      <c r="H4" s="17">
        <f t="shared" si="1"/>
        <v>706890.64421840722</v>
      </c>
      <c r="I4" s="17">
        <f t="shared" si="2"/>
        <v>9154314.8557815924</v>
      </c>
    </row>
    <row r="5" spans="1:9" ht="15.75" customHeight="1" x14ac:dyDescent="0.25">
      <c r="A5" s="5">
        <f t="shared" si="3"/>
        <v>2027</v>
      </c>
      <c r="B5" s="49">
        <v>608737</v>
      </c>
      <c r="C5" s="50">
        <v>1621788.5</v>
      </c>
      <c r="D5" s="50">
        <v>2867200.5</v>
      </c>
      <c r="E5" s="50">
        <v>2804804</v>
      </c>
      <c r="F5" s="50">
        <v>2627986</v>
      </c>
      <c r="G5" s="17">
        <f t="shared" si="0"/>
        <v>9921779</v>
      </c>
      <c r="H5" s="17">
        <f t="shared" si="1"/>
        <v>701016.37580205291</v>
      </c>
      <c r="I5" s="17">
        <f t="shared" si="2"/>
        <v>9220762.6241979469</v>
      </c>
    </row>
    <row r="6" spans="1:9" ht="15.75" customHeight="1" x14ac:dyDescent="0.25">
      <c r="A6" s="5">
        <f t="shared" si="3"/>
        <v>2028</v>
      </c>
      <c r="B6" s="49">
        <v>604819</v>
      </c>
      <c r="C6" s="50">
        <v>1626641</v>
      </c>
      <c r="D6" s="50">
        <v>2889711.5000000005</v>
      </c>
      <c r="E6" s="50">
        <v>2795500.5</v>
      </c>
      <c r="F6" s="50">
        <v>2661768.5</v>
      </c>
      <c r="G6" s="17">
        <f t="shared" si="0"/>
        <v>9973621.5</v>
      </c>
      <c r="H6" s="17">
        <f t="shared" si="1"/>
        <v>696504.44017075002</v>
      </c>
      <c r="I6" s="17">
        <f t="shared" si="2"/>
        <v>9277117.05982925</v>
      </c>
    </row>
    <row r="7" spans="1:9" ht="15.75" customHeight="1" x14ac:dyDescent="0.25">
      <c r="A7" s="5">
        <f t="shared" si="3"/>
        <v>2029</v>
      </c>
      <c r="B7" s="49">
        <v>601150</v>
      </c>
      <c r="C7" s="50">
        <v>1621387</v>
      </c>
      <c r="D7" s="50">
        <v>2919141.4999999995</v>
      </c>
      <c r="E7" s="50">
        <v>2784534.4999999995</v>
      </c>
      <c r="F7" s="50">
        <v>2690952</v>
      </c>
      <c r="G7" s="17">
        <f t="shared" si="0"/>
        <v>10016015</v>
      </c>
      <c r="H7" s="17">
        <f t="shared" si="1"/>
        <v>692279.25083148258</v>
      </c>
      <c r="I7" s="17">
        <f t="shared" si="2"/>
        <v>9323735.7491685171</v>
      </c>
    </row>
    <row r="8" spans="1:9" ht="15.75" customHeight="1" x14ac:dyDescent="0.25">
      <c r="A8" s="5">
        <f t="shared" si="3"/>
        <v>2030</v>
      </c>
      <c r="B8" s="49">
        <v>598285</v>
      </c>
      <c r="C8" s="50">
        <v>1608407.5</v>
      </c>
      <c r="D8" s="50">
        <v>2954168.5</v>
      </c>
      <c r="E8" s="50">
        <v>2770248</v>
      </c>
      <c r="F8" s="50">
        <v>2717358</v>
      </c>
      <c r="G8" s="17">
        <f t="shared" si="0"/>
        <v>10050182</v>
      </c>
      <c r="H8" s="17">
        <f t="shared" si="1"/>
        <v>688979.94108577468</v>
      </c>
      <c r="I8" s="17">
        <f t="shared" si="2"/>
        <v>9361202.0589142255</v>
      </c>
    </row>
    <row r="9" spans="1:9" ht="15.75" customHeight="1" x14ac:dyDescent="0.25">
      <c r="A9" s="5">
        <f t="shared" si="3"/>
        <v>2031</v>
      </c>
      <c r="B9" s="49">
        <v>594230</v>
      </c>
      <c r="C9" s="50">
        <v>1593172.5</v>
      </c>
      <c r="D9" s="50">
        <v>2989041.5000000005</v>
      </c>
      <c r="E9" s="50">
        <v>2756115.5</v>
      </c>
      <c r="F9" s="50">
        <v>2739125.5</v>
      </c>
      <c r="G9" s="17">
        <f t="shared" si="0"/>
        <v>10077455</v>
      </c>
      <c r="H9" s="17">
        <f t="shared" si="1"/>
        <v>684310.23741427565</v>
      </c>
      <c r="I9" s="17">
        <f t="shared" si="2"/>
        <v>9393144.7625857238</v>
      </c>
    </row>
    <row r="10" spans="1:9" ht="15.75" customHeight="1" x14ac:dyDescent="0.25">
      <c r="A10" s="5">
        <f t="shared" si="3"/>
        <v>2032</v>
      </c>
      <c r="B10" s="49">
        <v>591376</v>
      </c>
      <c r="C10" s="50">
        <v>1579554</v>
      </c>
      <c r="D10" s="50">
        <v>3022098</v>
      </c>
      <c r="E10" s="50">
        <v>2741808.5</v>
      </c>
      <c r="F10" s="50">
        <v>2754194.4999999995</v>
      </c>
      <c r="G10" s="17">
        <f t="shared" si="0"/>
        <v>10097655</v>
      </c>
      <c r="H10" s="17">
        <f t="shared" si="1"/>
        <v>681023.59517544496</v>
      </c>
      <c r="I10" s="17">
        <f t="shared" si="2"/>
        <v>9416631.4048245549</v>
      </c>
    </row>
    <row r="11" spans="1:9" ht="15.75" customHeight="1" x14ac:dyDescent="0.25">
      <c r="A11" s="5">
        <f t="shared" si="3"/>
        <v>2033</v>
      </c>
      <c r="B11" s="49">
        <v>588747</v>
      </c>
      <c r="C11" s="50">
        <v>1569231</v>
      </c>
      <c r="D11" s="50">
        <v>3050403.0000000005</v>
      </c>
      <c r="E11" s="50">
        <v>2729251</v>
      </c>
      <c r="F11" s="50">
        <v>2763036.5</v>
      </c>
      <c r="G11" s="17">
        <f t="shared" si="0"/>
        <v>10111921.5</v>
      </c>
      <c r="H11" s="17">
        <f t="shared" si="1"/>
        <v>677996.061031827</v>
      </c>
      <c r="I11" s="17">
        <f t="shared" si="2"/>
        <v>9433925.4389681723</v>
      </c>
    </row>
    <row r="12" spans="1:9" ht="15.75" customHeight="1" x14ac:dyDescent="0.25">
      <c r="A12" s="5">
        <f t="shared" si="3"/>
        <v>2034</v>
      </c>
      <c r="B12" s="49">
        <v>586104</v>
      </c>
      <c r="C12" s="50">
        <v>1562231</v>
      </c>
      <c r="D12" s="50">
        <v>3070006.5000000005</v>
      </c>
      <c r="E12" s="50">
        <v>2723123.5</v>
      </c>
      <c r="F12" s="50">
        <v>2765014</v>
      </c>
      <c r="G12" s="17">
        <f t="shared" si="0"/>
        <v>10120375</v>
      </c>
      <c r="H12" s="17">
        <f t="shared" si="1"/>
        <v>674952.40460672916</v>
      </c>
      <c r="I12" s="17">
        <f t="shared" si="2"/>
        <v>9445422.5953932703</v>
      </c>
    </row>
    <row r="13" spans="1:9" ht="15.75" customHeight="1" x14ac:dyDescent="0.25">
      <c r="A13" s="5">
        <f t="shared" si="3"/>
        <v>2035</v>
      </c>
      <c r="B13" s="49">
        <v>584049</v>
      </c>
      <c r="C13" s="50">
        <v>1555369</v>
      </c>
      <c r="D13" s="50">
        <v>3081553</v>
      </c>
      <c r="E13" s="50">
        <v>2726149.9999999995</v>
      </c>
      <c r="F13" s="50">
        <v>2759158.0000000005</v>
      </c>
      <c r="G13" s="17">
        <f t="shared" si="0"/>
        <v>10122230</v>
      </c>
      <c r="H13" s="17">
        <f t="shared" si="1"/>
        <v>672585.88400378684</v>
      </c>
      <c r="I13" s="17">
        <f t="shared" si="2"/>
        <v>9449644.1159962136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rA5BR4VmosFUjSu1+vwVSnKOvV0//aim98KAEtsHt59lSZRsSGzoSNiCVy13eV4TNfMnyjyMzkIEdTlLebLR+w==" saltValue="h2RgiI6wYEMIT59KxQjlv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4.1866000000000082E-3</v>
      </c>
    </row>
    <row r="4" spans="1:8" ht="15.75" customHeight="1" x14ac:dyDescent="0.25">
      <c r="B4" s="19" t="s">
        <v>97</v>
      </c>
      <c r="C4" s="99">
        <v>3.4764499999999997E-2</v>
      </c>
    </row>
    <row r="5" spans="1:8" ht="15.75" customHeight="1" x14ac:dyDescent="0.25">
      <c r="B5" s="19" t="s">
        <v>98</v>
      </c>
      <c r="C5" s="99">
        <v>3.1592600000000033E-2</v>
      </c>
    </row>
    <row r="6" spans="1:8" ht="15.75" customHeight="1" x14ac:dyDescent="0.25">
      <c r="B6" s="19" t="s">
        <v>99</v>
      </c>
      <c r="C6" s="99">
        <v>0.16727610000000029</v>
      </c>
    </row>
    <row r="7" spans="1:8" ht="15.75" customHeight="1" x14ac:dyDescent="0.25">
      <c r="B7" s="19" t="s">
        <v>100</v>
      </c>
      <c r="C7" s="99">
        <v>0.51364719999999997</v>
      </c>
    </row>
    <row r="8" spans="1:8" ht="15.75" customHeight="1" x14ac:dyDescent="0.25">
      <c r="B8" s="19" t="s">
        <v>101</v>
      </c>
      <c r="C8" s="99">
        <v>5.142000000000009E-4</v>
      </c>
    </row>
    <row r="9" spans="1:8" ht="15.75" customHeight="1" x14ac:dyDescent="0.25">
      <c r="B9" s="19" t="s">
        <v>102</v>
      </c>
      <c r="C9" s="99">
        <v>0.1789375999999997</v>
      </c>
    </row>
    <row r="10" spans="1:8" ht="15.75" customHeight="1" x14ac:dyDescent="0.25">
      <c r="B10" s="19" t="s">
        <v>103</v>
      </c>
      <c r="C10" s="99">
        <v>6.9081200000000106E-2</v>
      </c>
    </row>
    <row r="11" spans="1:8" ht="15.75" customHeight="1" x14ac:dyDescent="0.25">
      <c r="B11" s="27" t="s">
        <v>59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6.0123603405278697E-2</v>
      </c>
      <c r="D14" s="55">
        <v>6.0123603405278697E-2</v>
      </c>
      <c r="E14" s="55">
        <v>6.0123603405278697E-2</v>
      </c>
      <c r="F14" s="55">
        <v>6.0123603405278697E-2</v>
      </c>
    </row>
    <row r="15" spans="1:8" ht="15.75" customHeight="1" x14ac:dyDescent="0.25">
      <c r="B15" s="19" t="s">
        <v>106</v>
      </c>
      <c r="C15" s="99">
        <v>0.64463796691699249</v>
      </c>
      <c r="D15" s="99">
        <v>0.64463796691699249</v>
      </c>
      <c r="E15" s="99">
        <v>0.64463796691699249</v>
      </c>
      <c r="F15" s="99">
        <v>0.64463796691699249</v>
      </c>
    </row>
    <row r="16" spans="1:8" ht="15.75" customHeight="1" x14ac:dyDescent="0.25">
      <c r="B16" s="19" t="s">
        <v>107</v>
      </c>
      <c r="C16" s="99">
        <v>1.1737965988328471E-2</v>
      </c>
      <c r="D16" s="99">
        <v>1.1737965988328471E-2</v>
      </c>
      <c r="E16" s="99">
        <v>1.1737965988328471E-2</v>
      </c>
      <c r="F16" s="99">
        <v>1.1737965988328471E-2</v>
      </c>
    </row>
    <row r="17" spans="1:8" ht="15.75" customHeight="1" x14ac:dyDescent="0.25">
      <c r="B17" s="19" t="s">
        <v>108</v>
      </c>
      <c r="C17" s="99">
        <v>4.1077226371291783E-4</v>
      </c>
      <c r="D17" s="99">
        <v>4.1077226371291783E-4</v>
      </c>
      <c r="E17" s="99">
        <v>4.1077226371291783E-4</v>
      </c>
      <c r="F17" s="99">
        <v>4.1077226371291783E-4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1.566186659983906E-2</v>
      </c>
      <c r="D19" s="99">
        <v>1.566186659983906E-2</v>
      </c>
      <c r="E19" s="99">
        <v>1.566186659983906E-2</v>
      </c>
      <c r="F19" s="99">
        <v>1.566186659983906E-2</v>
      </c>
    </row>
    <row r="20" spans="1:8" ht="15.75" customHeight="1" x14ac:dyDescent="0.25">
      <c r="B20" s="19" t="s">
        <v>111</v>
      </c>
      <c r="C20" s="99">
        <v>9.7501729496966699E-3</v>
      </c>
      <c r="D20" s="99">
        <v>9.7501729496966699E-3</v>
      </c>
      <c r="E20" s="99">
        <v>9.7501729496966699E-3</v>
      </c>
      <c r="F20" s="99">
        <v>9.7501729496966699E-3</v>
      </c>
    </row>
    <row r="21" spans="1:8" ht="15.75" customHeight="1" x14ac:dyDescent="0.25">
      <c r="B21" s="19" t="s">
        <v>112</v>
      </c>
      <c r="C21" s="99">
        <v>0.16638346834571979</v>
      </c>
      <c r="D21" s="99">
        <v>0.16638346834571979</v>
      </c>
      <c r="E21" s="99">
        <v>0.16638346834571979</v>
      </c>
      <c r="F21" s="99">
        <v>0.16638346834571979</v>
      </c>
    </row>
    <row r="22" spans="1:8" ht="15.75" customHeight="1" x14ac:dyDescent="0.25">
      <c r="B22" s="19" t="s">
        <v>113</v>
      </c>
      <c r="C22" s="99">
        <v>9.1294183530432171E-2</v>
      </c>
      <c r="D22" s="99">
        <v>9.1294183530432171E-2</v>
      </c>
      <c r="E22" s="99">
        <v>9.1294183530432171E-2</v>
      </c>
      <c r="F22" s="99">
        <v>9.1294183530432171E-2</v>
      </c>
    </row>
    <row r="23" spans="1:8" ht="15.75" customHeight="1" x14ac:dyDescent="0.25">
      <c r="B23" s="27" t="s">
        <v>59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2.9403015000000001E-2</v>
      </c>
    </row>
    <row r="27" spans="1:8" ht="15.75" customHeight="1" x14ac:dyDescent="0.25">
      <c r="B27" s="19" t="s">
        <v>120</v>
      </c>
      <c r="C27" s="99">
        <v>9.4778499999999995E-3</v>
      </c>
    </row>
    <row r="28" spans="1:8" ht="15.75" customHeight="1" x14ac:dyDescent="0.25">
      <c r="B28" s="19" t="s">
        <v>121</v>
      </c>
      <c r="C28" s="99">
        <v>0.26792401599999999</v>
      </c>
    </row>
    <row r="29" spans="1:8" ht="15.75" customHeight="1" x14ac:dyDescent="0.25">
      <c r="B29" s="19" t="s">
        <v>122</v>
      </c>
      <c r="C29" s="99">
        <v>0.15314538599999999</v>
      </c>
    </row>
    <row r="30" spans="1:8" ht="15.75" customHeight="1" x14ac:dyDescent="0.25">
      <c r="B30" s="19" t="s">
        <v>2</v>
      </c>
      <c r="C30" s="99">
        <v>8.2032367999999994E-2</v>
      </c>
    </row>
    <row r="31" spans="1:8" ht="15.75" customHeight="1" x14ac:dyDescent="0.25">
      <c r="B31" s="19" t="s">
        <v>123</v>
      </c>
      <c r="C31" s="99">
        <v>7.4517409999999996E-3</v>
      </c>
    </row>
    <row r="32" spans="1:8" ht="15.75" customHeight="1" x14ac:dyDescent="0.25">
      <c r="B32" s="19" t="s">
        <v>124</v>
      </c>
      <c r="C32" s="99">
        <v>1.1600134E-2</v>
      </c>
    </row>
    <row r="33" spans="2:3" ht="15.75" customHeight="1" x14ac:dyDescent="0.25">
      <c r="B33" s="19" t="s">
        <v>125</v>
      </c>
      <c r="C33" s="99">
        <v>0.249526525</v>
      </c>
    </row>
    <row r="34" spans="2:3" ht="15.75" customHeight="1" x14ac:dyDescent="0.25">
      <c r="B34" s="19" t="s">
        <v>126</v>
      </c>
      <c r="C34" s="99">
        <v>0.18943896499999999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ukD/c6YgIIGxTNJFT0JvaymK5Otju3qK251aRVVGCCEz+FvXlrMzHYxUx1NT9Etg+68Bu29swWqYWOmFIA77gA==" saltValue="xOYIy0D4wugLNsxt9Z0iP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0.42180623856288357</v>
      </c>
      <c r="D2" s="52">
        <f>IFERROR(1-_xlfn.NORM.DIST(_xlfn.NORM.INV(SUM(D4:D5), 0, 1) + 1, 0, 1, TRUE), "")</f>
        <v>0.42180623856288357</v>
      </c>
      <c r="E2" s="52">
        <f>IFERROR(1-_xlfn.NORM.DIST(_xlfn.NORM.INV(SUM(E4:E5), 0, 1) + 1, 0, 1, TRUE), "")</f>
        <v>0.42890962659178988</v>
      </c>
      <c r="F2" s="52">
        <f>IFERROR(1-_xlfn.NORM.DIST(_xlfn.NORM.INV(SUM(F4:F5), 0, 1) + 1, 0, 1, TRUE), "")</f>
        <v>0.37923916161931714</v>
      </c>
      <c r="G2" s="52">
        <f>IFERROR(1-_xlfn.NORM.DIST(_xlfn.NORM.INV(SUM(G4:G5), 0, 1) + 1, 0, 1, TRUE), "")</f>
        <v>0.39092597722275935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0.36712696143711643</v>
      </c>
      <c r="D3" s="52">
        <f>IFERROR(_xlfn.NORM.DIST(_xlfn.NORM.INV(SUM(D4:D5), 0, 1) + 1, 0, 1, TRUE) - SUM(D4:D5), "")</f>
        <v>0.36712696143711643</v>
      </c>
      <c r="E3" s="52">
        <f>IFERROR(_xlfn.NORM.DIST(_xlfn.NORM.INV(SUM(E4:E5), 0, 1) + 1, 0, 1, TRUE) - SUM(E4:E5), "")</f>
        <v>0.36522427340821012</v>
      </c>
      <c r="F3" s="52">
        <f>IFERROR(_xlfn.NORM.DIST(_xlfn.NORM.INV(SUM(F4:F5), 0, 1) + 1, 0, 1, TRUE) - SUM(F4:F5), "")</f>
        <v>0.37645553838068285</v>
      </c>
      <c r="G3" s="52">
        <f>IFERROR(_xlfn.NORM.DIST(_xlfn.NORM.INV(SUM(G4:G5), 0, 1) + 1, 0, 1, TRUE) - SUM(G4:G5), "")</f>
        <v>0.37426282277724066</v>
      </c>
    </row>
    <row r="4" spans="1:15" ht="15.75" customHeight="1" x14ac:dyDescent="0.25">
      <c r="B4" s="5" t="s">
        <v>132</v>
      </c>
      <c r="C4" s="45">
        <v>0.1209505</v>
      </c>
      <c r="D4" s="53">
        <v>0.1209505</v>
      </c>
      <c r="E4" s="53">
        <v>0.1149128</v>
      </c>
      <c r="F4" s="53">
        <v>0.1187933</v>
      </c>
      <c r="G4" s="53">
        <v>0.14242050000000001</v>
      </c>
    </row>
    <row r="5" spans="1:15" ht="15.75" customHeight="1" x14ac:dyDescent="0.25">
      <c r="B5" s="5" t="s">
        <v>133</v>
      </c>
      <c r="C5" s="45">
        <v>9.0116299999999996E-2</v>
      </c>
      <c r="D5" s="53">
        <v>9.0116299999999996E-2</v>
      </c>
      <c r="E5" s="53">
        <v>9.0953300000000001E-2</v>
      </c>
      <c r="F5" s="53">
        <v>0.12551200000000001</v>
      </c>
      <c r="G5" s="53">
        <v>9.2390699999999992E-2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0.4829443176119903</v>
      </c>
      <c r="D8" s="52">
        <f>IFERROR(1-_xlfn.NORM.DIST(_xlfn.NORM.INV(SUM(D10:D11), 0, 1) + 1, 0, 1, TRUE), "")</f>
        <v>0.4829443176119903</v>
      </c>
      <c r="E8" s="52">
        <f>IFERROR(1-_xlfn.NORM.DIST(_xlfn.NORM.INV(SUM(E10:E11), 0, 1) + 1, 0, 1, TRUE), "")</f>
        <v>0.59698980997872075</v>
      </c>
      <c r="F8" s="52">
        <f>IFERROR(1-_xlfn.NORM.DIST(_xlfn.NORM.INV(SUM(F10:F11), 0, 1) + 1, 0, 1, TRUE), "")</f>
        <v>0.68020858093685532</v>
      </c>
      <c r="G8" s="52">
        <f>IFERROR(1-_xlfn.NORM.DIST(_xlfn.NORM.INV(SUM(G10:G11), 0, 1) + 1, 0, 1, TRUE), "")</f>
        <v>0.5872286834367908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0.3478312823880097</v>
      </c>
      <c r="D9" s="52">
        <f>IFERROR(_xlfn.NORM.DIST(_xlfn.NORM.INV(SUM(D10:D11), 0, 1) + 1, 0, 1, TRUE) - SUM(D10:D11), "")</f>
        <v>0.3478312823880097</v>
      </c>
      <c r="E9" s="52">
        <f>IFERROR(_xlfn.NORM.DIST(_xlfn.NORM.INV(SUM(E10:E11), 0, 1) + 1, 0, 1, TRUE) - SUM(E10:E11), "")</f>
        <v>0.29654779002127923</v>
      </c>
      <c r="F9" s="52">
        <f>IFERROR(_xlfn.NORM.DIST(_xlfn.NORM.INV(SUM(F10:F11), 0, 1) + 1, 0, 1, TRUE) - SUM(F10:F11), "")</f>
        <v>0.24877761906314469</v>
      </c>
      <c r="G9" s="52">
        <f>IFERROR(_xlfn.NORM.DIST(_xlfn.NORM.INV(SUM(G10:G11), 0, 1) + 1, 0, 1, TRUE) - SUM(G10:G11), "")</f>
        <v>0.30161881656320921</v>
      </c>
    </row>
    <row r="10" spans="1:15" ht="15.75" customHeight="1" x14ac:dyDescent="0.25">
      <c r="B10" s="5" t="s">
        <v>137</v>
      </c>
      <c r="C10" s="45">
        <v>7.8381999999999993E-2</v>
      </c>
      <c r="D10" s="53">
        <v>7.8381999999999993E-2</v>
      </c>
      <c r="E10" s="53">
        <v>5.3425599999999997E-2</v>
      </c>
      <c r="F10" s="53">
        <v>3.8551099999999998E-2</v>
      </c>
      <c r="G10" s="53">
        <v>6.2201800000000002E-2</v>
      </c>
    </row>
    <row r="11" spans="1:15" ht="15.75" customHeight="1" x14ac:dyDescent="0.25">
      <c r="B11" s="5" t="s">
        <v>138</v>
      </c>
      <c r="C11" s="45">
        <v>9.084239999999999E-2</v>
      </c>
      <c r="D11" s="53">
        <v>9.084239999999999E-2</v>
      </c>
      <c r="E11" s="53">
        <v>5.3036800000000002E-2</v>
      </c>
      <c r="F11" s="53">
        <v>3.2462699999999997E-2</v>
      </c>
      <c r="G11" s="53">
        <v>4.8950699999999993E-2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0.36986040149999999</v>
      </c>
      <c r="D14" s="54">
        <v>0.397561844474</v>
      </c>
      <c r="E14" s="54">
        <v>0.397561844474</v>
      </c>
      <c r="F14" s="54">
        <v>0.34443006445199997</v>
      </c>
      <c r="G14" s="54">
        <v>0.34443006445199997</v>
      </c>
      <c r="H14" s="45">
        <v>0.40400000000000008</v>
      </c>
      <c r="I14" s="55">
        <v>0.40400000000000008</v>
      </c>
      <c r="J14" s="55">
        <v>0.40400000000000008</v>
      </c>
      <c r="K14" s="55">
        <v>0.40400000000000008</v>
      </c>
      <c r="L14" s="45">
        <v>0.36699999999999999</v>
      </c>
      <c r="M14" s="55">
        <v>0.36699999999999999</v>
      </c>
      <c r="N14" s="55">
        <v>0.36699999999999999</v>
      </c>
      <c r="O14" s="55">
        <v>0.36699999999999999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0.20560391775224393</v>
      </c>
      <c r="D15" s="52">
        <f t="shared" si="0"/>
        <v>0.22100303909571864</v>
      </c>
      <c r="E15" s="52">
        <f t="shared" si="0"/>
        <v>0.22100303909571864</v>
      </c>
      <c r="F15" s="52">
        <f t="shared" si="0"/>
        <v>0.19146729510860891</v>
      </c>
      <c r="G15" s="52">
        <f t="shared" si="0"/>
        <v>0.19146729510860891</v>
      </c>
      <c r="H15" s="52">
        <f t="shared" si="0"/>
        <v>0.22458198399999998</v>
      </c>
      <c r="I15" s="52">
        <f t="shared" si="0"/>
        <v>0.22458198399999998</v>
      </c>
      <c r="J15" s="52">
        <f t="shared" si="0"/>
        <v>0.22458198399999998</v>
      </c>
      <c r="K15" s="52">
        <f t="shared" si="0"/>
        <v>0.22458198399999998</v>
      </c>
      <c r="L15" s="52">
        <f t="shared" si="0"/>
        <v>0.20401383199999992</v>
      </c>
      <c r="M15" s="52">
        <f t="shared" si="0"/>
        <v>0.20401383199999992</v>
      </c>
      <c r="N15" s="52">
        <f t="shared" si="0"/>
        <v>0.20401383199999992</v>
      </c>
      <c r="O15" s="52">
        <f t="shared" si="0"/>
        <v>0.20401383199999992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7POVOgX97mzMC6P3AuWhQEcq4Pv5XXWlfkyRPAc5T91yb7DdK76Vss+9nWo0mBlkWA/z7sXV3Q1jJ38HBgpTAw==" saltValue="gtWZLES+pWSMCbJ381MP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0.62008740000000007</v>
      </c>
      <c r="D2" s="53">
        <v>0.26531189999999999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8.8325500000000001E-2</v>
      </c>
      <c r="D3" s="53">
        <v>0.1554044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0.23018359999999999</v>
      </c>
      <c r="D4" s="53">
        <v>0.45311059999999997</v>
      </c>
      <c r="E4" s="53">
        <v>0.75188350000000004</v>
      </c>
      <c r="F4" s="53">
        <v>0.35143940000000001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6.1403499999999944E-2</v>
      </c>
      <c r="D5" s="52">
        <f t="shared" si="0"/>
        <v>0.12617310000000004</v>
      </c>
      <c r="E5" s="52">
        <f>1-SUM(E2:E4)</f>
        <v>0.24811649999999996</v>
      </c>
      <c r="F5" s="52">
        <f>1-SUM(F2:F4)</f>
        <v>0.64856059999999993</v>
      </c>
      <c r="G5" s="52">
        <f>1-SUM(G2:G4)</f>
        <v>1</v>
      </c>
    </row>
  </sheetData>
  <sheetProtection algorithmName="SHA-512" hashValue="yfw+tL7nAYs+t3lc/6T9UOLnWTdG4g9XQgxldxpxLSKO4ElvzuflRtIIAH5gt7S9xKXvu1p5EevXppTYoxdVEQ==" saltValue="GUuuu56n4wO6/MnwSeUDo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hdOsFXg7ngEjZbR3NEyAu6eKXYhanBhVOXxZ9b0zbqJl3MsHOKDK7Qhi7vbuaVUHB6WWSx0zSslxA3NKlb6eRw==" saltValue="yvEfEaRK9u7IQO//DT3O0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3441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0.43840000000000001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0.21240000000000001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1.6277253939456813E-2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97779.389020000002</v>
      </c>
      <c r="C22" s="107">
        <v>97623.115860000005</v>
      </c>
      <c r="D22" s="107">
        <v>97527.568950000001</v>
      </c>
      <c r="E22" s="107">
        <v>97221.327130000005</v>
      </c>
      <c r="F22" s="107">
        <v>96846.840939999995</v>
      </c>
      <c r="G22" s="107">
        <v>96450.76053</v>
      </c>
      <c r="H22" s="107">
        <v>95963.286129999993</v>
      </c>
      <c r="I22" s="107">
        <v>95273.656870000006</v>
      </c>
      <c r="J22" s="107">
        <v>94188.628530000002</v>
      </c>
      <c r="K22" s="107">
        <v>92401.158649999998</v>
      </c>
      <c r="L22" s="107">
        <v>89520.896380000006</v>
      </c>
      <c r="M22" s="107">
        <v>84976.504459999996</v>
      </c>
      <c r="N22" s="107">
        <v>78084.068639999998</v>
      </c>
      <c r="O22" s="107">
        <v>68409.968930000003</v>
      </c>
    </row>
  </sheetData>
  <sheetProtection algorithmName="SHA-512" hashValue="n9SVbC6fpaMDOXgEIlk9WYUpyyo25lf7VC3dK0nLVAxG20n5WP76how+D/s4RkkdglCE65lVwzrzlDVg4BUQkw==" saltValue="f/oWckhFk8vW7HbV8Ca1s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XLA1O03/3q8lxjf0glA7XIr48KRWjRsthjvGhYimP72Ja+AFldKd05SDitX5QfGIw6QsFU2LdRQB3qwVSn9cQg==" saltValue="CQyGiUSbOcS6nCT0JENkl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3w4cSzOJF3FUmVuEWfd8pe9h/blyJ6iGEhhVyMdwUtejtGOrI25ZXRoJcL4g6SWIbIIeexqc/wwIq/l+Hn1y/w==" saltValue="O4OhMfedGzhi9xALZM0Vt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7.4289688625382997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0.4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5.2149899999999999E-2</v>
      </c>
      <c r="C10" s="96">
        <v>0.95</v>
      </c>
      <c r="D10" s="56">
        <v>12.833544068358719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12.833544068358719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12.833544068358719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12.833544068358719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5.2149899999999999E-2</v>
      </c>
      <c r="C14" s="96">
        <v>0.95</v>
      </c>
      <c r="D14" s="56">
        <v>12.833544068358719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12.833544068358719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0.7</v>
      </c>
      <c r="C17" s="96">
        <v>0.95</v>
      </c>
      <c r="D17" s="56">
        <v>7.992352075384429E-2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0.26531189999999999</v>
      </c>
      <c r="C18" s="96">
        <v>0.95</v>
      </c>
      <c r="D18" s="56">
        <v>7.4289688625382997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0.26531189999999999</v>
      </c>
      <c r="C19" s="96">
        <v>0.95</v>
      </c>
      <c r="D19" s="56">
        <v>6.7065442721728772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7.4289688625382997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4.1676905525779402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0.51984672980000002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5.2149899999999999E-2</v>
      </c>
      <c r="C26" s="96">
        <v>0.95</v>
      </c>
      <c r="D26" s="56">
        <v>2.9567118730808599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17.846880984952122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0.22873869999999999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0.223</v>
      </c>
      <c r="C29" s="96">
        <v>0.95</v>
      </c>
      <c r="D29" s="56">
        <v>95.432494803225381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173.50469037871034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0.99</v>
      </c>
      <c r="C32" s="96">
        <v>0.95</v>
      </c>
      <c r="D32" s="56">
        <v>0.53033228587019021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6.2779399999999999E-2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0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0.7931416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</v>
      </c>
      <c r="C38" s="96">
        <v>0.95</v>
      </c>
      <c r="D38" s="56">
        <v>2.6612563971340846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VoKs8TEllmmgRMJhT68NcYg1Bu4MTeW/DqotE+PI2Hq1xz86tN6dPOKkLI92jhm++L3b1n0S6o8/QpraFBjiLg==" saltValue="bbtMqrDf2CAuyz1lD7YA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cgsdSCbAafjLqcpEhDcM2Ixa01b258DA6QQmI410VeycDUks5MTuPaqe7ZlQIlBFfa4/M6f/E2LHkiqAheaTfw==" saltValue="WrYwCqP/rl9hYPQOFmFZl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qgtE9Usvd/IVOM30RZSehTuXzGUpfluknS4+Nd47ut/2YljTrz/jKqW3LHEFfqZd5Oc+OEj1Cxi+ZlBCxoIWyA==" saltValue="J/kDsG7RrLlThCKKX3lcx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2.9</v>
      </c>
      <c r="C2" s="21">
        <f>'Données pop de l''année de ref'!C52</f>
        <v>2.9</v>
      </c>
      <c r="D2" s="21">
        <f>'Données pop de l''année de ref'!C53</f>
        <v>2.9</v>
      </c>
      <c r="E2" s="21">
        <f>'Données pop de l''année de ref'!C54</f>
        <v>2.9</v>
      </c>
      <c r="F2" s="21">
        <f>'Données pop de l''année de ref'!C55</f>
        <v>2.9</v>
      </c>
    </row>
    <row r="3" spans="1:6" ht="15.75" customHeight="1" x14ac:dyDescent="0.25">
      <c r="A3" s="3" t="s">
        <v>238</v>
      </c>
      <c r="B3" s="21">
        <f>frac_mam_1month * 2.6</f>
        <v>0.20379319999999998</v>
      </c>
      <c r="C3" s="21">
        <f>frac_mam_1_5months * 2.6</f>
        <v>0.20379319999999998</v>
      </c>
      <c r="D3" s="21">
        <f>frac_mam_6_11months * 2.6</f>
        <v>0.13890655999999998</v>
      </c>
      <c r="E3" s="21">
        <f>frac_mam_12_23months * 2.6</f>
        <v>0.10023285999999999</v>
      </c>
      <c r="F3" s="21">
        <f>frac_mam_24_59months * 2.6</f>
        <v>0.16172468000000001</v>
      </c>
    </row>
    <row r="4" spans="1:6" ht="15.75" customHeight="1" x14ac:dyDescent="0.25">
      <c r="A4" s="3" t="s">
        <v>237</v>
      </c>
      <c r="B4" s="21">
        <f>frac_sam_1month * 2.6</f>
        <v>0.23619023999999997</v>
      </c>
      <c r="C4" s="21">
        <f>frac_sam_1_5months * 2.6</f>
        <v>0.23619023999999997</v>
      </c>
      <c r="D4" s="21">
        <f>frac_sam_6_11months * 2.6</f>
        <v>0.13789568000000002</v>
      </c>
      <c r="E4" s="21">
        <f>frac_sam_12_23months * 2.6</f>
        <v>8.4403019999999995E-2</v>
      </c>
      <c r="F4" s="21">
        <f>frac_sam_24_59months * 2.6</f>
        <v>0.12727181999999998</v>
      </c>
    </row>
  </sheetData>
  <sheetProtection algorithmName="SHA-512" hashValue="DmUNx2nHMuW84NMcimO07H7wgykphL5Dmlh8ykqZLlbA/LOk2MA3K91+6+VwpC6gg6eUZOuZWZPAwPp/da02mQ==" saltValue="wQPsI9KBr/brQ4+i39WqB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0.252</v>
      </c>
      <c r="M24" s="60">
        <f>famplan_unmet_need</f>
        <v>0.252</v>
      </c>
      <c r="N24" s="60">
        <f>famplan_unmet_need</f>
        <v>0.252</v>
      </c>
      <c r="O24" s="60">
        <f>famplan_unmet_need</f>
        <v>0.252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0.18197150065612802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7.7987785995483436E-2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0.10982632736206059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0.63021438598632795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s/YLt57KQvM0puXJ5/PlRv7bTtTCtkk+LAhrqzhWXfjHsKJJ8Dei7srNxO00VQmO7B27M0O3oXjiam3Y2MzqRA==" saltValue="FqPOzGb6PsFX7avOqI6mB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/b1bwyxo932EHRFapZEW9fLsv33fMMfpHt1VDVuP5XIMCs7NwIGJPYaWzahjVXIE70qdT07ptCiY6BO4wLxHog==" saltValue="gblFnE1QJh9xbI4RVlmte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NwxZZkRFTK6uoxg3Lm4zmTFCcG2k+UHEDAxJPfO35gSd6j01yIACQJB8IupLuac9LfWsJqlCmFrJemjLHlHi9g==" saltValue="8HFdLp2/KTsYMuVucsPe/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ADy9/AZhPPjGaOSfh29dmrBJ+CDnME2GeYMG2md1mm/4YVehInJMCxfP3R9F9BdiFtViL6pWV/ySQbZBcQhBCg==" saltValue="8BnEnLth0C/DbcrKgdVt8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zvIaVg9LPX3ZakXyJ9+LTc7WUcnMoagDGKBA3NiIXn9Vp4uT9WayghgPXapAibHPY4UMK4VzyJA7tAKotVqfAA==" saltValue="LH1115QeywtY4pqAcrTMT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x5DCqpWVRnp/t+IF4HoD3EqBHIeUYWt+hFbbd/7ow4TyPIFuXbokm4aCXCIgPSmY3D1JiQ7fKTsz1y14MUSq4A==" saltValue="Jxd3KFytxRMY2jFVyoz/D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i6hAdxnIeLnT/uR6Q1ZlOcIuPO5PkRIRoktP0o8JU9JPFZJZ7pgK/IWSA1MlFpKJBWABIiITuPoWSdlt6kzhkA==" saltValue="colxHvAzRsRwgaVLWL65KA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GWPB66I/rHGZnIPq+xYd/6M2uZC9GhlimEK4B+8H1xcfyLSiBeTRWyv7waly1Hhu6fG3rP4oCcOj8QSVXwzJYQ==" saltValue="f5rB+AeQ2R3svmc4Swx37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zw8y95Scb7axYtxZwKaJa9TI/LuHc7mIMMTtJxOQf5CiK/jDF0PJgtBTfhRldQX05HN3V9VBSK8juQcz8qYVaw==" saltValue="SI0fL+wIbT8Lt7CKjMS1y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g8Z27rP4CV970ZLFcjM6M+LG3sWfBdKabdXre70OMaW5AJrngbtwevCpb9Olbe2QILMp5wUNGtr2d2PHiuMFvA==" saltValue="p5uCWOMrtq99e6j8wMFD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dJK4f33YyWBn9xCwSxE0FTED+rYlA0YkSQ04ieuVMqFyn9WbIcauNYeJWrkd/v4gJu2n+svvCrOX6SjgR/PNlg==" saltValue="UBuX32RFNzpeASrS0FMng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4atO/WBkhCl3S6OJBHBo0x66bsyT5QUJ9LmZMhMQEmLKmZnzulv0Q3CQFY5BiQLqtOrNplKLaILlJg2/jqkVw==" saltValue="jPaPmf/R58jWhi7kOLuh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M4mo0LK1uD5818SAQvwRbZTb40RTv535iMk8LTpPFKB4ImTbBvBlXy0vVf8txmQmPq1gTecLPt2F3hfulkc16g==" saltValue="sDlDz83u/WMxAIICpG4bT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2v6tKaWtQFWlX7KzS2cq6d+GqvhOR2wh8Cus4Exgmjlg0h+uwLIA242ZWNud7VasEV01pnVal3CtYEts9r68CA==" saltValue="DR3F7BKjezE+CB3cMcm96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Z4J2HZl+bgepn6FmO9gMIPixyYQmKDClr4xoTYSn0cidLbygmaJTbQuLfjmVOSXRFUJPThsFjcv3WLwqmxbEYA==" saltValue="FkKhQEOHgxMOIqFS3W72R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2025-07-30T02:47:55Z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