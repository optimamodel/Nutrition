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725E6F3-7A2A-4AC8-9500-C4FF641AE83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7" i="2"/>
  <c r="A29" i="2"/>
  <c r="A28" i="2"/>
  <c r="A20" i="2"/>
  <c r="A19" i="2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21" i="2" l="1"/>
  <c r="A23" i="2"/>
  <c r="A34" i="2"/>
  <c r="A31" i="2"/>
  <c r="A39" i="2"/>
  <c r="A24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5" i="2"/>
  <c r="I3" i="2"/>
  <c r="I7" i="2"/>
  <c r="I11" i="2"/>
  <c r="A17" i="2"/>
  <c r="A26" i="2"/>
  <c r="A35" i="2"/>
  <c r="I40" i="2"/>
  <c r="A32" i="2"/>
  <c r="A15" i="2"/>
  <c r="A18" i="2"/>
  <c r="A27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<sst xmlns="http://schemas.openxmlformats.org/spreadsheetml/2006/main" count="2101" uniqueCount="337">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</sst>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347577.7421875</v>
      </c>
    </row>
    <row r="8" spans="1:3" ht="15" customHeight="1" x14ac:dyDescent="0.25">
      <c r="B8" s="5" t="s">
        <v>19</v>
      </c>
      <c r="C8" s="44">
        <v>5.0000000000000001E-3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7.1399999999999991E-2</v>
      </c>
    </row>
    <row r="24" spans="1:3" ht="15" customHeight="1" x14ac:dyDescent="0.25">
      <c r="B24" s="15" t="s">
        <v>33</v>
      </c>
      <c r="C24" s="45">
        <v>0.52029999999999998</v>
      </c>
    </row>
    <row r="25" spans="1:3" ht="15" customHeight="1" x14ac:dyDescent="0.25">
      <c r="B25" s="15" t="s">
        <v>34</v>
      </c>
      <c r="C25" s="45">
        <v>0.36659999999999998</v>
      </c>
    </row>
    <row r="26" spans="1:3" ht="15" customHeight="1" x14ac:dyDescent="0.25">
      <c r="B26" s="15" t="s">
        <v>35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0.57290349526853401</v>
      </c>
    </row>
    <row r="30" spans="1:3" ht="14.25" customHeight="1" x14ac:dyDescent="0.25">
      <c r="B30" s="25" t="s">
        <v>38</v>
      </c>
      <c r="C30" s="99">
        <v>2.97816918362898E-2</v>
      </c>
    </row>
    <row r="31" spans="1:3" ht="14.25" customHeight="1" x14ac:dyDescent="0.25">
      <c r="B31" s="25" t="s">
        <v>39</v>
      </c>
      <c r="C31" s="99">
        <v>2.5306962187057899E-2</v>
      </c>
    </row>
    <row r="32" spans="1:3" ht="14.25" customHeight="1" x14ac:dyDescent="0.25">
      <c r="B32" s="25" t="s">
        <v>40</v>
      </c>
      <c r="C32" s="99">
        <v>0.37200785070811798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7.5434400000000004</v>
      </c>
    </row>
    <row r="38" spans="1:5" ht="15" customHeight="1" x14ac:dyDescent="0.25">
      <c r="B38" s="11" t="s">
        <v>45</v>
      </c>
      <c r="C38" s="43">
        <v>12.68064</v>
      </c>
      <c r="D38" s="12"/>
      <c r="E38" s="13"/>
    </row>
    <row r="39" spans="1:5" ht="15" customHeight="1" x14ac:dyDescent="0.25">
      <c r="B39" s="11" t="s">
        <v>46</v>
      </c>
      <c r="C39" s="43">
        <v>14.734360000000001</v>
      </c>
      <c r="D39" s="12"/>
      <c r="E39" s="12"/>
    </row>
    <row r="40" spans="1:5" ht="15" customHeight="1" x14ac:dyDescent="0.25">
      <c r="B40" s="11" t="s">
        <v>47</v>
      </c>
      <c r="C40" s="100">
        <v>0.39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5.1263999999999997E-3</v>
      </c>
      <c r="D45" s="12"/>
    </row>
    <row r="46" spans="1:5" ht="15.75" customHeight="1" x14ac:dyDescent="0.25">
      <c r="B46" s="11" t="s">
        <v>52</v>
      </c>
      <c r="C46" s="45">
        <v>5.5082600000000002E-2</v>
      </c>
      <c r="D46" s="12"/>
    </row>
    <row r="47" spans="1:5" ht="15.75" customHeight="1" x14ac:dyDescent="0.25">
      <c r="B47" s="11" t="s">
        <v>53</v>
      </c>
      <c r="C47" s="45">
        <v>7.6126699999999992E-2</v>
      </c>
      <c r="D47" s="12"/>
      <c r="E47" s="13"/>
    </row>
    <row r="48" spans="1:5" ht="15" customHeight="1" x14ac:dyDescent="0.25">
      <c r="B48" s="11" t="s">
        <v>54</v>
      </c>
      <c r="C48" s="46">
        <v>0.86366429999999994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0.58909100000000003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hud9kE1fD2dYCvzk5khVcj3ALwCWJ99RPFJRwuwKWmSWGvGwS6lzQvDJxwiBz7QZXVQjD4ifxvHqx61hv7kZzw==" saltValue="woMS7m7GWkkmA1rcoxwv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65476</v>
      </c>
      <c r="C2" s="49">
        <v>162396.5</v>
      </c>
      <c r="D2" s="49">
        <v>224997</v>
      </c>
      <c r="E2" s="49">
        <v>277523.5</v>
      </c>
      <c r="F2" s="49">
        <v>201664</v>
      </c>
      <c r="G2" s="17">
        <f t="shared" ref="G2:G13" si="0">C2+D2+E2+F2</f>
        <v>866581</v>
      </c>
      <c r="H2" s="17">
        <f t="shared" ref="H2:H13" si="1">(B2 + stillbirth*B2/(1000-stillbirth))/(1-abortion)</f>
        <v>74732.625416756287</v>
      </c>
      <c r="I2" s="17">
        <f t="shared" ref="I2:I13" si="2">G2-H2</f>
        <v>791848.37458324374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63702</v>
      </c>
      <c r="C3" s="50">
        <v>174536</v>
      </c>
      <c r="D3" s="50">
        <v>222133</v>
      </c>
      <c r="E3" s="50">
        <v>274496</v>
      </c>
      <c r="F3" s="50">
        <v>205274.5</v>
      </c>
      <c r="G3" s="17">
        <f t="shared" si="0"/>
        <v>876439.5</v>
      </c>
      <c r="H3" s="17">
        <f t="shared" si="1"/>
        <v>72707.82736114315</v>
      </c>
      <c r="I3" s="17">
        <f t="shared" si="2"/>
        <v>803731.67263885681</v>
      </c>
    </row>
    <row r="4" spans="1:9" ht="15.75" customHeight="1" x14ac:dyDescent="0.25">
      <c r="A4" s="5">
        <f t="shared" si="3"/>
        <v>2026</v>
      </c>
      <c r="B4" s="49">
        <v>62305</v>
      </c>
      <c r="C4" s="50">
        <v>187452.5</v>
      </c>
      <c r="D4" s="50">
        <v>220866.5</v>
      </c>
      <c r="E4" s="50">
        <v>269835</v>
      </c>
      <c r="F4" s="50">
        <v>210287.5</v>
      </c>
      <c r="G4" s="17">
        <f t="shared" si="0"/>
        <v>888441.5</v>
      </c>
      <c r="H4" s="17">
        <f t="shared" si="1"/>
        <v>71113.327426705975</v>
      </c>
      <c r="I4" s="17">
        <f t="shared" si="2"/>
        <v>817328.17257329402</v>
      </c>
    </row>
    <row r="5" spans="1:9" ht="15.75" customHeight="1" x14ac:dyDescent="0.25">
      <c r="A5" s="5">
        <f t="shared" si="3"/>
        <v>2027</v>
      </c>
      <c r="B5" s="49">
        <v>60966</v>
      </c>
      <c r="C5" s="50">
        <v>199906</v>
      </c>
      <c r="D5" s="50">
        <v>223107</v>
      </c>
      <c r="E5" s="50">
        <v>263906.5</v>
      </c>
      <c r="F5" s="50">
        <v>216329</v>
      </c>
      <c r="G5" s="17">
        <f t="shared" si="0"/>
        <v>903248.5</v>
      </c>
      <c r="H5" s="17">
        <f t="shared" si="1"/>
        <v>69585.027203218939</v>
      </c>
      <c r="I5" s="17">
        <f t="shared" si="2"/>
        <v>833663.4727967811</v>
      </c>
    </row>
    <row r="6" spans="1:9" ht="15.75" customHeight="1" x14ac:dyDescent="0.25">
      <c r="A6" s="5">
        <f t="shared" si="3"/>
        <v>2028</v>
      </c>
      <c r="B6" s="49">
        <v>60335</v>
      </c>
      <c r="C6" s="50">
        <v>210356</v>
      </c>
      <c r="D6" s="50">
        <v>229203.5</v>
      </c>
      <c r="E6" s="50">
        <v>257094</v>
      </c>
      <c r="F6" s="50">
        <v>222191.5</v>
      </c>
      <c r="G6" s="17">
        <f t="shared" si="0"/>
        <v>918845</v>
      </c>
      <c r="H6" s="17">
        <f t="shared" si="1"/>
        <v>68864.82000305441</v>
      </c>
      <c r="I6" s="17">
        <f t="shared" si="2"/>
        <v>849980.17999694555</v>
      </c>
    </row>
    <row r="7" spans="1:9" ht="15.75" customHeight="1" x14ac:dyDescent="0.25">
      <c r="A7" s="5">
        <f t="shared" si="3"/>
        <v>2029</v>
      </c>
      <c r="B7" s="49">
        <v>60055</v>
      </c>
      <c r="C7" s="50">
        <v>218570</v>
      </c>
      <c r="D7" s="50">
        <v>237810.5</v>
      </c>
      <c r="E7" s="50">
        <v>249164.5</v>
      </c>
      <c r="F7" s="50">
        <v>228233</v>
      </c>
      <c r="G7" s="17">
        <f t="shared" si="0"/>
        <v>933778</v>
      </c>
      <c r="H7" s="17">
        <f t="shared" si="1"/>
        <v>68545.23519157093</v>
      </c>
      <c r="I7" s="17">
        <f t="shared" si="2"/>
        <v>865232.76480842906</v>
      </c>
    </row>
    <row r="8" spans="1:9" ht="15.75" customHeight="1" x14ac:dyDescent="0.25">
      <c r="A8" s="5">
        <f t="shared" si="3"/>
        <v>2030</v>
      </c>
      <c r="B8" s="49">
        <v>60039</v>
      </c>
      <c r="C8" s="50">
        <v>225024</v>
      </c>
      <c r="D8" s="50">
        <v>247546</v>
      </c>
      <c r="E8" s="50">
        <v>241150</v>
      </c>
      <c r="F8" s="50">
        <v>235417.5</v>
      </c>
      <c r="G8" s="17">
        <f t="shared" si="0"/>
        <v>949137.5</v>
      </c>
      <c r="H8" s="17">
        <f t="shared" si="1"/>
        <v>68526.973202343317</v>
      </c>
      <c r="I8" s="17">
        <f t="shared" si="2"/>
        <v>880610.52679765667</v>
      </c>
    </row>
    <row r="9" spans="1:9" ht="15.75" customHeight="1" x14ac:dyDescent="0.25">
      <c r="A9" s="5">
        <f t="shared" si="3"/>
        <v>2031</v>
      </c>
      <c r="B9" s="49">
        <v>60247</v>
      </c>
      <c r="C9" s="50">
        <v>229491</v>
      </c>
      <c r="D9" s="50">
        <v>258646</v>
      </c>
      <c r="E9" s="50">
        <v>233831.5</v>
      </c>
      <c r="F9" s="50">
        <v>242222.5</v>
      </c>
      <c r="G9" s="17">
        <f t="shared" si="0"/>
        <v>964191</v>
      </c>
      <c r="H9" s="17">
        <f t="shared" si="1"/>
        <v>68764.379062302469</v>
      </c>
      <c r="I9" s="17">
        <f t="shared" si="2"/>
        <v>895426.62093769759</v>
      </c>
    </row>
    <row r="10" spans="1:9" ht="15.75" customHeight="1" x14ac:dyDescent="0.25">
      <c r="A10" s="5">
        <f t="shared" si="3"/>
        <v>2032</v>
      </c>
      <c r="B10" s="49">
        <v>60873</v>
      </c>
      <c r="C10" s="50">
        <v>231497</v>
      </c>
      <c r="D10" s="50">
        <v>272377.5</v>
      </c>
      <c r="E10" s="50">
        <v>227721.5</v>
      </c>
      <c r="F10" s="50">
        <v>247682</v>
      </c>
      <c r="G10" s="17">
        <f t="shared" si="0"/>
        <v>979278</v>
      </c>
      <c r="H10" s="17">
        <f t="shared" si="1"/>
        <v>69478.879390833361</v>
      </c>
      <c r="I10" s="17">
        <f t="shared" si="2"/>
        <v>909799.12060916668</v>
      </c>
    </row>
    <row r="11" spans="1:9" ht="15.75" customHeight="1" x14ac:dyDescent="0.25">
      <c r="A11" s="5">
        <f t="shared" si="3"/>
        <v>2033</v>
      </c>
      <c r="B11" s="49">
        <v>61771</v>
      </c>
      <c r="C11" s="50">
        <v>230856</v>
      </c>
      <c r="D11" s="50">
        <v>288810</v>
      </c>
      <c r="E11" s="50">
        <v>224370.5</v>
      </c>
      <c r="F11" s="50">
        <v>250979.50000000009</v>
      </c>
      <c r="G11" s="17">
        <f t="shared" si="0"/>
        <v>995016.00000000012</v>
      </c>
      <c r="H11" s="17">
        <f t="shared" si="1"/>
        <v>70503.833536233928</v>
      </c>
      <c r="I11" s="17">
        <f t="shared" si="2"/>
        <v>924512.16646376625</v>
      </c>
    </row>
    <row r="12" spans="1:9" ht="15.75" customHeight="1" x14ac:dyDescent="0.25">
      <c r="A12" s="5">
        <f t="shared" si="3"/>
        <v>2034</v>
      </c>
      <c r="B12" s="49">
        <v>62801</v>
      </c>
      <c r="C12" s="50">
        <v>227737</v>
      </c>
      <c r="D12" s="50">
        <v>306788.5</v>
      </c>
      <c r="E12" s="50">
        <v>222056.5</v>
      </c>
      <c r="F12" s="50">
        <v>249932.99999999991</v>
      </c>
      <c r="G12" s="17">
        <f t="shared" si="0"/>
        <v>1006514.9999999999</v>
      </c>
      <c r="H12" s="17">
        <f t="shared" si="1"/>
        <v>71679.449092762399</v>
      </c>
      <c r="I12" s="17">
        <f t="shared" si="2"/>
        <v>934835.55090723746</v>
      </c>
    </row>
    <row r="13" spans="1:9" ht="15.75" customHeight="1" x14ac:dyDescent="0.25">
      <c r="A13" s="5">
        <f t="shared" si="3"/>
        <v>2035</v>
      </c>
      <c r="B13" s="49">
        <v>63944</v>
      </c>
      <c r="C13" s="50">
        <v>223102.5</v>
      </c>
      <c r="D13" s="50">
        <v>324836.5</v>
      </c>
      <c r="E13" s="50">
        <v>219251</v>
      </c>
      <c r="F13" s="50">
        <v>246180.5</v>
      </c>
      <c r="G13" s="17">
        <f t="shared" si="0"/>
        <v>1013370.5</v>
      </c>
      <c r="H13" s="17">
        <f t="shared" si="1"/>
        <v>72984.039948211008</v>
      </c>
      <c r="I13" s="17">
        <f t="shared" si="2"/>
        <v>940386.46005178895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LGH5iXP3em9hSXI5zyfTNKvmoBdwdbPUjx2h4ln61cKDHwle/hTs/rUfFelVU96dueRk/IQXKUlVhdRnlQowA==" saltValue="d9YBX3wQUaro+I+PRPlo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1.6324242095127591E-3</v>
      </c>
    </row>
    <row r="4" spans="1:8" ht="15.75" customHeight="1" x14ac:dyDescent="0.25">
      <c r="B4" s="19" t="s">
        <v>79</v>
      </c>
      <c r="C4" s="101">
        <v>5.2081731825269262E-2</v>
      </c>
    </row>
    <row r="5" spans="1:8" ht="15.75" customHeight="1" x14ac:dyDescent="0.25">
      <c r="B5" s="19" t="s">
        <v>80</v>
      </c>
      <c r="C5" s="101">
        <v>2.9863691848466541E-2</v>
      </c>
    </row>
    <row r="6" spans="1:8" ht="15.75" customHeight="1" x14ac:dyDescent="0.25">
      <c r="B6" s="19" t="s">
        <v>81</v>
      </c>
      <c r="C6" s="101">
        <v>0.1698753019698051</v>
      </c>
    </row>
    <row r="7" spans="1:8" ht="15.75" customHeight="1" x14ac:dyDescent="0.25">
      <c r="B7" s="19" t="s">
        <v>82</v>
      </c>
      <c r="C7" s="101">
        <v>0.43394349674221139</v>
      </c>
    </row>
    <row r="8" spans="1:8" ht="15.75" customHeight="1" x14ac:dyDescent="0.25">
      <c r="B8" s="19" t="s">
        <v>83</v>
      </c>
      <c r="C8" s="101">
        <v>2.0875893861734139E-3</v>
      </c>
    </row>
    <row r="9" spans="1:8" ht="15.75" customHeight="1" x14ac:dyDescent="0.25">
      <c r="B9" s="19" t="s">
        <v>84</v>
      </c>
      <c r="C9" s="101">
        <v>0.22483110229985301</v>
      </c>
    </row>
    <row r="10" spans="1:8" ht="15.75" customHeight="1" x14ac:dyDescent="0.25">
      <c r="B10" s="19" t="s">
        <v>85</v>
      </c>
      <c r="C10" s="101">
        <v>8.5684661718708532E-2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88</v>
      </c>
      <c r="C15" s="101">
        <v>0.21836907904839739</v>
      </c>
      <c r="D15" s="101">
        <v>0.21836907904839739</v>
      </c>
      <c r="E15" s="101">
        <v>0.21836907904839739</v>
      </c>
      <c r="F15" s="101">
        <v>0.21836907904839739</v>
      </c>
    </row>
    <row r="16" spans="1:8" ht="15.75" customHeight="1" x14ac:dyDescent="0.25">
      <c r="B16" s="19" t="s">
        <v>89</v>
      </c>
      <c r="C16" s="101">
        <v>1.308218753544084E-2</v>
      </c>
      <c r="D16" s="101">
        <v>1.308218753544084E-2</v>
      </c>
      <c r="E16" s="101">
        <v>1.308218753544084E-2</v>
      </c>
      <c r="F16" s="101">
        <v>1.308218753544084E-2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2.0020932136408709E-2</v>
      </c>
      <c r="D19" s="101">
        <v>2.0020932136408709E-2</v>
      </c>
      <c r="E19" s="101">
        <v>2.0020932136408709E-2</v>
      </c>
      <c r="F19" s="101">
        <v>2.0020932136408709E-2</v>
      </c>
    </row>
    <row r="20" spans="1:8" ht="15.75" customHeight="1" x14ac:dyDescent="0.25">
      <c r="B20" s="19" t="s">
        <v>93</v>
      </c>
      <c r="C20" s="101">
        <v>2.5184264166931238E-3</v>
      </c>
      <c r="D20" s="101">
        <v>2.5184264166931238E-3</v>
      </c>
      <c r="E20" s="101">
        <v>2.5184264166931238E-3</v>
      </c>
      <c r="F20" s="101">
        <v>2.5184264166931238E-3</v>
      </c>
    </row>
    <row r="21" spans="1:8" ht="15.75" customHeight="1" x14ac:dyDescent="0.25">
      <c r="B21" s="19" t="s">
        <v>94</v>
      </c>
      <c r="C21" s="101">
        <v>0.53474700150377652</v>
      </c>
      <c r="D21" s="101">
        <v>0.53474700150377652</v>
      </c>
      <c r="E21" s="101">
        <v>0.53474700150377652</v>
      </c>
      <c r="F21" s="101">
        <v>0.53474700150377652</v>
      </c>
    </row>
    <row r="22" spans="1:8" ht="15.75" customHeight="1" x14ac:dyDescent="0.25">
      <c r="B22" s="19" t="s">
        <v>95</v>
      </c>
      <c r="C22" s="101">
        <v>0.144901036144576</v>
      </c>
      <c r="D22" s="101">
        <v>0.144901036144576</v>
      </c>
      <c r="E22" s="101">
        <v>0.144901036144576</v>
      </c>
      <c r="F22" s="101">
        <v>0.144901036144576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4.767842600000001E-2</v>
      </c>
    </row>
    <row r="27" spans="1:8" ht="15.75" customHeight="1" x14ac:dyDescent="0.25">
      <c r="B27" s="19" t="s">
        <v>102</v>
      </c>
      <c r="C27" s="101">
        <v>1.8794775E-2</v>
      </c>
    </row>
    <row r="28" spans="1:8" ht="15.75" customHeight="1" x14ac:dyDescent="0.25">
      <c r="B28" s="19" t="s">
        <v>103</v>
      </c>
      <c r="C28" s="101">
        <v>0.23166139099999999</v>
      </c>
    </row>
    <row r="29" spans="1:8" ht="15.75" customHeight="1" x14ac:dyDescent="0.25">
      <c r="B29" s="19" t="s">
        <v>104</v>
      </c>
      <c r="C29" s="101">
        <v>0.138538992</v>
      </c>
    </row>
    <row r="30" spans="1:8" ht="15.75" customHeight="1" x14ac:dyDescent="0.25">
      <c r="B30" s="19" t="s">
        <v>2</v>
      </c>
      <c r="C30" s="101">
        <v>5.0761070999999998E-2</v>
      </c>
    </row>
    <row r="31" spans="1:8" ht="15.75" customHeight="1" x14ac:dyDescent="0.25">
      <c r="B31" s="19" t="s">
        <v>105</v>
      </c>
      <c r="C31" s="101">
        <v>7.0366394999999998E-2</v>
      </c>
    </row>
    <row r="32" spans="1:8" ht="15.75" customHeight="1" x14ac:dyDescent="0.25">
      <c r="B32" s="19" t="s">
        <v>106</v>
      </c>
      <c r="C32" s="101">
        <v>0.147583886</v>
      </c>
    </row>
    <row r="33" spans="2:3" ht="15.75" customHeight="1" x14ac:dyDescent="0.25">
      <c r="B33" s="19" t="s">
        <v>107</v>
      </c>
      <c r="C33" s="101">
        <v>0.122079576</v>
      </c>
    </row>
    <row r="34" spans="2:3" ht="15.75" customHeight="1" x14ac:dyDescent="0.25">
      <c r="B34" s="19" t="s">
        <v>108</v>
      </c>
      <c r="C34" s="101">
        <v>0.17253548899999999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Sg8IQJNLgNtMqxC2F2rTOd6vSRaGssQTL+BwhLDC3nsEKapIAyqkl7EMUk18dHGmLp+xXSkcAZshNGba9ouWDA==" saltValue="EBzdN83wZM4vHEgJ8DnoL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114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115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119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120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gp6gZN6nuK7JsHw+bVlWn12t2psG/O0aZ/NIn7nwNx9Yt4ailaTRa5n/tSSgBiJjboWahMan/CNrFvjAWT84w==" saltValue="4N4OK5f8fxq0457bZ9gd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132</v>
      </c>
      <c r="C5" s="52">
        <v>4.5253300000000003E-2</v>
      </c>
      <c r="D5" s="52">
        <v>3.68343E-2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VuCBP/0B+eHkURbseSQOkEkqwR1opbRwmCo2XAlC0VZtS+BjwMf36bqPwgNIRYaneo1t8wIynjelXB47aUPT7A==" saltValue="1bXm1z4V0m2u8f4OJ+sCO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RQidU1/sZK4YpoNyolxOwekY9IdYDH21hmw7h7Jnd+tSREM7VXM4PJbr4yPBB8HORMQz+2X9ST4RZ3qfs119w==" saltValue="1eDyVXdMB3rqS22xdfNyc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HsjDbcOSqx2tDFoQwtHGP/qKsEn46jlaTduo6lhBSPfjZpD29XbAvNNLJaoPoUjpQUuhZRBwCpBrxg/uN1QNKA==" saltValue="lF6BRkamxa1KIjLLtVWlg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jlaxvaZnb49xjKF2zkVq2mC+tyy3qGW/RHV+RoiVwMuW8o2jevVvP96Mg57mB4gG5+6D5d3UlyZYdnFx7LgL0g==" saltValue="jdhqfgnxZOhUuAkty+ihx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gKOutOsIA8knKnCM6Cw7ohuf3B1z1WOtfiN0LP5PGCJOq+1kiVw4iCGl5kmbmZgIXqIXARkeZ4BSv3wOzrAENA==" saltValue="yNIPZzVOtpkEvlOzOLhf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55.159498129923833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39.815804482761187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369.40825523463701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2.5694477871811041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0.2596929</v>
      </c>
      <c r="C10" s="98">
        <v>0.95</v>
      </c>
      <c r="D10" s="56">
        <v>12.948103926557099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12.948103926557099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12.948103926557099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12.948103926557099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0.2596929</v>
      </c>
      <c r="C14" s="98">
        <v>0.95</v>
      </c>
      <c r="D14" s="56">
        <v>12.948103926557099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12.948103926557099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0.65486972645244557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3.6306666666666702E-2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0.47777259999999999</v>
      </c>
      <c r="C18" s="98">
        <v>0.95</v>
      </c>
      <c r="D18" s="56">
        <v>8.5297262743193443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0.47777259999999999</v>
      </c>
      <c r="C19" s="98">
        <v>0.95</v>
      </c>
      <c r="D19" s="56">
        <v>8.5297262743193443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19.502352360317879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22.31069666521422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4.2392904639519244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0.70357650989134002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0.2596929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18.500074668290559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0.58242249999999995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0.39210790000000001</v>
      </c>
      <c r="C29" s="98">
        <v>0.95</v>
      </c>
      <c r="D29" s="56">
        <v>107.0978840973747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0.56750055122199738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0.83</v>
      </c>
      <c r="C32" s="98">
        <v>0.95</v>
      </c>
      <c r="D32" s="56">
        <v>1.3995185494692861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0.86376940000000002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0.50568460000000004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8.8149700000000011E-2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0.36798940000000002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0.16494010000000001</v>
      </c>
      <c r="C38" s="98">
        <v>0.95</v>
      </c>
      <c r="D38" s="56">
        <v>2.715482431759646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Frsg8iYHkGaRbbbprVOXUkKX9jG0xgovpaqMVu9Rm+c1Q/yYJnUbzBlxUTbyQc6Of1XUHUzcTVHgN2r+2EsSoQ==" saltValue="s53sqRRk1qXfLC7eDtsC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2/KExjchHkPyHvl0aUHKRmoTQmuqM3gm5z9X8AtgAYsHSxc3EOeIBhxWBK5DWzNBdexReiTz8R90HCyx6Rc8gw==" saltValue="VrOYaVhr8cy7oSBgpfIj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QWpbmAvm85A0+/hR3wOc8X3Nf10Tch0fu3YNzQqd7ZAod3SRzaxjRI4KaArZgtPMzGSCbqUO3haU1JwQNGlyw==" saltValue="ZZDFNJavsUpiOAUVdOFDz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208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sheetProtection algorithmName="SHA-512" hashValue="ilFnt/jooSLqxuNbvB5/1V+7ebwOZhV0umRjgbBfvKyMkOY6Hq5GU7j7w+u+0odeNOb8YGxylRNqlf2XkLT+ZQ==" saltValue="hzim5XWE97Z6JiyfDW5Y3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6v+jVBIGEI1kT56mva8g6vI/gl42LG3Ghw161AdEA0PtXf2sKE/oRwGNo3zNzemWZ32t+2ZdJqrybXIsfB5pw==" saltValue="blZTR7t0WQOXc50klDYQc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wS4ukLtNREOQaZTg+uduJtgebgRZgDl24v7mYQbc9E3QqCH6t0/SFefjIAzAeVA294ksJSk/loePMTWWSHbOWg==" saltValue="LKvx07uhHimBX5oRnrbM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6/55pB1HLvBvNw7+doVEi7eN93cdVqtHhLcit0+RnrObbCzReE7YGrc0V8oMkFV9hP+0wF0GvFvMEsfS9bD3g==" saltValue="w9tikkQtKR6MQSowq0LOP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5F9oNPSL6+sumPOlOgDQzCng2bkqlPqqyEQNGa8YTRNaG+zDjCQpmQMXvlNtR+J7a/hOiG0j688oyY3nPhAvA==" saltValue="OHDlGmwV8QzIWfkklF6RR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TBXRGFnOoakA+8/Mp+zqWvlmIYqO3KP2XN7OK99Y8kMoH2AfGskvwElyO7X1zlTDQmPCwQtuJVzfK8OYRiMig==" saltValue="6qPgCgXaV2fQY1rpQzgA9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xEHXgsToPXqoln2ghUFrO3ZOD4GxjOSW8M74J1LxAlqNQfEVSULKyEgB4kZfotq3VAbUFgmdd25boAONTnQvg==" saltValue="9EUx+8BsutXu5dd7L1PpL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Hdx0VK5sLiN/anCD89oFicuWTqlbVLmE63iu/2OVwEkFXwQQX8H6UyrpywGHKp/5+iTlnjHzuZ3eQFSGdbLxg==" saltValue="f210Q+wP+tsOro5hH45GJ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YFEvqTNsRRLjkXRdUpNI+RuGMAOh+oUCuynHF2Wt5Eql27ChXqN58k5Ghq2X0ee57eB6eL1xyN98Lh3Z/2LIA==" saltValue="cU9JWMj57N+/1Ku/ZS1P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voVTDI5rQAKi9hFgGUrB+Z5wwTeHt5fkSqptHZqqep4f3XHFOKn50IERLTEajNQemsW6BPHNdPQJJc+Wic16g==" saltValue="4nHJvlaY39r8TZJtXdn2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dqx8adRQpx0NfDTtVVhU2GzdfYzyHom3a49L8Tdt9PUlYGxV6pym8JHD20HBkFHpkCbeX5vRYcX7GkKK300iiw==" saltValue="cvboS2nitBne2mmeEtEw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ijB8bKNy/aFd0BQdsAyojlkGRtLkZ0pShowbjUDXhqPd9NZGzz4LX+vbEz3OZNY36Ojs3A+RYZ1p86O0mFlLw==" saltValue="P9+PdkMtQk5IJOCpk0i0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PUkowu+hAdyivzneQNW4vjpJorGoA4fZNchGBNtDEhPq7BIMXTuzPi/b7JmAul7m6A2Le8s0ozFs0SoOJ32jg==" saltValue="ApYIw21/4t+1GhDOBgjf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gajPr5uYt06yX4rWZl1JAkJ2px7sQC7n3h7RcriaWN3aRO4hvOBvpC9S/g6X1vm8VlHW/k24UbHuIayGXNL9Q==" saltValue="0BmvLLi1Ln3VxHccGBwG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0.10932033927381335</v>
      </c>
      <c r="G18" s="90">
        <f>MIN(MAX(1-0.89/(1-frac_sam_12_23months+(frac_sam_12_23months*0.89)),0),1)</f>
        <v>0.10961414594783125</v>
      </c>
      <c r="H18" s="90">
        <f>MIN(MAX(1-0.89/(1-frac_sam_24_59months+(frac_sam_24_59months*0.89)),0),1)</f>
        <v>0.10981723212501371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0.10971830151637441</v>
      </c>
      <c r="G20" s="90">
        <f>MIN(MAX(1-0.89/(1-frac_mam_12_23months+(frac_mam_12_23months*0.89)),0),1)</f>
        <v>0.10974703283887521</v>
      </c>
      <c r="H20" s="90">
        <f>MIN(MAX(1-0.89/(1-frac_mam_24_59months+(frac_mam_24_59months*0.89)),0),1)</f>
        <v>0.10962517891156631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9.9313179454572076E-3</v>
      </c>
      <c r="G73" s="90">
        <f>MIN(MAX(1-0.99/(1-frac_sam_12_23months+(frac_sam_12_23months*0.99)),0),1)</f>
        <v>9.9609964234150805E-3</v>
      </c>
      <c r="H73" s="90">
        <f>MIN(MAX(1-0.99/(1-frac_sam_24_59months+(frac_sam_24_59months*0.99)),0),1)</f>
        <v>9.981521305095109E-3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9.9715218308255027E-3</v>
      </c>
      <c r="G75" s="90">
        <f>MIN(MAX(1-0.99/(1-frac_mam_12_23months+(frac_mam_12_23months*0.99)),0),1)</f>
        <v>9.9744256593635727E-3</v>
      </c>
      <c r="H75" s="90">
        <f>MIN(MAX(1-0.99/(1-frac_mam_24_59months+(frac_mam_24_59months*0.99)),0),1)</f>
        <v>9.9621112499975739E-3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0.1988885219130726</v>
      </c>
      <c r="G128" s="90">
        <f>MIN(MAX(1-0.8/(1-frac_sam_12_23months+(frac_sam_12_23months*0.8)),0),1)</f>
        <v>0.19936916695402629</v>
      </c>
      <c r="H128" s="90">
        <f>MIN(MAX(1-0.8/(1-frac_sam_24_59months+(frac_sam_24_59months*0.8)),0),1)</f>
        <v>0.19970124847605608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0.19953949507151469</v>
      </c>
      <c r="G130" s="90">
        <f>MIN(MAX(1-0.8/(1-frac_mam_12_23months+(frac_mam_12_23months*0.8)),0),1)</f>
        <v>0.19958647435611132</v>
      </c>
      <c r="H130" s="90">
        <f>MIN(MAX(1-0.8/(1-frac_mam_24_59months+(frac_mam_24_59months*0.8)),0),1)</f>
        <v>0.19938721097127732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kv9HwiPUF3iWNKt6Nl88wFcbS6RT0WHSPL1FEplbm7Vu95Ta4d9+9mVRazqZlJyUAa0qfZgeCAUCC7sMhZMFA==" saltValue="V9i26NkjBGYvlIEW1X2N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jnZS1KAAzdE6xWNlCm0v1VBYAOeQ8x3cj4WqYSOqfuZ5ex1XKIcQxvQOX+rbNtq3U3ShL84ToQ4b+b3haKl/Q==" saltValue="ZsGLHxarjElFAiPmJrTNo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2024-08-06T09:28:19Z</dcterms:modified>
</cp:coreProperties>
</file>