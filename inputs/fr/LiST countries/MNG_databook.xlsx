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fr\LiST countries\"/>
    </mc:Choice>
  </mc:AlternateContent>
  <xr:revisionPtr revIDLastSave="0" documentId="8_{7FEB6D79-C8AE-4E9D-9FA4-F2FD5821DAEA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I9" i="2" s="1"/>
  <c r="H8" i="2"/>
  <c r="G8" i="2"/>
  <c r="H7" i="2"/>
  <c r="G7" i="2"/>
  <c r="I7" i="2" s="1"/>
  <c r="H6" i="2"/>
  <c r="G6" i="2"/>
  <c r="H5" i="2"/>
  <c r="G5" i="2"/>
  <c r="H4" i="2"/>
  <c r="G4" i="2"/>
  <c r="H3" i="2"/>
  <c r="G3" i="2"/>
  <c r="I3" i="2" s="1"/>
  <c r="H2" i="2"/>
  <c r="G2" i="2"/>
  <c r="A2" i="2"/>
  <c r="A39" i="2" s="1"/>
  <c r="C33" i="1"/>
  <c r="C20" i="1"/>
  <c r="A22" i="2" l="1"/>
  <c r="A23" i="2"/>
  <c r="A31" i="2"/>
  <c r="A37" i="2"/>
  <c r="A26" i="2"/>
  <c r="I39" i="2"/>
  <c r="A34" i="2"/>
  <c r="A40" i="2"/>
  <c r="I2" i="2"/>
  <c r="I6" i="2"/>
  <c r="A19" i="2"/>
  <c r="A35" i="2"/>
  <c r="A36" i="2"/>
  <c r="A24" i="2"/>
  <c r="I38" i="2"/>
  <c r="I4" i="2"/>
  <c r="I8" i="2"/>
  <c r="I12" i="2"/>
  <c r="A2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<sst xmlns="http://schemas.openxmlformats.org/spreadsheetml/2006/main" count="2169" uniqueCount="369">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</sst>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329239.5</v>
      </c>
    </row>
    <row r="8" spans="1:3" ht="15" customHeight="1" x14ac:dyDescent="0.25">
      <c r="B8" s="5" t="s">
        <v>37</v>
      </c>
      <c r="C8" s="44">
        <v>0.01</v>
      </c>
    </row>
    <row r="9" spans="1:3" ht="15" customHeight="1" x14ac:dyDescent="0.25">
      <c r="B9" s="5" t="s">
        <v>38</v>
      </c>
      <c r="C9" s="45">
        <v>0.01</v>
      </c>
    </row>
    <row r="10" spans="1:3" ht="15" customHeight="1" x14ac:dyDescent="0.25">
      <c r="B10" s="5" t="s">
        <v>39</v>
      </c>
      <c r="C10" s="45">
        <v>0.81408699039999999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0.317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7.1399999999999991E-2</v>
      </c>
    </row>
    <row r="24" spans="1:3" ht="15" customHeight="1" x14ac:dyDescent="0.25">
      <c r="B24" s="15" t="s">
        <v>51</v>
      </c>
      <c r="C24" s="45">
        <v>0.52029999999999998</v>
      </c>
    </row>
    <row r="25" spans="1:3" ht="15" customHeight="1" x14ac:dyDescent="0.25">
      <c r="B25" s="15" t="s">
        <v>52</v>
      </c>
      <c r="C25" s="45">
        <v>0.36659999999999998</v>
      </c>
    </row>
    <row r="26" spans="1:3" ht="15" customHeight="1" x14ac:dyDescent="0.25">
      <c r="B26" s="15" t="s">
        <v>53</v>
      </c>
      <c r="C26" s="45">
        <v>4.1700000000000001E-2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0.57290349526853401</v>
      </c>
    </row>
    <row r="30" spans="1:3" ht="14.25" customHeight="1" x14ac:dyDescent="0.25">
      <c r="B30" s="25" t="s">
        <v>56</v>
      </c>
      <c r="C30" s="97">
        <v>2.97816918362898E-2</v>
      </c>
    </row>
    <row r="31" spans="1:3" ht="14.25" customHeight="1" x14ac:dyDescent="0.25">
      <c r="B31" s="25" t="s">
        <v>57</v>
      </c>
      <c r="C31" s="97">
        <v>2.5306962187057899E-2</v>
      </c>
    </row>
    <row r="32" spans="1:3" ht="14.25" customHeight="1" x14ac:dyDescent="0.25">
      <c r="B32" s="25" t="s">
        <v>58</v>
      </c>
      <c r="C32" s="97">
        <v>0.37200785070811798</v>
      </c>
    </row>
    <row r="33" spans="1:5" ht="13.25" customHeight="1" x14ac:dyDescent="0.25">
      <c r="B33" s="27" t="s">
        <v>59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7.5434400000000004</v>
      </c>
    </row>
    <row r="38" spans="1:5" ht="15" customHeight="1" x14ac:dyDescent="0.25">
      <c r="B38" s="11" t="s">
        <v>63</v>
      </c>
      <c r="C38" s="43">
        <v>12.68064</v>
      </c>
      <c r="D38" s="12"/>
      <c r="E38" s="13"/>
    </row>
    <row r="39" spans="1:5" ht="15" customHeight="1" x14ac:dyDescent="0.25">
      <c r="B39" s="11" t="s">
        <v>64</v>
      </c>
      <c r="C39" s="43">
        <v>14.734360000000001</v>
      </c>
      <c r="D39" s="12"/>
      <c r="E39" s="12"/>
    </row>
    <row r="40" spans="1:5" ht="15" customHeight="1" x14ac:dyDescent="0.25">
      <c r="B40" s="11" t="s">
        <v>65</v>
      </c>
      <c r="C40" s="98">
        <v>0.39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4.3900499999999996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5.1263999999999997E-3</v>
      </c>
      <c r="D45" s="12"/>
    </row>
    <row r="46" spans="1:5" ht="15.75" customHeight="1" x14ac:dyDescent="0.25">
      <c r="B46" s="11" t="s">
        <v>70</v>
      </c>
      <c r="C46" s="45">
        <v>5.5082600000000002E-2</v>
      </c>
      <c r="D46" s="12"/>
    </row>
    <row r="47" spans="1:5" ht="15.75" customHeight="1" x14ac:dyDescent="0.25">
      <c r="B47" s="11" t="s">
        <v>71</v>
      </c>
      <c r="C47" s="45">
        <v>7.6126699999999992E-2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>
        <v>2.2000000000000002</v>
      </c>
      <c r="D51" s="12"/>
    </row>
    <row r="52" spans="1:4" ht="15" customHeight="1" x14ac:dyDescent="0.25">
      <c r="B52" s="11" t="s">
        <v>75</v>
      </c>
      <c r="C52" s="98">
        <v>2.2000000000000002</v>
      </c>
    </row>
    <row r="53" spans="1:4" ht="15.75" customHeight="1" x14ac:dyDescent="0.25">
      <c r="B53" s="11" t="s">
        <v>76</v>
      </c>
      <c r="C53" s="98">
        <v>2.2000000000000002</v>
      </c>
    </row>
    <row r="54" spans="1:4" ht="15.75" customHeight="1" x14ac:dyDescent="0.25">
      <c r="B54" s="11" t="s">
        <v>77</v>
      </c>
      <c r="C54" s="98">
        <v>2.2000000000000002</v>
      </c>
    </row>
    <row r="55" spans="1:4" ht="15.75" customHeight="1" x14ac:dyDescent="0.25">
      <c r="B55" s="11" t="s">
        <v>78</v>
      </c>
      <c r="C55" s="98">
        <v>2.2000000000000002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2.1363636363636359E-2</v>
      </c>
    </row>
    <row r="59" spans="1:4" ht="15.75" customHeight="1" x14ac:dyDescent="0.25">
      <c r="B59" s="11" t="s">
        <v>81</v>
      </c>
      <c r="C59" s="45">
        <v>0.58909100000000003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5.3733958999999998E-2</v>
      </c>
    </row>
    <row r="63" spans="1:4" ht="15.75" customHeight="1" x14ac:dyDescent="0.3">
      <c r="A63" s="4"/>
    </row>
  </sheetData>
  <sheetProtection algorithmName="SHA-512" hashValue="WN9eMD/+KL+0LeD/VzFfvaVNy00wQTGh+i/oyjWlGGj4m+vPKJJkwxzvJ7n3sTfa5bPpk8o8RSmUfi8APCRmMA==" saltValue="MKdeuSabbDtJSsDiLQJtT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63101</v>
      </c>
      <c r="C2" s="49">
        <v>131190.5</v>
      </c>
      <c r="D2" s="49">
        <v>218441.50000000003</v>
      </c>
      <c r="E2" s="49">
        <v>270666.5</v>
      </c>
      <c r="F2" s="49">
        <v>222128</v>
      </c>
      <c r="G2" s="17">
        <f t="shared" ref="G2:G13" si="0">C2+D2+E2+F2</f>
        <v>842426.5</v>
      </c>
      <c r="H2" s="17">
        <f t="shared" ref="H2:H13" si="1">(B2 + stillbirth*B2/(1000-stillbirth))/(1-abortion)</f>
        <v>72021.86139078041</v>
      </c>
      <c r="I2" s="17">
        <f t="shared" ref="I2:I13" si="2">G2-H2</f>
        <v>770404.63860921958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61431</v>
      </c>
      <c r="C3" s="50">
        <v>143643</v>
      </c>
      <c r="D3" s="50">
        <v>217936.50000000003</v>
      </c>
      <c r="E3" s="50">
        <v>266456.5</v>
      </c>
      <c r="F3" s="50">
        <v>226984</v>
      </c>
      <c r="G3" s="17">
        <f t="shared" si="0"/>
        <v>855020</v>
      </c>
      <c r="H3" s="17">
        <f t="shared" si="1"/>
        <v>70115.766265146856</v>
      </c>
      <c r="I3" s="17">
        <f t="shared" si="2"/>
        <v>784904.2337348531</v>
      </c>
    </row>
    <row r="4" spans="1:9" ht="15.75" customHeight="1" x14ac:dyDescent="0.25">
      <c r="A4" s="5">
        <f t="shared" si="3"/>
        <v>2026</v>
      </c>
      <c r="B4" s="49">
        <v>60067</v>
      </c>
      <c r="C4" s="50">
        <v>154901.5</v>
      </c>
      <c r="D4" s="50">
        <v>219719.49999999997</v>
      </c>
      <c r="E4" s="50">
        <v>260541</v>
      </c>
      <c r="F4" s="50">
        <v>232782.5</v>
      </c>
      <c r="G4" s="17">
        <f t="shared" si="0"/>
        <v>867944.5</v>
      </c>
      <c r="H4" s="17">
        <f t="shared" si="1"/>
        <v>68558.931683491654</v>
      </c>
      <c r="I4" s="17">
        <f t="shared" si="2"/>
        <v>799385.56831650832</v>
      </c>
    </row>
    <row r="5" spans="1:9" ht="15.75" customHeight="1" x14ac:dyDescent="0.25">
      <c r="A5" s="5">
        <f t="shared" si="3"/>
        <v>2027</v>
      </c>
      <c r="B5" s="49">
        <v>59151</v>
      </c>
      <c r="C5" s="50">
        <v>164751.5</v>
      </c>
      <c r="D5" s="50">
        <v>224119</v>
      </c>
      <c r="E5" s="50">
        <v>253256</v>
      </c>
      <c r="F5" s="50">
        <v>239303</v>
      </c>
      <c r="G5" s="17">
        <f t="shared" si="0"/>
        <v>881429.5</v>
      </c>
      <c r="H5" s="17">
        <f t="shared" si="1"/>
        <v>67513.432800210023</v>
      </c>
      <c r="I5" s="17">
        <f t="shared" si="2"/>
        <v>813916.06719978992</v>
      </c>
    </row>
    <row r="6" spans="1:9" ht="15.75" customHeight="1" x14ac:dyDescent="0.25">
      <c r="A6" s="5">
        <f t="shared" si="3"/>
        <v>2028</v>
      </c>
      <c r="B6" s="49">
        <v>58601</v>
      </c>
      <c r="C6" s="50">
        <v>175038.5</v>
      </c>
      <c r="D6" s="50">
        <v>231576.5</v>
      </c>
      <c r="E6" s="50">
        <v>245083.5</v>
      </c>
      <c r="F6" s="50">
        <v>245976</v>
      </c>
      <c r="G6" s="17">
        <f t="shared" si="0"/>
        <v>897674.5</v>
      </c>
      <c r="H6" s="17">
        <f t="shared" si="1"/>
        <v>66885.676920510348</v>
      </c>
      <c r="I6" s="17">
        <f t="shared" si="2"/>
        <v>830788.82307948964</v>
      </c>
    </row>
    <row r="7" spans="1:9" ht="15.75" customHeight="1" x14ac:dyDescent="0.25">
      <c r="A7" s="5">
        <f t="shared" si="3"/>
        <v>2029</v>
      </c>
      <c r="B7" s="49">
        <v>58468</v>
      </c>
      <c r="C7" s="50">
        <v>184246.5</v>
      </c>
      <c r="D7" s="50">
        <v>242517</v>
      </c>
      <c r="E7" s="50">
        <v>236533.5</v>
      </c>
      <c r="F7" s="50">
        <v>252154.99999999997</v>
      </c>
      <c r="G7" s="17">
        <f t="shared" si="0"/>
        <v>915452</v>
      </c>
      <c r="H7" s="17">
        <f t="shared" si="1"/>
        <v>66733.874135055696</v>
      </c>
      <c r="I7" s="17">
        <f t="shared" si="2"/>
        <v>848718.1258649443</v>
      </c>
    </row>
    <row r="8" spans="1:9" ht="15.75" customHeight="1" x14ac:dyDescent="0.25">
      <c r="A8" s="5">
        <f t="shared" si="3"/>
        <v>2030</v>
      </c>
      <c r="B8" s="49">
        <v>58755</v>
      </c>
      <c r="C8" s="50">
        <v>190924</v>
      </c>
      <c r="D8" s="50">
        <v>257035.5</v>
      </c>
      <c r="E8" s="50">
        <v>228180</v>
      </c>
      <c r="F8" s="50">
        <v>257207</v>
      </c>
      <c r="G8" s="17">
        <f t="shared" si="0"/>
        <v>933346.5</v>
      </c>
      <c r="H8" s="17">
        <f t="shared" si="1"/>
        <v>67061.44856682625</v>
      </c>
      <c r="I8" s="17">
        <f t="shared" si="2"/>
        <v>866285.05143317371</v>
      </c>
    </row>
    <row r="9" spans="1:9" ht="15.75" customHeight="1" x14ac:dyDescent="0.25">
      <c r="A9" s="5">
        <f t="shared" si="3"/>
        <v>2031</v>
      </c>
      <c r="B9" s="49">
        <v>59418</v>
      </c>
      <c r="C9" s="50">
        <v>196326</v>
      </c>
      <c r="D9" s="50">
        <v>272794</v>
      </c>
      <c r="E9" s="50">
        <v>220590</v>
      </c>
      <c r="F9" s="50">
        <v>260577</v>
      </c>
      <c r="G9" s="17">
        <f t="shared" si="0"/>
        <v>950287</v>
      </c>
      <c r="H9" s="17">
        <f t="shared" si="1"/>
        <v>67818.179745446032</v>
      </c>
      <c r="I9" s="17">
        <f t="shared" si="2"/>
        <v>882468.82025455392</v>
      </c>
    </row>
    <row r="10" spans="1:9" ht="15.75" customHeight="1" x14ac:dyDescent="0.25">
      <c r="A10" s="5">
        <f t="shared" si="3"/>
        <v>2032</v>
      </c>
      <c r="B10" s="49">
        <v>60373</v>
      </c>
      <c r="C10" s="50">
        <v>199348.5</v>
      </c>
      <c r="D10" s="50">
        <v>289556.5</v>
      </c>
      <c r="E10" s="50">
        <v>214277.5</v>
      </c>
      <c r="F10" s="50">
        <v>262012</v>
      </c>
      <c r="G10" s="17">
        <f t="shared" si="0"/>
        <v>965194.5</v>
      </c>
      <c r="H10" s="17">
        <f t="shared" si="1"/>
        <v>68908.192227470019</v>
      </c>
      <c r="I10" s="17">
        <f t="shared" si="2"/>
        <v>896286.30777253001</v>
      </c>
    </row>
    <row r="11" spans="1:9" ht="15.75" customHeight="1" x14ac:dyDescent="0.25">
      <c r="A11" s="5">
        <f t="shared" si="3"/>
        <v>2033</v>
      </c>
      <c r="B11" s="49">
        <v>61628</v>
      </c>
      <c r="C11" s="50">
        <v>197957</v>
      </c>
      <c r="D11" s="50">
        <v>308940</v>
      </c>
      <c r="E11" s="50">
        <v>209647.49999999997</v>
      </c>
      <c r="F11" s="50">
        <v>261522.49999999997</v>
      </c>
      <c r="G11" s="17">
        <f t="shared" si="0"/>
        <v>978067</v>
      </c>
      <c r="H11" s="17">
        <f t="shared" si="1"/>
        <v>70340.617007512003</v>
      </c>
      <c r="I11" s="17">
        <f t="shared" si="2"/>
        <v>907726.38299248798</v>
      </c>
    </row>
    <row r="12" spans="1:9" ht="15.75" customHeight="1" x14ac:dyDescent="0.25">
      <c r="A12" s="5">
        <f t="shared" si="3"/>
        <v>2034</v>
      </c>
      <c r="B12" s="49">
        <v>63087</v>
      </c>
      <c r="C12" s="50">
        <v>194167</v>
      </c>
      <c r="D12" s="50">
        <v>329207.99999999994</v>
      </c>
      <c r="E12" s="50">
        <v>206954</v>
      </c>
      <c r="F12" s="50">
        <v>259155.50000000003</v>
      </c>
      <c r="G12" s="17">
        <f t="shared" si="0"/>
        <v>989484.5</v>
      </c>
      <c r="H12" s="17">
        <f t="shared" si="1"/>
        <v>72005.882150206235</v>
      </c>
      <c r="I12" s="17">
        <f t="shared" si="2"/>
        <v>917478.61784979375</v>
      </c>
    </row>
    <row r="13" spans="1:9" ht="15.75" customHeight="1" x14ac:dyDescent="0.25">
      <c r="A13" s="5">
        <f t="shared" si="3"/>
        <v>2035</v>
      </c>
      <c r="B13" s="49">
        <v>64516.999999999993</v>
      </c>
      <c r="C13" s="50">
        <v>189350</v>
      </c>
      <c r="D13" s="50">
        <v>348415</v>
      </c>
      <c r="E13" s="50">
        <v>206357.50000000003</v>
      </c>
      <c r="F13" s="50">
        <v>254977</v>
      </c>
      <c r="G13" s="17">
        <f t="shared" si="0"/>
        <v>999099.5</v>
      </c>
      <c r="H13" s="17">
        <f t="shared" si="1"/>
        <v>73638.047437425383</v>
      </c>
      <c r="I13" s="17">
        <f t="shared" si="2"/>
        <v>925461.45256257465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0HiIKsaYdI/9Cv2uR6z/TQhZc3udQOaymREhwvLLQxBP+8jfgow3v0z1cghhZKO64BN8XU5+goAmCJphM3p3Mw==" saltValue="IGcSDfLG1e7KVNiXSeHGn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1.6324242095127591E-3</v>
      </c>
    </row>
    <row r="4" spans="1:8" ht="15.75" customHeight="1" x14ac:dyDescent="0.25">
      <c r="B4" s="19" t="s">
        <v>97</v>
      </c>
      <c r="C4" s="99">
        <v>5.2081731825269262E-2</v>
      </c>
    </row>
    <row r="5" spans="1:8" ht="15.75" customHeight="1" x14ac:dyDescent="0.25">
      <c r="B5" s="19" t="s">
        <v>98</v>
      </c>
      <c r="C5" s="99">
        <v>2.9863691848466541E-2</v>
      </c>
    </row>
    <row r="6" spans="1:8" ht="15.75" customHeight="1" x14ac:dyDescent="0.25">
      <c r="B6" s="19" t="s">
        <v>99</v>
      </c>
      <c r="C6" s="99">
        <v>0.1698753019698051</v>
      </c>
    </row>
    <row r="7" spans="1:8" ht="15.75" customHeight="1" x14ac:dyDescent="0.25">
      <c r="B7" s="19" t="s">
        <v>100</v>
      </c>
      <c r="C7" s="99">
        <v>0.43394349674221139</v>
      </c>
    </row>
    <row r="8" spans="1:8" ht="15.75" customHeight="1" x14ac:dyDescent="0.25">
      <c r="B8" s="19" t="s">
        <v>101</v>
      </c>
      <c r="C8" s="99">
        <v>2.0875893861734139E-3</v>
      </c>
    </row>
    <row r="9" spans="1:8" ht="15.75" customHeight="1" x14ac:dyDescent="0.25">
      <c r="B9" s="19" t="s">
        <v>102</v>
      </c>
      <c r="C9" s="99">
        <v>0.22483110229985301</v>
      </c>
    </row>
    <row r="10" spans="1:8" ht="15.75" customHeight="1" x14ac:dyDescent="0.25">
      <c r="B10" s="19" t="s">
        <v>103</v>
      </c>
      <c r="C10" s="99">
        <v>8.5684661718708532E-2</v>
      </c>
    </row>
    <row r="11" spans="1:8" ht="15.75" customHeight="1" x14ac:dyDescent="0.25">
      <c r="B11" s="27" t="s">
        <v>59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>
        <v>6.6361337214707369E-2</v>
      </c>
      <c r="D14" s="55">
        <v>6.6361337214707369E-2</v>
      </c>
      <c r="E14" s="55">
        <v>6.6361337214707369E-2</v>
      </c>
      <c r="F14" s="55">
        <v>6.6361337214707369E-2</v>
      </c>
    </row>
    <row r="15" spans="1:8" ht="15.75" customHeight="1" x14ac:dyDescent="0.25">
      <c r="B15" s="19" t="s">
        <v>106</v>
      </c>
      <c r="C15" s="99">
        <v>0.21836907904839739</v>
      </c>
      <c r="D15" s="99">
        <v>0.21836907904839739</v>
      </c>
      <c r="E15" s="99">
        <v>0.21836907904839739</v>
      </c>
      <c r="F15" s="99">
        <v>0.21836907904839739</v>
      </c>
    </row>
    <row r="16" spans="1:8" ht="15.75" customHeight="1" x14ac:dyDescent="0.25">
      <c r="B16" s="19" t="s">
        <v>107</v>
      </c>
      <c r="C16" s="99">
        <v>1.308218753544084E-2</v>
      </c>
      <c r="D16" s="99">
        <v>1.308218753544084E-2</v>
      </c>
      <c r="E16" s="99">
        <v>1.308218753544084E-2</v>
      </c>
      <c r="F16" s="99">
        <v>1.308218753544084E-2</v>
      </c>
    </row>
    <row r="17" spans="1:8" ht="15.75" customHeight="1" x14ac:dyDescent="0.25">
      <c r="B17" s="19" t="s">
        <v>108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109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110</v>
      </c>
      <c r="C19" s="99">
        <v>2.0020932136408709E-2</v>
      </c>
      <c r="D19" s="99">
        <v>2.0020932136408709E-2</v>
      </c>
      <c r="E19" s="99">
        <v>2.0020932136408709E-2</v>
      </c>
      <c r="F19" s="99">
        <v>2.0020932136408709E-2</v>
      </c>
    </row>
    <row r="20" spans="1:8" ht="15.75" customHeight="1" x14ac:dyDescent="0.25">
      <c r="B20" s="19" t="s">
        <v>111</v>
      </c>
      <c r="C20" s="99">
        <v>2.5184264166931238E-3</v>
      </c>
      <c r="D20" s="99">
        <v>2.5184264166931238E-3</v>
      </c>
      <c r="E20" s="99">
        <v>2.5184264166931238E-3</v>
      </c>
      <c r="F20" s="99">
        <v>2.5184264166931238E-3</v>
      </c>
    </row>
    <row r="21" spans="1:8" ht="15.75" customHeight="1" x14ac:dyDescent="0.25">
      <c r="B21" s="19" t="s">
        <v>112</v>
      </c>
      <c r="C21" s="99">
        <v>0.53474700150377652</v>
      </c>
      <c r="D21" s="99">
        <v>0.53474700150377652</v>
      </c>
      <c r="E21" s="99">
        <v>0.53474700150377652</v>
      </c>
      <c r="F21" s="99">
        <v>0.53474700150377652</v>
      </c>
    </row>
    <row r="22" spans="1:8" ht="15.75" customHeight="1" x14ac:dyDescent="0.25">
      <c r="B22" s="19" t="s">
        <v>113</v>
      </c>
      <c r="C22" s="99">
        <v>0.144901036144576</v>
      </c>
      <c r="D22" s="99">
        <v>0.144901036144576</v>
      </c>
      <c r="E22" s="99">
        <v>0.144901036144576</v>
      </c>
      <c r="F22" s="99">
        <v>0.144901036144576</v>
      </c>
    </row>
    <row r="23" spans="1:8" ht="15.75" customHeight="1" x14ac:dyDescent="0.25">
      <c r="B23" s="27" t="s">
        <v>59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4.767842600000001E-2</v>
      </c>
    </row>
    <row r="27" spans="1:8" ht="15.75" customHeight="1" x14ac:dyDescent="0.25">
      <c r="B27" s="19" t="s">
        <v>120</v>
      </c>
      <c r="C27" s="99">
        <v>1.8794775E-2</v>
      </c>
    </row>
    <row r="28" spans="1:8" ht="15.75" customHeight="1" x14ac:dyDescent="0.25">
      <c r="B28" s="19" t="s">
        <v>121</v>
      </c>
      <c r="C28" s="99">
        <v>0.23166139099999999</v>
      </c>
    </row>
    <row r="29" spans="1:8" ht="15.75" customHeight="1" x14ac:dyDescent="0.25">
      <c r="B29" s="19" t="s">
        <v>122</v>
      </c>
      <c r="C29" s="99">
        <v>0.138538992</v>
      </c>
    </row>
    <row r="30" spans="1:8" ht="15.75" customHeight="1" x14ac:dyDescent="0.25">
      <c r="B30" s="19" t="s">
        <v>2</v>
      </c>
      <c r="C30" s="99">
        <v>5.0761070999999998E-2</v>
      </c>
    </row>
    <row r="31" spans="1:8" ht="15.75" customHeight="1" x14ac:dyDescent="0.25">
      <c r="B31" s="19" t="s">
        <v>123</v>
      </c>
      <c r="C31" s="99">
        <v>7.0366394999999998E-2</v>
      </c>
    </row>
    <row r="32" spans="1:8" ht="15.75" customHeight="1" x14ac:dyDescent="0.25">
      <c r="B32" s="19" t="s">
        <v>124</v>
      </c>
      <c r="C32" s="99">
        <v>0.147583886</v>
      </c>
    </row>
    <row r="33" spans="2:3" ht="15.75" customHeight="1" x14ac:dyDescent="0.25">
      <c r="B33" s="19" t="s">
        <v>125</v>
      </c>
      <c r="C33" s="99">
        <v>0.122079576</v>
      </c>
    </row>
    <row r="34" spans="2:3" ht="15.75" customHeight="1" x14ac:dyDescent="0.25">
      <c r="B34" s="19" t="s">
        <v>126</v>
      </c>
      <c r="C34" s="99">
        <v>0.17253548899999999</v>
      </c>
    </row>
    <row r="35" spans="2:3" ht="15.75" customHeight="1" x14ac:dyDescent="0.25">
      <c r="B35" s="27" t="s">
        <v>59</v>
      </c>
      <c r="C35" s="48">
        <f>SUM(C26:C34)</f>
        <v>1.0000000009999999</v>
      </c>
    </row>
  </sheetData>
  <sheetProtection algorithmName="SHA-512" hashValue="y5hdaEhao8TAf57jocM2MzjWE/8hZJ6aif4Eel3V7Wg1lCsHm2Xec5MrhLMx0XazO06OZpIkVg7k1DMVA/FXcQ==" saltValue="1MuRs5p1LEGbbn8abVw6C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0.82677451285693104</v>
      </c>
      <c r="D2" s="52">
        <f>IFERROR(1-_xlfn.NORM.DIST(_xlfn.NORM.INV(SUM(D4:D5), 0, 1) + 1, 0, 1, TRUE), "")</f>
        <v>0.82677451285693104</v>
      </c>
      <c r="E2" s="52">
        <f>IFERROR(1-_xlfn.NORM.DIST(_xlfn.NORM.INV(SUM(E4:E5), 0, 1) + 1, 0, 1, TRUE), "")</f>
        <v>0.73580179304021121</v>
      </c>
      <c r="F2" s="52">
        <f>IFERROR(1-_xlfn.NORM.DIST(_xlfn.NORM.INV(SUM(F4:F5), 0, 1) + 1, 0, 1, TRUE), "")</f>
        <v>0.59718903209489982</v>
      </c>
      <c r="G2" s="52">
        <f>IFERROR(1-_xlfn.NORM.DIST(_xlfn.NORM.INV(SUM(G4:G5), 0, 1) + 1, 0, 1, TRUE), "")</f>
        <v>0.59272414470640378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0.14712638714306897</v>
      </c>
      <c r="D3" s="52">
        <f>IFERROR(_xlfn.NORM.DIST(_xlfn.NORM.INV(SUM(D4:D5), 0, 1) + 1, 0, 1, TRUE) - SUM(D4:D5), "")</f>
        <v>0.14712638714306897</v>
      </c>
      <c r="E3" s="52">
        <f>IFERROR(_xlfn.NORM.DIST(_xlfn.NORM.INV(SUM(E4:E5), 0, 1) + 1, 0, 1, TRUE) - SUM(E4:E5), "")</f>
        <v>0.21269560695978879</v>
      </c>
      <c r="F3" s="52">
        <f>IFERROR(_xlfn.NORM.DIST(_xlfn.NORM.INV(SUM(F4:F5), 0, 1) + 1, 0, 1, TRUE) - SUM(F4:F5), "")</f>
        <v>0.29644306790510022</v>
      </c>
      <c r="G3" s="52">
        <f>IFERROR(_xlfn.NORM.DIST(_xlfn.NORM.INV(SUM(G4:G5), 0, 1) + 1, 0, 1, TRUE) - SUM(G4:G5), "")</f>
        <v>0.2987783552935962</v>
      </c>
    </row>
    <row r="4" spans="1:15" ht="15.75" customHeight="1" x14ac:dyDescent="0.25">
      <c r="B4" s="5" t="s">
        <v>132</v>
      </c>
      <c r="C4" s="45">
        <v>1.71889E-2</v>
      </c>
      <c r="D4" s="53">
        <v>1.71889E-2</v>
      </c>
      <c r="E4" s="53">
        <v>4.38225E-2</v>
      </c>
      <c r="F4" s="53">
        <v>6.8661399999999997E-2</v>
      </c>
      <c r="G4" s="53">
        <v>8.4373799999999999E-2</v>
      </c>
    </row>
    <row r="5" spans="1:15" ht="15.75" customHeight="1" x14ac:dyDescent="0.25">
      <c r="B5" s="5" t="s">
        <v>133</v>
      </c>
      <c r="C5" s="45">
        <v>8.9102000000000001E-3</v>
      </c>
      <c r="D5" s="53">
        <v>8.9102000000000001E-3</v>
      </c>
      <c r="E5" s="53">
        <v>7.6800999999999996E-3</v>
      </c>
      <c r="F5" s="53">
        <v>3.7706499999999997E-2</v>
      </c>
      <c r="G5" s="53">
        <v>2.4123700000000001E-2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0.7944296436409517</v>
      </c>
      <c r="D8" s="52">
        <f>IFERROR(1-_xlfn.NORM.DIST(_xlfn.NORM.INV(SUM(D10:D11), 0, 1) + 1, 0, 1, TRUE), "")</f>
        <v>0.7944296436409517</v>
      </c>
      <c r="E8" s="52">
        <f>IFERROR(1-_xlfn.NORM.DIST(_xlfn.NORM.INV(SUM(E10:E11), 0, 1) + 1, 0, 1, TRUE), "")</f>
        <v>0.90879959268577404</v>
      </c>
      <c r="F8" s="52">
        <f>IFERROR(1-_xlfn.NORM.DIST(_xlfn.NORM.INV(SUM(F10:F11), 0, 1) + 1, 0, 1, TRUE), "")</f>
        <v>0.9308992772175364</v>
      </c>
      <c r="G8" s="52">
        <f>IFERROR(1-_xlfn.NORM.DIST(_xlfn.NORM.INV(SUM(G10:G11), 0, 1) + 1, 0, 1, TRUE), "")</f>
        <v>0.93706495298543968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0.17133435635904826</v>
      </c>
      <c r="D9" s="52">
        <f>IFERROR(_xlfn.NORM.DIST(_xlfn.NORM.INV(SUM(D10:D11), 0, 1) + 1, 0, 1, TRUE) - SUM(D10:D11), "")</f>
        <v>0.17133435635904826</v>
      </c>
      <c r="E9" s="52">
        <f>IFERROR(_xlfn.NORM.DIST(_xlfn.NORM.INV(SUM(E10:E11), 0, 1) + 1, 0, 1, TRUE) - SUM(E10:E11), "")</f>
        <v>8.1386807314225956E-2</v>
      </c>
      <c r="F9" s="52">
        <f>IFERROR(_xlfn.NORM.DIST(_xlfn.NORM.INV(SUM(F10:F11), 0, 1) + 1, 0, 1, TRUE) - SUM(F10:F11), "")</f>
        <v>6.2577922782463602E-2</v>
      </c>
      <c r="G9" s="52">
        <f>IFERROR(_xlfn.NORM.DIST(_xlfn.NORM.INV(SUM(G10:G11), 0, 1) + 1, 0, 1, TRUE) - SUM(G10:G11), "")</f>
        <v>5.7241547014560343E-2</v>
      </c>
    </row>
    <row r="10" spans="1:15" ht="15.75" customHeight="1" x14ac:dyDescent="0.25">
      <c r="B10" s="5" t="s">
        <v>137</v>
      </c>
      <c r="C10" s="45">
        <v>2.67201E-2</v>
      </c>
      <c r="D10" s="53">
        <v>2.67201E-2</v>
      </c>
      <c r="E10" s="53">
        <v>2.8765000000000002E-3</v>
      </c>
      <c r="F10" s="53">
        <v>2.5831999999999999E-3</v>
      </c>
      <c r="G10" s="53">
        <v>3.8270000000000001E-3</v>
      </c>
    </row>
    <row r="11" spans="1:15" ht="15.75" customHeight="1" x14ac:dyDescent="0.25">
      <c r="B11" s="5" t="s">
        <v>138</v>
      </c>
      <c r="C11" s="45">
        <v>7.5158999999999998E-3</v>
      </c>
      <c r="D11" s="53">
        <v>7.5158999999999998E-3</v>
      </c>
      <c r="E11" s="53">
        <v>6.9371000000000007E-3</v>
      </c>
      <c r="F11" s="53">
        <v>3.9395999999999997E-3</v>
      </c>
      <c r="G11" s="53">
        <v>1.8665000000000001E-3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0.36972114524999999</v>
      </c>
      <c r="D14" s="54">
        <v>0.35988932596000001</v>
      </c>
      <c r="E14" s="54">
        <v>0.35988932596000001</v>
      </c>
      <c r="F14" s="54">
        <v>0.26732186760100002</v>
      </c>
      <c r="G14" s="54">
        <v>0.26732186760100002</v>
      </c>
      <c r="H14" s="45">
        <v>0.30299999999999999</v>
      </c>
      <c r="I14" s="55">
        <v>0.30299999999999999</v>
      </c>
      <c r="J14" s="55">
        <v>0.30299999999999999</v>
      </c>
      <c r="K14" s="55">
        <v>0.30299999999999999</v>
      </c>
      <c r="L14" s="45">
        <v>0.189</v>
      </c>
      <c r="M14" s="55">
        <v>0.189</v>
      </c>
      <c r="N14" s="55">
        <v>0.189</v>
      </c>
      <c r="O14" s="55">
        <v>0.189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0.21779939917646776</v>
      </c>
      <c r="D15" s="52">
        <f t="shared" si="0"/>
        <v>0.21200756291910239</v>
      </c>
      <c r="E15" s="52">
        <f t="shared" si="0"/>
        <v>0.21200756291910239</v>
      </c>
      <c r="F15" s="52">
        <f t="shared" si="0"/>
        <v>0.15747690630694072</v>
      </c>
      <c r="G15" s="52">
        <f t="shared" si="0"/>
        <v>0.15747690630694072</v>
      </c>
      <c r="H15" s="52">
        <f t="shared" si="0"/>
        <v>0.17849457300000002</v>
      </c>
      <c r="I15" s="52">
        <f t="shared" si="0"/>
        <v>0.17849457300000002</v>
      </c>
      <c r="J15" s="52">
        <f t="shared" si="0"/>
        <v>0.17849457300000002</v>
      </c>
      <c r="K15" s="52">
        <f t="shared" si="0"/>
        <v>0.17849457300000002</v>
      </c>
      <c r="L15" s="52">
        <f t="shared" si="0"/>
        <v>0.11133819900000001</v>
      </c>
      <c r="M15" s="52">
        <f t="shared" si="0"/>
        <v>0.11133819900000001</v>
      </c>
      <c r="N15" s="52">
        <f t="shared" si="0"/>
        <v>0.11133819900000001</v>
      </c>
      <c r="O15" s="52">
        <f t="shared" si="0"/>
        <v>0.11133819900000001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obXQDVrbhZb/XV1LF4GqcXuL3glyeW9UcPJP1o8SwKzsHRWzAtiPvouWDgOst05rC491uIfKVj5kN/j5w+VKKw==" saltValue="mVUOzWYocSKXVPAnkXLul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0.69710499999999997</v>
      </c>
      <c r="D2" s="53">
        <v>0.47777259999999999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3.7555499999999999E-2</v>
      </c>
      <c r="D3" s="53">
        <v>0.12155680000000001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0.22008620000000001</v>
      </c>
      <c r="D4" s="53">
        <v>0.36383629999999989</v>
      </c>
      <c r="E4" s="53">
        <v>0.89573269999999994</v>
      </c>
      <c r="F4" s="53">
        <v>0.63862679999999994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4.5253300000000052E-2</v>
      </c>
      <c r="D5" s="52">
        <f t="shared" si="0"/>
        <v>3.6834300000000098E-2</v>
      </c>
      <c r="E5" s="52">
        <f>1-SUM(E2:E4)</f>
        <v>0.10426730000000006</v>
      </c>
      <c r="F5" s="52">
        <f>1-SUM(F2:F4)</f>
        <v>0.36137320000000006</v>
      </c>
      <c r="G5" s="52">
        <f>1-SUM(G2:G4)</f>
        <v>1</v>
      </c>
    </row>
  </sheetData>
  <sheetProtection algorithmName="SHA-512" hashValue="3Aj2P4Hg40kg/u0F714c5chZckssoGAShIUvo552dC0DCZaazoWiUBDi7UtZ8r5UXA3iDeWOLr/jXB2ib2AAaw==" saltValue="2cIermcjtnUAVf2Khhodn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g8XI5D5PEqXWb6D2QZDFNdrxQnKrtKvqBbzVTtjndTuqNEAQGJBBi78pWL2gvWdM8xSpZPgj+Drb2gyu7MovtQ==" saltValue="1atX1LSu7g/2iyMxdib2c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>
        <v>5045.5047003166601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>
        <v>0.34449000000000002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>
        <v>0.57206999999999997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>
        <v>1.1708946001099065E-2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>
        <v>98392.397899999996</v>
      </c>
      <c r="C22" s="107">
        <v>98233.055999999997</v>
      </c>
      <c r="D22" s="107">
        <v>98055.585099999997</v>
      </c>
      <c r="E22" s="107">
        <v>97700.522469999996</v>
      </c>
      <c r="F22" s="107">
        <v>97035.898960000006</v>
      </c>
      <c r="G22" s="107">
        <v>96109.919080000007</v>
      </c>
      <c r="H22" s="107">
        <v>94824.342780000006</v>
      </c>
      <c r="I22" s="107">
        <v>93032.773459999997</v>
      </c>
      <c r="J22" s="107">
        <v>90416.350390000007</v>
      </c>
      <c r="K22" s="107">
        <v>86624.561730000001</v>
      </c>
      <c r="L22" s="107">
        <v>81234.933820000006</v>
      </c>
      <c r="M22" s="107">
        <v>74271.76758</v>
      </c>
      <c r="N22" s="107">
        <v>64994.240319999997</v>
      </c>
      <c r="O22" s="107">
        <v>53251.527750000001</v>
      </c>
    </row>
  </sheetData>
  <sheetProtection algorithmName="SHA-512" hashValue="oltRpn0hQ5Igzf0kuWhjBIQVA2YPCHQi+t24TH5G+WQviA4l7+rZqn7Qk1oJgPylR3ROm85C3csw3Jgcvl6OLQ==" saltValue="15wtqgFhMP6XCgZQPVP4x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183hXvDlgBb6e9A+Y+khCdvgVoXHaSmDxH/JfpHteTebBruTVp+u4xOlyZIGaPPHUqFkWD7ThCj9vs3f/PyMQQ==" saltValue="pac9svO4zYrCR/tBw1QOA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12ZTD73iMxoxRUWQ63rOOlMJOQ3MC9nH+vF3ttgI4Lb5b+sJehaWGSE+/97Hb7F9EoXarn6TQjHzmou6Iba+pw==" saltValue="GiytN5hOJ1ZZdRJrvz3Ey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23.266651740020471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23.266651740020471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0.80999999999999994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2.5694477871811041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0.19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</v>
      </c>
      <c r="C8" s="96">
        <v>0.95</v>
      </c>
      <c r="D8" s="56">
        <v>0.79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0.5</v>
      </c>
      <c r="C9" s="96">
        <v>0.95</v>
      </c>
      <c r="D9" s="56">
        <v>0.33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0.2596929</v>
      </c>
      <c r="C10" s="96">
        <v>0.95</v>
      </c>
      <c r="D10" s="56">
        <v>12.948103926557099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12.948103926557099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12.948103926557099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12.948103926557099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0.2596929</v>
      </c>
      <c r="C14" s="96">
        <v>0.95</v>
      </c>
      <c r="D14" s="56">
        <v>12.948103926557099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12.948103926557099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0</v>
      </c>
      <c r="C16" s="96">
        <v>0.95</v>
      </c>
      <c r="D16" s="56">
        <v>1.57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3.6306666666666702E-2</v>
      </c>
      <c r="C17" s="96">
        <v>0.95</v>
      </c>
      <c r="D17" s="56">
        <v>0.1369044839662158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0.47777259999999999</v>
      </c>
      <c r="C18" s="96">
        <v>0.95</v>
      </c>
      <c r="D18" s="56">
        <v>8.0823886898669404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0.47777259999999999</v>
      </c>
      <c r="C19" s="96">
        <v>0.95</v>
      </c>
      <c r="D19" s="56">
        <v>8.5297262743193443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8.32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0.80999999999999994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0</v>
      </c>
      <c r="C23" s="96">
        <v>0.95</v>
      </c>
      <c r="D23" s="56">
        <v>4.2392904639519244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0.70357650989134002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0.2596929</v>
      </c>
      <c r="C26" s="96">
        <v>0.95</v>
      </c>
      <c r="D26" s="56">
        <v>8.469314227226203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14.964151740020471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0.58242249999999995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0.39210790000000001</v>
      </c>
      <c r="C29" s="96">
        <v>0.95</v>
      </c>
      <c r="D29" s="56">
        <v>107.0978840973747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53.05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0</v>
      </c>
      <c r="C31" s="96">
        <v>0.95</v>
      </c>
      <c r="D31" s="56">
        <v>118.83755373592631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0.83</v>
      </c>
      <c r="C32" s="96">
        <v>0.95</v>
      </c>
      <c r="D32" s="56">
        <v>0.69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0.86376940000000002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0.50568460000000004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8.8149700000000011E-2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0.36798940000000002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0.16494010000000001</v>
      </c>
      <c r="C38" s="96">
        <v>0.95</v>
      </c>
      <c r="D38" s="56">
        <v>3.45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3.07</v>
      </c>
      <c r="E39" s="56" t="s">
        <v>230</v>
      </c>
      <c r="F39" s="96">
        <v>1</v>
      </c>
      <c r="G39" s="96">
        <v>1</v>
      </c>
    </row>
  </sheetData>
  <sheetProtection algorithmName="SHA-512" hashValue="LqNOaHIF19RQMr75FCtLweMirhTO3wfSoHTxnvEvPc97FE9K4tbvCQgIYvWkVfSNZyl8uO3y4vvbcjIuBhTrpQ==" saltValue="weeil1R2gx4iHTTvr1TIP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b5Oe3ibuzHE5iueZlJTwZsqKQfNFKvoGG+4RGR08gjxzfYMROotOCi1+7Z16gjHM7RcIIbHVoOLIlBG2XaahiQ==" saltValue="RkqBgo4U8w8dUdZtFKI3+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p+CLz4rcQ6C78Rq5nxl/0b4Ksz6tXhBi6WUhV0gTOzYJakrpoUiOQOtHaFCYcmhxg6Z6HRSthjqQzJV4MJ/kTA==" saltValue="SKmx9MnsoqJL1N4QmHpZR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2.2000000000000002</v>
      </c>
      <c r="C2" s="21">
        <f>'Données pop de l''année de ref'!C52</f>
        <v>2.2000000000000002</v>
      </c>
      <c r="D2" s="21">
        <f>'Données pop de l''année de ref'!C53</f>
        <v>2.2000000000000002</v>
      </c>
      <c r="E2" s="21">
        <f>'Données pop de l''année de ref'!C54</f>
        <v>2.2000000000000002</v>
      </c>
      <c r="F2" s="21">
        <f>'Données pop de l''année de ref'!C55</f>
        <v>2.2000000000000002</v>
      </c>
    </row>
    <row r="3" spans="1:6" ht="15.75" customHeight="1" x14ac:dyDescent="0.25">
      <c r="A3" s="3" t="s">
        <v>238</v>
      </c>
      <c r="B3" s="21">
        <f>frac_mam_1month * 2.6</f>
        <v>6.9472260000000008E-2</v>
      </c>
      <c r="C3" s="21">
        <f>frac_mam_1_5months * 2.6</f>
        <v>6.9472260000000008E-2</v>
      </c>
      <c r="D3" s="21">
        <f>frac_mam_6_11months * 2.6</f>
        <v>7.478900000000001E-3</v>
      </c>
      <c r="E3" s="21">
        <f>frac_mam_12_23months * 2.6</f>
        <v>6.7163199999999996E-3</v>
      </c>
      <c r="F3" s="21">
        <f>frac_mam_24_59months * 2.6</f>
        <v>9.9502000000000011E-3</v>
      </c>
    </row>
    <row r="4" spans="1:6" ht="15.75" customHeight="1" x14ac:dyDescent="0.25">
      <c r="A4" s="3" t="s">
        <v>237</v>
      </c>
      <c r="B4" s="21">
        <f>frac_sam_1month * 2.6</f>
        <v>1.9541340000000001E-2</v>
      </c>
      <c r="C4" s="21">
        <f>frac_sam_1_5months * 2.6</f>
        <v>1.9541340000000001E-2</v>
      </c>
      <c r="D4" s="21">
        <f>frac_sam_6_11months * 2.6</f>
        <v>1.8036460000000004E-2</v>
      </c>
      <c r="E4" s="21">
        <f>frac_sam_12_23months * 2.6</f>
        <v>1.0242959999999999E-2</v>
      </c>
      <c r="F4" s="21">
        <f>frac_sam_24_59months * 2.6</f>
        <v>4.8529000000000003E-3</v>
      </c>
    </row>
  </sheetData>
  <sheetProtection algorithmName="SHA-512" hashValue="RPlXGAYgpHwzj8e83ot6nNCh2K8jkjjp3vBtmEK7IyJqrhcEjd0WaeXWY8X+eiulYSWeJOdWxD0PQXIcQ543Xg==" saltValue="hlgz6ytBUqJ7WWQHNbJs+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0.01</v>
      </c>
      <c r="F2" s="60">
        <f>food_insecure</f>
        <v>0.01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0.01</v>
      </c>
      <c r="F5" s="60">
        <f>food_insecure</f>
        <v>0.01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4.6999999999999993E-2</v>
      </c>
      <c r="D7" s="60">
        <f>diarrhoea_1_5mo*frac_diarrhea_severe</f>
        <v>4.6999999999999993E-2</v>
      </c>
      <c r="E7" s="60">
        <f>diarrhoea_6_11mo*frac_diarrhea_severe</f>
        <v>4.6999999999999993E-2</v>
      </c>
      <c r="F7" s="60">
        <f>diarrhoea_12_23mo*frac_diarrhea_severe</f>
        <v>4.6999999999999993E-2</v>
      </c>
      <c r="G7" s="60">
        <f>diarrhoea_24_59mo*frac_diarrhea_severe</f>
        <v>4.6999999999999993E-2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0.01</v>
      </c>
      <c r="F8" s="60">
        <f>food_insecure</f>
        <v>0.01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0.01</v>
      </c>
      <c r="F9" s="60">
        <f>food_insecure</f>
        <v>0.01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4.6999999999999993E-2</v>
      </c>
      <c r="D12" s="60">
        <f>diarrhoea_1_5mo*frac_diarrhea_severe</f>
        <v>4.6999999999999993E-2</v>
      </c>
      <c r="E12" s="60">
        <f>diarrhoea_6_11mo*frac_diarrhea_severe</f>
        <v>4.6999999999999993E-2</v>
      </c>
      <c r="F12" s="60">
        <f>diarrhoea_12_23mo*frac_diarrhea_severe</f>
        <v>4.6999999999999993E-2</v>
      </c>
      <c r="G12" s="60">
        <f>diarrhoea_24_59mo*frac_diarrhea_severe</f>
        <v>4.6999999999999993E-2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0.01</v>
      </c>
      <c r="I15" s="60">
        <f t="shared" si="0"/>
        <v>0.01</v>
      </c>
      <c r="J15" s="60">
        <f t="shared" si="0"/>
        <v>0.01</v>
      </c>
      <c r="K15" s="60">
        <f t="shared" si="0"/>
        <v>0.01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0.01</v>
      </c>
      <c r="I16" s="60">
        <f t="shared" si="0"/>
        <v>0.01</v>
      </c>
      <c r="J16" s="60">
        <f t="shared" si="0"/>
        <v>0.01</v>
      </c>
      <c r="K16" s="60">
        <f t="shared" si="0"/>
        <v>0.01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0.317</v>
      </c>
      <c r="M24" s="60">
        <f>famplan_unmet_need</f>
        <v>0.317</v>
      </c>
      <c r="N24" s="60">
        <f>famplan_unmet_need</f>
        <v>0.317</v>
      </c>
      <c r="O24" s="60">
        <f>famplan_unmet_need</f>
        <v>0.317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9.1487792024159992E-2</v>
      </c>
      <c r="M25" s="60">
        <f>(1-food_insecure)*(0.49)+food_insecure*(0.7)</f>
        <v>0.49209999999999998</v>
      </c>
      <c r="N25" s="60">
        <f>(1-food_insecure)*(0.49)+food_insecure*(0.7)</f>
        <v>0.49209999999999998</v>
      </c>
      <c r="O25" s="60">
        <f>(1-food_insecure)*(0.49)+food_insecure*(0.7)</f>
        <v>0.49209999999999998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3.9209053724640001E-2</v>
      </c>
      <c r="M26" s="60">
        <f>(1-food_insecure)*(0.21)+food_insecure*(0.3)</f>
        <v>0.2109</v>
      </c>
      <c r="N26" s="60">
        <f>(1-food_insecure)*(0.21)+food_insecure*(0.3)</f>
        <v>0.2109</v>
      </c>
      <c r="O26" s="60">
        <f>(1-food_insecure)*(0.21)+food_insecure*(0.3)</f>
        <v>0.2109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5.5216163851199998E-2</v>
      </c>
      <c r="M27" s="60">
        <f>(1-food_insecure)*(0.3)</f>
        <v>0.29699999999999999</v>
      </c>
      <c r="N27" s="60">
        <f>(1-food_insecure)*(0.3)</f>
        <v>0.29699999999999999</v>
      </c>
      <c r="O27" s="60">
        <f>(1-food_insecure)*(0.3)</f>
        <v>0.29699999999999999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0.81408699039999999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NbW/7jMOIvBGWhBK8WWRippLJx0zooRUfAw2Mu7YBkzMwnQWvpN8AFt7wBAHXA9KYyNUHC+e/3lTm6j0cTrw6g==" saltValue="f+qc4UycknVUnPZ557qV/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ChSkSs1+eUiQf+SgWdgDvy4PIFnzpKBXkLat9VsiGjZM0RYvYwwZurEllskpZFmO4i7fcN4+r3MmrE7nMwsmIA==" saltValue="uSW3wuS4iDJWhcjKkGpOK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wCQBXXSQEo6zMp0t0RsVo3ROcEABYgx3vwJPoT96Dni4Gst2u38w+FHzKQue4jKXtP8Tqz+M6gZdiKKTMbmKVA==" saltValue="mdbuyF8wPNI+Mz9AphfrK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QfIZQ2D1hO4eSCgPA7v5QnIuNkj3/rU0NAIm/Ewaju1t88kt4ZDMnBmli9GELppekYWOUu2lRSe3hmhyiUbeYw==" saltValue="SbgLQzbHHKqUTAHuILMta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L3Wu58eTOsuC3UWgcsEqypcMUtFe15mCTPNfeiwcK0Tep7254ps6EpNquMtw8Qbrjnd6UhNqusPAj4jmiwFR8g==" saltValue="jqZxaWmF7oYn9oAG/Vkh6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pnuBTsOu/q0MJzbTbBIT0y6ngCB8DBl3c2z39TC/T6EgROrgQtbvE8Ic2pPiVEJfkZBCjg2PvrOWZxBk4Fd6WA==" saltValue="IkdZZGFRd68bHGHKd9ADK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TRiXPX9D7KcUCrIJ2r24JJjr9wePXHuZOIvXZ/10qnHQTT76r+0aoPAJUv5rPdqpZC6XIKESgETvbzFi+o+sLQ==" saltValue="Abk3NZ1OeYcd2SbaYbEXow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fUs2BC32/QC9g6N5qeCExx+oZo5V79/DmXVC6fg9qBTLveVp0RNB9UK8blYgnSeMtd5boAcI0Odplg7pQa55cg==" saltValue="5H1+zoyWRWyuGoA+fyPyT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cJC5aZDhbJgjiDSXjBDgvmrnFytt7Aqo2OOwQR3j0YqXlxB3L9M3USncsWO8+QDzNY3yim752sCTheAnTV5ACg==" saltValue="ZS8FdRE/f0G0chF1tWFe/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mnRlV4giadGynsD5A6NaAq8iDjt+Fy2pWO6AgrzxPcqlTB4Pp+Zl6vpgKHrfN8FCL7kbGG/0dF7CbO9/55gKrw==" saltValue="P3gsYLrs1l+mz70tjEu1z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TCRICEqLUS/VCl04FZqgRlk1oxXJ3LbHNEyyZL76yUtB+vykSZXR3YaoTXasSbsd4F8fDhcKWs3Qv94MQWC77Q==" saltValue="aHsRRb/5nmUVnuL6wmhUP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vTV7vu2b4p4f/HNZWB+G4zz9Q0+0rba1ssN/RNNGl7yuD8orzBvjw8KoKLAQL1j4mz6vBoGw3IKo8+yOf7gCRw==" saltValue="bEJSaCgBRrev3PW8EWPWk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PhXOxpcIp9Ujq10Od9GGsvqhV4MJxhJzTgIXpAwTw3sd0koziH1nlHq8J8Ppxv1j/QbJmB/XVcecSAhVZRKrA==" saltValue="7F/68KvXRh+QVNkE9XKUS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Bjt75n34JbLDNXHu0mDMc76jh6bupVfAVBtFsci0iQl1DRuUBaVZjtakuGMc3GiiHHkPdcv/ione0/9U6TEs+Q==" saltValue="GU3ziVHtEjhE8XraXJplR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0DvgNh3srJ7Z0da2QAsDUFN4NjiBnuoyH11D9W76eHRdDr/F675zJRENjK5ErzXvt60sY07ml+97qA7X7x85Lg==" saltValue="ObvZt8xTM2NW3MhTnSsIYA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2025-07-30T03:00:21Z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