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756D4FCE-4754-494C-98C9-0A0E74A755F6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7" i="2"/>
  <c r="A34" i="2"/>
  <c r="A31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4" i="2"/>
  <c r="I3" i="2"/>
  <c r="I9" i="2"/>
  <c r="A26" i="2"/>
  <c r="A35" i="2"/>
  <c r="A36" i="2"/>
  <c r="I2" i="2"/>
  <c r="I8" i="2"/>
  <c r="A19" i="2"/>
  <c r="A22" i="2"/>
  <c r="I39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<sst xmlns="http://schemas.openxmlformats.org/spreadsheetml/2006/main" count="2169" uniqueCount="369">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</sst>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454169.5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0.64993591308593812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3.5799999999999998E-2</v>
      </c>
    </row>
    <row r="24" spans="1:3" ht="15" customHeight="1" x14ac:dyDescent="0.25">
      <c r="B24" s="15" t="s">
        <v>51</v>
      </c>
      <c r="C24" s="45">
        <v>0.50009999999999999</v>
      </c>
    </row>
    <row r="25" spans="1:3" ht="15" customHeight="1" x14ac:dyDescent="0.25">
      <c r="B25" s="15" t="s">
        <v>52</v>
      </c>
      <c r="C25" s="45">
        <v>0.41830000000000001</v>
      </c>
    </row>
    <row r="26" spans="1:3" ht="15" customHeight="1" x14ac:dyDescent="0.25">
      <c r="B26" s="15" t="s">
        <v>53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0.34453989050682299</v>
      </c>
    </row>
    <row r="30" spans="1:3" ht="14.25" customHeight="1" x14ac:dyDescent="0.25">
      <c r="B30" s="25" t="s">
        <v>56</v>
      </c>
      <c r="C30" s="97">
        <v>4.9975046177627103E-2</v>
      </c>
    </row>
    <row r="31" spans="1:3" ht="14.25" customHeight="1" x14ac:dyDescent="0.25">
      <c r="B31" s="25" t="s">
        <v>57</v>
      </c>
      <c r="C31" s="97">
        <v>6.4980512501330898E-2</v>
      </c>
    </row>
    <row r="32" spans="1:3" ht="14.25" customHeight="1" x14ac:dyDescent="0.25">
      <c r="B32" s="25" t="s">
        <v>58</v>
      </c>
      <c r="C32" s="97">
        <v>0.540504550814219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4.7846799999999998</v>
      </c>
    </row>
    <row r="38" spans="1:5" ht="15" customHeight="1" x14ac:dyDescent="0.25">
      <c r="B38" s="11" t="s">
        <v>63</v>
      </c>
      <c r="C38" s="43">
        <v>7.0508600000000001</v>
      </c>
      <c r="D38" s="12"/>
      <c r="E38" s="13"/>
    </row>
    <row r="39" spans="1:5" ht="15" customHeight="1" x14ac:dyDescent="0.25">
      <c r="B39" s="11" t="s">
        <v>64</v>
      </c>
      <c r="C39" s="43">
        <v>8.2388399999999997</v>
      </c>
      <c r="D39" s="12"/>
      <c r="E39" s="12"/>
    </row>
    <row r="40" spans="1:5" ht="15" customHeight="1" x14ac:dyDescent="0.25">
      <c r="B40" s="11" t="s">
        <v>65</v>
      </c>
      <c r="C40" s="98">
        <v>0.21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7.4982E-3</v>
      </c>
      <c r="D45" s="12"/>
    </row>
    <row r="46" spans="1:5" ht="15.75" customHeight="1" x14ac:dyDescent="0.25">
      <c r="B46" s="11" t="s">
        <v>70</v>
      </c>
      <c r="C46" s="45">
        <v>7.9942600000000003E-2</v>
      </c>
      <c r="D46" s="12"/>
    </row>
    <row r="47" spans="1:5" ht="15.75" customHeight="1" x14ac:dyDescent="0.25">
      <c r="B47" s="11" t="s">
        <v>71</v>
      </c>
      <c r="C47" s="45">
        <v>5.4437800000000001E-2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</v>
      </c>
      <c r="D51" s="12"/>
    </row>
    <row r="52" spans="1:4" ht="15" customHeight="1" x14ac:dyDescent="0.25">
      <c r="B52" s="11" t="s">
        <v>75</v>
      </c>
      <c r="C52" s="98">
        <v>2.9</v>
      </c>
    </row>
    <row r="53" spans="1:4" ht="15.75" customHeight="1" x14ac:dyDescent="0.25">
      <c r="B53" s="11" t="s">
        <v>76</v>
      </c>
      <c r="C53" s="98">
        <v>2.9</v>
      </c>
    </row>
    <row r="54" spans="1:4" ht="15.75" customHeight="1" x14ac:dyDescent="0.25">
      <c r="B54" s="11" t="s">
        <v>77</v>
      </c>
      <c r="C54" s="98">
        <v>2.9</v>
      </c>
    </row>
    <row r="55" spans="1:4" ht="15.75" customHeight="1" x14ac:dyDescent="0.25">
      <c r="B55" s="11" t="s">
        <v>78</v>
      </c>
      <c r="C55" s="98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0.60774699999999993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oGXelABSp4iMaNMrL5Uk8PikqUKkyZuYLTr+xWqJLQgRzqBLLtd2xJus8DYYIKKRwHEqEBNLqKedssKPZs2Jtg==" saltValue="PVgmPh+zXsXBZDVnQPz9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92653</v>
      </c>
      <c r="C2" s="49">
        <v>251772</v>
      </c>
      <c r="D2" s="49">
        <v>435135</v>
      </c>
      <c r="E2" s="49">
        <v>384785.49999999994</v>
      </c>
      <c r="F2" s="49">
        <v>360382.5</v>
      </c>
      <c r="G2" s="17">
        <f t="shared" ref="G2:G13" si="0">C2+D2+E2+F2</f>
        <v>1432075</v>
      </c>
      <c r="H2" s="17">
        <f t="shared" ref="H2:H13" si="1">(B2 + stillbirth*B2/(1000-stillbirth))/(1-abortion)</f>
        <v>105917.01566426021</v>
      </c>
      <c r="I2" s="17">
        <f t="shared" ref="I2:I13" si="2">G2-H2</f>
        <v>1326157.9843357399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92538</v>
      </c>
      <c r="C3" s="50">
        <v>257649.99999999997</v>
      </c>
      <c r="D3" s="50">
        <v>439494</v>
      </c>
      <c r="E3" s="50">
        <v>386786</v>
      </c>
      <c r="F3" s="50">
        <v>363163</v>
      </c>
      <c r="G3" s="17">
        <f t="shared" si="0"/>
        <v>1447093</v>
      </c>
      <c r="H3" s="17">
        <f t="shared" si="1"/>
        <v>105785.55249737528</v>
      </c>
      <c r="I3" s="17">
        <f t="shared" si="2"/>
        <v>1341307.4475026247</v>
      </c>
    </row>
    <row r="4" spans="1:9" ht="15.75" customHeight="1" x14ac:dyDescent="0.25">
      <c r="A4" s="5">
        <f t="shared" si="3"/>
        <v>2026</v>
      </c>
      <c r="B4" s="49">
        <v>92671</v>
      </c>
      <c r="C4" s="50">
        <v>263767.5</v>
      </c>
      <c r="D4" s="50">
        <v>445381.49999999994</v>
      </c>
      <c r="E4" s="50">
        <v>389937</v>
      </c>
      <c r="F4" s="50">
        <v>365568.5</v>
      </c>
      <c r="G4" s="17">
        <f t="shared" si="0"/>
        <v>1464654.5</v>
      </c>
      <c r="H4" s="17">
        <f t="shared" si="1"/>
        <v>105937.59250777264</v>
      </c>
      <c r="I4" s="17">
        <f t="shared" si="2"/>
        <v>1358716.9074922274</v>
      </c>
    </row>
    <row r="5" spans="1:9" ht="15.75" customHeight="1" x14ac:dyDescent="0.25">
      <c r="A5" s="5">
        <f t="shared" si="3"/>
        <v>2027</v>
      </c>
      <c r="B5" s="49">
        <v>93054</v>
      </c>
      <c r="C5" s="50">
        <v>269367</v>
      </c>
      <c r="D5" s="50">
        <v>452350.5</v>
      </c>
      <c r="E5" s="50">
        <v>393847.99999999994</v>
      </c>
      <c r="F5" s="50">
        <v>367454.5</v>
      </c>
      <c r="G5" s="17">
        <f t="shared" si="0"/>
        <v>1483020</v>
      </c>
      <c r="H5" s="17">
        <f t="shared" si="1"/>
        <v>106375.42201139813</v>
      </c>
      <c r="I5" s="17">
        <f t="shared" si="2"/>
        <v>1376644.5779886018</v>
      </c>
    </row>
    <row r="6" spans="1:9" ht="15.75" customHeight="1" x14ac:dyDescent="0.25">
      <c r="A6" s="5">
        <f t="shared" si="3"/>
        <v>2028</v>
      </c>
      <c r="B6" s="49">
        <v>93476</v>
      </c>
      <c r="C6" s="50">
        <v>273691.5</v>
      </c>
      <c r="D6" s="50">
        <v>460368</v>
      </c>
      <c r="E6" s="50">
        <v>398256.5</v>
      </c>
      <c r="F6" s="50">
        <v>368990</v>
      </c>
      <c r="G6" s="17">
        <f t="shared" si="0"/>
        <v>1501306</v>
      </c>
      <c r="H6" s="17">
        <f t="shared" si="1"/>
        <v>106857.83467596718</v>
      </c>
      <c r="I6" s="17">
        <f t="shared" si="2"/>
        <v>1394448.1653240328</v>
      </c>
    </row>
    <row r="7" spans="1:9" ht="15.75" customHeight="1" x14ac:dyDescent="0.25">
      <c r="A7" s="5">
        <f t="shared" si="3"/>
        <v>2029</v>
      </c>
      <c r="B7" s="49">
        <v>94046</v>
      </c>
      <c r="C7" s="50">
        <v>276032.5</v>
      </c>
      <c r="D7" s="50">
        <v>469549</v>
      </c>
      <c r="E7" s="50">
        <v>403005.5</v>
      </c>
      <c r="F7" s="50">
        <v>370445.50000000006</v>
      </c>
      <c r="G7" s="17">
        <f t="shared" si="0"/>
        <v>1519032.5</v>
      </c>
      <c r="H7" s="17">
        <f t="shared" si="1"/>
        <v>107509.43472052729</v>
      </c>
      <c r="I7" s="17">
        <f t="shared" si="2"/>
        <v>1411523.0652794726</v>
      </c>
    </row>
    <row r="8" spans="1:9" ht="15.75" customHeight="1" x14ac:dyDescent="0.25">
      <c r="A8" s="5">
        <f t="shared" si="3"/>
        <v>2030</v>
      </c>
      <c r="B8" s="49">
        <v>94877</v>
      </c>
      <c r="C8" s="50">
        <v>275676</v>
      </c>
      <c r="D8" s="50">
        <v>479762</v>
      </c>
      <c r="E8" s="50">
        <v>407863.5</v>
      </c>
      <c r="F8" s="50">
        <v>371924.49999999994</v>
      </c>
      <c r="G8" s="17">
        <f t="shared" si="0"/>
        <v>1535226</v>
      </c>
      <c r="H8" s="17">
        <f t="shared" si="1"/>
        <v>108459.39899601758</v>
      </c>
      <c r="I8" s="17">
        <f t="shared" si="2"/>
        <v>1426766.6010039824</v>
      </c>
    </row>
    <row r="9" spans="1:9" ht="15.75" customHeight="1" x14ac:dyDescent="0.25">
      <c r="A9" s="5">
        <f t="shared" si="3"/>
        <v>2031</v>
      </c>
      <c r="B9" s="49">
        <v>95913</v>
      </c>
      <c r="C9" s="50">
        <v>271980</v>
      </c>
      <c r="D9" s="50">
        <v>490737.5</v>
      </c>
      <c r="E9" s="50">
        <v>412788</v>
      </c>
      <c r="F9" s="50">
        <v>373498</v>
      </c>
      <c r="G9" s="17">
        <f t="shared" si="0"/>
        <v>1549003.5</v>
      </c>
      <c r="H9" s="17">
        <f t="shared" si="1"/>
        <v>109643.71065595491</v>
      </c>
      <c r="I9" s="17">
        <f t="shared" si="2"/>
        <v>1439359.7893440451</v>
      </c>
    </row>
    <row r="10" spans="1:9" ht="15.75" customHeight="1" x14ac:dyDescent="0.25">
      <c r="A10" s="5">
        <f t="shared" si="3"/>
        <v>2032</v>
      </c>
      <c r="B10" s="49">
        <v>96874</v>
      </c>
      <c r="C10" s="50">
        <v>264659</v>
      </c>
      <c r="D10" s="50">
        <v>501490</v>
      </c>
      <c r="E10" s="50">
        <v>417655.99999999994</v>
      </c>
      <c r="F10" s="50">
        <v>375186.5</v>
      </c>
      <c r="G10" s="17">
        <f t="shared" si="0"/>
        <v>1558991.5</v>
      </c>
      <c r="H10" s="17">
        <f t="shared" si="1"/>
        <v>110742.28546792379</v>
      </c>
      <c r="I10" s="17">
        <f t="shared" si="2"/>
        <v>1448249.2145320761</v>
      </c>
    </row>
    <row r="11" spans="1:9" ht="15.75" customHeight="1" x14ac:dyDescent="0.25">
      <c r="A11" s="5">
        <f t="shared" si="3"/>
        <v>2033</v>
      </c>
      <c r="B11" s="49">
        <v>97646</v>
      </c>
      <c r="C11" s="50">
        <v>253850</v>
      </c>
      <c r="D11" s="50">
        <v>510861</v>
      </c>
      <c r="E11" s="50">
        <v>422400.49999999994</v>
      </c>
      <c r="F11" s="50">
        <v>377005.5</v>
      </c>
      <c r="G11" s="17">
        <f t="shared" si="0"/>
        <v>1564117</v>
      </c>
      <c r="H11" s="17">
        <f t="shared" si="1"/>
        <v>111624.80342301223</v>
      </c>
      <c r="I11" s="17">
        <f t="shared" si="2"/>
        <v>1452492.1965769879</v>
      </c>
    </row>
    <row r="12" spans="1:9" ht="15.75" customHeight="1" x14ac:dyDescent="0.25">
      <c r="A12" s="5">
        <f t="shared" si="3"/>
        <v>2034</v>
      </c>
      <c r="B12" s="49">
        <v>98210</v>
      </c>
      <c r="C12" s="50">
        <v>239935</v>
      </c>
      <c r="D12" s="50">
        <v>518679</v>
      </c>
      <c r="E12" s="50">
        <v>427576.5</v>
      </c>
      <c r="F12" s="50">
        <v>379244.5</v>
      </c>
      <c r="G12" s="17">
        <f t="shared" si="0"/>
        <v>1565435</v>
      </c>
      <c r="H12" s="17">
        <f t="shared" si="1"/>
        <v>112269.54451973487</v>
      </c>
      <c r="I12" s="17">
        <f t="shared" si="2"/>
        <v>1453165.4554802652</v>
      </c>
    </row>
    <row r="13" spans="1:9" ht="15.75" customHeight="1" x14ac:dyDescent="0.25">
      <c r="A13" s="5">
        <f t="shared" si="3"/>
        <v>2035</v>
      </c>
      <c r="B13" s="49">
        <v>98780</v>
      </c>
      <c r="C13" s="50">
        <v>228145.5</v>
      </c>
      <c r="D13" s="50">
        <v>524135</v>
      </c>
      <c r="E13" s="50">
        <v>433310</v>
      </c>
      <c r="F13" s="50">
        <v>382060.5</v>
      </c>
      <c r="G13" s="17">
        <f t="shared" si="0"/>
        <v>1567651</v>
      </c>
      <c r="H13" s="17">
        <f t="shared" si="1"/>
        <v>112921.14456429498</v>
      </c>
      <c r="I13" s="17">
        <f t="shared" si="2"/>
        <v>1454729.855435705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AMw95pkbzbuPvEpMl/JAOZJSMs//8dsE5PMpmoy0gRKLlDWE/4GoZ8DiKXAfGJX/ji5+9jlP05+1iRVDJFXkQ==" saltValue="dt4MfssD+PeiDHlkb/K+R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5.6525200000000053E-2</v>
      </c>
    </row>
    <row r="5" spans="1:8" ht="15.75" customHeight="1" x14ac:dyDescent="0.25">
      <c r="B5" s="19" t="s">
        <v>98</v>
      </c>
      <c r="C5" s="99">
        <v>2.0757499999999939E-2</v>
      </c>
    </row>
    <row r="6" spans="1:8" ht="15.75" customHeight="1" x14ac:dyDescent="0.25">
      <c r="B6" s="19" t="s">
        <v>99</v>
      </c>
      <c r="C6" s="99">
        <v>0.1493135000000001</v>
      </c>
    </row>
    <row r="7" spans="1:8" ht="15.75" customHeight="1" x14ac:dyDescent="0.25">
      <c r="B7" s="19" t="s">
        <v>100</v>
      </c>
      <c r="C7" s="99">
        <v>0.40648640000000003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0.28011749999999969</v>
      </c>
    </row>
    <row r="10" spans="1:8" ht="15.75" customHeight="1" x14ac:dyDescent="0.25">
      <c r="B10" s="19" t="s">
        <v>103</v>
      </c>
      <c r="C10" s="99">
        <v>8.6799900000000124E-2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106</v>
      </c>
      <c r="C15" s="99">
        <v>0.25881244885449461</v>
      </c>
      <c r="D15" s="99">
        <v>0.25881244885449461</v>
      </c>
      <c r="E15" s="99">
        <v>0.25881244885449461</v>
      </c>
      <c r="F15" s="99">
        <v>0.25881244885449461</v>
      </c>
    </row>
    <row r="16" spans="1:8" ht="15.75" customHeight="1" x14ac:dyDescent="0.25">
      <c r="B16" s="19" t="s">
        <v>107</v>
      </c>
      <c r="C16" s="99">
        <v>1.4258279955122469E-2</v>
      </c>
      <c r="D16" s="99">
        <v>1.4258279955122469E-2</v>
      </c>
      <c r="E16" s="99">
        <v>1.4258279955122469E-2</v>
      </c>
      <c r="F16" s="99">
        <v>1.4258279955122469E-2</v>
      </c>
    </row>
    <row r="17" spans="1:8" ht="15.75" customHeight="1" x14ac:dyDescent="0.25">
      <c r="B17" s="19" t="s">
        <v>108</v>
      </c>
      <c r="C17" s="99">
        <v>0.40664903343666348</v>
      </c>
      <c r="D17" s="99">
        <v>0.40664903343666348</v>
      </c>
      <c r="E17" s="99">
        <v>0.40664903343666348</v>
      </c>
      <c r="F17" s="99">
        <v>0.40664903343666348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2.8834362732976088E-2</v>
      </c>
      <c r="D19" s="99">
        <v>2.8834362732976088E-2</v>
      </c>
      <c r="E19" s="99">
        <v>2.8834362732976088E-2</v>
      </c>
      <c r="F19" s="99">
        <v>2.8834362732976088E-2</v>
      </c>
    </row>
    <row r="20" spans="1:8" ht="15.75" customHeight="1" x14ac:dyDescent="0.25">
      <c r="B20" s="19" t="s">
        <v>111</v>
      </c>
      <c r="C20" s="99">
        <v>1.2534723612182681E-2</v>
      </c>
      <c r="D20" s="99">
        <v>1.2534723612182681E-2</v>
      </c>
      <c r="E20" s="99">
        <v>1.2534723612182681E-2</v>
      </c>
      <c r="F20" s="99">
        <v>1.2534723612182681E-2</v>
      </c>
    </row>
    <row r="21" spans="1:8" ht="15.75" customHeight="1" x14ac:dyDescent="0.25">
      <c r="B21" s="19" t="s">
        <v>112</v>
      </c>
      <c r="C21" s="99">
        <v>0.23122407885254981</v>
      </c>
      <c r="D21" s="99">
        <v>0.23122407885254981</v>
      </c>
      <c r="E21" s="99">
        <v>0.23122407885254981</v>
      </c>
      <c r="F21" s="99">
        <v>0.23122407885254981</v>
      </c>
    </row>
    <row r="22" spans="1:8" ht="15.75" customHeight="1" x14ac:dyDescent="0.25">
      <c r="B22" s="19" t="s">
        <v>113</v>
      </c>
      <c r="C22" s="99">
        <v>3.8777330861722123E-2</v>
      </c>
      <c r="D22" s="99">
        <v>3.8777330861722123E-2</v>
      </c>
      <c r="E22" s="99">
        <v>3.8777330861722123E-2</v>
      </c>
      <c r="F22" s="99">
        <v>3.8777330861722123E-2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4.5249643999999999E-2</v>
      </c>
    </row>
    <row r="27" spans="1:8" ht="15.75" customHeight="1" x14ac:dyDescent="0.25">
      <c r="B27" s="19" t="s">
        <v>120</v>
      </c>
      <c r="C27" s="99">
        <v>5.4447637999999993E-2</v>
      </c>
    </row>
    <row r="28" spans="1:8" ht="15.75" customHeight="1" x14ac:dyDescent="0.25">
      <c r="B28" s="19" t="s">
        <v>121</v>
      </c>
      <c r="C28" s="99">
        <v>9.8457505000000001E-2</v>
      </c>
    </row>
    <row r="29" spans="1:8" ht="15.75" customHeight="1" x14ac:dyDescent="0.25">
      <c r="B29" s="19" t="s">
        <v>122</v>
      </c>
      <c r="C29" s="99">
        <v>0.11500012900000001</v>
      </c>
    </row>
    <row r="30" spans="1:8" ht="15.75" customHeight="1" x14ac:dyDescent="0.25">
      <c r="B30" s="19" t="s">
        <v>2</v>
      </c>
      <c r="C30" s="99">
        <v>5.0745075000000001E-2</v>
      </c>
    </row>
    <row r="31" spans="1:8" ht="15.75" customHeight="1" x14ac:dyDescent="0.25">
      <c r="B31" s="19" t="s">
        <v>123</v>
      </c>
      <c r="C31" s="99">
        <v>3.6627643000000001E-2</v>
      </c>
    </row>
    <row r="32" spans="1:8" ht="15.75" customHeight="1" x14ac:dyDescent="0.25">
      <c r="B32" s="19" t="s">
        <v>124</v>
      </c>
      <c r="C32" s="99">
        <v>0.18180017400000001</v>
      </c>
    </row>
    <row r="33" spans="2:3" ht="15.75" customHeight="1" x14ac:dyDescent="0.25">
      <c r="B33" s="19" t="s">
        <v>125</v>
      </c>
      <c r="C33" s="99">
        <v>0.15539587599999999</v>
      </c>
    </row>
    <row r="34" spans="2:3" ht="15.75" customHeight="1" x14ac:dyDescent="0.25">
      <c r="B34" s="19" t="s">
        <v>126</v>
      </c>
      <c r="C34" s="99">
        <v>0.26227631499999998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FDGZr+sBErMnfC2t04fk0ZFKMiZ3Dyf+fzRIYN9HwrzUtgD9pHfFdYARQ9+wzIfIkYwpNj20BNgH7sa1Go9RDg==" saltValue="reoO0JpA+14c3b2cFMeD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132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133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137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138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bXi6vHsiQcU56XAN7nd+58v/kfnLY/qfE82mZFArauRArSUabJicJ07v6WEEzNdCD9Bu11eP38FEo0XQq5VqA==" saltValue="COIrMBgybrgCZb2icvex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5.5319315625000032E-2</v>
      </c>
      <c r="D5" s="52">
        <f t="shared" si="0"/>
        <v>0.10589541250000001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CS9zTnpd16Hfn6e/tcWcY0fFYAvhnuaekd61YaX6ZTZYqyujiy0Z7JIJOOrk7659YL2h84CYqOeimaf8HJd98Q==" saltValue="5VNi61Gcq+rGxtTV6qtxg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GAW9FXxLJzdJE6gyTuJJTOV5qAFFFhy/s5ijwa6UtW1ZUpiyq8njFYs7fwGQ1teCxjhySaU/BHcaJw+KK5SEA==" saltValue="P+b46NInWjHQb6FOsaL5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4136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0.43676999999999999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0.31269999999999998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1.3525069731570312E-2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99255.509529999996</v>
      </c>
      <c r="C22" s="107">
        <v>99166.540599999993</v>
      </c>
      <c r="D22" s="107">
        <v>99070.554749999996</v>
      </c>
      <c r="E22" s="107">
        <v>98797.755000000005</v>
      </c>
      <c r="F22" s="107">
        <v>98430.130239999999</v>
      </c>
      <c r="G22" s="107">
        <v>98054.465500000006</v>
      </c>
      <c r="H22" s="107">
        <v>97621.17482</v>
      </c>
      <c r="I22" s="107">
        <v>97035.077579999997</v>
      </c>
      <c r="J22" s="107">
        <v>96146.403990000006</v>
      </c>
      <c r="K22" s="107">
        <v>94717.728489999994</v>
      </c>
      <c r="L22" s="107">
        <v>92388.470140000005</v>
      </c>
      <c r="M22" s="107">
        <v>88674.684370000003</v>
      </c>
      <c r="N22" s="107">
        <v>83066.922630000001</v>
      </c>
      <c r="O22" s="107">
        <v>75063.25576</v>
      </c>
    </row>
  </sheetData>
  <sheetProtection algorithmName="SHA-512" hashValue="jsJsuLtbgC7GJOjdtSej/sl1tGcM3Fa4Q080pjWqJesjtPHK1qLUfg6RXLFhrYkozTt7F1cFbBpG567d/IgIrQ==" saltValue="DMn/2AzR89XuGro8FDwUg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RpOhYMOi4hjUOVCs76nhwxxovugdaJZ0F9eDlQ42WMh4pqxI2/ZbPEewGIGoOqpoVYrlUkvh9Ofda+Z48unEg==" saltValue="EF5QIEaUwbvIIOrd+dNUq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TyqDdyxu41yTPLPo1lyVx33yFRhHg9lGmdQ0YK93veg2ztudCUBNblowu6+zuA9xA4FTS0N4vepZfW6Mrx91mg==" saltValue="3uUu4wufoCNAZW0xq6yq+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13.600489225152121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13.600489225152121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13.600489225152121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13.600489225152121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13.600489225152121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13.600489225152121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18.912221099022862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4.6470312755738146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0.44400000000000001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173.52890625098581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0.9017522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DD6kD74Y2F+Axw/hdlk6fOAt3aV5YJ0bqq/hQE7Jk0LdKe+4h9f1oSdaU9oGAdembx0lLe/OXQ3xF7kIYFxBdQ==" saltValue="/hYvwEcKy+W4XBrj73D9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jYcxpE8bzjQOXw0ks+WY+MSAmb8rAxT93Fb+Cm9vCDIIe0IXtu27Asxxb+t6uwc3t1pJBratiSoFru9SRU5rQ==" saltValue="KhgIbhVDyqCeCjqXEEua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2akTTN8AP3tFpBG5LUuakIdffPhZiy9RnZ8eC45oAx+soxxOhgbf/PChZ4r8EKO8OECPQ19+1YbyIsixSUS3w==" saltValue="W8qsWCLlzSBNt+6Z+dbXi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237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sheetProtection algorithmName="SHA-512" hashValue="JL94WO+q6lcgAsfff+DOWhCaK84lpcUdqaKWZqwJf/uQd9AfwPaSEycOl8pxvMR3iBe/150tjw9nNnqPhFQApQ==" saltValue="SYcDLA9mQl8ayREW7Peih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d+wSF+lVVps4gN2BR9jUHE4JQoyQ62LEzsu3p/XV+hn/Bguf01ieMpYTvihlphVEY3gwn2Rw0NJjG3YLkUM+w==" saltValue="wzj8A1JugzjHr+QDUhcQ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yhezkDQ9RVGOXYfqdel8pn/hJlH9pr4SC2VrpcvnQC0noAB0vqXrbq0qvKQup0xi4q46Q0iKlgANexcEiRVCCw==" saltValue="bGj60SmoURQ3it+7TIrAo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YqBkG1FdpceucmQbmRpKs/tzv1LJ65u3K6kYCEguPrn8j5WRYY8tVv0iCkaTXBHVkuej/lvY5Z9L0RXf10LTw==" saltValue="8aa8EMjViZoZyyVSU5fQp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SVlFDKULQQtncKAvgyOZhevwwhRRJ8J6LkVkWKWEm0HVml8OybGlPQ8UmuzaCuWRcmzP9feFRmLPhBbP4hsDA==" saltValue="qlHAmKYLqhJ4xAVEYWEtl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w38WHYxSoLvec7P0WzEqoZheVHVSDxB1BFDYckfSgIpod3DdwRgS5F9JBhpohohgTbBuVPu4b8bn2d+9hR+kXA==" saltValue="F1IF/SVmpR6mcnynt7fd3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l00vUuMmprFa+P/Bu/ME5rjgJAiBGUciBYMbMvX7oqIQbZ5ro3p7JUGZ3gBrM/F0S95oKtQn81okbO7Rg/CJCQ==" saltValue="TkCE34IoCB7e9sdY0LsAJ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moAZXQfmeApPJ/Q1aXtI2xbztaekAr7rsubPmwc6i2VdXj2B2Z6OfirqtTAeROlHJOjsO370a05UPvjf8ahXg==" saltValue="+rX7ZYjrDrNdKYYxnHy0A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A4qtR5PlVw7kQD6VDMUIA8FKvqWwMztrMOFQONT/SjBqNjUUW4+1A8SZUq/mK5o7TNKGeD+VZ/kO++x9FTQuw==" saltValue="IeFnBdWyTmqNK7CtbzYf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ntivtOAYZ94g7oFu1gFNxwrL2tRQ3qyYUbfGQ853rjh2pqMOsbuI96dJIcVgAOV85GVPa5N8/USofRFijQwpw==" saltValue="qBNCf5rDpHsDkK512xY6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TCzHtid9zNRyqXEo9IYxHctM2x/fJnWSneRd+mVcS0X2n5bl/r+9AVS2PmvxEVAckulSTcirAv5BTaHkKCFxA==" saltValue="1r1mdy66XCuqFfI+KVV3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S8XgC3fMvem5dVI7y4ltq1cwudJM0ngF3UBd6XXqlX8/F5nwK8A9crRJUJaBY+EKYtJdMhZn/FQN4QhcWHZlg==" saltValue="2NK8qlqiOWlz6IZ2Hlxq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lAFPrDm5Na50rPxrLpaou+pO5GiRI0hr0Ap9TC+Hwy8S2ihsGAaU9if4+293EOxapPQlkP4G6pZ+hwHd1LCQg==" saltValue="H45r3iM5xtvrRODMNbmm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FZdLLUzCAa1XG/NzFcTFeRBUmEcGZQIidGj+5q7+rZ7RUPWZCB/tOJuw7P733pB3xsIF49gs1NUJfuaP47DzA==" saltValue="6h6hjol7puRrmeVXLmt4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MWt9oaB3uUqPInFqRG5bYEgyzOpjdbfMbKRzEvDN+nPn6Oi4LQeONa9pPvloes7Jo/VEwC3+6fmRKeZ2QKJpw==" saltValue="OUTl9UhQ4Yk/4MQj3e6D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qiShQCWEEER0fX+WA3T6psqloqNL8JTVqeFdDfNy9EE7HWffOd45tbHAd5mYnnoi/0fR1KrGUrC4ZBXWvke+A==" saltValue="Ejj1d3XnMl7qGjLvRqs5K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2026-04-29T06:16:47Z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