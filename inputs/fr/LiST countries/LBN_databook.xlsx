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91ADE3E-0086-4A6C-A8A7-B642355794B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A25" i="2"/>
  <c r="H13" i="2"/>
  <c r="I13" i="2" s="1"/>
  <c r="G13" i="2"/>
  <c r="H12" i="2"/>
  <c r="G12" i="2"/>
  <c r="H11" i="2"/>
  <c r="I11" i="2" s="1"/>
  <c r="G11" i="2"/>
  <c r="H10" i="2"/>
  <c r="G10" i="2"/>
  <c r="I10" i="2" s="1"/>
  <c r="H9" i="2"/>
  <c r="I9" i="2" s="1"/>
  <c r="G9" i="2"/>
  <c r="H8" i="2"/>
  <c r="G8" i="2"/>
  <c r="H7" i="2"/>
  <c r="I7" i="2" s="1"/>
  <c r="G7" i="2"/>
  <c r="H6" i="2"/>
  <c r="G6" i="2"/>
  <c r="I6" i="2" s="1"/>
  <c r="H5" i="2"/>
  <c r="I5" i="2" s="1"/>
  <c r="G5" i="2"/>
  <c r="H4" i="2"/>
  <c r="G4" i="2"/>
  <c r="H3" i="2"/>
  <c r="I3" i="2" s="1"/>
  <c r="G3" i="2"/>
  <c r="H2" i="2"/>
  <c r="G2" i="2"/>
  <c r="I2" i="2" s="1"/>
  <c r="A2" i="2"/>
  <c r="A40" i="2" s="1"/>
  <c r="C33" i="1"/>
  <c r="C20" i="1"/>
  <c r="A31" i="2" l="1"/>
  <c r="A16" i="2"/>
  <c r="A17" i="2"/>
  <c r="A33" i="2"/>
  <c r="A15" i="2"/>
  <c r="A36" i="2"/>
  <c r="A20" i="2"/>
  <c r="I4" i="2"/>
  <c r="I8" i="2"/>
  <c r="I12" i="2"/>
  <c r="A23" i="2"/>
  <c r="I38" i="2"/>
  <c r="A28" i="2"/>
  <c r="A32" i="2"/>
  <c r="A24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19" i="2"/>
  <c r="A27" i="2"/>
  <c r="A35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<sst xmlns="http://schemas.openxmlformats.org/spreadsheetml/2006/main" count="2101" uniqueCount="337">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</sst>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370044.08984375</v>
      </c>
    </row>
    <row r="8" spans="1:3" ht="15" customHeight="1" x14ac:dyDescent="0.25">
      <c r="B8" s="5" t="s">
        <v>19</v>
      </c>
      <c r="C8" s="44">
        <v>1.4999999999999999E-2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0.64993591308593812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0.36399999999999999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3.5799999999999998E-2</v>
      </c>
    </row>
    <row r="24" spans="1:3" ht="15" customHeight="1" x14ac:dyDescent="0.25">
      <c r="B24" s="15" t="s">
        <v>33</v>
      </c>
      <c r="C24" s="45">
        <v>0.50009999999999999</v>
      </c>
    </row>
    <row r="25" spans="1:3" ht="15" customHeight="1" x14ac:dyDescent="0.25">
      <c r="B25" s="15" t="s">
        <v>34</v>
      </c>
      <c r="C25" s="45">
        <v>0.41830000000000001</v>
      </c>
    </row>
    <row r="26" spans="1:3" ht="15" customHeight="1" x14ac:dyDescent="0.25">
      <c r="B26" s="15" t="s">
        <v>35</v>
      </c>
      <c r="C26" s="45">
        <v>4.58E-2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0.34453989050682299</v>
      </c>
    </row>
    <row r="30" spans="1:3" ht="14.25" customHeight="1" x14ac:dyDescent="0.25">
      <c r="B30" s="25" t="s">
        <v>38</v>
      </c>
      <c r="C30" s="99">
        <v>4.9975046177627103E-2</v>
      </c>
    </row>
    <row r="31" spans="1:3" ht="14.25" customHeight="1" x14ac:dyDescent="0.25">
      <c r="B31" s="25" t="s">
        <v>39</v>
      </c>
      <c r="C31" s="99">
        <v>6.4980512501330898E-2</v>
      </c>
    </row>
    <row r="32" spans="1:3" ht="14.25" customHeight="1" x14ac:dyDescent="0.25">
      <c r="B32" s="25" t="s">
        <v>40</v>
      </c>
      <c r="C32" s="99">
        <v>0.540504550814219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4.7846799999999998</v>
      </c>
    </row>
    <row r="38" spans="1:5" ht="15" customHeight="1" x14ac:dyDescent="0.25">
      <c r="B38" s="11" t="s">
        <v>45</v>
      </c>
      <c r="C38" s="43">
        <v>7.0508600000000001</v>
      </c>
      <c r="D38" s="12"/>
      <c r="E38" s="13"/>
    </row>
    <row r="39" spans="1:5" ht="15" customHeight="1" x14ac:dyDescent="0.25">
      <c r="B39" s="11" t="s">
        <v>46</v>
      </c>
      <c r="C39" s="43">
        <v>8.2388399999999997</v>
      </c>
      <c r="D39" s="12"/>
      <c r="E39" s="12"/>
    </row>
    <row r="40" spans="1:5" ht="15" customHeight="1" x14ac:dyDescent="0.25">
      <c r="B40" s="11" t="s">
        <v>47</v>
      </c>
      <c r="C40" s="100">
        <v>0.21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5.9434800000000001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7.4982E-3</v>
      </c>
      <c r="D45" s="12"/>
    </row>
    <row r="46" spans="1:5" ht="15.75" customHeight="1" x14ac:dyDescent="0.25">
      <c r="B46" s="11" t="s">
        <v>52</v>
      </c>
      <c r="C46" s="45">
        <v>7.9942600000000003E-2</v>
      </c>
      <c r="D46" s="12"/>
    </row>
    <row r="47" spans="1:5" ht="15.75" customHeight="1" x14ac:dyDescent="0.25">
      <c r="B47" s="11" t="s">
        <v>53</v>
      </c>
      <c r="C47" s="45">
        <v>5.4437800000000001E-2</v>
      </c>
      <c r="D47" s="12"/>
      <c r="E47" s="13"/>
    </row>
    <row r="48" spans="1:5" ht="15" customHeight="1" x14ac:dyDescent="0.25">
      <c r="B48" s="11" t="s">
        <v>54</v>
      </c>
      <c r="C48" s="46">
        <v>0.85812140000000003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2.9</v>
      </c>
      <c r="D51" s="12"/>
    </row>
    <row r="52" spans="1:4" ht="15" customHeight="1" x14ac:dyDescent="0.25">
      <c r="B52" s="11" t="s">
        <v>57</v>
      </c>
      <c r="C52" s="100">
        <v>2.9</v>
      </c>
    </row>
    <row r="53" spans="1:4" ht="15.75" customHeight="1" x14ac:dyDescent="0.25">
      <c r="B53" s="11" t="s">
        <v>58</v>
      </c>
      <c r="C53" s="100">
        <v>2.9</v>
      </c>
    </row>
    <row r="54" spans="1:4" ht="15.75" customHeight="1" x14ac:dyDescent="0.25">
      <c r="B54" s="11" t="s">
        <v>59</v>
      </c>
      <c r="C54" s="100">
        <v>2.9</v>
      </c>
    </row>
    <row r="55" spans="1:4" ht="15.75" customHeight="1" x14ac:dyDescent="0.25">
      <c r="B55" s="11" t="s">
        <v>60</v>
      </c>
      <c r="C55" s="100">
        <v>2.9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2.0689655172413789E-2</v>
      </c>
    </row>
    <row r="59" spans="1:4" ht="15.75" customHeight="1" x14ac:dyDescent="0.25">
      <c r="B59" s="11" t="s">
        <v>63</v>
      </c>
      <c r="C59" s="45">
        <v>0.60774699999999993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9.2394466000000008E-2</v>
      </c>
    </row>
    <row r="63" spans="1:4" ht="15.75" customHeight="1" x14ac:dyDescent="0.3">
      <c r="A63" s="4"/>
    </row>
  </sheetData>
  <sheetProtection algorithmName="SHA-512" hashValue="o/300hyO1dYfIe+xk9V2aLk7qlPmAUVwn023jAFOAF+tHlbxgwhWLY+2oQSumWvHboVd8GuGkQXmeR9i7Qsi6Q==" saltValue="DhEHl3AA+F5axjAMmz97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70456</v>
      </c>
      <c r="C2" s="49">
        <v>282210</v>
      </c>
      <c r="D2" s="49">
        <v>338719.5</v>
      </c>
      <c r="E2" s="49">
        <v>320445.5</v>
      </c>
      <c r="F2" s="49">
        <v>299199.5</v>
      </c>
      <c r="G2" s="17">
        <f t="shared" ref="G2:G13" si="0">C2+D2+E2+F2</f>
        <v>1240574.5</v>
      </c>
      <c r="H2" s="17">
        <f t="shared" ref="H2:H13" si="1">(B2 + stillbirth*B2/(1000-stillbirth))/(1-abortion)</f>
        <v>80542.338139521846</v>
      </c>
      <c r="I2" s="17">
        <f t="shared" ref="I2:I13" si="2">G2-H2</f>
        <v>1160032.1618604781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65661</v>
      </c>
      <c r="C3" s="50">
        <v>285232</v>
      </c>
      <c r="D3" s="50">
        <v>316999.5</v>
      </c>
      <c r="E3" s="50">
        <v>300684.5</v>
      </c>
      <c r="F3" s="50">
        <v>294000</v>
      </c>
      <c r="G3" s="17">
        <f t="shared" si="0"/>
        <v>1196916</v>
      </c>
      <c r="H3" s="17">
        <f t="shared" si="1"/>
        <v>75060.895659406495</v>
      </c>
      <c r="I3" s="17">
        <f t="shared" si="2"/>
        <v>1121855.1043405936</v>
      </c>
    </row>
    <row r="4" spans="1:9" ht="15.75" customHeight="1" x14ac:dyDescent="0.25">
      <c r="A4" s="5">
        <f t="shared" si="3"/>
        <v>2026</v>
      </c>
      <c r="B4" s="49">
        <v>61647</v>
      </c>
      <c r="C4" s="50">
        <v>289738.5</v>
      </c>
      <c r="D4" s="50">
        <v>301010</v>
      </c>
      <c r="E4" s="50">
        <v>282039</v>
      </c>
      <c r="F4" s="50">
        <v>288163.5</v>
      </c>
      <c r="G4" s="17">
        <f t="shared" si="0"/>
        <v>1160951</v>
      </c>
      <c r="H4" s="17">
        <f t="shared" si="1"/>
        <v>70472.259556135788</v>
      </c>
      <c r="I4" s="17">
        <f t="shared" si="2"/>
        <v>1090478.7404438641</v>
      </c>
    </row>
    <row r="5" spans="1:9" ht="15.75" customHeight="1" x14ac:dyDescent="0.25">
      <c r="A5" s="5">
        <f t="shared" si="3"/>
        <v>2027</v>
      </c>
      <c r="B5" s="49">
        <v>58319</v>
      </c>
      <c r="C5" s="50">
        <v>294804.99999999988</v>
      </c>
      <c r="D5" s="50">
        <v>292462</v>
      </c>
      <c r="E5" s="50">
        <v>265322.5</v>
      </c>
      <c r="F5" s="50">
        <v>281739</v>
      </c>
      <c r="G5" s="17">
        <f t="shared" si="0"/>
        <v>1134328.5</v>
      </c>
      <c r="H5" s="17">
        <f t="shared" si="1"/>
        <v>66667.829822283049</v>
      </c>
      <c r="I5" s="17">
        <f t="shared" si="2"/>
        <v>1067660.670177717</v>
      </c>
    </row>
    <row r="6" spans="1:9" ht="15.75" customHeight="1" x14ac:dyDescent="0.25">
      <c r="A6" s="5">
        <f t="shared" si="3"/>
        <v>2028</v>
      </c>
      <c r="B6" s="49">
        <v>56139</v>
      </c>
      <c r="C6" s="50">
        <v>299002</v>
      </c>
      <c r="D6" s="50">
        <v>291184</v>
      </c>
      <c r="E6" s="50">
        <v>250329</v>
      </c>
      <c r="F6" s="50">
        <v>274759.5</v>
      </c>
      <c r="G6" s="17">
        <f t="shared" si="0"/>
        <v>1115274.5</v>
      </c>
      <c r="H6" s="17">
        <f t="shared" si="1"/>
        <v>64175.745441333842</v>
      </c>
      <c r="I6" s="17">
        <f t="shared" si="2"/>
        <v>1051098.7545586661</v>
      </c>
    </row>
    <row r="7" spans="1:9" ht="15.75" customHeight="1" x14ac:dyDescent="0.25">
      <c r="A7" s="5">
        <f t="shared" si="3"/>
        <v>2029</v>
      </c>
      <c r="B7" s="49">
        <v>54688</v>
      </c>
      <c r="C7" s="50">
        <v>300760</v>
      </c>
      <c r="D7" s="50">
        <v>295872.5</v>
      </c>
      <c r="E7" s="50">
        <v>236395.5</v>
      </c>
      <c r="F7" s="50">
        <v>267203.5</v>
      </c>
      <c r="G7" s="17">
        <f t="shared" si="0"/>
        <v>1100231.5</v>
      </c>
      <c r="H7" s="17">
        <f t="shared" si="1"/>
        <v>62517.023222637828</v>
      </c>
      <c r="I7" s="17">
        <f t="shared" si="2"/>
        <v>1037714.4767773622</v>
      </c>
    </row>
    <row r="8" spans="1:9" ht="15.75" customHeight="1" x14ac:dyDescent="0.25">
      <c r="A8" s="5">
        <f t="shared" si="3"/>
        <v>2030</v>
      </c>
      <c r="B8" s="49">
        <v>54038</v>
      </c>
      <c r="C8" s="50">
        <v>299066.5</v>
      </c>
      <c r="D8" s="50">
        <v>306469</v>
      </c>
      <c r="E8" s="50">
        <v>223838</v>
      </c>
      <c r="F8" s="50">
        <v>259326.99999999991</v>
      </c>
      <c r="G8" s="17">
        <f t="shared" si="0"/>
        <v>1088700.5</v>
      </c>
      <c r="H8" s="17">
        <f t="shared" si="1"/>
        <v>61773.970540244714</v>
      </c>
      <c r="I8" s="17">
        <f t="shared" si="2"/>
        <v>1026926.5294597553</v>
      </c>
    </row>
    <row r="9" spans="1:9" ht="15.75" customHeight="1" x14ac:dyDescent="0.25">
      <c r="A9" s="5">
        <f t="shared" si="3"/>
        <v>2031</v>
      </c>
      <c r="B9" s="49">
        <v>54251</v>
      </c>
      <c r="C9" s="50">
        <v>293204.00000000012</v>
      </c>
      <c r="D9" s="50">
        <v>322344.5</v>
      </c>
      <c r="E9" s="50">
        <v>213103</v>
      </c>
      <c r="F9" s="50">
        <v>251300.5</v>
      </c>
      <c r="G9" s="17">
        <f t="shared" si="0"/>
        <v>1079952</v>
      </c>
      <c r="H9" s="17">
        <f t="shared" si="1"/>
        <v>62017.463188475078</v>
      </c>
      <c r="I9" s="17">
        <f t="shared" si="2"/>
        <v>1017934.5368115249</v>
      </c>
    </row>
    <row r="10" spans="1:9" ht="15.75" customHeight="1" x14ac:dyDescent="0.25">
      <c r="A10" s="5">
        <f t="shared" si="3"/>
        <v>2032</v>
      </c>
      <c r="B10" s="49">
        <v>54916</v>
      </c>
      <c r="C10" s="50">
        <v>282983.5</v>
      </c>
      <c r="D10" s="50">
        <v>342069.5</v>
      </c>
      <c r="E10" s="50">
        <v>204670</v>
      </c>
      <c r="F10" s="50">
        <v>243235.5</v>
      </c>
      <c r="G10" s="17">
        <f t="shared" si="0"/>
        <v>1072958.5</v>
      </c>
      <c r="H10" s="17">
        <f t="shared" si="1"/>
        <v>62777.663240461872</v>
      </c>
      <c r="I10" s="17">
        <f t="shared" si="2"/>
        <v>1010180.8367595382</v>
      </c>
    </row>
    <row r="11" spans="1:9" ht="15.75" customHeight="1" x14ac:dyDescent="0.25">
      <c r="A11" s="5">
        <f t="shared" si="3"/>
        <v>2033</v>
      </c>
      <c r="B11" s="49">
        <v>56091</v>
      </c>
      <c r="C11" s="50">
        <v>268404</v>
      </c>
      <c r="D11" s="50">
        <v>363723.5</v>
      </c>
      <c r="E11" s="50">
        <v>198991</v>
      </c>
      <c r="F11" s="50">
        <v>235201</v>
      </c>
      <c r="G11" s="17">
        <f t="shared" si="0"/>
        <v>1066319.5</v>
      </c>
      <c r="H11" s="17">
        <f t="shared" si="1"/>
        <v>64120.873858634041</v>
      </c>
      <c r="I11" s="17">
        <f t="shared" si="2"/>
        <v>1002198.626141366</v>
      </c>
    </row>
    <row r="12" spans="1:9" ht="15.75" customHeight="1" x14ac:dyDescent="0.25">
      <c r="A12" s="5">
        <f t="shared" si="3"/>
        <v>2034</v>
      </c>
      <c r="B12" s="49">
        <v>57599</v>
      </c>
      <c r="C12" s="50">
        <v>252906</v>
      </c>
      <c r="D12" s="50">
        <v>385509</v>
      </c>
      <c r="E12" s="50">
        <v>196599.5</v>
      </c>
      <c r="F12" s="50">
        <v>227298.5</v>
      </c>
      <c r="G12" s="17">
        <f t="shared" si="0"/>
        <v>1062313</v>
      </c>
      <c r="H12" s="17">
        <f t="shared" si="1"/>
        <v>65844.756081786065</v>
      </c>
      <c r="I12" s="17">
        <f t="shared" si="2"/>
        <v>996468.24391821399</v>
      </c>
    </row>
    <row r="13" spans="1:9" ht="15.75" customHeight="1" x14ac:dyDescent="0.25">
      <c r="A13" s="5">
        <f t="shared" si="3"/>
        <v>2035</v>
      </c>
      <c r="B13" s="49">
        <v>59616</v>
      </c>
      <c r="C13" s="50">
        <v>238810.5</v>
      </c>
      <c r="D13" s="50">
        <v>405859.5</v>
      </c>
      <c r="E13" s="50">
        <v>198086</v>
      </c>
      <c r="F13" s="50">
        <v>219727</v>
      </c>
      <c r="G13" s="17">
        <f t="shared" si="0"/>
        <v>1062483</v>
      </c>
      <c r="H13" s="17">
        <f t="shared" si="1"/>
        <v>68150.505713150531</v>
      </c>
      <c r="I13" s="17">
        <f t="shared" si="2"/>
        <v>994332.49428684951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tQd5ac8g297x4Xs4JCWd7xfeUGNFoItFWLO2rnVvgi7iy7hhjENWy72A1Ufhhhz5U+os8QWFadc4GWyWcV2rw==" saltValue="WiB+jXHOObOG1Kc9HtNsU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5.6525200000000053E-2</v>
      </c>
    </row>
    <row r="5" spans="1:8" ht="15.75" customHeight="1" x14ac:dyDescent="0.25">
      <c r="B5" s="19" t="s">
        <v>80</v>
      </c>
      <c r="C5" s="101">
        <v>2.0757499999999939E-2</v>
      </c>
    </row>
    <row r="6" spans="1:8" ht="15.75" customHeight="1" x14ac:dyDescent="0.25">
      <c r="B6" s="19" t="s">
        <v>81</v>
      </c>
      <c r="C6" s="101">
        <v>0.1493135000000001</v>
      </c>
    </row>
    <row r="7" spans="1:8" ht="15.75" customHeight="1" x14ac:dyDescent="0.25">
      <c r="B7" s="19" t="s">
        <v>82</v>
      </c>
      <c r="C7" s="101">
        <v>0.40648640000000003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0.28011749999999969</v>
      </c>
    </row>
    <row r="10" spans="1:8" ht="15.75" customHeight="1" x14ac:dyDescent="0.25">
      <c r="B10" s="19" t="s">
        <v>85</v>
      </c>
      <c r="C10" s="101">
        <v>8.6799900000000124E-2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8.9097416942887971E-3</v>
      </c>
      <c r="D14" s="55">
        <v>8.9097416942887971E-3</v>
      </c>
      <c r="E14" s="55">
        <v>8.9097416942887971E-3</v>
      </c>
      <c r="F14" s="55">
        <v>8.9097416942887971E-3</v>
      </c>
    </row>
    <row r="15" spans="1:8" ht="15.75" customHeight="1" x14ac:dyDescent="0.25">
      <c r="B15" s="19" t="s">
        <v>88</v>
      </c>
      <c r="C15" s="101">
        <v>0.25881244885449461</v>
      </c>
      <c r="D15" s="101">
        <v>0.25881244885449461</v>
      </c>
      <c r="E15" s="101">
        <v>0.25881244885449461</v>
      </c>
      <c r="F15" s="101">
        <v>0.25881244885449461</v>
      </c>
    </row>
    <row r="16" spans="1:8" ht="15.75" customHeight="1" x14ac:dyDescent="0.25">
      <c r="B16" s="19" t="s">
        <v>89</v>
      </c>
      <c r="C16" s="101">
        <v>1.4258279955122469E-2</v>
      </c>
      <c r="D16" s="101">
        <v>1.4258279955122469E-2</v>
      </c>
      <c r="E16" s="101">
        <v>1.4258279955122469E-2</v>
      </c>
      <c r="F16" s="101">
        <v>1.4258279955122469E-2</v>
      </c>
    </row>
    <row r="17" spans="1:8" ht="15.75" customHeight="1" x14ac:dyDescent="0.25">
      <c r="B17" s="19" t="s">
        <v>90</v>
      </c>
      <c r="C17" s="101">
        <v>0.40664903343666348</v>
      </c>
      <c r="D17" s="101">
        <v>0.40664903343666348</v>
      </c>
      <c r="E17" s="101">
        <v>0.40664903343666348</v>
      </c>
      <c r="F17" s="101">
        <v>0.40664903343666348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2.8834362732976088E-2</v>
      </c>
      <c r="D19" s="101">
        <v>2.8834362732976088E-2</v>
      </c>
      <c r="E19" s="101">
        <v>2.8834362732976088E-2</v>
      </c>
      <c r="F19" s="101">
        <v>2.8834362732976088E-2</v>
      </c>
    </row>
    <row r="20" spans="1:8" ht="15.75" customHeight="1" x14ac:dyDescent="0.25">
      <c r="B20" s="19" t="s">
        <v>93</v>
      </c>
      <c r="C20" s="101">
        <v>1.2534723612182681E-2</v>
      </c>
      <c r="D20" s="101">
        <v>1.2534723612182681E-2</v>
      </c>
      <c r="E20" s="101">
        <v>1.2534723612182681E-2</v>
      </c>
      <c r="F20" s="101">
        <v>1.2534723612182681E-2</v>
      </c>
    </row>
    <row r="21" spans="1:8" ht="15.75" customHeight="1" x14ac:dyDescent="0.25">
      <c r="B21" s="19" t="s">
        <v>94</v>
      </c>
      <c r="C21" s="101">
        <v>0.23122407885254981</v>
      </c>
      <c r="D21" s="101">
        <v>0.23122407885254981</v>
      </c>
      <c r="E21" s="101">
        <v>0.23122407885254981</v>
      </c>
      <c r="F21" s="101">
        <v>0.23122407885254981</v>
      </c>
    </row>
    <row r="22" spans="1:8" ht="15.75" customHeight="1" x14ac:dyDescent="0.25">
      <c r="B22" s="19" t="s">
        <v>95</v>
      </c>
      <c r="C22" s="101">
        <v>3.8777330861722123E-2</v>
      </c>
      <c r="D22" s="101">
        <v>3.8777330861722123E-2</v>
      </c>
      <c r="E22" s="101">
        <v>3.8777330861722123E-2</v>
      </c>
      <c r="F22" s="101">
        <v>3.8777330861722123E-2</v>
      </c>
    </row>
    <row r="23" spans="1:8" ht="15.75" customHeight="1" x14ac:dyDescent="0.25">
      <c r="B23" s="27" t="s">
        <v>41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4.5249643999999999E-2</v>
      </c>
    </row>
    <row r="27" spans="1:8" ht="15.75" customHeight="1" x14ac:dyDescent="0.25">
      <c r="B27" s="19" t="s">
        <v>102</v>
      </c>
      <c r="C27" s="101">
        <v>5.4447637999999993E-2</v>
      </c>
    </row>
    <row r="28" spans="1:8" ht="15.75" customHeight="1" x14ac:dyDescent="0.25">
      <c r="B28" s="19" t="s">
        <v>103</v>
      </c>
      <c r="C28" s="101">
        <v>9.8457505000000001E-2</v>
      </c>
    </row>
    <row r="29" spans="1:8" ht="15.75" customHeight="1" x14ac:dyDescent="0.25">
      <c r="B29" s="19" t="s">
        <v>104</v>
      </c>
      <c r="C29" s="101">
        <v>0.11500012900000001</v>
      </c>
    </row>
    <row r="30" spans="1:8" ht="15.75" customHeight="1" x14ac:dyDescent="0.25">
      <c r="B30" s="19" t="s">
        <v>2</v>
      </c>
      <c r="C30" s="101">
        <v>5.0745075000000001E-2</v>
      </c>
    </row>
    <row r="31" spans="1:8" ht="15.75" customHeight="1" x14ac:dyDescent="0.25">
      <c r="B31" s="19" t="s">
        <v>105</v>
      </c>
      <c r="C31" s="101">
        <v>3.6627643000000001E-2</v>
      </c>
    </row>
    <row r="32" spans="1:8" ht="15.75" customHeight="1" x14ac:dyDescent="0.25">
      <c r="B32" s="19" t="s">
        <v>106</v>
      </c>
      <c r="C32" s="101">
        <v>0.18180017400000001</v>
      </c>
    </row>
    <row r="33" spans="2:3" ht="15.75" customHeight="1" x14ac:dyDescent="0.25">
      <c r="B33" s="19" t="s">
        <v>107</v>
      </c>
      <c r="C33" s="101">
        <v>0.15539587599999999</v>
      </c>
    </row>
    <row r="34" spans="2:3" ht="15.75" customHeight="1" x14ac:dyDescent="0.25">
      <c r="B34" s="19" t="s">
        <v>108</v>
      </c>
      <c r="C34" s="101">
        <v>0.26227631499999998</v>
      </c>
    </row>
    <row r="35" spans="2:3" ht="15.75" customHeight="1" x14ac:dyDescent="0.25">
      <c r="B35" s="27" t="s">
        <v>41</v>
      </c>
      <c r="C35" s="48">
        <f>SUM(C26:C34)</f>
        <v>0.99999999900000014</v>
      </c>
    </row>
  </sheetData>
  <sheetProtection algorithmName="SHA-512" hashValue="skw176aXH3vomjNDLlp6YQlJt6uPlLnPY2IyIAyL8Luy3kdOm6ag1dX3gPdJ8W/7H2/6gx8/9AYsLUWpb+tFyg==" saltValue="hrQoPABnyAz9t1HvzlXJy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0.52348004516135949</v>
      </c>
      <c r="D2" s="52">
        <f>IFERROR(1-_xlfn.NORM.DIST(_xlfn.NORM.INV(SUM(D4:D5), 0, 1) + 1, 0, 1, TRUE), "")</f>
        <v>0.52348004516135949</v>
      </c>
      <c r="E2" s="52">
        <f>IFERROR(1-_xlfn.NORM.DIST(_xlfn.NORM.INV(SUM(E4:E5), 0, 1) + 1, 0, 1, TRUE), "")</f>
        <v>0.54262584524980317</v>
      </c>
      <c r="F2" s="52">
        <f>IFERROR(1-_xlfn.NORM.DIST(_xlfn.NORM.INV(SUM(F4:F5), 0, 1) + 1, 0, 1, TRUE), "")</f>
        <v>0.43500875746349121</v>
      </c>
      <c r="G2" s="52">
        <f>IFERROR(1-_xlfn.NORM.DIST(_xlfn.NORM.INV(SUM(G4:G5), 0, 1) + 1, 0, 1, TRUE), "")</f>
        <v>0.43747390115367946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0.33169496198149778</v>
      </c>
      <c r="D3" s="52">
        <f>IFERROR(_xlfn.NORM.DIST(_xlfn.NORM.INV(SUM(D4:D5), 0, 1) + 1, 0, 1, TRUE) - SUM(D4:D5), "")</f>
        <v>0.33169496198149778</v>
      </c>
      <c r="E3" s="52">
        <f>IFERROR(_xlfn.NORM.DIST(_xlfn.NORM.INV(SUM(E4:E5), 0, 1) + 1, 0, 1, TRUE) - SUM(E4:E5), "")</f>
        <v>0.32323827260733978</v>
      </c>
      <c r="F3" s="52">
        <f>IFERROR(_xlfn.NORM.DIST(_xlfn.NORM.INV(SUM(F4:F5), 0, 1) + 1, 0, 1, TRUE) - SUM(F4:F5), "")</f>
        <v>0.36351609610793739</v>
      </c>
      <c r="G3" s="52">
        <f>IFERROR(_xlfn.NORM.DIST(_xlfn.NORM.INV(SUM(G4:G5), 0, 1) + 1, 0, 1, TRUE) - SUM(G4:G5), "")</f>
        <v>0.36280645956060614</v>
      </c>
    </row>
    <row r="4" spans="1:15" ht="15.75" customHeight="1" x14ac:dyDescent="0.25">
      <c r="B4" s="5" t="s">
        <v>114</v>
      </c>
      <c r="C4" s="45">
        <v>7.8018074999999992E-2</v>
      </c>
      <c r="D4" s="53">
        <v>7.8018074999999992E-2</v>
      </c>
      <c r="E4" s="53">
        <v>7.6574760714285692E-2</v>
      </c>
      <c r="F4" s="53">
        <v>0.113136875</v>
      </c>
      <c r="G4" s="53">
        <v>0.117410317857143</v>
      </c>
    </row>
    <row r="5" spans="1:15" ht="15.75" customHeight="1" x14ac:dyDescent="0.25">
      <c r="B5" s="5" t="s">
        <v>115</v>
      </c>
      <c r="C5" s="45">
        <v>6.6806917857142795E-2</v>
      </c>
      <c r="D5" s="53">
        <v>6.6806917857142795E-2</v>
      </c>
      <c r="E5" s="53">
        <v>5.75611214285714E-2</v>
      </c>
      <c r="F5" s="53">
        <v>8.833827142857141E-2</v>
      </c>
      <c r="G5" s="53">
        <v>8.2309321428571405E-2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0.60412081188896594</v>
      </c>
      <c r="D8" s="52">
        <f>IFERROR(1-_xlfn.NORM.DIST(_xlfn.NORM.INV(SUM(D10:D11), 0, 1) + 1, 0, 1, TRUE), "")</f>
        <v>0.60412081188896594</v>
      </c>
      <c r="E8" s="52">
        <f>IFERROR(1-_xlfn.NORM.DIST(_xlfn.NORM.INV(SUM(E10:E11), 0, 1) + 1, 0, 1, TRUE), "")</f>
        <v>0.65634661995348842</v>
      </c>
      <c r="F8" s="52">
        <f>IFERROR(1-_xlfn.NORM.DIST(_xlfn.NORM.INV(SUM(F10:F11), 0, 1) + 1, 0, 1, TRUE), "")</f>
        <v>0.70726524983458217</v>
      </c>
      <c r="G8" s="52">
        <f>IFERROR(1-_xlfn.NORM.DIST(_xlfn.NORM.INV(SUM(G10:G11), 0, 1) + 1, 0, 1, TRUE), "")</f>
        <v>0.73948997109811798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0.29276919181473776</v>
      </c>
      <c r="D9" s="52">
        <f>IFERROR(_xlfn.NORM.DIST(_xlfn.NORM.INV(SUM(D10:D11), 0, 1) + 1, 0, 1, TRUE) - SUM(D10:D11), "")</f>
        <v>0.29276919181473776</v>
      </c>
      <c r="E9" s="52">
        <f>IFERROR(_xlfn.NORM.DIST(_xlfn.NORM.INV(SUM(E10:E11), 0, 1) + 1, 0, 1, TRUE) - SUM(E10:E11), "")</f>
        <v>0.26327227634280792</v>
      </c>
      <c r="F9" s="52">
        <f>IFERROR(_xlfn.NORM.DIST(_xlfn.NORM.INV(SUM(F10:F11), 0, 1) + 1, 0, 1, TRUE) - SUM(F10:F11), "")</f>
        <v>0.23161155144746914</v>
      </c>
      <c r="G9" s="52">
        <f>IFERROR(_xlfn.NORM.DIST(_xlfn.NORM.INV(SUM(G10:G11), 0, 1) + 1, 0, 1, TRUE) - SUM(G10:G11), "")</f>
        <v>0.21019158445743746</v>
      </c>
    </row>
    <row r="10" spans="1:15" ht="15.75" customHeight="1" x14ac:dyDescent="0.25">
      <c r="B10" s="5" t="s">
        <v>119</v>
      </c>
      <c r="C10" s="45">
        <v>5.5754911111111097E-2</v>
      </c>
      <c r="D10" s="53">
        <v>5.5754911111111097E-2</v>
      </c>
      <c r="E10" s="53">
        <v>4.8520040740740712E-2</v>
      </c>
      <c r="F10" s="53">
        <v>3.7735233333333298E-2</v>
      </c>
      <c r="G10" s="53">
        <v>3.2035677777777799E-2</v>
      </c>
    </row>
    <row r="11" spans="1:15" ht="15.75" customHeight="1" x14ac:dyDescent="0.25">
      <c r="B11" s="5" t="s">
        <v>120</v>
      </c>
      <c r="C11" s="45">
        <v>4.7355085185185199E-2</v>
      </c>
      <c r="D11" s="53">
        <v>4.7355085185185199E-2</v>
      </c>
      <c r="E11" s="53">
        <v>3.1861062962962997E-2</v>
      </c>
      <c r="F11" s="53">
        <v>2.3387965384615399E-2</v>
      </c>
      <c r="G11" s="53">
        <v>1.82827666666667E-2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0.27132991649999999</v>
      </c>
      <c r="D14" s="54">
        <v>0.26430615274399999</v>
      </c>
      <c r="E14" s="54">
        <v>0.26430615274399999</v>
      </c>
      <c r="F14" s="54">
        <v>0.223280819125</v>
      </c>
      <c r="G14" s="54">
        <v>0.223280819125</v>
      </c>
      <c r="H14" s="45">
        <v>0.35199999999999998</v>
      </c>
      <c r="I14" s="55">
        <v>0.35199999999999998</v>
      </c>
      <c r="J14" s="55">
        <v>0.35199999999999998</v>
      </c>
      <c r="K14" s="55">
        <v>0.35199999999999998</v>
      </c>
      <c r="L14" s="45">
        <v>0.311</v>
      </c>
      <c r="M14" s="55">
        <v>0.311</v>
      </c>
      <c r="N14" s="55">
        <v>0.311</v>
      </c>
      <c r="O14" s="55">
        <v>0.311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0.16489994276312547</v>
      </c>
      <c r="D15" s="52">
        <f t="shared" si="0"/>
        <v>0.16063127141170774</v>
      </c>
      <c r="E15" s="52">
        <f t="shared" si="0"/>
        <v>0.16063127141170774</v>
      </c>
      <c r="F15" s="52">
        <f t="shared" si="0"/>
        <v>0.13569824798076136</v>
      </c>
      <c r="G15" s="52">
        <f t="shared" si="0"/>
        <v>0.13569824798076136</v>
      </c>
      <c r="H15" s="52">
        <f t="shared" si="0"/>
        <v>0.21392694399999995</v>
      </c>
      <c r="I15" s="52">
        <f t="shared" si="0"/>
        <v>0.21392694399999995</v>
      </c>
      <c r="J15" s="52">
        <f t="shared" si="0"/>
        <v>0.21392694399999995</v>
      </c>
      <c r="K15" s="52">
        <f t="shared" si="0"/>
        <v>0.21392694399999995</v>
      </c>
      <c r="L15" s="52">
        <f t="shared" si="0"/>
        <v>0.18900931699999998</v>
      </c>
      <c r="M15" s="52">
        <f t="shared" si="0"/>
        <v>0.18900931699999998</v>
      </c>
      <c r="N15" s="52">
        <f t="shared" si="0"/>
        <v>0.18900931699999998</v>
      </c>
      <c r="O15" s="52">
        <f t="shared" si="0"/>
        <v>0.18900931699999998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UK/1QvP3ql5GN5K9j5aKwGkffq9bQJrZlLheLoRwDlx1PJ+2rnSpMj+ifMwIRhqwrr8SO4H/C6MDgZY6Rejug==" saltValue="f/D0ROF1KD9uciK3Ccvp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0.486382325</v>
      </c>
      <c r="D2" s="53">
        <v>0.26502471875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0.22718172187499999</v>
      </c>
      <c r="D3" s="53">
        <v>0.23974491249999999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0.2311166375</v>
      </c>
      <c r="D4" s="53">
        <v>0.38933495624999997</v>
      </c>
      <c r="E4" s="53">
        <v>0.75684774375000008</v>
      </c>
      <c r="F4" s="53">
        <v>0.44418370624999998</v>
      </c>
      <c r="G4" s="53">
        <v>0</v>
      </c>
    </row>
    <row r="5" spans="1:7" x14ac:dyDescent="0.25">
      <c r="B5" s="3" t="s">
        <v>132</v>
      </c>
      <c r="C5" s="52">
        <v>5.5319325000000003E-2</v>
      </c>
      <c r="D5" s="52">
        <v>0.10589541875</v>
      </c>
      <c r="E5" s="52">
        <f>1-SUM(E2:E4)</f>
        <v>0.24315225624999992</v>
      </c>
      <c r="F5" s="52">
        <f>1-SUM(F2:F4)</f>
        <v>0.55581629374999997</v>
      </c>
      <c r="G5" s="52">
        <f>1-SUM(G2:G4)</f>
        <v>1</v>
      </c>
    </row>
  </sheetData>
  <sheetProtection algorithmName="SHA-512" hashValue="LoupsifZ+souKQbWDXR/21R5mEZ6dK4ZjJ+c2xkdzmQbZxoPliFvdFEmjJN8n0fexboQDTbIYjwC1XOFCy8k8A==" saltValue="gsYTuUGV+DzI6rkAEM3yq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3S84NPtoIvasNgZHa90IIkyxTSqxSh0NI0+YiWb0hbL4rOqvs4tUxNA84rRPsg8yUG3rNbsYcwNIGBeyrLvsoQ==" saltValue="k+qmSq2gGph72S6o6ILOU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iu75eu4EvmE3YHEw9OYlWLQwdWl0++lgDiWgJp44XwwYh5CVqv2oMpwLhQDEzivgeWdQ4mISXVAi9AcKjKc2mQ==" saltValue="oLYH/DRpIdxoukksINm1g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zlzyZkeVer7p1LpAs6gXIq2ov/QXjH08Tgn3GKqTMMjhXD5yf6cJtNbP4+k/mIjwtEzmDu+Ud2QKHEkXGar35g==" saltValue="ORzgRBJt7zesG5EWk3dPB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AczVYQY1FSYeOuQn2XZ0+KntKvQkiByeN3Ug3WskoY9hUS6MXZ3nU5myTIQgqX+wMIr2OKRQ12zuyCAkBNPHRA==" saltValue="SJiicFpfYYS0D415jr30x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84.265913517575598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40.468189781356223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825.72943905266402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3.0877576700030751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13.600489225152121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13.600489225152121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13.600489225152121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13.600489225152121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13.600489225152121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13.600489225152121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1.307255025047471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</v>
      </c>
      <c r="C18" s="98">
        <v>0.95</v>
      </c>
      <c r="D18" s="56">
        <v>18.912221099022862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</v>
      </c>
      <c r="C19" s="98">
        <v>0.95</v>
      </c>
      <c r="D19" s="56">
        <v>18.912221099022862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36.461053003308884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23.778563587053029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4.6470312755738146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19.16115761564345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0.44400000000000001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173.52890625098581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2.636409199155751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2.8673817503679651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0.9017522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4.8852293917660123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pRDkKtVP7Izc/oOjJL+cEIvfXw6ARlJU92EKS+UAcxyCjcReyQZW+gvH8NrkkiabVou8gd2nikxljTZZg2BT0w==" saltValue="p50gBGu8+A41FvF/Z0Fp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foKlLle6GELY808VWb1p432UsTrIk5VcjFRTvQVuBPNxRDsfN60jo/q3hb8IZcyRJUN61LApZksD098Wajp4fA==" saltValue="MntxTGWbOBmzrcInE6dPQ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VXdH7EpNnhs0dYhQTFHjxa5dvn5vj4s8NZT+nl/68qbo55/za02ejxAD/nchyUvpGH1dAWHO8wsntvvTXLDtGg==" saltValue="oRI/WYuCN8yzDUcu/S5bd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209</v>
      </c>
      <c r="B3" s="21">
        <f>frac_mam_1month * 2.6</f>
        <v>0.14496276888888884</v>
      </c>
      <c r="C3" s="21">
        <f>frac_mam_1_5months * 2.6</f>
        <v>0.14496276888888884</v>
      </c>
      <c r="D3" s="21">
        <f>frac_mam_6_11months * 2.6</f>
        <v>0.12615210592592585</v>
      </c>
      <c r="E3" s="21">
        <f>frac_mam_12_23months * 2.6</f>
        <v>9.8111606666666573E-2</v>
      </c>
      <c r="F3" s="21">
        <f>frac_mam_24_59months * 2.6</f>
        <v>8.3292762222222275E-2</v>
      </c>
    </row>
    <row r="4" spans="1:6" ht="15.75" customHeight="1" x14ac:dyDescent="0.25">
      <c r="A4" s="3" t="s">
        <v>208</v>
      </c>
      <c r="B4" s="21">
        <f>frac_sam_1month * 2.6</f>
        <v>0.12312322148148153</v>
      </c>
      <c r="C4" s="21">
        <f>frac_sam_1_5months * 2.6</f>
        <v>0.12312322148148153</v>
      </c>
      <c r="D4" s="21">
        <f>frac_sam_6_11months * 2.6</f>
        <v>8.2838763703703799E-2</v>
      </c>
      <c r="E4" s="21">
        <f>frac_sam_12_23months * 2.6</f>
        <v>6.0808710000000037E-2</v>
      </c>
      <c r="F4" s="21">
        <f>frac_sam_24_59months * 2.6</f>
        <v>4.753519333333342E-2</v>
      </c>
    </row>
  </sheetData>
  <sheetProtection algorithmName="SHA-512" hashValue="OZvAyo83s+WeLvvL8JYqx53AWiToX6W53wkC9ffHxO5mLWZt3jb2hXY3bJ/RHF8HxFtj6Sb8iyoJIWnaWEOTKQ==" saltValue="Vb5N0sqMyrcb3XqOa0Fqb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0.36399999999999999</v>
      </c>
      <c r="M24" s="60">
        <f>famplan_unmet_need</f>
        <v>0.36399999999999999</v>
      </c>
      <c r="N24" s="60">
        <f>famplan_unmet_need</f>
        <v>0.36399999999999999</v>
      </c>
      <c r="O24" s="60">
        <f>famplan_unmet_need</f>
        <v>0.36399999999999999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0.1726341044616696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7.3986044769286968E-2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0.10344393768310528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0.64993591308593812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dA+TbeX2g4Trr2w6kQtWki7919Cjwm4kP7ojVbr0L3Gb10/vAaJ9SE1PdeFhA+ZJMfbrVz3aKZo+27tjTd//g==" saltValue="khI+2rt91w1p6ZBeap+JL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AwAGla1p8cFVIcPMdatuyoWa+54oxCuuMM3QKdVRg/6vzbJd6M0CWYx8MT+9QIjH+wEQj9NcVCFcK1O0+/Oi2Q==" saltValue="gqYVTghigqz2RmlPLXnT6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ls2NiVJmDx4x2b3J1S5UaDpUMp4dRgCtz2i/Hi6S8YFS2pSyNSi1xXEo36mTFBbd34LKRuFluqhE7QyRg/ePg==" saltValue="qGphWgZkvy0UoDxQG1WeR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1LM3Cp8hW9e5vivwz2Glcut3HdGLrQ3SeJXglCZRu32XpRlc04bIThHmogxgKOyXTGHp4t8SuyavR163tS9dg==" saltValue="Bta0lRHxz26TowN1ypehx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skpbal/UFcV53lx7KVMAoVvZUehLB5kIh12g7Oha4TzkBczQG65C+P6nuFyiEZ2VmHqA/1QsVIw/fzv9sV1cpQ==" saltValue="2NlIc+VmzqJwupFosByae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go621q5hnxpYOBUbD1ZtP6o4RjVzHXcPJXYWjZ7BgI8SuQmk/LFfloA1hBy9ix0oUfxCnnSsGSr08sgj9hlC3Q==" saltValue="QdI3qs2cU1PNViw0zwyEK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Snb/9jubxS1r/72l4iYsBrg3e1SHYGE2FcqCv8WZ/7w/YJnubIdZjKtG2IrtM+Nhh8eNvEjED8ejpXi36EWUXA==" saltValue="gjlRAh58phBBS3MqQnewx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y4pFfT0nN7bn4cQS3EApnET5z5UXaaNYFJoT5z87gj78L+mM+/++CrzX61t2jWud0eMuH6c9yCU+iVWSPeTCsg==" saltValue="Y3Oeghkza4ioHATELGrR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+IrmNLB9PNgqTQma5kmNmO1vBwgXusHXPeMJGg4477vxJcCg/FJewGR2gjYiCdaVIyR8PanoQR22V37yPV8+xg==" saltValue="1yZOA9AAL8hm5ER1MpZH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359jdH838d67DYKfuFDWLFziVdt5tiq+iQLsMg12lSJpFlCd7V1QZrtej6FQazWo4tHW1J3pE72TFALYEGH+zA==" saltValue="zRwQgQISbBysk1Q3forp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T6iGsL+Gb2uhcH/iMsCt9hfGhRJ/RRdigV1t3JYPsB0xf2m8+fCq7nFxUvvyJlYHPreYhfcD+EEoilqzHRW03w==" saltValue="Hu9/oQhP0u0ZQYxbaFPs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6aqNWxHAf/60WrF2n4rI0nRHPYuosVhHNI4M63vQy37As3er96Ek+REbndtIBFG8BqCDv3HTWpH5YSVsf8BJIA==" saltValue="LjkFGvzIpViSc6EuEzsj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pdl92oQatPPvcFUiD20vL8qvksIEUqwoPmRXXeRTZnCzW37WVKehgbyBEymKcDvjQcsj+4xeE9d7NMN/6kCWA==" saltValue="sTgalwxTMW0DMknLH4XhA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0.10686983158168928</v>
      </c>
      <c r="G18" s="90">
        <f>MIN(MAX(1-0.89/(1-frac_sam_12_23months+(frac_sam_12_23months*0.89)),0),1)</f>
        <v>0.10770441238524231</v>
      </c>
      <c r="H18" s="90">
        <f>MIN(MAX(1-0.89/(1-frac_sam_24_59months+(frac_sam_24_59months*0.89)),0),1)</f>
        <v>0.10820651024832184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0.10522439965592334</v>
      </c>
      <c r="G20" s="90">
        <f>MIN(MAX(1-0.89/(1-frac_mam_12_23months+(frac_mam_12_23months*0.89)),0),1)</f>
        <v>0.10629032224554458</v>
      </c>
      <c r="H20" s="90">
        <f>MIN(MAX(1-0.89/(1-frac_mam_24_59months+(frac_mam_24_59months*0.89)),0),1)</f>
        <v>0.10685261600179852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9.6844749470309521E-3</v>
      </c>
      <c r="G73" s="90">
        <f>MIN(MAX(1-0.99/(1-frac_sam_12_23months+(frac_sam_12_23months*0.99)),0),1)</f>
        <v>9.7684049773285597E-3</v>
      </c>
      <c r="H73" s="90">
        <f>MIN(MAX(1-0.99/(1-frac_sam_24_59months+(frac_sam_24_59months*0.99)),0),1)</f>
        <v>9.818967512252641E-3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9.5194184182874064E-3</v>
      </c>
      <c r="G75" s="90">
        <f>MIN(MAX(1-0.99/(1-frac_mam_12_23months+(frac_mam_12_23months*0.99)),0),1)</f>
        <v>9.6262801659485753E-3</v>
      </c>
      <c r="H75" s="90">
        <f>MIN(MAX(1-0.99/(1-frac_mam_24_59months+(frac_mam_24_59months*0.99)),0),1)</f>
        <v>9.6827451552601307E-3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0.19486953752835823</v>
      </c>
      <c r="G128" s="90">
        <f>MIN(MAX(1-0.8/(1-frac_sam_12_23months+(frac_sam_12_23months*0.8)),0),1)</f>
        <v>0.19624033937595486</v>
      </c>
      <c r="H128" s="90">
        <f>MIN(MAX(1-0.8/(1-frac_sam_24_59months+(frac_sam_24_59months*0.8)),0),1)</f>
        <v>0.19706402177235838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0.19216072105472093</v>
      </c>
      <c r="G130" s="90">
        <f>MIN(MAX(1-0.8/(1-frac_mam_12_23months+(frac_mam_12_23months*0.8)),0),1)</f>
        <v>0.19391644982963185</v>
      </c>
      <c r="H130" s="90">
        <f>MIN(MAX(1-0.8/(1-frac_mam_24_59months+(frac_mam_24_59months*0.8)),0),1)</f>
        <v>0.19484123867243097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1LZSbXV78L8wtnt0fDJCvDRlxhOPBGrP+zXXj4+2BAbvOchRHDmRP0YcjJXrgbfJOkdAPRs6MCedQxEMdIEqrA==" saltValue="ExNni9KlJxp/t4TNbOk7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NDfkGAnO4VXDNnHIQdPTvtnh1mXdGDCaya0uA54v6hCqDKMAQFdJQCJjGqlOTJ2O4g/TYz8os+tfUXuQt6Q5BA==" saltValue="0g+/PVRCuftfSBf9Fbl1k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2024-08-06T09:18:04Z</dcterms:modified>
</cp:coreProperties>
</file>