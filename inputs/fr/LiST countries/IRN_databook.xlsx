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7DA2DF1-C0E8-4856-A37F-61983B65ECD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<sst xmlns="http://schemas.openxmlformats.org/spreadsheetml/2006/main" count="2102" uniqueCount="337">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</sst>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21862100.25</v>
      </c>
    </row>
    <row r="8" spans="1:3" ht="15" customHeight="1" x14ac:dyDescent="0.25">
      <c r="B8" s="5" t="s">
        <v>19</v>
      </c>
      <c r="C8" s="44">
        <v>4.5999999999999999E-2</v>
      </c>
    </row>
    <row r="9" spans="1:3" ht="15" customHeight="1" x14ac:dyDescent="0.25">
      <c r="B9" s="5" t="s">
        <v>20</v>
      </c>
      <c r="C9" s="45">
        <v>0.10879999999999999</v>
      </c>
    </row>
    <row r="10" spans="1:3" ht="15" customHeight="1" x14ac:dyDescent="0.25">
      <c r="B10" s="5" t="s">
        <v>21</v>
      </c>
      <c r="C10" s="45">
        <v>0.85338409423828099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7.8600000000000003E-2</v>
      </c>
    </row>
    <row r="24" spans="1:3" ht="15" customHeight="1" x14ac:dyDescent="0.25">
      <c r="B24" s="15" t="s">
        <v>33</v>
      </c>
      <c r="C24" s="45">
        <v>0.51929999999999998</v>
      </c>
    </row>
    <row r="25" spans="1:3" ht="15" customHeight="1" x14ac:dyDescent="0.25">
      <c r="B25" s="15" t="s">
        <v>34</v>
      </c>
      <c r="C25" s="45">
        <v>0.37880000000000003</v>
      </c>
    </row>
    <row r="26" spans="1:3" ht="15" customHeight="1" x14ac:dyDescent="0.25">
      <c r="B26" s="15" t="s">
        <v>35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11.326549999999999</v>
      </c>
    </row>
    <row r="38" spans="1:5" ht="15" customHeight="1" x14ac:dyDescent="0.25">
      <c r="B38" s="11" t="s">
        <v>45</v>
      </c>
      <c r="C38" s="43">
        <v>18.882359999999998</v>
      </c>
      <c r="D38" s="12"/>
      <c r="E38" s="13"/>
    </row>
    <row r="39" spans="1:5" ht="15" customHeight="1" x14ac:dyDescent="0.25">
      <c r="B39" s="11" t="s">
        <v>46</v>
      </c>
      <c r="C39" s="43">
        <v>22.173410000000001</v>
      </c>
      <c r="D39" s="12"/>
      <c r="E39" s="12"/>
    </row>
    <row r="40" spans="1:5" ht="15" customHeight="1" x14ac:dyDescent="0.25">
      <c r="B40" s="11" t="s">
        <v>47</v>
      </c>
      <c r="C40" s="100">
        <v>1.73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6.1523000000000003E-3</v>
      </c>
      <c r="D45" s="12"/>
    </row>
    <row r="46" spans="1:5" ht="15.75" customHeight="1" x14ac:dyDescent="0.25">
      <c r="B46" s="11" t="s">
        <v>52</v>
      </c>
      <c r="C46" s="45">
        <v>6.6105700000000003E-2</v>
      </c>
      <c r="D46" s="12"/>
    </row>
    <row r="47" spans="1:5" ht="15.75" customHeight="1" x14ac:dyDescent="0.25">
      <c r="B47" s="11" t="s">
        <v>53</v>
      </c>
      <c r="C47" s="45">
        <v>7.5150599999999998E-2</v>
      </c>
      <c r="D47" s="12"/>
      <c r="E47" s="13"/>
    </row>
    <row r="48" spans="1:5" ht="15" customHeight="1" x14ac:dyDescent="0.25">
      <c r="B48" s="11" t="s">
        <v>54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0.58243899999999993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MEhjDe/qPp0cCieRrNegdnk/JKxjSVDLf7Z7P4CDfsMgupARpaLhhjP1mgou+gnYraeFUmls8IhZvUQI9VjxQ==" saltValue="EBiXS/+d3Yz3vMlaA+Cc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1117084</v>
      </c>
      <c r="C2" s="49">
        <v>3659287.5</v>
      </c>
      <c r="D2" s="49">
        <v>5556957.5</v>
      </c>
      <c r="E2" s="49">
        <v>8214210</v>
      </c>
      <c r="F2" s="49">
        <v>6280081</v>
      </c>
      <c r="G2" s="17">
        <f t="shared" ref="G2:G13" si="0">C2+D2+E2+F2</f>
        <v>23710536</v>
      </c>
      <c r="H2" s="17">
        <f t="shared" ref="H2:H13" si="1">(B2 + stillbirth*B2/(1000-stillbirth))/(1-abortion)</f>
        <v>1281034.6963356086</v>
      </c>
      <c r="I2" s="17">
        <f t="shared" ref="I2:I13" si="2">G2-H2</f>
        <v>22429501.30366439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1095741</v>
      </c>
      <c r="C3" s="50">
        <v>3753973</v>
      </c>
      <c r="D3" s="50">
        <v>5491489.5</v>
      </c>
      <c r="E3" s="50">
        <v>7918623.5</v>
      </c>
      <c r="F3" s="50">
        <v>6596055</v>
      </c>
      <c r="G3" s="17">
        <f t="shared" si="0"/>
        <v>23760141</v>
      </c>
      <c r="H3" s="17">
        <f t="shared" si="1"/>
        <v>1256559.2553446975</v>
      </c>
      <c r="I3" s="17">
        <f t="shared" si="2"/>
        <v>22503581.744655304</v>
      </c>
    </row>
    <row r="4" spans="1:9" ht="15.75" customHeight="1" x14ac:dyDescent="0.25">
      <c r="A4" s="5">
        <f t="shared" si="3"/>
        <v>2026</v>
      </c>
      <c r="B4" s="49">
        <v>1070794</v>
      </c>
      <c r="C4" s="50">
        <v>3855645</v>
      </c>
      <c r="D4" s="50">
        <v>5481285.5</v>
      </c>
      <c r="E4" s="50">
        <v>7586328.5</v>
      </c>
      <c r="F4" s="50">
        <v>6904765</v>
      </c>
      <c r="G4" s="17">
        <f t="shared" si="0"/>
        <v>23828024</v>
      </c>
      <c r="H4" s="17">
        <f t="shared" si="1"/>
        <v>1227950.8672830258</v>
      </c>
      <c r="I4" s="17">
        <f t="shared" si="2"/>
        <v>22600073.132716976</v>
      </c>
    </row>
    <row r="5" spans="1:9" ht="15.75" customHeight="1" x14ac:dyDescent="0.25">
      <c r="A5" s="5">
        <f t="shared" si="3"/>
        <v>2027</v>
      </c>
      <c r="B5" s="49">
        <v>1051089</v>
      </c>
      <c r="C5" s="50">
        <v>3969870</v>
      </c>
      <c r="D5" s="50">
        <v>5513574.5</v>
      </c>
      <c r="E5" s="50">
        <v>7252452.5000000009</v>
      </c>
      <c r="F5" s="50">
        <v>7187214</v>
      </c>
      <c r="G5" s="17">
        <f t="shared" si="0"/>
        <v>23923111</v>
      </c>
      <c r="H5" s="17">
        <f t="shared" si="1"/>
        <v>1205353.8300939754</v>
      </c>
      <c r="I5" s="17">
        <f t="shared" si="2"/>
        <v>22717757.169906024</v>
      </c>
    </row>
    <row r="6" spans="1:9" ht="15.75" customHeight="1" x14ac:dyDescent="0.25">
      <c r="A6" s="5">
        <f t="shared" si="3"/>
        <v>2028</v>
      </c>
      <c r="B6" s="49">
        <v>1031738</v>
      </c>
      <c r="C6" s="50">
        <v>4092601.5</v>
      </c>
      <c r="D6" s="50">
        <v>5575284.5</v>
      </c>
      <c r="E6" s="50">
        <v>6930541</v>
      </c>
      <c r="F6" s="50">
        <v>7415281</v>
      </c>
      <c r="G6" s="17">
        <f t="shared" si="0"/>
        <v>24013708</v>
      </c>
      <c r="H6" s="17">
        <f t="shared" si="1"/>
        <v>1183162.748305327</v>
      </c>
      <c r="I6" s="17">
        <f t="shared" si="2"/>
        <v>22830545.251694672</v>
      </c>
    </row>
    <row r="7" spans="1:9" ht="15.75" customHeight="1" x14ac:dyDescent="0.25">
      <c r="A7" s="5">
        <f t="shared" si="3"/>
        <v>2029</v>
      </c>
      <c r="B7" s="49">
        <v>1021729</v>
      </c>
      <c r="C7" s="50">
        <v>4211731.5</v>
      </c>
      <c r="D7" s="50">
        <v>5659707.5</v>
      </c>
      <c r="E7" s="50">
        <v>6610044.5</v>
      </c>
      <c r="F7" s="50">
        <v>7573639</v>
      </c>
      <c r="G7" s="17">
        <f t="shared" si="0"/>
        <v>24055122.5</v>
      </c>
      <c r="H7" s="17">
        <f t="shared" si="1"/>
        <v>1171684.7607272908</v>
      </c>
      <c r="I7" s="17">
        <f t="shared" si="2"/>
        <v>22883437.73927271</v>
      </c>
    </row>
    <row r="8" spans="1:9" ht="15.75" customHeight="1" x14ac:dyDescent="0.25">
      <c r="A8" s="5">
        <f t="shared" si="3"/>
        <v>2030</v>
      </c>
      <c r="B8" s="49">
        <v>1010375</v>
      </c>
      <c r="C8" s="50">
        <v>4318245.9999999991</v>
      </c>
      <c r="D8" s="50">
        <v>5764651</v>
      </c>
      <c r="E8" s="50">
        <v>6300809</v>
      </c>
      <c r="F8" s="50">
        <v>7676976</v>
      </c>
      <c r="G8" s="17">
        <f t="shared" si="0"/>
        <v>24060682</v>
      </c>
      <c r="H8" s="17">
        <f t="shared" si="1"/>
        <v>1158664.3719810599</v>
      </c>
      <c r="I8" s="17">
        <f t="shared" si="2"/>
        <v>22902017.628018942</v>
      </c>
    </row>
    <row r="9" spans="1:9" ht="15.75" customHeight="1" x14ac:dyDescent="0.25">
      <c r="A9" s="5">
        <f t="shared" si="3"/>
        <v>2031</v>
      </c>
      <c r="B9" s="49">
        <v>1003684</v>
      </c>
      <c r="C9" s="50">
        <v>4405445.5</v>
      </c>
      <c r="D9" s="50">
        <v>5888113.5</v>
      </c>
      <c r="E9" s="50">
        <v>6015194.5</v>
      </c>
      <c r="F9" s="50">
        <v>7718957.4999999991</v>
      </c>
      <c r="G9" s="17">
        <f t="shared" si="0"/>
        <v>24027711</v>
      </c>
      <c r="H9" s="17">
        <f t="shared" si="1"/>
        <v>1150991.3562067926</v>
      </c>
      <c r="I9" s="17">
        <f t="shared" si="2"/>
        <v>22876719.643793207</v>
      </c>
    </row>
    <row r="10" spans="1:9" ht="15.75" customHeight="1" x14ac:dyDescent="0.25">
      <c r="A10" s="5">
        <f t="shared" si="3"/>
        <v>2032</v>
      </c>
      <c r="B10" s="49">
        <v>998534</v>
      </c>
      <c r="C10" s="50">
        <v>4441876.4999999991</v>
      </c>
      <c r="D10" s="50">
        <v>6034837.5000000009</v>
      </c>
      <c r="E10" s="50">
        <v>5774921.5</v>
      </c>
      <c r="F10" s="50">
        <v>7709132.5</v>
      </c>
      <c r="G10" s="17">
        <f t="shared" si="0"/>
        <v>23960768</v>
      </c>
      <c r="H10" s="17">
        <f t="shared" si="1"/>
        <v>1145085.5078676092</v>
      </c>
      <c r="I10" s="17">
        <f t="shared" si="2"/>
        <v>22815682.492132392</v>
      </c>
    </row>
    <row r="11" spans="1:9" ht="15.75" customHeight="1" x14ac:dyDescent="0.25">
      <c r="A11" s="5">
        <f t="shared" si="3"/>
        <v>2033</v>
      </c>
      <c r="B11" s="49">
        <v>998529</v>
      </c>
      <c r="C11" s="50">
        <v>4386619.5</v>
      </c>
      <c r="D11" s="50">
        <v>6206395.5000000009</v>
      </c>
      <c r="E11" s="50">
        <v>5591437.5</v>
      </c>
      <c r="F11" s="50">
        <v>7628503</v>
      </c>
      <c r="G11" s="17">
        <f t="shared" si="0"/>
        <v>23812955.5</v>
      </c>
      <c r="H11" s="17">
        <f t="shared" si="1"/>
        <v>1145079.7740342703</v>
      </c>
      <c r="I11" s="17">
        <f t="shared" si="2"/>
        <v>22667875.725965731</v>
      </c>
    </row>
    <row r="12" spans="1:9" ht="15.75" customHeight="1" x14ac:dyDescent="0.25">
      <c r="A12" s="5">
        <f t="shared" si="3"/>
        <v>2034</v>
      </c>
      <c r="B12" s="49">
        <v>1002402</v>
      </c>
      <c r="C12" s="50">
        <v>4252813.5</v>
      </c>
      <c r="D12" s="50">
        <v>6392959</v>
      </c>
      <c r="E12" s="50">
        <v>5464674.5</v>
      </c>
      <c r="F12" s="50">
        <v>7453497</v>
      </c>
      <c r="G12" s="17">
        <f t="shared" si="0"/>
        <v>23563944</v>
      </c>
      <c r="H12" s="17">
        <f t="shared" si="1"/>
        <v>1149521.2013386698</v>
      </c>
      <c r="I12" s="17">
        <f t="shared" si="2"/>
        <v>22414422.798661329</v>
      </c>
    </row>
    <row r="13" spans="1:9" ht="15.75" customHeight="1" x14ac:dyDescent="0.25">
      <c r="A13" s="5">
        <f t="shared" si="3"/>
        <v>2035</v>
      </c>
      <c r="B13" s="49">
        <v>1005890</v>
      </c>
      <c r="C13" s="50">
        <v>4083372</v>
      </c>
      <c r="D13" s="50">
        <v>6576632</v>
      </c>
      <c r="E13" s="50">
        <v>5400268.5</v>
      </c>
      <c r="F13" s="50">
        <v>7208937</v>
      </c>
      <c r="G13" s="17">
        <f t="shared" si="0"/>
        <v>23269209.5</v>
      </c>
      <c r="H13" s="17">
        <f t="shared" si="1"/>
        <v>1153521.1234759651</v>
      </c>
      <c r="I13" s="17">
        <f t="shared" si="2"/>
        <v>22115688.376524035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KaJUvSmxV+So+NQwX5PbDsaouM4pQBrvei9psw5m9CragbPKF0EIKS/m7ZCCTo87eBw5iyB58XJJeLD8UvsCQ==" saltValue="bEae9iNa/AqfZ2huD4nQ+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1.738200173820019E-3</v>
      </c>
    </row>
    <row r="4" spans="1:8" ht="15.75" customHeight="1" x14ac:dyDescent="0.25">
      <c r="B4" s="19" t="s">
        <v>79</v>
      </c>
      <c r="C4" s="101">
        <v>5.6959305695930607E-2</v>
      </c>
    </row>
    <row r="5" spans="1:8" ht="15.75" customHeight="1" x14ac:dyDescent="0.25">
      <c r="B5" s="19" t="s">
        <v>80</v>
      </c>
      <c r="C5" s="101">
        <v>3.7975303797530502E-2</v>
      </c>
    </row>
    <row r="6" spans="1:8" ht="15.75" customHeight="1" x14ac:dyDescent="0.25">
      <c r="B6" s="19" t="s">
        <v>81</v>
      </c>
      <c r="C6" s="101">
        <v>0.1868385186838521</v>
      </c>
    </row>
    <row r="7" spans="1:8" ht="15.75" customHeight="1" x14ac:dyDescent="0.25">
      <c r="B7" s="19" t="s">
        <v>82</v>
      </c>
      <c r="C7" s="101">
        <v>0.44315674431567392</v>
      </c>
    </row>
    <row r="8" spans="1:8" ht="15.75" customHeight="1" x14ac:dyDescent="0.25">
      <c r="B8" s="19" t="s">
        <v>83</v>
      </c>
      <c r="C8" s="101">
        <v>4.4720004472000513E-4</v>
      </c>
    </row>
    <row r="9" spans="1:8" ht="15.75" customHeight="1" x14ac:dyDescent="0.25">
      <c r="B9" s="19" t="s">
        <v>84</v>
      </c>
      <c r="C9" s="101">
        <v>0.17596981759698199</v>
      </c>
    </row>
    <row r="10" spans="1:8" ht="15.75" customHeight="1" x14ac:dyDescent="0.25">
      <c r="B10" s="19" t="s">
        <v>85</v>
      </c>
      <c r="C10" s="101">
        <v>9.691490969149115E-2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88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89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90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91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92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93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94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95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4.7996967000000001E-2</v>
      </c>
    </row>
    <row r="27" spans="1:8" ht="15.75" customHeight="1" x14ac:dyDescent="0.25">
      <c r="B27" s="19" t="s">
        <v>102</v>
      </c>
      <c r="C27" s="101">
        <v>1.9231089E-2</v>
      </c>
    </row>
    <row r="28" spans="1:8" ht="15.75" customHeight="1" x14ac:dyDescent="0.25">
      <c r="B28" s="19" t="s">
        <v>103</v>
      </c>
      <c r="C28" s="101">
        <v>0.23147800700000001</v>
      </c>
    </row>
    <row r="29" spans="1:8" ht="15.75" customHeight="1" x14ac:dyDescent="0.25">
      <c r="B29" s="19" t="s">
        <v>104</v>
      </c>
      <c r="C29" s="101">
        <v>0.13894083700000001</v>
      </c>
    </row>
    <row r="30" spans="1:8" ht="15.75" customHeight="1" x14ac:dyDescent="0.25">
      <c r="B30" s="19" t="s">
        <v>2</v>
      </c>
      <c r="C30" s="101">
        <v>5.0303380000000002E-2</v>
      </c>
    </row>
    <row r="31" spans="1:8" ht="15.75" customHeight="1" x14ac:dyDescent="0.25">
      <c r="B31" s="19" t="s">
        <v>105</v>
      </c>
      <c r="C31" s="101">
        <v>7.028529E-2</v>
      </c>
    </row>
    <row r="32" spans="1:8" ht="15.75" customHeight="1" x14ac:dyDescent="0.25">
      <c r="B32" s="19" t="s">
        <v>106</v>
      </c>
      <c r="C32" s="101">
        <v>0.146633282</v>
      </c>
    </row>
    <row r="33" spans="2:3" ht="15.75" customHeight="1" x14ac:dyDescent="0.25">
      <c r="B33" s="19" t="s">
        <v>107</v>
      </c>
      <c r="C33" s="101">
        <v>0.12525921100000001</v>
      </c>
    </row>
    <row r="34" spans="2:3" ht="15.75" customHeight="1" x14ac:dyDescent="0.25">
      <c r="B34" s="19" t="s">
        <v>108</v>
      </c>
      <c r="C34" s="101">
        <v>0.169871936</v>
      </c>
    </row>
    <row r="35" spans="2:3" ht="15.75" customHeight="1" x14ac:dyDescent="0.25">
      <c r="B35" s="27" t="s">
        <v>41</v>
      </c>
      <c r="C35" s="48">
        <f>SUM(C26:C34)</f>
        <v>0.99999999900000014</v>
      </c>
    </row>
  </sheetData>
  <sheetProtection algorithmName="SHA-512" hashValue="kRpdlv07u7b/bL5IdTVHGhYEftEFBKfJlIE8oM01I7yELc3XG1m8kz5phAKYIzv0lMnSfwxIP+Y2BfSQNvJ1Kw==" saltValue="677i3mXCE8ZCJ7D1fApRM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zmVZnUzqGtvinxxzcm0dk1j0DHVlZ32yvPY5sUIHCnydBdeUOcIqELioHZ6kZaTZSO+xbBw/zRMpvLIbJhoMA==" saltValue="J1A20ixZLQTigJ8GQwSJ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132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dtt6I/Y+w5nWJLck1n7+fH4hzzMBj4TA2NIZHh5CGWrJh0/rShK+gCACaGjYLCSSdNbZtHXh5TBGqpWOUU14vw==" saltValue="FEDnuTIbAtw+zoIYtZUB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QsG5LfqfMpSU8EO8wYcSLiicgLUkt+ft6OHwkmDZ8WTvWcSS0kY+lCRUh5MK5vEiX8KlqkD5m2oPSpabFTFXA==" saltValue="DNLn5reUD/bVis5pu0Pk3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2dlWaepGnlQVgBd8Niy73ijPmfnO8qUYcctdAStwd8xDsmt8zilhYT+yu1SDsVQ4KhUNkxvE6+cTzuxWR/s/1w==" saltValue="Cq/tugWmZtarp1U7gEeR3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O2cd9QXOOCoMoHQLKt8DdI4RIk/Tq8p3pWJNvdGE9e2sGsZVrDWCr4TMeZeX0i84G1SbXwc439wWDBItE3dumQ==" saltValue="B4lPJ2+UMCJ5tBEMieOJ/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tOX/GyUEBb4lDq9XuH3EI2XgZjZ7DEFGqTuhCJ2GklkuAeHrGYOMAjHMSdAzVVIjkdH4GJlpzMjG9x/2xwGw3Q==" saltValue="7NGPl+gS0Wg47R+sEKSn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64.886871461123533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0.37414230687134797</v>
      </c>
      <c r="C3" s="98">
        <v>0.95</v>
      </c>
      <c r="D3" s="56">
        <v>40.033831858193757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521.91094080463984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1.700161432423168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0.44054339999999997</v>
      </c>
      <c r="C10" s="98">
        <v>0.95</v>
      </c>
      <c r="D10" s="56">
        <v>13.166131301989671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0.44054339999999997</v>
      </c>
      <c r="C11" s="98">
        <v>0.95</v>
      </c>
      <c r="D11" s="56">
        <v>13.166131301989671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0.44054339999999997</v>
      </c>
      <c r="C12" s="98">
        <v>0.95</v>
      </c>
      <c r="D12" s="56">
        <v>13.166131301989671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0.44054339999999997</v>
      </c>
      <c r="C13" s="98">
        <v>0.95</v>
      </c>
      <c r="D13" s="56">
        <v>13.166131301989671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0.44054339999999997</v>
      </c>
      <c r="C14" s="98">
        <v>0.95</v>
      </c>
      <c r="D14" s="56">
        <v>13.166131301989671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0.44054339999999997</v>
      </c>
      <c r="C15" s="98">
        <v>0.95</v>
      </c>
      <c r="D15" s="56">
        <v>13.166131301989671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0.83</v>
      </c>
      <c r="C16" s="98">
        <v>0.95</v>
      </c>
      <c r="D16" s="56">
        <v>0.87289710188501968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0.17784249999999999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0.26173522058646997</v>
      </c>
      <c r="C18" s="98">
        <v>0.95</v>
      </c>
      <c r="D18" s="56">
        <v>11.99955936520508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0.88156880000000004</v>
      </c>
      <c r="C19" s="98">
        <v>0.95</v>
      </c>
      <c r="D19" s="56">
        <v>11.99955936520508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0.22960410000000001</v>
      </c>
      <c r="C21" s="98">
        <v>0.95</v>
      </c>
      <c r="D21" s="56">
        <v>14.37005331994601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22.801258259937519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4.3755575735972823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0.76544640968043798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0.44054339999999997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18.728188384897141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0.63748328044507307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129.29915294669931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0.62</v>
      </c>
      <c r="C31" s="98">
        <v>0.95</v>
      </c>
      <c r="D31" s="56">
        <v>1.2142779657827909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1.8900764232524481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0.53925319999999999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0.36092259999999998</v>
      </c>
      <c r="C38" s="98">
        <v>0.95</v>
      </c>
      <c r="D38" s="56">
        <v>3.1240782385195991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9F1kFX74+3+TlOlUTb3tqhLgxef876mOOsJ0t8bXBaUV/Qwf/CI5c5HDThew9M80vlfojE6vq+1PDVVRdWbWgQ==" saltValue="6XXNt1KbL+52hN/5lb9B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NruGeX32Ivd3oPzBDr+nGJvuRbI5MFO26FrUKkiLo8yh7EiR/aAFZn4QdTOwdv0d8pEI7Pm46K3msgM3PEJ8w==" saltValue="AAj9seeEEoZjayeMGFZQ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6xp5Ib806TUpb4uaNmY9TqViYksz+EgY0sPrcRUCBcjNKXHPFDg0T4styFxRcC+yuhFIQ9X9hD6XwzPsFg/Qiw==" saltValue="95kqVLbQWMZXR3Nq8Jq+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P28eeDlr5/q7UbA2+mkISWQUnNwlO5AUUY7BqnTvAabYaxOkG9sEheAM37XvUg9mCJhyGM1odIuB/QBlI8RmPw==" saltValue="WDO6cLDuPQ0ngz7ZrOcsx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v/IY/4a8d4RRMXih9ExAHGmrbKrN1/wAU2vWm5x3tzeKnWl9sfzAThdzpLUfiKRPLlXtL2ofOYwtKoS/0UH/A==" saltValue="E4tHYn8Ppj17QcBnJ9R30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7AYYdqXpYeswBgbbQfPd2JXO9zLzkwqVBJFKpKxbSCc5SBZa9dNfRIYV43dlxx8RQN0dUyE+OhkTJJUkOHDkpg==" saltValue="vA5oFcMbhdxaARrkAtRiW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9LIP3y1HoknC62qbtxpDAmZlw4fsKJf5bbJlZzzf6767CA8ITr3GXEI1C+bLofO1uEsTEnInLVrmTocdo8yng==" saltValue="PsSpwTAG3Ntjy6AviB9b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TsNk1tnxuwV1e+tQqy2nbyLZXB8Mf6emVRcWrqamDeFoxFQQyj4hvGhFQ/MAO4Xs0MxwbkdFLyoQGbWMqQ8Mg==" saltValue="VR6hRlHQ50QjeYRvDxOu9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VFWhfFC6qzAOYjwvFOE5sA+VOf17hJ5rt6lE1NXAKgjra7sCry7i32j+a/PPP/Q38tpPehqgc0L8BkO3F3gKQ==" saltValue="kcyXF4VqPrDdmN35G73Vr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ZE1X37JfhZEKJLB1uPkq/GrZIof6r6N4e8nmR1jhazOKRHsbHZ/Ka3AxkoSCV0lxtBJpwrb/rMnzy62xy8WdQ==" saltValue="w3HGfhyAC5zLPinrmkwgi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GSxm25Yau5DOzRe4PefanetxKiXu69CZt8JLIWK8HaiON4VbfeM0APEx1Qf+cPvILu1BC/w06jDBHYpUTmxTag==" saltValue="hXLy4ZLrr5B4kIkhsFgQq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5NJq8DJBkwEqw8l3dpHddoTHCKjaK8LGC6fUB/SQXUGxeak9RcGS+91EWMw1ldA6rZZOH7DxZkX7khqE9mOrg==" saltValue="/Xa5PeV7KGXsg3LR6ZQh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TAEnp6PILzKaR96VH869IRZNJTrp02gW5UJksDaKxn56QTMvHA1jmNdnZgT/zsbaqKUy5I7X34C0QhGzU/6yQ==" saltValue="Fz+oEgoSp6Fqw+5BPqd9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tjBz6so2ULsEGbVRtQxpm7JQkEI7HxnhapCo/Kld/cK8p/ZPeybxH/rSJGpOc3YsXK4aBBDumw3KNf7SMlz6A==" saltValue="FnzHYCcywqb1UJGrebOu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MJJg3iFFy/L/yIlrL+TgvXkequ3ne7/0EZ8wQNLJKTUhTCwOpngua67saYTrUpopi5NLefj1a4zm3RAx/XXDw==" saltValue="Pm8KnE0HRd91s0JjuUjy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+qazglYWw6QZAZehZ81Xx8fvdtSUGW+/RDB+WVuJwVtrFD5UmSQa3AslXEA9VNhgFVq+MSEAmboj4K6i+lqfw==" saltValue="dMt6ngvrk+9aPQ9VPJfs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ULd4jLMUv5+53bb2r3Y+HOQqSC7Zs0d0zU2uRTQK/+82O0f4MWJjNGp3akJGLj1MiAcah2xTxK3HuGyJAK7Bg==" saltValue="rudPbGiPvPViprB1dAkw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9Z/o+iUrTTj6Ol8pBz7D9zWuzYWGRcMsikJkNxQCy637cYl4MVdZhJc0oaL7P1m/xwkXGdo79oWMT6WHickpvw==" saltValue="Lj9LRNvFbd9QsUJ/9sbU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QXomk2WwqXw/2enRB3KCci17ArWbite7Zfme/MxCBKFMAP/GSwYoq9HTqL0FVCvrMYNIhZklPu2roUICzDOlA==" saltValue="k6YLt7tPrRMOt78fHoIpA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2024-05-17T00:30:54Z</dcterms:modified>
</cp:coreProperties>
</file>