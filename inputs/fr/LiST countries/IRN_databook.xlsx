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79F343A1-85C7-4C51-86D1-EC9DC82FDA5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4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40" i="2" l="1"/>
  <c r="A24" i="2"/>
  <c r="A25" i="2"/>
  <c r="I6" i="2"/>
  <c r="A35" i="2"/>
  <c r="A36" i="2"/>
  <c r="I2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<sst xmlns="http://schemas.openxmlformats.org/spreadsheetml/2006/main" count="2169" uniqueCount="369">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</sst>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6014437.5</v>
      </c>
    </row>
    <row r="8" spans="1:3" ht="15" customHeight="1" x14ac:dyDescent="0.25">
      <c r="B8" s="5" t="s">
        <v>37</v>
      </c>
      <c r="C8" s="44">
        <v>4.5999999999999999E-2</v>
      </c>
    </row>
    <row r="9" spans="1:3" ht="15" customHeight="1" x14ac:dyDescent="0.25">
      <c r="B9" s="5" t="s">
        <v>38</v>
      </c>
      <c r="C9" s="45">
        <v>0.10879999999999999</v>
      </c>
    </row>
    <row r="10" spans="1:3" ht="15" customHeight="1" x14ac:dyDescent="0.25">
      <c r="B10" s="5" t="s">
        <v>39</v>
      </c>
      <c r="C10" s="45">
        <v>0.85338409423828099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7.8600000000000003E-2</v>
      </c>
    </row>
    <row r="24" spans="1:3" ht="15" customHeight="1" x14ac:dyDescent="0.25">
      <c r="B24" s="15" t="s">
        <v>51</v>
      </c>
      <c r="C24" s="45">
        <v>0.51929999999999998</v>
      </c>
    </row>
    <row r="25" spans="1:3" ht="15" customHeight="1" x14ac:dyDescent="0.25">
      <c r="B25" s="15" t="s">
        <v>52</v>
      </c>
      <c r="C25" s="45">
        <v>0.37880000000000003</v>
      </c>
    </row>
    <row r="26" spans="1:3" ht="15" customHeight="1" x14ac:dyDescent="0.25">
      <c r="B26" s="15" t="s">
        <v>53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11.326549999999999</v>
      </c>
    </row>
    <row r="38" spans="1:5" ht="15" customHeight="1" x14ac:dyDescent="0.25">
      <c r="B38" s="11" t="s">
        <v>63</v>
      </c>
      <c r="C38" s="43">
        <v>18.882359999999998</v>
      </c>
      <c r="D38" s="12"/>
      <c r="E38" s="13"/>
    </row>
    <row r="39" spans="1:5" ht="15" customHeight="1" x14ac:dyDescent="0.25">
      <c r="B39" s="11" t="s">
        <v>64</v>
      </c>
      <c r="C39" s="43">
        <v>22.173410000000001</v>
      </c>
      <c r="D39" s="12"/>
      <c r="E39" s="12"/>
    </row>
    <row r="40" spans="1:5" ht="15" customHeight="1" x14ac:dyDescent="0.25">
      <c r="B40" s="11" t="s">
        <v>65</v>
      </c>
      <c r="C40" s="98">
        <v>1.73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71</v>
      </c>
      <c r="C47" s="45">
        <v>7.5150599999999998E-2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0.58243899999999993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wCNhG/nXpBqJrY5K0mHlkx1aDRh3NRbPqFmvM6IbaoM3HO9zzxWkgoe9JgbopMtvxZkwIo/tjb1CpQ/XU1cwA==" saltValue="8giaZp/quG74Wuz9NPML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1151057</v>
      </c>
      <c r="C2" s="49">
        <v>3094209</v>
      </c>
      <c r="D2" s="49">
        <v>5875824.5</v>
      </c>
      <c r="E2" s="49">
        <v>8380318.5000000009</v>
      </c>
      <c r="F2" s="49">
        <v>7200214.5</v>
      </c>
      <c r="G2" s="17">
        <f t="shared" ref="G2:G13" si="0">C2+D2+E2+F2</f>
        <v>24550566.5</v>
      </c>
      <c r="H2" s="17">
        <f t="shared" ref="H2:H13" si="1">(B2 + stillbirth*B2/(1000-stillbirth))/(1-abortion)</f>
        <v>1319993.8003408664</v>
      </c>
      <c r="I2" s="17">
        <f t="shared" ref="I2:I13" si="2">G2-H2</f>
        <v>23230572.699659135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1125230</v>
      </c>
      <c r="C3" s="50">
        <v>3162418</v>
      </c>
      <c r="D3" s="50">
        <v>5830532.4999999991</v>
      </c>
      <c r="E3" s="50">
        <v>8127248</v>
      </c>
      <c r="F3" s="50">
        <v>7553258.5</v>
      </c>
      <c r="G3" s="17">
        <f t="shared" si="0"/>
        <v>24673457</v>
      </c>
      <c r="H3" s="17">
        <f t="shared" si="1"/>
        <v>1290376.2576115283</v>
      </c>
      <c r="I3" s="17">
        <f t="shared" si="2"/>
        <v>23383080.742388472</v>
      </c>
    </row>
    <row r="4" spans="1:9" ht="15.75" customHeight="1" x14ac:dyDescent="0.25">
      <c r="A4" s="5">
        <f t="shared" si="3"/>
        <v>2026</v>
      </c>
      <c r="B4" s="49">
        <v>1101751</v>
      </c>
      <c r="C4" s="50">
        <v>3221955</v>
      </c>
      <c r="D4" s="50">
        <v>5823510.5</v>
      </c>
      <c r="E4" s="50">
        <v>7833019.5</v>
      </c>
      <c r="F4" s="50">
        <v>7879219.4999999991</v>
      </c>
      <c r="G4" s="17">
        <f t="shared" si="0"/>
        <v>24757704.5</v>
      </c>
      <c r="H4" s="17">
        <f t="shared" si="1"/>
        <v>1263451.3230181909</v>
      </c>
      <c r="I4" s="17">
        <f t="shared" si="2"/>
        <v>23494253.17698181</v>
      </c>
    </row>
    <row r="5" spans="1:9" ht="15.75" customHeight="1" x14ac:dyDescent="0.25">
      <c r="A5" s="5">
        <f t="shared" si="3"/>
        <v>2027</v>
      </c>
      <c r="B5" s="49">
        <v>1082259</v>
      </c>
      <c r="C5" s="50">
        <v>3281528</v>
      </c>
      <c r="D5" s="50">
        <v>5842965</v>
      </c>
      <c r="E5" s="50">
        <v>7536132</v>
      </c>
      <c r="F5" s="50">
        <v>8156710</v>
      </c>
      <c r="G5" s="17">
        <f t="shared" si="0"/>
        <v>24817335</v>
      </c>
      <c r="H5" s="17">
        <f t="shared" si="1"/>
        <v>1241098.5471293824</v>
      </c>
      <c r="I5" s="17">
        <f t="shared" si="2"/>
        <v>23576236.452870619</v>
      </c>
    </row>
    <row r="6" spans="1:9" ht="15.75" customHeight="1" x14ac:dyDescent="0.25">
      <c r="A6" s="5">
        <f t="shared" si="3"/>
        <v>2028</v>
      </c>
      <c r="B6" s="49">
        <v>1064974</v>
      </c>
      <c r="C6" s="50">
        <v>3350313</v>
      </c>
      <c r="D6" s="50">
        <v>5878416.9999999991</v>
      </c>
      <c r="E6" s="50">
        <v>7250938.5</v>
      </c>
      <c r="F6" s="50">
        <v>8377903</v>
      </c>
      <c r="G6" s="17">
        <f t="shared" si="0"/>
        <v>24857571.5</v>
      </c>
      <c r="H6" s="17">
        <f t="shared" si="1"/>
        <v>1221276.6852764145</v>
      </c>
      <c r="I6" s="17">
        <f t="shared" si="2"/>
        <v>23636294.814723585</v>
      </c>
    </row>
    <row r="7" spans="1:9" ht="15.75" customHeight="1" x14ac:dyDescent="0.25">
      <c r="A7" s="5">
        <f t="shared" si="3"/>
        <v>2029</v>
      </c>
      <c r="B7" s="49">
        <v>1050538</v>
      </c>
      <c r="C7" s="50">
        <v>3430044</v>
      </c>
      <c r="D7" s="50">
        <v>5927809.4999999991</v>
      </c>
      <c r="E7" s="50">
        <v>6960471.5</v>
      </c>
      <c r="F7" s="50">
        <v>8550985.4999999981</v>
      </c>
      <c r="G7" s="17">
        <f t="shared" si="0"/>
        <v>24869310.5</v>
      </c>
      <c r="H7" s="17">
        <f t="shared" si="1"/>
        <v>1204721.9616600161</v>
      </c>
      <c r="I7" s="17">
        <f t="shared" si="2"/>
        <v>23664588.538339984</v>
      </c>
    </row>
    <row r="8" spans="1:9" ht="15.75" customHeight="1" x14ac:dyDescent="0.25">
      <c r="A8" s="5">
        <f t="shared" si="3"/>
        <v>2030</v>
      </c>
      <c r="B8" s="49">
        <v>1037833.0000000001</v>
      </c>
      <c r="C8" s="50">
        <v>3517452</v>
      </c>
      <c r="D8" s="50">
        <v>5993693</v>
      </c>
      <c r="E8" s="50">
        <v>6675670</v>
      </c>
      <c r="F8" s="50">
        <v>8661758.5</v>
      </c>
      <c r="G8" s="17">
        <f t="shared" si="0"/>
        <v>24848573.5</v>
      </c>
      <c r="H8" s="17">
        <f t="shared" si="1"/>
        <v>1190152.2911455841</v>
      </c>
      <c r="I8" s="17">
        <f t="shared" si="2"/>
        <v>23658421.208854415</v>
      </c>
    </row>
    <row r="9" spans="1:9" ht="15.75" customHeight="1" x14ac:dyDescent="0.25">
      <c r="A9" s="5">
        <f t="shared" si="3"/>
        <v>2031</v>
      </c>
      <c r="B9" s="49">
        <v>1029391.0000000001</v>
      </c>
      <c r="C9" s="50">
        <v>3603948</v>
      </c>
      <c r="D9" s="50">
        <v>6075092.5000000009</v>
      </c>
      <c r="E9" s="50">
        <v>6412426.5</v>
      </c>
      <c r="F9" s="50">
        <v>8696412</v>
      </c>
      <c r="G9" s="17">
        <f t="shared" si="0"/>
        <v>24787879</v>
      </c>
      <c r="H9" s="17">
        <f t="shared" si="1"/>
        <v>1180471.2869359944</v>
      </c>
      <c r="I9" s="17">
        <f t="shared" si="2"/>
        <v>23607407.713064007</v>
      </c>
    </row>
    <row r="10" spans="1:9" ht="15.75" customHeight="1" x14ac:dyDescent="0.25">
      <c r="A10" s="5">
        <f t="shared" si="3"/>
        <v>2032</v>
      </c>
      <c r="B10" s="49">
        <v>1024789</v>
      </c>
      <c r="C10" s="50">
        <v>3668356</v>
      </c>
      <c r="D10" s="50">
        <v>6173891</v>
      </c>
      <c r="E10" s="50">
        <v>6192581.5</v>
      </c>
      <c r="F10" s="50">
        <v>8660701.5</v>
      </c>
      <c r="G10" s="17">
        <f t="shared" si="0"/>
        <v>24695530</v>
      </c>
      <c r="H10" s="17">
        <f t="shared" si="1"/>
        <v>1175193.8667307668</v>
      </c>
      <c r="I10" s="17">
        <f t="shared" si="2"/>
        <v>23520336.133269232</v>
      </c>
    </row>
    <row r="11" spans="1:9" ht="15.75" customHeight="1" x14ac:dyDescent="0.25">
      <c r="A11" s="5">
        <f t="shared" si="3"/>
        <v>2033</v>
      </c>
      <c r="B11" s="49">
        <v>1024685.9999999999</v>
      </c>
      <c r="C11" s="50">
        <v>3678753</v>
      </c>
      <c r="D11" s="50">
        <v>6293610.5000000009</v>
      </c>
      <c r="E11" s="50">
        <v>6024056.0000000009</v>
      </c>
      <c r="F11" s="50">
        <v>8549800.5</v>
      </c>
      <c r="G11" s="17">
        <f t="shared" si="0"/>
        <v>24546220</v>
      </c>
      <c r="H11" s="17">
        <f t="shared" si="1"/>
        <v>1175075.7497639828</v>
      </c>
      <c r="I11" s="17">
        <f t="shared" si="2"/>
        <v>23371144.250236016</v>
      </c>
    </row>
    <row r="12" spans="1:9" ht="15.75" customHeight="1" x14ac:dyDescent="0.25">
      <c r="A12" s="5">
        <f t="shared" si="3"/>
        <v>2034</v>
      </c>
      <c r="B12" s="49">
        <v>1027925.9999999999</v>
      </c>
      <c r="C12" s="50">
        <v>3610970</v>
      </c>
      <c r="D12" s="50">
        <v>6432133.5</v>
      </c>
      <c r="E12" s="50">
        <v>5899367</v>
      </c>
      <c r="F12" s="50">
        <v>8350636</v>
      </c>
      <c r="G12" s="17">
        <f t="shared" si="0"/>
        <v>24293106.5</v>
      </c>
      <c r="H12" s="17">
        <f t="shared" si="1"/>
        <v>1178791.2737676634</v>
      </c>
      <c r="I12" s="17">
        <f t="shared" si="2"/>
        <v>23114315.226232335</v>
      </c>
    </row>
    <row r="13" spans="1:9" ht="15.75" customHeight="1" x14ac:dyDescent="0.25">
      <c r="A13" s="5">
        <f t="shared" si="3"/>
        <v>2035</v>
      </c>
      <c r="B13" s="49">
        <v>1031654</v>
      </c>
      <c r="C13" s="50">
        <v>3476854</v>
      </c>
      <c r="D13" s="50">
        <v>6577999</v>
      </c>
      <c r="E13" s="50">
        <v>5825202</v>
      </c>
      <c r="F13" s="50">
        <v>8085290.4999999991</v>
      </c>
      <c r="G13" s="17">
        <f t="shared" si="0"/>
        <v>23965345.5</v>
      </c>
      <c r="H13" s="17">
        <f t="shared" si="1"/>
        <v>1183066.4199052316</v>
      </c>
      <c r="I13" s="17">
        <f t="shared" si="2"/>
        <v>22782279.08009477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OuGuQE92aavmCRq72u2bMY0R5crbbmLUdi7KHIJHLkpGMDMH3OdO+jzKbwA/G3vJW1JcYQX3QMkW8GZ+Y5ZSQ==" saltValue="YAGW92CFR6bXxvguvxtF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1.738200173820019E-3</v>
      </c>
    </row>
    <row r="4" spans="1:8" ht="15.75" customHeight="1" x14ac:dyDescent="0.25">
      <c r="B4" s="19" t="s">
        <v>97</v>
      </c>
      <c r="C4" s="99">
        <v>5.6959305695930607E-2</v>
      </c>
    </row>
    <row r="5" spans="1:8" ht="15.75" customHeight="1" x14ac:dyDescent="0.25">
      <c r="B5" s="19" t="s">
        <v>98</v>
      </c>
      <c r="C5" s="99">
        <v>3.7975303797530502E-2</v>
      </c>
    </row>
    <row r="6" spans="1:8" ht="15.75" customHeight="1" x14ac:dyDescent="0.25">
      <c r="B6" s="19" t="s">
        <v>99</v>
      </c>
      <c r="C6" s="99">
        <v>0.1868385186838521</v>
      </c>
    </row>
    <row r="7" spans="1:8" ht="15.75" customHeight="1" x14ac:dyDescent="0.25">
      <c r="B7" s="19" t="s">
        <v>100</v>
      </c>
      <c r="C7" s="99">
        <v>0.44315674431567392</v>
      </c>
    </row>
    <row r="8" spans="1:8" ht="15.75" customHeight="1" x14ac:dyDescent="0.25">
      <c r="B8" s="19" t="s">
        <v>101</v>
      </c>
      <c r="C8" s="99">
        <v>4.4720004472000513E-4</v>
      </c>
    </row>
    <row r="9" spans="1:8" ht="15.75" customHeight="1" x14ac:dyDescent="0.25">
      <c r="B9" s="19" t="s">
        <v>102</v>
      </c>
      <c r="C9" s="99">
        <v>0.17596981759698199</v>
      </c>
    </row>
    <row r="10" spans="1:8" ht="15.75" customHeight="1" x14ac:dyDescent="0.25">
      <c r="B10" s="19" t="s">
        <v>103</v>
      </c>
      <c r="C10" s="99">
        <v>9.691490969149115E-2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106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107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108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109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110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111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112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113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4.7996967000000001E-2</v>
      </c>
    </row>
    <row r="27" spans="1:8" ht="15.75" customHeight="1" x14ac:dyDescent="0.25">
      <c r="B27" s="19" t="s">
        <v>120</v>
      </c>
      <c r="C27" s="99">
        <v>1.9231089E-2</v>
      </c>
    </row>
    <row r="28" spans="1:8" ht="15.75" customHeight="1" x14ac:dyDescent="0.25">
      <c r="B28" s="19" t="s">
        <v>121</v>
      </c>
      <c r="C28" s="99">
        <v>0.23147800700000001</v>
      </c>
    </row>
    <row r="29" spans="1:8" ht="15.75" customHeight="1" x14ac:dyDescent="0.25">
      <c r="B29" s="19" t="s">
        <v>122</v>
      </c>
      <c r="C29" s="99">
        <v>0.13894083700000001</v>
      </c>
    </row>
    <row r="30" spans="1:8" ht="15.75" customHeight="1" x14ac:dyDescent="0.25">
      <c r="B30" s="19" t="s">
        <v>2</v>
      </c>
      <c r="C30" s="99">
        <v>5.0303380000000002E-2</v>
      </c>
    </row>
    <row r="31" spans="1:8" ht="15.75" customHeight="1" x14ac:dyDescent="0.25">
      <c r="B31" s="19" t="s">
        <v>123</v>
      </c>
      <c r="C31" s="99">
        <v>7.028529E-2</v>
      </c>
    </row>
    <row r="32" spans="1:8" ht="15.75" customHeight="1" x14ac:dyDescent="0.25">
      <c r="B32" s="19" t="s">
        <v>124</v>
      </c>
      <c r="C32" s="99">
        <v>0.146633282</v>
      </c>
    </row>
    <row r="33" spans="2:3" ht="15.75" customHeight="1" x14ac:dyDescent="0.25">
      <c r="B33" s="19" t="s">
        <v>125</v>
      </c>
      <c r="C33" s="99">
        <v>0.12525921100000001</v>
      </c>
    </row>
    <row r="34" spans="2:3" ht="15.75" customHeight="1" x14ac:dyDescent="0.25">
      <c r="B34" s="19" t="s">
        <v>126</v>
      </c>
      <c r="C34" s="99">
        <v>0.169871936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jeA541d6VVRip+r6v1skZGDVXDwsdZ0aKq98LylkDA9SiXdd6PLf532kAKM0rwK3TpgeLlPGUtaVXjW2YBgjlw==" saltValue="RWj7nz3Nsy+Is9PZG382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aMd311vQHl7vLbranCNMqMGr6VmwjpMSnWYOG/ZWghIAFIMi3MK8J1dZaVpjxADORqcJDDeNK8K4WuZu74U+w==" saltValue="39QCmm2plL3msq0KdK28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n9b+WLVfRCUI3kTS4wgHhk2Aj6Do2UAAeZZ0YQS870+atkr2aynX9E8rnDeXbuYpBzNlHb6tMDVirE7p6i+5nQ==" saltValue="P5mb2KiW0YWANvYYpYtG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jLqVDDVqarqLsyFqGNmrDUpf8dC247dwakaE5vYIgWLKe2EluXW8u+XnSF7SUPClpWBVSDFvbIq76y1GxbKgA==" saltValue="qV8YkLrdeub2M5PX2xyg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4669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0.38788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0.15129999999999999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1.5052873196285859E-2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98668.89387</v>
      </c>
      <c r="C22" s="107">
        <v>98501.690709999995</v>
      </c>
      <c r="D22" s="107">
        <v>98328.364010000005</v>
      </c>
      <c r="E22" s="107">
        <v>97954.932090000002</v>
      </c>
      <c r="F22" s="107">
        <v>97493.932499999995</v>
      </c>
      <c r="G22" s="107">
        <v>97040.636689999999</v>
      </c>
      <c r="H22" s="107">
        <v>96551.853510000001</v>
      </c>
      <c r="I22" s="107">
        <v>95970.760250000007</v>
      </c>
      <c r="J22" s="107">
        <v>95198.041230000003</v>
      </c>
      <c r="K22" s="107">
        <v>94090.887640000001</v>
      </c>
      <c r="L22" s="107">
        <v>92323.800889999999</v>
      </c>
      <c r="M22" s="107">
        <v>89514.430829999998</v>
      </c>
      <c r="N22" s="107">
        <v>85122.851819999996</v>
      </c>
      <c r="O22" s="107">
        <v>78672.053169999999</v>
      </c>
    </row>
  </sheetData>
  <sheetProtection algorithmName="SHA-512" hashValue="Wp4lgU3bf1bh+qZxcGTMwF7DqSEteFpRa3M1wng5XvyZqnYmegXmsCdbTJrRBvq1D6ZVlKqrUqIow98eV3L/ww==" saltValue="Z6N0LIjf/6FrZEucNAfk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v/n0p7aUnzIiL7LvrPnde++fW8wQdNYqfMXqSObGIzPhq97F70DI6plK2RuL+YPndfHjmlp1meK65beFOcf2w==" saltValue="6CyjSIBZyl0DquC72Prm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+0KdUj6L/uonT1P3x62xB+1KUIsX+6kbUiPX6PLme71wz6xHawYsmIUr5z3bmKRwEpzj+I20iKrdYp8FIkhtKw==" saltValue="vLhzzt87LWYzmNmmttIZ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0.44054339999999997</v>
      </c>
      <c r="C10" s="96">
        <v>0.95</v>
      </c>
      <c r="D10" s="56">
        <v>13.166131301989671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13.166131301989671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13.166131301989671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13.166131301989671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0.44054339999999997</v>
      </c>
      <c r="C14" s="96">
        <v>0.95</v>
      </c>
      <c r="D14" s="56">
        <v>13.166131301989671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13.166131301989671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1.73413E-2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0.17784249999999999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0.4996447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0.4996447</v>
      </c>
      <c r="C19" s="96">
        <v>0.95</v>
      </c>
      <c r="D19" s="56">
        <v>11.99955936520508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2.2612899999999998E-2</v>
      </c>
      <c r="C23" s="96">
        <v>0.95</v>
      </c>
      <c r="D23" s="56">
        <v>4.3755575735972823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0.61685007638513001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0.44054339999999997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0.36092259999999998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0.53925319999999999</v>
      </c>
      <c r="C29" s="96">
        <v>0.95</v>
      </c>
      <c r="D29" s="56">
        <v>129.29915294669931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0.7898522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0.45606069999999999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1.5928999999999999E-2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0.22960410000000001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ZHZStZ5iELwGbM0FVnyLO5u7yoNRttarlPDf1f7lUzh3cOn4dXz/7u+exzi1Ndn0m96fE07gD5G1zRJnDYlwxA==" saltValue="Pxq+tZQQShUAEeS0gcfU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ghTYZmEwbe59zF6UXLBa5hcp3LJooK+K6zdqXTn0W7crbF6riEW839s484GJFVfrsDXP7CVmtQ5EWaQm0XzQw==" saltValue="vLCqc9RBJsjqs3z6ia31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cX/Qnxo/Ied8s9Snsixwn7DGaVx13tsyMuN6ByeJAAURxdgVgrfpbreyFSzu/a03qCRpggGXDs6sstb1N17+A==" saltValue="q/lp0bOq7u1GmZivxsOq4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3TAT5xrWsGkOS0J+8fgLODVbINc1susFQAFNwYHV9T1XbchefYV5frD/L1JHe25UcvDV36hCXPEhMioEOCSBsQ==" saltValue="mYE8SfpfWt+MExZ5b6F1o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4.5999999999999999E-2</v>
      </c>
      <c r="F2" s="60">
        <f>food_insecure</f>
        <v>4.5999999999999999E-2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4.5999999999999999E-2</v>
      </c>
      <c r="I15" s="60">
        <f t="shared" si="0"/>
        <v>4.5999999999999999E-2</v>
      </c>
      <c r="J15" s="60">
        <f t="shared" si="0"/>
        <v>4.5999999999999999E-2</v>
      </c>
      <c r="K15" s="60">
        <f t="shared" si="0"/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4.5999999999999999E-2</v>
      </c>
      <c r="I16" s="60">
        <f t="shared" si="0"/>
        <v>4.5999999999999999E-2</v>
      </c>
      <c r="J16" s="60">
        <f t="shared" si="0"/>
        <v>4.5999999999999999E-2</v>
      </c>
      <c r="K16" s="60">
        <f t="shared" si="0"/>
        <v>4.5999999999999999E-2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vTBtxdQ0/Ic/6joOhsmJTCSh8r12DVsyQeOsEftQr5dUXYKasqL49iGCe4mCElXNWAzM6mGRbrX1Gg7ahZnSA==" saltValue="I4vweF2b8fPnlYI49mY30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Lf1W2MLz490TUZ5ux6axnN4P1khuxfNtF120YzWQaKOY9L3Ie17x7T5o5VReLSV8tdMfN3kd6etbQZYtfdEVw==" saltValue="16DY/ckwbjMPw3HaNbyW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1fPb4dfi5k1XduSC0BRZtUaOE2itrYkihD9O/0NQeueD5Y8Y6mkoGj7gtayqRj7DA0yqBpF0H+3MxqrtUPtbg==" saltValue="XZwd/rlEAm8TFJe3LtB4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Mj/PS6axuRIkh+xcf1npbLY2WSkm+zkQi5Hzyk4bOXX55+dzfzEug0qK6B2ktbnYeaJ8Q5Bs+no9zX3gzBX8A==" saltValue="C5YyZKUYptncUAFExYzE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u3Ikh8avcLZ+6ndE/fsYEGAM5GWMF7zstqXQv+LISWGAHRrm8OHb8e1p18qYVeRzP83MV4C2emm55B/8yn/EoA==" saltValue="yV7Ib/FM5+uSeJVZ8mFyk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q+OSarVBT+sGg6/AiquIH8Gm8TOjTzPJ3i29gFHf4Q/3QpW8+AU6E85Bl+gxvYvflMQQXpjeC3MiBQeXTBnz2w==" saltValue="c6V2PQtfnPz9dXMiEdTb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NseXEIxun3TsQyHy9OZgoU4ZG7uiUkGuQr4U9TKojd8wscryNm6MOr5xORbxFt5Mk5iyDrs1XzywH/qfvQL7Q==" saltValue="irOP0xs7UKe6LcPHPv+uZ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hQRTEzNMD00JcNhsg5qn9jO6KDWKcqfNYXAxbwlOTzIA9gMV1ivDmUuVCu0U39a7aa+p+xOv5351vaPKd56Xg==" saltValue="x4qbRiblmA2OjXt5YeLR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9StqufXYE/WgrkihAGzFfaKoI7mXmarzEEyRM9OK81yuGXraIx08A+xkoluuWtyjZCIX5rOFnwVYcgc8DUHyw==" saltValue="AK7EkN7ahgVLNa5z9AcE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AmWKs9QrS8X/KOs2nsEDpOP2v99OD9Y1nuExlj3ooAGalQOVwn+hi4CuQlZJs0/WEgqqK3wpY+MLB/fOoJvoQ==" saltValue="ZzX7UDQ1jsX3KGdBR6FM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7lqvsLss+hTSThZ+xG1yVWGph3hyoS9MbpJrrTBaRQ8J5fy9XSIb4eJHlvEGKqp4otpt2m31Gk04kI0Xyf7Bw==" saltValue="KXR5M41ACkMw4jwvnYFs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SFJZfCVdYst6/TYgcxhwSXv4BblbIwEg3xxEBpvzMyiMiCLr3NlVU0GDgI8tC7TYcymlqSzDcgR5Dmj18DnDA==" saltValue="m7aY4KB0h88y4+F3VXVj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H++jYrjpGtrPFt5t28ZzzhYzZJ9Tj3uyHVl0mTiaO/hIfDFOvbExA1exrUoM/4R4xOL89/qvKciksPPduaR6Q==" saltValue="SC17IOHaqD2m5nDFuwEw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bMWW+yqCqoXX2EZRmyN9Cxnv3IkHD5leq0ySmDh9W99OmsgyutELZa8Yrr5u0fowyPBtd/cuIgw0Z+W0B8PzA==" saltValue="YP4S/rgL2f6pGDSXm4B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mfwUZ3iJua6bBikaGEYIW+yxcXkcF5qYUjXgC07L/lYL0V0J32ip3WAJIR71YIi09ZedZ2vmBRnGm+kvuKmwg==" saltValue="mJswmdiwhELy1w2iQz5yy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