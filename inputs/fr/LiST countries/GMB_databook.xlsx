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365252F6-A30C-40AA-9432-4B3F8107A4EA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<sst xmlns="http://schemas.openxmlformats.org/spreadsheetml/2006/main" count="2102" uniqueCount="337">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</sst>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309928.00390625</v>
      </c>
    </row>
    <row r="8" spans="1:3" ht="15" customHeight="1" x14ac:dyDescent="0.25">
      <c r="B8" s="5" t="s">
        <v>19</v>
      </c>
      <c r="C8" s="44">
        <v>3.4000000000000002E-2</v>
      </c>
    </row>
    <row r="9" spans="1:3" ht="15" customHeight="1" x14ac:dyDescent="0.25">
      <c r="B9" s="5" t="s">
        <v>20</v>
      </c>
      <c r="C9" s="45">
        <v>0.96</v>
      </c>
    </row>
    <row r="10" spans="1:3" ht="15" customHeight="1" x14ac:dyDescent="0.25">
      <c r="B10" s="5" t="s">
        <v>21</v>
      </c>
      <c r="C10" s="45">
        <v>0.32603321079999997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0.7609999999999999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7.5999999999999998E-2</v>
      </c>
    </row>
    <row r="24" spans="1:3" ht="15" customHeight="1" x14ac:dyDescent="0.25">
      <c r="B24" s="15" t="s">
        <v>33</v>
      </c>
      <c r="C24" s="45">
        <v>0.42870000000000003</v>
      </c>
    </row>
    <row r="25" spans="1:3" ht="15" customHeight="1" x14ac:dyDescent="0.25">
      <c r="B25" s="15" t="s">
        <v>34</v>
      </c>
      <c r="C25" s="45">
        <v>0.38779999999999998</v>
      </c>
    </row>
    <row r="26" spans="1:3" ht="15" customHeight="1" x14ac:dyDescent="0.25">
      <c r="B26" s="15" t="s">
        <v>35</v>
      </c>
      <c r="C26" s="45">
        <v>0.1075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0.267409234355309</v>
      </c>
    </row>
    <row r="30" spans="1:3" ht="14.25" customHeight="1" x14ac:dyDescent="0.25">
      <c r="B30" s="25" t="s">
        <v>38</v>
      </c>
      <c r="C30" s="99">
        <v>6.2316367797226199E-2</v>
      </c>
    </row>
    <row r="31" spans="1:3" ht="14.25" customHeight="1" x14ac:dyDescent="0.25">
      <c r="B31" s="25" t="s">
        <v>39</v>
      </c>
      <c r="C31" s="99">
        <v>9.3002675244955299E-2</v>
      </c>
    </row>
    <row r="32" spans="1:3" ht="14.25" customHeight="1" x14ac:dyDescent="0.25">
      <c r="B32" s="25" t="s">
        <v>40</v>
      </c>
      <c r="C32" s="99">
        <v>0.57727172260250903</v>
      </c>
    </row>
    <row r="33" spans="1:5" ht="13" customHeight="1" x14ac:dyDescent="0.25">
      <c r="B33" s="27" t="s">
        <v>41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18.94415</v>
      </c>
    </row>
    <row r="38" spans="1:5" ht="15" customHeight="1" x14ac:dyDescent="0.25">
      <c r="B38" s="11" t="s">
        <v>45</v>
      </c>
      <c r="C38" s="43">
        <v>29.356670000000001</v>
      </c>
      <c r="D38" s="12"/>
      <c r="E38" s="13"/>
    </row>
    <row r="39" spans="1:5" ht="15" customHeight="1" x14ac:dyDescent="0.25">
      <c r="B39" s="11" t="s">
        <v>46</v>
      </c>
      <c r="C39" s="43">
        <v>39.74532</v>
      </c>
      <c r="D39" s="12"/>
      <c r="E39" s="12"/>
    </row>
    <row r="40" spans="1:5" ht="15" customHeight="1" x14ac:dyDescent="0.25">
      <c r="B40" s="11" t="s">
        <v>47</v>
      </c>
      <c r="C40" s="100">
        <v>2.27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14.095359999999999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5.8306E-3</v>
      </c>
      <c r="D45" s="12"/>
    </row>
    <row r="46" spans="1:5" ht="15.75" customHeight="1" x14ac:dyDescent="0.25">
      <c r="B46" s="11" t="s">
        <v>52</v>
      </c>
      <c r="C46" s="45">
        <v>6.2648999999999996E-2</v>
      </c>
      <c r="D46" s="12"/>
    </row>
    <row r="47" spans="1:5" ht="15.75" customHeight="1" x14ac:dyDescent="0.25">
      <c r="B47" s="11" t="s">
        <v>53</v>
      </c>
      <c r="C47" s="45">
        <v>7.5456700000000002E-2</v>
      </c>
      <c r="D47" s="12"/>
      <c r="E47" s="13"/>
    </row>
    <row r="48" spans="1:5" ht="15" customHeight="1" x14ac:dyDescent="0.25">
      <c r="B48" s="11" t="s">
        <v>54</v>
      </c>
      <c r="C48" s="46">
        <v>0.85606369999999998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0.40570099999999998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0.167510149999999</v>
      </c>
    </row>
    <row r="63" spans="1:4" ht="15.75" customHeight="1" x14ac:dyDescent="0.3">
      <c r="A63" s="4"/>
    </row>
  </sheetData>
  <sheetProtection algorithmName="SHA-512" hashValue="BswM2KOxyaLIsfkAAdBGt1Ln5JybN4eHyHsdlSSVsXERHl74P8OAQP1Nk4kSCgoNf0N7ZW/JWpgcYWVHcMGXHg==" saltValue="Loh5vYwJPsB1ctCj2q0p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90217</v>
      </c>
      <c r="C2" s="49">
        <v>195433</v>
      </c>
      <c r="D2" s="49">
        <v>240641.5</v>
      </c>
      <c r="E2" s="49">
        <v>168986</v>
      </c>
      <c r="F2" s="49">
        <v>106578.5</v>
      </c>
      <c r="G2" s="17">
        <f t="shared" ref="G2:G13" si="0">C2+D2+E2+F2</f>
        <v>711639</v>
      </c>
      <c r="H2" s="17">
        <f t="shared" ref="H2:H13" si="1">(B2 + stillbirth*B2/(1000-stillbirth))/(1-abortion)</f>
        <v>103985.02453727997</v>
      </c>
      <c r="I2" s="17">
        <f t="shared" ref="I2:I13" si="2">G2-H2</f>
        <v>607653.97546272003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91141</v>
      </c>
      <c r="C3" s="50">
        <v>201302.5</v>
      </c>
      <c r="D3" s="50">
        <v>248943.5</v>
      </c>
      <c r="E3" s="50">
        <v>173709</v>
      </c>
      <c r="F3" s="50">
        <v>109515.5</v>
      </c>
      <c r="G3" s="17">
        <f t="shared" si="0"/>
        <v>733470.5</v>
      </c>
      <c r="H3" s="17">
        <f t="shared" si="1"/>
        <v>105050.03626092903</v>
      </c>
      <c r="I3" s="17">
        <f t="shared" si="2"/>
        <v>628420.46373907092</v>
      </c>
    </row>
    <row r="4" spans="1:9" ht="15.75" customHeight="1" x14ac:dyDescent="0.25">
      <c r="A4" s="5">
        <f t="shared" si="3"/>
        <v>2026</v>
      </c>
      <c r="B4" s="49">
        <v>91824</v>
      </c>
      <c r="C4" s="50">
        <v>206853.5</v>
      </c>
      <c r="D4" s="50">
        <v>257782</v>
      </c>
      <c r="E4" s="50">
        <v>178586</v>
      </c>
      <c r="F4" s="50">
        <v>112573</v>
      </c>
      <c r="G4" s="17">
        <f t="shared" si="0"/>
        <v>755794.5</v>
      </c>
      <c r="H4" s="17">
        <f t="shared" si="1"/>
        <v>105837.26895276053</v>
      </c>
      <c r="I4" s="17">
        <f t="shared" si="2"/>
        <v>649957.2310472395</v>
      </c>
    </row>
    <row r="5" spans="1:9" ht="15.75" customHeight="1" x14ac:dyDescent="0.25">
      <c r="A5" s="5">
        <f t="shared" si="3"/>
        <v>2027</v>
      </c>
      <c r="B5" s="49">
        <v>92338</v>
      </c>
      <c r="C5" s="50">
        <v>211983</v>
      </c>
      <c r="D5" s="50">
        <v>267004.5</v>
      </c>
      <c r="E5" s="50">
        <v>183741</v>
      </c>
      <c r="F5" s="50">
        <v>115744</v>
      </c>
      <c r="G5" s="17">
        <f t="shared" si="0"/>
        <v>778472.5</v>
      </c>
      <c r="H5" s="17">
        <f t="shared" si="1"/>
        <v>106429.71053929259</v>
      </c>
      <c r="I5" s="17">
        <f t="shared" si="2"/>
        <v>672042.78946070746</v>
      </c>
    </row>
    <row r="6" spans="1:9" ht="15.75" customHeight="1" x14ac:dyDescent="0.25">
      <c r="A6" s="5">
        <f t="shared" si="3"/>
        <v>2028</v>
      </c>
      <c r="B6" s="49">
        <v>92748</v>
      </c>
      <c r="C6" s="50">
        <v>216670.5</v>
      </c>
      <c r="D6" s="50">
        <v>276299</v>
      </c>
      <c r="E6" s="50">
        <v>189307</v>
      </c>
      <c r="F6" s="50">
        <v>119025.5</v>
      </c>
      <c r="G6" s="17">
        <f t="shared" si="0"/>
        <v>801302</v>
      </c>
      <c r="H6" s="17">
        <f t="shared" si="1"/>
        <v>106902.28067640957</v>
      </c>
      <c r="I6" s="17">
        <f t="shared" si="2"/>
        <v>694399.7193235904</v>
      </c>
    </row>
    <row r="7" spans="1:9" ht="15.75" customHeight="1" x14ac:dyDescent="0.25">
      <c r="A7" s="5">
        <f t="shared" si="3"/>
        <v>2029</v>
      </c>
      <c r="B7" s="49">
        <v>93664</v>
      </c>
      <c r="C7" s="50">
        <v>220768.5</v>
      </c>
      <c r="D7" s="50">
        <v>285732.5</v>
      </c>
      <c r="E7" s="50">
        <v>195225.5</v>
      </c>
      <c r="F7" s="50">
        <v>122397.5</v>
      </c>
      <c r="G7" s="17">
        <f t="shared" si="0"/>
        <v>824124</v>
      </c>
      <c r="H7" s="17">
        <f t="shared" si="1"/>
        <v>107958.07151933441</v>
      </c>
      <c r="I7" s="17">
        <f t="shared" si="2"/>
        <v>716165.92848066555</v>
      </c>
    </row>
    <row r="8" spans="1:9" ht="15.75" customHeight="1" x14ac:dyDescent="0.25">
      <c r="A8" s="5">
        <f t="shared" si="3"/>
        <v>2030</v>
      </c>
      <c r="B8" s="49">
        <v>94419</v>
      </c>
      <c r="C8" s="50">
        <v>224207</v>
      </c>
      <c r="D8" s="50">
        <v>295387.5</v>
      </c>
      <c r="E8" s="50">
        <v>201356.5</v>
      </c>
      <c r="F8" s="50">
        <v>125853</v>
      </c>
      <c r="G8" s="17">
        <f t="shared" si="0"/>
        <v>846804</v>
      </c>
      <c r="H8" s="17">
        <f t="shared" si="1"/>
        <v>108828.29213768399</v>
      </c>
      <c r="I8" s="17">
        <f t="shared" si="2"/>
        <v>737975.70786231605</v>
      </c>
    </row>
    <row r="9" spans="1:9" ht="15.75" customHeight="1" x14ac:dyDescent="0.25">
      <c r="A9" s="5">
        <f t="shared" si="3"/>
        <v>2031</v>
      </c>
      <c r="B9" s="49">
        <v>94907</v>
      </c>
      <c r="C9" s="50">
        <v>226988.5</v>
      </c>
      <c r="D9" s="50">
        <v>305154.5</v>
      </c>
      <c r="E9" s="50">
        <v>207709.5</v>
      </c>
      <c r="F9" s="50">
        <v>129421</v>
      </c>
      <c r="G9" s="17">
        <f t="shared" si="0"/>
        <v>869273.5</v>
      </c>
      <c r="H9" s="17">
        <f t="shared" si="1"/>
        <v>109390.7658618623</v>
      </c>
      <c r="I9" s="17">
        <f t="shared" si="2"/>
        <v>759882.73413813766</v>
      </c>
    </row>
    <row r="10" spans="1:9" ht="15.75" customHeight="1" x14ac:dyDescent="0.25">
      <c r="A10" s="5">
        <f t="shared" si="3"/>
        <v>2032</v>
      </c>
      <c r="B10" s="49">
        <v>95540</v>
      </c>
      <c r="C10" s="50">
        <v>229192</v>
      </c>
      <c r="D10" s="50">
        <v>314953.5</v>
      </c>
      <c r="E10" s="50">
        <v>214299.5</v>
      </c>
      <c r="F10" s="50">
        <v>133170</v>
      </c>
      <c r="G10" s="17">
        <f t="shared" si="0"/>
        <v>891615</v>
      </c>
      <c r="H10" s="17">
        <f t="shared" si="1"/>
        <v>110120.36804916733</v>
      </c>
      <c r="I10" s="17">
        <f t="shared" si="2"/>
        <v>781494.63195083267</v>
      </c>
    </row>
    <row r="11" spans="1:9" ht="15.75" customHeight="1" x14ac:dyDescent="0.25">
      <c r="A11" s="5">
        <f t="shared" si="3"/>
        <v>2033</v>
      </c>
      <c r="B11" s="49">
        <v>96478</v>
      </c>
      <c r="C11" s="50">
        <v>231037.5</v>
      </c>
      <c r="D11" s="50">
        <v>324402.5</v>
      </c>
      <c r="E11" s="50">
        <v>221377.5</v>
      </c>
      <c r="F11" s="50">
        <v>137120.5</v>
      </c>
      <c r="G11" s="17">
        <f t="shared" si="0"/>
        <v>913938</v>
      </c>
      <c r="H11" s="17">
        <f t="shared" si="1"/>
        <v>111201.5163140838</v>
      </c>
      <c r="I11" s="17">
        <f t="shared" si="2"/>
        <v>802736.48368591617</v>
      </c>
    </row>
    <row r="12" spans="1:9" ht="15.75" customHeight="1" x14ac:dyDescent="0.25">
      <c r="A12" s="5">
        <f t="shared" si="3"/>
        <v>2034</v>
      </c>
      <c r="B12" s="49">
        <v>96733</v>
      </c>
      <c r="C12" s="50">
        <v>232833.5</v>
      </c>
      <c r="D12" s="50">
        <v>333195</v>
      </c>
      <c r="E12" s="50">
        <v>229095.5</v>
      </c>
      <c r="F12" s="50">
        <v>141215.5</v>
      </c>
      <c r="G12" s="17">
        <f t="shared" si="0"/>
        <v>936339.5</v>
      </c>
      <c r="H12" s="17">
        <f t="shared" si="1"/>
        <v>111495.43188716876</v>
      </c>
      <c r="I12" s="17">
        <f t="shared" si="2"/>
        <v>824844.06811283121</v>
      </c>
    </row>
    <row r="13" spans="1:9" ht="15.75" customHeight="1" x14ac:dyDescent="0.25">
      <c r="A13" s="5">
        <f t="shared" si="3"/>
        <v>2035</v>
      </c>
      <c r="B13" s="49">
        <v>97504</v>
      </c>
      <c r="C13" s="50">
        <v>234776.5</v>
      </c>
      <c r="D13" s="50">
        <v>341350</v>
      </c>
      <c r="E13" s="50">
        <v>237298</v>
      </c>
      <c r="F13" s="50">
        <v>145376.5</v>
      </c>
      <c r="G13" s="17">
        <f t="shared" si="0"/>
        <v>958801</v>
      </c>
      <c r="H13" s="17">
        <f t="shared" si="1"/>
        <v>112384.09426696683</v>
      </c>
      <c r="I13" s="17">
        <f t="shared" si="2"/>
        <v>846416.9057330332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BbMl4FeGSkbgJapRF35a/2EtsywqOqgsl3IphhN78M9g1CZEA4Y5xMFOvX8P3EJT9ifGqhnhkxvwBSkab3rLMg==" saltValue="hE/LYPLNin4vvNMc9MDl8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7.9603999999999977E-3</v>
      </c>
    </row>
    <row r="4" spans="1:8" ht="15.75" customHeight="1" x14ac:dyDescent="0.25">
      <c r="B4" s="19" t="s">
        <v>79</v>
      </c>
      <c r="C4" s="101">
        <v>5.4278499999999973E-2</v>
      </c>
    </row>
    <row r="5" spans="1:8" ht="15.75" customHeight="1" x14ac:dyDescent="0.25">
      <c r="B5" s="19" t="s">
        <v>80</v>
      </c>
      <c r="C5" s="101">
        <v>6.8896700000000047E-2</v>
      </c>
    </row>
    <row r="6" spans="1:8" ht="15.75" customHeight="1" x14ac:dyDescent="0.25">
      <c r="B6" s="19" t="s">
        <v>81</v>
      </c>
      <c r="C6" s="101">
        <v>0.2405291000000005</v>
      </c>
    </row>
    <row r="7" spans="1:8" ht="15.75" customHeight="1" x14ac:dyDescent="0.25">
      <c r="B7" s="19" t="s">
        <v>82</v>
      </c>
      <c r="C7" s="101">
        <v>0.42675559999999951</v>
      </c>
    </row>
    <row r="8" spans="1:8" ht="15.75" customHeight="1" x14ac:dyDescent="0.25">
      <c r="B8" s="19" t="s">
        <v>83</v>
      </c>
      <c r="C8" s="101">
        <v>1.9896999999999992E-3</v>
      </c>
    </row>
    <row r="9" spans="1:8" ht="15.75" customHeight="1" x14ac:dyDescent="0.25">
      <c r="B9" s="19" t="s">
        <v>84</v>
      </c>
      <c r="C9" s="101">
        <v>8.7416600000000025E-2</v>
      </c>
    </row>
    <row r="10" spans="1:8" ht="15.75" customHeight="1" x14ac:dyDescent="0.25">
      <c r="B10" s="19" t="s">
        <v>85</v>
      </c>
      <c r="C10" s="101">
        <v>0.11217340000000001</v>
      </c>
    </row>
    <row r="11" spans="1:8" ht="15.75" customHeight="1" x14ac:dyDescent="0.25">
      <c r="B11" s="27" t="s">
        <v>41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0.1586850795979258</v>
      </c>
      <c r="D14" s="55">
        <v>0.1586850795979258</v>
      </c>
      <c r="E14" s="55">
        <v>0.1586850795979258</v>
      </c>
      <c r="F14" s="55">
        <v>0.1586850795979258</v>
      </c>
    </row>
    <row r="15" spans="1:8" ht="15.75" customHeight="1" x14ac:dyDescent="0.25">
      <c r="B15" s="19" t="s">
        <v>88</v>
      </c>
      <c r="C15" s="101">
        <v>0.1457257056059359</v>
      </c>
      <c r="D15" s="101">
        <v>0.1457257056059359</v>
      </c>
      <c r="E15" s="101">
        <v>0.1457257056059359</v>
      </c>
      <c r="F15" s="101">
        <v>0.1457257056059359</v>
      </c>
    </row>
    <row r="16" spans="1:8" ht="15.75" customHeight="1" x14ac:dyDescent="0.25">
      <c r="B16" s="19" t="s">
        <v>89</v>
      </c>
      <c r="C16" s="101">
        <v>3.6673544337957442E-2</v>
      </c>
      <c r="D16" s="101">
        <v>3.6673544337957442E-2</v>
      </c>
      <c r="E16" s="101">
        <v>3.6673544337957442E-2</v>
      </c>
      <c r="F16" s="101">
        <v>3.6673544337957442E-2</v>
      </c>
    </row>
    <row r="17" spans="1:8" ht="15.75" customHeight="1" x14ac:dyDescent="0.25">
      <c r="B17" s="19" t="s">
        <v>90</v>
      </c>
      <c r="C17" s="101">
        <v>9.8008104921843586E-2</v>
      </c>
      <c r="D17" s="101">
        <v>9.8008104921843586E-2</v>
      </c>
      <c r="E17" s="101">
        <v>9.8008104921843586E-2</v>
      </c>
      <c r="F17" s="101">
        <v>9.8008104921843586E-2</v>
      </c>
    </row>
    <row r="18" spans="1:8" ht="15.75" customHeight="1" x14ac:dyDescent="0.25">
      <c r="B18" s="19" t="s">
        <v>91</v>
      </c>
      <c r="C18" s="101">
        <v>0.135975881764268</v>
      </c>
      <c r="D18" s="101">
        <v>0.135975881764268</v>
      </c>
      <c r="E18" s="101">
        <v>0.135975881764268</v>
      </c>
      <c r="F18" s="101">
        <v>0.135975881764268</v>
      </c>
    </row>
    <row r="19" spans="1:8" ht="15.75" customHeight="1" x14ac:dyDescent="0.25">
      <c r="B19" s="19" t="s">
        <v>92</v>
      </c>
      <c r="C19" s="101">
        <v>6.2473064113144711E-2</v>
      </c>
      <c r="D19" s="101">
        <v>6.2473064113144711E-2</v>
      </c>
      <c r="E19" s="101">
        <v>6.2473064113144711E-2</v>
      </c>
      <c r="F19" s="101">
        <v>6.2473064113144711E-2</v>
      </c>
    </row>
    <row r="20" spans="1:8" ht="15.75" customHeight="1" x14ac:dyDescent="0.25">
      <c r="B20" s="19" t="s">
        <v>93</v>
      </c>
      <c r="C20" s="101">
        <v>8.6546694608013008E-2</v>
      </c>
      <c r="D20" s="101">
        <v>8.6546694608013008E-2</v>
      </c>
      <c r="E20" s="101">
        <v>8.6546694608013008E-2</v>
      </c>
      <c r="F20" s="101">
        <v>8.6546694608013008E-2</v>
      </c>
    </row>
    <row r="21" spans="1:8" ht="15.75" customHeight="1" x14ac:dyDescent="0.25">
      <c r="B21" s="19" t="s">
        <v>94</v>
      </c>
      <c r="C21" s="101">
        <v>8.7176531093682147E-2</v>
      </c>
      <c r="D21" s="101">
        <v>8.7176531093682147E-2</v>
      </c>
      <c r="E21" s="101">
        <v>8.7176531093682147E-2</v>
      </c>
      <c r="F21" s="101">
        <v>8.7176531093682147E-2</v>
      </c>
    </row>
    <row r="22" spans="1:8" ht="15.75" customHeight="1" x14ac:dyDescent="0.25">
      <c r="B22" s="19" t="s">
        <v>95</v>
      </c>
      <c r="C22" s="101">
        <v>0.1887353939572296</v>
      </c>
      <c r="D22" s="101">
        <v>0.1887353939572296</v>
      </c>
      <c r="E22" s="101">
        <v>0.1887353939572296</v>
      </c>
      <c r="F22" s="101">
        <v>0.1887353939572296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9.5711987999999998E-2</v>
      </c>
    </row>
    <row r="27" spans="1:8" ht="15.75" customHeight="1" x14ac:dyDescent="0.25">
      <c r="B27" s="19" t="s">
        <v>102</v>
      </c>
      <c r="C27" s="101">
        <v>4.2970438999999999E-2</v>
      </c>
    </row>
    <row r="28" spans="1:8" ht="15.75" customHeight="1" x14ac:dyDescent="0.25">
      <c r="B28" s="19" t="s">
        <v>103</v>
      </c>
      <c r="C28" s="101">
        <v>0.19642078600000001</v>
      </c>
    </row>
    <row r="29" spans="1:8" ht="15.75" customHeight="1" x14ac:dyDescent="0.25">
      <c r="B29" s="19" t="s">
        <v>104</v>
      </c>
      <c r="C29" s="101">
        <v>0.206894785</v>
      </c>
    </row>
    <row r="30" spans="1:8" ht="15.75" customHeight="1" x14ac:dyDescent="0.25">
      <c r="B30" s="19" t="s">
        <v>2</v>
      </c>
      <c r="C30" s="101">
        <v>2.7698743000000001E-2</v>
      </c>
    </row>
    <row r="31" spans="1:8" ht="15.75" customHeight="1" x14ac:dyDescent="0.25">
      <c r="B31" s="19" t="s">
        <v>105</v>
      </c>
      <c r="C31" s="101">
        <v>0.20935653800000001</v>
      </c>
    </row>
    <row r="32" spans="1:8" ht="15.75" customHeight="1" x14ac:dyDescent="0.25">
      <c r="B32" s="19" t="s">
        <v>106</v>
      </c>
      <c r="C32" s="101">
        <v>1.2451637999999999E-2</v>
      </c>
    </row>
    <row r="33" spans="2:3" ht="15.75" customHeight="1" x14ac:dyDescent="0.25">
      <c r="B33" s="19" t="s">
        <v>107</v>
      </c>
      <c r="C33" s="101">
        <v>5.1474696E-2</v>
      </c>
    </row>
    <row r="34" spans="2:3" ht="15.75" customHeight="1" x14ac:dyDescent="0.25">
      <c r="B34" s="19" t="s">
        <v>108</v>
      </c>
      <c r="C34" s="101">
        <v>0.15702038800000001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a0+FQ6uenB6qE7hKbCmxN5ENOSkvNpwl4ii2TXR0CTpX2i4LYzRds3X2WGS2WrKJVdLmVl9jn9EXXfj+9xp+YA==" saltValue="Fk4RJLfa5HeMr3fgyvdtm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0.51029382434732007</v>
      </c>
      <c r="D2" s="52">
        <f>IFERROR(1-_xlfn.NORM.DIST(_xlfn.NORM.INV(SUM(D4:D5), 0, 1) + 1, 0, 1, TRUE), "")</f>
        <v>0.51029382434732007</v>
      </c>
      <c r="E2" s="52">
        <f>IFERROR(1-_xlfn.NORM.DIST(_xlfn.NORM.INV(SUM(E4:E5), 0, 1) + 1, 0, 1, TRUE), "")</f>
        <v>0.6443379975681347</v>
      </c>
      <c r="F2" s="52">
        <f>IFERROR(1-_xlfn.NORM.DIST(_xlfn.NORM.INV(SUM(F4:F5), 0, 1) + 1, 0, 1, TRUE), "")</f>
        <v>0.42295980173304104</v>
      </c>
      <c r="G2" s="52">
        <f>IFERROR(1-_xlfn.NORM.DIST(_xlfn.NORM.INV(SUM(G4:G5), 0, 1) + 1, 0, 1, TRUE), "")</f>
        <v>0.5531086877320488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0.33721457565267998</v>
      </c>
      <c r="D3" s="52">
        <f>IFERROR(_xlfn.NORM.DIST(_xlfn.NORM.INV(SUM(D4:D5), 0, 1) + 1, 0, 1, TRUE) - SUM(D4:D5), "")</f>
        <v>0.33721457565267998</v>
      </c>
      <c r="E3" s="52">
        <f>IFERROR(_xlfn.NORM.DIST(_xlfn.NORM.INV(SUM(E4:E5), 0, 1) + 1, 0, 1, TRUE) - SUM(E4:E5), "")</f>
        <v>0.2703308024318653</v>
      </c>
      <c r="F3" s="52">
        <f>IFERROR(_xlfn.NORM.DIST(_xlfn.NORM.INV(SUM(F4:F5), 0, 1) + 1, 0, 1, TRUE) - SUM(F4:F5), "")</f>
        <v>0.36682439826695895</v>
      </c>
      <c r="G3" s="52">
        <f>IFERROR(_xlfn.NORM.DIST(_xlfn.NORM.INV(SUM(G4:G5), 0, 1) + 1, 0, 1, TRUE) - SUM(G4:G5), "")</f>
        <v>0.3183932122679512</v>
      </c>
    </row>
    <row r="4" spans="1:15" ht="15.75" customHeight="1" x14ac:dyDescent="0.25">
      <c r="B4" s="5" t="s">
        <v>114</v>
      </c>
      <c r="C4" s="45">
        <v>0.1042593</v>
      </c>
      <c r="D4" s="53">
        <v>0.1042593</v>
      </c>
      <c r="E4" s="53">
        <v>6.4421300000000001E-2</v>
      </c>
      <c r="F4" s="53">
        <v>0.1396512</v>
      </c>
      <c r="G4" s="53">
        <v>8.9111200000000002E-2</v>
      </c>
    </row>
    <row r="5" spans="1:15" ht="15.75" customHeight="1" x14ac:dyDescent="0.25">
      <c r="B5" s="5" t="s">
        <v>115</v>
      </c>
      <c r="C5" s="45">
        <v>4.8232299999999999E-2</v>
      </c>
      <c r="D5" s="53">
        <v>4.8232299999999999E-2</v>
      </c>
      <c r="E5" s="53">
        <v>2.0909899999999999E-2</v>
      </c>
      <c r="F5" s="53">
        <v>7.0564600000000005E-2</v>
      </c>
      <c r="G5" s="53">
        <v>3.9386900000000002E-2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0.70894537084830733</v>
      </c>
      <c r="D8" s="52">
        <f>IFERROR(1-_xlfn.NORM.DIST(_xlfn.NORM.INV(SUM(D10:D11), 0, 1) + 1, 0, 1, TRUE), "")</f>
        <v>0.70894537084830733</v>
      </c>
      <c r="E8" s="52">
        <f>IFERROR(1-_xlfn.NORM.DIST(_xlfn.NORM.INV(SUM(E10:E11), 0, 1) + 1, 0, 1, TRUE), "")</f>
        <v>0.78287691391414294</v>
      </c>
      <c r="F8" s="52">
        <f>IFERROR(1-_xlfn.NORM.DIST(_xlfn.NORM.INV(SUM(F10:F11), 0, 1) + 1, 0, 1, TRUE), "")</f>
        <v>0.75225865586967744</v>
      </c>
      <c r="G8" s="52">
        <f>IFERROR(1-_xlfn.NORM.DIST(_xlfn.NORM.INV(SUM(G10:G11), 0, 1) + 1, 0, 1, TRUE), "")</f>
        <v>0.8317317240301163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0.23052062915169269</v>
      </c>
      <c r="D9" s="52">
        <f>IFERROR(_xlfn.NORM.DIST(_xlfn.NORM.INV(SUM(D10:D11), 0, 1) + 1, 0, 1, TRUE) - SUM(D10:D11), "")</f>
        <v>0.23052062915169269</v>
      </c>
      <c r="E9" s="52">
        <f>IFERROR(_xlfn.NORM.DIST(_xlfn.NORM.INV(SUM(E10:E11), 0, 1) + 1, 0, 1, TRUE) - SUM(E10:E11), "")</f>
        <v>0.1797440860858571</v>
      </c>
      <c r="F9" s="52">
        <f>IFERROR(_xlfn.NORM.DIST(_xlfn.NORM.INV(SUM(F10:F11), 0, 1) + 1, 0, 1, TRUE) - SUM(F10:F11), "")</f>
        <v>0.20141954413032256</v>
      </c>
      <c r="G9" s="52">
        <f>IFERROR(_xlfn.NORM.DIST(_xlfn.NORM.INV(SUM(G10:G11), 0, 1) + 1, 0, 1, TRUE) - SUM(G10:G11), "")</f>
        <v>0.14333057596988374</v>
      </c>
    </row>
    <row r="10" spans="1:15" ht="15.75" customHeight="1" x14ac:dyDescent="0.25">
      <c r="B10" s="5" t="s">
        <v>119</v>
      </c>
      <c r="C10" s="45">
        <v>3.2665799999999988E-2</v>
      </c>
      <c r="D10" s="53">
        <v>3.2665799999999988E-2</v>
      </c>
      <c r="E10" s="53">
        <v>3.3006899999999999E-2</v>
      </c>
      <c r="F10" s="53">
        <v>2.9760200000000001E-2</v>
      </c>
      <c r="G10" s="53">
        <v>2.0562400000000002E-2</v>
      </c>
    </row>
    <row r="11" spans="1:15" ht="15.75" customHeight="1" x14ac:dyDescent="0.25">
      <c r="B11" s="5" t="s">
        <v>120</v>
      </c>
      <c r="C11" s="45">
        <v>2.7868199999999999E-2</v>
      </c>
      <c r="D11" s="53">
        <v>2.7868199999999999E-2</v>
      </c>
      <c r="E11" s="53">
        <v>4.3721000000000003E-3</v>
      </c>
      <c r="F11" s="53">
        <v>1.6561599999999999E-2</v>
      </c>
      <c r="G11" s="53">
        <v>4.3753000000000004E-3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0.90030758050000004</v>
      </c>
      <c r="D14" s="54">
        <v>0.891409188252</v>
      </c>
      <c r="E14" s="54">
        <v>0.891409188252</v>
      </c>
      <c r="F14" s="54">
        <v>0.79417818844199994</v>
      </c>
      <c r="G14" s="54">
        <v>0.79417818844199994</v>
      </c>
      <c r="H14" s="45">
        <v>0.60599999999999998</v>
      </c>
      <c r="I14" s="55">
        <v>0.60599999999999998</v>
      </c>
      <c r="J14" s="55">
        <v>0.60599999999999998</v>
      </c>
      <c r="K14" s="55">
        <v>0.60599999999999998</v>
      </c>
      <c r="L14" s="45">
        <v>0.58899999999999997</v>
      </c>
      <c r="M14" s="55">
        <v>0.58899999999999997</v>
      </c>
      <c r="N14" s="55">
        <v>0.58899999999999997</v>
      </c>
      <c r="O14" s="55">
        <v>0.58899999999999997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0.36525568571643052</v>
      </c>
      <c r="D15" s="52">
        <f t="shared" si="0"/>
        <v>0.36164559908302463</v>
      </c>
      <c r="E15" s="52">
        <f t="shared" si="0"/>
        <v>0.36164559908302463</v>
      </c>
      <c r="F15" s="52">
        <f t="shared" si="0"/>
        <v>0.32219888522910778</v>
      </c>
      <c r="G15" s="52">
        <f t="shared" si="0"/>
        <v>0.32219888522910778</v>
      </c>
      <c r="H15" s="52">
        <f t="shared" si="0"/>
        <v>0.24585480599999998</v>
      </c>
      <c r="I15" s="52">
        <f t="shared" si="0"/>
        <v>0.24585480599999998</v>
      </c>
      <c r="J15" s="52">
        <f t="shared" si="0"/>
        <v>0.24585480599999998</v>
      </c>
      <c r="K15" s="52">
        <f t="shared" si="0"/>
        <v>0.24585480599999998</v>
      </c>
      <c r="L15" s="52">
        <f t="shared" si="0"/>
        <v>0.23895788899999998</v>
      </c>
      <c r="M15" s="52">
        <f t="shared" si="0"/>
        <v>0.23895788899999998</v>
      </c>
      <c r="N15" s="52">
        <f t="shared" si="0"/>
        <v>0.23895788899999998</v>
      </c>
      <c r="O15" s="52">
        <f t="shared" si="0"/>
        <v>0.23895788899999998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IdHEZcqDYzqCwB6SBlcymb4YQzG3ATZwIqr+9ErQRMvJ737fyUvqsrWv09lSYQxo41RFF6TvCxItQVLp3uvRXA==" saltValue="hAQ/jFYGZZEhq9GJvsz2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0.33484629999999999</v>
      </c>
      <c r="D2" s="53">
        <v>0.1464792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0.10618130000000001</v>
      </c>
      <c r="D3" s="53">
        <v>0.1315151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0.51469330000000002</v>
      </c>
      <c r="D4" s="53">
        <v>0.61570049999999998</v>
      </c>
      <c r="E4" s="53">
        <v>0.72258</v>
      </c>
      <c r="F4" s="53">
        <v>0.1682478</v>
      </c>
      <c r="G4" s="53">
        <v>0</v>
      </c>
    </row>
    <row r="5" spans="1:7" x14ac:dyDescent="0.25">
      <c r="B5" s="3" t="s">
        <v>132</v>
      </c>
      <c r="C5" s="52">
        <v>4.4279099999999988E-2</v>
      </c>
      <c r="D5" s="52">
        <v>0.1063051</v>
      </c>
      <c r="E5" s="52">
        <f>1-SUM(E2:E4)</f>
        <v>0.27742</v>
      </c>
      <c r="F5" s="52">
        <f>1-SUM(F2:F4)</f>
        <v>0.83175219999999994</v>
      </c>
      <c r="G5" s="52">
        <f>1-SUM(G2:G4)</f>
        <v>1</v>
      </c>
    </row>
  </sheetData>
  <sheetProtection algorithmName="SHA-512" hashValue="nbZXVWj7YyHuOh6zToo7+FdRVdWXB4jsuMof1Wxrv98CTG30Z1we2Nb5UGHSOLGO/PenlfDyHDVCtic/qo21Qw==" saltValue="zeG0pfnG0BA8kUZ+aoSnD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BpC4yKMwnx2prYX8jEhg3CqRW/v/9qxwuT1v2QHgqVX7LVOuFuTcjWEakBjGf7IWr/7U4zQNQ0INfE8SKliFwA==" saltValue="nvtKUGoq1j850LjeHM0O9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Omi6YUcaT6C/Y4ztxkMqxLliLkmPDokVK+eEMPIYEnT8ShWrae23d92svq4tO2ia1JABrk2Z2B3AFEW/aVanXg==" saltValue="utSa9XBHDQAUuCIkmSiSf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r3lZOJgKpzZE7SafNxgwMfcsg6wwq00Cg92PAvwTOPu3N3YkpNr+o629GlbXsBDYwi5bxt5iW+/9lQo1RZe3hw==" saltValue="uBkwrH96aIrsLOQxb+3SN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TNU2qhhKEHxg9LQKnVHe0IVDZal+Ni2yIwxQ6qf2AMZevoSgt2vOjMQf8dR0eTmH6usVNIlQiZtkH/nh+wBFbg==" saltValue="9BEgKZ0BlK3tR2G+NbBZO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34.615059877826937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0.51482233818000001</v>
      </c>
      <c r="C3" s="98">
        <v>0.95</v>
      </c>
      <c r="D3" s="56">
        <v>42.447411164630637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47.3190436565448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0.58969668283167476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0.3935863</v>
      </c>
      <c r="C10" s="98">
        <v>0.95</v>
      </c>
      <c r="D10" s="56">
        <v>13.46512306465123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0.3935863</v>
      </c>
      <c r="C11" s="98">
        <v>0.95</v>
      </c>
      <c r="D11" s="56">
        <v>13.46512306465123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0.3935863</v>
      </c>
      <c r="C12" s="98">
        <v>0.95</v>
      </c>
      <c r="D12" s="56">
        <v>13.46512306465123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0.3935863</v>
      </c>
      <c r="C13" s="98">
        <v>0.95</v>
      </c>
      <c r="D13" s="56">
        <v>13.46512306465123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0.3935863</v>
      </c>
      <c r="C14" s="98">
        <v>0.95</v>
      </c>
      <c r="D14" s="56">
        <v>13.46512306465123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0.3935863</v>
      </c>
      <c r="C15" s="98">
        <v>0.95</v>
      </c>
      <c r="D15" s="56">
        <v>13.46512306465123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0.83</v>
      </c>
      <c r="C16" s="98">
        <v>0.95</v>
      </c>
      <c r="D16" s="56">
        <v>0.20435372756164799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0.20358792550999999</v>
      </c>
      <c r="C18" s="98">
        <v>0.95</v>
      </c>
      <c r="D18" s="56">
        <v>1.2013582500201629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0.49896239999999997</v>
      </c>
      <c r="C19" s="98">
        <v>0.95</v>
      </c>
      <c r="D19" s="56">
        <v>1.2013582500201629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0.88436610000000004</v>
      </c>
      <c r="C21" s="98">
        <v>0.95</v>
      </c>
      <c r="D21" s="56">
        <v>4.1835707219283771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22.937030782027101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4.4144238992015667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0.92389554679604402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0.3935863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19.469652401389489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0.75406460082703308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60.20828898640999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2.7081244638211008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0.3800509163391646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0.26319480000000001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0.199735</v>
      </c>
      <c r="C38" s="98">
        <v>0.95</v>
      </c>
      <c r="D38" s="56">
        <v>4.6447076133328133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BvhhGBab1kPnuEMB6yEI7nKZqChkKb2k6eyOp/UxitINZ9iP+iSBPOA/Q9Fd6nAEKFwvt8W2UwhKuPsBvWyjuA==" saltValue="Dc5jFvkoKk/5DJmEBogF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VL4VaaEjaQeGbykHFvlbdVs2KmPnpxtzrE/q9lFjYVU2mYNjti7UKLyiiSoQpe5UUYlMG9Up7WModfqWFQzgfg==" saltValue="gylfgnU2+nbOZVZcj6pev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DpBdrxeKh1FKz24j9nDhyOH6pwf85k6vzarVn0/d6JDyLCJdoe1i5RorPntYjgAo3cocChZQlcUW/Y5Q88qUeQ==" saltValue="VLtdQFspv3OkebDfzbV9o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8.4931079999999978E-2</v>
      </c>
      <c r="C3" s="21">
        <f>frac_mam_1_5months * 2.6</f>
        <v>8.4931079999999978E-2</v>
      </c>
      <c r="D3" s="21">
        <f>frac_mam_6_11months * 2.6</f>
        <v>8.5817939999999995E-2</v>
      </c>
      <c r="E3" s="21">
        <f>frac_mam_12_23months * 2.6</f>
        <v>7.7376520000000004E-2</v>
      </c>
      <c r="F3" s="21">
        <f>frac_mam_24_59months * 2.6</f>
        <v>5.3462240000000008E-2</v>
      </c>
    </row>
    <row r="4" spans="1:6" ht="15.75" customHeight="1" x14ac:dyDescent="0.25">
      <c r="A4" s="3" t="s">
        <v>208</v>
      </c>
      <c r="B4" s="21">
        <f>frac_sam_1month * 2.6</f>
        <v>7.2457320000000006E-2</v>
      </c>
      <c r="C4" s="21">
        <f>frac_sam_1_5months * 2.6</f>
        <v>7.2457320000000006E-2</v>
      </c>
      <c r="D4" s="21">
        <f>frac_sam_6_11months * 2.6</f>
        <v>1.1367460000000001E-2</v>
      </c>
      <c r="E4" s="21">
        <f>frac_sam_12_23months * 2.6</f>
        <v>4.306016E-2</v>
      </c>
      <c r="F4" s="21">
        <f>frac_sam_24_59months * 2.6</f>
        <v>1.1375780000000002E-2</v>
      </c>
    </row>
  </sheetData>
  <sheetProtection algorithmName="SHA-512" hashValue="g0BejFmuBbv5tQ24Rgbz1yZ/tP6xmfIPKyis9pcClPz1STRb81UAZRLqHr1BqOe77WHhThtkU1+rPutr+eFtPA==" saltValue="qftNF1+RFd4va1A8mgKUL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3.4000000000000002E-2</v>
      </c>
      <c r="E2" s="60">
        <f>food_insecure</f>
        <v>3.4000000000000002E-2</v>
      </c>
      <c r="F2" s="60">
        <f>food_insecure</f>
        <v>3.4000000000000002E-2</v>
      </c>
      <c r="G2" s="60">
        <f>food_insecure</f>
        <v>3.4000000000000002E-2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3.4000000000000002E-2</v>
      </c>
      <c r="F5" s="60">
        <f>food_insecure</f>
        <v>3.4000000000000002E-2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3.4000000000000002E-2</v>
      </c>
      <c r="F8" s="60">
        <f>food_insecure</f>
        <v>3.4000000000000002E-2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3.4000000000000002E-2</v>
      </c>
      <c r="F9" s="60">
        <f>food_insecure</f>
        <v>3.4000000000000002E-2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3.4000000000000002E-2</v>
      </c>
      <c r="I15" s="60">
        <f>food_insecure</f>
        <v>3.4000000000000002E-2</v>
      </c>
      <c r="J15" s="60">
        <f>food_insecure</f>
        <v>3.4000000000000002E-2</v>
      </c>
      <c r="K15" s="60">
        <f>food_insecure</f>
        <v>3.4000000000000002E-2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0.96</v>
      </c>
      <c r="I19" s="60">
        <f>frac_malaria_risk</f>
        <v>0.96</v>
      </c>
      <c r="J19" s="60">
        <f>frac_malaria_risk</f>
        <v>0.96</v>
      </c>
      <c r="K19" s="60">
        <f>frac_malaria_risk</f>
        <v>0.96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0.7609999999999999</v>
      </c>
      <c r="M24" s="60">
        <f>famplan_unmet_need</f>
        <v>0.7609999999999999</v>
      </c>
      <c r="N24" s="60">
        <f>famplan_unmet_need</f>
        <v>0.7609999999999999</v>
      </c>
      <c r="O24" s="60">
        <f>famplan_unmet_need</f>
        <v>0.7609999999999999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0.33505584958288803</v>
      </c>
      <c r="M25" s="60">
        <f>(1-food_insecure)*(0.49)+food_insecure*(0.7)</f>
        <v>0.49713999999999997</v>
      </c>
      <c r="N25" s="60">
        <f>(1-food_insecure)*(0.49)+food_insecure*(0.7)</f>
        <v>0.49713999999999997</v>
      </c>
      <c r="O25" s="60">
        <f>(1-food_insecure)*(0.49)+food_insecure*(0.7)</f>
        <v>0.49713999999999997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0.14359536410695201</v>
      </c>
      <c r="M26" s="60">
        <f>(1-food_insecure)*(0.21)+food_insecure*(0.3)</f>
        <v>0.21305999999999997</v>
      </c>
      <c r="N26" s="60">
        <f>(1-food_insecure)*(0.21)+food_insecure*(0.3)</f>
        <v>0.21305999999999997</v>
      </c>
      <c r="O26" s="60">
        <f>(1-food_insecure)*(0.21)+food_insecure*(0.3)</f>
        <v>0.21305999999999997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0.19531557551016002</v>
      </c>
      <c r="M27" s="60">
        <f>(1-food_insecure)*(0.3)</f>
        <v>0.2898</v>
      </c>
      <c r="N27" s="60">
        <f>(1-food_insecure)*(0.3)</f>
        <v>0.2898</v>
      </c>
      <c r="O27" s="60">
        <f>(1-food_insecure)*(0.3)</f>
        <v>0.2898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0.96</v>
      </c>
      <c r="D34" s="60">
        <f t="shared" si="3"/>
        <v>0.96</v>
      </c>
      <c r="E34" s="60">
        <f t="shared" si="3"/>
        <v>0.96</v>
      </c>
      <c r="F34" s="60">
        <f t="shared" si="3"/>
        <v>0.96</v>
      </c>
      <c r="G34" s="60">
        <f t="shared" si="3"/>
        <v>0.96</v>
      </c>
      <c r="H34" s="60">
        <f t="shared" si="3"/>
        <v>0.96</v>
      </c>
      <c r="I34" s="60">
        <f t="shared" si="3"/>
        <v>0.96</v>
      </c>
      <c r="J34" s="60">
        <f t="shared" si="3"/>
        <v>0.96</v>
      </c>
      <c r="K34" s="60">
        <f t="shared" si="3"/>
        <v>0.96</v>
      </c>
      <c r="L34" s="60">
        <f t="shared" si="3"/>
        <v>0.96</v>
      </c>
      <c r="M34" s="60">
        <f t="shared" si="3"/>
        <v>0.96</v>
      </c>
      <c r="N34" s="60">
        <f t="shared" si="3"/>
        <v>0.96</v>
      </c>
      <c r="O34" s="60">
        <f t="shared" si="3"/>
        <v>0.96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FyXiLqq+PARuaxYKx8NgZ5X88BKKYXkF3nMk08h3eU/RBWDsfvVykt3UOtQRSIKGOtSN2Y88Z9GsUH45Ii/4iQ==" saltValue="AXMbS20OZXcnb+MHmEbr0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TJRHOQv1Cz+j+mTioQE43Zaesf2NfyqT10azKk/75p0l67Snq9OmXCywloymlQXPELeE6ckBwTfkE1pZ0p9BHQ==" saltValue="CQ/QyGbPi8UQRxuPd4fOz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kGea0O/PxEIQjsAucKRh+U7mACrPso193se9B0Y0FlcrA1CpK+H9qpx7N1l1wm+TPV20dUE5TlCw0R4rNOOmTw==" saltValue="BAatbn3oMBtEDWpcf68O3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i6MJECWMHkfhVXdZybHJmZWlta7PIaIEM/Aj+39+ytIkZfbHJ7EKxGW0GFCz8A1pTVf3fkmzco6uRrRCkiY5iQ==" saltValue="GXhPw3QJvgSmSNMAZ80VB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lWPjBCVlBFd5dRRVyLiwvaMcsPiTE5m1rHMuEbNGWlNns43mgZceqEMLrJ67Vhu4sFAS9aXOZhV5d+cRAwX95g==" saltValue="W8hbzSdk0NDxuG9QkzjR3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FaxlPlmLlmfBq5O0RmsD8g4Obz4hQwON4BBZ09YZa9IFxgRDV8JKV6yyaYLAvaXmJ1b72PSj/uw2W0aZQQJFiw==" saltValue="tKfV/HM7WyGDRmKQUxtQl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5ZvefZ8cjgMMicGLxkRpar/tkiM7I/YDH9bJ069HSmdV0S5PNL4IjljHvrt6HduathxSTKHqvy/rkDL1tbN4+g==" saltValue="1YhvL4cKzKAK1KeTYcV+i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vaueDFRS6gc0emQGJTMyf+A7cEs+OAr26WKLhFGTSFFxLwAQYGmqW9wq1zT+5cCR0qPo7ycZ1JBc21vmVnucyw==" saltValue="K6d8iivyXheZvMNwO+sj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bJrPcfdm4HSUkSWs22DzKvTJv5zXa1YA4FeiQL3YuJSn0eISOjGLRrBm4Gzv/7cmUOxEvdSZlaQV5a6kxH2Zqw==" saltValue="UhEGcwg9kAEXZAs5Y70P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aV9Q1pU8UFkGVkW27u2pcuF2RXmIAjSLtXDaAv8Rn632IPjVr/h/C/TL7E8JPOXZxLFBG8eZgb39mvrNa25xyA==" saltValue="q7f7VhHF2fgcia2TYecF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XbnfgoorHl+VaPyaDCkGSiO89bM80XkEhfvOi3G1iN2YGLv16cumIRUUoH4MxP6mBEN8dU40oETBNkPx1f+DKg==" saltValue="wlZ1HeIWYy3yDCtbd+ot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dEhChTskHoURX1/jHEUaEsZBVAanIn/GKm1NcNaZdXbH96bupYhWU4DA0xukh/gYUsg20dJwMRJbE57I/lCpEQ==" saltValue="o7AvofdC+4qxgyjHz2GV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V68UfTx1KaiWeWTZuAo7kiWU43VqLWE8lXKdF9FscvfU46g82CmoMZBImub5f+dhqJB0dpcIn5V2sW2zX31m/w==" saltValue="iFQpfbbuUT/KeT6bUYIGb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NzVaKaIsQHrKcf1uPsr1UrAyeM1b7b1N1pfuFm1cOB3ljm0VzAykZ4PUfPmmudyBWm1SGTbMlVuLi5NtwVY+OA==" saltValue="gJ3hvjx9uWRLIz/2qq9C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3xfShZZevv8nIy2ZFTwXy351xjtGIZrsT+MJv01ewRRno1r1ytKNcL19jaQzJKEwZS2jDUEQw0HmHfXiLDciw==" saltValue="kSbS7HxluFFYG/xKCIe4R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2024-05-17T00:27:54Z</dcterms:modified>
</cp:coreProperties>
</file>