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A8C0770C-A173-4CB5-9652-7B7733A9765B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H38" i="2"/>
  <c r="G38" i="2"/>
  <c r="I38" i="2" s="1"/>
  <c r="A31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I40" i="2" l="1"/>
  <c r="A15" i="2"/>
  <c r="A23" i="2"/>
  <c r="A16" i="2"/>
  <c r="A24" i="2"/>
  <c r="A32" i="2"/>
  <c r="A25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7" i="2"/>
  <c r="A33" i="2"/>
  <c r="A19" i="2"/>
  <c r="A27" i="2"/>
  <c r="A35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<sst xmlns="http://schemas.openxmlformats.org/spreadsheetml/2006/main" count="2101" uniqueCount="337">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</sst>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309928.00390625</v>
      </c>
    </row>
    <row r="8" spans="1:3" ht="15" customHeight="1" x14ac:dyDescent="0.25">
      <c r="B8" s="5" t="s">
        <v>19</v>
      </c>
      <c r="C8" s="44">
        <v>3.4000000000000002E-2</v>
      </c>
    </row>
    <row r="9" spans="1:3" ht="15" customHeight="1" x14ac:dyDescent="0.25">
      <c r="B9" s="5" t="s">
        <v>20</v>
      </c>
      <c r="C9" s="45">
        <v>0.96</v>
      </c>
    </row>
    <row r="10" spans="1:3" ht="15" customHeight="1" x14ac:dyDescent="0.25">
      <c r="B10" s="5" t="s">
        <v>21</v>
      </c>
      <c r="C10" s="45">
        <v>0.32603321079999997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0.7609999999999999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7.5999999999999998E-2</v>
      </c>
    </row>
    <row r="24" spans="1:3" ht="15" customHeight="1" x14ac:dyDescent="0.25">
      <c r="B24" s="15" t="s">
        <v>33</v>
      </c>
      <c r="C24" s="45">
        <v>0.42870000000000003</v>
      </c>
    </row>
    <row r="25" spans="1:3" ht="15" customHeight="1" x14ac:dyDescent="0.25">
      <c r="B25" s="15" t="s">
        <v>34</v>
      </c>
      <c r="C25" s="45">
        <v>0.38779999999999998</v>
      </c>
    </row>
    <row r="26" spans="1:3" ht="15" customHeight="1" x14ac:dyDescent="0.25">
      <c r="B26" s="15" t="s">
        <v>35</v>
      </c>
      <c r="C26" s="45">
        <v>0.1075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0.267409234355309</v>
      </c>
    </row>
    <row r="30" spans="1:3" ht="14.25" customHeight="1" x14ac:dyDescent="0.25">
      <c r="B30" s="25" t="s">
        <v>38</v>
      </c>
      <c r="C30" s="99">
        <v>6.2316367797226199E-2</v>
      </c>
    </row>
    <row r="31" spans="1:3" ht="14.25" customHeight="1" x14ac:dyDescent="0.25">
      <c r="B31" s="25" t="s">
        <v>39</v>
      </c>
      <c r="C31" s="99">
        <v>9.3002675244955299E-2</v>
      </c>
    </row>
    <row r="32" spans="1:3" ht="14.25" customHeight="1" x14ac:dyDescent="0.25">
      <c r="B32" s="25" t="s">
        <v>40</v>
      </c>
      <c r="C32" s="99">
        <v>0.57727172260250903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18.94415</v>
      </c>
    </row>
    <row r="38" spans="1:5" ht="15" customHeight="1" x14ac:dyDescent="0.25">
      <c r="B38" s="11" t="s">
        <v>45</v>
      </c>
      <c r="C38" s="43">
        <v>29.356670000000001</v>
      </c>
      <c r="D38" s="12"/>
      <c r="E38" s="13"/>
    </row>
    <row r="39" spans="1:5" ht="15" customHeight="1" x14ac:dyDescent="0.25">
      <c r="B39" s="11" t="s">
        <v>46</v>
      </c>
      <c r="C39" s="43">
        <v>39.74532</v>
      </c>
      <c r="D39" s="12"/>
      <c r="E39" s="12"/>
    </row>
    <row r="40" spans="1:5" ht="15" customHeight="1" x14ac:dyDescent="0.25">
      <c r="B40" s="11" t="s">
        <v>47</v>
      </c>
      <c r="C40" s="100">
        <v>2.27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14.095359999999999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5.8306E-3</v>
      </c>
      <c r="D45" s="12"/>
    </row>
    <row r="46" spans="1:5" ht="15.75" customHeight="1" x14ac:dyDescent="0.25">
      <c r="B46" s="11" t="s">
        <v>52</v>
      </c>
      <c r="C46" s="45">
        <v>6.2648999999999996E-2</v>
      </c>
      <c r="D46" s="12"/>
    </row>
    <row r="47" spans="1:5" ht="15.75" customHeight="1" x14ac:dyDescent="0.25">
      <c r="B47" s="11" t="s">
        <v>53</v>
      </c>
      <c r="C47" s="45">
        <v>7.5456700000000002E-2</v>
      </c>
      <c r="D47" s="12"/>
      <c r="E47" s="13"/>
    </row>
    <row r="48" spans="1:5" ht="15" customHeight="1" x14ac:dyDescent="0.25">
      <c r="B48" s="11" t="s">
        <v>54</v>
      </c>
      <c r="C48" s="46">
        <v>0.85606369999999998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0.40570099999999998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0.167510149999999</v>
      </c>
    </row>
    <row r="63" spans="1:4" ht="15.75" customHeight="1" x14ac:dyDescent="0.3">
      <c r="A63" s="4"/>
    </row>
  </sheetData>
  <sheetProtection algorithmName="SHA-512" hashValue="WquqtTAGm7vh1dJZEDAP5H9FmToqf2atpUQtSLTTDbXA1VAmO/09OTY3jXZPM16sFyznme33MDzaOHL9hsQb8g==" saltValue="qUhiI239DbumuhtoJY2Z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90217</v>
      </c>
      <c r="C2" s="49">
        <v>195433</v>
      </c>
      <c r="D2" s="49">
        <v>240641.5</v>
      </c>
      <c r="E2" s="49">
        <v>168986</v>
      </c>
      <c r="F2" s="49">
        <v>106578.5</v>
      </c>
      <c r="G2" s="17">
        <f t="shared" ref="G2:G13" si="0">C2+D2+E2+F2</f>
        <v>711639</v>
      </c>
      <c r="H2" s="17">
        <f t="shared" ref="H2:H13" si="1">(B2 + stillbirth*B2/(1000-stillbirth))/(1-abortion)</f>
        <v>103985.02453727997</v>
      </c>
      <c r="I2" s="17">
        <f t="shared" ref="I2:I13" si="2">G2-H2</f>
        <v>607653.97546272003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91141</v>
      </c>
      <c r="C3" s="50">
        <v>201302.5</v>
      </c>
      <c r="D3" s="50">
        <v>248943.5</v>
      </c>
      <c r="E3" s="50">
        <v>173709</v>
      </c>
      <c r="F3" s="50">
        <v>109515.5</v>
      </c>
      <c r="G3" s="17">
        <f t="shared" si="0"/>
        <v>733470.5</v>
      </c>
      <c r="H3" s="17">
        <f t="shared" si="1"/>
        <v>105050.03626092903</v>
      </c>
      <c r="I3" s="17">
        <f t="shared" si="2"/>
        <v>628420.46373907092</v>
      </c>
    </row>
    <row r="4" spans="1:9" ht="15.75" customHeight="1" x14ac:dyDescent="0.25">
      <c r="A4" s="5">
        <f t="shared" si="3"/>
        <v>2026</v>
      </c>
      <c r="B4" s="49">
        <v>91824</v>
      </c>
      <c r="C4" s="50">
        <v>206853.5</v>
      </c>
      <c r="D4" s="50">
        <v>257782</v>
      </c>
      <c r="E4" s="50">
        <v>178586</v>
      </c>
      <c r="F4" s="50">
        <v>112573</v>
      </c>
      <c r="G4" s="17">
        <f t="shared" si="0"/>
        <v>755794.5</v>
      </c>
      <c r="H4" s="17">
        <f t="shared" si="1"/>
        <v>105837.26895276053</v>
      </c>
      <c r="I4" s="17">
        <f t="shared" si="2"/>
        <v>649957.2310472395</v>
      </c>
    </row>
    <row r="5" spans="1:9" ht="15.75" customHeight="1" x14ac:dyDescent="0.25">
      <c r="A5" s="5">
        <f t="shared" si="3"/>
        <v>2027</v>
      </c>
      <c r="B5" s="49">
        <v>92338</v>
      </c>
      <c r="C5" s="50">
        <v>211983</v>
      </c>
      <c r="D5" s="50">
        <v>267004.5</v>
      </c>
      <c r="E5" s="50">
        <v>183741</v>
      </c>
      <c r="F5" s="50">
        <v>115744</v>
      </c>
      <c r="G5" s="17">
        <f t="shared" si="0"/>
        <v>778472.5</v>
      </c>
      <c r="H5" s="17">
        <f t="shared" si="1"/>
        <v>106429.71053929259</v>
      </c>
      <c r="I5" s="17">
        <f t="shared" si="2"/>
        <v>672042.78946070746</v>
      </c>
    </row>
    <row r="6" spans="1:9" ht="15.75" customHeight="1" x14ac:dyDescent="0.25">
      <c r="A6" s="5">
        <f t="shared" si="3"/>
        <v>2028</v>
      </c>
      <c r="B6" s="49">
        <v>92748</v>
      </c>
      <c r="C6" s="50">
        <v>216670.5</v>
      </c>
      <c r="D6" s="50">
        <v>276299</v>
      </c>
      <c r="E6" s="50">
        <v>189307</v>
      </c>
      <c r="F6" s="50">
        <v>119025.5</v>
      </c>
      <c r="G6" s="17">
        <f t="shared" si="0"/>
        <v>801302</v>
      </c>
      <c r="H6" s="17">
        <f t="shared" si="1"/>
        <v>106902.28067640957</v>
      </c>
      <c r="I6" s="17">
        <f t="shared" si="2"/>
        <v>694399.7193235904</v>
      </c>
    </row>
    <row r="7" spans="1:9" ht="15.75" customHeight="1" x14ac:dyDescent="0.25">
      <c r="A7" s="5">
        <f t="shared" si="3"/>
        <v>2029</v>
      </c>
      <c r="B7" s="49">
        <v>93664</v>
      </c>
      <c r="C7" s="50">
        <v>220768.5</v>
      </c>
      <c r="D7" s="50">
        <v>285732.5</v>
      </c>
      <c r="E7" s="50">
        <v>195225.5</v>
      </c>
      <c r="F7" s="50">
        <v>122397.5</v>
      </c>
      <c r="G7" s="17">
        <f t="shared" si="0"/>
        <v>824124</v>
      </c>
      <c r="H7" s="17">
        <f t="shared" si="1"/>
        <v>107958.07151933441</v>
      </c>
      <c r="I7" s="17">
        <f t="shared" si="2"/>
        <v>716165.92848066555</v>
      </c>
    </row>
    <row r="8" spans="1:9" ht="15.75" customHeight="1" x14ac:dyDescent="0.25">
      <c r="A8" s="5">
        <f t="shared" si="3"/>
        <v>2030</v>
      </c>
      <c r="B8" s="49">
        <v>94419</v>
      </c>
      <c r="C8" s="50">
        <v>224207</v>
      </c>
      <c r="D8" s="50">
        <v>295387.5</v>
      </c>
      <c r="E8" s="50">
        <v>201356.5</v>
      </c>
      <c r="F8" s="50">
        <v>125853</v>
      </c>
      <c r="G8" s="17">
        <f t="shared" si="0"/>
        <v>846804</v>
      </c>
      <c r="H8" s="17">
        <f t="shared" si="1"/>
        <v>108828.29213768399</v>
      </c>
      <c r="I8" s="17">
        <f t="shared" si="2"/>
        <v>737975.70786231605</v>
      </c>
    </row>
    <row r="9" spans="1:9" ht="15.75" customHeight="1" x14ac:dyDescent="0.25">
      <c r="A9" s="5">
        <f t="shared" si="3"/>
        <v>2031</v>
      </c>
      <c r="B9" s="49">
        <v>94907</v>
      </c>
      <c r="C9" s="50">
        <v>226988.5</v>
      </c>
      <c r="D9" s="50">
        <v>305154.5</v>
      </c>
      <c r="E9" s="50">
        <v>207709.5</v>
      </c>
      <c r="F9" s="50">
        <v>129421</v>
      </c>
      <c r="G9" s="17">
        <f t="shared" si="0"/>
        <v>869273.5</v>
      </c>
      <c r="H9" s="17">
        <f t="shared" si="1"/>
        <v>109390.7658618623</v>
      </c>
      <c r="I9" s="17">
        <f t="shared" si="2"/>
        <v>759882.73413813766</v>
      </c>
    </row>
    <row r="10" spans="1:9" ht="15.75" customHeight="1" x14ac:dyDescent="0.25">
      <c r="A10" s="5">
        <f t="shared" si="3"/>
        <v>2032</v>
      </c>
      <c r="B10" s="49">
        <v>95540</v>
      </c>
      <c r="C10" s="50">
        <v>229192</v>
      </c>
      <c r="D10" s="50">
        <v>314953.5</v>
      </c>
      <c r="E10" s="50">
        <v>214299.5</v>
      </c>
      <c r="F10" s="50">
        <v>133170</v>
      </c>
      <c r="G10" s="17">
        <f t="shared" si="0"/>
        <v>891615</v>
      </c>
      <c r="H10" s="17">
        <f t="shared" si="1"/>
        <v>110120.36804916733</v>
      </c>
      <c r="I10" s="17">
        <f t="shared" si="2"/>
        <v>781494.63195083267</v>
      </c>
    </row>
    <row r="11" spans="1:9" ht="15.75" customHeight="1" x14ac:dyDescent="0.25">
      <c r="A11" s="5">
        <f t="shared" si="3"/>
        <v>2033</v>
      </c>
      <c r="B11" s="49">
        <v>96478</v>
      </c>
      <c r="C11" s="50">
        <v>231037.5</v>
      </c>
      <c r="D11" s="50">
        <v>324402.5</v>
      </c>
      <c r="E11" s="50">
        <v>221377.5</v>
      </c>
      <c r="F11" s="50">
        <v>137120.5</v>
      </c>
      <c r="G11" s="17">
        <f t="shared" si="0"/>
        <v>913938</v>
      </c>
      <c r="H11" s="17">
        <f t="shared" si="1"/>
        <v>111201.5163140838</v>
      </c>
      <c r="I11" s="17">
        <f t="shared" si="2"/>
        <v>802736.48368591617</v>
      </c>
    </row>
    <row r="12" spans="1:9" ht="15.75" customHeight="1" x14ac:dyDescent="0.25">
      <c r="A12" s="5">
        <f t="shared" si="3"/>
        <v>2034</v>
      </c>
      <c r="B12" s="49">
        <v>96733</v>
      </c>
      <c r="C12" s="50">
        <v>232833.5</v>
      </c>
      <c r="D12" s="50">
        <v>333195</v>
      </c>
      <c r="E12" s="50">
        <v>229095.5</v>
      </c>
      <c r="F12" s="50">
        <v>141215.5</v>
      </c>
      <c r="G12" s="17">
        <f t="shared" si="0"/>
        <v>936339.5</v>
      </c>
      <c r="H12" s="17">
        <f t="shared" si="1"/>
        <v>111495.43188716876</v>
      </c>
      <c r="I12" s="17">
        <f t="shared" si="2"/>
        <v>824844.06811283121</v>
      </c>
    </row>
    <row r="13" spans="1:9" ht="15.75" customHeight="1" x14ac:dyDescent="0.25">
      <c r="A13" s="5">
        <f t="shared" si="3"/>
        <v>2035</v>
      </c>
      <c r="B13" s="49">
        <v>97504</v>
      </c>
      <c r="C13" s="50">
        <v>234776.5</v>
      </c>
      <c r="D13" s="50">
        <v>341350</v>
      </c>
      <c r="E13" s="50">
        <v>237298</v>
      </c>
      <c r="F13" s="50">
        <v>145376.5</v>
      </c>
      <c r="G13" s="17">
        <f t="shared" si="0"/>
        <v>958801</v>
      </c>
      <c r="H13" s="17">
        <f t="shared" si="1"/>
        <v>112384.09426696683</v>
      </c>
      <c r="I13" s="17">
        <f t="shared" si="2"/>
        <v>846416.9057330332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iuWqlExMkMqx+Cyb9dzzeyTHiY3MxuY0p7JcQnzyPtvuVhELN1FDc1UwAlC6jg7wqAhcsVtxFUAwPBas1aUyA==" saltValue="1G+pa1ozF4jTb1MESboUw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7.9603999999999977E-3</v>
      </c>
    </row>
    <row r="4" spans="1:8" ht="15.75" customHeight="1" x14ac:dyDescent="0.25">
      <c r="B4" s="19" t="s">
        <v>79</v>
      </c>
      <c r="C4" s="101">
        <v>5.4278499999999973E-2</v>
      </c>
    </row>
    <row r="5" spans="1:8" ht="15.75" customHeight="1" x14ac:dyDescent="0.25">
      <c r="B5" s="19" t="s">
        <v>80</v>
      </c>
      <c r="C5" s="101">
        <v>6.8896700000000047E-2</v>
      </c>
    </row>
    <row r="6" spans="1:8" ht="15.75" customHeight="1" x14ac:dyDescent="0.25">
      <c r="B6" s="19" t="s">
        <v>81</v>
      </c>
      <c r="C6" s="101">
        <v>0.2405291000000005</v>
      </c>
    </row>
    <row r="7" spans="1:8" ht="15.75" customHeight="1" x14ac:dyDescent="0.25">
      <c r="B7" s="19" t="s">
        <v>82</v>
      </c>
      <c r="C7" s="101">
        <v>0.42675559999999951</v>
      </c>
    </row>
    <row r="8" spans="1:8" ht="15.75" customHeight="1" x14ac:dyDescent="0.25">
      <c r="B8" s="19" t="s">
        <v>83</v>
      </c>
      <c r="C8" s="101">
        <v>1.9896999999999992E-3</v>
      </c>
    </row>
    <row r="9" spans="1:8" ht="15.75" customHeight="1" x14ac:dyDescent="0.25">
      <c r="B9" s="19" t="s">
        <v>84</v>
      </c>
      <c r="C9" s="101">
        <v>8.7416600000000025E-2</v>
      </c>
    </row>
    <row r="10" spans="1:8" ht="15.75" customHeight="1" x14ac:dyDescent="0.25">
      <c r="B10" s="19" t="s">
        <v>85</v>
      </c>
      <c r="C10" s="101">
        <v>0.11217340000000001</v>
      </c>
    </row>
    <row r="11" spans="1:8" ht="15.75" customHeight="1" x14ac:dyDescent="0.25">
      <c r="B11" s="27" t="s">
        <v>41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0.1586850795979258</v>
      </c>
      <c r="D14" s="55">
        <v>0.1586850795979258</v>
      </c>
      <c r="E14" s="55">
        <v>0.1586850795979258</v>
      </c>
      <c r="F14" s="55">
        <v>0.1586850795979258</v>
      </c>
    </row>
    <row r="15" spans="1:8" ht="15.75" customHeight="1" x14ac:dyDescent="0.25">
      <c r="B15" s="19" t="s">
        <v>88</v>
      </c>
      <c r="C15" s="101">
        <v>0.1457257056059359</v>
      </c>
      <c r="D15" s="101">
        <v>0.1457257056059359</v>
      </c>
      <c r="E15" s="101">
        <v>0.1457257056059359</v>
      </c>
      <c r="F15" s="101">
        <v>0.1457257056059359</v>
      </c>
    </row>
    <row r="16" spans="1:8" ht="15.75" customHeight="1" x14ac:dyDescent="0.25">
      <c r="B16" s="19" t="s">
        <v>89</v>
      </c>
      <c r="C16" s="101">
        <v>3.6673544337957442E-2</v>
      </c>
      <c r="D16" s="101">
        <v>3.6673544337957442E-2</v>
      </c>
      <c r="E16" s="101">
        <v>3.6673544337957442E-2</v>
      </c>
      <c r="F16" s="101">
        <v>3.6673544337957442E-2</v>
      </c>
    </row>
    <row r="17" spans="1:8" ht="15.75" customHeight="1" x14ac:dyDescent="0.25">
      <c r="B17" s="19" t="s">
        <v>90</v>
      </c>
      <c r="C17" s="101">
        <v>9.8008104921843586E-2</v>
      </c>
      <c r="D17" s="101">
        <v>9.8008104921843586E-2</v>
      </c>
      <c r="E17" s="101">
        <v>9.8008104921843586E-2</v>
      </c>
      <c r="F17" s="101">
        <v>9.8008104921843586E-2</v>
      </c>
    </row>
    <row r="18" spans="1:8" ht="15.75" customHeight="1" x14ac:dyDescent="0.25">
      <c r="B18" s="19" t="s">
        <v>91</v>
      </c>
      <c r="C18" s="101">
        <v>0.135975881764268</v>
      </c>
      <c r="D18" s="101">
        <v>0.135975881764268</v>
      </c>
      <c r="E18" s="101">
        <v>0.135975881764268</v>
      </c>
      <c r="F18" s="101">
        <v>0.135975881764268</v>
      </c>
    </row>
    <row r="19" spans="1:8" ht="15.75" customHeight="1" x14ac:dyDescent="0.25">
      <c r="B19" s="19" t="s">
        <v>92</v>
      </c>
      <c r="C19" s="101">
        <v>6.2473064113144711E-2</v>
      </c>
      <c r="D19" s="101">
        <v>6.2473064113144711E-2</v>
      </c>
      <c r="E19" s="101">
        <v>6.2473064113144711E-2</v>
      </c>
      <c r="F19" s="101">
        <v>6.2473064113144711E-2</v>
      </c>
    </row>
    <row r="20" spans="1:8" ht="15.75" customHeight="1" x14ac:dyDescent="0.25">
      <c r="B20" s="19" t="s">
        <v>93</v>
      </c>
      <c r="C20" s="101">
        <v>8.6546694608013008E-2</v>
      </c>
      <c r="D20" s="101">
        <v>8.6546694608013008E-2</v>
      </c>
      <c r="E20" s="101">
        <v>8.6546694608013008E-2</v>
      </c>
      <c r="F20" s="101">
        <v>8.6546694608013008E-2</v>
      </c>
    </row>
    <row r="21" spans="1:8" ht="15.75" customHeight="1" x14ac:dyDescent="0.25">
      <c r="B21" s="19" t="s">
        <v>94</v>
      </c>
      <c r="C21" s="101">
        <v>8.7176531093682147E-2</v>
      </c>
      <c r="D21" s="101">
        <v>8.7176531093682147E-2</v>
      </c>
      <c r="E21" s="101">
        <v>8.7176531093682147E-2</v>
      </c>
      <c r="F21" s="101">
        <v>8.7176531093682147E-2</v>
      </c>
    </row>
    <row r="22" spans="1:8" ht="15.75" customHeight="1" x14ac:dyDescent="0.25">
      <c r="B22" s="19" t="s">
        <v>95</v>
      </c>
      <c r="C22" s="101">
        <v>0.1887353939572296</v>
      </c>
      <c r="D22" s="101">
        <v>0.1887353939572296</v>
      </c>
      <c r="E22" s="101">
        <v>0.1887353939572296</v>
      </c>
      <c r="F22" s="101">
        <v>0.1887353939572296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9.5711987999999998E-2</v>
      </c>
    </row>
    <row r="27" spans="1:8" ht="15.75" customHeight="1" x14ac:dyDescent="0.25">
      <c r="B27" s="19" t="s">
        <v>102</v>
      </c>
      <c r="C27" s="101">
        <v>4.2970438999999999E-2</v>
      </c>
    </row>
    <row r="28" spans="1:8" ht="15.75" customHeight="1" x14ac:dyDescent="0.25">
      <c r="B28" s="19" t="s">
        <v>103</v>
      </c>
      <c r="C28" s="101">
        <v>0.19642078600000001</v>
      </c>
    </row>
    <row r="29" spans="1:8" ht="15.75" customHeight="1" x14ac:dyDescent="0.25">
      <c r="B29" s="19" t="s">
        <v>104</v>
      </c>
      <c r="C29" s="101">
        <v>0.206894785</v>
      </c>
    </row>
    <row r="30" spans="1:8" ht="15.75" customHeight="1" x14ac:dyDescent="0.25">
      <c r="B30" s="19" t="s">
        <v>2</v>
      </c>
      <c r="C30" s="101">
        <v>2.7698743000000001E-2</v>
      </c>
    </row>
    <row r="31" spans="1:8" ht="15.75" customHeight="1" x14ac:dyDescent="0.25">
      <c r="B31" s="19" t="s">
        <v>105</v>
      </c>
      <c r="C31" s="101">
        <v>0.20935653800000001</v>
      </c>
    </row>
    <row r="32" spans="1:8" ht="15.75" customHeight="1" x14ac:dyDescent="0.25">
      <c r="B32" s="19" t="s">
        <v>106</v>
      </c>
      <c r="C32" s="101">
        <v>1.2451637999999999E-2</v>
      </c>
    </row>
    <row r="33" spans="2:3" ht="15.75" customHeight="1" x14ac:dyDescent="0.25">
      <c r="B33" s="19" t="s">
        <v>107</v>
      </c>
      <c r="C33" s="101">
        <v>5.1474696E-2</v>
      </c>
    </row>
    <row r="34" spans="2:3" ht="15.75" customHeight="1" x14ac:dyDescent="0.25">
      <c r="B34" s="19" t="s">
        <v>108</v>
      </c>
      <c r="C34" s="101">
        <v>0.15702038800000001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9LpWqpqMLYtWVUlLpmQ9nq5AKNCFcgVPb62eL3mbdpDHKnJrS7jfnRFTcG05XxwwUSl7dnLnwadqf9ijTcj96w==" saltValue="85FNFQNvZ1YWKzwVh+Sz2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0.51029382434732007</v>
      </c>
      <c r="D2" s="52">
        <f>IFERROR(1-_xlfn.NORM.DIST(_xlfn.NORM.INV(SUM(D4:D5), 0, 1) + 1, 0, 1, TRUE), "")</f>
        <v>0.51029382434732007</v>
      </c>
      <c r="E2" s="52">
        <f>IFERROR(1-_xlfn.NORM.DIST(_xlfn.NORM.INV(SUM(E4:E5), 0, 1) + 1, 0, 1, TRUE), "")</f>
        <v>0.6443379975681347</v>
      </c>
      <c r="F2" s="52">
        <f>IFERROR(1-_xlfn.NORM.DIST(_xlfn.NORM.INV(SUM(F4:F5), 0, 1) + 1, 0, 1, TRUE), "")</f>
        <v>0.42295980173304104</v>
      </c>
      <c r="G2" s="52">
        <f>IFERROR(1-_xlfn.NORM.DIST(_xlfn.NORM.INV(SUM(G4:G5), 0, 1) + 1, 0, 1, TRUE), "")</f>
        <v>0.5531086877320488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0.33721457565267998</v>
      </c>
      <c r="D3" s="52">
        <f>IFERROR(_xlfn.NORM.DIST(_xlfn.NORM.INV(SUM(D4:D5), 0, 1) + 1, 0, 1, TRUE) - SUM(D4:D5), "")</f>
        <v>0.33721457565267998</v>
      </c>
      <c r="E3" s="52">
        <f>IFERROR(_xlfn.NORM.DIST(_xlfn.NORM.INV(SUM(E4:E5), 0, 1) + 1, 0, 1, TRUE) - SUM(E4:E5), "")</f>
        <v>0.2703308024318653</v>
      </c>
      <c r="F3" s="52">
        <f>IFERROR(_xlfn.NORM.DIST(_xlfn.NORM.INV(SUM(F4:F5), 0, 1) + 1, 0, 1, TRUE) - SUM(F4:F5), "")</f>
        <v>0.36682439826695895</v>
      </c>
      <c r="G3" s="52">
        <f>IFERROR(_xlfn.NORM.DIST(_xlfn.NORM.INV(SUM(G4:G5), 0, 1) + 1, 0, 1, TRUE) - SUM(G4:G5), "")</f>
        <v>0.3183932122679512</v>
      </c>
    </row>
    <row r="4" spans="1:15" ht="15.75" customHeight="1" x14ac:dyDescent="0.25">
      <c r="B4" s="5" t="s">
        <v>114</v>
      </c>
      <c r="C4" s="45">
        <v>0.1042593</v>
      </c>
      <c r="D4" s="53">
        <v>0.1042593</v>
      </c>
      <c r="E4" s="53">
        <v>6.4421300000000001E-2</v>
      </c>
      <c r="F4" s="53">
        <v>0.1396512</v>
      </c>
      <c r="G4" s="53">
        <v>8.9111200000000002E-2</v>
      </c>
    </row>
    <row r="5" spans="1:15" ht="15.75" customHeight="1" x14ac:dyDescent="0.25">
      <c r="B5" s="5" t="s">
        <v>115</v>
      </c>
      <c r="C5" s="45">
        <v>4.8232299999999999E-2</v>
      </c>
      <c r="D5" s="53">
        <v>4.8232299999999999E-2</v>
      </c>
      <c r="E5" s="53">
        <v>2.0909899999999999E-2</v>
      </c>
      <c r="F5" s="53">
        <v>7.0564600000000005E-2</v>
      </c>
      <c r="G5" s="53">
        <v>3.9386900000000002E-2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0.70894537084830733</v>
      </c>
      <c r="D8" s="52">
        <f>IFERROR(1-_xlfn.NORM.DIST(_xlfn.NORM.INV(SUM(D10:D11), 0, 1) + 1, 0, 1, TRUE), "")</f>
        <v>0.70894537084830733</v>
      </c>
      <c r="E8" s="52">
        <f>IFERROR(1-_xlfn.NORM.DIST(_xlfn.NORM.INV(SUM(E10:E11), 0, 1) + 1, 0, 1, TRUE), "")</f>
        <v>0.78287691391414294</v>
      </c>
      <c r="F8" s="52">
        <f>IFERROR(1-_xlfn.NORM.DIST(_xlfn.NORM.INV(SUM(F10:F11), 0, 1) + 1, 0, 1, TRUE), "")</f>
        <v>0.75225865586967744</v>
      </c>
      <c r="G8" s="52">
        <f>IFERROR(1-_xlfn.NORM.DIST(_xlfn.NORM.INV(SUM(G10:G11), 0, 1) + 1, 0, 1, TRUE), "")</f>
        <v>0.8317317240301163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0.23052062915169269</v>
      </c>
      <c r="D9" s="52">
        <f>IFERROR(_xlfn.NORM.DIST(_xlfn.NORM.INV(SUM(D10:D11), 0, 1) + 1, 0, 1, TRUE) - SUM(D10:D11), "")</f>
        <v>0.23052062915169269</v>
      </c>
      <c r="E9" s="52">
        <f>IFERROR(_xlfn.NORM.DIST(_xlfn.NORM.INV(SUM(E10:E11), 0, 1) + 1, 0, 1, TRUE) - SUM(E10:E11), "")</f>
        <v>0.1797440860858571</v>
      </c>
      <c r="F9" s="52">
        <f>IFERROR(_xlfn.NORM.DIST(_xlfn.NORM.INV(SUM(F10:F11), 0, 1) + 1, 0, 1, TRUE) - SUM(F10:F11), "")</f>
        <v>0.20141954413032256</v>
      </c>
      <c r="G9" s="52">
        <f>IFERROR(_xlfn.NORM.DIST(_xlfn.NORM.INV(SUM(G10:G11), 0, 1) + 1, 0, 1, TRUE) - SUM(G10:G11), "")</f>
        <v>0.14333057596988374</v>
      </c>
    </row>
    <row r="10" spans="1:15" ht="15.75" customHeight="1" x14ac:dyDescent="0.25">
      <c r="B10" s="5" t="s">
        <v>119</v>
      </c>
      <c r="C10" s="45">
        <v>3.2665799999999988E-2</v>
      </c>
      <c r="D10" s="53">
        <v>3.2665799999999988E-2</v>
      </c>
      <c r="E10" s="53">
        <v>3.3006899999999999E-2</v>
      </c>
      <c r="F10" s="53">
        <v>2.9760200000000001E-2</v>
      </c>
      <c r="G10" s="53">
        <v>2.0562400000000002E-2</v>
      </c>
    </row>
    <row r="11" spans="1:15" ht="15.75" customHeight="1" x14ac:dyDescent="0.25">
      <c r="B11" s="5" t="s">
        <v>120</v>
      </c>
      <c r="C11" s="45">
        <v>2.7868199999999999E-2</v>
      </c>
      <c r="D11" s="53">
        <v>2.7868199999999999E-2</v>
      </c>
      <c r="E11" s="53">
        <v>4.3721000000000003E-3</v>
      </c>
      <c r="F11" s="53">
        <v>1.6561599999999999E-2</v>
      </c>
      <c r="G11" s="53">
        <v>4.3753000000000004E-3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0.90030758050000004</v>
      </c>
      <c r="D14" s="54">
        <v>0.891409188252</v>
      </c>
      <c r="E14" s="54">
        <v>0.891409188252</v>
      </c>
      <c r="F14" s="54">
        <v>0.79417818844199994</v>
      </c>
      <c r="G14" s="54">
        <v>0.79417818844199994</v>
      </c>
      <c r="H14" s="45">
        <v>0.60599999999999998</v>
      </c>
      <c r="I14" s="55">
        <v>0.60599999999999998</v>
      </c>
      <c r="J14" s="55">
        <v>0.60599999999999998</v>
      </c>
      <c r="K14" s="55">
        <v>0.60599999999999998</v>
      </c>
      <c r="L14" s="45">
        <v>0.58899999999999997</v>
      </c>
      <c r="M14" s="55">
        <v>0.58899999999999997</v>
      </c>
      <c r="N14" s="55">
        <v>0.58899999999999997</v>
      </c>
      <c r="O14" s="55">
        <v>0.58899999999999997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0.36525568571643052</v>
      </c>
      <c r="D15" s="52">
        <f t="shared" si="0"/>
        <v>0.36164559908302463</v>
      </c>
      <c r="E15" s="52">
        <f t="shared" si="0"/>
        <v>0.36164559908302463</v>
      </c>
      <c r="F15" s="52">
        <f t="shared" si="0"/>
        <v>0.32219888522910778</v>
      </c>
      <c r="G15" s="52">
        <f t="shared" si="0"/>
        <v>0.32219888522910778</v>
      </c>
      <c r="H15" s="52">
        <f t="shared" si="0"/>
        <v>0.24585480599999998</v>
      </c>
      <c r="I15" s="52">
        <f t="shared" si="0"/>
        <v>0.24585480599999998</v>
      </c>
      <c r="J15" s="52">
        <f t="shared" si="0"/>
        <v>0.24585480599999998</v>
      </c>
      <c r="K15" s="52">
        <f t="shared" si="0"/>
        <v>0.24585480599999998</v>
      </c>
      <c r="L15" s="52">
        <f t="shared" si="0"/>
        <v>0.23895788899999998</v>
      </c>
      <c r="M15" s="52">
        <f t="shared" si="0"/>
        <v>0.23895788899999998</v>
      </c>
      <c r="N15" s="52">
        <f t="shared" si="0"/>
        <v>0.23895788899999998</v>
      </c>
      <c r="O15" s="52">
        <f t="shared" si="0"/>
        <v>0.23895788899999998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tFz2CK0nGDFTpGFoGLQUwCkwEp7V5thp/j9sRgFWoCNowBVQBFV194GhCH2J8ma8RMdNdGpfCdJq7G/vCTFgfA==" saltValue="oVZpE1Fy1/y5iqbFOx5D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0.33484629999999999</v>
      </c>
      <c r="D2" s="53">
        <v>0.1464792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0.10618130000000001</v>
      </c>
      <c r="D3" s="53">
        <v>0.1315151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0.51469330000000002</v>
      </c>
      <c r="D4" s="53">
        <v>0.61570049999999998</v>
      </c>
      <c r="E4" s="53">
        <v>0.72258</v>
      </c>
      <c r="F4" s="53">
        <v>0.1682478</v>
      </c>
      <c r="G4" s="53">
        <v>0</v>
      </c>
    </row>
    <row r="5" spans="1:7" x14ac:dyDescent="0.25">
      <c r="B5" s="3" t="s">
        <v>132</v>
      </c>
      <c r="C5" s="52">
        <v>4.4279099999999988E-2</v>
      </c>
      <c r="D5" s="52">
        <v>0.1063051</v>
      </c>
      <c r="E5" s="52">
        <f>1-SUM(E2:E4)</f>
        <v>0.27742</v>
      </c>
      <c r="F5" s="52">
        <f>1-SUM(F2:F4)</f>
        <v>0.83175219999999994</v>
      </c>
      <c r="G5" s="52">
        <f>1-SUM(G2:G4)</f>
        <v>1</v>
      </c>
    </row>
  </sheetData>
  <sheetProtection algorithmName="SHA-512" hashValue="r9M337JPYIN2ApPcBeaBCqXF4k6g+No8kMXMA2OLVccv4zvbEgg2hISKzOzzrLYGUQL/vHiQk7uIgdbhTfNxGg==" saltValue="RrBYhZWRfvX2YAnWMTo+/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6wF4bz362BOfK93Gb63QOMIHx/LxLlfRK+klIW98Cs2c7f9oW4Y4/PrafVAQtk+fsXpq7qwZGl++3RsBVNaH0Q==" saltValue="NtRvM9JT5jfz6pwz/P4D7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egQh8k+UKl/ktHloeKK6ZNDL+NKAmECPnmKTN2WbhqOIowASwvlmSHff7pCxxAQDohDKtdX45srP/SzY+IIgSw==" saltValue="9C+zOwhkZQEGQda6Pw/oP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r85p1XNE+VBmaDJtEPLcGhYTRBp8vSRmBQdrRj/lbBDoHTnWv9bXBdbIfBujFvnum5bDMU/pTpb4Tldjhhzf6w==" saltValue="DpagatYgncJfvblbuOTR/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HLFgmgXIWjFuMdI4CHoZZv99QZejhvH21DbGDSFMxkrMSaE4fKR26IFlRQpXMZWTvTDA8zDcWLOu2y2yt3eHBA==" saltValue="TfXYMdYS5FheK70onBz4b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65.60734264525216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7.2861200073283072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0.58969668283167476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0.70706266146872643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0.5</v>
      </c>
      <c r="C9" s="98">
        <v>0.95</v>
      </c>
      <c r="D9" s="56">
        <v>0.32567734710074681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0.3935863</v>
      </c>
      <c r="C10" s="98">
        <v>0.95</v>
      </c>
      <c r="D10" s="56">
        <v>13.46512306465123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13.46512306465123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13.46512306465123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13.46512306465123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0.3935863</v>
      </c>
      <c r="C14" s="98">
        <v>0.95</v>
      </c>
      <c r="D14" s="56">
        <v>13.46512306465123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13.46512306465123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0.50625290000000001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0.77200000000000002</v>
      </c>
      <c r="C18" s="98">
        <v>0.95</v>
      </c>
      <c r="D18" s="56">
        <v>7.2861200073283072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0.1464792</v>
      </c>
      <c r="C19" s="98">
        <v>0.95</v>
      </c>
      <c r="D19" s="56">
        <v>7.2861200073283072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7.4846345450640612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22.937030782027101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0.18503539999999999</v>
      </c>
      <c r="C23" s="98">
        <v>0.95</v>
      </c>
      <c r="D23" s="56">
        <v>4.4144238992015667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0.87473390287197805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8.0000000000000002E-3</v>
      </c>
      <c r="C26" s="98">
        <v>0.95</v>
      </c>
      <c r="D26" s="56">
        <v>3.4665816434934871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13.803307962555669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0.199735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0.26319480000000001</v>
      </c>
      <c r="C29" s="98">
        <v>0.95</v>
      </c>
      <c r="D29" s="56">
        <v>88.005851455993124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180.94215297303569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0.65266805708153031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0.2726925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0.1465804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0.88436610000000004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0.21099999999999999</v>
      </c>
      <c r="C38" s="98">
        <v>0.95</v>
      </c>
      <c r="D38" s="56">
        <v>2.4488574538288082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EJhMP1xZJ2ttOZcwc2dmpyanIt86hbCM9W1mrK9y2YK/XwFikpeS/yEpHTqYZ5taG2QHgDHDbXTp9ySVWxwqjQ==" saltValue="yGGiiIwq2czOcj3ExtuA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/HexKpqf3+Rl+CkTUF85Vpgrlim4nU114oez6rt6s8qnfpAI7PSHOSmkK6/uYM1W8eEY0zKYNFwqfC4EFZ1k2Q==" saltValue="IJfiCDkapVOJixeGqfii3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2WUw1z6LQ6XAqlVTl67+enygrqaKXCBKAsP/bYDHKRdql2f677TzZrTsJpeG0QLRiH94YpXvZgykFdBjjdTFPw==" saltValue="HZqvEwPYsaJab/Ll4yG+F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8.4931079999999978E-2</v>
      </c>
      <c r="C3" s="21">
        <f>frac_mam_1_5months * 2.6</f>
        <v>8.4931079999999978E-2</v>
      </c>
      <c r="D3" s="21">
        <f>frac_mam_6_11months * 2.6</f>
        <v>8.5817939999999995E-2</v>
      </c>
      <c r="E3" s="21">
        <f>frac_mam_12_23months * 2.6</f>
        <v>7.7376520000000004E-2</v>
      </c>
      <c r="F3" s="21">
        <f>frac_mam_24_59months * 2.6</f>
        <v>5.3462240000000008E-2</v>
      </c>
    </row>
    <row r="4" spans="1:6" ht="15.75" customHeight="1" x14ac:dyDescent="0.25">
      <c r="A4" s="3" t="s">
        <v>208</v>
      </c>
      <c r="B4" s="21">
        <f>frac_sam_1month * 2.6</f>
        <v>7.2457320000000006E-2</v>
      </c>
      <c r="C4" s="21">
        <f>frac_sam_1_5months * 2.6</f>
        <v>7.2457320000000006E-2</v>
      </c>
      <c r="D4" s="21">
        <f>frac_sam_6_11months * 2.6</f>
        <v>1.1367460000000001E-2</v>
      </c>
      <c r="E4" s="21">
        <f>frac_sam_12_23months * 2.6</f>
        <v>4.306016E-2</v>
      </c>
      <c r="F4" s="21">
        <f>frac_sam_24_59months * 2.6</f>
        <v>1.1375780000000002E-2</v>
      </c>
    </row>
  </sheetData>
  <sheetProtection algorithmName="SHA-512" hashValue="vt56kVWo3PBO0cqmD/QK7TF/6xu6bsFRMNDLPq7M/80E5rw13j9rEwxOpCaj3SPcqkZQO26zTfisy334XBIHrA==" saltValue="7OQ6y51WMWDKfntggHw8k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3.4000000000000002E-2</v>
      </c>
      <c r="E2" s="60">
        <f>food_insecure</f>
        <v>3.4000000000000002E-2</v>
      </c>
      <c r="F2" s="60">
        <f>food_insecure</f>
        <v>3.4000000000000002E-2</v>
      </c>
      <c r="G2" s="60">
        <f>food_insecure</f>
        <v>3.4000000000000002E-2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3.4000000000000002E-2</v>
      </c>
      <c r="F5" s="60">
        <f>food_insecure</f>
        <v>3.4000000000000002E-2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3.4000000000000002E-2</v>
      </c>
      <c r="F8" s="60">
        <f>food_insecure</f>
        <v>3.4000000000000002E-2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3.4000000000000002E-2</v>
      </c>
      <c r="F9" s="60">
        <f>food_insecure</f>
        <v>3.4000000000000002E-2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3.4000000000000002E-2</v>
      </c>
      <c r="I15" s="60">
        <f>food_insecure</f>
        <v>3.4000000000000002E-2</v>
      </c>
      <c r="J15" s="60">
        <f>food_insecure</f>
        <v>3.4000000000000002E-2</v>
      </c>
      <c r="K15" s="60">
        <f>food_insecure</f>
        <v>3.4000000000000002E-2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0.7609999999999999</v>
      </c>
      <c r="M24" s="60">
        <f>famplan_unmet_need</f>
        <v>0.7609999999999999</v>
      </c>
      <c r="N24" s="60">
        <f>famplan_unmet_need</f>
        <v>0.7609999999999999</v>
      </c>
      <c r="O24" s="60">
        <f>famplan_unmet_need</f>
        <v>0.7609999999999999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0.33505584958288803</v>
      </c>
      <c r="M25" s="60">
        <f>(1-food_insecure)*(0.49)+food_insecure*(0.7)</f>
        <v>0.49713999999999997</v>
      </c>
      <c r="N25" s="60">
        <f>(1-food_insecure)*(0.49)+food_insecure*(0.7)</f>
        <v>0.49713999999999997</v>
      </c>
      <c r="O25" s="60">
        <f>(1-food_insecure)*(0.49)+food_insecure*(0.7)</f>
        <v>0.49713999999999997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0.14359536410695201</v>
      </c>
      <c r="M26" s="60">
        <f>(1-food_insecure)*(0.21)+food_insecure*(0.3)</f>
        <v>0.21305999999999997</v>
      </c>
      <c r="N26" s="60">
        <f>(1-food_insecure)*(0.21)+food_insecure*(0.3)</f>
        <v>0.21305999999999997</v>
      </c>
      <c r="O26" s="60">
        <f>(1-food_insecure)*(0.21)+food_insecure*(0.3)</f>
        <v>0.21305999999999997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0.19531557551016002</v>
      </c>
      <c r="M27" s="60">
        <f>(1-food_insecure)*(0.3)</f>
        <v>0.2898</v>
      </c>
      <c r="N27" s="60">
        <f>(1-food_insecure)*(0.3)</f>
        <v>0.2898</v>
      </c>
      <c r="O27" s="60">
        <f>(1-food_insecure)*(0.3)</f>
        <v>0.2898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0.96</v>
      </c>
      <c r="D34" s="60">
        <f t="shared" si="3"/>
        <v>0.96</v>
      </c>
      <c r="E34" s="60">
        <f t="shared" si="3"/>
        <v>0.96</v>
      </c>
      <c r="F34" s="60">
        <f t="shared" si="3"/>
        <v>0.96</v>
      </c>
      <c r="G34" s="60">
        <f t="shared" si="3"/>
        <v>0.96</v>
      </c>
      <c r="H34" s="60">
        <f t="shared" si="3"/>
        <v>0.96</v>
      </c>
      <c r="I34" s="60">
        <f t="shared" si="3"/>
        <v>0.96</v>
      </c>
      <c r="J34" s="60">
        <f t="shared" si="3"/>
        <v>0.96</v>
      </c>
      <c r="K34" s="60">
        <f t="shared" si="3"/>
        <v>0.96</v>
      </c>
      <c r="L34" s="60">
        <f t="shared" si="3"/>
        <v>0.96</v>
      </c>
      <c r="M34" s="60">
        <f t="shared" si="3"/>
        <v>0.96</v>
      </c>
      <c r="N34" s="60">
        <f t="shared" si="3"/>
        <v>0.96</v>
      </c>
      <c r="O34" s="60">
        <f t="shared" si="3"/>
        <v>0.96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35olvBVVweiNr+vYj14JUxk2Nnb5aO7IK9rAEQVwDEE0xEqH92RY5mowTjYJ1i0k92Len6LkqJhjejUV/GjIsQ==" saltValue="U2lpqDUqnRMIM0ThC9xJt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1VNLS42qJcMlK6fFYRREMkJG2DsPEdfiZm4TPscJSLWEDVlSsfSClOOSMgUrBqu6DHt8MtzfWZLu8igJDX+a3w==" saltValue="/1w0qKs+bshbD+a5BNHyr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+kMs5d+t10ukCYuhEIzxgbnC1pnAvTZk9CDqPkI4Xd3+congeMaIkudU2Zxo4O3DRT8VOOPWQLugN7Grb8LUeg==" saltValue="ditEs/E1iwh1ouHAYpmI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1V/Ol6R2rAfg2spCnuIYYBWCWeabBVVktZitdXDTYmkQUd+MpceykmvC9Yrnd958NscTLHe72JwuCimZ5LJbMg==" saltValue="uK6VfDsDa2b91jjtLfkyR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mqipCT4DDY6CIwzIVfGNOoIT3x8oiy/Jlj5N0/6eL3ZMDf8wA0A2CA2dt93sPTZWy02jjrtMmvAXxpB2enSn7A==" saltValue="hI1jD0FymXQtWZA5u+X2/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DyiNxMxK/KX83DN5Hpx02ZRMYnVMTmd2yyomWr1IUv+SC62gSfMLeUXvdcWBS8eZIfxFNy2QSYu50rQ5A/ZxoQ==" saltValue="KT6N1bDHsXxygtMlJE7pO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UnPD180QiGONxs31d3x5m5kSQtECjdLxSHpNs41Ya8wHbpwxSKp/8iCvtmeUzbeF+rraQE2euaX2l98leT7CPg==" saltValue="bDkyMCaIvvEewtqJuJOIU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ZG7M914bVGOrX6M+4j2vhdeshTP9Wb7MXLEgBWS1aU3MJbsrUHmv/OdzD8oYlngNmJIhZsSQzTMM1esWbRud6g==" saltValue="ysw9ErZhtRtuHb+pCXe0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lPLi6H+0O3CbsQOgBoI9+d4o/g7Kqlev9S+9TgiEGVUMKy5cWXjfA6c8Mi5vRyDvUL/Beas6zVfLiq5UAj1/A==" saltValue="b9sa9fo0l/slCUHCDesH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hhuw/vp+XtPIqMASu7YinUbDdWTMhCiNoplWY+Fi/dpir6nvepSfuHDHPMwTkAmP3vCH9I3TpO7FfNmmUiMc+g==" saltValue="00pQPPbvaFuDr5vy/n70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AgHCNfaWKBD+jWSumXRtTY+n5TcsjAJA4iSXO1GhMoP6cxBGgASGhS/og46VlJKHFF+TxOl7k3e844RxfX/4bw==" saltValue="T2AgspSiRZJfJ6fwTGKq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2y/wjXNhQWiokN8tdC41OTHrJR2fTKnQYJ2qB53VMHuy6AL8eoUVZVc/Vt9Bgm1LHuZuvXk+/3ZojxbU43DhA==" saltValue="u8woCw14TuCi7TyQUqpg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PP+A11tvBUOlFb9I/gugRx+5yxUT5NitHWjoZX4GOFcVL8t2pP3mLrdbMWD47fif95yhf3e+5tZS2ReCPPKPpQ==" saltValue="VlcXfxTKIwX/bNd+MBo7k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0.10957176545873382</v>
      </c>
      <c r="G18" s="90">
        <f>MIN(MAX(1-0.89/(1-frac_sam_12_23months+(frac_sam_12_23months*0.89)),0),1)</f>
        <v>0.10837566017669409</v>
      </c>
      <c r="H18" s="90">
        <f>MIN(MAX(1-0.89/(1-frac_sam_24_59months+(frac_sam_24_59months*0.89)),0),1)</f>
        <v>0.10957145187707384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0.10675684939174068</v>
      </c>
      <c r="G20" s="90">
        <f>MIN(MAX(1-0.89/(1-frac_mam_12_23months+(frac_mam_12_23months*0.89)),0),1)</f>
        <v>0.10707690731949304</v>
      </c>
      <c r="H20" s="90">
        <f>MIN(MAX(1-0.89/(1-frac_mam_24_59months+(frac_mam_24_59months*0.89)),0),1)</f>
        <v>0.10798237745219352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9.9567143175067763E-3</v>
      </c>
      <c r="G73" s="90">
        <f>MIN(MAX(1-0.99/(1-frac_sam_12_23months+(frac_sam_12_23months*0.99)),0),1)</f>
        <v>9.8360130011292402E-3</v>
      </c>
      <c r="H73" s="90">
        <f>MIN(MAX(1-0.99/(1-frac_sam_24_59months+(frac_sam_24_59months*0.99)),0),1)</f>
        <v>9.9566826347353699E-3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9.6731237982989882E-3</v>
      </c>
      <c r="G75" s="90">
        <f>MIN(MAX(1-0.99/(1-frac_mam_12_23months+(frac_mam_12_23months*0.99)),0),1)</f>
        <v>9.705286312617134E-3</v>
      </c>
      <c r="H75" s="90">
        <f>MIN(MAX(1-0.99/(1-frac_mam_24_59months+(frac_mam_24_59months*0.99)),0),1)</f>
        <v>9.7963903729740842E-3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0.1992998517763902</v>
      </c>
      <c r="G128" s="90">
        <f>MIN(MAX(1-0.8/(1-frac_sam_12_23months+(frac_sam_12_23months*0.8)),0),1)</f>
        <v>0.19734133765955653</v>
      </c>
      <c r="H128" s="90">
        <f>MIN(MAX(1-0.8/(1-frac_sam_24_59months+(frac_sam_24_59months*0.8)),0),1)</f>
        <v>0.19929933887947993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0.19468380175523092</v>
      </c>
      <c r="G130" s="90">
        <f>MIN(MAX(1-0.8/(1-frac_mam_12_23months+(frac_mam_12_23months*0.8)),0),1)</f>
        <v>0.19520985687652326</v>
      </c>
      <c r="H130" s="90">
        <f>MIN(MAX(1-0.8/(1-frac_mam_24_59months+(frac_mam_24_59months*0.8)),0),1)</f>
        <v>0.1966964301350016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VCP4P7LVmIIO1wNqQTg09zDGnfo7kRbsTVe89RuQL6GP/C2aSzruLzpGTsnY3NOHVz05nI0tfuqevtpvc+uRA==" saltValue="xO/8l1ZRso+DD8hun3uA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qQY2noc4FSpigQ35k4cBlaOhcuH/DQXIrAkR5UzLWHOkrpWfv1BjfqCuy7Gm3HQcdvV6zyl7wvJsnoDRpuBsww==" saltValue="iyA1XgCRutKt/zTHndZhU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2024-08-06T09:05:37Z</dcterms:modified>
</cp:coreProperties>
</file>