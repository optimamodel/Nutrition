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85E9DAEE-7CB6-46B9-AE92-6A40AB4A4AB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3" i="2" l="1"/>
  <c r="A37" i="2"/>
  <c r="I3" i="2"/>
  <c r="I7" i="2"/>
  <c r="I11" i="2"/>
  <c r="A26" i="2"/>
  <c r="I39" i="2"/>
  <c r="A31" i="2"/>
  <c r="A34" i="2"/>
  <c r="A40" i="2"/>
  <c r="I2" i="2"/>
  <c r="I6" i="2"/>
  <c r="A19" i="2"/>
  <c r="A35" i="2"/>
  <c r="A22" i="2"/>
  <c r="A36" i="2"/>
  <c r="A24" i="2"/>
  <c r="I38" i="2"/>
  <c r="I4" i="2"/>
  <c r="I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<sst xmlns="http://schemas.openxmlformats.org/spreadsheetml/2006/main" count="2169" uniqueCount="369">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</sst>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388064</v>
      </c>
    </row>
    <row r="8" spans="1:3" ht="15" customHeight="1" x14ac:dyDescent="0.25">
      <c r="B8" s="5" t="s">
        <v>37</v>
      </c>
      <c r="C8" s="44">
        <v>0.52700000000000002</v>
      </c>
    </row>
    <row r="9" spans="1:3" ht="15" customHeight="1" x14ac:dyDescent="0.25">
      <c r="B9" s="5" t="s">
        <v>38</v>
      </c>
      <c r="C9" s="45">
        <v>0.96</v>
      </c>
    </row>
    <row r="10" spans="1:3" ht="15" customHeight="1" x14ac:dyDescent="0.25">
      <c r="B10" s="5" t="s">
        <v>39</v>
      </c>
      <c r="C10" s="45">
        <v>0.32603321079999997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0.7609999999999999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7.5999999999999998E-2</v>
      </c>
    </row>
    <row r="24" spans="1:3" ht="15" customHeight="1" x14ac:dyDescent="0.25">
      <c r="B24" s="15" t="s">
        <v>51</v>
      </c>
      <c r="C24" s="45">
        <v>0.42870000000000003</v>
      </c>
    </row>
    <row r="25" spans="1:3" ht="15" customHeight="1" x14ac:dyDescent="0.25">
      <c r="B25" s="15" t="s">
        <v>52</v>
      </c>
      <c r="C25" s="45">
        <v>0.38779999999999998</v>
      </c>
    </row>
    <row r="26" spans="1:3" ht="15" customHeight="1" x14ac:dyDescent="0.25">
      <c r="B26" s="15" t="s">
        <v>53</v>
      </c>
      <c r="C26" s="45">
        <v>0.1075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0.267409234355309</v>
      </c>
    </row>
    <row r="30" spans="1:3" ht="14.25" customHeight="1" x14ac:dyDescent="0.25">
      <c r="B30" s="25" t="s">
        <v>56</v>
      </c>
      <c r="C30" s="97">
        <v>6.2316367797226199E-2</v>
      </c>
    </row>
    <row r="31" spans="1:3" ht="14.25" customHeight="1" x14ac:dyDescent="0.25">
      <c r="B31" s="25" t="s">
        <v>57</v>
      </c>
      <c r="C31" s="97">
        <v>9.3002675244955299E-2</v>
      </c>
    </row>
    <row r="32" spans="1:3" ht="14.25" customHeight="1" x14ac:dyDescent="0.25">
      <c r="B32" s="25" t="s">
        <v>58</v>
      </c>
      <c r="C32" s="97">
        <v>0.57727172260250903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18.94415</v>
      </c>
    </row>
    <row r="38" spans="1:5" ht="15" customHeight="1" x14ac:dyDescent="0.25">
      <c r="B38" s="11" t="s">
        <v>63</v>
      </c>
      <c r="C38" s="43">
        <v>29.356670000000001</v>
      </c>
      <c r="D38" s="12"/>
      <c r="E38" s="13"/>
    </row>
    <row r="39" spans="1:5" ht="15" customHeight="1" x14ac:dyDescent="0.25">
      <c r="B39" s="11" t="s">
        <v>64</v>
      </c>
      <c r="C39" s="43">
        <v>39.74532</v>
      </c>
      <c r="D39" s="12"/>
      <c r="E39" s="12"/>
    </row>
    <row r="40" spans="1:5" ht="15" customHeight="1" x14ac:dyDescent="0.25">
      <c r="B40" s="11" t="s">
        <v>65</v>
      </c>
      <c r="C40" s="98">
        <v>2.27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14.095359999999999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5.8306E-3</v>
      </c>
      <c r="D45" s="12"/>
    </row>
    <row r="46" spans="1:5" ht="15.75" customHeight="1" x14ac:dyDescent="0.25">
      <c r="B46" s="11" t="s">
        <v>70</v>
      </c>
      <c r="C46" s="45">
        <v>6.2648999999999996E-2</v>
      </c>
      <c r="D46" s="12"/>
    </row>
    <row r="47" spans="1:5" ht="15.75" customHeight="1" x14ac:dyDescent="0.25">
      <c r="B47" s="11" t="s">
        <v>71</v>
      </c>
      <c r="C47" s="45">
        <v>7.5456700000000002E-2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4.29</v>
      </c>
      <c r="D51" s="12"/>
    </row>
    <row r="52" spans="1:4" ht="15" customHeight="1" x14ac:dyDescent="0.25">
      <c r="B52" s="11" t="s">
        <v>75</v>
      </c>
      <c r="C52" s="98">
        <v>4.29</v>
      </c>
    </row>
    <row r="53" spans="1:4" ht="15.75" customHeight="1" x14ac:dyDescent="0.25">
      <c r="B53" s="11" t="s">
        <v>76</v>
      </c>
      <c r="C53" s="98">
        <v>7.5139999999999993</v>
      </c>
    </row>
    <row r="54" spans="1:4" ht="15.75" customHeight="1" x14ac:dyDescent="0.25">
      <c r="B54" s="11" t="s">
        <v>77</v>
      </c>
      <c r="C54" s="98">
        <v>8.1120000000000001</v>
      </c>
    </row>
    <row r="55" spans="1:4" ht="15.75" customHeight="1" x14ac:dyDescent="0.25">
      <c r="B55" s="11" t="s">
        <v>78</v>
      </c>
      <c r="C55" s="98">
        <v>3.5706666666666669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0.40570099999999998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0.167510149999999</v>
      </c>
    </row>
    <row r="63" spans="1:4" ht="15.75" customHeight="1" x14ac:dyDescent="0.3">
      <c r="A63" s="4"/>
    </row>
  </sheetData>
  <sheetProtection algorithmName="SHA-512" hashValue="OwaBbEEQ4CyXslSTinw3RdFm0OmXJNtBjnqS7mFFXIgDIXsRmRNJnydhEoLVJYE4iyhnbtx3ZNpw13RXeHusXg==" saltValue="NWkMSogObaImdpNErN7x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82405</v>
      </c>
      <c r="C2" s="49">
        <v>150960.5</v>
      </c>
      <c r="D2" s="49">
        <v>241543.5</v>
      </c>
      <c r="E2" s="49">
        <v>176417</v>
      </c>
      <c r="F2" s="49">
        <v>106454</v>
      </c>
      <c r="G2" s="17">
        <f t="shared" ref="G2:G13" si="0">C2+D2+E2+F2</f>
        <v>675375</v>
      </c>
      <c r="H2" s="17">
        <f t="shared" ref="H2:H13" si="1">(B2 + stillbirth*B2/(1000-stillbirth))/(1-abortion)</f>
        <v>94980.834510065237</v>
      </c>
      <c r="I2" s="17">
        <f t="shared" ref="I2:I13" si="2">G2-H2</f>
        <v>580394.16548993473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82555</v>
      </c>
      <c r="C3" s="50">
        <v>155491.5</v>
      </c>
      <c r="D3" s="50">
        <v>246716.5</v>
      </c>
      <c r="E3" s="50">
        <v>183257.99999999997</v>
      </c>
      <c r="F3" s="50">
        <v>111148</v>
      </c>
      <c r="G3" s="17">
        <f t="shared" si="0"/>
        <v>696614</v>
      </c>
      <c r="H3" s="17">
        <f t="shared" si="1"/>
        <v>95153.726023644645</v>
      </c>
      <c r="I3" s="17">
        <f t="shared" si="2"/>
        <v>601460.27397635533</v>
      </c>
    </row>
    <row r="4" spans="1:9" ht="15.75" customHeight="1" x14ac:dyDescent="0.25">
      <c r="A4" s="5">
        <f t="shared" si="3"/>
        <v>2026</v>
      </c>
      <c r="B4" s="49">
        <v>82634</v>
      </c>
      <c r="C4" s="50">
        <v>160038.5</v>
      </c>
      <c r="D4" s="50">
        <v>252547.00000000003</v>
      </c>
      <c r="E4" s="50">
        <v>189808.49999999997</v>
      </c>
      <c r="F4" s="50">
        <v>116439</v>
      </c>
      <c r="G4" s="17">
        <f t="shared" si="0"/>
        <v>718833</v>
      </c>
      <c r="H4" s="17">
        <f t="shared" si="1"/>
        <v>95244.782220796449</v>
      </c>
      <c r="I4" s="17">
        <f t="shared" si="2"/>
        <v>623588.21777920355</v>
      </c>
    </row>
    <row r="5" spans="1:9" ht="15.75" customHeight="1" x14ac:dyDescent="0.25">
      <c r="A5" s="5">
        <f t="shared" si="3"/>
        <v>2027</v>
      </c>
      <c r="B5" s="49">
        <v>82701</v>
      </c>
      <c r="C5" s="50">
        <v>164745.5</v>
      </c>
      <c r="D5" s="50">
        <v>259004.5</v>
      </c>
      <c r="E5" s="50">
        <v>196007.5</v>
      </c>
      <c r="F5" s="50">
        <v>122253.5</v>
      </c>
      <c r="G5" s="17">
        <f t="shared" si="0"/>
        <v>742011</v>
      </c>
      <c r="H5" s="17">
        <f t="shared" si="1"/>
        <v>95322.007096861926</v>
      </c>
      <c r="I5" s="17">
        <f t="shared" si="2"/>
        <v>646688.99290313805</v>
      </c>
    </row>
    <row r="6" spans="1:9" ht="15.75" customHeight="1" x14ac:dyDescent="0.25">
      <c r="A6" s="5">
        <f t="shared" si="3"/>
        <v>2028</v>
      </c>
      <c r="B6" s="49">
        <v>82773</v>
      </c>
      <c r="C6" s="50">
        <v>169530.5</v>
      </c>
      <c r="D6" s="50">
        <v>265821.5</v>
      </c>
      <c r="E6" s="50">
        <v>201943.5</v>
      </c>
      <c r="F6" s="50">
        <v>128411.49999999999</v>
      </c>
      <c r="G6" s="17">
        <f t="shared" si="0"/>
        <v>765707</v>
      </c>
      <c r="H6" s="17">
        <f t="shared" si="1"/>
        <v>95404.995023380019</v>
      </c>
      <c r="I6" s="17">
        <f t="shared" si="2"/>
        <v>670302.00497661997</v>
      </c>
    </row>
    <row r="7" spans="1:9" ht="15.75" customHeight="1" x14ac:dyDescent="0.25">
      <c r="A7" s="5">
        <f t="shared" si="3"/>
        <v>2029</v>
      </c>
      <c r="B7" s="49">
        <v>82836</v>
      </c>
      <c r="C7" s="50">
        <v>173731.5</v>
      </c>
      <c r="D7" s="50">
        <v>273024</v>
      </c>
      <c r="E7" s="50">
        <v>207595.50000000003</v>
      </c>
      <c r="F7" s="50">
        <v>134819.5</v>
      </c>
      <c r="G7" s="17">
        <f t="shared" si="0"/>
        <v>789170.5</v>
      </c>
      <c r="H7" s="17">
        <f t="shared" si="1"/>
        <v>95477.609459083367</v>
      </c>
      <c r="I7" s="17">
        <f t="shared" si="2"/>
        <v>693692.89054091659</v>
      </c>
    </row>
    <row r="8" spans="1:9" ht="15.75" customHeight="1" x14ac:dyDescent="0.25">
      <c r="A8" s="5">
        <f t="shared" si="3"/>
        <v>2030</v>
      </c>
      <c r="B8" s="49">
        <v>82941</v>
      </c>
      <c r="C8" s="50">
        <v>176920</v>
      </c>
      <c r="D8" s="50">
        <v>280759</v>
      </c>
      <c r="E8" s="50">
        <v>212868</v>
      </c>
      <c r="F8" s="50">
        <v>141461.5</v>
      </c>
      <c r="G8" s="17">
        <f t="shared" si="0"/>
        <v>812008.5</v>
      </c>
      <c r="H8" s="17">
        <f t="shared" si="1"/>
        <v>95598.633518588933</v>
      </c>
      <c r="I8" s="17">
        <f t="shared" si="2"/>
        <v>716409.86648141104</v>
      </c>
    </row>
    <row r="9" spans="1:9" ht="15.75" customHeight="1" x14ac:dyDescent="0.25">
      <c r="A9" s="5">
        <f t="shared" si="3"/>
        <v>2031</v>
      </c>
      <c r="B9" s="49">
        <v>83035</v>
      </c>
      <c r="C9" s="50">
        <v>178961</v>
      </c>
      <c r="D9" s="50">
        <v>289077</v>
      </c>
      <c r="E9" s="50">
        <v>217850.5</v>
      </c>
      <c r="F9" s="50">
        <v>148267.49999999997</v>
      </c>
      <c r="G9" s="17">
        <f t="shared" si="0"/>
        <v>834156</v>
      </c>
      <c r="H9" s="17">
        <f t="shared" si="1"/>
        <v>95706.978867098689</v>
      </c>
      <c r="I9" s="17">
        <f t="shared" si="2"/>
        <v>738449.02113290131</v>
      </c>
    </row>
    <row r="10" spans="1:9" ht="15.75" customHeight="1" x14ac:dyDescent="0.25">
      <c r="A10" s="5">
        <f t="shared" si="3"/>
        <v>2032</v>
      </c>
      <c r="B10" s="49">
        <v>83185</v>
      </c>
      <c r="C10" s="50">
        <v>179724</v>
      </c>
      <c r="D10" s="50">
        <v>298012.50000000006</v>
      </c>
      <c r="E10" s="50">
        <v>222702.5</v>
      </c>
      <c r="F10" s="50">
        <v>155131.5</v>
      </c>
      <c r="G10" s="17">
        <f t="shared" si="0"/>
        <v>855570.5</v>
      </c>
      <c r="H10" s="17">
        <f t="shared" si="1"/>
        <v>95879.870380678083</v>
      </c>
      <c r="I10" s="17">
        <f t="shared" si="2"/>
        <v>759690.6296193219</v>
      </c>
    </row>
    <row r="11" spans="1:9" ht="15.75" customHeight="1" x14ac:dyDescent="0.25">
      <c r="A11" s="5">
        <f t="shared" si="3"/>
        <v>2033</v>
      </c>
      <c r="B11" s="49">
        <v>83407</v>
      </c>
      <c r="C11" s="50">
        <v>179417.5</v>
      </c>
      <c r="D11" s="50">
        <v>307195.00000000006</v>
      </c>
      <c r="E11" s="50">
        <v>227533.00000000003</v>
      </c>
      <c r="F11" s="50">
        <v>161976</v>
      </c>
      <c r="G11" s="17">
        <f t="shared" si="0"/>
        <v>876121.50000000012</v>
      </c>
      <c r="H11" s="17">
        <f t="shared" si="1"/>
        <v>96135.7498207756</v>
      </c>
      <c r="I11" s="17">
        <f t="shared" si="2"/>
        <v>779985.75017922453</v>
      </c>
    </row>
    <row r="12" spans="1:9" ht="15.75" customHeight="1" x14ac:dyDescent="0.25">
      <c r="A12" s="5">
        <f t="shared" si="3"/>
        <v>2034</v>
      </c>
      <c r="B12" s="49">
        <v>83597</v>
      </c>
      <c r="C12" s="50">
        <v>178970</v>
      </c>
      <c r="D12" s="50">
        <v>315837</v>
      </c>
      <c r="E12" s="50">
        <v>232454.99999999997</v>
      </c>
      <c r="F12" s="50">
        <v>168790.5</v>
      </c>
      <c r="G12" s="17">
        <f t="shared" si="0"/>
        <v>896052.5</v>
      </c>
      <c r="H12" s="17">
        <f t="shared" si="1"/>
        <v>96354.745737976147</v>
      </c>
      <c r="I12" s="17">
        <f t="shared" si="2"/>
        <v>799697.75426202384</v>
      </c>
    </row>
    <row r="13" spans="1:9" ht="15.75" customHeight="1" x14ac:dyDescent="0.25">
      <c r="A13" s="5">
        <f t="shared" si="3"/>
        <v>2035</v>
      </c>
      <c r="B13" s="49">
        <v>83786</v>
      </c>
      <c r="C13" s="50">
        <v>179048</v>
      </c>
      <c r="D13" s="50">
        <v>323540</v>
      </c>
      <c r="E13" s="50">
        <v>237690</v>
      </c>
      <c r="F13" s="50">
        <v>175507.5</v>
      </c>
      <c r="G13" s="17">
        <f t="shared" si="0"/>
        <v>915785.5</v>
      </c>
      <c r="H13" s="17">
        <f t="shared" si="1"/>
        <v>96572.589045086192</v>
      </c>
      <c r="I13" s="17">
        <f t="shared" si="2"/>
        <v>819212.91095491382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rkKUVOlV/BeG8kACDOf6JHGZgweE0rTAylClx7AIAZJX0eydGOTZc1rBp3TwwCoksWdf+7w3ZHNmDWYgVGUcg==" saltValue="19x3W1gexDcILTSN1foFx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7.9603999999999977E-3</v>
      </c>
    </row>
    <row r="4" spans="1:8" ht="15.75" customHeight="1" x14ac:dyDescent="0.25">
      <c r="B4" s="19" t="s">
        <v>97</v>
      </c>
      <c r="C4" s="99">
        <v>5.4278499999999973E-2</v>
      </c>
    </row>
    <row r="5" spans="1:8" ht="15.75" customHeight="1" x14ac:dyDescent="0.25">
      <c r="B5" s="19" t="s">
        <v>98</v>
      </c>
      <c r="C5" s="99">
        <v>6.8896700000000047E-2</v>
      </c>
    </row>
    <row r="6" spans="1:8" ht="15.75" customHeight="1" x14ac:dyDescent="0.25">
      <c r="B6" s="19" t="s">
        <v>99</v>
      </c>
      <c r="C6" s="99">
        <v>0.2405291000000005</v>
      </c>
    </row>
    <row r="7" spans="1:8" ht="15.75" customHeight="1" x14ac:dyDescent="0.25">
      <c r="B7" s="19" t="s">
        <v>100</v>
      </c>
      <c r="C7" s="99">
        <v>0.42675559999999951</v>
      </c>
    </row>
    <row r="8" spans="1:8" ht="15.75" customHeight="1" x14ac:dyDescent="0.25">
      <c r="B8" s="19" t="s">
        <v>101</v>
      </c>
      <c r="C8" s="99">
        <v>1.9896999999999992E-3</v>
      </c>
    </row>
    <row r="9" spans="1:8" ht="15.75" customHeight="1" x14ac:dyDescent="0.25">
      <c r="B9" s="19" t="s">
        <v>102</v>
      </c>
      <c r="C9" s="99">
        <v>8.7416600000000025E-2</v>
      </c>
    </row>
    <row r="10" spans="1:8" ht="15.75" customHeight="1" x14ac:dyDescent="0.25">
      <c r="B10" s="19" t="s">
        <v>103</v>
      </c>
      <c r="C10" s="99">
        <v>0.11217340000000001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0.1586850795979258</v>
      </c>
      <c r="D14" s="55">
        <v>0.1586850795979258</v>
      </c>
      <c r="E14" s="55">
        <v>0.1586850795979258</v>
      </c>
      <c r="F14" s="55">
        <v>0.1586850795979258</v>
      </c>
    </row>
    <row r="15" spans="1:8" ht="15.75" customHeight="1" x14ac:dyDescent="0.25">
      <c r="B15" s="19" t="s">
        <v>106</v>
      </c>
      <c r="C15" s="99">
        <v>0.1457257056059359</v>
      </c>
      <c r="D15" s="99">
        <v>0.1457257056059359</v>
      </c>
      <c r="E15" s="99">
        <v>0.1457257056059359</v>
      </c>
      <c r="F15" s="99">
        <v>0.1457257056059359</v>
      </c>
    </row>
    <row r="16" spans="1:8" ht="15.75" customHeight="1" x14ac:dyDescent="0.25">
      <c r="B16" s="19" t="s">
        <v>107</v>
      </c>
      <c r="C16" s="99">
        <v>3.6673544337957442E-2</v>
      </c>
      <c r="D16" s="99">
        <v>3.6673544337957442E-2</v>
      </c>
      <c r="E16" s="99">
        <v>3.6673544337957442E-2</v>
      </c>
      <c r="F16" s="99">
        <v>3.6673544337957442E-2</v>
      </c>
    </row>
    <row r="17" spans="1:8" ht="15.75" customHeight="1" x14ac:dyDescent="0.25">
      <c r="B17" s="19" t="s">
        <v>108</v>
      </c>
      <c r="C17" s="99">
        <v>9.8008104921843586E-2</v>
      </c>
      <c r="D17" s="99">
        <v>9.8008104921843586E-2</v>
      </c>
      <c r="E17" s="99">
        <v>9.8008104921843586E-2</v>
      </c>
      <c r="F17" s="99">
        <v>9.8008104921843586E-2</v>
      </c>
    </row>
    <row r="18" spans="1:8" ht="15.75" customHeight="1" x14ac:dyDescent="0.25">
      <c r="B18" s="19" t="s">
        <v>109</v>
      </c>
      <c r="C18" s="99">
        <v>0.135975881764268</v>
      </c>
      <c r="D18" s="99">
        <v>0.135975881764268</v>
      </c>
      <c r="E18" s="99">
        <v>0.135975881764268</v>
      </c>
      <c r="F18" s="99">
        <v>0.135975881764268</v>
      </c>
    </row>
    <row r="19" spans="1:8" ht="15.75" customHeight="1" x14ac:dyDescent="0.25">
      <c r="B19" s="19" t="s">
        <v>110</v>
      </c>
      <c r="C19" s="99">
        <v>6.2473064113144711E-2</v>
      </c>
      <c r="D19" s="99">
        <v>6.2473064113144711E-2</v>
      </c>
      <c r="E19" s="99">
        <v>6.2473064113144711E-2</v>
      </c>
      <c r="F19" s="99">
        <v>6.2473064113144711E-2</v>
      </c>
    </row>
    <row r="20" spans="1:8" ht="15.75" customHeight="1" x14ac:dyDescent="0.25">
      <c r="B20" s="19" t="s">
        <v>111</v>
      </c>
      <c r="C20" s="99">
        <v>8.6546694608013008E-2</v>
      </c>
      <c r="D20" s="99">
        <v>8.6546694608013008E-2</v>
      </c>
      <c r="E20" s="99">
        <v>8.6546694608013008E-2</v>
      </c>
      <c r="F20" s="99">
        <v>8.6546694608013008E-2</v>
      </c>
    </row>
    <row r="21" spans="1:8" ht="15.75" customHeight="1" x14ac:dyDescent="0.25">
      <c r="B21" s="19" t="s">
        <v>112</v>
      </c>
      <c r="C21" s="99">
        <v>8.7176531093682147E-2</v>
      </c>
      <c r="D21" s="99">
        <v>8.7176531093682147E-2</v>
      </c>
      <c r="E21" s="99">
        <v>8.7176531093682147E-2</v>
      </c>
      <c r="F21" s="99">
        <v>8.7176531093682147E-2</v>
      </c>
    </row>
    <row r="22" spans="1:8" ht="15.75" customHeight="1" x14ac:dyDescent="0.25">
      <c r="B22" s="19" t="s">
        <v>113</v>
      </c>
      <c r="C22" s="99">
        <v>0.1887353939572296</v>
      </c>
      <c r="D22" s="99">
        <v>0.1887353939572296</v>
      </c>
      <c r="E22" s="99">
        <v>0.1887353939572296</v>
      </c>
      <c r="F22" s="99">
        <v>0.1887353939572296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9.5711987999999998E-2</v>
      </c>
    </row>
    <row r="27" spans="1:8" ht="15.75" customHeight="1" x14ac:dyDescent="0.25">
      <c r="B27" s="19" t="s">
        <v>120</v>
      </c>
      <c r="C27" s="99">
        <v>4.2970438999999999E-2</v>
      </c>
    </row>
    <row r="28" spans="1:8" ht="15.75" customHeight="1" x14ac:dyDescent="0.25">
      <c r="B28" s="19" t="s">
        <v>121</v>
      </c>
      <c r="C28" s="99">
        <v>0.19642078600000001</v>
      </c>
    </row>
    <row r="29" spans="1:8" ht="15.75" customHeight="1" x14ac:dyDescent="0.25">
      <c r="B29" s="19" t="s">
        <v>122</v>
      </c>
      <c r="C29" s="99">
        <v>0.206894785</v>
      </c>
    </row>
    <row r="30" spans="1:8" ht="15.75" customHeight="1" x14ac:dyDescent="0.25">
      <c r="B30" s="19" t="s">
        <v>2</v>
      </c>
      <c r="C30" s="99">
        <v>2.7698743000000001E-2</v>
      </c>
    </row>
    <row r="31" spans="1:8" ht="15.75" customHeight="1" x14ac:dyDescent="0.25">
      <c r="B31" s="19" t="s">
        <v>123</v>
      </c>
      <c r="C31" s="99">
        <v>0.20935653800000001</v>
      </c>
    </row>
    <row r="32" spans="1:8" ht="15.75" customHeight="1" x14ac:dyDescent="0.25">
      <c r="B32" s="19" t="s">
        <v>124</v>
      </c>
      <c r="C32" s="99">
        <v>1.2451637999999999E-2</v>
      </c>
    </row>
    <row r="33" spans="2:3" ht="15.75" customHeight="1" x14ac:dyDescent="0.25">
      <c r="B33" s="19" t="s">
        <v>125</v>
      </c>
      <c r="C33" s="99">
        <v>5.1474696E-2</v>
      </c>
    </row>
    <row r="34" spans="2:3" ht="15.75" customHeight="1" x14ac:dyDescent="0.25">
      <c r="B34" s="19" t="s">
        <v>126</v>
      </c>
      <c r="C34" s="99">
        <v>0.15702038800000001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8hNeW87RccWNjldlni+O5qFeUBfSc7VSWfaNwl4XVDtVnIZe7NcHrcz3iJI+Zlc7vdUb9sVe8ESBskkLeqCKcg==" saltValue="R2ZMEbC5bg+ghs2eR0xr8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0.51029382434732007</v>
      </c>
      <c r="D2" s="52">
        <f>IFERROR(1-_xlfn.NORM.DIST(_xlfn.NORM.INV(SUM(D4:D5), 0, 1) + 1, 0, 1, TRUE), "")</f>
        <v>0.51029382434732007</v>
      </c>
      <c r="E2" s="52">
        <f>IFERROR(1-_xlfn.NORM.DIST(_xlfn.NORM.INV(SUM(E4:E5), 0, 1) + 1, 0, 1, TRUE), "")</f>
        <v>0.6443379975681347</v>
      </c>
      <c r="F2" s="52">
        <f>IFERROR(1-_xlfn.NORM.DIST(_xlfn.NORM.INV(SUM(F4:F5), 0, 1) + 1, 0, 1, TRUE), "")</f>
        <v>0.42295980173304104</v>
      </c>
      <c r="G2" s="52">
        <f>IFERROR(1-_xlfn.NORM.DIST(_xlfn.NORM.INV(SUM(G4:G5), 0, 1) + 1, 0, 1, TRUE), "")</f>
        <v>0.5531086877320488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0.33721457565267998</v>
      </c>
      <c r="D3" s="52">
        <f>IFERROR(_xlfn.NORM.DIST(_xlfn.NORM.INV(SUM(D4:D5), 0, 1) + 1, 0, 1, TRUE) - SUM(D4:D5), "")</f>
        <v>0.33721457565267998</v>
      </c>
      <c r="E3" s="52">
        <f>IFERROR(_xlfn.NORM.DIST(_xlfn.NORM.INV(SUM(E4:E5), 0, 1) + 1, 0, 1, TRUE) - SUM(E4:E5), "")</f>
        <v>0.2703308024318653</v>
      </c>
      <c r="F3" s="52">
        <f>IFERROR(_xlfn.NORM.DIST(_xlfn.NORM.INV(SUM(F4:F5), 0, 1) + 1, 0, 1, TRUE) - SUM(F4:F5), "")</f>
        <v>0.36682439826695895</v>
      </c>
      <c r="G3" s="52">
        <f>IFERROR(_xlfn.NORM.DIST(_xlfn.NORM.INV(SUM(G4:G5), 0, 1) + 1, 0, 1, TRUE) - SUM(G4:G5), "")</f>
        <v>0.3183932122679512</v>
      </c>
    </row>
    <row r="4" spans="1:15" ht="15.75" customHeight="1" x14ac:dyDescent="0.25">
      <c r="B4" s="5" t="s">
        <v>132</v>
      </c>
      <c r="C4" s="45">
        <v>0.1042593</v>
      </c>
      <c r="D4" s="53">
        <v>0.1042593</v>
      </c>
      <c r="E4" s="53">
        <v>6.4421300000000001E-2</v>
      </c>
      <c r="F4" s="53">
        <v>0.1396512</v>
      </c>
      <c r="G4" s="53">
        <v>8.9111200000000002E-2</v>
      </c>
    </row>
    <row r="5" spans="1:15" ht="15.75" customHeight="1" x14ac:dyDescent="0.25">
      <c r="B5" s="5" t="s">
        <v>133</v>
      </c>
      <c r="C5" s="45">
        <v>4.8232299999999999E-2</v>
      </c>
      <c r="D5" s="53">
        <v>4.8232299999999999E-2</v>
      </c>
      <c r="E5" s="53">
        <v>2.0909899999999999E-2</v>
      </c>
      <c r="F5" s="53">
        <v>7.0564600000000005E-2</v>
      </c>
      <c r="G5" s="53">
        <v>3.9386900000000002E-2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0.70894537084830733</v>
      </c>
      <c r="D8" s="52">
        <f>IFERROR(1-_xlfn.NORM.DIST(_xlfn.NORM.INV(SUM(D10:D11), 0, 1) + 1, 0, 1, TRUE), "")</f>
        <v>0.70894537084830733</v>
      </c>
      <c r="E8" s="52">
        <f>IFERROR(1-_xlfn.NORM.DIST(_xlfn.NORM.INV(SUM(E10:E11), 0, 1) + 1, 0, 1, TRUE), "")</f>
        <v>0.78287691391414294</v>
      </c>
      <c r="F8" s="52">
        <f>IFERROR(1-_xlfn.NORM.DIST(_xlfn.NORM.INV(SUM(F10:F11), 0, 1) + 1, 0, 1, TRUE), "")</f>
        <v>0.75225865586967744</v>
      </c>
      <c r="G8" s="52">
        <f>IFERROR(1-_xlfn.NORM.DIST(_xlfn.NORM.INV(SUM(G10:G11), 0, 1) + 1, 0, 1, TRUE), "")</f>
        <v>0.8317317240301163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0.23052062915169269</v>
      </c>
      <c r="D9" s="52">
        <f>IFERROR(_xlfn.NORM.DIST(_xlfn.NORM.INV(SUM(D10:D11), 0, 1) + 1, 0, 1, TRUE) - SUM(D10:D11), "")</f>
        <v>0.23052062915169269</v>
      </c>
      <c r="E9" s="52">
        <f>IFERROR(_xlfn.NORM.DIST(_xlfn.NORM.INV(SUM(E10:E11), 0, 1) + 1, 0, 1, TRUE) - SUM(E10:E11), "")</f>
        <v>0.1797440860858571</v>
      </c>
      <c r="F9" s="52">
        <f>IFERROR(_xlfn.NORM.DIST(_xlfn.NORM.INV(SUM(F10:F11), 0, 1) + 1, 0, 1, TRUE) - SUM(F10:F11), "")</f>
        <v>0.20141954413032256</v>
      </c>
      <c r="G9" s="52">
        <f>IFERROR(_xlfn.NORM.DIST(_xlfn.NORM.INV(SUM(G10:G11), 0, 1) + 1, 0, 1, TRUE) - SUM(G10:G11), "")</f>
        <v>0.14333057596988374</v>
      </c>
    </row>
    <row r="10" spans="1:15" ht="15.75" customHeight="1" x14ac:dyDescent="0.25">
      <c r="B10" s="5" t="s">
        <v>137</v>
      </c>
      <c r="C10" s="45">
        <v>3.2665799999999988E-2</v>
      </c>
      <c r="D10" s="53">
        <v>3.2665799999999988E-2</v>
      </c>
      <c r="E10" s="53">
        <v>3.3006899999999999E-2</v>
      </c>
      <c r="F10" s="53">
        <v>2.9760200000000001E-2</v>
      </c>
      <c r="G10" s="53">
        <v>2.0562400000000002E-2</v>
      </c>
    </row>
    <row r="11" spans="1:15" ht="15.75" customHeight="1" x14ac:dyDescent="0.25">
      <c r="B11" s="5" t="s">
        <v>138</v>
      </c>
      <c r="C11" s="45">
        <v>2.7868199999999999E-2</v>
      </c>
      <c r="D11" s="53">
        <v>2.7868199999999999E-2</v>
      </c>
      <c r="E11" s="53">
        <v>4.3721000000000003E-3</v>
      </c>
      <c r="F11" s="53">
        <v>1.6561599999999999E-2</v>
      </c>
      <c r="G11" s="53">
        <v>4.3753000000000004E-3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0.90030758050000004</v>
      </c>
      <c r="D14" s="54">
        <v>0.891409188252</v>
      </c>
      <c r="E14" s="54">
        <v>0.891409188252</v>
      </c>
      <c r="F14" s="54">
        <v>0.79417818844199994</v>
      </c>
      <c r="G14" s="54">
        <v>0.79417818844199994</v>
      </c>
      <c r="H14" s="45">
        <v>0.60599999999999998</v>
      </c>
      <c r="I14" s="55">
        <v>0.60599999999999998</v>
      </c>
      <c r="J14" s="55">
        <v>0.60599999999999998</v>
      </c>
      <c r="K14" s="55">
        <v>0.60599999999999998</v>
      </c>
      <c r="L14" s="45">
        <v>0.58899999999999997</v>
      </c>
      <c r="M14" s="55">
        <v>0.58899999999999997</v>
      </c>
      <c r="N14" s="55">
        <v>0.58899999999999997</v>
      </c>
      <c r="O14" s="55">
        <v>0.58899999999999997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0.36525568571643052</v>
      </c>
      <c r="D15" s="52">
        <f t="shared" si="0"/>
        <v>0.36164559908302463</v>
      </c>
      <c r="E15" s="52">
        <f t="shared" si="0"/>
        <v>0.36164559908302463</v>
      </c>
      <c r="F15" s="52">
        <f t="shared" si="0"/>
        <v>0.32219888522910778</v>
      </c>
      <c r="G15" s="52">
        <f t="shared" si="0"/>
        <v>0.32219888522910778</v>
      </c>
      <c r="H15" s="52">
        <f t="shared" si="0"/>
        <v>0.24585480599999998</v>
      </c>
      <c r="I15" s="52">
        <f t="shared" si="0"/>
        <v>0.24585480599999998</v>
      </c>
      <c r="J15" s="52">
        <f t="shared" si="0"/>
        <v>0.24585480599999998</v>
      </c>
      <c r="K15" s="52">
        <f t="shared" si="0"/>
        <v>0.24585480599999998</v>
      </c>
      <c r="L15" s="52">
        <f t="shared" si="0"/>
        <v>0.23895788899999998</v>
      </c>
      <c r="M15" s="52">
        <f t="shared" si="0"/>
        <v>0.23895788899999998</v>
      </c>
      <c r="N15" s="52">
        <f t="shared" si="0"/>
        <v>0.23895788899999998</v>
      </c>
      <c r="O15" s="52">
        <f t="shared" si="0"/>
        <v>0.23895788899999998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2+T1or2Hvi1BdDlhihzAPEOBZtgBn3Ckm7RTjqQ0H9qOfedr3pOfbQP57apjrqrblQxh7b2Gmfap6124GQ/6w==" saltValue="JU6GbhAgPJbETDME4s4V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0.33484629999999999</v>
      </c>
      <c r="D2" s="53">
        <v>0.1464792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0.10618130000000001</v>
      </c>
      <c r="D3" s="53">
        <v>0.1315151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0.51469330000000002</v>
      </c>
      <c r="D4" s="53">
        <v>0.61570049999999998</v>
      </c>
      <c r="E4" s="53">
        <v>0.72258</v>
      </c>
      <c r="F4" s="53">
        <v>0.1682478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4.4279100000000016E-2</v>
      </c>
      <c r="D5" s="52">
        <f t="shared" si="0"/>
        <v>0.10630519999999999</v>
      </c>
      <c r="E5" s="52">
        <f>1-SUM(E2:E4)</f>
        <v>0.27742</v>
      </c>
      <c r="F5" s="52">
        <f>1-SUM(F2:F4)</f>
        <v>0.83175219999999994</v>
      </c>
      <c r="G5" s="52">
        <f>1-SUM(G2:G4)</f>
        <v>1</v>
      </c>
    </row>
  </sheetData>
  <sheetProtection algorithmName="SHA-512" hashValue="9uHZnZoJSmZ5Kpq3Fm3QWpgCd2AuqirFGaM4DlqpvD8jD0AB64voSCdfwRGlKIIsSgB2jgchmiKGPwH/UUAgCQ==" saltValue="W86OpebXX91WtFw6Hribb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WCDnHFs4er9aNy+eABvaxsYx9kWaplQn/RWnaD7GWNUU/LHOIS1OJZqagcm3OPcUiSDHOmDeBTp6X0gYcmroTQ==" saltValue="NyNlRsYcnfEDdQJN/hI/J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808.27828149013499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0.41411000000000003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0.57464000000000004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2.0937270670493457E-2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94784.860339999999</v>
      </c>
      <c r="C22" s="107">
        <v>94239.764769999994</v>
      </c>
      <c r="D22" s="107">
        <v>93805.76152</v>
      </c>
      <c r="E22" s="107">
        <v>93296.847800000003</v>
      </c>
      <c r="F22" s="107">
        <v>92569.961790000001</v>
      </c>
      <c r="G22" s="107">
        <v>91625.464439999996</v>
      </c>
      <c r="H22" s="107">
        <v>90284.694900000002</v>
      </c>
      <c r="I22" s="107">
        <v>88340.950790000003</v>
      </c>
      <c r="J22" s="107">
        <v>85658.401370000007</v>
      </c>
      <c r="K22" s="107">
        <v>82128.473740000001</v>
      </c>
      <c r="L22" s="107">
        <v>77528.438569999998</v>
      </c>
      <c r="M22" s="107">
        <v>71485.227110000007</v>
      </c>
      <c r="N22" s="107">
        <v>63335.180809999998</v>
      </c>
      <c r="O22" s="107">
        <v>53144.74005</v>
      </c>
    </row>
  </sheetData>
  <sheetProtection algorithmName="SHA-512" hashValue="Xr8dNwv3pIUbGJ/qL2KO0XkOLhE61s9bEVJwnRCOE5Mg82vEWvRoIn669o3/NIs/2tjFwFIQ76znjl45mD95uw==" saltValue="hTUd049EsRYZ4haKJo6LM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mh1MQjewwR5cN2nn6NbiKfwxTpdAAU7knQXMI0O8lwZE+63RgJcFv1Hc9p/lKt8u8dVBue79LWNvkSwqNAX70Q==" saltValue="AilYynPR2eyR5dM2ePUOu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wdu+ROF6k7W3CIHpvo6lvLtw0KeBALhk9V6C5z6UUdTeq7Z1zUHkYD7rm0btmWulqHXsfYuRR7bIjJ9M/SxuDQ==" saltValue="rd1a0m37gqcaK/Os1vAcq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5.2668836507008754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0.56149571024496792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0.70706266146872643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0.23003335421429147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0.3935863</v>
      </c>
      <c r="C10" s="96">
        <v>0.95</v>
      </c>
      <c r="D10" s="56">
        <v>13.46512306465123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13.46512306465123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13.46512306465123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13.46512306465123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0.3935863</v>
      </c>
      <c r="C14" s="96">
        <v>0.95</v>
      </c>
      <c r="D14" s="56">
        <v>13.46512306465123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13.46512306465123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0.50625290000000001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0.77200000000000002</v>
      </c>
      <c r="C18" s="96">
        <v>0.95</v>
      </c>
      <c r="D18" s="56">
        <v>5.2668836507008754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0.1464792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2.1939130069251829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5.2668836507008754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0.18503539999999999</v>
      </c>
      <c r="C23" s="96">
        <v>0.95</v>
      </c>
      <c r="D23" s="56">
        <v>4.4144238992015667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0.87473390287197805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8.0000000000000002E-3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0.199735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0.26319480000000001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44.783843336315748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126.62714253872848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0.24</v>
      </c>
      <c r="C32" s="96">
        <v>0.95</v>
      </c>
      <c r="D32" s="56">
        <v>0.46210405728622134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0.12942334170054301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0.2726925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0.1465804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0.88436610000000004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0.21099999999999999</v>
      </c>
      <c r="C38" s="96">
        <v>0.95</v>
      </c>
      <c r="D38" s="56">
        <v>4.0706758054007581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H+It21llMF6EsCDBXAUz+PNgHwZhKn6/4CZvTGEP7utqbeVUH8l7UWWPa6fMhkzoLSVPuKcycN7mMjkL4Re5Ag==" saltValue="qHRbK4jYpCnFG7Iv6SCQ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51LE7TVZH9galn6x/OSMfHaTOleAhAtp5nycmi6lKpq5aTUVLVMUm3QmUI6rmcieTXA6YcM6yS9Uw+I5M977KQ==" saltValue="hJCICfSp7hayKFT60B0Py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81dOrQXo9dQ2f93ACW4X+g5m3RWqT6nyINTYcoSEnuoOAxuFJvNelr5EME1/MPS8YqZ6usBQsU2R3OITZQIPA==" saltValue="us+LTpedmZy90WnsYMKBf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4.29</v>
      </c>
      <c r="C2" s="21">
        <f>'Données pop de l''année de ref'!C52</f>
        <v>4.29</v>
      </c>
      <c r="D2" s="21">
        <f>'Données pop de l''année de ref'!C53</f>
        <v>7.5139999999999993</v>
      </c>
      <c r="E2" s="21">
        <f>'Données pop de l''année de ref'!C54</f>
        <v>8.1120000000000001</v>
      </c>
      <c r="F2" s="21">
        <f>'Données pop de l''année de ref'!C55</f>
        <v>3.5706666666666669</v>
      </c>
    </row>
    <row r="3" spans="1:6" ht="15.75" customHeight="1" x14ac:dyDescent="0.25">
      <c r="A3" s="3" t="s">
        <v>238</v>
      </c>
      <c r="B3" s="21">
        <f>frac_mam_1month * 2.6</f>
        <v>8.4931079999999978E-2</v>
      </c>
      <c r="C3" s="21">
        <f>frac_mam_1_5months * 2.6</f>
        <v>8.4931079999999978E-2</v>
      </c>
      <c r="D3" s="21">
        <f>frac_mam_6_11months * 2.6</f>
        <v>8.5817939999999995E-2</v>
      </c>
      <c r="E3" s="21">
        <f>frac_mam_12_23months * 2.6</f>
        <v>7.7376520000000004E-2</v>
      </c>
      <c r="F3" s="21">
        <f>frac_mam_24_59months * 2.6</f>
        <v>5.3462240000000008E-2</v>
      </c>
    </row>
    <row r="4" spans="1:6" ht="15.75" customHeight="1" x14ac:dyDescent="0.25">
      <c r="A4" s="3" t="s">
        <v>237</v>
      </c>
      <c r="B4" s="21">
        <f>frac_sam_1month * 2.6</f>
        <v>7.2457320000000006E-2</v>
      </c>
      <c r="C4" s="21">
        <f>frac_sam_1_5months * 2.6</f>
        <v>7.2457320000000006E-2</v>
      </c>
      <c r="D4" s="21">
        <f>frac_sam_6_11months * 2.6</f>
        <v>1.1367460000000001E-2</v>
      </c>
      <c r="E4" s="21">
        <f>frac_sam_12_23months * 2.6</f>
        <v>4.306016E-2</v>
      </c>
      <c r="F4" s="21">
        <f>frac_sam_24_59months * 2.6</f>
        <v>1.1375780000000002E-2</v>
      </c>
    </row>
  </sheetData>
  <sheetProtection algorithmName="SHA-512" hashValue="J2+b3Lt2I5CyfGWWobWb75JaFvs7ZGAu2xfaDNMeIvBHUy+95xBASRmpZU6BEQp4THfaqXnkACU+mt9g3Jfqbw==" saltValue="gWwh2DGVTAwVDwWQcOh/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0.52700000000000002</v>
      </c>
      <c r="F2" s="60">
        <f>food_insecure</f>
        <v>0.52700000000000002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0.52700000000000002</v>
      </c>
      <c r="F5" s="60">
        <f>food_insecure</f>
        <v>0.52700000000000002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9.3600000000000003E-2</v>
      </c>
      <c r="D7" s="60">
        <f>diarrhoea_1_5mo*frac_diarrhea_severe</f>
        <v>9.3600000000000003E-2</v>
      </c>
      <c r="E7" s="60">
        <f>diarrhoea_6_11mo*frac_diarrhea_severe</f>
        <v>0.16394181818181819</v>
      </c>
      <c r="F7" s="60">
        <f>diarrhoea_12_23mo*frac_diarrhea_severe</f>
        <v>0.17698909090909093</v>
      </c>
      <c r="G7" s="60">
        <f>diarrhoea_24_59mo*frac_diarrhea_severe</f>
        <v>7.7905454545454556E-2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0.52700000000000002</v>
      </c>
      <c r="F8" s="60">
        <f>food_insecure</f>
        <v>0.52700000000000002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0.52700000000000002</v>
      </c>
      <c r="F9" s="60">
        <f>food_insecure</f>
        <v>0.52700000000000002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9.3600000000000003E-2</v>
      </c>
      <c r="D12" s="60">
        <f>diarrhoea_1_5mo*frac_diarrhea_severe</f>
        <v>9.3600000000000003E-2</v>
      </c>
      <c r="E12" s="60">
        <f>diarrhoea_6_11mo*frac_diarrhea_severe</f>
        <v>0.16394181818181819</v>
      </c>
      <c r="F12" s="60">
        <f>diarrhoea_12_23mo*frac_diarrhea_severe</f>
        <v>0.17698909090909093</v>
      </c>
      <c r="G12" s="60">
        <f>diarrhoea_24_59mo*frac_diarrhea_severe</f>
        <v>7.7905454545454556E-2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0.52700000000000002</v>
      </c>
      <c r="I15" s="60">
        <f t="shared" si="0"/>
        <v>0.52700000000000002</v>
      </c>
      <c r="J15" s="60">
        <f t="shared" si="0"/>
        <v>0.52700000000000002</v>
      </c>
      <c r="K15" s="60">
        <f t="shared" si="0"/>
        <v>0.52700000000000002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0.52700000000000002</v>
      </c>
      <c r="I16" s="60">
        <f t="shared" si="0"/>
        <v>0.52700000000000002</v>
      </c>
      <c r="J16" s="60">
        <f t="shared" si="0"/>
        <v>0.52700000000000002</v>
      </c>
      <c r="K16" s="60">
        <f t="shared" si="0"/>
        <v>0.52700000000000002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0.7609999999999999</v>
      </c>
      <c r="M24" s="60">
        <f>famplan_unmet_need</f>
        <v>0.7609999999999999</v>
      </c>
      <c r="N24" s="60">
        <f>famplan_unmet_need</f>
        <v>0.7609999999999999</v>
      </c>
      <c r="O24" s="60">
        <f>famplan_unmet_need</f>
        <v>0.7609999999999999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0.40483163126876404</v>
      </c>
      <c r="M25" s="60">
        <f>(1-food_insecure)*(0.49)+food_insecure*(0.7)</f>
        <v>0.60067000000000004</v>
      </c>
      <c r="N25" s="60">
        <f>(1-food_insecure)*(0.49)+food_insecure*(0.7)</f>
        <v>0.60067000000000004</v>
      </c>
      <c r="O25" s="60">
        <f>(1-food_insecure)*(0.49)+food_insecure*(0.7)</f>
        <v>0.60067000000000004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0.173499270543756</v>
      </c>
      <c r="M26" s="60">
        <f>(1-food_insecure)*(0.21)+food_insecure*(0.3)</f>
        <v>0.25742999999999999</v>
      </c>
      <c r="N26" s="60">
        <f>(1-food_insecure)*(0.21)+food_insecure*(0.3)</f>
        <v>0.25742999999999999</v>
      </c>
      <c r="O26" s="60">
        <f>(1-food_insecure)*(0.21)+food_insecure*(0.3)</f>
        <v>0.25742999999999999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9.5635887387480009E-2</v>
      </c>
      <c r="M27" s="60">
        <f>(1-food_insecure)*(0.3)</f>
        <v>0.1419</v>
      </c>
      <c r="N27" s="60">
        <f>(1-food_insecure)*(0.3)</f>
        <v>0.1419</v>
      </c>
      <c r="O27" s="60">
        <f>(1-food_insecure)*(0.3)</f>
        <v>0.1419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0.96</v>
      </c>
      <c r="D34" s="60">
        <f t="shared" si="4"/>
        <v>0.96</v>
      </c>
      <c r="E34" s="60">
        <f t="shared" si="4"/>
        <v>0.96</v>
      </c>
      <c r="F34" s="60">
        <f t="shared" si="4"/>
        <v>0.96</v>
      </c>
      <c r="G34" s="60">
        <f t="shared" si="4"/>
        <v>0.96</v>
      </c>
      <c r="H34" s="60">
        <f t="shared" si="4"/>
        <v>0.96</v>
      </c>
      <c r="I34" s="60">
        <f t="shared" si="4"/>
        <v>0.96</v>
      </c>
      <c r="J34" s="60">
        <f t="shared" si="4"/>
        <v>0.96</v>
      </c>
      <c r="K34" s="60">
        <f t="shared" si="4"/>
        <v>0.96</v>
      </c>
      <c r="L34" s="60">
        <f t="shared" si="4"/>
        <v>0.96</v>
      </c>
      <c r="M34" s="60">
        <f t="shared" si="4"/>
        <v>0.96</v>
      </c>
      <c r="N34" s="60">
        <f t="shared" si="4"/>
        <v>0.96</v>
      </c>
      <c r="O34" s="60">
        <f t="shared" si="4"/>
        <v>0.96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2YPKjmkvI9z7iHvHEESFLKY4AYK1OPOh2x23H9YWNXI9PMnQLw+i+ebZlyl0MeYSlQ2KsblVWpEqcICOCoogdQ==" saltValue="j2S8iLPNH0rbYgwcYHzJD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PHKAkqJPJaMgLwv3foi+o9blCHYHRz9BotazD4/7p50pOvLiWMMYCum/SiV3XL0OMF6kb9JjEWC42nIYQPdm+A==" saltValue="UCmYXGqHhDQijGBEz9dSr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4QMkyOL84QhD6h31Bhapb2ChF5k4LqSGfG2DiG42tUHduXLHJzjyEcH7KuS/qyYajGlfl0SaK6RLlbcswq2mA==" saltValue="bHeR1driB38CXNEDwPZ7f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YzMrB1kWbwWtQDDRYTerWqiVAkEaRxN3jkUJWD2XQrk2fuzbLDRMPuYoyQfu5+Zk54PVkU2XsgnQonkjBTd2w==" saltValue="re93I2kofNbSnbYq3TH1F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cakscp6+g5SfzNGJBwiNPousr4pcvbIzQP1OmCuBGbNTrJ0MZ0bpRXrsrkmQCGt5RHxoi1jeae23pPh7yBv0Cw==" saltValue="wV2LRo4cEyeJgPVYRaD9R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NzDfKEeIwMmNlaDMyHaxXgLhzwsCUykdWpIRL+mmIlkmdEYcCDKyTc9vLphIT/27bjWFQ/sMAtTq1vDF/R6Bhg==" saltValue="8DZ7HYhcMV19lWdC06e3u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QZJkftDBiPchj1RC1TwaqXtMj3vj4bOKEvFNHOhOsyg9WtwKxgZpyZU8wqJTb35HlnAxWKSY6p0HanIwYFw1Q==" saltValue="fWztOI8fJq6MmpcVkU1Da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CBnggFevtifEL4BWOM+5cvGvnPTzzmBoPfWvMytB0tfBVfnsbG9qjY6IOLbdkHOumHA1orJ43qDgNCqe3L6qqw==" saltValue="pW0eh64gtwEWJ/vZLqB/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8AwBJvB2vZ1hxduTBP06orA7wLUoNhlQjrmLKHdTiQLsjdDgLafSoTD3xXFp6wWui8jbFVqBxEDOrSjIzBZPsQ==" saltValue="zyLjXJRHQKMXmaYJnuoS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O1BNVDW0LXId5/R9Ay4WhODMhCGoxIjhe4v8/W/feJlnEDFCNc6V1PhIvFm/pl7z5mUNIbffkUQL+cYAZOeeA==" saltValue="Ry6ddjWzJYHOxi6zaHPF4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3mm9KhLbjmiDgZsq4ITGjtG7D5i/5wzECJRhV5W2A9egud5QzQV26rRE0DXDVGynEf/Gciz3WsqSlO7slubBQ==" saltValue="tQUmbZSgQVQx1N8zOxbD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I3JmjD12Keqr9+8XKObjsM2MUdoMqQ8JyrXGMgu9u5MmVTcZy4Jv+FYvfB/sLMIJ5LQYbXPQ+EPa60lY8U0Sg==" saltValue="PbIFQUSUJAJB68GFwOih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uz6TAK55cP8EyK1EZmYHnTBb9VHuy/H/QhVNybpuhk1N3FoKzEK8PV+DsfvC4BtsUFMtA6I8cYvWqHIADd5SDg==" saltValue="xtYVz7GlZp71WOtBCY40h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GyNsEUieQfA5rcmQZpiks/GXJdhgkx3zQNUwsAmsRp+t048ubo1Kr+VnGASYgPlvLezVqGHIo/WESgMhFHxlxA==" saltValue="x5XmtWDrhUuR0F/plzfV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iJOXGmcvqQkd38Gs/Wrx+ocHDAzDZnUDp5P5MCupV+Q+feWTqlxio3maMyb49UdAwFnMX2mNxVHJY1di8Ehf6Q==" saltValue="FaeaiA/gXDPEFFU1oyuUc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