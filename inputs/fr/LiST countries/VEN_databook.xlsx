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5E11C658-4355-4701-9E33-EE35CA9EAC48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<sst xmlns="http://schemas.openxmlformats.org/spreadsheetml/2006/main" count="2102" uniqueCount="337">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</sst>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2269547.265625</v>
      </c>
    </row>
    <row r="8" spans="1:3" ht="15" customHeight="1" x14ac:dyDescent="0.25">
      <c r="B8" s="5" t="s">
        <v>19</v>
      </c>
      <c r="C8" s="44">
        <v>0.10199999999999999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0.73104637145996099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0.17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0.18629999999999999</v>
      </c>
    </row>
    <row r="24" spans="1:3" ht="15" customHeight="1" x14ac:dyDescent="0.25">
      <c r="B24" s="15" t="s">
        <v>33</v>
      </c>
      <c r="C24" s="45">
        <v>0.53220000000000001</v>
      </c>
    </row>
    <row r="25" spans="1:3" ht="15" customHeight="1" x14ac:dyDescent="0.25">
      <c r="B25" s="15" t="s">
        <v>34</v>
      </c>
      <c r="C25" s="45">
        <v>0.24540000000000001</v>
      </c>
    </row>
    <row r="26" spans="1:3" ht="15" customHeight="1" x14ac:dyDescent="0.25">
      <c r="B26" s="15" t="s">
        <v>35</v>
      </c>
      <c r="C26" s="45">
        <v>3.61E-2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0.34994163924792399</v>
      </c>
    </row>
    <row r="30" spans="1:3" ht="14.25" customHeight="1" x14ac:dyDescent="0.25">
      <c r="B30" s="25" t="s">
        <v>38</v>
      </c>
      <c r="C30" s="99">
        <v>0.10516916316476101</v>
      </c>
    </row>
    <row r="31" spans="1:3" ht="14.25" customHeight="1" x14ac:dyDescent="0.25">
      <c r="B31" s="25" t="s">
        <v>39</v>
      </c>
      <c r="C31" s="99">
        <v>8.4505866375242988E-2</v>
      </c>
    </row>
    <row r="32" spans="1:3" ht="14.25" customHeight="1" x14ac:dyDescent="0.25">
      <c r="B32" s="25" t="s">
        <v>40</v>
      </c>
      <c r="C32" s="99">
        <v>0.46038333121207198</v>
      </c>
    </row>
    <row r="33" spans="1:5" ht="13" customHeight="1" x14ac:dyDescent="0.25">
      <c r="B33" s="27" t="s">
        <v>41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14.99222</v>
      </c>
    </row>
    <row r="38" spans="1:5" ht="15" customHeight="1" x14ac:dyDescent="0.25">
      <c r="B38" s="11" t="s">
        <v>45</v>
      </c>
      <c r="C38" s="43">
        <v>21.063030000000001</v>
      </c>
      <c r="D38" s="12"/>
      <c r="E38" s="13"/>
    </row>
    <row r="39" spans="1:5" ht="15" customHeight="1" x14ac:dyDescent="0.25">
      <c r="B39" s="11" t="s">
        <v>46</v>
      </c>
      <c r="C39" s="43">
        <v>24.22973</v>
      </c>
      <c r="D39" s="12"/>
      <c r="E39" s="12"/>
    </row>
    <row r="40" spans="1:5" ht="15" customHeight="1" x14ac:dyDescent="0.25">
      <c r="B40" s="11" t="s">
        <v>47</v>
      </c>
      <c r="C40" s="100">
        <v>2.59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10.689030000000001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7.0407000000000004E-3</v>
      </c>
      <c r="D45" s="12"/>
    </row>
    <row r="46" spans="1:5" ht="15.75" customHeight="1" x14ac:dyDescent="0.25">
      <c r="B46" s="11" t="s">
        <v>52</v>
      </c>
      <c r="C46" s="45">
        <v>7.5650899999999993E-2</v>
      </c>
      <c r="D46" s="12"/>
    </row>
    <row r="47" spans="1:5" ht="15.75" customHeight="1" x14ac:dyDescent="0.25">
      <c r="B47" s="11" t="s">
        <v>53</v>
      </c>
      <c r="C47" s="45">
        <v>7.4305499999999997E-2</v>
      </c>
      <c r="D47" s="12"/>
      <c r="E47" s="13"/>
    </row>
    <row r="48" spans="1:5" ht="15" customHeight="1" x14ac:dyDescent="0.25">
      <c r="B48" s="11" t="s">
        <v>54</v>
      </c>
      <c r="C48" s="46">
        <v>0.8430029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3.2</v>
      </c>
      <c r="D51" s="12"/>
    </row>
    <row r="52" spans="1:4" ht="15" customHeight="1" x14ac:dyDescent="0.25">
      <c r="B52" s="11" t="s">
        <v>57</v>
      </c>
      <c r="C52" s="100">
        <v>3.2</v>
      </c>
    </row>
    <row r="53" spans="1:4" ht="15.75" customHeight="1" x14ac:dyDescent="0.25">
      <c r="B53" s="11" t="s">
        <v>58</v>
      </c>
      <c r="C53" s="100">
        <v>3.2</v>
      </c>
    </row>
    <row r="54" spans="1:4" ht="15.75" customHeight="1" x14ac:dyDescent="0.25">
      <c r="B54" s="11" t="s">
        <v>59</v>
      </c>
      <c r="C54" s="100">
        <v>3.2</v>
      </c>
    </row>
    <row r="55" spans="1:4" ht="15.75" customHeight="1" x14ac:dyDescent="0.25">
      <c r="B55" s="11" t="s">
        <v>60</v>
      </c>
      <c r="C55" s="100">
        <v>3.2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1.9375E-2</v>
      </c>
    </row>
    <row r="59" spans="1:4" ht="15.75" customHeight="1" x14ac:dyDescent="0.25">
      <c r="B59" s="11" t="s">
        <v>63</v>
      </c>
      <c r="C59" s="45">
        <v>0.58011699999999999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9.1047744999999902E-2</v>
      </c>
    </row>
    <row r="63" spans="1:4" ht="15.75" customHeight="1" x14ac:dyDescent="0.3">
      <c r="A63" s="4"/>
    </row>
  </sheetData>
  <sheetProtection algorithmName="SHA-512" hashValue="gEFMfQQVPlUeHWfhJdT1Oap9sJTvToQCzUwDMJqili4qCjlsHrzoHejEmhXX5pbGqmxfDT6uxv+LNdXHmjL/XA==" saltValue="HR4T8/Edh6+vMiCMPIMTC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470929</v>
      </c>
      <c r="C2" s="49">
        <v>1661551.5</v>
      </c>
      <c r="D2" s="49">
        <v>2168507</v>
      </c>
      <c r="E2" s="49">
        <v>1889469.5</v>
      </c>
      <c r="F2" s="49">
        <v>1677427.5</v>
      </c>
      <c r="G2" s="17">
        <f t="shared" ref="G2:G13" si="0">C2+D2+E2+F2</f>
        <v>7396955.5</v>
      </c>
      <c r="H2" s="17">
        <f t="shared" ref="H2:H13" si="1">(B2 + stillbirth*B2/(1000-stillbirth))/(1-abortion)</f>
        <v>540928.59286609432</v>
      </c>
      <c r="I2" s="17">
        <f t="shared" ref="I2:I13" si="2">G2-H2</f>
        <v>6856026.9071339052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487173</v>
      </c>
      <c r="C3" s="50">
        <v>1683673.5</v>
      </c>
      <c r="D3" s="50">
        <v>2303568.5</v>
      </c>
      <c r="E3" s="50">
        <v>1913197</v>
      </c>
      <c r="F3" s="50">
        <v>1696814.5</v>
      </c>
      <c r="G3" s="17">
        <f t="shared" si="0"/>
        <v>7597253.5</v>
      </c>
      <c r="H3" s="17">
        <f t="shared" si="1"/>
        <v>559587.12538907945</v>
      </c>
      <c r="I3" s="17">
        <f t="shared" si="2"/>
        <v>7037666.3746109204</v>
      </c>
    </row>
    <row r="4" spans="1:9" ht="15.75" customHeight="1" x14ac:dyDescent="0.25">
      <c r="A4" s="5">
        <f t="shared" si="3"/>
        <v>2026</v>
      </c>
      <c r="B4" s="49">
        <v>501107</v>
      </c>
      <c r="C4" s="50">
        <v>1690171.5</v>
      </c>
      <c r="D4" s="50">
        <v>2432944.5</v>
      </c>
      <c r="E4" s="50">
        <v>1935104.5</v>
      </c>
      <c r="F4" s="50">
        <v>1712501.5</v>
      </c>
      <c r="G4" s="17">
        <f t="shared" si="0"/>
        <v>7770722</v>
      </c>
      <c r="H4" s="17">
        <f t="shared" si="1"/>
        <v>575592.29604749323</v>
      </c>
      <c r="I4" s="17">
        <f t="shared" si="2"/>
        <v>7195129.7039525071</v>
      </c>
    </row>
    <row r="5" spans="1:9" ht="15.75" customHeight="1" x14ac:dyDescent="0.25">
      <c r="A5" s="5">
        <f t="shared" si="3"/>
        <v>2027</v>
      </c>
      <c r="B5" s="49">
        <v>512799</v>
      </c>
      <c r="C5" s="50">
        <v>1684717.5</v>
      </c>
      <c r="D5" s="50">
        <v>2550889.5</v>
      </c>
      <c r="E5" s="50">
        <v>1956818.5</v>
      </c>
      <c r="F5" s="50">
        <v>1726073</v>
      </c>
      <c r="G5" s="17">
        <f t="shared" si="0"/>
        <v>7918498.5</v>
      </c>
      <c r="H5" s="17">
        <f t="shared" si="1"/>
        <v>589022.21246332314</v>
      </c>
      <c r="I5" s="17">
        <f t="shared" si="2"/>
        <v>7329476.287536677</v>
      </c>
    </row>
    <row r="6" spans="1:9" ht="15.75" customHeight="1" x14ac:dyDescent="0.25">
      <c r="A6" s="5">
        <f t="shared" si="3"/>
        <v>2028</v>
      </c>
      <c r="B6" s="49">
        <v>521890</v>
      </c>
      <c r="C6" s="50">
        <v>1670808.5</v>
      </c>
      <c r="D6" s="50">
        <v>2654184</v>
      </c>
      <c r="E6" s="50">
        <v>1982837</v>
      </c>
      <c r="F6" s="50">
        <v>1738387.5</v>
      </c>
      <c r="G6" s="17">
        <f t="shared" si="0"/>
        <v>8046217</v>
      </c>
      <c r="H6" s="17">
        <f t="shared" si="1"/>
        <v>599464.51233813597</v>
      </c>
      <c r="I6" s="17">
        <f t="shared" si="2"/>
        <v>7446752.4876618637</v>
      </c>
    </row>
    <row r="7" spans="1:9" ht="15.75" customHeight="1" x14ac:dyDescent="0.25">
      <c r="A7" s="5">
        <f t="shared" si="3"/>
        <v>2029</v>
      </c>
      <c r="B7" s="49">
        <v>528576</v>
      </c>
      <c r="C7" s="50">
        <v>1651411</v>
      </c>
      <c r="D7" s="50">
        <v>2739176.5</v>
      </c>
      <c r="E7" s="50">
        <v>2016315.5</v>
      </c>
      <c r="F7" s="50">
        <v>1747946</v>
      </c>
      <c r="G7" s="17">
        <f t="shared" si="0"/>
        <v>8154849</v>
      </c>
      <c r="H7" s="17">
        <f t="shared" si="1"/>
        <v>607144.32940589497</v>
      </c>
      <c r="I7" s="17">
        <f t="shared" si="2"/>
        <v>7547704.6705941055</v>
      </c>
    </row>
    <row r="8" spans="1:9" ht="15.75" customHeight="1" x14ac:dyDescent="0.25">
      <c r="A8" s="5">
        <f t="shared" si="3"/>
        <v>2030</v>
      </c>
      <c r="B8" s="49">
        <v>532741</v>
      </c>
      <c r="C8" s="50">
        <v>1628400</v>
      </c>
      <c r="D8" s="50">
        <v>2802328.5</v>
      </c>
      <c r="E8" s="50">
        <v>2058865.5</v>
      </c>
      <c r="F8" s="50">
        <v>1754259</v>
      </c>
      <c r="G8" s="17">
        <f t="shared" si="0"/>
        <v>8243853</v>
      </c>
      <c r="H8" s="17">
        <f t="shared" si="1"/>
        <v>611928.42125262192</v>
      </c>
      <c r="I8" s="17">
        <f t="shared" si="2"/>
        <v>7631924.5787473777</v>
      </c>
    </row>
    <row r="9" spans="1:9" ht="15.75" customHeight="1" x14ac:dyDescent="0.25">
      <c r="A9" s="5">
        <f t="shared" si="3"/>
        <v>2031</v>
      </c>
      <c r="B9" s="49">
        <v>533054</v>
      </c>
      <c r="C9" s="50">
        <v>1601894</v>
      </c>
      <c r="D9" s="50">
        <v>2842991.5</v>
      </c>
      <c r="E9" s="50">
        <v>2111223.5</v>
      </c>
      <c r="F9" s="50">
        <v>1757463.5</v>
      </c>
      <c r="G9" s="17">
        <f t="shared" si="0"/>
        <v>8313572.5</v>
      </c>
      <c r="H9" s="17">
        <f t="shared" si="1"/>
        <v>612287.94604206376</v>
      </c>
      <c r="I9" s="17">
        <f t="shared" si="2"/>
        <v>7701284.5539579364</v>
      </c>
    </row>
    <row r="10" spans="1:9" ht="15.75" customHeight="1" x14ac:dyDescent="0.25">
      <c r="A10" s="5">
        <f t="shared" si="3"/>
        <v>2032</v>
      </c>
      <c r="B10" s="49">
        <v>532998</v>
      </c>
      <c r="C10" s="50">
        <v>1570132.5</v>
      </c>
      <c r="D10" s="50">
        <v>2862283.5</v>
      </c>
      <c r="E10" s="50">
        <v>2173874.5</v>
      </c>
      <c r="F10" s="50">
        <v>1758063</v>
      </c>
      <c r="G10" s="17">
        <f t="shared" si="0"/>
        <v>8364353.5</v>
      </c>
      <c r="H10" s="17">
        <f t="shared" si="1"/>
        <v>612223.62211807421</v>
      </c>
      <c r="I10" s="17">
        <f t="shared" si="2"/>
        <v>7752129.8778819256</v>
      </c>
    </row>
    <row r="11" spans="1:9" ht="15.75" customHeight="1" x14ac:dyDescent="0.25">
      <c r="A11" s="5">
        <f t="shared" si="3"/>
        <v>2033</v>
      </c>
      <c r="B11" s="49">
        <v>532649</v>
      </c>
      <c r="C11" s="50">
        <v>1530796.5</v>
      </c>
      <c r="D11" s="50">
        <v>2863312.5</v>
      </c>
      <c r="E11" s="50">
        <v>2246510.5</v>
      </c>
      <c r="F11" s="50">
        <v>1756969</v>
      </c>
      <c r="G11" s="17">
        <f t="shared" si="0"/>
        <v>8397588.5</v>
      </c>
      <c r="H11" s="17">
        <f t="shared" si="1"/>
        <v>611822.74623463908</v>
      </c>
      <c r="I11" s="17">
        <f t="shared" si="2"/>
        <v>7785765.7537653614</v>
      </c>
    </row>
    <row r="12" spans="1:9" ht="15.75" customHeight="1" x14ac:dyDescent="0.25">
      <c r="A12" s="5">
        <f t="shared" si="3"/>
        <v>2034</v>
      </c>
      <c r="B12" s="49">
        <v>529086</v>
      </c>
      <c r="C12" s="50">
        <v>1485986</v>
      </c>
      <c r="D12" s="50">
        <v>2849054</v>
      </c>
      <c r="E12" s="50">
        <v>2327280</v>
      </c>
      <c r="F12" s="50">
        <v>1755052.5</v>
      </c>
      <c r="G12" s="17">
        <f t="shared" si="0"/>
        <v>8417372.5</v>
      </c>
      <c r="H12" s="17">
        <f t="shared" si="1"/>
        <v>607730.13657080021</v>
      </c>
      <c r="I12" s="17">
        <f t="shared" si="2"/>
        <v>7809642.3634291999</v>
      </c>
    </row>
    <row r="13" spans="1:9" ht="15.75" customHeight="1" x14ac:dyDescent="0.25">
      <c r="A13" s="5">
        <f t="shared" si="3"/>
        <v>2035</v>
      </c>
      <c r="B13" s="49">
        <v>524693</v>
      </c>
      <c r="C13" s="50">
        <v>1441171.5</v>
      </c>
      <c r="D13" s="50">
        <v>2821682</v>
      </c>
      <c r="E13" s="50">
        <v>2413337</v>
      </c>
      <c r="F13" s="50">
        <v>1753489.5</v>
      </c>
      <c r="G13" s="17">
        <f t="shared" si="0"/>
        <v>8429680</v>
      </c>
      <c r="H13" s="17">
        <f t="shared" si="1"/>
        <v>602684.15446211572</v>
      </c>
      <c r="I13" s="17">
        <f t="shared" si="2"/>
        <v>7826995.8455378842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R8mJzsVxGQJkoJj9MK2Dyt2Bk5OzmEIPtAoMQUI/Kd5ig2N9a476EGFxfz6+QNtPm9WwJoZmqGLHd4n8gR0KFA==" saltValue="nvFmhm8pQk2pmxOVZlRr7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0.16119969142408941</v>
      </c>
    </row>
    <row r="5" spans="1:8" ht="15.75" customHeight="1" x14ac:dyDescent="0.25">
      <c r="B5" s="19" t="s">
        <v>80</v>
      </c>
      <c r="C5" s="101">
        <v>6.5832262834305141E-2</v>
      </c>
    </row>
    <row r="6" spans="1:8" ht="15.75" customHeight="1" x14ac:dyDescent="0.25">
      <c r="B6" s="19" t="s">
        <v>81</v>
      </c>
      <c r="C6" s="101">
        <v>0.14184394821056301</v>
      </c>
    </row>
    <row r="7" spans="1:8" ht="15.75" customHeight="1" x14ac:dyDescent="0.25">
      <c r="B7" s="19" t="s">
        <v>82</v>
      </c>
      <c r="C7" s="101">
        <v>0.39461551247407772</v>
      </c>
    </row>
    <row r="8" spans="1:8" ht="15.75" customHeight="1" x14ac:dyDescent="0.25">
      <c r="B8" s="19" t="s">
        <v>83</v>
      </c>
      <c r="C8" s="101">
        <v>7.4852374206232171E-5</v>
      </c>
    </row>
    <row r="9" spans="1:8" ht="15.75" customHeight="1" x14ac:dyDescent="0.25">
      <c r="B9" s="19" t="s">
        <v>84</v>
      </c>
      <c r="C9" s="101">
        <v>0.1777144467984253</v>
      </c>
    </row>
    <row r="10" spans="1:8" ht="15.75" customHeight="1" x14ac:dyDescent="0.25">
      <c r="B10" s="19" t="s">
        <v>85</v>
      </c>
      <c r="C10" s="101">
        <v>5.8719285884333283E-2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0.1802786786201154</v>
      </c>
      <c r="D14" s="55">
        <v>0.1802786786201154</v>
      </c>
      <c r="E14" s="55">
        <v>0.1802786786201154</v>
      </c>
      <c r="F14" s="55">
        <v>0.1802786786201154</v>
      </c>
    </row>
    <row r="15" spans="1:8" ht="15.75" customHeight="1" x14ac:dyDescent="0.25">
      <c r="B15" s="19" t="s">
        <v>88</v>
      </c>
      <c r="C15" s="101">
        <v>0.27581630038978422</v>
      </c>
      <c r="D15" s="101">
        <v>0.27581630038978422</v>
      </c>
      <c r="E15" s="101">
        <v>0.27581630038978422</v>
      </c>
      <c r="F15" s="101">
        <v>0.27581630038978422</v>
      </c>
    </row>
    <row r="16" spans="1:8" ht="15.75" customHeight="1" x14ac:dyDescent="0.25">
      <c r="B16" s="19" t="s">
        <v>89</v>
      </c>
      <c r="C16" s="101">
        <v>5.0478112893712693E-2</v>
      </c>
      <c r="D16" s="101">
        <v>5.0478112893712693E-2</v>
      </c>
      <c r="E16" s="101">
        <v>5.0478112893712693E-2</v>
      </c>
      <c r="F16" s="101">
        <v>5.0478112893712693E-2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3.0939452737560089E-2</v>
      </c>
      <c r="D18" s="101">
        <v>3.0939452737560089E-2</v>
      </c>
      <c r="E18" s="101">
        <v>3.0939452737560089E-2</v>
      </c>
      <c r="F18" s="101">
        <v>3.0939452737560089E-2</v>
      </c>
    </row>
    <row r="19" spans="1:8" ht="15.75" customHeight="1" x14ac:dyDescent="0.25">
      <c r="B19" s="19" t="s">
        <v>92</v>
      </c>
      <c r="C19" s="101">
        <v>1.026055393849703E-2</v>
      </c>
      <c r="D19" s="101">
        <v>1.026055393849703E-2</v>
      </c>
      <c r="E19" s="101">
        <v>1.026055393849703E-2</v>
      </c>
      <c r="F19" s="101">
        <v>1.026055393849703E-2</v>
      </c>
    </row>
    <row r="20" spans="1:8" ht="15.75" customHeight="1" x14ac:dyDescent="0.25">
      <c r="B20" s="19" t="s">
        <v>93</v>
      </c>
      <c r="C20" s="101">
        <v>3.5903363395069353E-2</v>
      </c>
      <c r="D20" s="101">
        <v>3.5903363395069353E-2</v>
      </c>
      <c r="E20" s="101">
        <v>3.5903363395069353E-2</v>
      </c>
      <c r="F20" s="101">
        <v>3.5903363395069353E-2</v>
      </c>
    </row>
    <row r="21" spans="1:8" ht="15.75" customHeight="1" x14ac:dyDescent="0.25">
      <c r="B21" s="19" t="s">
        <v>94</v>
      </c>
      <c r="C21" s="101">
        <v>0.31616327977805031</v>
      </c>
      <c r="D21" s="101">
        <v>0.31616327977805031</v>
      </c>
      <c r="E21" s="101">
        <v>0.31616327977805031</v>
      </c>
      <c r="F21" s="101">
        <v>0.31616327977805031</v>
      </c>
    </row>
    <row r="22" spans="1:8" ht="15.75" customHeight="1" x14ac:dyDescent="0.25">
      <c r="B22" s="19" t="s">
        <v>95</v>
      </c>
      <c r="C22" s="101">
        <v>0.1001602582472108</v>
      </c>
      <c r="D22" s="101">
        <v>0.1001602582472108</v>
      </c>
      <c r="E22" s="101">
        <v>0.1001602582472108</v>
      </c>
      <c r="F22" s="101">
        <v>0.1001602582472108</v>
      </c>
    </row>
    <row r="23" spans="1:8" ht="15.75" customHeight="1" x14ac:dyDescent="0.25">
      <c r="B23" s="27" t="s">
        <v>41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5.6534050000000002E-2</v>
      </c>
    </row>
    <row r="27" spans="1:8" ht="15.75" customHeight="1" x14ac:dyDescent="0.25">
      <c r="B27" s="19" t="s">
        <v>102</v>
      </c>
      <c r="C27" s="101">
        <v>3.5322311000000002E-2</v>
      </c>
    </row>
    <row r="28" spans="1:8" ht="15.75" customHeight="1" x14ac:dyDescent="0.25">
      <c r="B28" s="19" t="s">
        <v>103</v>
      </c>
      <c r="C28" s="101">
        <v>4.2593103E-2</v>
      </c>
    </row>
    <row r="29" spans="1:8" ht="15.75" customHeight="1" x14ac:dyDescent="0.25">
      <c r="B29" s="19" t="s">
        <v>104</v>
      </c>
      <c r="C29" s="101">
        <v>0.27419058800000001</v>
      </c>
    </row>
    <row r="30" spans="1:8" ht="15.75" customHeight="1" x14ac:dyDescent="0.25">
      <c r="B30" s="19" t="s">
        <v>2</v>
      </c>
      <c r="C30" s="101">
        <v>6.2699299999999999E-2</v>
      </c>
    </row>
    <row r="31" spans="1:8" ht="15.75" customHeight="1" x14ac:dyDescent="0.25">
      <c r="B31" s="19" t="s">
        <v>105</v>
      </c>
      <c r="C31" s="101">
        <v>0.140173941</v>
      </c>
    </row>
    <row r="32" spans="1:8" ht="15.75" customHeight="1" x14ac:dyDescent="0.25">
      <c r="B32" s="19" t="s">
        <v>106</v>
      </c>
      <c r="C32" s="101">
        <v>2.4544165999999999E-2</v>
      </c>
    </row>
    <row r="33" spans="2:3" ht="15.75" customHeight="1" x14ac:dyDescent="0.25">
      <c r="B33" s="19" t="s">
        <v>107</v>
      </c>
      <c r="C33" s="101">
        <v>0.119318915</v>
      </c>
    </row>
    <row r="34" spans="2:3" ht="15.75" customHeight="1" x14ac:dyDescent="0.25">
      <c r="B34" s="19" t="s">
        <v>108</v>
      </c>
      <c r="C34" s="101">
        <v>0.24462362800000001</v>
      </c>
    </row>
    <row r="35" spans="2:3" ht="15.75" customHeight="1" x14ac:dyDescent="0.25">
      <c r="B35" s="27" t="s">
        <v>41</v>
      </c>
      <c r="C35" s="48">
        <f>SUM(C26:C34)</f>
        <v>1.0000000019999999</v>
      </c>
    </row>
  </sheetData>
  <sheetProtection algorithmName="SHA-512" hashValue="gUHYVW9nfJdIUlEkJPVfZv1Kg0ImRopTlMmy9sZ7y+qxj8R+ZTEc1uUVPOvvGfvCYgDou3/HzhB7wGKua/Powg==" saltValue="bIkXKTxOmDQwhr2FIh6an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0.56571320635899591</v>
      </c>
      <c r="D2" s="52">
        <f>IFERROR(1-_xlfn.NORM.DIST(_xlfn.NORM.INV(SUM(D4:D5), 0, 1) + 1, 0, 1, TRUE), "")</f>
        <v>0.56571320635899591</v>
      </c>
      <c r="E2" s="52">
        <f>IFERROR(1-_xlfn.NORM.DIST(_xlfn.NORM.INV(SUM(E4:E5), 0, 1) + 1, 0, 1, TRUE), "")</f>
        <v>0.5489003245052726</v>
      </c>
      <c r="F2" s="52">
        <f>IFERROR(1-_xlfn.NORM.DIST(_xlfn.NORM.INV(SUM(F4:F5), 0, 1) + 1, 0, 1, TRUE), "")</f>
        <v>0.40571757652982099</v>
      </c>
      <c r="G2" s="52">
        <f>IFERROR(1-_xlfn.NORM.DIST(_xlfn.NORM.INV(SUM(G4:G5), 0, 1) + 1, 0, 1, TRUE), "")</f>
        <v>0.42098878903416415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0.31237251692867529</v>
      </c>
      <c r="D3" s="52">
        <f>IFERROR(_xlfn.NORM.DIST(_xlfn.NORM.INV(SUM(D4:D5), 0, 1) + 1, 0, 1, TRUE) - SUM(D4:D5), "")</f>
        <v>0.31237251692867529</v>
      </c>
      <c r="E3" s="52">
        <f>IFERROR(_xlfn.NORM.DIST(_xlfn.NORM.INV(SUM(E4:E5), 0, 1) + 1, 0, 1, TRUE) - SUM(E4:E5), "")</f>
        <v>0.32035618765688967</v>
      </c>
      <c r="F3" s="52">
        <f>IFERROR(_xlfn.NORM.DIST(_xlfn.NORM.INV(SUM(F4:F5), 0, 1) + 1, 0, 1, TRUE) - SUM(F4:F5), "")</f>
        <v>0.37108079374044944</v>
      </c>
      <c r="G3" s="52">
        <f>IFERROR(_xlfn.NORM.DIST(_xlfn.NORM.INV(SUM(G4:G5), 0, 1) + 1, 0, 1, TRUE) - SUM(G4:G5), "")</f>
        <v>0.36733984610097042</v>
      </c>
    </row>
    <row r="4" spans="1:15" ht="15.75" customHeight="1" x14ac:dyDescent="0.25">
      <c r="B4" s="5" t="s">
        <v>114</v>
      </c>
      <c r="C4" s="45">
        <v>7.883543561643841E-2</v>
      </c>
      <c r="D4" s="53">
        <v>7.883543561643841E-2</v>
      </c>
      <c r="E4" s="53">
        <v>9.5080344594594593E-2</v>
      </c>
      <c r="F4" s="53">
        <v>0.15155733108108099</v>
      </c>
      <c r="G4" s="53">
        <v>0.14753636351351401</v>
      </c>
    </row>
    <row r="5" spans="1:15" ht="15.75" customHeight="1" x14ac:dyDescent="0.25">
      <c r="B5" s="5" t="s">
        <v>115</v>
      </c>
      <c r="C5" s="45">
        <v>4.3078841095890399E-2</v>
      </c>
      <c r="D5" s="53">
        <v>4.3078841095890399E-2</v>
      </c>
      <c r="E5" s="53">
        <v>3.5663143243243198E-2</v>
      </c>
      <c r="F5" s="53">
        <v>7.1644298648648602E-2</v>
      </c>
      <c r="G5" s="53">
        <v>6.4135001351351403E-2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0.74829542472685828</v>
      </c>
      <c r="D8" s="52">
        <f>IFERROR(1-_xlfn.NORM.DIST(_xlfn.NORM.INV(SUM(D10:D11), 0, 1) + 1, 0, 1, TRUE), "")</f>
        <v>0.74829542472685828</v>
      </c>
      <c r="E8" s="52">
        <f>IFERROR(1-_xlfn.NORM.DIST(_xlfn.NORM.INV(SUM(E10:E11), 0, 1) + 1, 0, 1, TRUE), "")</f>
        <v>0.78445700575695343</v>
      </c>
      <c r="F8" s="52">
        <f>IFERROR(1-_xlfn.NORM.DIST(_xlfn.NORM.INV(SUM(F10:F11), 0, 1) + 1, 0, 1, TRUE), "")</f>
        <v>0.83285025048157679</v>
      </c>
      <c r="G8" s="52">
        <f>IFERROR(1-_xlfn.NORM.DIST(_xlfn.NORM.INV(SUM(G10:G11), 0, 1) + 1, 0, 1, TRUE), "")</f>
        <v>0.86465701739449596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0.20415929445122397</v>
      </c>
      <c r="D9" s="52">
        <f>IFERROR(_xlfn.NORM.DIST(_xlfn.NORM.INV(SUM(D10:D11), 0, 1) + 1, 0, 1, TRUE) - SUM(D10:D11), "")</f>
        <v>0.20415929445122397</v>
      </c>
      <c r="E9" s="52">
        <f>IFERROR(_xlfn.NORM.DIST(_xlfn.NORM.INV(SUM(E10:E11), 0, 1) + 1, 0, 1, TRUE) - SUM(E10:E11), "")</f>
        <v>0.1786012861349385</v>
      </c>
      <c r="F9" s="52">
        <f>IFERROR(_xlfn.NORM.DIST(_xlfn.NORM.INV(SUM(F10:F11), 0, 1) + 1, 0, 1, TRUE) - SUM(F10:F11), "")</f>
        <v>0.14247096699343242</v>
      </c>
      <c r="G9" s="52">
        <f>IFERROR(_xlfn.NORM.DIST(_xlfn.NORM.INV(SUM(G10:G11), 0, 1) + 1, 0, 1, TRUE) - SUM(G10:G11), "")</f>
        <v>0.11754374206496343</v>
      </c>
    </row>
    <row r="10" spans="1:15" ht="15.75" customHeight="1" x14ac:dyDescent="0.25">
      <c r="B10" s="5" t="s">
        <v>119</v>
      </c>
      <c r="C10" s="45">
        <v>2.9596563013698601E-2</v>
      </c>
      <c r="D10" s="53">
        <v>2.9596563013698601E-2</v>
      </c>
      <c r="E10" s="53">
        <v>2.6053795945945899E-2</v>
      </c>
      <c r="F10" s="53">
        <v>1.7234675675675701E-2</v>
      </c>
      <c r="G10" s="53">
        <v>1.32244202702703E-2</v>
      </c>
    </row>
    <row r="11" spans="1:15" ht="15.75" customHeight="1" x14ac:dyDescent="0.25">
      <c r="B11" s="5" t="s">
        <v>120</v>
      </c>
      <c r="C11" s="45">
        <v>1.7948717808219199E-2</v>
      </c>
      <c r="D11" s="53">
        <v>1.7948717808219199E-2</v>
      </c>
      <c r="E11" s="53">
        <v>1.08879121621622E-2</v>
      </c>
      <c r="F11" s="53">
        <v>7.4441068493150686E-3</v>
      </c>
      <c r="G11" s="53">
        <v>4.57482027027027E-3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0.10628020924999999</v>
      </c>
      <c r="D14" s="54">
        <v>0.10001147951100001</v>
      </c>
      <c r="E14" s="54">
        <v>0.10001147951100001</v>
      </c>
      <c r="F14" s="54">
        <v>3.3530111506E-2</v>
      </c>
      <c r="G14" s="54">
        <v>3.3530111506E-2</v>
      </c>
      <c r="H14" s="45">
        <v>0.29099999999999998</v>
      </c>
      <c r="I14" s="55">
        <v>0.29099999999999998</v>
      </c>
      <c r="J14" s="55">
        <v>0.29099999999999998</v>
      </c>
      <c r="K14" s="55">
        <v>0.29099999999999998</v>
      </c>
      <c r="L14" s="45">
        <v>0.23599999999999999</v>
      </c>
      <c r="M14" s="55">
        <v>0.23599999999999999</v>
      </c>
      <c r="N14" s="55">
        <v>0.23599999999999999</v>
      </c>
      <c r="O14" s="55">
        <v>0.23599999999999999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6.1654956149482243E-2</v>
      </c>
      <c r="D15" s="52">
        <f t="shared" si="0"/>
        <v>5.8018359459482791E-2</v>
      </c>
      <c r="E15" s="52">
        <f t="shared" si="0"/>
        <v>5.8018359459482791E-2</v>
      </c>
      <c r="F15" s="52">
        <f t="shared" si="0"/>
        <v>1.9451387696526202E-2</v>
      </c>
      <c r="G15" s="52">
        <f t="shared" si="0"/>
        <v>1.9451387696526202E-2</v>
      </c>
      <c r="H15" s="52">
        <f t="shared" si="0"/>
        <v>0.16881404699999999</v>
      </c>
      <c r="I15" s="52">
        <f t="shared" si="0"/>
        <v>0.16881404699999999</v>
      </c>
      <c r="J15" s="52">
        <f t="shared" si="0"/>
        <v>0.16881404699999999</v>
      </c>
      <c r="K15" s="52">
        <f t="shared" si="0"/>
        <v>0.16881404699999999</v>
      </c>
      <c r="L15" s="52">
        <f t="shared" si="0"/>
        <v>0.13690761199999998</v>
      </c>
      <c r="M15" s="52">
        <f t="shared" si="0"/>
        <v>0.13690761199999998</v>
      </c>
      <c r="N15" s="52">
        <f t="shared" si="0"/>
        <v>0.13690761199999998</v>
      </c>
      <c r="O15" s="52">
        <f t="shared" si="0"/>
        <v>0.13690761199999998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Y1rfYEvmjYH0Yx/a1ejz/FSff80lV9AWlaEC5vKmnp3R2IcYZbIB50GRZ4RVreum7fQYf8M0wUkyL5gySSmgIg==" saltValue="j3MR2EaZgFEr84o1QZ+mE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0.53986826333333293</v>
      </c>
      <c r="D2" s="53">
        <v>0.36057784494382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0.118684952222222</v>
      </c>
      <c r="D3" s="53">
        <v>0.128159826966292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0.29430393555555601</v>
      </c>
      <c r="D4" s="53">
        <v>0.40696189550561801</v>
      </c>
      <c r="E4" s="53">
        <v>0.73861227826087006</v>
      </c>
      <c r="F4" s="53">
        <v>0.484822646739131</v>
      </c>
      <c r="G4" s="53">
        <v>0</v>
      </c>
    </row>
    <row r="5" spans="1:7" x14ac:dyDescent="0.25">
      <c r="B5" s="3" t="s">
        <v>132</v>
      </c>
      <c r="C5" s="52">
        <v>4.7031312222222198E-2</v>
      </c>
      <c r="D5" s="52">
        <v>0.10405767555555601</v>
      </c>
      <c r="E5" s="52">
        <f>1-SUM(E2:E4)</f>
        <v>0.26138772173912994</v>
      </c>
      <c r="F5" s="52">
        <f>1-SUM(F2:F4)</f>
        <v>0.515177353260869</v>
      </c>
      <c r="G5" s="52">
        <f>1-SUM(G2:G4)</f>
        <v>1</v>
      </c>
    </row>
  </sheetData>
  <sheetProtection algorithmName="SHA-512" hashValue="jQM/A5MhjAMbEFl3OWwIefBlktT1mLuCX9Rd04DA5wXZz6WWycDZT1x2FLtupWqLIG2kmS7acrXSNGZhYjCwyg==" saltValue="LVDEgu7H6NtTj9J7+mdzx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UTdNI4sx6tY0JEl2og8YyZadMvjFXRh11NDTkWNwb/9S3uCeLb0RcrSRh4T8gRo0D5Cu/a1OwwURvZe9kWDm9A==" saltValue="WABrbZ2S7+MNmP30b/9fG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x7AH3LfiNjuGsWNeOVLGV2XRZxdWKAChsV+NkToSHlS8QNkvJuws5BzZoJKFZ1VjV2PuxZF8vQHR0yPElEHy1g==" saltValue="6JjrE0M8LQ1dWasTh2Pq5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KbiVY+id3Re4g98Gkk//A4mwdQcdXsGiXv0HMDBMllY0cOWLcENRxhOXoErKkN9+9n1uY5CEMWyMJuDEFtWrYQ==" saltValue="A/jQ+hNIj/9ORIVYI7Pac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8ETz9AupbOus2K+bHpaOW/rQvilS4TRyXMxd86SpGJiimK1nTSBxeQ655XJ47TXoyugd72/AH+nh+Y2Duh+yUQ==" saltValue="JJGa3KA3Bma+vTKljyIUb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91.27399970601509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43.717353164893979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935.6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1.572771923276882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14.73506506491457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14.73506506491457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14.73506506491457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14.73506506491457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14.73506506491457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14.73506506491457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0.67</v>
      </c>
      <c r="C16" s="98">
        <v>0.95</v>
      </c>
      <c r="D16" s="56">
        <v>1.474307802764647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0.13023111111111099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0.119632645</v>
      </c>
      <c r="C18" s="98">
        <v>0.95</v>
      </c>
      <c r="D18" s="56">
        <v>21.412062375026149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0.98395579999999994</v>
      </c>
      <c r="C19" s="98">
        <v>0.95</v>
      </c>
      <c r="D19" s="56">
        <v>21.412062375026149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0.78326970000000007</v>
      </c>
      <c r="C21" s="98">
        <v>0.95</v>
      </c>
      <c r="D21" s="56">
        <v>17.19927253299581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25.79440028261962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5.2081376493661544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0.90653673999999995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20.734427315471159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0.71090409500000007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189.5238105577576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0.83911365311495534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3.2374309865658208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8.6805561005393574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Uyta+ujKnepfJy7chn+B+fJMkAhbINwCW0O5WMUzTC8JcAJxJmxhW3AsFJ/cMhcsKaeSQN/0ew/LysytenSGjw==" saltValue="6FGodAF/ZCcQ3hoAZ4Ba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hWG/zfTsKx9HvZxXS4BdrTmUGzBDO/UGgaDDfCxAIXZqW7C0S3S3Jx9d7r2CtI+ioCmQBSJxeaTg5k8BXKEC2A==" saltValue="GGRbOeV5yH4z48MNJaLg1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ab6GH7PoqjFu41ZXvOmFHycCL7SGcSgWthgaka8hoskM70pQZYjI+NwU6fhBemiMxgxPZfHnjqGBR0b6jajZHw==" saltValue="lRJT+LzFw/3HawFNzflog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209</v>
      </c>
      <c r="B3" s="21">
        <f>frac_mam_1month * 2.6</f>
        <v>7.6951063835616368E-2</v>
      </c>
      <c r="C3" s="21">
        <f>frac_mam_1_5months * 2.6</f>
        <v>7.6951063835616368E-2</v>
      </c>
      <c r="D3" s="21">
        <f>frac_mam_6_11months * 2.6</f>
        <v>6.773986945945934E-2</v>
      </c>
      <c r="E3" s="21">
        <f>frac_mam_12_23months * 2.6</f>
        <v>4.4810156756756821E-2</v>
      </c>
      <c r="F3" s="21">
        <f>frac_mam_24_59months * 2.6</f>
        <v>3.438349270270278E-2</v>
      </c>
    </row>
    <row r="4" spans="1:6" ht="15.75" customHeight="1" x14ac:dyDescent="0.25">
      <c r="A4" s="3" t="s">
        <v>208</v>
      </c>
      <c r="B4" s="21">
        <f>frac_sam_1month * 2.6</f>
        <v>4.6666666301369918E-2</v>
      </c>
      <c r="C4" s="21">
        <f>frac_sam_1_5months * 2.6</f>
        <v>4.6666666301369918E-2</v>
      </c>
      <c r="D4" s="21">
        <f>frac_sam_6_11months * 2.6</f>
        <v>2.830857162162172E-2</v>
      </c>
      <c r="E4" s="21">
        <f>frac_sam_12_23months * 2.6</f>
        <v>1.935467780821918E-2</v>
      </c>
      <c r="F4" s="21">
        <f>frac_sam_24_59months * 2.6</f>
        <v>1.1894532702702703E-2</v>
      </c>
    </row>
  </sheetData>
  <sheetProtection algorithmName="SHA-512" hashValue="c9j/kSrQMWefzPtvX9cPesKAVTYpY5vTL47NOb8ZrQ7uwL+2rQvs1lQL1Wkxm9HNqBVv6CFEMaVum9rvm8Y9PA==" saltValue="MC+Bw8heUECK3JJUuo3/F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0.10199999999999999</v>
      </c>
      <c r="E2" s="60">
        <f>food_insecure</f>
        <v>0.10199999999999999</v>
      </c>
      <c r="F2" s="60">
        <f>food_insecure</f>
        <v>0.10199999999999999</v>
      </c>
      <c r="G2" s="60">
        <f>food_insecure</f>
        <v>0.10199999999999999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0.10199999999999999</v>
      </c>
      <c r="F5" s="60">
        <f>food_insecure</f>
        <v>0.10199999999999999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0.10199999999999999</v>
      </c>
      <c r="F8" s="60">
        <f>food_insecure</f>
        <v>0.10199999999999999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0.10199999999999999</v>
      </c>
      <c r="F9" s="60">
        <f>food_insecure</f>
        <v>0.10199999999999999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0.10199999999999999</v>
      </c>
      <c r="I15" s="60">
        <f>food_insecure</f>
        <v>0.10199999999999999</v>
      </c>
      <c r="J15" s="60">
        <f>food_insecure</f>
        <v>0.10199999999999999</v>
      </c>
      <c r="K15" s="60">
        <f>food_insecure</f>
        <v>0.10199999999999999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</v>
      </c>
      <c r="M24" s="60">
        <f>famplan_unmet_need</f>
        <v>0.17</v>
      </c>
      <c r="N24" s="60">
        <f>famplan_unmet_need</f>
        <v>0.17</v>
      </c>
      <c r="O24" s="60">
        <f>famplan_unmet_need</f>
        <v>0.17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0.13754826470794676</v>
      </c>
      <c r="M25" s="60">
        <f>(1-food_insecure)*(0.49)+food_insecure*(0.7)</f>
        <v>0.51141999999999999</v>
      </c>
      <c r="N25" s="60">
        <f>(1-food_insecure)*(0.49)+food_insecure*(0.7)</f>
        <v>0.51141999999999999</v>
      </c>
      <c r="O25" s="60">
        <f>(1-food_insecure)*(0.49)+food_insecure*(0.7)</f>
        <v>0.51141999999999999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5.894925630340575E-2</v>
      </c>
      <c r="M26" s="60">
        <f>(1-food_insecure)*(0.21)+food_insecure*(0.3)</f>
        <v>0.21917999999999999</v>
      </c>
      <c r="N26" s="60">
        <f>(1-food_insecure)*(0.21)+food_insecure*(0.3)</f>
        <v>0.21917999999999999</v>
      </c>
      <c r="O26" s="60">
        <f>(1-food_insecure)*(0.21)+food_insecure*(0.3)</f>
        <v>0.21917999999999999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7.2456107528686503E-2</v>
      </c>
      <c r="M27" s="60">
        <f>(1-food_insecure)*(0.3)</f>
        <v>0.26939999999999997</v>
      </c>
      <c r="N27" s="60">
        <f>(1-food_insecure)*(0.3)</f>
        <v>0.26939999999999997</v>
      </c>
      <c r="O27" s="60">
        <f>(1-food_insecure)*(0.3)</f>
        <v>0.26939999999999997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0.73104637145996099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uvrdjLqUO6KFoq0sXI2vi6rhtENWSuAfNii75sc7WGISsbR1g8rJ8vDgjBzMoFLfJ9r4Qwp8JWErXICI5eaefA==" saltValue="y2d/ULDn/SPetU4QWaZj6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bJ8RNTWXpkYZwye4HnFB6jI5YA5fd3Cc5HePKeMr2Cxlrboyp53vAucnqTFmN+pq4ZkbdNG3f5/9yOvosqdnTw==" saltValue="0fU/J79K+Ewnxl/JiK2nu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UUqq67AEAMyTwAJxZnyOWXjQdIAFWYfuAQHkT9AQIDpit305gLHqJOv+OLXNPiloB55AZqg8KL6jL4+XViy3HQ==" saltValue="VQdJ4HKUnRN1oG2dRZvxg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9DbpqSVIDR8x3Bhqf4dU7qEuLdkFa+ccfbQBB3XZQbh9fCI/16o0PfCTwu+Lm/qKd4oeHiacKXswEAhFtSaVAg==" saltValue="zKnaQZDa9Cio7om+z45L5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KBiicO+IRmr2QPnUV+eptp17m/cxhD37jRFuJdoqgCq3O3ma82vtqggnyiGxu4lL6SkgfnYU87QF6949n96RXw==" saltValue="mcjn/4XCvO25X6xl7dtOt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aftC+0JlfciESdbafARUN8T9TsKMlUlmOgm0HP9rRwsPcl839e6+dIXkodqj+Y+YyWW+c/X3ak1bzghR5VrOUg==" saltValue="lMelT88C1jSm5UlaKgNCQ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uo3CTg1lVwOvIixslY37ExwFeHUIOa4Crisne8NlSGrcDPL2Rs7f8CGM8GLNcx8UbrIoq+5ttaBXACqv+zLIkA==" saltValue="eyeiueczaOuiQb8k7dz24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cieeIQostI/RAUyFrmsPfQ7UwJR653z9r3BQJdrZ6iD5eOWChEr4ytaEPHrhpWtujYMDM94Cu06kl83EcJ66kQ==" saltValue="8tvSXj5QtUybIEaRyQqf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BydlhPDP3Rz5vZ0nXIPJipEvXVnlGHzngn2j047U75vWV7fmyFiQ2wOdLUztgCIpCqnZWmQVIj/XfIhykYwDKw==" saltValue="8286EJJeuOdtXeV/qpwZ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+sI+hFPY5AXHD1FRLM2mofpwqoTEc1QEYwa8A307tdTPjt2hdml8iMB+qW9cJtEoa5fHdwoifjAzGQNVbfyeDA==" saltValue="zKxcxl7+CpTMIVIArjZW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7xGmv4/SjH9Ydru5gA/c6pbW/iFJ+D/UL+o0ljBBI6ZNYScoaUoJGsX3YShTb/mh79Je2h2UYc/esaeCcfvaVw==" saltValue="l65Pa9CQf6d2WEMUtpT4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4ntjrqkQ/zTfiTGXcenB/cP/WyuJhSOM8FfggIH2mijUBbr8eKvJe/5lE9UuRZL7D/uniQTeCjfZDRpU/mTHSQ==" saltValue="2J2XpAF+IUUaa7qMKhjI/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315PXUFcmUprk3KITAOfGDizm8lsbPEUO8bnidexjm4O+mKsAKRovhCxEM/IBGyP9w/35wiGltIwnbXp8q08Cw==" saltValue="UbhECpWVGeY1HPhp4zhFJ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TiXx1YklnK1ZSL8NjzBd+/A/CkFSOicfJlWzy0Vuv4OyMoff3WLR86xeKTABL/9+lgGbbJzcHs00wFbX8Hx+9Q==" saltValue="9hmagUjNUpHOclBbeqAH8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RdXFRNRLrTkFY9vi5dWWBS6rMI0Sva+SSjjNa6ZhikhxuK8McRiuSgoRecQJMLHdc3vWxYe9zDAk3DRt0H/AkQ==" saltValue="8nrEBspPmns76QQJ/k6MP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2024-05-17T01:03:14Z</dcterms:modified>
</cp:coreProperties>
</file>