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57DA767A-9B33-4B8B-9292-CCF23C26E1C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A39" i="2"/>
  <c r="H38" i="2"/>
  <c r="G38" i="2"/>
  <c r="I38" i="2" s="1"/>
  <c r="A37" i="2"/>
  <c r="A34" i="2"/>
  <c r="A33" i="2"/>
  <c r="A32" i="2"/>
  <c r="A31" i="2"/>
  <c r="A29" i="2"/>
  <c r="A28" i="2"/>
  <c r="A26" i="2"/>
  <c r="A24" i="2"/>
  <c r="A23" i="2"/>
  <c r="A21" i="2"/>
  <c r="A20" i="2"/>
  <c r="A18" i="2"/>
  <c r="A17" i="2"/>
  <c r="A16" i="2"/>
  <c r="H13" i="2"/>
  <c r="I13" i="2" s="1"/>
  <c r="G13" i="2"/>
  <c r="H12" i="2"/>
  <c r="G12" i="2"/>
  <c r="I12" i="2" s="1"/>
  <c r="I11" i="2"/>
  <c r="H11" i="2"/>
  <c r="G11" i="2"/>
  <c r="H10" i="2"/>
  <c r="G10" i="2"/>
  <c r="I10" i="2" s="1"/>
  <c r="H9" i="2"/>
  <c r="I9" i="2" s="1"/>
  <c r="G9" i="2"/>
  <c r="H8" i="2"/>
  <c r="G8" i="2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A2" i="2"/>
  <c r="A40" i="2" s="1"/>
  <c r="C33" i="1"/>
  <c r="C20" i="1"/>
  <c r="A15" i="2" l="1"/>
  <c r="A25" i="2"/>
  <c r="A36" i="2"/>
  <c r="I40" i="2"/>
  <c r="I2" i="2"/>
  <c r="I8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<sst xmlns="http://schemas.openxmlformats.org/spreadsheetml/2006/main" count="2101" uniqueCount="337">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</sst>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2269547.265625</v>
      </c>
    </row>
    <row r="8" spans="1:3" ht="15" customHeight="1" x14ac:dyDescent="0.25">
      <c r="B8" s="5" t="s">
        <v>19</v>
      </c>
      <c r="C8" s="44">
        <v>0.10199999999999999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0.73104637145996099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0.18629999999999999</v>
      </c>
    </row>
    <row r="24" spans="1:3" ht="15" customHeight="1" x14ac:dyDescent="0.25">
      <c r="B24" s="15" t="s">
        <v>33</v>
      </c>
      <c r="C24" s="45">
        <v>0.53220000000000001</v>
      </c>
    </row>
    <row r="25" spans="1:3" ht="15" customHeight="1" x14ac:dyDescent="0.25">
      <c r="B25" s="15" t="s">
        <v>34</v>
      </c>
      <c r="C25" s="45">
        <v>0.24540000000000001</v>
      </c>
    </row>
    <row r="26" spans="1:3" ht="15" customHeight="1" x14ac:dyDescent="0.25">
      <c r="B26" s="15" t="s">
        <v>35</v>
      </c>
      <c r="C26" s="45">
        <v>3.61E-2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0.34994163924792399</v>
      </c>
    </row>
    <row r="30" spans="1:3" ht="14.25" customHeight="1" x14ac:dyDescent="0.25">
      <c r="B30" s="25" t="s">
        <v>38</v>
      </c>
      <c r="C30" s="99">
        <v>0.10516916316476101</v>
      </c>
    </row>
    <row r="31" spans="1:3" ht="14.25" customHeight="1" x14ac:dyDescent="0.25">
      <c r="B31" s="25" t="s">
        <v>39</v>
      </c>
      <c r="C31" s="99">
        <v>8.4505866375242988E-2</v>
      </c>
    </row>
    <row r="32" spans="1:3" ht="14.25" customHeight="1" x14ac:dyDescent="0.25">
      <c r="B32" s="25" t="s">
        <v>40</v>
      </c>
      <c r="C32" s="99">
        <v>0.46038333121207198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14.99222</v>
      </c>
    </row>
    <row r="38" spans="1:5" ht="15" customHeight="1" x14ac:dyDescent="0.25">
      <c r="B38" s="11" t="s">
        <v>45</v>
      </c>
      <c r="C38" s="43">
        <v>21.063030000000001</v>
      </c>
      <c r="D38" s="12"/>
      <c r="E38" s="13"/>
    </row>
    <row r="39" spans="1:5" ht="15" customHeight="1" x14ac:dyDescent="0.25">
      <c r="B39" s="11" t="s">
        <v>46</v>
      </c>
      <c r="C39" s="43">
        <v>24.22973</v>
      </c>
      <c r="D39" s="12"/>
      <c r="E39" s="12"/>
    </row>
    <row r="40" spans="1:5" ht="15" customHeight="1" x14ac:dyDescent="0.25">
      <c r="B40" s="11" t="s">
        <v>47</v>
      </c>
      <c r="C40" s="100">
        <v>2.59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10.689030000000001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7.0407000000000004E-3</v>
      </c>
      <c r="D45" s="12"/>
    </row>
    <row r="46" spans="1:5" ht="15.75" customHeight="1" x14ac:dyDescent="0.25">
      <c r="B46" s="11" t="s">
        <v>52</v>
      </c>
      <c r="C46" s="45">
        <v>7.5650899999999993E-2</v>
      </c>
      <c r="D46" s="12"/>
    </row>
    <row r="47" spans="1:5" ht="15.75" customHeight="1" x14ac:dyDescent="0.25">
      <c r="B47" s="11" t="s">
        <v>53</v>
      </c>
      <c r="C47" s="45">
        <v>7.4305499999999997E-2</v>
      </c>
      <c r="D47" s="12"/>
      <c r="E47" s="13"/>
    </row>
    <row r="48" spans="1:5" ht="15" customHeight="1" x14ac:dyDescent="0.25">
      <c r="B48" s="11" t="s">
        <v>54</v>
      </c>
      <c r="C48" s="46">
        <v>0.8430029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0.58011699999999999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9.1047744999999902E-2</v>
      </c>
    </row>
    <row r="63" spans="1:4" ht="15.75" customHeight="1" x14ac:dyDescent="0.3">
      <c r="A63" s="4"/>
    </row>
  </sheetData>
  <sheetProtection algorithmName="SHA-512" hashValue="yXbCnMfNWLM5iikomPLAg/wDjTkc+q0XPyvYgdFN0b/OqZK0vUkYwYU6bTe5pJj1XXh50sx7ozovSxv74CQzHw==" saltValue="ZYcjaPjipUUIqIMyzix6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470929</v>
      </c>
      <c r="C2" s="49">
        <v>1661551.5</v>
      </c>
      <c r="D2" s="49">
        <v>2168507</v>
      </c>
      <c r="E2" s="49">
        <v>1889469.5</v>
      </c>
      <c r="F2" s="49">
        <v>1677427.5</v>
      </c>
      <c r="G2" s="17">
        <f t="shared" ref="G2:G13" si="0">C2+D2+E2+F2</f>
        <v>7396955.5</v>
      </c>
      <c r="H2" s="17">
        <f t="shared" ref="H2:H13" si="1">(B2 + stillbirth*B2/(1000-stillbirth))/(1-abortion)</f>
        <v>540928.59286609432</v>
      </c>
      <c r="I2" s="17">
        <f t="shared" ref="I2:I13" si="2">G2-H2</f>
        <v>6856026.9071339052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487173</v>
      </c>
      <c r="C3" s="50">
        <v>1683673.5</v>
      </c>
      <c r="D3" s="50">
        <v>2303568.5</v>
      </c>
      <c r="E3" s="50">
        <v>1913197</v>
      </c>
      <c r="F3" s="50">
        <v>1696814.5</v>
      </c>
      <c r="G3" s="17">
        <f t="shared" si="0"/>
        <v>7597253.5</v>
      </c>
      <c r="H3" s="17">
        <f t="shared" si="1"/>
        <v>559587.12538907945</v>
      </c>
      <c r="I3" s="17">
        <f t="shared" si="2"/>
        <v>7037666.3746109204</v>
      </c>
    </row>
    <row r="4" spans="1:9" ht="15.75" customHeight="1" x14ac:dyDescent="0.25">
      <c r="A4" s="5">
        <f t="shared" si="3"/>
        <v>2026</v>
      </c>
      <c r="B4" s="49">
        <v>501107</v>
      </c>
      <c r="C4" s="50">
        <v>1690171.5</v>
      </c>
      <c r="D4" s="50">
        <v>2432944.5</v>
      </c>
      <c r="E4" s="50">
        <v>1935104.5</v>
      </c>
      <c r="F4" s="50">
        <v>1712501.5</v>
      </c>
      <c r="G4" s="17">
        <f t="shared" si="0"/>
        <v>7770722</v>
      </c>
      <c r="H4" s="17">
        <f t="shared" si="1"/>
        <v>575592.29604749323</v>
      </c>
      <c r="I4" s="17">
        <f t="shared" si="2"/>
        <v>7195129.7039525071</v>
      </c>
    </row>
    <row r="5" spans="1:9" ht="15.75" customHeight="1" x14ac:dyDescent="0.25">
      <c r="A5" s="5">
        <f t="shared" si="3"/>
        <v>2027</v>
      </c>
      <c r="B5" s="49">
        <v>512799</v>
      </c>
      <c r="C5" s="50">
        <v>1684717.5</v>
      </c>
      <c r="D5" s="50">
        <v>2550889.5</v>
      </c>
      <c r="E5" s="50">
        <v>1956818.5</v>
      </c>
      <c r="F5" s="50">
        <v>1726073</v>
      </c>
      <c r="G5" s="17">
        <f t="shared" si="0"/>
        <v>7918498.5</v>
      </c>
      <c r="H5" s="17">
        <f t="shared" si="1"/>
        <v>589022.21246332314</v>
      </c>
      <c r="I5" s="17">
        <f t="shared" si="2"/>
        <v>7329476.287536677</v>
      </c>
    </row>
    <row r="6" spans="1:9" ht="15.75" customHeight="1" x14ac:dyDescent="0.25">
      <c r="A6" s="5">
        <f t="shared" si="3"/>
        <v>2028</v>
      </c>
      <c r="B6" s="49">
        <v>521890</v>
      </c>
      <c r="C6" s="50">
        <v>1670808.5</v>
      </c>
      <c r="D6" s="50">
        <v>2654184</v>
      </c>
      <c r="E6" s="50">
        <v>1982837</v>
      </c>
      <c r="F6" s="50">
        <v>1738387.5</v>
      </c>
      <c r="G6" s="17">
        <f t="shared" si="0"/>
        <v>8046217</v>
      </c>
      <c r="H6" s="17">
        <f t="shared" si="1"/>
        <v>599464.51233813597</v>
      </c>
      <c r="I6" s="17">
        <f t="shared" si="2"/>
        <v>7446752.4876618637</v>
      </c>
    </row>
    <row r="7" spans="1:9" ht="15.75" customHeight="1" x14ac:dyDescent="0.25">
      <c r="A7" s="5">
        <f t="shared" si="3"/>
        <v>2029</v>
      </c>
      <c r="B7" s="49">
        <v>528576</v>
      </c>
      <c r="C7" s="50">
        <v>1651411</v>
      </c>
      <c r="D7" s="50">
        <v>2739176.5</v>
      </c>
      <c r="E7" s="50">
        <v>2016315.5</v>
      </c>
      <c r="F7" s="50">
        <v>1747946</v>
      </c>
      <c r="G7" s="17">
        <f t="shared" si="0"/>
        <v>8154849</v>
      </c>
      <c r="H7" s="17">
        <f t="shared" si="1"/>
        <v>607144.32940589497</v>
      </c>
      <c r="I7" s="17">
        <f t="shared" si="2"/>
        <v>7547704.6705941055</v>
      </c>
    </row>
    <row r="8" spans="1:9" ht="15.75" customHeight="1" x14ac:dyDescent="0.25">
      <c r="A8" s="5">
        <f t="shared" si="3"/>
        <v>2030</v>
      </c>
      <c r="B8" s="49">
        <v>532741</v>
      </c>
      <c r="C8" s="50">
        <v>1628400</v>
      </c>
      <c r="D8" s="50">
        <v>2802328.5</v>
      </c>
      <c r="E8" s="50">
        <v>2058865.5</v>
      </c>
      <c r="F8" s="50">
        <v>1754259</v>
      </c>
      <c r="G8" s="17">
        <f t="shared" si="0"/>
        <v>8243853</v>
      </c>
      <c r="H8" s="17">
        <f t="shared" si="1"/>
        <v>611928.42125262192</v>
      </c>
      <c r="I8" s="17">
        <f t="shared" si="2"/>
        <v>7631924.5787473777</v>
      </c>
    </row>
    <row r="9" spans="1:9" ht="15.75" customHeight="1" x14ac:dyDescent="0.25">
      <c r="A9" s="5">
        <f t="shared" si="3"/>
        <v>2031</v>
      </c>
      <c r="B9" s="49">
        <v>533054</v>
      </c>
      <c r="C9" s="50">
        <v>1601894</v>
      </c>
      <c r="D9" s="50">
        <v>2842991.5</v>
      </c>
      <c r="E9" s="50">
        <v>2111223.5</v>
      </c>
      <c r="F9" s="50">
        <v>1757463.5</v>
      </c>
      <c r="G9" s="17">
        <f t="shared" si="0"/>
        <v>8313572.5</v>
      </c>
      <c r="H9" s="17">
        <f t="shared" si="1"/>
        <v>612287.94604206376</v>
      </c>
      <c r="I9" s="17">
        <f t="shared" si="2"/>
        <v>7701284.5539579364</v>
      </c>
    </row>
    <row r="10" spans="1:9" ht="15.75" customHeight="1" x14ac:dyDescent="0.25">
      <c r="A10" s="5">
        <f t="shared" si="3"/>
        <v>2032</v>
      </c>
      <c r="B10" s="49">
        <v>532998</v>
      </c>
      <c r="C10" s="50">
        <v>1570132.5</v>
      </c>
      <c r="D10" s="50">
        <v>2862283.5</v>
      </c>
      <c r="E10" s="50">
        <v>2173874.5</v>
      </c>
      <c r="F10" s="50">
        <v>1758063</v>
      </c>
      <c r="G10" s="17">
        <f t="shared" si="0"/>
        <v>8364353.5</v>
      </c>
      <c r="H10" s="17">
        <f t="shared" si="1"/>
        <v>612223.62211807421</v>
      </c>
      <c r="I10" s="17">
        <f t="shared" si="2"/>
        <v>7752129.8778819256</v>
      </c>
    </row>
    <row r="11" spans="1:9" ht="15.75" customHeight="1" x14ac:dyDescent="0.25">
      <c r="A11" s="5">
        <f t="shared" si="3"/>
        <v>2033</v>
      </c>
      <c r="B11" s="49">
        <v>532649</v>
      </c>
      <c r="C11" s="50">
        <v>1530796.5</v>
      </c>
      <c r="D11" s="50">
        <v>2863312.5</v>
      </c>
      <c r="E11" s="50">
        <v>2246510.5</v>
      </c>
      <c r="F11" s="50">
        <v>1756969</v>
      </c>
      <c r="G11" s="17">
        <f t="shared" si="0"/>
        <v>8397588.5</v>
      </c>
      <c r="H11" s="17">
        <f t="shared" si="1"/>
        <v>611822.74623463908</v>
      </c>
      <c r="I11" s="17">
        <f t="shared" si="2"/>
        <v>7785765.7537653614</v>
      </c>
    </row>
    <row r="12" spans="1:9" ht="15.75" customHeight="1" x14ac:dyDescent="0.25">
      <c r="A12" s="5">
        <f t="shared" si="3"/>
        <v>2034</v>
      </c>
      <c r="B12" s="49">
        <v>529086</v>
      </c>
      <c r="C12" s="50">
        <v>1485986</v>
      </c>
      <c r="D12" s="50">
        <v>2849054</v>
      </c>
      <c r="E12" s="50">
        <v>2327280</v>
      </c>
      <c r="F12" s="50">
        <v>1755052.5</v>
      </c>
      <c r="G12" s="17">
        <f t="shared" si="0"/>
        <v>8417372.5</v>
      </c>
      <c r="H12" s="17">
        <f t="shared" si="1"/>
        <v>607730.13657080021</v>
      </c>
      <c r="I12" s="17">
        <f t="shared" si="2"/>
        <v>7809642.3634291999</v>
      </c>
    </row>
    <row r="13" spans="1:9" ht="15.75" customHeight="1" x14ac:dyDescent="0.25">
      <c r="A13" s="5">
        <f t="shared" si="3"/>
        <v>2035</v>
      </c>
      <c r="B13" s="49">
        <v>524693</v>
      </c>
      <c r="C13" s="50">
        <v>1441171.5</v>
      </c>
      <c r="D13" s="50">
        <v>2821682</v>
      </c>
      <c r="E13" s="50">
        <v>2413337</v>
      </c>
      <c r="F13" s="50">
        <v>1753489.5</v>
      </c>
      <c r="G13" s="17">
        <f t="shared" si="0"/>
        <v>8429680</v>
      </c>
      <c r="H13" s="17">
        <f t="shared" si="1"/>
        <v>602684.15446211572</v>
      </c>
      <c r="I13" s="17">
        <f t="shared" si="2"/>
        <v>7826995.8455378842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1eG1GhqPH+F3eWGcHqb+gwj1k4caybjtFwJX9GADp4HZ2Z7uWmKJY9U7+icAlXPS7BbTwkN9bZUIXpmvg/jjg==" saltValue="olFkpLszMpxdvlQXzLEbp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0.16119969142408941</v>
      </c>
    </row>
    <row r="5" spans="1:8" ht="15.75" customHeight="1" x14ac:dyDescent="0.25">
      <c r="B5" s="19" t="s">
        <v>80</v>
      </c>
      <c r="C5" s="101">
        <v>6.5832262834305141E-2</v>
      </c>
    </row>
    <row r="6" spans="1:8" ht="15.75" customHeight="1" x14ac:dyDescent="0.25">
      <c r="B6" s="19" t="s">
        <v>81</v>
      </c>
      <c r="C6" s="101">
        <v>0.14184394821056301</v>
      </c>
    </row>
    <row r="7" spans="1:8" ht="15.75" customHeight="1" x14ac:dyDescent="0.25">
      <c r="B7" s="19" t="s">
        <v>82</v>
      </c>
      <c r="C7" s="101">
        <v>0.39461551247407772</v>
      </c>
    </row>
    <row r="8" spans="1:8" ht="15.75" customHeight="1" x14ac:dyDescent="0.25">
      <c r="B8" s="19" t="s">
        <v>83</v>
      </c>
      <c r="C8" s="101">
        <v>7.4852374206232171E-5</v>
      </c>
    </row>
    <row r="9" spans="1:8" ht="15.75" customHeight="1" x14ac:dyDescent="0.25">
      <c r="B9" s="19" t="s">
        <v>84</v>
      </c>
      <c r="C9" s="101">
        <v>0.1777144467984253</v>
      </c>
    </row>
    <row r="10" spans="1:8" ht="15.75" customHeight="1" x14ac:dyDescent="0.25">
      <c r="B10" s="19" t="s">
        <v>85</v>
      </c>
      <c r="C10" s="101">
        <v>5.8719285884333283E-2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0.1802786786201154</v>
      </c>
      <c r="D14" s="55">
        <v>0.1802786786201154</v>
      </c>
      <c r="E14" s="55">
        <v>0.1802786786201154</v>
      </c>
      <c r="F14" s="55">
        <v>0.1802786786201154</v>
      </c>
    </row>
    <row r="15" spans="1:8" ht="15.75" customHeight="1" x14ac:dyDescent="0.25">
      <c r="B15" s="19" t="s">
        <v>88</v>
      </c>
      <c r="C15" s="101">
        <v>0.27581630038978422</v>
      </c>
      <c r="D15" s="101">
        <v>0.27581630038978422</v>
      </c>
      <c r="E15" s="101">
        <v>0.27581630038978422</v>
      </c>
      <c r="F15" s="101">
        <v>0.27581630038978422</v>
      </c>
    </row>
    <row r="16" spans="1:8" ht="15.75" customHeight="1" x14ac:dyDescent="0.25">
      <c r="B16" s="19" t="s">
        <v>89</v>
      </c>
      <c r="C16" s="101">
        <v>5.0478112893712693E-2</v>
      </c>
      <c r="D16" s="101">
        <v>5.0478112893712693E-2</v>
      </c>
      <c r="E16" s="101">
        <v>5.0478112893712693E-2</v>
      </c>
      <c r="F16" s="101">
        <v>5.0478112893712693E-2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3.0939452737560089E-2</v>
      </c>
      <c r="D18" s="101">
        <v>3.0939452737560089E-2</v>
      </c>
      <c r="E18" s="101">
        <v>3.0939452737560089E-2</v>
      </c>
      <c r="F18" s="101">
        <v>3.0939452737560089E-2</v>
      </c>
    </row>
    <row r="19" spans="1:8" ht="15.75" customHeight="1" x14ac:dyDescent="0.25">
      <c r="B19" s="19" t="s">
        <v>92</v>
      </c>
      <c r="C19" s="101">
        <v>1.026055393849703E-2</v>
      </c>
      <c r="D19" s="101">
        <v>1.026055393849703E-2</v>
      </c>
      <c r="E19" s="101">
        <v>1.026055393849703E-2</v>
      </c>
      <c r="F19" s="101">
        <v>1.026055393849703E-2</v>
      </c>
    </row>
    <row r="20" spans="1:8" ht="15.75" customHeight="1" x14ac:dyDescent="0.25">
      <c r="B20" s="19" t="s">
        <v>93</v>
      </c>
      <c r="C20" s="101">
        <v>3.5903363395069353E-2</v>
      </c>
      <c r="D20" s="101">
        <v>3.5903363395069353E-2</v>
      </c>
      <c r="E20" s="101">
        <v>3.5903363395069353E-2</v>
      </c>
      <c r="F20" s="101">
        <v>3.5903363395069353E-2</v>
      </c>
    </row>
    <row r="21" spans="1:8" ht="15.75" customHeight="1" x14ac:dyDescent="0.25">
      <c r="B21" s="19" t="s">
        <v>94</v>
      </c>
      <c r="C21" s="101">
        <v>0.31616327977805031</v>
      </c>
      <c r="D21" s="101">
        <v>0.31616327977805031</v>
      </c>
      <c r="E21" s="101">
        <v>0.31616327977805031</v>
      </c>
      <c r="F21" s="101">
        <v>0.31616327977805031</v>
      </c>
    </row>
    <row r="22" spans="1:8" ht="15.75" customHeight="1" x14ac:dyDescent="0.25">
      <c r="B22" s="19" t="s">
        <v>95</v>
      </c>
      <c r="C22" s="101">
        <v>0.1001602582472108</v>
      </c>
      <c r="D22" s="101">
        <v>0.1001602582472108</v>
      </c>
      <c r="E22" s="101">
        <v>0.1001602582472108</v>
      </c>
      <c r="F22" s="101">
        <v>0.1001602582472108</v>
      </c>
    </row>
    <row r="23" spans="1:8" ht="15.75" customHeight="1" x14ac:dyDescent="0.25">
      <c r="B23" s="27" t="s">
        <v>41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5.6534050000000002E-2</v>
      </c>
    </row>
    <row r="27" spans="1:8" ht="15.75" customHeight="1" x14ac:dyDescent="0.25">
      <c r="B27" s="19" t="s">
        <v>102</v>
      </c>
      <c r="C27" s="101">
        <v>3.5322311000000002E-2</v>
      </c>
    </row>
    <row r="28" spans="1:8" ht="15.75" customHeight="1" x14ac:dyDescent="0.25">
      <c r="B28" s="19" t="s">
        <v>103</v>
      </c>
      <c r="C28" s="101">
        <v>4.2593103E-2</v>
      </c>
    </row>
    <row r="29" spans="1:8" ht="15.75" customHeight="1" x14ac:dyDescent="0.25">
      <c r="B29" s="19" t="s">
        <v>104</v>
      </c>
      <c r="C29" s="101">
        <v>0.27419058800000001</v>
      </c>
    </row>
    <row r="30" spans="1:8" ht="15.75" customHeight="1" x14ac:dyDescent="0.25">
      <c r="B30" s="19" t="s">
        <v>2</v>
      </c>
      <c r="C30" s="101">
        <v>6.2699299999999999E-2</v>
      </c>
    </row>
    <row r="31" spans="1:8" ht="15.75" customHeight="1" x14ac:dyDescent="0.25">
      <c r="B31" s="19" t="s">
        <v>105</v>
      </c>
      <c r="C31" s="101">
        <v>0.140173941</v>
      </c>
    </row>
    <row r="32" spans="1:8" ht="15.75" customHeight="1" x14ac:dyDescent="0.25">
      <c r="B32" s="19" t="s">
        <v>106</v>
      </c>
      <c r="C32" s="101">
        <v>2.4544165999999999E-2</v>
      </c>
    </row>
    <row r="33" spans="2:3" ht="15.75" customHeight="1" x14ac:dyDescent="0.25">
      <c r="B33" s="19" t="s">
        <v>107</v>
      </c>
      <c r="C33" s="101">
        <v>0.119318915</v>
      </c>
    </row>
    <row r="34" spans="2:3" ht="15.75" customHeight="1" x14ac:dyDescent="0.25">
      <c r="B34" s="19" t="s">
        <v>108</v>
      </c>
      <c r="C34" s="101">
        <v>0.24462362800000001</v>
      </c>
    </row>
    <row r="35" spans="2:3" ht="15.75" customHeight="1" x14ac:dyDescent="0.25">
      <c r="B35" s="27" t="s">
        <v>41</v>
      </c>
      <c r="C35" s="48">
        <f>SUM(C26:C34)</f>
        <v>1.0000000019999999</v>
      </c>
    </row>
  </sheetData>
  <sheetProtection algorithmName="SHA-512" hashValue="NQsy/8apSFYW/79KsLyHZZqn5uzYYpfOH2o+w+y0MUeQjNeZyrrk/B7RvdkV9zcPJlmaSJZ+Uqd6VlLk5o5+JQ==" saltValue="+qVwh1GGWkiCAoiC35cmF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114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115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119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120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0.10628020924999999</v>
      </c>
      <c r="D14" s="54">
        <v>0.10001147951100001</v>
      </c>
      <c r="E14" s="54">
        <v>0.10001147951100001</v>
      </c>
      <c r="F14" s="54">
        <v>3.3530111506E-2</v>
      </c>
      <c r="G14" s="54">
        <v>3.3530111506E-2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0.23599999999999999</v>
      </c>
      <c r="M14" s="55">
        <v>0.23599999999999999</v>
      </c>
      <c r="N14" s="55">
        <v>0.23599999999999999</v>
      </c>
      <c r="O14" s="55">
        <v>0.23599999999999999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6.1654956149482243E-2</v>
      </c>
      <c r="D15" s="52">
        <f t="shared" si="0"/>
        <v>5.8018359459482791E-2</v>
      </c>
      <c r="E15" s="52">
        <f t="shared" si="0"/>
        <v>5.8018359459482791E-2</v>
      </c>
      <c r="F15" s="52">
        <f t="shared" si="0"/>
        <v>1.9451387696526202E-2</v>
      </c>
      <c r="G15" s="52">
        <f t="shared" si="0"/>
        <v>1.9451387696526202E-2</v>
      </c>
      <c r="H15" s="52">
        <f t="shared" si="0"/>
        <v>0.16881404699999999</v>
      </c>
      <c r="I15" s="52">
        <f t="shared" si="0"/>
        <v>0.16881404699999999</v>
      </c>
      <c r="J15" s="52">
        <f t="shared" si="0"/>
        <v>0.16881404699999999</v>
      </c>
      <c r="K15" s="52">
        <f t="shared" si="0"/>
        <v>0.16881404699999999</v>
      </c>
      <c r="L15" s="52">
        <f t="shared" si="0"/>
        <v>0.13690761199999998</v>
      </c>
      <c r="M15" s="52">
        <f t="shared" si="0"/>
        <v>0.13690761199999998</v>
      </c>
      <c r="N15" s="52">
        <f t="shared" si="0"/>
        <v>0.13690761199999998</v>
      </c>
      <c r="O15" s="52">
        <f t="shared" si="0"/>
        <v>0.13690761199999998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IGk58bsx2JMhjsO29VKy1oVpjqJHZGr4Gl54rJsDpd5rlhbZLZO+34AdPCXDoISlSwm4Z2OC7yHYXJCYXOCFA==" saltValue="CZYb4CqnKzjAABOeOgBl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132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DS/R2LS4BOe3M72a6vROvIMKwW4NlSt0/fNwzCgAVQ7/K4PvXJd1GLWryfraSatU12ZF5k7SJ28n4+g5rUejEA==" saltValue="qzNj2JI8JKHRq8mYxwaoV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nsIZKaNNEnigMLOcO22bYQJHyl4/3Tp09Z8qmk8DtxRGISK5GaXQTbPYudKON0Id+e4l/3K/6hlh9qJZXLtyw==" saltValue="u2IyV4/y/q0cSnO/XWoLO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/YZWCaFWTQ/9AstUehRrKMX19ianFKf9Z2IyFBuDIr5nGcVAiTLK0K8RDpJluRz7eh5BUxV7g+ka+jDcjygdZg==" saltValue="LKr6gE658HVb++f8No9fx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i1UfbWH/lMxnWBtzrqykyLsNBvFF3pjXl7ntOgQWU53tevyLvZcpSTVLsXsaYnjo7/IrNdmiZbHKoXNz3zafjg==" saltValue="fNkzmiEUlB6qahHsdAfps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bzSbo90BDtN+KRE2IU3MxYR3w6Ot/cjRL4QDsTu1vI7H9KD7cEcGSYZR7TrIVzr9BztOpKT8LYy9C+kj8aUB8g==" saltValue="b9vIV2rpZ2jKpL/3d+p5o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91.27399970601509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43.717353164893979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935.6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1.572771923276882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14.73506506491457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14.73506506491457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14.73506506491457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14.73506506491457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14.73506506491457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14.73506506491457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1.474307802764647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0.13023111111111099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</v>
      </c>
      <c r="C18" s="98">
        <v>0.95</v>
      </c>
      <c r="D18" s="56">
        <v>21.412062375026149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</v>
      </c>
      <c r="C19" s="98">
        <v>0.95</v>
      </c>
      <c r="D19" s="56">
        <v>21.412062375026149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17.19927253299581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25.79440028261962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5.2081376493661544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0.67930453000000002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20.734427315471159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189.5238105577576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0.83911365311495534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3.2374309865658208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0.78326970000000007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8.6805561005393574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mjCrMrk6p0sgOW15Cf8iIhPOSfwsSxSt7Z6wqgudnwcYEM+jjumR+A34uj43+ssHf5/hFgBPg7mNKfoehmGHaQ==" saltValue="FJVyWYYRaQUBaTj92ZQy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rxHnZASVANRVY0k9ZEF6bDhvivpmSeMlgcUjIGht9Ah4tn6B8YWvwEd49uXHxPoIF0UnnwR+5HXmQ5AmuvG0Sg==" saltValue="96DbdWSDpDALsQNkv/D5s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1YTHVZO/z6fdvalzk6XAIELaJsAJJu3NdB+MzW3yHwy/HuQeESDS66vwXMcX4KETbXHQNSq1nkb26j/gTOvoPw==" saltValue="izF1zoQYop5hCSIXTx7sw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208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TSOOXABncMXE56KnTwkNt/rmNKnnz2Tefs4AoEnvt0RUu+Nz4z0HYNnzqHsHjMqUf+Qfyt7ZQRzpG18EWPHfnw==" saltValue="MWUj8kQiFGoj7IBRH4WGQ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0.10199999999999999</v>
      </c>
      <c r="E2" s="60">
        <f>food_insecure</f>
        <v>0.10199999999999999</v>
      </c>
      <c r="F2" s="60">
        <f>food_insecure</f>
        <v>0.10199999999999999</v>
      </c>
      <c r="G2" s="60">
        <f>food_insecure</f>
        <v>0.10199999999999999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0.10199999999999999</v>
      </c>
      <c r="F5" s="60">
        <f>food_insecure</f>
        <v>0.10199999999999999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0.10199999999999999</v>
      </c>
      <c r="F8" s="60">
        <f>food_insecure</f>
        <v>0.10199999999999999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0.10199999999999999</v>
      </c>
      <c r="F9" s="60">
        <f>food_insecure</f>
        <v>0.10199999999999999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0.10199999999999999</v>
      </c>
      <c r="I15" s="60">
        <f>food_insecure</f>
        <v>0.10199999999999999</v>
      </c>
      <c r="J15" s="60">
        <f>food_insecure</f>
        <v>0.10199999999999999</v>
      </c>
      <c r="K15" s="60">
        <f>food_insecure</f>
        <v>0.10199999999999999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0.13754826470794676</v>
      </c>
      <c r="M25" s="60">
        <f>(1-food_insecure)*(0.49)+food_insecure*(0.7)</f>
        <v>0.51141999999999999</v>
      </c>
      <c r="N25" s="60">
        <f>(1-food_insecure)*(0.49)+food_insecure*(0.7)</f>
        <v>0.51141999999999999</v>
      </c>
      <c r="O25" s="60">
        <f>(1-food_insecure)*(0.49)+food_insecure*(0.7)</f>
        <v>0.51141999999999999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5.894925630340575E-2</v>
      </c>
      <c r="M26" s="60">
        <f>(1-food_insecure)*(0.21)+food_insecure*(0.3)</f>
        <v>0.21917999999999999</v>
      </c>
      <c r="N26" s="60">
        <f>(1-food_insecure)*(0.21)+food_insecure*(0.3)</f>
        <v>0.21917999999999999</v>
      </c>
      <c r="O26" s="60">
        <f>(1-food_insecure)*(0.21)+food_insecure*(0.3)</f>
        <v>0.21917999999999999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7.2456107528686503E-2</v>
      </c>
      <c r="M27" s="60">
        <f>(1-food_insecure)*(0.3)</f>
        <v>0.26939999999999997</v>
      </c>
      <c r="N27" s="60">
        <f>(1-food_insecure)*(0.3)</f>
        <v>0.26939999999999997</v>
      </c>
      <c r="O27" s="60">
        <f>(1-food_insecure)*(0.3)</f>
        <v>0.26939999999999997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0.73104637145996099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6rPMRkiQ0wxEYOBg2jICj7IPpUGtVAG/QFMZrcPoIFlqcvJdfzEccfq0FB/S2ENfsz1Vkd21/GLHQH0GK4EAA==" saltValue="920gAvxA3ESi7nQ7CmYa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0fNwzr2xDFnkInv8BZ7U+oMBWDjK6bH8/aic8svL6eKtn738gx0hn2Sg3MaZYQ54DmyHreDH4RZgyZkN5Iv4gQ==" saltValue="DYJtbAWHvQXF2GRxDr18F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1uyASY/R/0GSR5QaSzVVIIk3vXW427qFPIXYiJHSaKVCuH7SSaVyGPn2zPgax5Tt6Pc6r1IQtvLlH6BPWqMntA==" saltValue="IO4qM+ke+4Q0AsAEfXtrk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+sEoIQ40N6a90mdIFEPcUL7rpA020hc3ywUjZs8YADq7m6+9ykXTP6nuTXxewG128gBqvL0jGc7Q00F+syC/8Q==" saltValue="mumr5/hO9GunVtnYTI4QX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bq9pnwOu1C8ZddoivAjkJ2B7jhGHTnsRReU6PHS5QCxMjcHCfwQ798mGlPxLPhUcQ9wJxpi2fu1mun869ihUoQ==" saltValue="20B9hqbVfTUfyCUdlEwL6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zKytEFNg0qfKYxyeiwi+re7gC7zQx2fjF4Q14mkqKB5r/TGEs9tf1q1dK98aWqcRZnV5mNeRJKW2fiEWHUMHLQ==" saltValue="0p3oYwmGZEbo6e3epS0oQ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gWBFLVEpfe1AkRrs3teby7lwvW3VcqCh7VU/C2oaN8oKd4mkZl8HEkxiKL5BLLDqTO+gZoeOoZ0i/hocxELbnQ==" saltValue="nGo0DCAK2dRhjvs4MGsCJ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pkqDQ3RyNqGjhExYldNV0yX06AXT04GANv8ETQjwCPuhvtbFSsUvt/CslorkR8Sfz55QhxYdmGMOVXGnT5hJA==" saltValue="xmCoYaRZvBo9RGT125DL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94L/l809OvGCIlOgig4N081LO8UB8xoEdsBz7OD9R7D0eBCHoDrEA1cxr3RYrmOsYfp7qLtoDk0QOQYML4uNPw==" saltValue="j3kJLo82sB1tWqtTEdJu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3agfhxTebmKh6FoEQnXjtuwOUhyNa6L1jOpIZHJ9xLyoxDuRAd5t8l2EzrSse3gbdT1xV0xHHPD0xyVv2BBaIg==" saltValue="ohx6EotcphzDSHweFSPY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CJQKI++8ZCULcJv6dTa6r/5JN6MLDD13VdXCjvyhiu+vue3HcdUOFoE/V+Vy0OOlac14ifSgV36U76TIPvuXvA==" saltValue="9ivMEjZ/0qnU5mJn68yS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wFbE0BhXDpaKJN79gW7HSCMJI0L0gbLE9SYzyJY1JrDC3+r5f5aDD1tIix8+MQF3SgsiQzRwJgjPtYEGNoWbQ==" saltValue="s6lXPVv/vLw2M8NOqzsp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n0vP7oPzJweXBQ3EmizqNYa3BuXhVQ8ij4czTQuqXDOcyelXYMCnAywpUum293Orzt8pZFny97ZX0pnWk5yAg==" saltValue="WJDgtOYcutUBr2DqhDQQT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0.10893279523983856</v>
      </c>
      <c r="G18" s="90">
        <f>MIN(MAX(1-0.89/(1-frac_sam_12_23months+(frac_sam_12_23months*0.89)),0),1)</f>
        <v>0.1092706246891999</v>
      </c>
      <c r="H18" s="90">
        <f>MIN(MAX(1-0.89/(1-frac_sam_24_59months+(frac_sam_24_59months*0.89)),0),1)</f>
        <v>0.10955189959787226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0.10744200236657098</v>
      </c>
      <c r="G20" s="90">
        <f>MIN(MAX(1-0.89/(1-frac_mam_12_23months+(frac_mam_12_23months*0.89)),0),1)</f>
        <v>0.10830952041594089</v>
      </c>
      <c r="H20" s="90">
        <f>MIN(MAX(1-0.89/(1-frac_mam_24_59months+(frac_mam_24_59months*0.89)),0),1)</f>
        <v>0.10870344317217706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9.8921979322001974E-3</v>
      </c>
      <c r="G73" s="90">
        <f>MIN(MAX(1-0.99/(1-frac_sam_12_23months+(frac_sam_12_23months*0.99)),0),1)</f>
        <v>9.9262978557254078E-3</v>
      </c>
      <c r="H73" s="90">
        <f>MIN(MAX(1-0.99/(1-frac_sam_24_59months+(frac_sam_24_59months*0.99)),0),1)</f>
        <v>9.9547072072605491E-3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9.742000201394041E-3</v>
      </c>
      <c r="G75" s="90">
        <f>MIN(MAX(1-0.99/(1-frac_mam_12_23months+(frac_mam_12_23months*0.99)),0),1)</f>
        <v>9.8293472993712383E-3</v>
      </c>
      <c r="H75" s="90">
        <f>MIN(MAX(1-0.99/(1-frac_mam_24_59months+(frac_mam_24_59months*0.99)),0),1)</f>
        <v>9.8690609233905713E-3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0.19825413228318445</v>
      </c>
      <c r="G128" s="90">
        <f>MIN(MAX(1-0.8/(1-frac_sam_12_23months+(frac_sam_12_23months*0.8)),0),1)</f>
        <v>0.19880716698883183</v>
      </c>
      <c r="H128" s="90">
        <f>MIN(MAX(1-0.8/(1-frac_sam_24_59months+(frac_sam_24_59months*0.8)),0),1)</f>
        <v>0.19926735841604293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0.19580955726063765</v>
      </c>
      <c r="G130" s="90">
        <f>MIN(MAX(1-0.8/(1-frac_mam_12_23months+(frac_mam_12_23months*0.8)),0),1)</f>
        <v>0.19723291392568032</v>
      </c>
      <c r="H130" s="90">
        <f>MIN(MAX(1-0.8/(1-frac_mam_24_59months+(frac_mam_24_59months*0.8)),0),1)</f>
        <v>0.19787848158653454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v9lPv8eE53qbFTV0l82SZ2qo+COGKYXtoD4MY7ne2y3uW+8ZlJJNGuk3iPmzuzo+WL79KDOk0TkFmMozcd2wQ==" saltValue="vRDnSR3ir6frKItQAc2E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YoI8C9Y5LTGmL3lClBZjCqefT+/3jZBteOX9ft/KMh63J6vrWAbyQ+sGh+tfiLhj3NiLeEiN2kSHzWGevMSp6A==" saltValue="uKt5V+s0dShHtP8C84mAo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2024-08-06T09:58:08Z</dcterms:modified>
</cp:coreProperties>
</file>