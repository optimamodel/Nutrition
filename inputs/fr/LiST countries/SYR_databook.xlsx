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2ACA2FB5-E0D0-49A7-AC53-4B39E630A826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1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6" i="2" l="1"/>
  <c r="A34" i="2"/>
  <c r="A40" i="2"/>
  <c r="I2" i="2"/>
  <c r="I6" i="2"/>
  <c r="A19" i="2"/>
  <c r="A35" i="2"/>
  <c r="A22" i="2"/>
  <c r="A36" i="2"/>
  <c r="A23" i="2"/>
  <c r="A37" i="2"/>
  <c r="A2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<sst xmlns="http://schemas.openxmlformats.org/spreadsheetml/2006/main" count="2169" uniqueCount="369">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</sst>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2298212.5</v>
      </c>
    </row>
    <row r="8" spans="1:3" ht="15" customHeight="1" x14ac:dyDescent="0.25">
      <c r="B8" s="5" t="s">
        <v>37</v>
      </c>
      <c r="C8" s="44">
        <v>0.23400000000000001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0.45275009155273399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0.46700000000000003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7.3499999999999996E-2</v>
      </c>
    </row>
    <row r="24" spans="1:3" ht="15" customHeight="1" x14ac:dyDescent="0.25">
      <c r="B24" s="15" t="s">
        <v>51</v>
      </c>
      <c r="C24" s="45">
        <v>0.48159999999999997</v>
      </c>
    </row>
    <row r="25" spans="1:3" ht="15" customHeight="1" x14ac:dyDescent="0.25">
      <c r="B25" s="15" t="s">
        <v>52</v>
      </c>
      <c r="C25" s="45">
        <v>0.38009999999999999</v>
      </c>
    </row>
    <row r="26" spans="1:3" ht="15" customHeight="1" x14ac:dyDescent="0.25">
      <c r="B26" s="15" t="s">
        <v>53</v>
      </c>
      <c r="C26" s="45">
        <v>6.480000000000001E-2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0.34994163924792399</v>
      </c>
    </row>
    <row r="30" spans="1:3" ht="14.25" customHeight="1" x14ac:dyDescent="0.25">
      <c r="B30" s="25" t="s">
        <v>56</v>
      </c>
      <c r="C30" s="97">
        <v>0.10516916316476101</v>
      </c>
    </row>
    <row r="31" spans="1:3" ht="14.25" customHeight="1" x14ac:dyDescent="0.25">
      <c r="B31" s="25" t="s">
        <v>57</v>
      </c>
      <c r="C31" s="97">
        <v>8.4505866375242988E-2</v>
      </c>
    </row>
    <row r="32" spans="1:3" ht="14.25" customHeight="1" x14ac:dyDescent="0.25">
      <c r="B32" s="25" t="s">
        <v>58</v>
      </c>
      <c r="C32" s="97">
        <v>0.46038333121207198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10.659739999999999</v>
      </c>
    </row>
    <row r="38" spans="1:5" ht="15" customHeight="1" x14ac:dyDescent="0.25">
      <c r="B38" s="11" t="s">
        <v>63</v>
      </c>
      <c r="C38" s="43">
        <v>15.35069</v>
      </c>
      <c r="D38" s="12"/>
      <c r="E38" s="13"/>
    </row>
    <row r="39" spans="1:5" ht="15" customHeight="1" x14ac:dyDescent="0.25">
      <c r="B39" s="11" t="s">
        <v>64</v>
      </c>
      <c r="C39" s="43">
        <v>17.175809999999998</v>
      </c>
      <c r="D39" s="12"/>
      <c r="E39" s="12"/>
    </row>
    <row r="40" spans="1:5" ht="15" customHeight="1" x14ac:dyDescent="0.25">
      <c r="B40" s="11" t="s">
        <v>65</v>
      </c>
      <c r="C40" s="98">
        <v>0.96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10.94176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1.09351E-2</v>
      </c>
      <c r="D45" s="12"/>
    </row>
    <row r="46" spans="1:5" ht="15.75" customHeight="1" x14ac:dyDescent="0.25">
      <c r="B46" s="11" t="s">
        <v>70</v>
      </c>
      <c r="C46" s="45">
        <v>0.1174965</v>
      </c>
      <c r="D46" s="12"/>
    </row>
    <row r="47" spans="1:5" ht="15.75" customHeight="1" x14ac:dyDescent="0.25">
      <c r="B47" s="11" t="s">
        <v>71</v>
      </c>
      <c r="C47" s="45">
        <v>7.0600399999999994E-2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0.54960799999999999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SyY+yYxub14M8EISY61nUvK/SDRIDeRj52JE+8io2qWHOKYBDcniHnnBMWj04Dg6A9xXPGPuxcMOEQq3LgpgPw==" saltValue="PkEgSUNpAZnDUgm2gBmA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532402</v>
      </c>
      <c r="C2" s="49">
        <v>1775399.5</v>
      </c>
      <c r="D2" s="49">
        <v>2549319</v>
      </c>
      <c r="E2" s="49">
        <v>1464377</v>
      </c>
      <c r="F2" s="49">
        <v>1186209</v>
      </c>
      <c r="G2" s="17">
        <f t="shared" ref="G2:G13" si="0">C2+D2+E2+F2</f>
        <v>6975304.5</v>
      </c>
      <c r="H2" s="17">
        <f t="shared" ref="H2:H13" si="1">(B2 + stillbirth*B2/(1000-stillbirth))/(1-abortion)</f>
        <v>611695.29584756587</v>
      </c>
      <c r="I2" s="17">
        <f t="shared" ref="I2:I13" si="2">G2-H2</f>
        <v>6363609.2041524341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573943</v>
      </c>
      <c r="C3" s="50">
        <v>1795384.5</v>
      </c>
      <c r="D3" s="50">
        <v>2780169</v>
      </c>
      <c r="E3" s="50">
        <v>1581613.5</v>
      </c>
      <c r="F3" s="50">
        <v>1231949</v>
      </c>
      <c r="G3" s="17">
        <f t="shared" si="0"/>
        <v>7389116</v>
      </c>
      <c r="H3" s="17">
        <f t="shared" si="1"/>
        <v>659423.20499291795</v>
      </c>
      <c r="I3" s="17">
        <f t="shared" si="2"/>
        <v>6729692.7950070817</v>
      </c>
    </row>
    <row r="4" spans="1:9" ht="15.75" customHeight="1" x14ac:dyDescent="0.25">
      <c r="A4" s="5">
        <f t="shared" si="3"/>
        <v>2026</v>
      </c>
      <c r="B4" s="49">
        <v>610419</v>
      </c>
      <c r="C4" s="50">
        <v>1790412</v>
      </c>
      <c r="D4" s="50">
        <v>2971406.5</v>
      </c>
      <c r="E4" s="50">
        <v>1709798</v>
      </c>
      <c r="F4" s="50">
        <v>1273598.5</v>
      </c>
      <c r="G4" s="17">
        <f t="shared" si="0"/>
        <v>7745215</v>
      </c>
      <c r="H4" s="17">
        <f t="shared" si="1"/>
        <v>701331.7583254294</v>
      </c>
      <c r="I4" s="17">
        <f t="shared" si="2"/>
        <v>7043883.2416745704</v>
      </c>
    </row>
    <row r="5" spans="1:9" ht="15.75" customHeight="1" x14ac:dyDescent="0.25">
      <c r="A5" s="5">
        <f t="shared" si="3"/>
        <v>2027</v>
      </c>
      <c r="B5" s="49">
        <v>639263</v>
      </c>
      <c r="C5" s="50">
        <v>1755175</v>
      </c>
      <c r="D5" s="50">
        <v>3125682</v>
      </c>
      <c r="E5" s="50">
        <v>1849299.5</v>
      </c>
      <c r="F5" s="50">
        <v>1310525</v>
      </c>
      <c r="G5" s="17">
        <f t="shared" si="0"/>
        <v>8040681.5</v>
      </c>
      <c r="H5" s="17">
        <f t="shared" si="1"/>
        <v>734471.63968092238</v>
      </c>
      <c r="I5" s="17">
        <f t="shared" si="2"/>
        <v>7306209.860319078</v>
      </c>
    </row>
    <row r="6" spans="1:9" ht="15.75" customHeight="1" x14ac:dyDescent="0.25">
      <c r="A6" s="5">
        <f t="shared" si="3"/>
        <v>2028</v>
      </c>
      <c r="B6" s="49">
        <v>665188</v>
      </c>
      <c r="C6" s="50">
        <v>1678421.5</v>
      </c>
      <c r="D6" s="50">
        <v>3250326.5</v>
      </c>
      <c r="E6" s="50">
        <v>2002848</v>
      </c>
      <c r="F6" s="50">
        <v>1342899</v>
      </c>
      <c r="G6" s="17">
        <f t="shared" si="0"/>
        <v>8274495</v>
      </c>
      <c r="H6" s="17">
        <f t="shared" si="1"/>
        <v>764257.77974960767</v>
      </c>
      <c r="I6" s="17">
        <f t="shared" si="2"/>
        <v>7510237.2202503923</v>
      </c>
    </row>
    <row r="7" spans="1:9" ht="15.75" customHeight="1" x14ac:dyDescent="0.25">
      <c r="A7" s="5">
        <f t="shared" si="3"/>
        <v>2029</v>
      </c>
      <c r="B7" s="49">
        <v>684175</v>
      </c>
      <c r="C7" s="50">
        <v>1574473</v>
      </c>
      <c r="D7" s="50">
        <v>3335087.5</v>
      </c>
      <c r="E7" s="50">
        <v>2170490.5</v>
      </c>
      <c r="F7" s="50">
        <v>1370461</v>
      </c>
      <c r="G7" s="17">
        <f t="shared" si="0"/>
        <v>8450512</v>
      </c>
      <c r="H7" s="17">
        <f t="shared" si="1"/>
        <v>786072.60873645917</v>
      </c>
      <c r="I7" s="17">
        <f t="shared" si="2"/>
        <v>7664439.3912635408</v>
      </c>
    </row>
    <row r="8" spans="1:9" ht="15.75" customHeight="1" x14ac:dyDescent="0.25">
      <c r="A8" s="5">
        <f t="shared" si="3"/>
        <v>2030</v>
      </c>
      <c r="B8" s="49">
        <v>699103</v>
      </c>
      <c r="C8" s="50">
        <v>1465464.5</v>
      </c>
      <c r="D8" s="50">
        <v>3371692</v>
      </c>
      <c r="E8" s="50">
        <v>2346187</v>
      </c>
      <c r="F8" s="50">
        <v>1392492.5</v>
      </c>
      <c r="G8" s="17">
        <f t="shared" si="0"/>
        <v>8575836</v>
      </c>
      <c r="H8" s="17">
        <f t="shared" si="1"/>
        <v>803223.91052798601</v>
      </c>
      <c r="I8" s="17">
        <f t="shared" si="2"/>
        <v>7772612.0894720145</v>
      </c>
    </row>
    <row r="9" spans="1:9" ht="15.75" customHeight="1" x14ac:dyDescent="0.25">
      <c r="A9" s="5">
        <f t="shared" si="3"/>
        <v>2031</v>
      </c>
      <c r="B9" s="49">
        <v>706443</v>
      </c>
      <c r="C9" s="50">
        <v>1362082.5</v>
      </c>
      <c r="D9" s="50">
        <v>3363171</v>
      </c>
      <c r="E9" s="50">
        <v>2525926.5</v>
      </c>
      <c r="F9" s="50">
        <v>1410994</v>
      </c>
      <c r="G9" s="17">
        <f t="shared" si="0"/>
        <v>8662174</v>
      </c>
      <c r="H9" s="17">
        <f t="shared" si="1"/>
        <v>811657.09348282288</v>
      </c>
      <c r="I9" s="17">
        <f t="shared" si="2"/>
        <v>7850516.9065171769</v>
      </c>
    </row>
    <row r="10" spans="1:9" ht="15.75" customHeight="1" x14ac:dyDescent="0.25">
      <c r="A10" s="5">
        <f t="shared" si="3"/>
        <v>2032</v>
      </c>
      <c r="B10" s="49">
        <v>710855</v>
      </c>
      <c r="C10" s="50">
        <v>1271529</v>
      </c>
      <c r="D10" s="50">
        <v>3316385.5</v>
      </c>
      <c r="E10" s="50">
        <v>2703312.5</v>
      </c>
      <c r="F10" s="50">
        <v>1428747</v>
      </c>
      <c r="G10" s="17">
        <f t="shared" si="0"/>
        <v>8719974</v>
      </c>
      <c r="H10" s="17">
        <f t="shared" si="1"/>
        <v>816726.19473578501</v>
      </c>
      <c r="I10" s="17">
        <f t="shared" si="2"/>
        <v>7903247.805264215</v>
      </c>
    </row>
    <row r="11" spans="1:9" ht="15.75" customHeight="1" x14ac:dyDescent="0.25">
      <c r="A11" s="5">
        <f t="shared" si="3"/>
        <v>2033</v>
      </c>
      <c r="B11" s="49">
        <v>702271</v>
      </c>
      <c r="C11" s="50">
        <v>1204044.5</v>
      </c>
      <c r="D11" s="50">
        <v>3240248</v>
      </c>
      <c r="E11" s="50">
        <v>2868461.5</v>
      </c>
      <c r="F11" s="50">
        <v>1449682.5</v>
      </c>
      <c r="G11" s="17">
        <f t="shared" si="0"/>
        <v>8762436.5</v>
      </c>
      <c r="H11" s="17">
        <f t="shared" si="1"/>
        <v>806863.73663165409</v>
      </c>
      <c r="I11" s="17">
        <f t="shared" si="2"/>
        <v>7955572.7633683458</v>
      </c>
    </row>
    <row r="12" spans="1:9" ht="15.75" customHeight="1" x14ac:dyDescent="0.25">
      <c r="A12" s="5">
        <f t="shared" si="3"/>
        <v>2034</v>
      </c>
      <c r="B12" s="49">
        <v>694568</v>
      </c>
      <c r="C12" s="50">
        <v>1177233</v>
      </c>
      <c r="D12" s="50">
        <v>3131602</v>
      </c>
      <c r="E12" s="50">
        <v>3015146.5</v>
      </c>
      <c r="F12" s="50">
        <v>1480634</v>
      </c>
      <c r="G12" s="17">
        <f t="shared" si="0"/>
        <v>8804615.5</v>
      </c>
      <c r="H12" s="17">
        <f t="shared" si="1"/>
        <v>798013.49026910507</v>
      </c>
      <c r="I12" s="17">
        <f t="shared" si="2"/>
        <v>8006602.009730895</v>
      </c>
    </row>
    <row r="13" spans="1:9" ht="15.75" customHeight="1" x14ac:dyDescent="0.25">
      <c r="A13" s="5">
        <f t="shared" si="3"/>
        <v>2035</v>
      </c>
      <c r="B13" s="49">
        <v>680805</v>
      </c>
      <c r="C13" s="50">
        <v>1190252</v>
      </c>
      <c r="D13" s="50">
        <v>2993307</v>
      </c>
      <c r="E13" s="50">
        <v>3139393</v>
      </c>
      <c r="F13" s="50">
        <v>1526329</v>
      </c>
      <c r="G13" s="17">
        <f t="shared" si="0"/>
        <v>8849281</v>
      </c>
      <c r="H13" s="17">
        <f t="shared" si="1"/>
        <v>782200.69776128198</v>
      </c>
      <c r="I13" s="17">
        <f t="shared" si="2"/>
        <v>8067080.3022387177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ubUDLNkJ40cl5AgX24u1kmmUthhGifY2gT6tLIZtjUMa6DIjNnaX4uA5X+cRPL8zGxryP34QneC0edmtDGp3aQ==" saltValue="amNPVPpwykjk/wWCDdSuI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0.15451909999999969</v>
      </c>
    </row>
    <row r="5" spans="1:8" ht="15.75" customHeight="1" x14ac:dyDescent="0.25">
      <c r="B5" s="19" t="s">
        <v>98</v>
      </c>
      <c r="C5" s="99">
        <v>4.2198999999999926E-3</v>
      </c>
    </row>
    <row r="6" spans="1:8" ht="15.75" customHeight="1" x14ac:dyDescent="0.25">
      <c r="B6" s="19" t="s">
        <v>99</v>
      </c>
      <c r="C6" s="99">
        <v>0.19492200000000021</v>
      </c>
    </row>
    <row r="7" spans="1:8" ht="15.75" customHeight="1" x14ac:dyDescent="0.25">
      <c r="B7" s="19" t="s">
        <v>100</v>
      </c>
      <c r="C7" s="99">
        <v>0.42669009999999979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0.16146820000000039</v>
      </c>
    </row>
    <row r="10" spans="1:8" ht="15.75" customHeight="1" x14ac:dyDescent="0.25">
      <c r="B10" s="19" t="s">
        <v>103</v>
      </c>
      <c r="C10" s="99">
        <v>5.8180699999999898E-2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6.2116492322683313E-2</v>
      </c>
      <c r="D14" s="55">
        <v>6.2116492322683313E-2</v>
      </c>
      <c r="E14" s="55">
        <v>6.2116492322683313E-2</v>
      </c>
      <c r="F14" s="55">
        <v>6.2116492322683313E-2</v>
      </c>
    </row>
    <row r="15" spans="1:8" ht="15.75" customHeight="1" x14ac:dyDescent="0.25">
      <c r="B15" s="19" t="s">
        <v>106</v>
      </c>
      <c r="C15" s="99">
        <v>0.29688997844133608</v>
      </c>
      <c r="D15" s="99">
        <v>0.29688997844133608</v>
      </c>
      <c r="E15" s="99">
        <v>0.29688997844133608</v>
      </c>
      <c r="F15" s="99">
        <v>0.29688997844133608</v>
      </c>
    </row>
    <row r="16" spans="1:8" ht="15.75" customHeight="1" x14ac:dyDescent="0.25">
      <c r="B16" s="19" t="s">
        <v>107</v>
      </c>
      <c r="C16" s="99">
        <v>5.627712966098989E-2</v>
      </c>
      <c r="D16" s="99">
        <v>5.627712966098989E-2</v>
      </c>
      <c r="E16" s="99">
        <v>5.627712966098989E-2</v>
      </c>
      <c r="F16" s="99">
        <v>5.627712966098989E-2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111</v>
      </c>
      <c r="C20" s="99">
        <v>6.7017783841196291E-2</v>
      </c>
      <c r="D20" s="99">
        <v>6.7017783841196291E-2</v>
      </c>
      <c r="E20" s="99">
        <v>6.7017783841196291E-2</v>
      </c>
      <c r="F20" s="99">
        <v>6.7017783841196291E-2</v>
      </c>
    </row>
    <row r="21" spans="1:8" ht="15.75" customHeight="1" x14ac:dyDescent="0.25">
      <c r="B21" s="19" t="s">
        <v>112</v>
      </c>
      <c r="C21" s="99">
        <v>0.38511254926272848</v>
      </c>
      <c r="D21" s="99">
        <v>0.38511254926272848</v>
      </c>
      <c r="E21" s="99">
        <v>0.38511254926272848</v>
      </c>
      <c r="F21" s="99">
        <v>0.38511254926272848</v>
      </c>
    </row>
    <row r="22" spans="1:8" ht="15.75" customHeight="1" x14ac:dyDescent="0.25">
      <c r="B22" s="19" t="s">
        <v>113</v>
      </c>
      <c r="C22" s="99">
        <v>0.13258606647106591</v>
      </c>
      <c r="D22" s="99">
        <v>0.13258606647106591</v>
      </c>
      <c r="E22" s="99">
        <v>0.13258606647106591</v>
      </c>
      <c r="F22" s="99">
        <v>0.13258606647106591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5.7343604999999999E-2</v>
      </c>
    </row>
    <row r="27" spans="1:8" ht="15.75" customHeight="1" x14ac:dyDescent="0.25">
      <c r="B27" s="19" t="s">
        <v>120</v>
      </c>
      <c r="C27" s="99">
        <v>1.4167997E-2</v>
      </c>
    </row>
    <row r="28" spans="1:8" ht="15.75" customHeight="1" x14ac:dyDescent="0.25">
      <c r="B28" s="19" t="s">
        <v>121</v>
      </c>
      <c r="C28" s="99">
        <v>0.101559973</v>
      </c>
    </row>
    <row r="29" spans="1:8" ht="15.75" customHeight="1" x14ac:dyDescent="0.25">
      <c r="B29" s="19" t="s">
        <v>122</v>
      </c>
      <c r="C29" s="99">
        <v>0.21960849700000001</v>
      </c>
    </row>
    <row r="30" spans="1:8" ht="15.75" customHeight="1" x14ac:dyDescent="0.25">
      <c r="B30" s="19" t="s">
        <v>2</v>
      </c>
      <c r="C30" s="99">
        <v>5.5062585999999997E-2</v>
      </c>
    </row>
    <row r="31" spans="1:8" ht="15.75" customHeight="1" x14ac:dyDescent="0.25">
      <c r="B31" s="19" t="s">
        <v>123</v>
      </c>
      <c r="C31" s="99">
        <v>0.14229177300000001</v>
      </c>
    </row>
    <row r="32" spans="1:8" ht="15.75" customHeight="1" x14ac:dyDescent="0.25">
      <c r="B32" s="19" t="s">
        <v>124</v>
      </c>
      <c r="C32" s="99">
        <v>3.0837276E-2</v>
      </c>
    </row>
    <row r="33" spans="2:3" ht="15.75" customHeight="1" x14ac:dyDescent="0.25">
      <c r="B33" s="19" t="s">
        <v>125</v>
      </c>
      <c r="C33" s="99">
        <v>8.2024560999999996E-2</v>
      </c>
    </row>
    <row r="34" spans="2:3" ht="15.75" customHeight="1" x14ac:dyDescent="0.25">
      <c r="B34" s="19" t="s">
        <v>126</v>
      </c>
      <c r="C34" s="99">
        <v>0.29710373299999998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d4bhtPcM0+m4b7m5Dl0KK0g2E9zsct8gn7pyXxGJuiSN0thmw6PJ9QrILMXi5SnIDSSFqT+YVRhrE9yhpTGMgA==" saltValue="AY0h5qH/a5UJYV8+DdZcs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0.71787283692135273</v>
      </c>
      <c r="D2" s="52">
        <f>IFERROR(1-_xlfn.NORM.DIST(_xlfn.NORM.INV(SUM(D4:D5), 0, 1) + 1, 0, 1, TRUE), "")</f>
        <v>0.71787283692135273</v>
      </c>
      <c r="E2" s="52">
        <f>IFERROR(1-_xlfn.NORM.DIST(_xlfn.NORM.INV(SUM(E4:E5), 0, 1) + 1, 0, 1, TRUE), "")</f>
        <v>0.78835830343249902</v>
      </c>
      <c r="F2" s="52">
        <f>IFERROR(1-_xlfn.NORM.DIST(_xlfn.NORM.INV(SUM(F4:F5), 0, 1) + 1, 0, 1, TRUE), "")</f>
        <v>0.66194727070227766</v>
      </c>
      <c r="G2" s="52">
        <f>IFERROR(1-_xlfn.NORM.DIST(_xlfn.NORM.INV(SUM(G4:G5), 0, 1) + 1, 0, 1, TRUE), "")</f>
        <v>0.61735896378344113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0.22467576307864728</v>
      </c>
      <c r="D3" s="52">
        <f>IFERROR(_xlfn.NORM.DIST(_xlfn.NORM.INV(SUM(D4:D5), 0, 1) + 1, 0, 1, TRUE) - SUM(D4:D5), "")</f>
        <v>0.22467576307864728</v>
      </c>
      <c r="E3" s="52">
        <f>IFERROR(_xlfn.NORM.DIST(_xlfn.NORM.INV(SUM(E4:E5), 0, 1) + 1, 0, 1, TRUE) - SUM(E4:E5), "")</f>
        <v>0.17576959656750102</v>
      </c>
      <c r="F3" s="52">
        <f>IFERROR(_xlfn.NORM.DIST(_xlfn.NORM.INV(SUM(F4:F5), 0, 1) + 1, 0, 1, TRUE) - SUM(F4:F5), "")</f>
        <v>0.25992572929772234</v>
      </c>
      <c r="G3" s="52">
        <f>IFERROR(_xlfn.NORM.DIST(_xlfn.NORM.INV(SUM(G4:G5), 0, 1) + 1, 0, 1, TRUE) - SUM(G4:G5), "")</f>
        <v>0.28559213621655893</v>
      </c>
    </row>
    <row r="4" spans="1:15" ht="15.75" customHeight="1" x14ac:dyDescent="0.25">
      <c r="B4" s="5" t="s">
        <v>132</v>
      </c>
      <c r="C4" s="45">
        <v>4.59643E-2</v>
      </c>
      <c r="D4" s="53">
        <v>4.59643E-2</v>
      </c>
      <c r="E4" s="53">
        <v>1.7641E-2</v>
      </c>
      <c r="F4" s="53">
        <v>6.0780500000000001E-2</v>
      </c>
      <c r="G4" s="53">
        <v>7.2927099999999995E-2</v>
      </c>
    </row>
    <row r="5" spans="1:15" ht="15.75" customHeight="1" x14ac:dyDescent="0.25">
      <c r="B5" s="5" t="s">
        <v>133</v>
      </c>
      <c r="C5" s="45">
        <v>1.14871E-2</v>
      </c>
      <c r="D5" s="53">
        <v>1.14871E-2</v>
      </c>
      <c r="E5" s="53">
        <v>1.82311E-2</v>
      </c>
      <c r="F5" s="53">
        <v>1.7346500000000001E-2</v>
      </c>
      <c r="G5" s="53">
        <v>2.4121799999999999E-2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0.69811782303108516</v>
      </c>
      <c r="D8" s="52">
        <f>IFERROR(1-_xlfn.NORM.DIST(_xlfn.NORM.INV(SUM(D10:D11), 0, 1) + 1, 0, 1, TRUE), "")</f>
        <v>0.69811782303108516</v>
      </c>
      <c r="E8" s="52">
        <f>IFERROR(1-_xlfn.NORM.DIST(_xlfn.NORM.INV(SUM(E10:E11), 0, 1) + 1, 0, 1, TRUE), "")</f>
        <v>0.64641386601512119</v>
      </c>
      <c r="F8" s="52">
        <f>IFERROR(1-_xlfn.NORM.DIST(_xlfn.NORM.INV(SUM(F10:F11), 0, 1) + 1, 0, 1, TRUE), "")</f>
        <v>0.69113126197764607</v>
      </c>
      <c r="G8" s="52">
        <f>IFERROR(1-_xlfn.NORM.DIST(_xlfn.NORM.INV(SUM(G10:G11), 0, 1) + 1, 0, 1, TRUE), "")</f>
        <v>0.75698353047258626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0.23750027696891479</v>
      </c>
      <c r="D9" s="52">
        <f>IFERROR(_xlfn.NORM.DIST(_xlfn.NORM.INV(SUM(D10:D11), 0, 1) + 1, 0, 1, TRUE) - SUM(D10:D11), "")</f>
        <v>0.23750027696891479</v>
      </c>
      <c r="E9" s="52">
        <f>IFERROR(_xlfn.NORM.DIST(_xlfn.NORM.INV(SUM(E10:E11), 0, 1) + 1, 0, 1, TRUE) - SUM(E10:E11), "")</f>
        <v>0.26912213398487883</v>
      </c>
      <c r="F9" s="52">
        <f>IFERROR(_xlfn.NORM.DIST(_xlfn.NORM.INV(SUM(F10:F11), 0, 1) + 1, 0, 1, TRUE) - SUM(F10:F11), "")</f>
        <v>0.24193963802235391</v>
      </c>
      <c r="G9" s="52">
        <f>IFERROR(_xlfn.NORM.DIST(_xlfn.NORM.INV(SUM(G10:G11), 0, 1) + 1, 0, 1, TRUE) - SUM(G10:G11), "")</f>
        <v>0.19813336952741373</v>
      </c>
    </row>
    <row r="10" spans="1:15" ht="15.75" customHeight="1" x14ac:dyDescent="0.25">
      <c r="B10" s="5" t="s">
        <v>137</v>
      </c>
      <c r="C10" s="45">
        <v>4.1086900000000003E-2</v>
      </c>
      <c r="D10" s="53">
        <v>4.1086900000000003E-2</v>
      </c>
      <c r="E10" s="53">
        <v>7.7459300000000009E-2</v>
      </c>
      <c r="F10" s="53">
        <v>4.8488900000000001E-2</v>
      </c>
      <c r="G10" s="53">
        <v>3.8238800000000003E-2</v>
      </c>
    </row>
    <row r="11" spans="1:15" ht="15.75" customHeight="1" x14ac:dyDescent="0.25">
      <c r="B11" s="5" t="s">
        <v>138</v>
      </c>
      <c r="C11" s="45">
        <v>2.3295E-2</v>
      </c>
      <c r="D11" s="53">
        <v>2.3295E-2</v>
      </c>
      <c r="E11" s="53">
        <v>7.0047E-3</v>
      </c>
      <c r="F11" s="53">
        <v>1.84402E-2</v>
      </c>
      <c r="G11" s="53">
        <v>6.6442999999999997E-3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0.47549585524999999</v>
      </c>
      <c r="D14" s="54">
        <v>0.47235857479600002</v>
      </c>
      <c r="E14" s="54">
        <v>0.47235857479600002</v>
      </c>
      <c r="F14" s="54">
        <v>0.37734795349299999</v>
      </c>
      <c r="G14" s="54">
        <v>0.37734795349299999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0.23799999999999999</v>
      </c>
      <c r="M14" s="55">
        <v>0.23799999999999999</v>
      </c>
      <c r="N14" s="55">
        <v>0.23799999999999999</v>
      </c>
      <c r="O14" s="55">
        <v>0.23799999999999999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0.26133632601224199</v>
      </c>
      <c r="D15" s="52">
        <f t="shared" si="0"/>
        <v>0.25961205157647999</v>
      </c>
      <c r="E15" s="52">
        <f t="shared" si="0"/>
        <v>0.25961205157647999</v>
      </c>
      <c r="F15" s="52">
        <f t="shared" si="0"/>
        <v>0.20739345402338072</v>
      </c>
      <c r="G15" s="52">
        <f t="shared" si="0"/>
        <v>0.20739345402338072</v>
      </c>
      <c r="H15" s="52">
        <f t="shared" si="0"/>
        <v>0.16653122399999998</v>
      </c>
      <c r="I15" s="52">
        <f t="shared" si="0"/>
        <v>0.16653122399999998</v>
      </c>
      <c r="J15" s="52">
        <f t="shared" si="0"/>
        <v>0.16653122399999998</v>
      </c>
      <c r="K15" s="52">
        <f t="shared" si="0"/>
        <v>0.16653122399999998</v>
      </c>
      <c r="L15" s="52">
        <f t="shared" si="0"/>
        <v>0.130806704</v>
      </c>
      <c r="M15" s="52">
        <f t="shared" si="0"/>
        <v>0.130806704</v>
      </c>
      <c r="N15" s="52">
        <f t="shared" si="0"/>
        <v>0.130806704</v>
      </c>
      <c r="O15" s="52">
        <f t="shared" si="0"/>
        <v>0.130806704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nZfLd/BZXEX/jCZon+rp2zaLXEGCZ7AMeubtJUwhYQ+ysSdBACSb+s97+AepWyk0qDG5gPI1DpDFgMnXDSSyhg==" saltValue="KS3i6xPuEQqi9oMPJmPH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0.16455739999999999</v>
      </c>
      <c r="D2" s="53">
        <v>7.7588900000000002E-2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0.2648297</v>
      </c>
      <c r="D3" s="53">
        <v>0.15188209999999999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0.38233679999999998</v>
      </c>
      <c r="D4" s="53">
        <v>0.48935740000000011</v>
      </c>
      <c r="E4" s="53">
        <v>0.47310200000000002</v>
      </c>
      <c r="F4" s="53">
        <v>0.22597100000000001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0.18827609999999995</v>
      </c>
      <c r="D5" s="52">
        <f t="shared" si="0"/>
        <v>0.28117159999999997</v>
      </c>
      <c r="E5" s="52">
        <f>1-SUM(E2:E4)</f>
        <v>0.52689799999999998</v>
      </c>
      <c r="F5" s="52">
        <f>1-SUM(F2:F4)</f>
        <v>0.77402899999999997</v>
      </c>
      <c r="G5" s="52">
        <f>1-SUM(G2:G4)</f>
        <v>1</v>
      </c>
    </row>
  </sheetData>
  <sheetProtection algorithmName="SHA-512" hashValue="vYVSv+bqjR3lRhqJ3n9bmaNMT3euSwYOK5tjAbIjNTXjAaCUyWjdP2E3NxENQt34QFFpuA+PG4U0Vlwq8B9SqQ==" saltValue="fqh9YD1DxJ26CJ3Q3MY7C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oRQDDJw5Ylmw5Kg5/EC7PBUJJpjlM2M9sx7Erq3S4kLRI4RvIahjL6JQopmYktpoVB6/Gt07U+ASzqB8jcpoQ==" saltValue="ijCK0tYVTtwrb04VbRYSy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420.622705161108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0.34848000000000001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0.14885000000000001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1.8886668619558955E-2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97656.185949999999</v>
      </c>
      <c r="C22" s="107">
        <v>97200.521630000003</v>
      </c>
      <c r="D22" s="107">
        <v>96662.864490000007</v>
      </c>
      <c r="E22" s="107">
        <v>96337.203020000001</v>
      </c>
      <c r="F22" s="107">
        <v>95971.435800000007</v>
      </c>
      <c r="G22" s="107">
        <v>95528.598329999993</v>
      </c>
      <c r="H22" s="107">
        <v>95018.418650000007</v>
      </c>
      <c r="I22" s="107">
        <v>94372.985239999995</v>
      </c>
      <c r="J22" s="107">
        <v>93429.646110000001</v>
      </c>
      <c r="K22" s="107">
        <v>91816.644530000005</v>
      </c>
      <c r="L22" s="107">
        <v>89168.003330000007</v>
      </c>
      <c r="M22" s="107">
        <v>85109.735379999998</v>
      </c>
      <c r="N22" s="107">
        <v>78535.152199999997</v>
      </c>
      <c r="O22" s="107">
        <v>69498.841279999993</v>
      </c>
    </row>
  </sheetData>
  <sheetProtection algorithmName="SHA-512" hashValue="C+A5C34/grXkMxrk5NSd0fB8JYdDXapZticGU019eBgtsOlAfaZ21rsw4cfaZ5n9Wp1gaMemCI5KzTrluaM5Mw==" saltValue="iaTSJF2mGG3hRk8ncGN1l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yJq/C/+HrBr9ncsPqkg9VBp/7xFDwvHWo6e93t83ta/mDG4pInCXyE2kSpIZjep6f4BwUK64ym0ProMt0tfXCg==" saltValue="p5seYcb6zquXXzSPN/7Fx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ydA1ST/69MkM19WdW/lOrC9SM3OZ9hjjPfd/f1h0QRwLdtj/0uNNEVoMQY/FQ93QnWWx0gt35ogZnKDYhYiCaA==" saltValue="ZJeO2heaVzEOOwnsJxwf7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7.4289688625382997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0.10284547803181469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0.4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13.49883587438004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13.49883587438004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13.49883587438004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13.49883587438004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13.49883587438004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13.49883587438004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7.8606899999999993E-2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0.32122916666666701</v>
      </c>
      <c r="C17" s="96">
        <v>0.95</v>
      </c>
      <c r="D17" s="56">
        <v>7.992352075384429E-2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7.7588900000000002E-2</v>
      </c>
      <c r="C18" s="96">
        <v>0.95</v>
      </c>
      <c r="D18" s="56">
        <v>7.4289688625382997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7.7588900000000002E-2</v>
      </c>
      <c r="C19" s="96">
        <v>0.95</v>
      </c>
      <c r="D19" s="56">
        <v>1.73788639265208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7.4289688625382997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3.9129999999999998E-3</v>
      </c>
      <c r="C23" s="96">
        <v>0.95</v>
      </c>
      <c r="D23" s="56">
        <v>4.4354944052820704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0.66624536519805999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2.9567118730808599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0.45581739999999998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0.23215369999999999</v>
      </c>
      <c r="C29" s="96">
        <v>0.95</v>
      </c>
      <c r="D29" s="56">
        <v>193.6128732031849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173.50469037871034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0.53033228587019021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0.72116230000000003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0.12046129999999999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5.8989100000000003E-2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0.80314839999999998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2.6612563971340846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tz9x8Q/qGt8GvXFcgov/i1jV9i+0SN280vWQ1Wi2MfAmQpTe1KDIxuz3gfdWfR2JyyzlyrG0TX9cX79e1FoD0g==" saltValue="f68PBiazG33+pCHOtO6f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WLv4wt7eZfpTkjylLS8CZ5dOqD4LGXi9tTqU/VBltTG0k5Me4AZEu2VHeHMR2EkiPfHm2bZxaywAgGprVvPRQ==" saltValue="nv7A48PRiIriukx8gWd3F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A1HxmpYAHEttHBQWHG342QVYWiArFykjwer+ZFmYAYuDuAwfD6dWDoK4QLhwgRG2j1NVmEige2bAdzN/2iRmBw==" saltValue="0MASi91nEUPyIVDjEHc2J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0.10682594000000001</v>
      </c>
      <c r="C3" s="21">
        <f>frac_mam_1_5months * 2.6</f>
        <v>0.10682594000000001</v>
      </c>
      <c r="D3" s="21">
        <f>frac_mam_6_11months * 2.6</f>
        <v>0.20139418000000003</v>
      </c>
      <c r="E3" s="21">
        <f>frac_mam_12_23months * 2.6</f>
        <v>0.12607114</v>
      </c>
      <c r="F3" s="21">
        <f>frac_mam_24_59months * 2.6</f>
        <v>9.9420880000000017E-2</v>
      </c>
    </row>
    <row r="4" spans="1:6" ht="15.75" customHeight="1" x14ac:dyDescent="0.25">
      <c r="A4" s="3" t="s">
        <v>237</v>
      </c>
      <c r="B4" s="21">
        <f>frac_sam_1month * 2.6</f>
        <v>6.0567000000000003E-2</v>
      </c>
      <c r="C4" s="21">
        <f>frac_sam_1_5months * 2.6</f>
        <v>6.0567000000000003E-2</v>
      </c>
      <c r="D4" s="21">
        <f>frac_sam_6_11months * 2.6</f>
        <v>1.8212220000000001E-2</v>
      </c>
      <c r="E4" s="21">
        <f>frac_sam_12_23months * 2.6</f>
        <v>4.7944520000000004E-2</v>
      </c>
      <c r="F4" s="21">
        <f>frac_sam_24_59months * 2.6</f>
        <v>1.7275180000000001E-2</v>
      </c>
    </row>
  </sheetData>
  <sheetProtection algorithmName="SHA-512" hashValue="X3qwrwaHxW/tfJYs6Gqz1499ivQYeZqolDyk3Pz04TdAUUXC0j7NeL+2NE4x26DlyK9YAFW/UEsjfr0xndtjMg==" saltValue="60I3AqrzRq6H4A5EP63h2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0.23400000000000001</v>
      </c>
      <c r="F2" s="60">
        <f>food_insecure</f>
        <v>0.23400000000000001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0.23400000000000001</v>
      </c>
      <c r="F5" s="60">
        <f>food_insecure</f>
        <v>0.23400000000000001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0.23400000000000001</v>
      </c>
      <c r="F8" s="60">
        <f>food_insecure</f>
        <v>0.23400000000000001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0.23400000000000001</v>
      </c>
      <c r="F9" s="60">
        <f>food_insecure</f>
        <v>0.23400000000000001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0.23400000000000001</v>
      </c>
      <c r="I15" s="60">
        <f t="shared" si="0"/>
        <v>0.23400000000000001</v>
      </c>
      <c r="J15" s="60">
        <f t="shared" si="0"/>
        <v>0.23400000000000001</v>
      </c>
      <c r="K15" s="60">
        <f t="shared" si="0"/>
        <v>0.23400000000000001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0.23400000000000001</v>
      </c>
      <c r="I16" s="60">
        <f t="shared" si="0"/>
        <v>0.23400000000000001</v>
      </c>
      <c r="J16" s="60">
        <f t="shared" si="0"/>
        <v>0.23400000000000001</v>
      </c>
      <c r="K16" s="60">
        <f t="shared" si="0"/>
        <v>0.23400000000000001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0.46700000000000003</v>
      </c>
      <c r="M24" s="60">
        <f>famplan_unmet_need</f>
        <v>0.46700000000000003</v>
      </c>
      <c r="N24" s="60">
        <f>famplan_unmet_need</f>
        <v>0.46700000000000003</v>
      </c>
      <c r="O24" s="60">
        <f>famplan_unmet_need</f>
        <v>0.46700000000000003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0.29504431564025896</v>
      </c>
      <c r="M25" s="60">
        <f>(1-food_insecure)*(0.49)+food_insecure*(0.7)</f>
        <v>0.53913999999999995</v>
      </c>
      <c r="N25" s="60">
        <f>(1-food_insecure)*(0.49)+food_insecure*(0.7)</f>
        <v>0.53913999999999995</v>
      </c>
      <c r="O25" s="60">
        <f>(1-food_insecure)*(0.49)+food_insecure*(0.7)</f>
        <v>0.53913999999999995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0.12644756384582528</v>
      </c>
      <c r="M26" s="60">
        <f>(1-food_insecure)*(0.21)+food_insecure*(0.3)</f>
        <v>0.23105999999999999</v>
      </c>
      <c r="N26" s="60">
        <f>(1-food_insecure)*(0.21)+food_insecure*(0.3)</f>
        <v>0.23105999999999999</v>
      </c>
      <c r="O26" s="60">
        <f>(1-food_insecure)*(0.21)+food_insecure*(0.3)</f>
        <v>0.23105999999999999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0.12575802896118171</v>
      </c>
      <c r="M27" s="60">
        <f>(1-food_insecure)*(0.3)</f>
        <v>0.2298</v>
      </c>
      <c r="N27" s="60">
        <f>(1-food_insecure)*(0.3)</f>
        <v>0.2298</v>
      </c>
      <c r="O27" s="60">
        <f>(1-food_insecure)*(0.3)</f>
        <v>0.2298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0.45275009155273405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3biv7fDkCLC7WcGWsoACMzn4K7tfYBlxw75pzORBfLJSvvXSeeoy6PpbD1gyqfP1EfI70hp4OvbdjUEBUilKQ==" saltValue="qOWs5aWwmMqZWct6LeLgN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JJPoY1gQy+5Zjya+oJyGVJWyk7xIossohLllLv0bQExjH7qNP/odNbRkVwMOuUoysLU3J5C2PFa0v5ImamMZQQ==" saltValue="vlFPm6uDHchKjLI5bqV4v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7xY0eh2TbIaz6cYFqMGdqfZLDTeKHHV3sUjXMM80ytLF79PrF4Twa43nGTGXnMsG2o3aSOCJhJyo4cJoyA4I1A==" saltValue="GvnTLv+hQvvL2ndE9TFBN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OKhUe7NLO07DTOCR8ZZ8GjVR3eb5E2p28Ih4LcLWtco/YvmstOElf5E/xLB3t+5DRccHFAsR7rY7iGm4nwuBQ==" saltValue="SRrMV3s1iC7mGcMLbnYxJ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tTDN4mu6UuB8GPIr+B6vANd8U8tSDQ3HjCgmIgL0Jo1cSaEKshRdrlw6vx8BpaiuXJr7j4ZDRlAv9ModHtviDw==" saltValue="pPoz4K5cwbc1s5tzfb5YQ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4TwppDqkGjIElarKsX4N0BGWQsATxT9yEvQiKTXcZZo6hN9BmeNNQgYD/D2wPMMS+c0xy2uEMOicvkvg4PNxhw==" saltValue="CEGRRoC1qwlYzrZuaKUnx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+U5aXSRpg4hBSwIuvp3gOvo2YoQnP9nJtyDRfASCsW/5GXTvgrw4Ig3pEgQqQXVLh3mvlt2nI0mrVPP4imspA==" saltValue="/B0ihg7AZGesspc9+xQHe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7B+vzKJEkV/MOEMGMIherWCi/oeoipuPz370rR3tlYP0d1Xz5ZYcXL823pZSE8A5sIVgf/NkIpLew055MOEVIw==" saltValue="Fb3NQ49TJvCIMoYPZ7Rl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/ZoxQstB7Qg9l7McbO9bI67NGV4g42eHlrvQqCyZQX+efZlXblyLUgn40dQy8CH5zSUBhGzAAh0IUkhTQAv0EQ==" saltValue="sV+TI60uOKAB1hsamJtm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ao21LeVBhZLb54e0fZHQPGrTjq4XM1Q51neQ3kusq5a+QMhZXDTde7BvINfT6sw3UHRpKGqM/Y14ntOi+peCQ==" saltValue="NaX72LylKYJofhpBVxh2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eT2A/3rVxJKDTpM8kTqBfsR1cx5mjB75AMD7T4RDidNXRlepO0PMU4MTB0TrpicrMMAABTXquVTRMsVpVDZ2A==" saltValue="qm6UkboDtbH7/dTIWL2P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w5BGUGQDL0K2R0BQ+Fy90LkBPHC2MbO1KpKqzFK52p8X80YKXouc+YVmOANRPD5HsbhN7dUUC51AqZki33goA==" saltValue="Ex9w9r6vlGlSqr/pnxFl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C6/CShUIEp/H43+hmChB2hA86Jv+ewQCgUuj1ha5HqqckM/zV+ldG0hrqgcQalVdHoq8iwqSkBcsJbLHqrr2g==" saltValue="SWvnx9SOJrdYTK30xKC62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/oqgg286IZKUc1dLCjKyq/YLuJcjr5YSQqdZnsuDcjwpE9a4ipAn5A5dQZdZU4kwwROTCorLWeAUopm8cgB8uA==" saltValue="eEsQBaG+3CsmduzVEtU6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5ThY10ihhgdiFFYmO05qMz9YiBjaVsejfzTfAPQRlfbpUP5/aoj9bcPT25G/HYw0BEW8nvEM8NIxc0kyiOHGjA==" saltValue="63r12bi7g5OyWZ75vzo3P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