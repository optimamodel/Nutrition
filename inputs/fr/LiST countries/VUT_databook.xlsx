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01DF3AAB-44CC-4309-891F-75D7D4772758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<sst xmlns="http://schemas.openxmlformats.org/spreadsheetml/2006/main" count="2102" uniqueCount="337">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</sst>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46493.67431640625</v>
      </c>
    </row>
    <row r="8" spans="1:3" ht="15" customHeight="1" x14ac:dyDescent="0.25">
      <c r="B8" s="5" t="s">
        <v>19</v>
      </c>
      <c r="C8" s="44">
        <v>0.13200000000000001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0.51168388366699202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0.49299999999999999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7.7300000000000008E-2</v>
      </c>
    </row>
    <row r="24" spans="1:3" ht="15" customHeight="1" x14ac:dyDescent="0.25">
      <c r="B24" s="15" t="s">
        <v>33</v>
      </c>
      <c r="C24" s="45">
        <v>0.50680000000000003</v>
      </c>
    </row>
    <row r="25" spans="1:3" ht="15" customHeight="1" x14ac:dyDescent="0.25">
      <c r="B25" s="15" t="s">
        <v>34</v>
      </c>
      <c r="C25" s="45">
        <v>0.33629999999999988</v>
      </c>
    </row>
    <row r="26" spans="1:3" ht="15" customHeight="1" x14ac:dyDescent="0.25">
      <c r="B26" s="15" t="s">
        <v>35</v>
      </c>
      <c r="C26" s="45">
        <v>7.9600000000000004E-2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0.35185775257007201</v>
      </c>
    </row>
    <row r="30" spans="1:3" ht="14.25" customHeight="1" x14ac:dyDescent="0.25">
      <c r="B30" s="25" t="s">
        <v>38</v>
      </c>
      <c r="C30" s="99">
        <v>2.3858720907234902E-2</v>
      </c>
    </row>
    <row r="31" spans="1:3" ht="14.25" customHeight="1" x14ac:dyDescent="0.25">
      <c r="B31" s="25" t="s">
        <v>39</v>
      </c>
      <c r="C31" s="99">
        <v>3.4342930038455802E-2</v>
      </c>
    </row>
    <row r="32" spans="1:3" ht="14.25" customHeight="1" x14ac:dyDescent="0.25">
      <c r="B32" s="25" t="s">
        <v>40</v>
      </c>
      <c r="C32" s="99">
        <v>0.58994059648423802</v>
      </c>
    </row>
    <row r="33" spans="1:5" ht="13" customHeight="1" x14ac:dyDescent="0.25">
      <c r="B33" s="27" t="s">
        <v>41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9.8678000000000008</v>
      </c>
    </row>
    <row r="38" spans="1:5" ht="15" customHeight="1" x14ac:dyDescent="0.25">
      <c r="B38" s="11" t="s">
        <v>45</v>
      </c>
      <c r="C38" s="43">
        <v>19.7136</v>
      </c>
      <c r="D38" s="12"/>
      <c r="E38" s="13"/>
    </row>
    <row r="39" spans="1:5" ht="15" customHeight="1" x14ac:dyDescent="0.25">
      <c r="B39" s="11" t="s">
        <v>46</v>
      </c>
      <c r="C39" s="43">
        <v>23.214130000000001</v>
      </c>
      <c r="D39" s="12"/>
      <c r="E39" s="12"/>
    </row>
    <row r="40" spans="1:5" ht="15" customHeight="1" x14ac:dyDescent="0.25">
      <c r="B40" s="11" t="s">
        <v>47</v>
      </c>
      <c r="C40" s="100">
        <v>0.94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10.599349999999999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6.1368999999999998E-3</v>
      </c>
      <c r="D45" s="12"/>
    </row>
    <row r="46" spans="1:5" ht="15.75" customHeight="1" x14ac:dyDescent="0.25">
      <c r="B46" s="11" t="s">
        <v>52</v>
      </c>
      <c r="C46" s="45">
        <v>6.5939800000000007E-2</v>
      </c>
      <c r="D46" s="12"/>
    </row>
    <row r="47" spans="1:5" ht="15.75" customHeight="1" x14ac:dyDescent="0.25">
      <c r="B47" s="11" t="s">
        <v>53</v>
      </c>
      <c r="C47" s="45">
        <v>7.5165300000000004E-2</v>
      </c>
      <c r="D47" s="12"/>
      <c r="E47" s="13"/>
    </row>
    <row r="48" spans="1:5" ht="15" customHeight="1" x14ac:dyDescent="0.25">
      <c r="B48" s="11" t="s">
        <v>54</v>
      </c>
      <c r="C48" s="46">
        <v>0.85275800000000002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2.2000000000000002</v>
      </c>
      <c r="D51" s="12"/>
    </row>
    <row r="52" spans="1:4" ht="15" customHeight="1" x14ac:dyDescent="0.25">
      <c r="B52" s="11" t="s">
        <v>57</v>
      </c>
      <c r="C52" s="100">
        <v>2.2000000000000002</v>
      </c>
    </row>
    <row r="53" spans="1:4" ht="15.75" customHeight="1" x14ac:dyDescent="0.25">
      <c r="B53" s="11" t="s">
        <v>58</v>
      </c>
      <c r="C53" s="100">
        <v>2.2000000000000002</v>
      </c>
    </row>
    <row r="54" spans="1:4" ht="15.75" customHeight="1" x14ac:dyDescent="0.25">
      <c r="B54" s="11" t="s">
        <v>59</v>
      </c>
      <c r="C54" s="100">
        <v>2.2000000000000002</v>
      </c>
    </row>
    <row r="55" spans="1:4" ht="15.75" customHeight="1" x14ac:dyDescent="0.25">
      <c r="B55" s="11" t="s">
        <v>60</v>
      </c>
      <c r="C55" s="100">
        <v>2.2000000000000002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2.1363636363636359E-2</v>
      </c>
    </row>
    <row r="59" spans="1:4" ht="15.75" customHeight="1" x14ac:dyDescent="0.25">
      <c r="B59" s="11" t="s">
        <v>63</v>
      </c>
      <c r="C59" s="45">
        <v>0.63705900000000004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0.109101909999999</v>
      </c>
    </row>
    <row r="63" spans="1:4" ht="15.75" customHeight="1" x14ac:dyDescent="0.3">
      <c r="A63" s="4"/>
    </row>
  </sheetData>
  <sheetProtection algorithmName="SHA-512" hashValue="8FRZa1CnJlOFmoSH4AJL2fvdPU7huwEsRwfouwh3MBdWEyP/3RgfgZ9SJh7ZTHsTcqeuPYoTwNJNIhlGj7eQjQ==" saltValue="sZ+ChRye0fc0esQQBkbG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9590</v>
      </c>
      <c r="C2" s="49">
        <v>20589</v>
      </c>
      <c r="D2" s="49">
        <v>27579.5</v>
      </c>
      <c r="E2" s="49">
        <v>24729.5</v>
      </c>
      <c r="F2" s="49">
        <v>13662</v>
      </c>
      <c r="G2" s="17">
        <f t="shared" ref="G2:G13" si="0">C2+D2+E2+F2</f>
        <v>86560</v>
      </c>
      <c r="H2" s="17">
        <f t="shared" ref="H2:H13" si="1">(B2 + stillbirth*B2/(1000-stillbirth))/(1-abortion)</f>
        <v>11014.473532766804</v>
      </c>
      <c r="I2" s="17">
        <f t="shared" ref="I2:I13" si="2">G2-H2</f>
        <v>75545.526467233198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9673</v>
      </c>
      <c r="C3" s="50">
        <v>21488</v>
      </c>
      <c r="D3" s="50">
        <v>27857</v>
      </c>
      <c r="E3" s="50">
        <v>25386.5</v>
      </c>
      <c r="F3" s="50">
        <v>14298</v>
      </c>
      <c r="G3" s="17">
        <f t="shared" si="0"/>
        <v>89029.5</v>
      </c>
      <c r="H3" s="17">
        <f t="shared" si="1"/>
        <v>11109.802135813692</v>
      </c>
      <c r="I3" s="17">
        <f t="shared" si="2"/>
        <v>77919.69786418631</v>
      </c>
    </row>
    <row r="4" spans="1:9" ht="15.75" customHeight="1" x14ac:dyDescent="0.25">
      <c r="A4" s="5">
        <f t="shared" si="3"/>
        <v>2026</v>
      </c>
      <c r="B4" s="49">
        <v>9773</v>
      </c>
      <c r="C4" s="50">
        <v>22363</v>
      </c>
      <c r="D4" s="50">
        <v>28277.5</v>
      </c>
      <c r="E4" s="50">
        <v>25915.5</v>
      </c>
      <c r="F4" s="50">
        <v>15008</v>
      </c>
      <c r="G4" s="17">
        <f t="shared" si="0"/>
        <v>91564</v>
      </c>
      <c r="H4" s="17">
        <f t="shared" si="1"/>
        <v>11224.655874424399</v>
      </c>
      <c r="I4" s="17">
        <f t="shared" si="2"/>
        <v>80339.344125575604</v>
      </c>
    </row>
    <row r="5" spans="1:9" ht="15.75" customHeight="1" x14ac:dyDescent="0.25">
      <c r="A5" s="5">
        <f t="shared" si="3"/>
        <v>2027</v>
      </c>
      <c r="B5" s="49">
        <v>9930</v>
      </c>
      <c r="C5" s="50">
        <v>23158.5</v>
      </c>
      <c r="D5" s="50">
        <v>28878.5</v>
      </c>
      <c r="E5" s="50">
        <v>26308.499999999989</v>
      </c>
      <c r="F5" s="50">
        <v>15808.5</v>
      </c>
      <c r="G5" s="17">
        <f t="shared" si="0"/>
        <v>94153.999999999985</v>
      </c>
      <c r="H5" s="17">
        <f t="shared" si="1"/>
        <v>11404.97624404321</v>
      </c>
      <c r="I5" s="17">
        <f t="shared" si="2"/>
        <v>82749.023755956776</v>
      </c>
    </row>
    <row r="6" spans="1:9" ht="15.75" customHeight="1" x14ac:dyDescent="0.25">
      <c r="A6" s="5">
        <f t="shared" si="3"/>
        <v>2028</v>
      </c>
      <c r="B6" s="49">
        <v>10061</v>
      </c>
      <c r="C6" s="50">
        <v>23840.5</v>
      </c>
      <c r="D6" s="50">
        <v>29672</v>
      </c>
      <c r="E6" s="50">
        <v>26584.5</v>
      </c>
      <c r="F6" s="50">
        <v>16675</v>
      </c>
      <c r="G6" s="17">
        <f t="shared" si="0"/>
        <v>96772</v>
      </c>
      <c r="H6" s="17">
        <f t="shared" si="1"/>
        <v>11555.434641623233</v>
      </c>
      <c r="I6" s="17">
        <f t="shared" si="2"/>
        <v>85216.565358376771</v>
      </c>
    </row>
    <row r="7" spans="1:9" ht="15.75" customHeight="1" x14ac:dyDescent="0.25">
      <c r="A7" s="5">
        <f t="shared" si="3"/>
        <v>2029</v>
      </c>
      <c r="B7" s="49">
        <v>10215</v>
      </c>
      <c r="C7" s="50">
        <v>24388.5</v>
      </c>
      <c r="D7" s="50">
        <v>30663.5</v>
      </c>
      <c r="E7" s="50">
        <v>26751</v>
      </c>
      <c r="F7" s="50">
        <v>17515</v>
      </c>
      <c r="G7" s="17">
        <f t="shared" si="0"/>
        <v>99318</v>
      </c>
      <c r="H7" s="17">
        <f t="shared" si="1"/>
        <v>11732.309399083724</v>
      </c>
      <c r="I7" s="17">
        <f t="shared" si="2"/>
        <v>87585.690600916278</v>
      </c>
    </row>
    <row r="8" spans="1:9" ht="15.75" customHeight="1" x14ac:dyDescent="0.25">
      <c r="A8" s="5">
        <f t="shared" si="3"/>
        <v>2030</v>
      </c>
      <c r="B8" s="49">
        <v>10348</v>
      </c>
      <c r="C8" s="50">
        <v>24824.5</v>
      </c>
      <c r="D8" s="50">
        <v>31793</v>
      </c>
      <c r="E8" s="50">
        <v>26851</v>
      </c>
      <c r="F8" s="50">
        <v>18329</v>
      </c>
      <c r="G8" s="17">
        <f t="shared" si="0"/>
        <v>101797.5</v>
      </c>
      <c r="H8" s="17">
        <f t="shared" si="1"/>
        <v>11885.064871435965</v>
      </c>
      <c r="I8" s="17">
        <f t="shared" si="2"/>
        <v>89912.43512856403</v>
      </c>
    </row>
    <row r="9" spans="1:9" ht="15.75" customHeight="1" x14ac:dyDescent="0.25">
      <c r="A9" s="5">
        <f t="shared" si="3"/>
        <v>2031</v>
      </c>
      <c r="B9" s="49">
        <v>10544</v>
      </c>
      <c r="C9" s="50">
        <v>25178</v>
      </c>
      <c r="D9" s="50">
        <v>32985.5</v>
      </c>
      <c r="E9" s="50">
        <v>26932.5</v>
      </c>
      <c r="F9" s="50">
        <v>19156</v>
      </c>
      <c r="G9" s="17">
        <f t="shared" si="0"/>
        <v>104252</v>
      </c>
      <c r="H9" s="17">
        <f t="shared" si="1"/>
        <v>12110.178199112948</v>
      </c>
      <c r="I9" s="17">
        <f t="shared" si="2"/>
        <v>92141.821800887046</v>
      </c>
    </row>
    <row r="10" spans="1:9" ht="15.75" customHeight="1" x14ac:dyDescent="0.25">
      <c r="A10" s="5">
        <f t="shared" si="3"/>
        <v>2032</v>
      </c>
      <c r="B10" s="49">
        <v>10687</v>
      </c>
      <c r="C10" s="50">
        <v>25452.5</v>
      </c>
      <c r="D10" s="50">
        <v>34222</v>
      </c>
      <c r="E10" s="50">
        <v>27011.5</v>
      </c>
      <c r="F10" s="50">
        <v>19977</v>
      </c>
      <c r="G10" s="17">
        <f t="shared" si="0"/>
        <v>106663</v>
      </c>
      <c r="H10" s="17">
        <f t="shared" si="1"/>
        <v>12274.419045326262</v>
      </c>
      <c r="I10" s="17">
        <f t="shared" si="2"/>
        <v>94388.580954673744</v>
      </c>
    </row>
    <row r="11" spans="1:9" ht="15.75" customHeight="1" x14ac:dyDescent="0.25">
      <c r="A11" s="5">
        <f t="shared" si="3"/>
        <v>2033</v>
      </c>
      <c r="B11" s="49">
        <v>10835</v>
      </c>
      <c r="C11" s="50">
        <v>25673</v>
      </c>
      <c r="D11" s="50">
        <v>35473.5</v>
      </c>
      <c r="E11" s="50">
        <v>27115.5</v>
      </c>
      <c r="F11" s="50">
        <v>20775</v>
      </c>
      <c r="G11" s="17">
        <f t="shared" si="0"/>
        <v>109037</v>
      </c>
      <c r="H11" s="17">
        <f t="shared" si="1"/>
        <v>12444.402578470106</v>
      </c>
      <c r="I11" s="17">
        <f t="shared" si="2"/>
        <v>96592.597421529892</v>
      </c>
    </row>
    <row r="12" spans="1:9" ht="15.75" customHeight="1" x14ac:dyDescent="0.25">
      <c r="A12" s="5">
        <f t="shared" si="3"/>
        <v>2034</v>
      </c>
      <c r="B12" s="49">
        <v>10971</v>
      </c>
      <c r="C12" s="50">
        <v>25861.5</v>
      </c>
      <c r="D12" s="50">
        <v>36705.5</v>
      </c>
      <c r="E12" s="50">
        <v>27291.5</v>
      </c>
      <c r="F12" s="50">
        <v>21519</v>
      </c>
      <c r="G12" s="17">
        <f t="shared" si="0"/>
        <v>111377.5</v>
      </c>
      <c r="H12" s="17">
        <f t="shared" si="1"/>
        <v>12600.603662980668</v>
      </c>
      <c r="I12" s="17">
        <f t="shared" si="2"/>
        <v>98776.896337019338</v>
      </c>
    </row>
    <row r="13" spans="1:9" ht="15.75" customHeight="1" x14ac:dyDescent="0.25">
      <c r="A13" s="5">
        <f t="shared" si="3"/>
        <v>2035</v>
      </c>
      <c r="B13" s="49">
        <v>11135</v>
      </c>
      <c r="C13" s="50">
        <v>26036</v>
      </c>
      <c r="D13" s="50">
        <v>37885</v>
      </c>
      <c r="E13" s="50">
        <v>27573</v>
      </c>
      <c r="F13" s="50">
        <v>22177.5</v>
      </c>
      <c r="G13" s="17">
        <f t="shared" si="0"/>
        <v>113671.5</v>
      </c>
      <c r="H13" s="17">
        <f t="shared" si="1"/>
        <v>12788.963794302228</v>
      </c>
      <c r="I13" s="17">
        <f t="shared" si="2"/>
        <v>100882.53620569778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9fEKFYD0MlETDehS0s4c/dqOZa0RAAxtPnWjM6tcd/NxXxvCZTpJ9DPZhxQDWsk3bQ6hyYZUktOWzEbXXnCW/A==" saltValue="v8Un10TJfr/PJoI0UHJc6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1.1815998818400109E-3</v>
      </c>
    </row>
    <row r="4" spans="1:8" ht="15.75" customHeight="1" x14ac:dyDescent="0.25">
      <c r="B4" s="19" t="s">
        <v>79</v>
      </c>
      <c r="C4" s="101">
        <v>4.9927795007220499E-2</v>
      </c>
    </row>
    <row r="5" spans="1:8" ht="15.75" customHeight="1" x14ac:dyDescent="0.25">
      <c r="B5" s="19" t="s">
        <v>80</v>
      </c>
      <c r="C5" s="101">
        <v>3.8299596170040348E-2</v>
      </c>
    </row>
    <row r="6" spans="1:8" ht="15.75" customHeight="1" x14ac:dyDescent="0.25">
      <c r="B6" s="19" t="s">
        <v>81</v>
      </c>
      <c r="C6" s="101">
        <v>0.1696583830341615</v>
      </c>
    </row>
    <row r="7" spans="1:8" ht="15.75" customHeight="1" x14ac:dyDescent="0.25">
      <c r="B7" s="19" t="s">
        <v>82</v>
      </c>
      <c r="C7" s="101">
        <v>0.51123814887618546</v>
      </c>
    </row>
    <row r="8" spans="1:8" ht="15.75" customHeight="1" x14ac:dyDescent="0.25">
      <c r="B8" s="19" t="s">
        <v>83</v>
      </c>
      <c r="C8" s="101">
        <v>2.0689997931000191E-4</v>
      </c>
    </row>
    <row r="9" spans="1:8" ht="15.75" customHeight="1" x14ac:dyDescent="0.25">
      <c r="B9" s="19" t="s">
        <v>84</v>
      </c>
      <c r="C9" s="101">
        <v>0.16598378340162159</v>
      </c>
    </row>
    <row r="10" spans="1:8" ht="15.75" customHeight="1" x14ac:dyDescent="0.25">
      <c r="B10" s="19" t="s">
        <v>85</v>
      </c>
      <c r="C10" s="101">
        <v>6.3503793649620596E-2</v>
      </c>
    </row>
    <row r="11" spans="1:8" ht="15.75" customHeight="1" x14ac:dyDescent="0.25">
      <c r="B11" s="27" t="s">
        <v>41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0.23778014031948599</v>
      </c>
      <c r="D14" s="55">
        <v>0.23778014031948599</v>
      </c>
      <c r="E14" s="55">
        <v>0.23778014031948599</v>
      </c>
      <c r="F14" s="55">
        <v>0.23778014031948599</v>
      </c>
    </row>
    <row r="15" spans="1:8" ht="15.75" customHeight="1" x14ac:dyDescent="0.25">
      <c r="B15" s="19" t="s">
        <v>88</v>
      </c>
      <c r="C15" s="101">
        <v>0.53997917606680679</v>
      </c>
      <c r="D15" s="101">
        <v>0.53997917606680679</v>
      </c>
      <c r="E15" s="101">
        <v>0.53997917606680679</v>
      </c>
      <c r="F15" s="101">
        <v>0.53997917606680679</v>
      </c>
    </row>
    <row r="16" spans="1:8" ht="15.75" customHeight="1" x14ac:dyDescent="0.25">
      <c r="B16" s="19" t="s">
        <v>89</v>
      </c>
      <c r="C16" s="101">
        <v>1.727508570668718E-2</v>
      </c>
      <c r="D16" s="101">
        <v>1.727508570668718E-2</v>
      </c>
      <c r="E16" s="101">
        <v>1.727508570668718E-2</v>
      </c>
      <c r="F16" s="101">
        <v>1.727508570668718E-2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2.561666534338515E-2</v>
      </c>
      <c r="D19" s="101">
        <v>2.561666534338515E-2</v>
      </c>
      <c r="E19" s="101">
        <v>2.561666534338515E-2</v>
      </c>
      <c r="F19" s="101">
        <v>2.561666534338515E-2</v>
      </c>
    </row>
    <row r="20" spans="1:8" ht="15.75" customHeight="1" x14ac:dyDescent="0.25">
      <c r="B20" s="19" t="s">
        <v>93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94</v>
      </c>
      <c r="C21" s="101">
        <v>0.1329903129334955</v>
      </c>
      <c r="D21" s="101">
        <v>0.1329903129334955</v>
      </c>
      <c r="E21" s="101">
        <v>0.1329903129334955</v>
      </c>
      <c r="F21" s="101">
        <v>0.1329903129334955</v>
      </c>
    </row>
    <row r="22" spans="1:8" ht="15.75" customHeight="1" x14ac:dyDescent="0.25">
      <c r="B22" s="19" t="s">
        <v>95</v>
      </c>
      <c r="C22" s="101">
        <v>4.6358619630139521E-2</v>
      </c>
      <c r="D22" s="101">
        <v>4.6358619630139521E-2</v>
      </c>
      <c r="E22" s="101">
        <v>4.6358619630139521E-2</v>
      </c>
      <c r="F22" s="101">
        <v>4.6358619630139521E-2</v>
      </c>
    </row>
    <row r="23" spans="1:8" ht="15.75" customHeight="1" x14ac:dyDescent="0.25">
      <c r="B23" s="27" t="s">
        <v>41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4.7782605999999991E-2</v>
      </c>
    </row>
    <row r="27" spans="1:8" ht="15.75" customHeight="1" x14ac:dyDescent="0.25">
      <c r="B27" s="19" t="s">
        <v>102</v>
      </c>
      <c r="C27" s="101">
        <v>1.8912625999999998E-2</v>
      </c>
    </row>
    <row r="28" spans="1:8" ht="15.75" customHeight="1" x14ac:dyDescent="0.25">
      <c r="B28" s="19" t="s">
        <v>103</v>
      </c>
      <c r="C28" s="101">
        <v>0.22751453199999999</v>
      </c>
    </row>
    <row r="29" spans="1:8" ht="15.75" customHeight="1" x14ac:dyDescent="0.25">
      <c r="B29" s="19" t="s">
        <v>104</v>
      </c>
      <c r="C29" s="101">
        <v>0.13826291700000001</v>
      </c>
    </row>
    <row r="30" spans="1:8" ht="15.75" customHeight="1" x14ac:dyDescent="0.25">
      <c r="B30" s="19" t="s">
        <v>2</v>
      </c>
      <c r="C30" s="101">
        <v>4.9672004000000013E-2</v>
      </c>
    </row>
    <row r="31" spans="1:8" ht="15.75" customHeight="1" x14ac:dyDescent="0.25">
      <c r="B31" s="19" t="s">
        <v>105</v>
      </c>
      <c r="C31" s="101">
        <v>7.0532584999999995E-2</v>
      </c>
    </row>
    <row r="32" spans="1:8" ht="15.75" customHeight="1" x14ac:dyDescent="0.25">
      <c r="B32" s="19" t="s">
        <v>106</v>
      </c>
      <c r="C32" s="101">
        <v>0.15034908699999999</v>
      </c>
    </row>
    <row r="33" spans="2:3" ht="15.75" customHeight="1" x14ac:dyDescent="0.25">
      <c r="B33" s="19" t="s">
        <v>107</v>
      </c>
      <c r="C33" s="101">
        <v>0.12275455</v>
      </c>
    </row>
    <row r="34" spans="2:3" ht="15.75" customHeight="1" x14ac:dyDescent="0.25">
      <c r="B34" s="19" t="s">
        <v>108</v>
      </c>
      <c r="C34" s="101">
        <v>0.17421909099999999</v>
      </c>
    </row>
    <row r="35" spans="2:3" ht="15.75" customHeight="1" x14ac:dyDescent="0.25">
      <c r="B35" s="27" t="s">
        <v>41</v>
      </c>
      <c r="C35" s="48">
        <f>SUM(C26:C34)</f>
        <v>0.99999999799999995</v>
      </c>
    </row>
  </sheetData>
  <sheetProtection algorithmName="SHA-512" hashValue="haShkE1vVjgEwQ5PbNP950nXRZRV2xKlNSzjl11kWMhI3XdcoSwbOLCZBqYZqarWfdHgsgWyk9XwbVUSyQ9SDg==" saltValue="pFwkPRnaBrN1gKGMm5Mo2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0.69891161722169604</v>
      </c>
      <c r="D2" s="52">
        <f>IFERROR(1-_xlfn.NORM.DIST(_xlfn.NORM.INV(SUM(D4:D5), 0, 1) + 1, 0, 1, TRUE), "")</f>
        <v>0.69891161722169604</v>
      </c>
      <c r="E2" s="52">
        <f>IFERROR(1-_xlfn.NORM.DIST(_xlfn.NORM.INV(SUM(E4:E5), 0, 1) + 1, 0, 1, TRUE), "")</f>
        <v>0.68239944236525596</v>
      </c>
      <c r="F2" s="52">
        <f>IFERROR(1-_xlfn.NORM.DIST(_xlfn.NORM.INV(SUM(F4:F5), 0, 1) + 1, 0, 1, TRUE), "")</f>
        <v>0.32335532043550219</v>
      </c>
      <c r="G2" s="52">
        <f>IFERROR(1-_xlfn.NORM.DIST(_xlfn.NORM.INV(SUM(G4:G5), 0, 1) + 1, 0, 1, TRUE), "")</f>
        <v>0.31115184804710971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0.2369926827783039</v>
      </c>
      <c r="D3" s="52">
        <f>IFERROR(_xlfn.NORM.DIST(_xlfn.NORM.INV(SUM(D4:D5), 0, 1) + 1, 0, 1, TRUE) - SUM(D4:D5), "")</f>
        <v>0.2369926827783039</v>
      </c>
      <c r="E3" s="52">
        <f>IFERROR(_xlfn.NORM.DIST(_xlfn.NORM.INV(SUM(E4:E5), 0, 1) + 1, 0, 1, TRUE) - SUM(E4:E5), "")</f>
        <v>0.24741615763474406</v>
      </c>
      <c r="F3" s="52">
        <f>IFERROR(_xlfn.NORM.DIST(_xlfn.NORM.INV(SUM(F4:F5), 0, 1) + 1, 0, 1, TRUE) - SUM(F4:F5), "")</f>
        <v>0.38261947956449782</v>
      </c>
      <c r="G3" s="52">
        <f>IFERROR(_xlfn.NORM.DIST(_xlfn.NORM.INV(SUM(G4:G5), 0, 1) + 1, 0, 1, TRUE) - SUM(G4:G5), "")</f>
        <v>0.38291525195289028</v>
      </c>
    </row>
    <row r="4" spans="1:15" ht="15.75" customHeight="1" x14ac:dyDescent="0.25">
      <c r="B4" s="5" t="s">
        <v>114</v>
      </c>
      <c r="C4" s="45">
        <v>4.2213100000000003E-2</v>
      </c>
      <c r="D4" s="53">
        <v>4.2213100000000003E-2</v>
      </c>
      <c r="E4" s="53">
        <v>3.7033999999999997E-2</v>
      </c>
      <c r="F4" s="53">
        <v>0.20522009999999999</v>
      </c>
      <c r="G4" s="53">
        <v>0.214479</v>
      </c>
    </row>
    <row r="5" spans="1:15" ht="15.75" customHeight="1" x14ac:dyDescent="0.25">
      <c r="B5" s="5" t="s">
        <v>115</v>
      </c>
      <c r="C5" s="45">
        <v>2.1882599999999999E-2</v>
      </c>
      <c r="D5" s="53">
        <v>2.1882599999999999E-2</v>
      </c>
      <c r="E5" s="53">
        <v>3.3150399999999997E-2</v>
      </c>
      <c r="F5" s="53">
        <v>8.8805099999999998E-2</v>
      </c>
      <c r="G5" s="53">
        <v>9.1453900000000005E-2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0.71197419033079556</v>
      </c>
      <c r="D8" s="52">
        <f>IFERROR(1-_xlfn.NORM.DIST(_xlfn.NORM.INV(SUM(D10:D11), 0, 1) + 1, 0, 1, TRUE), "")</f>
        <v>0.71197419033079556</v>
      </c>
      <c r="E8" s="52">
        <f>IFERROR(1-_xlfn.NORM.DIST(_xlfn.NORM.INV(SUM(E10:E11), 0, 1) + 1, 0, 1, TRUE), "")</f>
        <v>0.70627108362301483</v>
      </c>
      <c r="F8" s="52">
        <f>IFERROR(1-_xlfn.NORM.DIST(_xlfn.NORM.INV(SUM(F10:F11), 0, 1) + 1, 0, 1, TRUE), "")</f>
        <v>0.62482398437663966</v>
      </c>
      <c r="G8" s="52">
        <f>IFERROR(1-_xlfn.NORM.DIST(_xlfn.NORM.INV(SUM(G10:G11), 0, 1) + 1, 0, 1, TRUE), "")</f>
        <v>0.7606822697528548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0.22854670966920443</v>
      </c>
      <c r="D9" s="52">
        <f>IFERROR(_xlfn.NORM.DIST(_xlfn.NORM.INV(SUM(D10:D11), 0, 1) + 1, 0, 1, TRUE) - SUM(D10:D11), "")</f>
        <v>0.22854670966920443</v>
      </c>
      <c r="E9" s="52">
        <f>IFERROR(_xlfn.NORM.DIST(_xlfn.NORM.INV(SUM(E10:E11), 0, 1) + 1, 0, 1, TRUE) - SUM(E10:E11), "")</f>
        <v>0.23225571637698517</v>
      </c>
      <c r="F9" s="52">
        <f>IFERROR(_xlfn.NORM.DIST(_xlfn.NORM.INV(SUM(F10:F11), 0, 1) + 1, 0, 1, TRUE) - SUM(F10:F11), "")</f>
        <v>0.2814535156233603</v>
      </c>
      <c r="G9" s="52">
        <f>IFERROR(_xlfn.NORM.DIST(_xlfn.NORM.INV(SUM(G10:G11), 0, 1) + 1, 0, 1, TRUE) - SUM(G10:G11), "")</f>
        <v>0.19554583024714525</v>
      </c>
    </row>
    <row r="10" spans="1:15" ht="15.75" customHeight="1" x14ac:dyDescent="0.25">
      <c r="B10" s="5" t="s">
        <v>119</v>
      </c>
      <c r="C10" s="45">
        <v>5.5731700000000002E-2</v>
      </c>
      <c r="D10" s="53">
        <v>5.5731700000000002E-2</v>
      </c>
      <c r="E10" s="53">
        <v>3.1870099999999998E-2</v>
      </c>
      <c r="F10" s="53">
        <v>7.0596400000000004E-2</v>
      </c>
      <c r="G10" s="53">
        <v>2.6420599999999999E-2</v>
      </c>
    </row>
    <row r="11" spans="1:15" ht="15.75" customHeight="1" x14ac:dyDescent="0.25">
      <c r="B11" s="5" t="s">
        <v>120</v>
      </c>
      <c r="C11" s="45">
        <v>3.7474000000000001E-3</v>
      </c>
      <c r="D11" s="53">
        <v>3.7474000000000001E-3</v>
      </c>
      <c r="E11" s="53">
        <v>2.96031E-2</v>
      </c>
      <c r="F11" s="53">
        <v>2.31261E-2</v>
      </c>
      <c r="G11" s="53">
        <v>1.73513E-2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0.53215260274999998</v>
      </c>
      <c r="D14" s="54">
        <v>0.528708013373</v>
      </c>
      <c r="E14" s="54">
        <v>0.528708013373</v>
      </c>
      <c r="F14" s="54">
        <v>0.40532314977799999</v>
      </c>
      <c r="G14" s="54">
        <v>0.40532314977799999</v>
      </c>
      <c r="H14" s="45">
        <v>0.27800000000000002</v>
      </c>
      <c r="I14" s="55">
        <v>0.27800000000000002</v>
      </c>
      <c r="J14" s="55">
        <v>0.27800000000000002</v>
      </c>
      <c r="K14" s="55">
        <v>0.27800000000000002</v>
      </c>
      <c r="L14" s="45">
        <v>0.23699999999999999</v>
      </c>
      <c r="M14" s="55">
        <v>0.23699999999999999</v>
      </c>
      <c r="N14" s="55">
        <v>0.23699999999999999</v>
      </c>
      <c r="O14" s="55">
        <v>0.23699999999999999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0.33901260495531227</v>
      </c>
      <c r="D15" s="52">
        <f t="shared" si="0"/>
        <v>0.33681819829139004</v>
      </c>
      <c r="E15" s="52">
        <f t="shared" si="0"/>
        <v>0.33681819829139004</v>
      </c>
      <c r="F15" s="52">
        <f t="shared" si="0"/>
        <v>0.25821476047442293</v>
      </c>
      <c r="G15" s="52">
        <f t="shared" si="0"/>
        <v>0.25821476047442293</v>
      </c>
      <c r="H15" s="52">
        <f t="shared" si="0"/>
        <v>0.17710240200000002</v>
      </c>
      <c r="I15" s="52">
        <f t="shared" si="0"/>
        <v>0.17710240200000002</v>
      </c>
      <c r="J15" s="52">
        <f t="shared" si="0"/>
        <v>0.17710240200000002</v>
      </c>
      <c r="K15" s="52">
        <f t="shared" si="0"/>
        <v>0.17710240200000002</v>
      </c>
      <c r="L15" s="52">
        <f t="shared" si="0"/>
        <v>0.15098298300000002</v>
      </c>
      <c r="M15" s="52">
        <f t="shared" si="0"/>
        <v>0.15098298300000002</v>
      </c>
      <c r="N15" s="52">
        <f t="shared" si="0"/>
        <v>0.15098298300000002</v>
      </c>
      <c r="O15" s="52">
        <f t="shared" si="0"/>
        <v>0.15098298300000002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Kl+/VThQg884AyXyFMZAlfJUSZV2WmqTbZksu/Z3k6soQMy+A0IdZu2DM/SYQJ2ohZuWBgKXxb5JZWdxSRQgvg==" saltValue="rGgJjSkpar6tmWVDiurO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0.5343445</v>
      </c>
      <c r="D2" s="53">
        <v>0.4011613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3.7408799999999999E-2</v>
      </c>
      <c r="D3" s="53">
        <v>0.11699619999999999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0.3187007</v>
      </c>
      <c r="D4" s="53">
        <v>0.42420869999999999</v>
      </c>
      <c r="E4" s="53">
        <v>0.89030050000000005</v>
      </c>
      <c r="F4" s="53">
        <v>0.57105020000000006</v>
      </c>
      <c r="G4" s="53">
        <v>0</v>
      </c>
    </row>
    <row r="5" spans="1:7" x14ac:dyDescent="0.25">
      <c r="B5" s="3" t="s">
        <v>132</v>
      </c>
      <c r="C5" s="52">
        <v>0.1095459</v>
      </c>
      <c r="D5" s="52">
        <v>5.7633799999999999E-2</v>
      </c>
      <c r="E5" s="52">
        <f>1-SUM(E2:E4)</f>
        <v>0.10969949999999995</v>
      </c>
      <c r="F5" s="52">
        <f>1-SUM(F2:F4)</f>
        <v>0.42894979999999994</v>
      </c>
      <c r="G5" s="52">
        <f>1-SUM(G2:G4)</f>
        <v>1</v>
      </c>
    </row>
  </sheetData>
  <sheetProtection algorithmName="SHA-512" hashValue="rBxXlDwW3eEIadldAEuIf8ffio4s3ZQ+nDT3GiHx6zC7N7gw00aWyRrO98vp5iqg6n9nY0anwanuKa+PH7nqXQ==" saltValue="pqLC+PNdQQlftAnsa3hX4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pH/LpiPYQHcJbzB8LeWMN/U6Rq0v2aRB2c63NvLlEJ+iVVNMvco76NktRINsQtns8AETtTVHM/bObbGdjYGPQ==" saltValue="vLuE/2uirCxOXSXiyLuZn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QUAyq4tssTKLKbOTkIBV9Uhn6x7BdjaZEKR4PaPtMRv8GDaTNurMgh166i1+fZrEZHFEXCPxrtlEYShc+t+rbA==" saltValue="93k6HSiLULTOYfUhBZMuH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jSJFkBkZwMdBSlN4oeWVjIBLpEDv1n8sSHOLp+dEiJbqGuu+n6rT5xfbk4WqzFabn8JXKwTGoJ058lYkN8afRw==" saltValue="iPfvPDMuNZ/cVhgusQser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0W0yts033mRspVA4cIBIVKsthtL2UsRhdPUrAeYiiF+1E6mFjSraqlNC38r33wA30jU8SeRioqU6qRld/+9nDA==" saltValue="hqe1tcBgomVfhC5Hifl/4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49.842921550808533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0.190858472</v>
      </c>
      <c r="C3" s="98">
        <v>0.95</v>
      </c>
      <c r="D3" s="56">
        <v>39.696639812262433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286.05664748322943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1.3892843507597601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12.828939256058341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12.828939256058341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12.828939256058341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12.828939256058341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12.828939256058341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12.828939256058341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0.8</v>
      </c>
      <c r="C16" s="98">
        <v>0.95</v>
      </c>
      <c r="D16" s="56">
        <v>0.53570505595368945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0.1114472535</v>
      </c>
      <c r="C18" s="98">
        <v>0.95</v>
      </c>
      <c r="D18" s="56">
        <v>6.6332602175192878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0.46714929999999999</v>
      </c>
      <c r="C19" s="98">
        <v>0.95</v>
      </c>
      <c r="D19" s="56">
        <v>6.6332602175192878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0.49547920000000001</v>
      </c>
      <c r="C21" s="98">
        <v>0.95</v>
      </c>
      <c r="D21" s="56">
        <v>11.2499272526323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22.04257615659202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4.1648125448902009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0.84451054199999998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18.385480298425989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0.66226328850000005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94.963596456498976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1.4494319011864589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1.1313943199069549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0.47599999999999998</v>
      </c>
      <c r="C38" s="98">
        <v>0.95</v>
      </c>
      <c r="D38" s="56">
        <v>4.7753309402954516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zSyhHiWRfFo9KgEZmVUA4Cv+aCL/C+wLCFx6RXCnhT3EXxpgMgURwkxut7P14T0fDfzT8q7Ssz6A6qVxoozvlA==" saltValue="mBYJzfsxMsU+QV94Cl8Q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W221dWFnGyvAyd6PW7YYca0AjLFtCD40dW7JlBIaKRgGkC0qfEf3AZgcJ0qrY6wyj6e4G7rfZnFybFBf1Sa0sA==" saltValue="WLDltMI7weP61eOwuHnBn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UdS91rQa532POQjIRwD2yY669UW/hJ204dtq/4mD6MdbY8u7+uVXHIx9hRxf4mnqZQqEbxosgG6oOh2nK46kyQ==" saltValue="ue6M6eIWhXexOAzi/KGAm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209</v>
      </c>
      <c r="B3" s="21">
        <f>frac_mam_1month * 2.6</f>
        <v>0.14490242</v>
      </c>
      <c r="C3" s="21">
        <f>frac_mam_1_5months * 2.6</f>
        <v>0.14490242</v>
      </c>
      <c r="D3" s="21">
        <f>frac_mam_6_11months * 2.6</f>
        <v>8.2862259999999993E-2</v>
      </c>
      <c r="E3" s="21">
        <f>frac_mam_12_23months * 2.6</f>
        <v>0.18355064000000001</v>
      </c>
      <c r="F3" s="21">
        <f>frac_mam_24_59months * 2.6</f>
        <v>6.8693560000000001E-2</v>
      </c>
    </row>
    <row r="4" spans="1:6" ht="15.75" customHeight="1" x14ac:dyDescent="0.25">
      <c r="A4" s="3" t="s">
        <v>208</v>
      </c>
      <c r="B4" s="21">
        <f>frac_sam_1month * 2.6</f>
        <v>9.7432400000000002E-3</v>
      </c>
      <c r="C4" s="21">
        <f>frac_sam_1_5months * 2.6</f>
        <v>9.7432400000000002E-3</v>
      </c>
      <c r="D4" s="21">
        <f>frac_sam_6_11months * 2.6</f>
        <v>7.6968060000000005E-2</v>
      </c>
      <c r="E4" s="21">
        <f>frac_sam_12_23months * 2.6</f>
        <v>6.0127860000000005E-2</v>
      </c>
      <c r="F4" s="21">
        <f>frac_sam_24_59months * 2.6</f>
        <v>4.5113380000000002E-2</v>
      </c>
    </row>
  </sheetData>
  <sheetProtection algorithmName="SHA-512" hashValue="0jL/Z0abSJl9T2MKyZQZ8WkDJl7oE+hI4hGK0dy1zvXX8jEXnGIE9/O9V87mUi12n5WjxVmaqLMOTY/DsstXkQ==" saltValue="u/LPX9WimAQ6MVNoa7hoy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0.13200000000000001</v>
      </c>
      <c r="E2" s="60">
        <f>food_insecure</f>
        <v>0.13200000000000001</v>
      </c>
      <c r="F2" s="60">
        <f>food_insecure</f>
        <v>0.13200000000000001</v>
      </c>
      <c r="G2" s="60">
        <f>food_insecure</f>
        <v>0.13200000000000001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0.13200000000000001</v>
      </c>
      <c r="F5" s="60">
        <f>food_insecure</f>
        <v>0.13200000000000001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0.13200000000000001</v>
      </c>
      <c r="F8" s="60">
        <f>food_insecure</f>
        <v>0.13200000000000001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0.13200000000000001</v>
      </c>
      <c r="F9" s="60">
        <f>food_insecure</f>
        <v>0.13200000000000001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0.13200000000000001</v>
      </c>
      <c r="I15" s="60">
        <f>food_insecure</f>
        <v>0.13200000000000001</v>
      </c>
      <c r="J15" s="60">
        <f>food_insecure</f>
        <v>0.13200000000000001</v>
      </c>
      <c r="K15" s="60">
        <f>food_insecure</f>
        <v>0.13200000000000001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0.49299999999999999</v>
      </c>
      <c r="M24" s="60">
        <f>famplan_unmet_need</f>
        <v>0.49299999999999999</v>
      </c>
      <c r="N24" s="60">
        <f>famplan_unmet_need</f>
        <v>0.49299999999999999</v>
      </c>
      <c r="O24" s="60">
        <f>famplan_unmet_need</f>
        <v>0.49299999999999999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0.25281101974792486</v>
      </c>
      <c r="M25" s="60">
        <f>(1-food_insecure)*(0.49)+food_insecure*(0.7)</f>
        <v>0.51771999999999996</v>
      </c>
      <c r="N25" s="60">
        <f>(1-food_insecure)*(0.49)+food_insecure*(0.7)</f>
        <v>0.51771999999999996</v>
      </c>
      <c r="O25" s="60">
        <f>(1-food_insecure)*(0.49)+food_insecure*(0.7)</f>
        <v>0.51771999999999996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0.10834757989196782</v>
      </c>
      <c r="M26" s="60">
        <f>(1-food_insecure)*(0.21)+food_insecure*(0.3)</f>
        <v>0.22187999999999999</v>
      </c>
      <c r="N26" s="60">
        <f>(1-food_insecure)*(0.21)+food_insecure*(0.3)</f>
        <v>0.22187999999999999</v>
      </c>
      <c r="O26" s="60">
        <f>(1-food_insecure)*(0.21)+food_insecure*(0.3)</f>
        <v>0.22187999999999999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0.12715751669311526</v>
      </c>
      <c r="M27" s="60">
        <f>(1-food_insecure)*(0.3)</f>
        <v>0.26039999999999996</v>
      </c>
      <c r="N27" s="60">
        <f>(1-food_insecure)*(0.3)</f>
        <v>0.26039999999999996</v>
      </c>
      <c r="O27" s="60">
        <f>(1-food_insecure)*(0.3)</f>
        <v>0.26039999999999996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0.51168388366699202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6HqHxaDO8jtzn3XHRiq9QLSVINLq+59umtdviuoakGxYmEwM+j30vmYMENl5uhJuhxdDTrzl+r98K9ZxnwQnag==" saltValue="Nu1kK6jxINaZmhlzmdpnz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1bFT+7x4cx7+fLBCC+awJJZ4T4wXtxmIHsJC83BO5oP34f9Prf7b2Vyc7BxdxeXO4L0aDfZnE/POJDEoCWUxSw==" saltValue="rpB6/Txt7LevALvaaVB72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OMYCnas5p64yIYt9GAr82LEdvtR+XJllwvtos46ZSPNxVA/Tf5VXq0PsazKRuz3bPYmxegpW1o4BrJ1Fk6aScQ==" saltValue="vxsvOQoixHw0UY4DIUzSw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2XPks6jVX2Vf9E12ESCrcSuBQqljjFuJWXiDbOOhKCHcdhLResvfNw9bUZf84lJOn1cb1PXQ5N4xKXrE+ElQAQ==" saltValue="Ud3BE7rrxoICV3C/2hvxw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ehW9G7s4F0VoPRcHjDMwBgTJ2NSWJp+lWk1oTDlYz7HbxmCLLNseCOt+MiqvVr5XoC8qXFllVzIrBc+tVEsOhw==" saltValue="94ie/Z3xV6D66YGYXr/Nq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BBtuDhHJJi7EG4Vkxc9wWkYaz8mbGts5/DQqzQEC7txHPMYCxt8e5PzBGzIBaN+a24lUnQroiRmN3p6AHJAdtg==" saltValue="k9UxXMxGOlrtuMPjUGaNo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sO7NW3lwGzfsQn6L/8+YNAxKx8Pzm918jseSDgwAjLbo+r4Kya9ZkH3R7YWxMZl+EPaFfGAqao6VJUVmJofXDw==" saltValue="U6YAh29DsqiXJ3y23tnCp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5RBK2Tj2aA/MIwmH8d5CBqHb4xUSS5bbavsGnomHK+FWmUySLMVxytUHag7ixbDBqTSpO7SH5gL8KQYmQy+bYg==" saltValue="isMaHNsNFfDuG7MbVLKu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/GzLpjtlww6Jv0rCv7wKtH+l4qJ1kwDwA/ImNOV2tRxjjKFGIhXFhvVOf7ga0ynL+xckxwl8VrogcVqggEJNw==" saltValue="mviRfBK5RLjGrP1ZEveg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Hj1pvua7Ltw5yyP5s2ctgq/mHJizJNIzWj0qWh1+dD/4rl4VIIPrs6+7r0kqhW+VvxFlfQSYBfKlCKLnjAn0xg==" saltValue="yKSU9DuqtJbjJ+fTzBXU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P/vHjYgh2pKNosqzhqMFDbWWQcQqlgjHuhkf1dnK8mpPJH9Fpe9WWrPyCvCAMJX1RdurDwoNMrf5kPxmyL336g==" saltValue="1+gzlxyosTtR8IwSw+zA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iEKR6ZDYv/emVXucUIiLwgqIGjsRdfis5msSBP16jVFsLjx2SJxFFQZRmqSedr+9ZtUnZGPj90pU7FJGqOE5pA==" saltValue="1FzEu8/8a6wBM3unFVyK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yApG7CzwiMsH2NPl/IlmzuIvk+QzJzHxnMY+whBhdH6gVOIJZi+Bsq3Vy676oyZlI6ZATZ7YVk53IJD1eHFPw==" saltValue="CCxqfBecosFEXyRZY8Fyz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IYuZnH1fZEQ9GYsG3vVUDaFy/YCc2xVfIij2pXiuIG0Z5KcWGS6yEDOlG/x0VQlws5hggzeYCQGodmXR0hGzug==" saltValue="sgstGpjuSzygBc+Pdtaw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d76HP6q3Y4aZPbVt5USNygBqb50HtedBvC1cv+V92ob9A46zNOiTk73GSCrYwZg4HbaJFu0XMfEiddGhGypmYw==" saltValue="/4zgKjQbjb9jMSmpKlNok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2024-05-17T01:04:30Z</dcterms:modified>
</cp:coreProperties>
</file>