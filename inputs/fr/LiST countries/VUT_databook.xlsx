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94F94FCC-BA63-4BE3-AC71-955CB989499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2" i="2" l="1"/>
  <c r="A23" i="2"/>
  <c r="A39" i="2"/>
  <c r="A15" i="2"/>
  <c r="A24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25" i="2"/>
  <c r="A34" i="2"/>
  <c r="A21" i="2"/>
  <c r="A31" i="2"/>
  <c r="A17" i="2"/>
  <c r="A26" i="2"/>
  <c r="A35" i="2"/>
  <c r="A18" i="2"/>
  <c r="A27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<sst xmlns="http://schemas.openxmlformats.org/spreadsheetml/2006/main" count="2101" uniqueCount="337">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</sst>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46493.67431640625</v>
      </c>
    </row>
    <row r="8" spans="1:3" ht="15" customHeight="1" x14ac:dyDescent="0.25">
      <c r="B8" s="5" t="s">
        <v>19</v>
      </c>
      <c r="C8" s="44">
        <v>0.13200000000000001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0.51168388366699202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7.7300000000000008E-2</v>
      </c>
    </row>
    <row r="24" spans="1:3" ht="15" customHeight="1" x14ac:dyDescent="0.25">
      <c r="B24" s="15" t="s">
        <v>33</v>
      </c>
      <c r="C24" s="45">
        <v>0.50680000000000003</v>
      </c>
    </row>
    <row r="25" spans="1:3" ht="15" customHeight="1" x14ac:dyDescent="0.25">
      <c r="B25" s="15" t="s">
        <v>34</v>
      </c>
      <c r="C25" s="45">
        <v>0.33629999999999988</v>
      </c>
    </row>
    <row r="26" spans="1:3" ht="15" customHeight="1" x14ac:dyDescent="0.25">
      <c r="B26" s="15" t="s">
        <v>35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9.8678000000000008</v>
      </c>
    </row>
    <row r="38" spans="1:5" ht="15" customHeight="1" x14ac:dyDescent="0.25">
      <c r="B38" s="11" t="s">
        <v>45</v>
      </c>
      <c r="C38" s="43">
        <v>19.7136</v>
      </c>
      <c r="D38" s="12"/>
      <c r="E38" s="13"/>
    </row>
    <row r="39" spans="1:5" ht="15" customHeight="1" x14ac:dyDescent="0.25">
      <c r="B39" s="11" t="s">
        <v>46</v>
      </c>
      <c r="C39" s="43">
        <v>23.214130000000001</v>
      </c>
      <c r="D39" s="12"/>
      <c r="E39" s="12"/>
    </row>
    <row r="40" spans="1:5" ht="15" customHeight="1" x14ac:dyDescent="0.25">
      <c r="B40" s="11" t="s">
        <v>47</v>
      </c>
      <c r="C40" s="100">
        <v>0.94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6.1368999999999998E-3</v>
      </c>
      <c r="D45" s="12"/>
    </row>
    <row r="46" spans="1:5" ht="15.75" customHeight="1" x14ac:dyDescent="0.25">
      <c r="B46" s="11" t="s">
        <v>52</v>
      </c>
      <c r="C46" s="45">
        <v>6.5939800000000007E-2</v>
      </c>
      <c r="D46" s="12"/>
    </row>
    <row r="47" spans="1:5" ht="15.75" customHeight="1" x14ac:dyDescent="0.25">
      <c r="B47" s="11" t="s">
        <v>53</v>
      </c>
      <c r="C47" s="45">
        <v>7.5165300000000004E-2</v>
      </c>
      <c r="D47" s="12"/>
      <c r="E47" s="13"/>
    </row>
    <row r="48" spans="1:5" ht="15" customHeight="1" x14ac:dyDescent="0.25">
      <c r="B48" s="11" t="s">
        <v>54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0.63705900000000004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GwXkHoCeqY58PM91NJxcoFWlLuYNmVpLdDi863Ycy7pYfsaVsKP2bgsQjaCZL9uT8Vr13RE/tG1Ixbuvbiid2Q==" saltValue="OyV7wPnWYkb6nU9l3MhP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8EDYjw08yXsYjo92nhmfp10uyQ4crtrqV2fIVtg2Ikn0WD3jr70hvFHmKYc/6btK5bnKY9iKY9JJ6u13YRAKA==" saltValue="E0f/uje1cY1pCOnerJmP7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1.1815998818400109E-3</v>
      </c>
    </row>
    <row r="4" spans="1:8" ht="15.75" customHeight="1" x14ac:dyDescent="0.25">
      <c r="B4" s="19" t="s">
        <v>79</v>
      </c>
      <c r="C4" s="101">
        <v>4.9927795007220499E-2</v>
      </c>
    </row>
    <row r="5" spans="1:8" ht="15.75" customHeight="1" x14ac:dyDescent="0.25">
      <c r="B5" s="19" t="s">
        <v>80</v>
      </c>
      <c r="C5" s="101">
        <v>3.8299596170040348E-2</v>
      </c>
    </row>
    <row r="6" spans="1:8" ht="15.75" customHeight="1" x14ac:dyDescent="0.25">
      <c r="B6" s="19" t="s">
        <v>81</v>
      </c>
      <c r="C6" s="101">
        <v>0.1696583830341615</v>
      </c>
    </row>
    <row r="7" spans="1:8" ht="15.75" customHeight="1" x14ac:dyDescent="0.25">
      <c r="B7" s="19" t="s">
        <v>82</v>
      </c>
      <c r="C7" s="101">
        <v>0.51123814887618546</v>
      </c>
    </row>
    <row r="8" spans="1:8" ht="15.75" customHeight="1" x14ac:dyDescent="0.25">
      <c r="B8" s="19" t="s">
        <v>83</v>
      </c>
      <c r="C8" s="101">
        <v>2.0689997931000191E-4</v>
      </c>
    </row>
    <row r="9" spans="1:8" ht="15.75" customHeight="1" x14ac:dyDescent="0.25">
      <c r="B9" s="19" t="s">
        <v>84</v>
      </c>
      <c r="C9" s="101">
        <v>0.16598378340162159</v>
      </c>
    </row>
    <row r="10" spans="1:8" ht="15.75" customHeight="1" x14ac:dyDescent="0.25">
      <c r="B10" s="19" t="s">
        <v>85</v>
      </c>
      <c r="C10" s="101">
        <v>6.3503793649620596E-2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88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89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95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4.7782605999999991E-2</v>
      </c>
    </row>
    <row r="27" spans="1:8" ht="15.75" customHeight="1" x14ac:dyDescent="0.25">
      <c r="B27" s="19" t="s">
        <v>102</v>
      </c>
      <c r="C27" s="101">
        <v>1.8912625999999998E-2</v>
      </c>
    </row>
    <row r="28" spans="1:8" ht="15.75" customHeight="1" x14ac:dyDescent="0.25">
      <c r="B28" s="19" t="s">
        <v>103</v>
      </c>
      <c r="C28" s="101">
        <v>0.22751453199999999</v>
      </c>
    </row>
    <row r="29" spans="1:8" ht="15.75" customHeight="1" x14ac:dyDescent="0.25">
      <c r="B29" s="19" t="s">
        <v>104</v>
      </c>
      <c r="C29" s="101">
        <v>0.13826291700000001</v>
      </c>
    </row>
    <row r="30" spans="1:8" ht="15.75" customHeight="1" x14ac:dyDescent="0.25">
      <c r="B30" s="19" t="s">
        <v>2</v>
      </c>
      <c r="C30" s="101">
        <v>4.9672004000000013E-2</v>
      </c>
    </row>
    <row r="31" spans="1:8" ht="15.75" customHeight="1" x14ac:dyDescent="0.25">
      <c r="B31" s="19" t="s">
        <v>105</v>
      </c>
      <c r="C31" s="101">
        <v>7.0532584999999995E-2</v>
      </c>
    </row>
    <row r="32" spans="1:8" ht="15.75" customHeight="1" x14ac:dyDescent="0.25">
      <c r="B32" s="19" t="s">
        <v>106</v>
      </c>
      <c r="C32" s="101">
        <v>0.15034908699999999</v>
      </c>
    </row>
    <row r="33" spans="2:3" ht="15.75" customHeight="1" x14ac:dyDescent="0.25">
      <c r="B33" s="19" t="s">
        <v>107</v>
      </c>
      <c r="C33" s="101">
        <v>0.12275455</v>
      </c>
    </row>
    <row r="34" spans="2:3" ht="15.75" customHeight="1" x14ac:dyDescent="0.25">
      <c r="B34" s="19" t="s">
        <v>108</v>
      </c>
      <c r="C34" s="101">
        <v>0.17421909099999999</v>
      </c>
    </row>
    <row r="35" spans="2:3" ht="15.75" customHeight="1" x14ac:dyDescent="0.25">
      <c r="B35" s="27" t="s">
        <v>41</v>
      </c>
      <c r="C35" s="48">
        <f>SUM(C26:C34)</f>
        <v>0.99999999799999995</v>
      </c>
    </row>
  </sheetData>
  <sheetProtection algorithmName="SHA-512" hashValue="TzWiVqMS+f+D/ghBbjVPTm3bLuXYijqBK4PzcQAaDH5gEVaLaUhsuXSv/j3t/JtCdKi/gu5jZhn4SNLWWsWmjA==" saltValue="eHPtfyFnvmhj/m7hdVDk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114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115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119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120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dx7ftN1jZn9q5Y6BtCK5wSGB1K3wvMiyy3JQfykVc1+UF/j/KZ0p/K6lDZHzlhCgq5UvIlxdC+kRqum8UgPtQ==" saltValue="KYG2CBCYFSNzjHml49CC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132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sa8QUBddSj0+wJ+AF7qRxVXzWfdBVspYk8XgAPwOOIkfmG5piJ3RLPJJ1XU/ocZs46Yl6ChKBQ8VCbVneWPHUg==" saltValue="zcxWEmwlyy7PTZVopX84b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opP6AkBZEsYQocqZJ9UpfLRQVZzvGqhVLNT78VfXVImULjDc4Q51L/AmBw7EeAyExwdeDpYvLrs+wWRqyk91w==" saltValue="BZd5i6+CuJisXIVTYotk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ibhjusMYbhELtX1CGpBvr6MIsjUcoiIs+5aoxUY4vPux1ajQSZ2zuRwq3Fc0Klb1K41ICJjkR46tNqf2Zu/OYA==" saltValue="r2pnH/gmSPrmvyEpczXE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Q4ibZDp5DFxhDgobiuJ0JAeVwNN0YXscv3e0ZfJCE5oEM49dXEZswssUcSPI+S0mcrfB1a29ED743sYvE/nYA==" saltValue="cdrpBJ0i2gQZOXvWFJux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3xghMR4XEv21VyAIaeLRfF/uMU1bX8r9f98dfFHbVIibZerWd47TwOXRtBJqyRMjLKXmC14iQzdhfZtemnq0bw==" saltValue="oAwX1Aqq680O6EjaKkP3Q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1.3892843507597601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1.899427422400078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0.76169932167312793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12.828939256058341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12.828939256058341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12.828939256058341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12.828939256058341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12.828939256058341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12.828939256058341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0.4011613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0.4011613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22.04257615659202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0.69800110000000004</v>
      </c>
      <c r="C23" s="98">
        <v>0.95</v>
      </c>
      <c r="D23" s="56">
        <v>4.1648125448902009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0.63282579900000002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0.47599999999999998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0.75879769999999991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0.627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3.6438999999999998E-3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0.49547920000000001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0.01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9BfF2QyTBRwBrGfxUds/hY0jBZ1GbJpmdqgEzRSpAH97NDfN35ycj0TKb5CcMNNsqthCycaKJg3tzJZh5vC8yQ==" saltValue="xuExKlUUnREVbca92o4V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HJoewNWpobL6JulXi8SS8EDRrk0pcXGbVvE3fK+BaYkjWI2d5oA3Cag8e367e9RIJ6XM4z67bm87VMMofwE0g==" saltValue="tVLcqNgXPwlmK7xDigeO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jYFSEkzt7MRJX4p1mxv0EjQlD4/cxMUggi/HdiAKBiwWu/FSU/jzIcZ7afu0zT86KvmMgewHFZ2DBjvFXCqxw==" saltValue="bNnnSDi0QoOx3gK8BCoVC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208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a5Lj1UwAEbAlpekg/eDJCqwH9l6ijlcTzNlAZm1oeKfK8CfrW8AfjWs1YK5ONIXZTOnCrvQrt+67cH2drc4DPQ==" saltValue="0er0bYgMusUgt6a3Pva8A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q3KYMf95AQW5OMEl5yEaNp1eAyamKIcDyhYDX/4rom5yplDAUevBw6aUPhN1UHOFyzMHifp8WkvQnGRPNobig==" saltValue="LD9csa4dbNlKLe2zPHuQ0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NcBYvmEq2AceB1qURNHD6K8jlV6um0d9aNVEI0TDR/ur9SLiHOPQu4tdR1nUZLLowbb4TUra7KMN+D69SQAA1w==" saltValue="tOHJfJQ4qibr2bxwZdgk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327cgjwBPVo10/ppL7KLotrBg+TO0gEqumNZzRIdf4PX+OLo56SIKHXUismtk6PQOwTyr9kOsmWiw5g0fm0Pg==" saltValue="85M1cADab/bgujTocM+lm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oDBYVMwnG6/HoPck7cA2QP14R6J0UYmQVfm305d2Kl9kaHxPSDBkWtmLmpmmvfikPKDTpJBYfLZfDc+aAw6Ew==" saltValue="cbXco8/laqXbHrOFbQu+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ESns0h00wpc4uCLjKUyumAnKO/76xgafa6tCSNgvdchP8e2vfNWMoqiOyH+cmSeUVDVLa3lWunxdIuGeXmxIJQ==" saltValue="/E3CSG4lMRkC3lb2lYHD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Rz9QOiYxVfZqMFJbUSeOKO3iq8QLljOO9UwPBu9TSCn7IVw6kw1/uhLtITXA31meZSQfQUbUmKoFWXVneC4Kw==" saltValue="1vOo7Fd4sAlYSS+SnytwH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HP+LSEcduRk4wSo1isU1yWFasgLeD+SPUDvCe7ZrZw02dl5aKY/IP+A4oF6y7ypD/W3OOJWDEozoTqhxFpZ1w==" saltValue="M9A2lldvn56HlvwF2VWzm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yN8iu5gwVO8zMN8y0PMypkwDGq8m2AeyffQteLxm1NgJiapvf7MrAAXCP8MFpvXeqVF/ecOiliDF7nmlTfG7g==" saltValue="f5jg7RG/upC9nsusSsC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3GxOLsET+JVhu2T47SskyBaDFiGQA2ZEWRpOOFsBGMJkfLw4peW4BzB08/OXLyLUt5Oz4d9XMU/2j9LfoP5Rw==" saltValue="xUN0A4y7BndEperynp40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CbgY9gq4OBEceXaI27Sw0/erNsUWhBGhVdIumQ4LHVCsizhOoYeHdUnBm8BFMW6zEOu5A+9lDelbyAe+GatnA==" saltValue="zMP5RPvRqwEa7IcwD4kn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/W01tQ4U7mQBDQ44kEhfKT7RJz04auberkaYa6bzEIfcRtG7yNOpQ5YY42UYliiEWw3SSfmro5r7llTwqZ4Vw==" saltValue="DEY4S4ScFWJwD6Fp9b9s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vbMUxoxH/pgGrTB5W/bmBSbd+RgTBUhpJG9k69pJ8mwP98w6xu/gLETV8fcFjv/vcjQgT6gQzS17GoNq8OB+A==" saltValue="7HISwOS2Qg1Igt7ZDx4R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wDXxOgq/mKh4Af7b6n3VCGjlVqJ9itSfEmDrMoGrVIG+1dOlV4Cjq+5D0XKT2pIk4vZBSGdLSMkiSZ7kZDOYg==" saltValue="hQ1+8lvPrCcaTubycghm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0.10709238833492296</v>
      </c>
      <c r="G18" s="90">
        <f>MIN(MAX(1-0.89/(1-frac_sam_12_23months+(frac_sam_12_23months*0.89)),0),1)</f>
        <v>0.10773018068246276</v>
      </c>
      <c r="H18" s="90">
        <f>MIN(MAX(1-0.89/(1-frac_sam_24_59months+(frac_sam_24_59months*0.89)),0),1)</f>
        <v>0.1082980593328593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0.1068689406206923</v>
      </c>
      <c r="G20" s="90">
        <f>MIN(MAX(1-0.89/(1-frac_mam_12_23months+(frac_mam_12_23months*0.89)),0),1)</f>
        <v>0.10303452129067292</v>
      </c>
      <c r="H20" s="90">
        <f>MIN(MAX(1-0.89/(1-frac_mam_24_59months+(frac_mam_24_59months*0.89)),0),1)</f>
        <v>0.10740588406906992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9.7068425262999414E-3</v>
      </c>
      <c r="G73" s="90">
        <f>MIN(MAX(1-0.99/(1-frac_sam_12_23months+(frac_sam_12_23months*0.99)),0),1)</f>
        <v>9.7709986509190161E-3</v>
      </c>
      <c r="H73" s="90">
        <f>MIN(MAX(1-0.99/(1-frac_sam_24_59months+(frac_sam_24_59months*0.99)),0),1)</f>
        <v>9.8281923191338993E-3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9.684385423318842E-3</v>
      </c>
      <c r="G75" s="90">
        <f>MIN(MAX(1-0.99/(1-frac_mam_12_23months+(frac_mam_12_23months*0.99)),0),1)</f>
        <v>9.3006018901127252E-3</v>
      </c>
      <c r="H75" s="90">
        <f>MIN(MAX(1-0.99/(1-frac_mam_24_59months+(frac_mam_24_59months*0.99)),0),1)</f>
        <v>9.7383669349744295E-3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0.19523529398628092</v>
      </c>
      <c r="G128" s="90">
        <f>MIN(MAX(1-0.8/(1-frac_sam_12_23months+(frac_sam_12_23months*0.8)),0),1)</f>
        <v>0.19628263034753601</v>
      </c>
      <c r="H128" s="90">
        <f>MIN(MAX(1-0.8/(1-frac_sam_24_59months+(frac_sam_24_59months*0.8)),0),1)</f>
        <v>0.19721412428694807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0.19486807299462916</v>
      </c>
      <c r="G130" s="90">
        <f>MIN(MAX(1-0.8/(1-frac_mam_12_23months+(frac_mam_12_23months*0.8)),0),1)</f>
        <v>0.18854280870813656</v>
      </c>
      <c r="H130" s="90">
        <f>MIN(MAX(1-0.8/(1-frac_mam_24_59months+(frac_mam_24_59months*0.8)),0),1)</f>
        <v>0.19575024779940176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YUOorDTRYqfxpO6GUuOIneNqjqoU9igbA1OKmWoY+iXGlOp8YropAkuk7fCYtaMupVWF/0Nk54L3H5nbQKZBg==" saltValue="XGW4H4PtkEYhLt3ZIL1i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3WIa/t/T6FUop7Zc11dWLOX6FE97QwcLHgho24gBqQsKN4hKInbVPpy0JknpO2PM23vVUxLtbSUn94uf9uiPA==" saltValue="WGaoiVR+lz6Nw8cgNvoLM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2024-08-06T09:59:15Z</dcterms:modified>
</cp:coreProperties>
</file>