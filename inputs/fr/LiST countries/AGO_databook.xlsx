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6C6B601-38C7-48AB-A4BE-817DA6E46F2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A26" i="2"/>
  <c r="I39" i="2"/>
  <c r="A40" i="2"/>
  <c r="A34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<sst xmlns="http://schemas.openxmlformats.org/spreadsheetml/2006/main" count="2169" uniqueCount="369">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</sst>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6358277</v>
      </c>
    </row>
    <row r="8" spans="1:3" ht="15" customHeight="1" x14ac:dyDescent="0.25">
      <c r="B8" s="5" t="s">
        <v>37</v>
      </c>
      <c r="C8" s="44">
        <v>0.32300000000000001</v>
      </c>
    </row>
    <row r="9" spans="1:3" ht="15" customHeight="1" x14ac:dyDescent="0.25">
      <c r="B9" s="5" t="s">
        <v>38</v>
      </c>
      <c r="C9" s="45">
        <v>0.53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0.13639999999999999</v>
      </c>
    </row>
    <row r="24" spans="1:3" ht="15" customHeight="1" x14ac:dyDescent="0.25">
      <c r="B24" s="15" t="s">
        <v>51</v>
      </c>
      <c r="C24" s="45">
        <v>0.43980000000000002</v>
      </c>
    </row>
    <row r="25" spans="1:3" ht="15" customHeight="1" x14ac:dyDescent="0.25">
      <c r="B25" s="15" t="s">
        <v>52</v>
      </c>
      <c r="C25" s="45">
        <v>0.34289999999999998</v>
      </c>
    </row>
    <row r="26" spans="1:3" ht="15" customHeight="1" x14ac:dyDescent="0.25">
      <c r="B26" s="15" t="s">
        <v>53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0.215581961112711</v>
      </c>
    </row>
    <row r="30" spans="1:3" ht="14.25" customHeight="1" x14ac:dyDescent="0.25">
      <c r="B30" s="25" t="s">
        <v>56</v>
      </c>
      <c r="C30" s="97">
        <v>7.7267303357062389E-2</v>
      </c>
    </row>
    <row r="31" spans="1:3" ht="14.25" customHeight="1" x14ac:dyDescent="0.25">
      <c r="B31" s="25" t="s">
        <v>57</v>
      </c>
      <c r="C31" s="97">
        <v>0.12020907122765701</v>
      </c>
    </row>
    <row r="32" spans="1:3" ht="14.25" customHeight="1" x14ac:dyDescent="0.25">
      <c r="B32" s="25" t="s">
        <v>58</v>
      </c>
      <c r="C32" s="97">
        <v>0.58694166430257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26.647300000000001</v>
      </c>
    </row>
    <row r="38" spans="1:5" ht="15" customHeight="1" x14ac:dyDescent="0.25">
      <c r="B38" s="11" t="s">
        <v>63</v>
      </c>
      <c r="C38" s="43">
        <v>47.163319999999999</v>
      </c>
      <c r="D38" s="12"/>
      <c r="E38" s="13"/>
    </row>
    <row r="39" spans="1:5" ht="15" customHeight="1" x14ac:dyDescent="0.25">
      <c r="B39" s="11" t="s">
        <v>64</v>
      </c>
      <c r="C39" s="43">
        <v>69.421329999999998</v>
      </c>
      <c r="D39" s="12"/>
      <c r="E39" s="12"/>
    </row>
    <row r="40" spans="1:5" ht="15" customHeight="1" x14ac:dyDescent="0.25">
      <c r="B40" s="11" t="s">
        <v>65</v>
      </c>
      <c r="C40" s="98">
        <v>2.2200000000000002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7.9281999999999998E-3</v>
      </c>
      <c r="D45" s="12"/>
    </row>
    <row r="46" spans="1:5" ht="15.75" customHeight="1" x14ac:dyDescent="0.25">
      <c r="B46" s="11" t="s">
        <v>70</v>
      </c>
      <c r="C46" s="45">
        <v>8.5187299999999994E-2</v>
      </c>
      <c r="D46" s="12"/>
    </row>
    <row r="47" spans="1:5" ht="15.75" customHeight="1" x14ac:dyDescent="0.25">
      <c r="B47" s="11" t="s">
        <v>71</v>
      </c>
      <c r="C47" s="45">
        <v>7.3461100000000001E-2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2.782</v>
      </c>
      <c r="D51" s="12"/>
    </row>
    <row r="52" spans="1:4" ht="15" customHeight="1" x14ac:dyDescent="0.25">
      <c r="B52" s="11" t="s">
        <v>75</v>
      </c>
      <c r="C52" s="98">
        <v>2.782</v>
      </c>
    </row>
    <row r="53" spans="1:4" ht="15.75" customHeight="1" x14ac:dyDescent="0.25">
      <c r="B53" s="11" t="s">
        <v>76</v>
      </c>
      <c r="C53" s="98">
        <v>6.9160000000000004</v>
      </c>
    </row>
    <row r="54" spans="1:4" ht="15.75" customHeight="1" x14ac:dyDescent="0.25">
      <c r="B54" s="11" t="s">
        <v>77</v>
      </c>
      <c r="C54" s="98">
        <v>6.9420000000000002</v>
      </c>
    </row>
    <row r="55" spans="1:4" ht="15.75" customHeight="1" x14ac:dyDescent="0.25">
      <c r="B55" s="11" t="s">
        <v>78</v>
      </c>
      <c r="C55" s="98">
        <v>2.7126666666666668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0.47012900000000002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0.15527790659999999</v>
      </c>
    </row>
    <row r="63" spans="1:4" ht="15.75" customHeight="1" x14ac:dyDescent="0.3">
      <c r="A63" s="4"/>
    </row>
  </sheetData>
  <sheetProtection algorithmName="SHA-512" hashValue="RHpAjec2tSsQyjiweXpx5aZ2bYO6Si/VYCymzPet11BrD/kWPL+TcD86F76ARLfnxIg4F9R/UFF4Hqk/8ZsVNw==" saltValue="9QXpRbPJlXQerEhA2RiS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6476088</v>
      </c>
      <c r="C2" s="49">
        <v>1699564</v>
      </c>
      <c r="D2" s="49">
        <v>2827595.5</v>
      </c>
      <c r="E2" s="49">
        <v>4564307.5</v>
      </c>
      <c r="F2" s="49">
        <v>3011570.5</v>
      </c>
      <c r="G2" s="17">
        <f t="shared" ref="G2:G13" si="0">C2+D2+E2+F2</f>
        <v>12103037.5</v>
      </c>
      <c r="H2" s="17">
        <f t="shared" ref="H2:H13" si="1">(B2 + stillbirth*B2/(1000-stillbirth))/(1-abortion)</f>
        <v>7504041.9562554453</v>
      </c>
      <c r="I2" s="17">
        <f t="shared" ref="I2:I13" si="2">G2-H2</f>
        <v>4598995.5437445547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1407760</v>
      </c>
      <c r="C3" s="50">
        <v>2006778</v>
      </c>
      <c r="D3" s="50">
        <v>2981406</v>
      </c>
      <c r="E3" s="50">
        <v>2240899.5</v>
      </c>
      <c r="F3" s="50">
        <v>1544644.4999999998</v>
      </c>
      <c r="G3" s="17">
        <f t="shared" si="0"/>
        <v>8773728</v>
      </c>
      <c r="H3" s="17">
        <f t="shared" si="1"/>
        <v>1631214.7247440377</v>
      </c>
      <c r="I3" s="17">
        <f t="shared" si="2"/>
        <v>7142513.2752559623</v>
      </c>
    </row>
    <row r="4" spans="1:9" ht="15.75" customHeight="1" x14ac:dyDescent="0.25">
      <c r="A4" s="5">
        <f t="shared" si="3"/>
        <v>2026</v>
      </c>
      <c r="B4" s="49">
        <v>1429803</v>
      </c>
      <c r="C4" s="50">
        <v>2089502.5</v>
      </c>
      <c r="D4" s="50">
        <v>3086837</v>
      </c>
      <c r="E4" s="50">
        <v>2297813.5</v>
      </c>
      <c r="F4" s="50">
        <v>1602480.5000000002</v>
      </c>
      <c r="G4" s="17">
        <f t="shared" si="0"/>
        <v>9076633.5</v>
      </c>
      <c r="H4" s="17">
        <f t="shared" si="1"/>
        <v>1656756.625478206</v>
      </c>
      <c r="I4" s="17">
        <f t="shared" si="2"/>
        <v>7419876.8745217938</v>
      </c>
    </row>
    <row r="5" spans="1:9" ht="15.75" customHeight="1" x14ac:dyDescent="0.25">
      <c r="A5" s="5">
        <f t="shared" si="3"/>
        <v>2027</v>
      </c>
      <c r="B5" s="49">
        <v>1461075</v>
      </c>
      <c r="C5" s="50">
        <v>2171620.5</v>
      </c>
      <c r="D5" s="50">
        <v>3202875.5</v>
      </c>
      <c r="E5" s="50">
        <v>2353413.9999999995</v>
      </c>
      <c r="F5" s="50">
        <v>1662369</v>
      </c>
      <c r="G5" s="17">
        <f t="shared" si="0"/>
        <v>9390279</v>
      </c>
      <c r="H5" s="17">
        <f t="shared" si="1"/>
        <v>1692992.4518066964</v>
      </c>
      <c r="I5" s="17">
        <f t="shared" si="2"/>
        <v>7697286.5481933039</v>
      </c>
    </row>
    <row r="6" spans="1:9" ht="15.75" customHeight="1" x14ac:dyDescent="0.25">
      <c r="A6" s="5">
        <f t="shared" si="3"/>
        <v>2028</v>
      </c>
      <c r="B6" s="49">
        <v>1487955</v>
      </c>
      <c r="C6" s="50">
        <v>2253134</v>
      </c>
      <c r="D6" s="50">
        <v>3329483.5</v>
      </c>
      <c r="E6" s="50">
        <v>2408687</v>
      </c>
      <c r="F6" s="50">
        <v>1723806.5000000002</v>
      </c>
      <c r="G6" s="17">
        <f t="shared" si="0"/>
        <v>9715111</v>
      </c>
      <c r="H6" s="17">
        <f t="shared" si="1"/>
        <v>1724139.132917908</v>
      </c>
      <c r="I6" s="17">
        <f t="shared" si="2"/>
        <v>7990971.867082092</v>
      </c>
    </row>
    <row r="7" spans="1:9" ht="15.75" customHeight="1" x14ac:dyDescent="0.25">
      <c r="A7" s="5">
        <f t="shared" si="3"/>
        <v>2029</v>
      </c>
      <c r="B7" s="49">
        <v>1519386</v>
      </c>
      <c r="C7" s="50">
        <v>2333811.5</v>
      </c>
      <c r="D7" s="50">
        <v>3466402</v>
      </c>
      <c r="E7" s="50">
        <v>2464654.9999999995</v>
      </c>
      <c r="F7" s="50">
        <v>1786361.5</v>
      </c>
      <c r="G7" s="17">
        <f t="shared" si="0"/>
        <v>10051230</v>
      </c>
      <c r="H7" s="17">
        <f t="shared" si="1"/>
        <v>1760559.1974270786</v>
      </c>
      <c r="I7" s="17">
        <f t="shared" si="2"/>
        <v>8290670.8025729209</v>
      </c>
    </row>
    <row r="8" spans="1:9" ht="15.75" customHeight="1" x14ac:dyDescent="0.25">
      <c r="A8" s="5">
        <f t="shared" si="3"/>
        <v>2030</v>
      </c>
      <c r="B8" s="49">
        <v>1549301</v>
      </c>
      <c r="C8" s="50">
        <v>2412546</v>
      </c>
      <c r="D8" s="50">
        <v>3611713.5</v>
      </c>
      <c r="E8" s="50">
        <v>2522408.5</v>
      </c>
      <c r="F8" s="50">
        <v>1849399</v>
      </c>
      <c r="G8" s="17">
        <f t="shared" si="0"/>
        <v>10396067</v>
      </c>
      <c r="H8" s="17">
        <f t="shared" si="1"/>
        <v>1795222.6262009591</v>
      </c>
      <c r="I8" s="17">
        <f t="shared" si="2"/>
        <v>8600844.3737990409</v>
      </c>
    </row>
    <row r="9" spans="1:9" ht="15.75" customHeight="1" x14ac:dyDescent="0.25">
      <c r="A9" s="5">
        <f t="shared" si="3"/>
        <v>2031</v>
      </c>
      <c r="B9" s="49">
        <v>1569907</v>
      </c>
      <c r="C9" s="50">
        <v>2488386.5</v>
      </c>
      <c r="D9" s="50">
        <v>3763377</v>
      </c>
      <c r="E9" s="50">
        <v>2583910</v>
      </c>
      <c r="F9" s="50">
        <v>1912346.5</v>
      </c>
      <c r="G9" s="17">
        <f t="shared" si="0"/>
        <v>10748020</v>
      </c>
      <c r="H9" s="17">
        <f t="shared" si="1"/>
        <v>1819099.4309248293</v>
      </c>
      <c r="I9" s="17">
        <f t="shared" si="2"/>
        <v>8928920.5690751709</v>
      </c>
    </row>
    <row r="10" spans="1:9" ht="15.75" customHeight="1" x14ac:dyDescent="0.25">
      <c r="A10" s="5">
        <f t="shared" si="3"/>
        <v>2032</v>
      </c>
      <c r="B10" s="49">
        <v>1595377</v>
      </c>
      <c r="C10" s="50">
        <v>2561005.5</v>
      </c>
      <c r="D10" s="50">
        <v>3920026</v>
      </c>
      <c r="E10" s="50">
        <v>2651374</v>
      </c>
      <c r="F10" s="50">
        <v>1974883</v>
      </c>
      <c r="G10" s="17">
        <f t="shared" si="0"/>
        <v>11107288.5</v>
      </c>
      <c r="H10" s="17">
        <f t="shared" si="1"/>
        <v>1848612.301754538</v>
      </c>
      <c r="I10" s="17">
        <f t="shared" si="2"/>
        <v>9258676.198245462</v>
      </c>
    </row>
    <row r="11" spans="1:9" ht="15.75" customHeight="1" x14ac:dyDescent="0.25">
      <c r="A11" s="5">
        <f t="shared" si="3"/>
        <v>2033</v>
      </c>
      <c r="B11" s="49">
        <v>1618620</v>
      </c>
      <c r="C11" s="50">
        <v>2630375</v>
      </c>
      <c r="D11" s="50">
        <v>4079999</v>
      </c>
      <c r="E11" s="50">
        <v>2726706.5</v>
      </c>
      <c r="F11" s="50">
        <v>2036088.5</v>
      </c>
      <c r="G11" s="17">
        <f t="shared" si="0"/>
        <v>11473169</v>
      </c>
      <c r="H11" s="17">
        <f t="shared" si="1"/>
        <v>1875544.6793240283</v>
      </c>
      <c r="I11" s="17">
        <f t="shared" si="2"/>
        <v>9597624.320675971</v>
      </c>
    </row>
    <row r="12" spans="1:9" ht="15.75" customHeight="1" x14ac:dyDescent="0.25">
      <c r="A12" s="5">
        <f t="shared" si="3"/>
        <v>2034</v>
      </c>
      <c r="B12" s="49">
        <v>1645852</v>
      </c>
      <c r="C12" s="50">
        <v>2697188</v>
      </c>
      <c r="D12" s="50">
        <v>4242193.9999999991</v>
      </c>
      <c r="E12" s="50">
        <v>2811486</v>
      </c>
      <c r="F12" s="50">
        <v>2095592.5000000002</v>
      </c>
      <c r="G12" s="17">
        <f t="shared" si="0"/>
        <v>11846460.5</v>
      </c>
      <c r="H12" s="17">
        <f t="shared" si="1"/>
        <v>1907099.2336402682</v>
      </c>
      <c r="I12" s="17">
        <f t="shared" si="2"/>
        <v>9939361.2663597316</v>
      </c>
    </row>
    <row r="13" spans="1:9" ht="15.75" customHeight="1" x14ac:dyDescent="0.25">
      <c r="A13" s="5">
        <f t="shared" si="3"/>
        <v>2035</v>
      </c>
      <c r="B13" s="49">
        <v>1672818</v>
      </c>
      <c r="C13" s="50">
        <v>2762347.5</v>
      </c>
      <c r="D13" s="50">
        <v>4404666</v>
      </c>
      <c r="E13" s="50">
        <v>2906392.5</v>
      </c>
      <c r="F13" s="50">
        <v>2153498.5</v>
      </c>
      <c r="G13" s="17">
        <f t="shared" si="0"/>
        <v>12226904.5</v>
      </c>
      <c r="H13" s="17">
        <f t="shared" si="1"/>
        <v>1938345.5655913448</v>
      </c>
      <c r="I13" s="17">
        <f t="shared" si="2"/>
        <v>10288558.934408655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VYQTQKKnS/av7HAgOeBNVZiC6eVIxnbKjpeC/+ouwGb14sPEtpKHaoTRAPCxZqvFQChggoR4Tbdn/zv5ATmaw==" saltValue="3RmNAWSmCnBUXH8BTgZd3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1.5094498490550161E-2</v>
      </c>
    </row>
    <row r="4" spans="1:8" ht="15.75" customHeight="1" x14ac:dyDescent="0.25">
      <c r="B4" s="19" t="s">
        <v>97</v>
      </c>
      <c r="C4" s="99">
        <v>6.6847793315220602E-2</v>
      </c>
    </row>
    <row r="5" spans="1:8" ht="15.75" customHeight="1" x14ac:dyDescent="0.25">
      <c r="B5" s="19" t="s">
        <v>98</v>
      </c>
      <c r="C5" s="99">
        <v>9.2715790728420996E-2</v>
      </c>
    </row>
    <row r="6" spans="1:8" ht="15.75" customHeight="1" x14ac:dyDescent="0.25">
      <c r="B6" s="19" t="s">
        <v>99</v>
      </c>
      <c r="C6" s="99">
        <v>0.25066637493336241</v>
      </c>
    </row>
    <row r="7" spans="1:8" ht="15.75" customHeight="1" x14ac:dyDescent="0.25">
      <c r="B7" s="19" t="s">
        <v>100</v>
      </c>
      <c r="C7" s="99">
        <v>0.39523896047610407</v>
      </c>
    </row>
    <row r="8" spans="1:8" ht="15.75" customHeight="1" x14ac:dyDescent="0.25">
      <c r="B8" s="19" t="s">
        <v>101</v>
      </c>
      <c r="C8" s="99">
        <v>5.692699430730053E-3</v>
      </c>
    </row>
    <row r="9" spans="1:8" ht="15.75" customHeight="1" x14ac:dyDescent="0.25">
      <c r="B9" s="19" t="s">
        <v>102</v>
      </c>
      <c r="C9" s="99">
        <v>6.0334693966530663E-2</v>
      </c>
    </row>
    <row r="10" spans="1:8" ht="15.75" customHeight="1" x14ac:dyDescent="0.25">
      <c r="B10" s="19" t="s">
        <v>103</v>
      </c>
      <c r="C10" s="99">
        <v>0.11340918865908101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106</v>
      </c>
      <c r="C15" s="99">
        <v>0.2862876225477291</v>
      </c>
      <c r="D15" s="99">
        <v>0.2862876225477291</v>
      </c>
      <c r="E15" s="99">
        <v>0.2862876225477291</v>
      </c>
      <c r="F15" s="99">
        <v>0.2862876225477291</v>
      </c>
    </row>
    <row r="16" spans="1:8" ht="15.75" customHeight="1" x14ac:dyDescent="0.25">
      <c r="B16" s="19" t="s">
        <v>107</v>
      </c>
      <c r="C16" s="99">
        <v>3.2976769226665932E-2</v>
      </c>
      <c r="D16" s="99">
        <v>3.2976769226665932E-2</v>
      </c>
      <c r="E16" s="99">
        <v>3.2976769226665932E-2</v>
      </c>
      <c r="F16" s="99">
        <v>3.2976769226665932E-2</v>
      </c>
    </row>
    <row r="17" spans="1:8" ht="15.75" customHeight="1" x14ac:dyDescent="0.25">
      <c r="B17" s="19" t="s">
        <v>108</v>
      </c>
      <c r="C17" s="99">
        <v>1.608358052509628E-3</v>
      </c>
      <c r="D17" s="99">
        <v>1.608358052509628E-3</v>
      </c>
      <c r="E17" s="99">
        <v>1.608358052509628E-3</v>
      </c>
      <c r="F17" s="99">
        <v>1.608358052509628E-3</v>
      </c>
    </row>
    <row r="18" spans="1:8" ht="15.75" customHeight="1" x14ac:dyDescent="0.25">
      <c r="B18" s="19" t="s">
        <v>109</v>
      </c>
      <c r="C18" s="99">
        <v>0.16206113121560209</v>
      </c>
      <c r="D18" s="99">
        <v>0.16206113121560209</v>
      </c>
      <c r="E18" s="99">
        <v>0.16206113121560209</v>
      </c>
      <c r="F18" s="99">
        <v>0.16206113121560209</v>
      </c>
    </row>
    <row r="19" spans="1:8" ht="15.75" customHeight="1" x14ac:dyDescent="0.25">
      <c r="B19" s="19" t="s">
        <v>110</v>
      </c>
      <c r="C19" s="99">
        <v>7.9440655586136156E-3</v>
      </c>
      <c r="D19" s="99">
        <v>7.9440655586136156E-3</v>
      </c>
      <c r="E19" s="99">
        <v>7.9440655586136156E-3</v>
      </c>
      <c r="F19" s="99">
        <v>7.9440655586136156E-3</v>
      </c>
    </row>
    <row r="20" spans="1:8" ht="15.75" customHeight="1" x14ac:dyDescent="0.25">
      <c r="B20" s="19" t="s">
        <v>111</v>
      </c>
      <c r="C20" s="99">
        <v>5.3512309813619451E-2</v>
      </c>
      <c r="D20" s="99">
        <v>5.3512309813619451E-2</v>
      </c>
      <c r="E20" s="99">
        <v>5.3512309813619451E-2</v>
      </c>
      <c r="F20" s="99">
        <v>5.3512309813619451E-2</v>
      </c>
    </row>
    <row r="21" spans="1:8" ht="15.75" customHeight="1" x14ac:dyDescent="0.25">
      <c r="B21" s="19" t="s">
        <v>112</v>
      </c>
      <c r="C21" s="99">
        <v>7.3544155252817336E-2</v>
      </c>
      <c r="D21" s="99">
        <v>7.3544155252817336E-2</v>
      </c>
      <c r="E21" s="99">
        <v>7.3544155252817336E-2</v>
      </c>
      <c r="F21" s="99">
        <v>7.3544155252817336E-2</v>
      </c>
    </row>
    <row r="22" spans="1:8" ht="15.75" customHeight="1" x14ac:dyDescent="0.25">
      <c r="B22" s="19" t="s">
        <v>113</v>
      </c>
      <c r="C22" s="99">
        <v>0.1828267444098152</v>
      </c>
      <c r="D22" s="99">
        <v>0.1828267444098152</v>
      </c>
      <c r="E22" s="99">
        <v>0.1828267444098152</v>
      </c>
      <c r="F22" s="99">
        <v>0.1828267444098152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8.6962663999999995E-2</v>
      </c>
    </row>
    <row r="27" spans="1:8" ht="15.75" customHeight="1" x14ac:dyDescent="0.25">
      <c r="B27" s="19" t="s">
        <v>120</v>
      </c>
      <c r="C27" s="99">
        <v>8.4363389999999993E-3</v>
      </c>
    </row>
    <row r="28" spans="1:8" ht="15.75" customHeight="1" x14ac:dyDescent="0.25">
      <c r="B28" s="19" t="s">
        <v>121</v>
      </c>
      <c r="C28" s="99">
        <v>0.15636133799999999</v>
      </c>
    </row>
    <row r="29" spans="1:8" ht="15.75" customHeight="1" x14ac:dyDescent="0.25">
      <c r="B29" s="19" t="s">
        <v>122</v>
      </c>
      <c r="C29" s="99">
        <v>0.16846973500000001</v>
      </c>
    </row>
    <row r="30" spans="1:8" ht="15.75" customHeight="1" x14ac:dyDescent="0.25">
      <c r="B30" s="19" t="s">
        <v>2</v>
      </c>
      <c r="C30" s="99">
        <v>0.10552550099999999</v>
      </c>
    </row>
    <row r="31" spans="1:8" ht="15.75" customHeight="1" x14ac:dyDescent="0.25">
      <c r="B31" s="19" t="s">
        <v>123</v>
      </c>
      <c r="C31" s="99">
        <v>0.10934719399999999</v>
      </c>
    </row>
    <row r="32" spans="1:8" ht="15.75" customHeight="1" x14ac:dyDescent="0.25">
      <c r="B32" s="19" t="s">
        <v>124</v>
      </c>
      <c r="C32" s="99">
        <v>1.8589852E-2</v>
      </c>
    </row>
    <row r="33" spans="2:3" ht="15.75" customHeight="1" x14ac:dyDescent="0.25">
      <c r="B33" s="19" t="s">
        <v>125</v>
      </c>
      <c r="C33" s="99">
        <v>8.3803687999999987E-2</v>
      </c>
    </row>
    <row r="34" spans="2:3" ht="15.75" customHeight="1" x14ac:dyDescent="0.25">
      <c r="B34" s="19" t="s">
        <v>126</v>
      </c>
      <c r="C34" s="99">
        <v>0.26250368800000001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n6eR10MAx7g9CIXr4BGu4s/Nv3sy7fDjWZz6e/pGmoF6csDw5UIwt9cls7yOhEbDqR5It/z/4URz7DGCUuLg5A==" saltValue="MR5gkiC8mQpi+/ZB7Cxs+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132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133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137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138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mtL2Abt5rAzkPmIn4917upEwsv2PmeirwgyU97ucd8AUpsZkXHrtP4YsVaecpUhFOpdfYsbi3WcnTmflaT78Q==" saltValue="bKUoYZ+t3P5e2E7rQAe3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9.291640000000001E-2</v>
      </c>
      <c r="D5" s="52">
        <f t="shared" si="0"/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is2nWR3NtiB8xC/5e3K7DSfGLBR+e/H3zOgpf67OCjexZGyBJdT3Wd/lsPoFGBnVWU/fhMrHAKrMvBa+j5MXnA==" saltValue="SCb1UjEg2sCXwVFBpbt9s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1TDucTZZHWp9mG9uU/8H/ft59WIxD0BjDKGUZi51zTcmCuEyulKWhQqRJUvrAiF5YaudMuY7Kg/yBUZcyVbpA==" saltValue="RquMdbHNDel6SNFK883KE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3000.4442305317302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0.43146000000000001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0.73801000000000005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1.7007240890392787E-2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92460.709610000005</v>
      </c>
      <c r="C22" s="107">
        <v>91504.823699999994</v>
      </c>
      <c r="D22" s="107">
        <v>90937.885410000003</v>
      </c>
      <c r="E22" s="107">
        <v>90352.386079999997</v>
      </c>
      <c r="F22" s="107">
        <v>89478.5389</v>
      </c>
      <c r="G22" s="107">
        <v>88327.748179999995</v>
      </c>
      <c r="H22" s="107">
        <v>86746.025800000003</v>
      </c>
      <c r="I22" s="107">
        <v>84661.973859999998</v>
      </c>
      <c r="J22" s="107">
        <v>81909.613649999999</v>
      </c>
      <c r="K22" s="107">
        <v>78428.636740000002</v>
      </c>
      <c r="L22" s="107">
        <v>73850.477100000004</v>
      </c>
      <c r="M22" s="107">
        <v>67946.564880000005</v>
      </c>
      <c r="N22" s="107">
        <v>60097.639969999997</v>
      </c>
      <c r="O22" s="107">
        <v>50430.668440000001</v>
      </c>
    </row>
  </sheetData>
  <sheetProtection algorithmName="SHA-512" hashValue="Dc0DI9CeilvLeQE2Nx2uyLWTWS8Y8NFKOtrUiJwVoYL4XWkp6nvyeFonY2FTEkCeLkoPyBhkIjuKD2ON5T2/ew==" saltValue="UJhruTps9Qs0hC/etuZcl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trax1TLoM9DpaXiJOC2vXXTw7CKYrU2SfgbIvyugfUfGqgYpfV073Xi1JWn0RdIxUcq185yPm/8aXAgC+Zaug==" saltValue="JplFb6cXQ2RlCYw/1ddUX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lf6BPvE+lOhSxlMNQaI/KNmwGrvdVFhR1hxC3iBmt8fHDyQdkURLkT+53HdsZ7o5pCSCKSYLsZc6W1VDk1flaQ==" saltValue="IAhNjo5XcvVYh+5YOiEA8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0.320544</v>
      </c>
      <c r="C10" s="96">
        <v>0.95</v>
      </c>
      <c r="D10" s="56">
        <v>12.89300726034795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12.89300726034795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12.89300726034795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12.89300726034795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12.89300726034795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0.38400000000000001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0.126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0.3176196</v>
      </c>
      <c r="C19" s="96">
        <v>0.95</v>
      </c>
      <c r="D19" s="56">
        <v>7.6528811752546302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0.2907748</v>
      </c>
      <c r="C23" s="96">
        <v>0.95</v>
      </c>
      <c r="D23" s="56">
        <v>4.204855047571205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0.419615503536932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0.11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0.42607790000000001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0.29069230000000001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1.3599999999999999E-2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0.05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0.27094190000000001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0.27505049999999998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2.0582999999999999E-3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0.43093199999999998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EkXzDRhkh2lhQHFXjOOslzXzISdG9c3lITqnFCnQoH8gH4R7Xj6tHExUIny/1USt9m1LMn3exHFgSUg2fJzZbQ==" saltValue="rMyJGFmOVx9Pvj/In0oX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BJV9EY65IKrDRbUZWsQOzuUIFIDxP0NJRp0PGqwgqXvW4h2edPmOXKNJCBZkL3IRgPfQS9JCbS4JRbcVC0z9g==" saltValue="K7z8mY/s4OFNbGHnxJA8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jngXzbZ4+RQAWhD2pMFoMHXPJtff3gPvnuMftP/m/ZPRniTjuqfOFvw0RKEYU8dBUC9WyDDSc7z6yCi/8qj2Q==" saltValue="DWiYw3GkXWeYcO0eD7oxx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2.782</v>
      </c>
      <c r="C2" s="21">
        <f>'Données pop de l''année de ref'!C52</f>
        <v>2.782</v>
      </c>
      <c r="D2" s="21">
        <f>'Données pop de l''année de ref'!C53</f>
        <v>6.9160000000000004</v>
      </c>
      <c r="E2" s="21">
        <f>'Données pop de l''année de ref'!C54</f>
        <v>6.9420000000000002</v>
      </c>
      <c r="F2" s="21">
        <f>'Données pop de l''année de ref'!C55</f>
        <v>2.7126666666666668</v>
      </c>
    </row>
    <row r="3" spans="1:6" ht="15.75" customHeight="1" x14ac:dyDescent="0.25">
      <c r="A3" s="3" t="s">
        <v>238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237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sheetProtection algorithmName="SHA-512" hashValue="IJGVzSk6KUGGd46cAVMYsUHeIFMR2fAaApUbVahGPBHdvSxHH58ZtPgS+LybBQpc79ZsMaWNHr1DrNLZSR3vSw==" saltValue="o4joQgfMK2yYP5wX4Y4x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0.32300000000000001</v>
      </c>
      <c r="F2" s="60">
        <f>food_insecure</f>
        <v>0.32300000000000001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0.32300000000000001</v>
      </c>
      <c r="F5" s="60">
        <f>food_insecure</f>
        <v>0.32300000000000001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6.0698181818181825E-2</v>
      </c>
      <c r="D7" s="60">
        <f>diarrhoea_1_5mo*frac_diarrhea_severe</f>
        <v>6.0698181818181825E-2</v>
      </c>
      <c r="E7" s="60">
        <f>diarrhoea_6_11mo*frac_diarrhea_severe</f>
        <v>0.15089454545454548</v>
      </c>
      <c r="F7" s="60">
        <f>diarrhoea_12_23mo*frac_diarrhea_severe</f>
        <v>0.1514618181818182</v>
      </c>
      <c r="G7" s="60">
        <f>diarrhoea_24_59mo*frac_diarrhea_severe</f>
        <v>5.9185454545454555E-2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0.32300000000000001</v>
      </c>
      <c r="F8" s="60">
        <f>food_insecure</f>
        <v>0.32300000000000001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0.32300000000000001</v>
      </c>
      <c r="F9" s="60">
        <f>food_insecure</f>
        <v>0.32300000000000001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6.0698181818181825E-2</v>
      </c>
      <c r="D12" s="60">
        <f>diarrhoea_1_5mo*frac_diarrhea_severe</f>
        <v>6.0698181818181825E-2</v>
      </c>
      <c r="E12" s="60">
        <f>diarrhoea_6_11mo*frac_diarrhea_severe</f>
        <v>0.15089454545454548</v>
      </c>
      <c r="F12" s="60">
        <f>diarrhoea_12_23mo*frac_diarrhea_severe</f>
        <v>0.1514618181818182</v>
      </c>
      <c r="G12" s="60">
        <f>diarrhoea_24_59mo*frac_diarrhea_severe</f>
        <v>5.9185454545454555E-2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0.32300000000000001</v>
      </c>
      <c r="I15" s="60">
        <f t="shared" si="0"/>
        <v>0.32300000000000001</v>
      </c>
      <c r="J15" s="60">
        <f t="shared" si="0"/>
        <v>0.32300000000000001</v>
      </c>
      <c r="K15" s="60">
        <f t="shared" si="0"/>
        <v>0.32300000000000001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0.32300000000000001</v>
      </c>
      <c r="I16" s="60">
        <f t="shared" si="0"/>
        <v>0.32300000000000001</v>
      </c>
      <c r="J16" s="60">
        <f t="shared" si="0"/>
        <v>0.32300000000000001</v>
      </c>
      <c r="K16" s="60">
        <f t="shared" si="0"/>
        <v>0.32300000000000001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0.37595889401943605</v>
      </c>
      <c r="M25" s="60">
        <f>(1-food_insecure)*(0.49)+food_insecure*(0.7)</f>
        <v>0.55783000000000005</v>
      </c>
      <c r="N25" s="60">
        <f>(1-food_insecure)*(0.49)+food_insecure*(0.7)</f>
        <v>0.55783000000000005</v>
      </c>
      <c r="O25" s="60">
        <f>(1-food_insecure)*(0.49)+food_insecure*(0.7)</f>
        <v>0.55783000000000005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0.16112524029404401</v>
      </c>
      <c r="M26" s="60">
        <f>(1-food_insecure)*(0.21)+food_insecure*(0.3)</f>
        <v>0.23907</v>
      </c>
      <c r="N26" s="60">
        <f>(1-food_insecure)*(0.21)+food_insecure*(0.3)</f>
        <v>0.23907</v>
      </c>
      <c r="O26" s="60">
        <f>(1-food_insecure)*(0.21)+food_insecure*(0.3)</f>
        <v>0.23907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0.13688265488652002</v>
      </c>
      <c r="M27" s="60">
        <f>(1-food_insecure)*(0.3)</f>
        <v>0.2031</v>
      </c>
      <c r="N27" s="60">
        <f>(1-food_insecure)*(0.3)</f>
        <v>0.2031</v>
      </c>
      <c r="O27" s="60">
        <f>(1-food_insecure)*(0.3)</f>
        <v>0.2031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0.53</v>
      </c>
      <c r="D34" s="60">
        <f t="shared" si="4"/>
        <v>0.53</v>
      </c>
      <c r="E34" s="60">
        <f t="shared" si="4"/>
        <v>0.53</v>
      </c>
      <c r="F34" s="60">
        <f t="shared" si="4"/>
        <v>0.53</v>
      </c>
      <c r="G34" s="60">
        <f t="shared" si="4"/>
        <v>0.53</v>
      </c>
      <c r="H34" s="60">
        <f t="shared" si="4"/>
        <v>0.53</v>
      </c>
      <c r="I34" s="60">
        <f t="shared" si="4"/>
        <v>0.53</v>
      </c>
      <c r="J34" s="60">
        <f t="shared" si="4"/>
        <v>0.53</v>
      </c>
      <c r="K34" s="60">
        <f t="shared" si="4"/>
        <v>0.53</v>
      </c>
      <c r="L34" s="60">
        <f t="shared" si="4"/>
        <v>0.53</v>
      </c>
      <c r="M34" s="60">
        <f t="shared" si="4"/>
        <v>0.53</v>
      </c>
      <c r="N34" s="60">
        <f t="shared" si="4"/>
        <v>0.53</v>
      </c>
      <c r="O34" s="60">
        <f t="shared" si="4"/>
        <v>0.53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PEmP/qzWzu6HjtP8LKTmd829xTiYggm7RI3A7LLHDfLFVhETa+qmxaJ0qAmDkgXOcURTR0qH8zvMRvJ8kmgvw==" saltValue="QESx7hGPpJ+1ocy+0NQRn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fyR1tKr9RiZTGJqNS/B3wTEYE/iNJ/PBTXuEBXdenD6UdCtUfYal/r2Q7itYGwYKfSZIB/wdatfcQ1fGuKHbAw==" saltValue="eIxzfHxfbIR1kifuBrNWC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+32ikqPEPzJkMri3bmho0TtDCcg/Rdj5hqHa5sXOYPjqKvP+1Q2rAbpULC4J/UBZdrALdSUw8YGx8AO3lb9gQ==" saltValue="b6PF80rzI6ekCBUlZ1Aqe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Zg7bSHPBFmmJXjoFskhXK6ms+79xaeYly9vaeY2V1EBaY0dmEl5DJvrUyTwhhiJ4gJcQDFMrgG81rQdGDjKlw==" saltValue="3JRqpAvlaUi9+QrP2159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k/GpOYKV89CJxlZhZ4SHfd1K+isy6TgsvRcmspwNuxG59uhdjZohSTnZrIGp4xCXb2G+LmyNkbPx9emCHXJOiA==" saltValue="lBUhGoCdd0P/8YfIH85gT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B+X6LU7zKk1lCxRCmpUCgco3ukMMncwamKfK2WEAUPxs9Bs9/cIRJSfX3Qur3gnby42WUb5cvaPq63rfuG5uA==" saltValue="DPUgObZWa0nKI6WiRlD07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a2XJtal8JOG2mDLmATKX/XMX26fDzwpthZsw7li+7cz1fpEFyQMLz/x7O3A1gB0qVA7pozeyoSduYBUOodn2A==" saltValue="Tf3EgQG8ULz7TChlfA6x1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eYdJgBgYMKJm6i72CdceyTR6aCwdzB60FWYp0dcBXqJputc9qY8psNYCu37CY+c0Q1SotUud1V7wGJGflVslkA==" saltValue="II0eSF8rnJi//HPMHQHm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IwzwepSkPJT2RqgIKX3UDWZt77to18cdqYZ2JAc3BsR1F4FK7jcDP2JJqdt8QTokzy1TwhobaVeSl9OmreyMYg==" saltValue="iEF6d4F10SCELNu4+f3Y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fRbxarw8kqKIVD6JIIRrKKia3/cb3Rh39LuT+ZSq1ndiLMJg77ELKbP/xorq3ptOhFIw4GrcICQfg+MufG82A==" saltValue="788VVbrYrk8VDjxrTPGW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Q6aNi4EboNzZTNkrKJYKX0xfog4jyByBK2s257kexlRrWEa03R8nF95k3cqqkBuAzx42h1QXW6oMZb6QEWMFQ==" saltValue="Pylf00kDy415dRuXzBme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f09qaNFN8DzC7fHlqXuqzioMq1fiWms7MlT2I0kJ3LtL5r17Ab3p+uT//2sIPSiim+sv0H7gZ9gIHLg8omaOg==" saltValue="14cTcKADMU+d0sxCr+/B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rJtH0T+faFzaTswRcTtV5RC9+U4fCOWGtXBahi9dsV1HIg0iSYwBqvba6Jz57bAovZV7BMAnAyTW0J3RNaFoQ==" saltValue="NdCCvaRDQvd/bTZNWIXR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dJE01lg72hT/ksx3Pwot/bgjtRTwoIDDWUvZseTwGPGPQ6ylTGFjUG85TzTaOR+X7yTuV7fDju+IiaQn01Q2Q==" saltValue="DBaKpblHqlZ1iOChw/Ph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zoKrnP+OlsGsWrdD9ZwOTCI13IGqHlRKzdlhL5/HJVHOnhIqbCXZ4wgWwwM0mUoy0c1Z2Lp/Ocil34dGDBCoew==" saltValue="KOIf2NJTgOgPvEvRODa4a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