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9ABAB516-5EB3-41DE-B422-6F1785E4E2DF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<sst xmlns="http://schemas.openxmlformats.org/spreadsheetml/2006/main" count="2102" uniqueCount="337">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</sst>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6359012.875</v>
      </c>
    </row>
    <row r="8" spans="1:3" ht="15" customHeight="1" x14ac:dyDescent="0.25">
      <c r="B8" s="5" t="s">
        <v>19</v>
      </c>
      <c r="C8" s="44">
        <v>0.47599999999999998</v>
      </c>
    </row>
    <row r="9" spans="1:3" ht="15" customHeight="1" x14ac:dyDescent="0.25">
      <c r="B9" s="5" t="s">
        <v>20</v>
      </c>
      <c r="C9" s="45">
        <v>0.53</v>
      </c>
    </row>
    <row r="10" spans="1:3" ht="15" customHeight="1" x14ac:dyDescent="0.25">
      <c r="B10" s="5" t="s">
        <v>21</v>
      </c>
      <c r="C10" s="45">
        <v>0.32603321079999997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0.75800000000000001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0.13639999999999999</v>
      </c>
    </row>
    <row r="24" spans="1:3" ht="15" customHeight="1" x14ac:dyDescent="0.25">
      <c r="B24" s="15" t="s">
        <v>33</v>
      </c>
      <c r="C24" s="45">
        <v>0.43980000000000002</v>
      </c>
    </row>
    <row r="25" spans="1:3" ht="15" customHeight="1" x14ac:dyDescent="0.25">
      <c r="B25" s="15" t="s">
        <v>34</v>
      </c>
      <c r="C25" s="45">
        <v>0.34289999999999998</v>
      </c>
    </row>
    <row r="26" spans="1:3" ht="15" customHeight="1" x14ac:dyDescent="0.25">
      <c r="B26" s="15" t="s">
        <v>35</v>
      </c>
      <c r="C26" s="45">
        <v>8.09E-2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0.215581961112711</v>
      </c>
    </row>
    <row r="30" spans="1:3" ht="14.25" customHeight="1" x14ac:dyDescent="0.25">
      <c r="B30" s="25" t="s">
        <v>38</v>
      </c>
      <c r="C30" s="99">
        <v>7.7267303357062389E-2</v>
      </c>
    </row>
    <row r="31" spans="1:3" ht="14.25" customHeight="1" x14ac:dyDescent="0.25">
      <c r="B31" s="25" t="s">
        <v>39</v>
      </c>
      <c r="C31" s="99">
        <v>0.12020907122765701</v>
      </c>
    </row>
    <row r="32" spans="1:3" ht="14.25" customHeight="1" x14ac:dyDescent="0.25">
      <c r="B32" s="25" t="s">
        <v>40</v>
      </c>
      <c r="C32" s="99">
        <v>0.58694166430257</v>
      </c>
    </row>
    <row r="33" spans="1:5" ht="13" customHeight="1" x14ac:dyDescent="0.25">
      <c r="B33" s="27" t="s">
        <v>41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26.647300000000001</v>
      </c>
    </row>
    <row r="38" spans="1:5" ht="15" customHeight="1" x14ac:dyDescent="0.25">
      <c r="B38" s="11" t="s">
        <v>45</v>
      </c>
      <c r="C38" s="43">
        <v>47.163319999999999</v>
      </c>
      <c r="D38" s="12"/>
      <c r="E38" s="13"/>
    </row>
    <row r="39" spans="1:5" ht="15" customHeight="1" x14ac:dyDescent="0.25">
      <c r="B39" s="11" t="s">
        <v>46</v>
      </c>
      <c r="C39" s="43">
        <v>69.421329999999998</v>
      </c>
      <c r="D39" s="12"/>
      <c r="E39" s="12"/>
    </row>
    <row r="40" spans="1:5" ht="15" customHeight="1" x14ac:dyDescent="0.25">
      <c r="B40" s="11" t="s">
        <v>47</v>
      </c>
      <c r="C40" s="100">
        <v>2.2200000000000002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19.303070000000002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7.9281999999999998E-3</v>
      </c>
      <c r="D45" s="12"/>
    </row>
    <row r="46" spans="1:5" ht="15.75" customHeight="1" x14ac:dyDescent="0.25">
      <c r="B46" s="11" t="s">
        <v>52</v>
      </c>
      <c r="C46" s="45">
        <v>8.5187299999999994E-2</v>
      </c>
      <c r="D46" s="12"/>
    </row>
    <row r="47" spans="1:5" ht="15.75" customHeight="1" x14ac:dyDescent="0.25">
      <c r="B47" s="11" t="s">
        <v>53</v>
      </c>
      <c r="C47" s="45">
        <v>7.3461100000000001E-2</v>
      </c>
      <c r="D47" s="12"/>
      <c r="E47" s="13"/>
    </row>
    <row r="48" spans="1:5" ht="15" customHeight="1" x14ac:dyDescent="0.25">
      <c r="B48" s="11" t="s">
        <v>54</v>
      </c>
      <c r="C48" s="46">
        <v>0.83342339999999993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0.47012900000000002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0.15256592999999999</v>
      </c>
    </row>
    <row r="63" spans="1:4" ht="15.75" customHeight="1" x14ac:dyDescent="0.3">
      <c r="A63" s="4"/>
    </row>
  </sheetData>
  <sheetProtection algorithmName="SHA-512" hashValue="UZmqw38ixLsbOyp5NtYx0/ZDIq31LxNrNxIMXe3VFY0k4xxzPjc5/alpDk1nmncNDxUtnm46Y47WPf3gNsrsOg==" saltValue="kVT3HES2MkaofX4A7B3v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1404185</v>
      </c>
      <c r="C2" s="49">
        <v>2480577</v>
      </c>
      <c r="D2" s="49">
        <v>3021384</v>
      </c>
      <c r="E2" s="49">
        <v>2250360</v>
      </c>
      <c r="F2" s="49">
        <v>1343072</v>
      </c>
      <c r="G2" s="17">
        <f t="shared" ref="G2:G13" si="0">C2+D2+E2+F2</f>
        <v>9095393</v>
      </c>
      <c r="H2" s="17">
        <f t="shared" ref="H2:H13" si="1">(B2 + stillbirth*B2/(1000-stillbirth))/(1-abortion)</f>
        <v>1627072.2625054743</v>
      </c>
      <c r="I2" s="17">
        <f t="shared" ref="I2:I13" si="2">G2-H2</f>
        <v>7468320.7374945255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1426882</v>
      </c>
      <c r="C3" s="50">
        <v>2575231</v>
      </c>
      <c r="D3" s="50">
        <v>3126203.5</v>
      </c>
      <c r="E3" s="50">
        <v>2310677</v>
      </c>
      <c r="F3" s="50">
        <v>1396087</v>
      </c>
      <c r="G3" s="17">
        <f t="shared" si="0"/>
        <v>9408198.5</v>
      </c>
      <c r="H3" s="17">
        <f t="shared" si="1"/>
        <v>1653371.9731148931</v>
      </c>
      <c r="I3" s="17">
        <f t="shared" si="2"/>
        <v>7754826.5268851072</v>
      </c>
    </row>
    <row r="4" spans="1:9" ht="15.75" customHeight="1" x14ac:dyDescent="0.25">
      <c r="A4" s="5">
        <f t="shared" si="3"/>
        <v>2026</v>
      </c>
      <c r="B4" s="49">
        <v>1451467</v>
      </c>
      <c r="C4" s="50">
        <v>2669687.5</v>
      </c>
      <c r="D4" s="50">
        <v>3240255</v>
      </c>
      <c r="E4" s="50">
        <v>2370317</v>
      </c>
      <c r="F4" s="50">
        <v>1451459.5</v>
      </c>
      <c r="G4" s="17">
        <f t="shared" si="0"/>
        <v>9731719</v>
      </c>
      <c r="H4" s="17">
        <f t="shared" si="1"/>
        <v>1681859.3672785519</v>
      </c>
      <c r="I4" s="17">
        <f t="shared" si="2"/>
        <v>8049859.6327214483</v>
      </c>
    </row>
    <row r="5" spans="1:9" ht="15.75" customHeight="1" x14ac:dyDescent="0.25">
      <c r="A5" s="5">
        <f t="shared" si="3"/>
        <v>2027</v>
      </c>
      <c r="B5" s="49">
        <v>1474494</v>
      </c>
      <c r="C5" s="50">
        <v>2763736</v>
      </c>
      <c r="D5" s="50">
        <v>3363256.5</v>
      </c>
      <c r="E5" s="50">
        <v>2429954</v>
      </c>
      <c r="F5" s="50">
        <v>1508655.5</v>
      </c>
      <c r="G5" s="17">
        <f t="shared" si="0"/>
        <v>10065602</v>
      </c>
      <c r="H5" s="17">
        <f t="shared" si="1"/>
        <v>1708541.459017684</v>
      </c>
      <c r="I5" s="17">
        <f t="shared" si="2"/>
        <v>8357060.5409823162</v>
      </c>
    </row>
    <row r="6" spans="1:9" ht="15.75" customHeight="1" x14ac:dyDescent="0.25">
      <c r="A6" s="5">
        <f t="shared" si="3"/>
        <v>2028</v>
      </c>
      <c r="B6" s="49">
        <v>1499488</v>
      </c>
      <c r="C6" s="50">
        <v>2856070</v>
      </c>
      <c r="D6" s="50">
        <v>3495162</v>
      </c>
      <c r="E6" s="50">
        <v>2489990.5</v>
      </c>
      <c r="F6" s="50">
        <v>1567039</v>
      </c>
      <c r="G6" s="17">
        <f t="shared" si="0"/>
        <v>10408261.5</v>
      </c>
      <c r="H6" s="17">
        <f t="shared" si="1"/>
        <v>1737502.7740360484</v>
      </c>
      <c r="I6" s="17">
        <f t="shared" si="2"/>
        <v>8670758.725963952</v>
      </c>
    </row>
    <row r="7" spans="1:9" ht="15.75" customHeight="1" x14ac:dyDescent="0.25">
      <c r="A7" s="5">
        <f t="shared" si="3"/>
        <v>2029</v>
      </c>
      <c r="B7" s="49">
        <v>1521988</v>
      </c>
      <c r="C7" s="50">
        <v>2945604</v>
      </c>
      <c r="D7" s="50">
        <v>3634855</v>
      </c>
      <c r="E7" s="50">
        <v>2551905.5</v>
      </c>
      <c r="F7" s="50">
        <v>1626122.5</v>
      </c>
      <c r="G7" s="17">
        <f t="shared" si="0"/>
        <v>10758487</v>
      </c>
      <c r="H7" s="17">
        <f t="shared" si="1"/>
        <v>1763574.2146983352</v>
      </c>
      <c r="I7" s="17">
        <f t="shared" si="2"/>
        <v>8994912.7853016648</v>
      </c>
    </row>
    <row r="8" spans="1:9" ht="15.75" customHeight="1" x14ac:dyDescent="0.25">
      <c r="A8" s="5">
        <f t="shared" si="3"/>
        <v>2030</v>
      </c>
      <c r="B8" s="49">
        <v>1547459</v>
      </c>
      <c r="C8" s="50">
        <v>3031881</v>
      </c>
      <c r="D8" s="50">
        <v>3780409</v>
      </c>
      <c r="E8" s="50">
        <v>2617665</v>
      </c>
      <c r="F8" s="50">
        <v>1685518.5</v>
      </c>
      <c r="G8" s="17">
        <f t="shared" si="0"/>
        <v>11115473.5</v>
      </c>
      <c r="H8" s="17">
        <f t="shared" si="1"/>
        <v>1793088.24425874</v>
      </c>
      <c r="I8" s="17">
        <f t="shared" si="2"/>
        <v>9322385.2557412609</v>
      </c>
    </row>
    <row r="9" spans="1:9" ht="15.75" customHeight="1" x14ac:dyDescent="0.25">
      <c r="A9" s="5">
        <f t="shared" si="3"/>
        <v>2031</v>
      </c>
      <c r="B9" s="49">
        <v>1572264</v>
      </c>
      <c r="C9" s="50">
        <v>3115898</v>
      </c>
      <c r="D9" s="50">
        <v>3929665</v>
      </c>
      <c r="E9" s="50">
        <v>2688894.5</v>
      </c>
      <c r="F9" s="50">
        <v>1744583.5</v>
      </c>
      <c r="G9" s="17">
        <f t="shared" si="0"/>
        <v>11479041</v>
      </c>
      <c r="H9" s="17">
        <f t="shared" si="1"/>
        <v>1821830.5591755409</v>
      </c>
      <c r="I9" s="17">
        <f t="shared" si="2"/>
        <v>9657210.4408244584</v>
      </c>
    </row>
    <row r="10" spans="1:9" ht="15.75" customHeight="1" x14ac:dyDescent="0.25">
      <c r="A10" s="5">
        <f t="shared" si="3"/>
        <v>2032</v>
      </c>
      <c r="B10" s="49">
        <v>1592178</v>
      </c>
      <c r="C10" s="50">
        <v>3197474</v>
      </c>
      <c r="D10" s="50">
        <v>4081874</v>
      </c>
      <c r="E10" s="50">
        <v>2767264.5</v>
      </c>
      <c r="F10" s="50">
        <v>1802924.5</v>
      </c>
      <c r="G10" s="17">
        <f t="shared" si="0"/>
        <v>11849537</v>
      </c>
      <c r="H10" s="17">
        <f t="shared" si="1"/>
        <v>1844905.5222577089</v>
      </c>
      <c r="I10" s="17">
        <f t="shared" si="2"/>
        <v>10004631.477742292</v>
      </c>
    </row>
    <row r="11" spans="1:9" ht="15.75" customHeight="1" x14ac:dyDescent="0.25">
      <c r="A11" s="5">
        <f t="shared" si="3"/>
        <v>2033</v>
      </c>
      <c r="B11" s="49">
        <v>1615060</v>
      </c>
      <c r="C11" s="50">
        <v>3276767.5</v>
      </c>
      <c r="D11" s="50">
        <v>4236212.5</v>
      </c>
      <c r="E11" s="50">
        <v>2853496</v>
      </c>
      <c r="F11" s="50">
        <v>1859755.5</v>
      </c>
      <c r="G11" s="17">
        <f t="shared" si="0"/>
        <v>12226231.5</v>
      </c>
      <c r="H11" s="17">
        <f t="shared" si="1"/>
        <v>1871419.5980459065</v>
      </c>
      <c r="I11" s="17">
        <f t="shared" si="2"/>
        <v>10354811.901954094</v>
      </c>
    </row>
    <row r="12" spans="1:9" ht="15.75" customHeight="1" x14ac:dyDescent="0.25">
      <c r="A12" s="5">
        <f t="shared" si="3"/>
        <v>2034</v>
      </c>
      <c r="B12" s="49">
        <v>1636637</v>
      </c>
      <c r="C12" s="50">
        <v>3355305.5</v>
      </c>
      <c r="D12" s="50">
        <v>4390536.5</v>
      </c>
      <c r="E12" s="50">
        <v>2948020.5</v>
      </c>
      <c r="F12" s="50">
        <v>1914555</v>
      </c>
      <c r="G12" s="17">
        <f t="shared" si="0"/>
        <v>12608417.5</v>
      </c>
      <c r="H12" s="17">
        <f t="shared" si="1"/>
        <v>1896421.5302756915</v>
      </c>
      <c r="I12" s="17">
        <f t="shared" si="2"/>
        <v>10711995.969724309</v>
      </c>
    </row>
    <row r="13" spans="1:9" ht="15.75" customHeight="1" x14ac:dyDescent="0.25">
      <c r="A13" s="5">
        <f t="shared" si="3"/>
        <v>2035</v>
      </c>
      <c r="B13" s="49">
        <v>1660269</v>
      </c>
      <c r="C13" s="50">
        <v>3433468</v>
      </c>
      <c r="D13" s="50">
        <v>4542841</v>
      </c>
      <c r="E13" s="50">
        <v>3051748</v>
      </c>
      <c r="F13" s="50">
        <v>1967824</v>
      </c>
      <c r="G13" s="17">
        <f t="shared" si="0"/>
        <v>12995881</v>
      </c>
      <c r="H13" s="17">
        <f t="shared" si="1"/>
        <v>1923804.6540859654</v>
      </c>
      <c r="I13" s="17">
        <f t="shared" si="2"/>
        <v>11072076.345914034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WsK9FwFoMNNDRfLLBiuxSqlPumu5td+P+Dnn/BaDwfFV5ySYJeAF2v9VROBsXy74eaLyEK3syGWdFpIqohv8Q==" saltValue="QbXQk2tRQvkpkPTzz9yv2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1.5094498490550161E-2</v>
      </c>
    </row>
    <row r="4" spans="1:8" ht="15.75" customHeight="1" x14ac:dyDescent="0.25">
      <c r="B4" s="19" t="s">
        <v>79</v>
      </c>
      <c r="C4" s="101">
        <v>6.6847793315220602E-2</v>
      </c>
    </row>
    <row r="5" spans="1:8" ht="15.75" customHeight="1" x14ac:dyDescent="0.25">
      <c r="B5" s="19" t="s">
        <v>80</v>
      </c>
      <c r="C5" s="101">
        <v>9.2715790728420996E-2</v>
      </c>
    </row>
    <row r="6" spans="1:8" ht="15.75" customHeight="1" x14ac:dyDescent="0.25">
      <c r="B6" s="19" t="s">
        <v>81</v>
      </c>
      <c r="C6" s="101">
        <v>0.25066637493336241</v>
      </c>
    </row>
    <row r="7" spans="1:8" ht="15.75" customHeight="1" x14ac:dyDescent="0.25">
      <c r="B7" s="19" t="s">
        <v>82</v>
      </c>
      <c r="C7" s="101">
        <v>0.39523896047610407</v>
      </c>
    </row>
    <row r="8" spans="1:8" ht="15.75" customHeight="1" x14ac:dyDescent="0.25">
      <c r="B8" s="19" t="s">
        <v>83</v>
      </c>
      <c r="C8" s="101">
        <v>5.692699430730053E-3</v>
      </c>
    </row>
    <row r="9" spans="1:8" ht="15.75" customHeight="1" x14ac:dyDescent="0.25">
      <c r="B9" s="19" t="s">
        <v>84</v>
      </c>
      <c r="C9" s="101">
        <v>6.0334693966530663E-2</v>
      </c>
    </row>
    <row r="10" spans="1:8" ht="15.75" customHeight="1" x14ac:dyDescent="0.25">
      <c r="B10" s="19" t="s">
        <v>85</v>
      </c>
      <c r="C10" s="101">
        <v>0.11340918865908101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0.1992388439226277</v>
      </c>
      <c r="D14" s="55">
        <v>0.1992388439226277</v>
      </c>
      <c r="E14" s="55">
        <v>0.1992388439226277</v>
      </c>
      <c r="F14" s="55">
        <v>0.1992388439226277</v>
      </c>
    </row>
    <row r="15" spans="1:8" ht="15.75" customHeight="1" x14ac:dyDescent="0.25">
      <c r="B15" s="19" t="s">
        <v>88</v>
      </c>
      <c r="C15" s="101">
        <v>0.2862876225477291</v>
      </c>
      <c r="D15" s="101">
        <v>0.2862876225477291</v>
      </c>
      <c r="E15" s="101">
        <v>0.2862876225477291</v>
      </c>
      <c r="F15" s="101">
        <v>0.2862876225477291</v>
      </c>
    </row>
    <row r="16" spans="1:8" ht="15.75" customHeight="1" x14ac:dyDescent="0.25">
      <c r="B16" s="19" t="s">
        <v>89</v>
      </c>
      <c r="C16" s="101">
        <v>3.2976769226665932E-2</v>
      </c>
      <c r="D16" s="101">
        <v>3.2976769226665932E-2</v>
      </c>
      <c r="E16" s="101">
        <v>3.2976769226665932E-2</v>
      </c>
      <c r="F16" s="101">
        <v>3.2976769226665932E-2</v>
      </c>
    </row>
    <row r="17" spans="1:8" ht="15.75" customHeight="1" x14ac:dyDescent="0.25">
      <c r="B17" s="19" t="s">
        <v>90</v>
      </c>
      <c r="C17" s="101">
        <v>1.608358052509628E-3</v>
      </c>
      <c r="D17" s="101">
        <v>1.608358052509628E-3</v>
      </c>
      <c r="E17" s="101">
        <v>1.608358052509628E-3</v>
      </c>
      <c r="F17" s="101">
        <v>1.608358052509628E-3</v>
      </c>
    </row>
    <row r="18" spans="1:8" ht="15.75" customHeight="1" x14ac:dyDescent="0.25">
      <c r="B18" s="19" t="s">
        <v>91</v>
      </c>
      <c r="C18" s="101">
        <v>0.16206113121560209</v>
      </c>
      <c r="D18" s="101">
        <v>0.16206113121560209</v>
      </c>
      <c r="E18" s="101">
        <v>0.16206113121560209</v>
      </c>
      <c r="F18" s="101">
        <v>0.16206113121560209</v>
      </c>
    </row>
    <row r="19" spans="1:8" ht="15.75" customHeight="1" x14ac:dyDescent="0.25">
      <c r="B19" s="19" t="s">
        <v>92</v>
      </c>
      <c r="C19" s="101">
        <v>7.9440655586136156E-3</v>
      </c>
      <c r="D19" s="101">
        <v>7.9440655586136156E-3</v>
      </c>
      <c r="E19" s="101">
        <v>7.9440655586136156E-3</v>
      </c>
      <c r="F19" s="101">
        <v>7.9440655586136156E-3</v>
      </c>
    </row>
    <row r="20" spans="1:8" ht="15.75" customHeight="1" x14ac:dyDescent="0.25">
      <c r="B20" s="19" t="s">
        <v>93</v>
      </c>
      <c r="C20" s="101">
        <v>5.3512309813619451E-2</v>
      </c>
      <c r="D20" s="101">
        <v>5.3512309813619451E-2</v>
      </c>
      <c r="E20" s="101">
        <v>5.3512309813619451E-2</v>
      </c>
      <c r="F20" s="101">
        <v>5.3512309813619451E-2</v>
      </c>
    </row>
    <row r="21" spans="1:8" ht="15.75" customHeight="1" x14ac:dyDescent="0.25">
      <c r="B21" s="19" t="s">
        <v>94</v>
      </c>
      <c r="C21" s="101">
        <v>7.3544155252817336E-2</v>
      </c>
      <c r="D21" s="101">
        <v>7.3544155252817336E-2</v>
      </c>
      <c r="E21" s="101">
        <v>7.3544155252817336E-2</v>
      </c>
      <c r="F21" s="101">
        <v>7.3544155252817336E-2</v>
      </c>
    </row>
    <row r="22" spans="1:8" ht="15.75" customHeight="1" x14ac:dyDescent="0.25">
      <c r="B22" s="19" t="s">
        <v>95</v>
      </c>
      <c r="C22" s="101">
        <v>0.1828267444098152</v>
      </c>
      <c r="D22" s="101">
        <v>0.1828267444098152</v>
      </c>
      <c r="E22" s="101">
        <v>0.1828267444098152</v>
      </c>
      <c r="F22" s="101">
        <v>0.1828267444098152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8.6962663999999995E-2</v>
      </c>
    </row>
    <row r="27" spans="1:8" ht="15.75" customHeight="1" x14ac:dyDescent="0.25">
      <c r="B27" s="19" t="s">
        <v>102</v>
      </c>
      <c r="C27" s="101">
        <v>8.4363389999999993E-3</v>
      </c>
    </row>
    <row r="28" spans="1:8" ht="15.75" customHeight="1" x14ac:dyDescent="0.25">
      <c r="B28" s="19" t="s">
        <v>103</v>
      </c>
      <c r="C28" s="101">
        <v>0.15636133799999999</v>
      </c>
    </row>
    <row r="29" spans="1:8" ht="15.75" customHeight="1" x14ac:dyDescent="0.25">
      <c r="B29" s="19" t="s">
        <v>104</v>
      </c>
      <c r="C29" s="101">
        <v>0.16846973500000001</v>
      </c>
    </row>
    <row r="30" spans="1:8" ht="15.75" customHeight="1" x14ac:dyDescent="0.25">
      <c r="B30" s="19" t="s">
        <v>2</v>
      </c>
      <c r="C30" s="101">
        <v>0.10552550099999999</v>
      </c>
    </row>
    <row r="31" spans="1:8" ht="15.75" customHeight="1" x14ac:dyDescent="0.25">
      <c r="B31" s="19" t="s">
        <v>105</v>
      </c>
      <c r="C31" s="101">
        <v>0.10934719399999999</v>
      </c>
    </row>
    <row r="32" spans="1:8" ht="15.75" customHeight="1" x14ac:dyDescent="0.25">
      <c r="B32" s="19" t="s">
        <v>106</v>
      </c>
      <c r="C32" s="101">
        <v>1.8589852E-2</v>
      </c>
    </row>
    <row r="33" spans="2:3" ht="15.75" customHeight="1" x14ac:dyDescent="0.25">
      <c r="B33" s="19" t="s">
        <v>107</v>
      </c>
      <c r="C33" s="101">
        <v>8.3803687999999987E-2</v>
      </c>
    </row>
    <row r="34" spans="2:3" ht="15.75" customHeight="1" x14ac:dyDescent="0.25">
      <c r="B34" s="19" t="s">
        <v>108</v>
      </c>
      <c r="C34" s="101">
        <v>0.26250368800000001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slhnRA4H6GkhxulC6rvMuVvLbCLcqSDrPfXziA7Wo9eR/ZdCy5ccLoQrPTClUkRUcvBKJAAAKC+BmHo/WiodYw==" saltValue="zkc/bBWsI0knH/k0Ovprp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0.44900470094590794</v>
      </c>
      <c r="D2" s="52">
        <f>IFERROR(1-_xlfn.NORM.DIST(_xlfn.NORM.INV(SUM(D4:D5), 0, 1) + 1, 0, 1, TRUE), "")</f>
        <v>0.44900470094590794</v>
      </c>
      <c r="E2" s="52">
        <f>IFERROR(1-_xlfn.NORM.DIST(_xlfn.NORM.INV(SUM(E4:E5), 0, 1) + 1, 0, 1, TRUE), "")</f>
        <v>0.38453880748486735</v>
      </c>
      <c r="F2" s="52">
        <f>IFERROR(1-_xlfn.NORM.DIST(_xlfn.NORM.INV(SUM(F4:F5), 0, 1) + 1, 0, 1, TRUE), "")</f>
        <v>0.18990211811807078</v>
      </c>
      <c r="G2" s="52">
        <f>IFERROR(1-_xlfn.NORM.DIST(_xlfn.NORM.INV(SUM(G4:G5), 0, 1) + 1, 0, 1, TRUE), "")</f>
        <v>0.21693744006062765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0.35934299905409206</v>
      </c>
      <c r="D3" s="52">
        <f>IFERROR(_xlfn.NORM.DIST(_xlfn.NORM.INV(SUM(D4:D5), 0, 1) + 1, 0, 1, TRUE) - SUM(D4:D5), "")</f>
        <v>0.35934299905409206</v>
      </c>
      <c r="E3" s="52">
        <f>IFERROR(_xlfn.NORM.DIST(_xlfn.NORM.INV(SUM(E4:E5), 0, 1) + 1, 0, 1, TRUE) - SUM(E4:E5), "")</f>
        <v>0.37549719251513264</v>
      </c>
      <c r="F3" s="52">
        <f>IFERROR(_xlfn.NORM.DIST(_xlfn.NORM.INV(SUM(F4:F5), 0, 1) + 1, 0, 1, TRUE) - SUM(F4:F5), "")</f>
        <v>0.35854658188192923</v>
      </c>
      <c r="G3" s="52">
        <f>IFERROR(_xlfn.NORM.DIST(_xlfn.NORM.INV(SUM(G4:G5), 0, 1) + 1, 0, 1, TRUE) - SUM(G4:G5), "")</f>
        <v>0.36912275993937232</v>
      </c>
    </row>
    <row r="4" spans="1:15" ht="15.75" customHeight="1" x14ac:dyDescent="0.25">
      <c r="B4" s="5" t="s">
        <v>114</v>
      </c>
      <c r="C4" s="45">
        <v>0.1124284</v>
      </c>
      <c r="D4" s="53">
        <v>0.1124284</v>
      </c>
      <c r="E4" s="53">
        <v>0.1470099</v>
      </c>
      <c r="F4" s="53">
        <v>0.26212360000000001</v>
      </c>
      <c r="G4" s="53">
        <v>0.24501120000000001</v>
      </c>
    </row>
    <row r="5" spans="1:15" ht="15.75" customHeight="1" x14ac:dyDescent="0.25">
      <c r="B5" s="5" t="s">
        <v>115</v>
      </c>
      <c r="C5" s="45">
        <v>7.92239E-2</v>
      </c>
      <c r="D5" s="53">
        <v>7.92239E-2</v>
      </c>
      <c r="E5" s="53">
        <v>9.2954099999999998E-2</v>
      </c>
      <c r="F5" s="53">
        <v>0.1894277</v>
      </c>
      <c r="G5" s="53">
        <v>0.16892860000000001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0.75622537476518503</v>
      </c>
      <c r="D8" s="52">
        <f>IFERROR(1-_xlfn.NORM.DIST(_xlfn.NORM.INV(SUM(D10:D11), 0, 1) + 1, 0, 1, TRUE), "")</f>
        <v>0.75622537476518503</v>
      </c>
      <c r="E8" s="52">
        <f>IFERROR(1-_xlfn.NORM.DIST(_xlfn.NORM.INV(SUM(E10:E11), 0, 1) + 1, 0, 1, TRUE), "")</f>
        <v>0.62697701117611182</v>
      </c>
      <c r="F8" s="52">
        <f>IFERROR(1-_xlfn.NORM.DIST(_xlfn.NORM.INV(SUM(F10:F11), 0, 1) + 1, 0, 1, TRUE), "")</f>
        <v>0.69693824013919936</v>
      </c>
      <c r="G8" s="52">
        <f>IFERROR(1-_xlfn.NORM.DIST(_xlfn.NORM.INV(SUM(G10:G11), 0, 1) + 1, 0, 1, TRUE), "")</f>
        <v>0.78604027108380969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0.19866212523481502</v>
      </c>
      <c r="D9" s="52">
        <f>IFERROR(_xlfn.NORM.DIST(_xlfn.NORM.INV(SUM(D10:D11), 0, 1) + 1, 0, 1, TRUE) - SUM(D10:D11), "")</f>
        <v>0.19866212523481502</v>
      </c>
      <c r="E9" s="52">
        <f>IFERROR(_xlfn.NORM.DIST(_xlfn.NORM.INV(SUM(E10:E11), 0, 1) + 1, 0, 1, TRUE) - SUM(E10:E11), "")</f>
        <v>0.28024778882388818</v>
      </c>
      <c r="F9" s="52">
        <f>IFERROR(_xlfn.NORM.DIST(_xlfn.NORM.INV(SUM(F10:F11), 0, 1) + 1, 0, 1, TRUE) - SUM(F10:F11), "")</f>
        <v>0.23825335986080065</v>
      </c>
      <c r="G9" s="52">
        <f>IFERROR(_xlfn.NORM.DIST(_xlfn.NORM.INV(SUM(G10:G11), 0, 1) + 1, 0, 1, TRUE) - SUM(G10:G11), "")</f>
        <v>0.17745382891619035</v>
      </c>
    </row>
    <row r="10" spans="1:15" ht="15.75" customHeight="1" x14ac:dyDescent="0.25">
      <c r="B10" s="5" t="s">
        <v>119</v>
      </c>
      <c r="C10" s="45">
        <v>3.4363600000000001E-2</v>
      </c>
      <c r="D10" s="53">
        <v>3.4363600000000001E-2</v>
      </c>
      <c r="E10" s="53">
        <v>6.55641E-2</v>
      </c>
      <c r="F10" s="53">
        <v>5.1383400000000003E-2</v>
      </c>
      <c r="G10" s="53">
        <v>2.9726900000000001E-2</v>
      </c>
    </row>
    <row r="11" spans="1:15" ht="15.75" customHeight="1" x14ac:dyDescent="0.25">
      <c r="B11" s="5" t="s">
        <v>120</v>
      </c>
      <c r="C11" s="45">
        <v>1.07489E-2</v>
      </c>
      <c r="D11" s="53">
        <v>1.07489E-2</v>
      </c>
      <c r="E11" s="53">
        <v>2.7211099999999998E-2</v>
      </c>
      <c r="F11" s="53">
        <v>1.3424999999999999E-2</v>
      </c>
      <c r="G11" s="53">
        <v>6.7789999999999986E-3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0.88816795225000011</v>
      </c>
      <c r="D14" s="54">
        <v>0.87417386896000016</v>
      </c>
      <c r="E14" s="54">
        <v>0.87417386896000016</v>
      </c>
      <c r="F14" s="54">
        <v>0.79899999682300005</v>
      </c>
      <c r="G14" s="54">
        <v>0.79899999682300005</v>
      </c>
      <c r="H14" s="45">
        <v>0.50800000000000001</v>
      </c>
      <c r="I14" s="55">
        <v>0.50800000000000001</v>
      </c>
      <c r="J14" s="55">
        <v>0.50800000000000001</v>
      </c>
      <c r="K14" s="55">
        <v>0.50800000000000001</v>
      </c>
      <c r="L14" s="45">
        <v>0.47199999999999998</v>
      </c>
      <c r="M14" s="55">
        <v>0.47199999999999998</v>
      </c>
      <c r="N14" s="55">
        <v>0.47199999999999998</v>
      </c>
      <c r="O14" s="55">
        <v>0.47199999999999998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0.41755351122334033</v>
      </c>
      <c r="D15" s="52">
        <f t="shared" si="0"/>
        <v>0.41097448684029592</v>
      </c>
      <c r="E15" s="52">
        <f t="shared" si="0"/>
        <v>0.41097448684029592</v>
      </c>
      <c r="F15" s="52">
        <f t="shared" si="0"/>
        <v>0.37563306950640019</v>
      </c>
      <c r="G15" s="52">
        <f t="shared" si="0"/>
        <v>0.37563306950640019</v>
      </c>
      <c r="H15" s="52">
        <f t="shared" si="0"/>
        <v>0.23882553200000001</v>
      </c>
      <c r="I15" s="52">
        <f t="shared" si="0"/>
        <v>0.23882553200000001</v>
      </c>
      <c r="J15" s="52">
        <f t="shared" si="0"/>
        <v>0.23882553200000001</v>
      </c>
      <c r="K15" s="52">
        <f t="shared" si="0"/>
        <v>0.23882553200000001</v>
      </c>
      <c r="L15" s="52">
        <f t="shared" si="0"/>
        <v>0.22190088799999999</v>
      </c>
      <c r="M15" s="52">
        <f t="shared" si="0"/>
        <v>0.22190088799999999</v>
      </c>
      <c r="N15" s="52">
        <f t="shared" si="0"/>
        <v>0.22190088799999999</v>
      </c>
      <c r="O15" s="52">
        <f t="shared" si="0"/>
        <v>0.22190088799999999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RyITCK4sJ0RTUOcyZ96qvmFGS/7RP4UgQ95b+s3/hiPT9kyO0JdhR/R1M/TkaugwVZDy/s96htsoPfRz4uOPw==" saltValue="nlQACFZw4yE+yiZN+8jE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0.619973</v>
      </c>
      <c r="D2" s="53">
        <v>0.3176196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0.2091288</v>
      </c>
      <c r="D3" s="53">
        <v>0.27251779999999998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7.7981800000000004E-2</v>
      </c>
      <c r="D4" s="53">
        <v>0.33108310000000002</v>
      </c>
      <c r="E4" s="53">
        <v>0.91606189999999998</v>
      </c>
      <c r="F4" s="53">
        <v>0.66581519999999994</v>
      </c>
      <c r="G4" s="53">
        <v>0</v>
      </c>
    </row>
    <row r="5" spans="1:7" x14ac:dyDescent="0.25">
      <c r="B5" s="3" t="s">
        <v>132</v>
      </c>
      <c r="C5" s="52">
        <v>9.2916399999999996E-2</v>
      </c>
      <c r="D5" s="52">
        <v>7.8779500000000002E-2</v>
      </c>
      <c r="E5" s="52">
        <f>1-SUM(E2:E4)</f>
        <v>8.3938100000000015E-2</v>
      </c>
      <c r="F5" s="52">
        <f>1-SUM(F2:F4)</f>
        <v>0.33418480000000006</v>
      </c>
      <c r="G5" s="52">
        <f>1-SUM(G2:G4)</f>
        <v>1</v>
      </c>
    </row>
  </sheetData>
  <sheetProtection algorithmName="SHA-512" hashValue="NQA982bOq5/jXAYKdD5AAhJ8hT60bg9Py2wNurBDxpW+s2QcbqZk7K6FU3VbVpZggq08M3VSDmygk08I+pHvJg==" saltValue="wN6dVt8XB5tkYaUEXOsX6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yxo4I2BoJxO/1eS3ugC+1gpiwKkQ1oUYDeEn0UpKzLmhv+D4YAQevjCRDf1dS2ZxKAPP6VoQvph5bQ0dQvy9g==" saltValue="ApLo/gKE17klQWAQ6hBwj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zWjY//cBPFQc3hlzuLGQn3VmrMYdS+Hw7nD14mz3FpOOny2G1NRiLBDpOxu0HRH6NATGQW5pDddONxkwtRQErQ==" saltValue="9CnO0J8hRtWtU/NBrWNOt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RhKUhJd0oH3sIW3HgYmLjmRTx46FOYbBmvZOUHm/D8+MyaMPfrzzDQHx8RZzz9+b2YlbhFV4LQzsSSonKlHYYA==" saltValue="UjUeX7w7IyCoNKCPVfTSq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AYd8yy3MxUXDVBR2fCsTmJ6WaOud2fIU0LY90sWlJWgVjLYCIyRSN7IIiWq9r6PLrMxurE9xrMko6r87BQ1eiA==" saltValue="IvZ5NVAFHzHcJzBIx7Cdt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52.701339651165988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0.43093806748000002</v>
      </c>
      <c r="C3" s="98">
        <v>0.95</v>
      </c>
      <c r="D3" s="56">
        <v>39.760707816552028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330.87002329849241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0.74830143865708132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0.320544</v>
      </c>
      <c r="C10" s="98">
        <v>0.95</v>
      </c>
      <c r="D10" s="56">
        <v>12.89300726034795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0.320544</v>
      </c>
      <c r="C11" s="98">
        <v>0.95</v>
      </c>
      <c r="D11" s="56">
        <v>12.89300726034795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0.320544</v>
      </c>
      <c r="C12" s="98">
        <v>0.95</v>
      </c>
      <c r="D12" s="56">
        <v>12.89300726034795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0.320544</v>
      </c>
      <c r="C13" s="98">
        <v>0.95</v>
      </c>
      <c r="D13" s="56">
        <v>12.89300726034795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0.320544</v>
      </c>
      <c r="C14" s="98">
        <v>0.95</v>
      </c>
      <c r="D14" s="56">
        <v>12.89300726034795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0.320544</v>
      </c>
      <c r="C15" s="98">
        <v>0.95</v>
      </c>
      <c r="D15" s="56">
        <v>12.89300726034795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0.65</v>
      </c>
      <c r="C16" s="98">
        <v>0.95</v>
      </c>
      <c r="D16" s="56">
        <v>0.59976585339175292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9.7662442939999997E-2</v>
      </c>
      <c r="C18" s="98">
        <v>0.95</v>
      </c>
      <c r="D18" s="56">
        <v>7.6528811752546302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0.52177280000000004</v>
      </c>
      <c r="C19" s="98">
        <v>0.95</v>
      </c>
      <c r="D19" s="56">
        <v>7.6528811752546302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0.43093199999999998</v>
      </c>
      <c r="C21" s="98">
        <v>0.95</v>
      </c>
      <c r="D21" s="56">
        <v>6.8385112571292028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22.18672916624363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4.204855047571205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0.44319866168613598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0.320544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18.45543989933406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0.36172965988460198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101.48750651619279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0.05</v>
      </c>
      <c r="C31" s="98">
        <v>0.95</v>
      </c>
      <c r="D31" s="56">
        <v>0.71812950856378532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1.2755455448204329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0.05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0.29069230000000001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0.42607790000000001</v>
      </c>
      <c r="C38" s="98">
        <v>0.95</v>
      </c>
      <c r="D38" s="56">
        <v>5.6128394886581123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2oUMBLz2yzqI7ZceRmRiud5mdZ4Anv6GEFXSus6bnW6p2bdd5Yz3FWAj/smDvrMjMyY9gdoLMtu3p1n9Eyg1vg==" saltValue="LUbFGe2k1CNO7eB8pKVn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GLp8KrblMLiNE3qDvfZ4A1XdiJYTUQXoELx2lyf8oa6NJTbjl2mEGC1X9MvnY87kncl3eqi0IJJwSjBX54s4A==" saltValue="K1s2e/hY5g9NUhphs3gWA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8UZVeMtrute2ObqLMGXJnD9p/K/4Nr06zBXqdAdQWFdVKoB/WbgvqXSD8TlJRsfbAJfScD8Z9kKmQ4C9KPFVQ==" saltValue="5YUSrQeYqRdpYpEiK+Dl4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8.9345360000000013E-2</v>
      </c>
      <c r="C3" s="21">
        <f>frac_mam_1_5months * 2.6</f>
        <v>8.9345360000000013E-2</v>
      </c>
      <c r="D3" s="21">
        <f>frac_mam_6_11months * 2.6</f>
        <v>0.17046666000000002</v>
      </c>
      <c r="E3" s="21">
        <f>frac_mam_12_23months * 2.6</f>
        <v>0.13359684000000002</v>
      </c>
      <c r="F3" s="21">
        <f>frac_mam_24_59months * 2.6</f>
        <v>7.7289940000000001E-2</v>
      </c>
    </row>
    <row r="4" spans="1:6" ht="15.75" customHeight="1" x14ac:dyDescent="0.25">
      <c r="A4" s="3" t="s">
        <v>208</v>
      </c>
      <c r="B4" s="21">
        <f>frac_sam_1month * 2.6</f>
        <v>2.7947140000000002E-2</v>
      </c>
      <c r="C4" s="21">
        <f>frac_sam_1_5months * 2.6</f>
        <v>2.7947140000000002E-2</v>
      </c>
      <c r="D4" s="21">
        <f>frac_sam_6_11months * 2.6</f>
        <v>7.0748859999999997E-2</v>
      </c>
      <c r="E4" s="21">
        <f>frac_sam_12_23months * 2.6</f>
        <v>3.4904999999999999E-2</v>
      </c>
      <c r="F4" s="21">
        <f>frac_sam_24_59months * 2.6</f>
        <v>1.7625399999999996E-2</v>
      </c>
    </row>
  </sheetData>
  <sheetProtection algorithmName="SHA-512" hashValue="GHxXMpRamrrfLnRBOeFhlvoIxuS3mgp+5qOdE5Ba9vMCicXhXW4Tbp/N4TA9sdh/tXIRXBvCHzgzFnb1kC1PEA==" saltValue="ei5uLYz6ut/Z8Q5RSphEC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0.47599999999999998</v>
      </c>
      <c r="E2" s="60">
        <f>food_insecure</f>
        <v>0.47599999999999998</v>
      </c>
      <c r="F2" s="60">
        <f>food_insecure</f>
        <v>0.47599999999999998</v>
      </c>
      <c r="G2" s="60">
        <f>food_insecure</f>
        <v>0.47599999999999998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0.47599999999999998</v>
      </c>
      <c r="F5" s="60">
        <f>food_insecure</f>
        <v>0.47599999999999998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0.47599999999999998</v>
      </c>
      <c r="F8" s="60">
        <f>food_insecure</f>
        <v>0.47599999999999998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0.47599999999999998</v>
      </c>
      <c r="F9" s="60">
        <f>food_insecure</f>
        <v>0.47599999999999998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0.47599999999999998</v>
      </c>
      <c r="I15" s="60">
        <f>food_insecure</f>
        <v>0.47599999999999998</v>
      </c>
      <c r="J15" s="60">
        <f>food_insecure</f>
        <v>0.47599999999999998</v>
      </c>
      <c r="K15" s="60">
        <f>food_insecure</f>
        <v>0.47599999999999998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0.53</v>
      </c>
      <c r="I19" s="60">
        <f>frac_malaria_risk</f>
        <v>0.53</v>
      </c>
      <c r="J19" s="60">
        <f>frac_malaria_risk</f>
        <v>0.53</v>
      </c>
      <c r="K19" s="60">
        <f>frac_malaria_risk</f>
        <v>0.53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0.75800000000000001</v>
      </c>
      <c r="M24" s="60">
        <f>famplan_unmet_need</f>
        <v>0.75800000000000001</v>
      </c>
      <c r="N24" s="60">
        <f>famplan_unmet_need</f>
        <v>0.75800000000000001</v>
      </c>
      <c r="O24" s="60">
        <f>famplan_unmet_need</f>
        <v>0.75800000000000001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0.39761344695643197</v>
      </c>
      <c r="M25" s="60">
        <f>(1-food_insecure)*(0.49)+food_insecure*(0.7)</f>
        <v>0.58995999999999993</v>
      </c>
      <c r="N25" s="60">
        <f>(1-food_insecure)*(0.49)+food_insecure*(0.7)</f>
        <v>0.58995999999999993</v>
      </c>
      <c r="O25" s="60">
        <f>(1-food_insecure)*(0.49)+food_insecure*(0.7)</f>
        <v>0.58995999999999993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0.17040576298132801</v>
      </c>
      <c r="M26" s="60">
        <f>(1-food_insecure)*(0.21)+food_insecure*(0.3)</f>
        <v>0.25283999999999995</v>
      </c>
      <c r="N26" s="60">
        <f>(1-food_insecure)*(0.21)+food_insecure*(0.3)</f>
        <v>0.25283999999999995</v>
      </c>
      <c r="O26" s="60">
        <f>(1-food_insecure)*(0.21)+food_insecure*(0.3)</f>
        <v>0.25283999999999995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0.10594757926224002</v>
      </c>
      <c r="M27" s="60">
        <f>(1-food_insecure)*(0.3)</f>
        <v>0.15720000000000001</v>
      </c>
      <c r="N27" s="60">
        <f>(1-food_insecure)*(0.3)</f>
        <v>0.15720000000000001</v>
      </c>
      <c r="O27" s="60">
        <f>(1-food_insecure)*(0.3)</f>
        <v>0.15720000000000001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0.53</v>
      </c>
      <c r="D34" s="60">
        <f t="shared" si="3"/>
        <v>0.53</v>
      </c>
      <c r="E34" s="60">
        <f t="shared" si="3"/>
        <v>0.53</v>
      </c>
      <c r="F34" s="60">
        <f t="shared" si="3"/>
        <v>0.53</v>
      </c>
      <c r="G34" s="60">
        <f t="shared" si="3"/>
        <v>0.53</v>
      </c>
      <c r="H34" s="60">
        <f t="shared" si="3"/>
        <v>0.53</v>
      </c>
      <c r="I34" s="60">
        <f t="shared" si="3"/>
        <v>0.53</v>
      </c>
      <c r="J34" s="60">
        <f t="shared" si="3"/>
        <v>0.53</v>
      </c>
      <c r="K34" s="60">
        <f t="shared" si="3"/>
        <v>0.53</v>
      </c>
      <c r="L34" s="60">
        <f t="shared" si="3"/>
        <v>0.53</v>
      </c>
      <c r="M34" s="60">
        <f t="shared" si="3"/>
        <v>0.53</v>
      </c>
      <c r="N34" s="60">
        <f t="shared" si="3"/>
        <v>0.53</v>
      </c>
      <c r="O34" s="60">
        <f t="shared" si="3"/>
        <v>0.53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ZiS3pmyHTpI4vQMmYcklydtrbD1PTxFicoFCndfsH/9eitMlsF/Hj2x+riZgclqZWBDQ19laEB5oMKH4fsiSA==" saltValue="oNYdoqN8cM03rntfUuLQf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f3dn39vShPaKQaD86iJvMObZ/rb0Uy2wN8zuKFhBFuEx91bFM43cBOHkzLRSDmeyszDLL39mHOZDytpFOpRROA==" saltValue="ReGBp5fu1/cIyg24+Q8Td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/a/liScNHqoo3hiouzaF+LHdkBF3R7UDHHEatyKCTDWK1AiwOc+QSlEMbOiByBIZOhWKtyr9B0NT09xU5JN2A==" saltValue="HRMeqlpB6WOLJVTl2Ot4j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q3YVnbbLkQE2yvbmoiQDMAVYqs5uOqD21KuTJzltugDKy4czoJDY+Y5U4xMGVGb6AJrTqkvikCv2zUWb5dM/A==" saltValue="Uokh/TwCnYYHfVHnHqKcU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NztH+kTEONnmdkJjnbRrLHoYV0HSqV2NN7mpLm0Ief0QOS85SILA4IZpYX4SIpqJ+uUXbpaTzHbEfgvP2/m/Qg==" saltValue="gZ27vd8PUlatyb8Gwzqcf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Fpmax9bLnLVw1UT/8TyktgeXrg/ApefzqvPsGxBy6cRC60J3rKl6MxllB6o25fGavyzSpzOrI2HgogGH1I3HXQ==" saltValue="uPexjwLRwHppX/3atIL9q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0cKCmj7RuOJ9bY7Y4UzbEwBjosIb/R9/GtvhEkIwa4UqtsK3F8VaqPndAGSl4fRQ5tN4IXr33SsJjpm/rxFG1A==" saltValue="vfSIkGlrkwXsife32Z1jS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GD9JwMUTl9+OmUW/k8K4bu71+YkEjOiM7z7JSFCFj5D7/z998VpgQnr1hgGPrZmcHQEpQ5XspNP+EM3uGm7KQ==" saltValue="L9yK2YTmWzzZIoMsjG0p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Y/aImbO06BUsAtuw6JCBJsbaJ55Lb3ArQM7rI6A+jDmf5u+kIqOqWVKeoJNLPoES8ae05UbxeA/1A80WnZUfA==" saltValue="JF/NT8krb9L3O+SZpxNy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eQMux1oMSS2NGo2Ywj3lQ0+o2bs2ox+/pFJ7Dw+DqlHQdxcrLDzuOtErNe9fhwly//u3hoRfsCW4mkqgNgjlNQ==" saltValue="nq8lroBE8TgishGzuNG5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0slHXKbG07lvVuEg3PK8zXgeRnYtM1u2UShUR/YeJx5sOddw50N9IhHjlQlH4Nt8NOH3aO+aHIdlK8NVJbv4hQ==" saltValue="OvBYseHjJFUKpi1gzWgF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9DWI9MAmkjRwkSTziCmMvekEPvifXym7F/+iW3jy6TPin67YhGjlY4dZz6+5Gl/4BUkVG42pEMNrzecymc4Ug==" saltValue="RBlOLo3r0cdXh9+QYzoZ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YvJPOPAvFJoGl0ahMRYmnffVm4QRmQB7qqAwU8/EhhRW1eC+gFFvTBXi41bGFf5sFOFB779M2IxKSWiUkMdFw==" saltValue="DUD0kTGAkWMD/QyVQS+Fc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uWuhCwgakdR0F9DuR8eLar3g21VrbMojvS08SMc0N3hhDMNsIOcmU4mexeMU6BuziKJjhYzkStmbBWwv/fRYsQ==" saltValue="wgVdV/Jdu7iL1pENxsrZ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5+CgsIzMa7ToYxY4XpVAfj1gAO9kwEYJacdzHavn+ji1yEPeRBLSWiK1pHpUz1JOwL73kfNo+6GTXy3BJM1hXA==" saltValue="NzIkthfysTRiPthwqY84n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2024-05-17T00:10:33Z</dcterms:modified>
</cp:coreProperties>
</file>