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890E3D2-1D7F-4791-8D52-B7617620CCB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6" i="2"/>
  <c r="I4" i="2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<sst xmlns="http://schemas.openxmlformats.org/spreadsheetml/2006/main" count="2159" uniqueCount="368">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</sst>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31132</v>
      </c>
    </row>
    <row r="8" spans="1:3" ht="15" customHeight="1" x14ac:dyDescent="0.25">
      <c r="B8" s="5" t="s">
        <v>37</v>
      </c>
      <c r="C8" s="44">
        <v>0.55500000000000005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0.68835669999999993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0.11550000000000001</v>
      </c>
    </row>
    <row r="24" spans="1:3" ht="15" customHeight="1" x14ac:dyDescent="0.25">
      <c r="B24" s="15" t="s">
        <v>51</v>
      </c>
      <c r="C24" s="45">
        <v>0.47460000000000002</v>
      </c>
    </row>
    <row r="25" spans="1:3" ht="15" customHeight="1" x14ac:dyDescent="0.25">
      <c r="B25" s="15" t="s">
        <v>52</v>
      </c>
      <c r="C25" s="45">
        <v>0.32340000000000002</v>
      </c>
    </row>
    <row r="26" spans="1:3" ht="15" customHeight="1" x14ac:dyDescent="0.25">
      <c r="B26" s="15" t="s">
        <v>53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9">
        <v>2.3858720907234902E-2</v>
      </c>
    </row>
    <row r="31" spans="1:3" ht="14.25" customHeight="1" x14ac:dyDescent="0.25">
      <c r="B31" s="25" t="s">
        <v>57</v>
      </c>
      <c r="C31" s="99">
        <v>3.4342930038455802E-2</v>
      </c>
    </row>
    <row r="32" spans="1:3" ht="14.25" customHeight="1" x14ac:dyDescent="0.25">
      <c r="B32" s="25" t="s">
        <v>58</v>
      </c>
      <c r="C32" s="99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6.5631199999999996</v>
      </c>
    </row>
    <row r="38" spans="1:5" ht="15" customHeight="1" x14ac:dyDescent="0.25">
      <c r="B38" s="11" t="s">
        <v>63</v>
      </c>
      <c r="C38" s="43">
        <v>14.3725</v>
      </c>
      <c r="D38" s="12"/>
      <c r="E38" s="13"/>
    </row>
    <row r="39" spans="1:5" ht="15" customHeight="1" x14ac:dyDescent="0.25">
      <c r="B39" s="11" t="s">
        <v>64</v>
      </c>
      <c r="C39" s="43">
        <v>16.718489999999999</v>
      </c>
      <c r="D39" s="12"/>
      <c r="E39" s="12"/>
    </row>
    <row r="40" spans="1:5" ht="15" customHeight="1" x14ac:dyDescent="0.25">
      <c r="B40" s="11" t="s">
        <v>65</v>
      </c>
      <c r="C40" s="100">
        <v>0.59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71</v>
      </c>
      <c r="C47" s="45">
        <v>7.5182200000000005E-2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1.95</v>
      </c>
      <c r="D51" s="12"/>
    </row>
    <row r="52" spans="1:4" ht="15" customHeight="1" x14ac:dyDescent="0.25">
      <c r="B52" s="11" t="s">
        <v>75</v>
      </c>
      <c r="C52" s="100">
        <v>1.95</v>
      </c>
    </row>
    <row r="53" spans="1:4" ht="15.75" customHeight="1" x14ac:dyDescent="0.25">
      <c r="B53" s="11" t="s">
        <v>76</v>
      </c>
      <c r="C53" s="100">
        <v>5.4340000000000002</v>
      </c>
    </row>
    <row r="54" spans="1:4" ht="15.75" customHeight="1" x14ac:dyDescent="0.25">
      <c r="B54" s="11" t="s">
        <v>77</v>
      </c>
      <c r="C54" s="100">
        <v>6.1880000000000006</v>
      </c>
    </row>
    <row r="55" spans="1:4" ht="15.75" customHeight="1" x14ac:dyDescent="0.25">
      <c r="B55" s="11" t="s">
        <v>78</v>
      </c>
      <c r="C55" s="100">
        <v>3.5446666666666662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0.57259000000000004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0.1111475279</v>
      </c>
    </row>
    <row r="63" spans="1:4" ht="15.75" customHeight="1" x14ac:dyDescent="0.3">
      <c r="A63" s="4"/>
    </row>
  </sheetData>
  <sheetProtection algorithmName="SHA-512" hashValue="Bh9KpeL0VMzfSbwUw4RoYcy7srIaZ72J6+4JfUYY1hfqZOWywzLhCXFwSDUqgcErJJVeDHA1U5T59cSz0FRc5A==" saltValue="Q2d10ugMSBfKpEtL3vFr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31678.5</v>
      </c>
      <c r="C2" s="49">
        <v>7425</v>
      </c>
      <c r="D2" s="49">
        <v>14249</v>
      </c>
      <c r="E2" s="49">
        <v>27160.5</v>
      </c>
      <c r="F2" s="49">
        <v>19708</v>
      </c>
      <c r="G2" s="17">
        <f t="shared" ref="G2:G13" si="0">C2+D2+E2+F2</f>
        <v>68542.5</v>
      </c>
      <c r="H2" s="17">
        <f t="shared" ref="H2:H13" si="1">(B2 + stillbirth*B2/(1000-stillbirth))/(1-abortion)</f>
        <v>36274.595785933292</v>
      </c>
      <c r="I2" s="17">
        <f t="shared" ref="I2:I13" si="2">G2-H2</f>
        <v>32267.904214066708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6617</v>
      </c>
      <c r="C3" s="50">
        <v>13763</v>
      </c>
      <c r="D3" s="50">
        <v>19984</v>
      </c>
      <c r="E3" s="50">
        <v>13853.5</v>
      </c>
      <c r="F3" s="50">
        <v>11759</v>
      </c>
      <c r="G3" s="17">
        <f t="shared" si="0"/>
        <v>59359.5</v>
      </c>
      <c r="H3" s="17">
        <f t="shared" si="1"/>
        <v>7577.0317507306399</v>
      </c>
      <c r="I3" s="17">
        <f t="shared" si="2"/>
        <v>51782.468249269361</v>
      </c>
    </row>
    <row r="4" spans="1:9" ht="15.75" customHeight="1" x14ac:dyDescent="0.25">
      <c r="A4" s="5">
        <f t="shared" si="3"/>
        <v>2026</v>
      </c>
      <c r="B4" s="49">
        <v>6688</v>
      </c>
      <c r="C4" s="50">
        <v>13881.5</v>
      </c>
      <c r="D4" s="50">
        <v>20894</v>
      </c>
      <c r="E4" s="50">
        <v>13970.500000000002</v>
      </c>
      <c r="F4" s="50">
        <v>12129</v>
      </c>
      <c r="G4" s="17">
        <f t="shared" si="0"/>
        <v>60875</v>
      </c>
      <c r="H4" s="17">
        <f t="shared" si="1"/>
        <v>7658.3328319308621</v>
      </c>
      <c r="I4" s="17">
        <f t="shared" si="2"/>
        <v>53216.667168069136</v>
      </c>
    </row>
    <row r="5" spans="1:9" ht="15.75" customHeight="1" x14ac:dyDescent="0.25">
      <c r="A5" s="5">
        <f t="shared" si="3"/>
        <v>2027</v>
      </c>
      <c r="B5" s="49">
        <v>6777</v>
      </c>
      <c r="C5" s="50">
        <v>13838.5</v>
      </c>
      <c r="D5" s="50">
        <v>21828.000000000004</v>
      </c>
      <c r="E5" s="50">
        <v>14165.500000000002</v>
      </c>
      <c r="F5" s="50">
        <v>12411.999999999998</v>
      </c>
      <c r="G5" s="17">
        <f t="shared" si="0"/>
        <v>62244</v>
      </c>
      <c r="H5" s="17">
        <f t="shared" si="1"/>
        <v>7760.2454548438182</v>
      </c>
      <c r="I5" s="17">
        <f t="shared" si="2"/>
        <v>54483.754545156182</v>
      </c>
    </row>
    <row r="6" spans="1:9" ht="15.75" customHeight="1" x14ac:dyDescent="0.25">
      <c r="A6" s="5">
        <f t="shared" si="3"/>
        <v>2028</v>
      </c>
      <c r="B6" s="49">
        <v>6866</v>
      </c>
      <c r="C6" s="50">
        <v>13866</v>
      </c>
      <c r="D6" s="50">
        <v>22769.5</v>
      </c>
      <c r="E6" s="50">
        <v>14437.999999999998</v>
      </c>
      <c r="F6" s="50">
        <v>12615</v>
      </c>
      <c r="G6" s="17">
        <f t="shared" si="0"/>
        <v>63688.5</v>
      </c>
      <c r="H6" s="17">
        <f t="shared" si="1"/>
        <v>7862.1580777567733</v>
      </c>
      <c r="I6" s="17">
        <f t="shared" si="2"/>
        <v>55826.341922243228</v>
      </c>
    </row>
    <row r="7" spans="1:9" ht="15.75" customHeight="1" x14ac:dyDescent="0.25">
      <c r="A7" s="5">
        <f t="shared" si="3"/>
        <v>2029</v>
      </c>
      <c r="B7" s="49">
        <v>6937</v>
      </c>
      <c r="C7" s="50">
        <v>14027</v>
      </c>
      <c r="D7" s="50">
        <v>23669</v>
      </c>
      <c r="E7" s="50">
        <v>14794.5</v>
      </c>
      <c r="F7" s="50">
        <v>12768</v>
      </c>
      <c r="G7" s="17">
        <f t="shared" si="0"/>
        <v>65258.5</v>
      </c>
      <c r="H7" s="17">
        <f t="shared" si="1"/>
        <v>7943.4591589569964</v>
      </c>
      <c r="I7" s="17">
        <f t="shared" si="2"/>
        <v>57315.040841043003</v>
      </c>
    </row>
    <row r="8" spans="1:9" ht="15.75" customHeight="1" x14ac:dyDescent="0.25">
      <c r="A8" s="5">
        <f t="shared" si="3"/>
        <v>2030</v>
      </c>
      <c r="B8" s="49">
        <v>7038</v>
      </c>
      <c r="C8" s="50">
        <v>14183.5</v>
      </c>
      <c r="D8" s="50">
        <v>24456.5</v>
      </c>
      <c r="E8" s="50">
        <v>15241.499999999998</v>
      </c>
      <c r="F8" s="50">
        <v>12882</v>
      </c>
      <c r="G8" s="17">
        <f t="shared" si="0"/>
        <v>66763.5</v>
      </c>
      <c r="H8" s="17">
        <f t="shared" si="1"/>
        <v>8059.1128096784405</v>
      </c>
      <c r="I8" s="17">
        <f t="shared" si="2"/>
        <v>58704.387190321562</v>
      </c>
    </row>
    <row r="9" spans="1:9" ht="15.75" customHeight="1" x14ac:dyDescent="0.25">
      <c r="A9" s="5">
        <f t="shared" si="3"/>
        <v>2031</v>
      </c>
      <c r="B9" s="49">
        <v>7102</v>
      </c>
      <c r="C9" s="50">
        <v>14359</v>
      </c>
      <c r="D9" s="50">
        <v>25071.5</v>
      </c>
      <c r="E9" s="50">
        <v>15779</v>
      </c>
      <c r="F9" s="50">
        <v>12963.5</v>
      </c>
      <c r="G9" s="17">
        <f t="shared" si="0"/>
        <v>68173</v>
      </c>
      <c r="H9" s="17">
        <f t="shared" si="1"/>
        <v>8132.3982913237114</v>
      </c>
      <c r="I9" s="17">
        <f t="shared" si="2"/>
        <v>60040.601708676288</v>
      </c>
    </row>
    <row r="10" spans="1:9" ht="15.75" customHeight="1" x14ac:dyDescent="0.25">
      <c r="A10" s="5">
        <f t="shared" si="3"/>
        <v>2032</v>
      </c>
      <c r="B10" s="49">
        <v>7182</v>
      </c>
      <c r="C10" s="50">
        <v>14548.5</v>
      </c>
      <c r="D10" s="50">
        <v>25491</v>
      </c>
      <c r="E10" s="50">
        <v>16419.5</v>
      </c>
      <c r="F10" s="50">
        <v>13020.5</v>
      </c>
      <c r="G10" s="17">
        <f t="shared" si="0"/>
        <v>69479.5</v>
      </c>
      <c r="H10" s="17">
        <f t="shared" si="1"/>
        <v>8224.0051433803019</v>
      </c>
      <c r="I10" s="17">
        <f t="shared" si="2"/>
        <v>61255.494856619698</v>
      </c>
    </row>
    <row r="11" spans="1:9" ht="15.75" customHeight="1" x14ac:dyDescent="0.25">
      <c r="A11" s="5">
        <f t="shared" si="3"/>
        <v>2033</v>
      </c>
      <c r="B11" s="49">
        <v>7259</v>
      </c>
      <c r="C11" s="50">
        <v>14550.5</v>
      </c>
      <c r="D11" s="50">
        <v>25939.500000000004</v>
      </c>
      <c r="E11" s="50">
        <v>17158</v>
      </c>
      <c r="F11" s="50">
        <v>13050.999999999998</v>
      </c>
      <c r="G11" s="17">
        <f t="shared" si="0"/>
        <v>70699</v>
      </c>
      <c r="H11" s="17">
        <f t="shared" si="1"/>
        <v>8312.1767384847681</v>
      </c>
      <c r="I11" s="17">
        <f t="shared" si="2"/>
        <v>62386.82326151523</v>
      </c>
    </row>
    <row r="12" spans="1:9" ht="15.75" customHeight="1" x14ac:dyDescent="0.25">
      <c r="A12" s="5">
        <f t="shared" si="3"/>
        <v>2034</v>
      </c>
      <c r="B12" s="49">
        <v>7332</v>
      </c>
      <c r="C12" s="50">
        <v>14378.5</v>
      </c>
      <c r="D12" s="50">
        <v>26462</v>
      </c>
      <c r="E12" s="50">
        <v>17965</v>
      </c>
      <c r="F12" s="50">
        <v>13074</v>
      </c>
      <c r="G12" s="17">
        <f t="shared" si="0"/>
        <v>71879.5</v>
      </c>
      <c r="H12" s="17">
        <f t="shared" si="1"/>
        <v>8395.7679909864073</v>
      </c>
      <c r="I12" s="17">
        <f t="shared" si="2"/>
        <v>63483.732009013591</v>
      </c>
    </row>
    <row r="13" spans="1:9" ht="15.75" customHeight="1" x14ac:dyDescent="0.25">
      <c r="A13" s="5">
        <f t="shared" si="3"/>
        <v>2035</v>
      </c>
      <c r="B13" s="49">
        <v>7397</v>
      </c>
      <c r="C13" s="50">
        <v>14275</v>
      </c>
      <c r="D13" s="50">
        <v>26875.999999999996</v>
      </c>
      <c r="E13" s="50">
        <v>18818.5</v>
      </c>
      <c r="F13" s="50">
        <v>13126.5</v>
      </c>
      <c r="G13" s="17">
        <f t="shared" si="0"/>
        <v>73096</v>
      </c>
      <c r="H13" s="17">
        <f t="shared" si="1"/>
        <v>8470.1985582823854</v>
      </c>
      <c r="I13" s="17">
        <f t="shared" si="2"/>
        <v>64625.801441717616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6VbIGXDVJMfDhsJ9yiQ+kEfoC0m2JZlM5d5fdQ+DOeoLqZwGwDk3NnPt0Q3QarR+sjXS33yesXejWwEPB9HdA==" saltValue="QORjPPQifi9S8CfnIJkn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7.2663600000000161E-2</v>
      </c>
    </row>
    <row r="5" spans="1:8" ht="15.75" customHeight="1" x14ac:dyDescent="0.25">
      <c r="B5" s="19" t="s">
        <v>98</v>
      </c>
      <c r="C5" s="101">
        <v>3.2022400000000013E-2</v>
      </c>
    </row>
    <row r="6" spans="1:8" ht="15.75" customHeight="1" x14ac:dyDescent="0.25">
      <c r="B6" s="19" t="s">
        <v>99</v>
      </c>
      <c r="C6" s="101">
        <v>0.18112940000000011</v>
      </c>
    </row>
    <row r="7" spans="1:8" ht="15.75" customHeight="1" x14ac:dyDescent="0.25">
      <c r="B7" s="19" t="s">
        <v>100</v>
      </c>
      <c r="C7" s="101">
        <v>0.43143469999999928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0.18141010000000021</v>
      </c>
    </row>
    <row r="10" spans="1:8" ht="15.75" customHeight="1" x14ac:dyDescent="0.25">
      <c r="B10" s="19" t="s">
        <v>103</v>
      </c>
      <c r="C10" s="101">
        <v>0.1013398000000002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106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107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108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113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4.7837044999999988E-2</v>
      </c>
    </row>
    <row r="27" spans="1:8" ht="15.75" customHeight="1" x14ac:dyDescent="0.25">
      <c r="B27" s="19" t="s">
        <v>120</v>
      </c>
      <c r="C27" s="101">
        <v>1.836863E-2</v>
      </c>
    </row>
    <row r="28" spans="1:8" ht="15.75" customHeight="1" x14ac:dyDescent="0.25">
      <c r="B28" s="19" t="s">
        <v>121</v>
      </c>
      <c r="C28" s="101">
        <v>0.231175139</v>
      </c>
    </row>
    <row r="29" spans="1:8" ht="15.75" customHeight="1" x14ac:dyDescent="0.25">
      <c r="B29" s="19" t="s">
        <v>122</v>
      </c>
      <c r="C29" s="101">
        <v>0.138527135</v>
      </c>
    </row>
    <row r="30" spans="1:8" ht="15.75" customHeight="1" x14ac:dyDescent="0.25">
      <c r="B30" s="19" t="s">
        <v>2</v>
      </c>
      <c r="C30" s="101">
        <v>4.9111505E-2</v>
      </c>
    </row>
    <row r="31" spans="1:8" ht="15.75" customHeight="1" x14ac:dyDescent="0.25">
      <c r="B31" s="19" t="s">
        <v>123</v>
      </c>
      <c r="C31" s="101">
        <v>6.9658183999999998E-2</v>
      </c>
    </row>
    <row r="32" spans="1:8" ht="15.75" customHeight="1" x14ac:dyDescent="0.25">
      <c r="B32" s="19" t="s">
        <v>124</v>
      </c>
      <c r="C32" s="101">
        <v>0.14941447299999999</v>
      </c>
    </row>
    <row r="33" spans="2:3" ht="15.75" customHeight="1" x14ac:dyDescent="0.25">
      <c r="B33" s="19" t="s">
        <v>125</v>
      </c>
      <c r="C33" s="101">
        <v>0.122223571</v>
      </c>
    </row>
    <row r="34" spans="2:3" ht="15.75" customHeight="1" x14ac:dyDescent="0.25">
      <c r="B34" s="19" t="s">
        <v>126</v>
      </c>
      <c r="C34" s="101">
        <v>0.173684317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uoMvq3Urw+BtRASbWuvkucYy40CWRvhxit+9fCUk9JSHSjQwAbaKfqvEH2Lc28Ifoq5PskDMa1T/vw39BpYg/Q==" saltValue="P1pTDpr4vDEX9NRE2Kyet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132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133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137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SY1k8UMDxld6gmbcKCAeZyw5ci8ADPqWbzqpWRiP0M5IC0/C0FaeX9TDrmidnX8OF9PMikV71Axh9w9NJ3CEA==" saltValue="UQdWTpY05stxGEPf/DBy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33Fhy0oxs8uCBmGhqjV0zNff17UZ1PmRQbo6qzBU+awUMk+1hc41XjintScU0GbroQT3BCtuCST6TUbBfhwXqg==" saltValue="s10kgu2C4MuMkmmTAUKNc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4YoG9dXVbNmQSqOL32UoiNoV+o4876ln7YOIQjr7H3Bhfexa0VCM+Kv+/dVPpFA9EC5AnP44EqlHqTqrcZEIg==" saltValue="k0MTV+ocRrUDZt9edu1iE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2386.6961758184002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0.43436000000000002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0.39685999999999999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1.718917778663958E-2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96933.289739999993</v>
      </c>
      <c r="C22" s="109">
        <v>96637.338749999995</v>
      </c>
      <c r="D22" s="109">
        <v>96347.932560000001</v>
      </c>
      <c r="E22" s="109">
        <v>95957.418810000003</v>
      </c>
      <c r="F22" s="109">
        <v>95445.618130000003</v>
      </c>
      <c r="G22" s="109">
        <v>94905.706950000007</v>
      </c>
      <c r="H22" s="109">
        <v>94246.119479999994</v>
      </c>
      <c r="I22" s="109">
        <v>93301.41476</v>
      </c>
      <c r="J22" s="109">
        <v>91857.557180000003</v>
      </c>
      <c r="K22" s="109">
        <v>89621.092300000004</v>
      </c>
      <c r="L22" s="109">
        <v>86160.015780000002</v>
      </c>
      <c r="M22" s="109">
        <v>81045.916119999994</v>
      </c>
      <c r="N22" s="109">
        <v>73544.375180000003</v>
      </c>
      <c r="O22" s="109">
        <v>63225.913849999997</v>
      </c>
    </row>
  </sheetData>
  <sheetProtection algorithmName="SHA-512" hashValue="UxC00sbF4frPAbNbx2GZ9rm6XoBJUt0PEn8s7az1DdoWa9iqEZCT0vNfq/uWZrHseaGeDT59XlZPSm9mhg0vDw==" saltValue="XCfqPdLGfiDrQl16Z3Z0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norXABBq2EfnOe1cGAbMREzbKTA3jqmVuWNO0/2AKmy3un8vUPNLHbgGggWXIldCRJuD8oZMCBpwmqsO3n8Kg==" saltValue="jx8bVv3Mg2UPtYaI/obc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5dGSqynS6MFPIxRm+9p0eG/EoJzdJAYSftHwudrWeJSTn7GQl8lIstjML+n2htWH6N3e6Z6I+79e6fihvv/rw==" saltValue="OTZVjXt+a/7fOcWk2gJs+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1.1113E-2</v>
      </c>
      <c r="C10" s="98">
        <v>0.95</v>
      </c>
      <c r="D10" s="56">
        <v>14.332612801245681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14.332612801245681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14.332612801245681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14.332612801245681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14.332612801245681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0.74299999999999999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0.50451279999999998</v>
      </c>
      <c r="C19" s="98">
        <v>0.95</v>
      </c>
      <c r="D19" s="56">
        <v>4.0260706086583404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4.7482493984987979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0.62744799530607998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0.58558969999999999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0.2004783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0.7196437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0.1203943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1.57512E-2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0.88436999999999999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0.33004980000000012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Fto87VEde04+iMAvnQ5jqYRutnMkssgtKB5faCaW/T0X3ZhbIvTuidJEz+o5PyYXQjpX/bmIN+a6cS1OnsfyMQ==" saltValue="uD1Fcpq4xvb+GvIisXY9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AKsKqg4QaF1vQTDg9EmbKQ+DHClkWkepw4zq7jrEAh2dbDVzvNlG5fiPVLaHDHdLkosEJV/asnrYQIObQJV0A==" saltValue="JM6lIq5xkzhINDz+AT9e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1JyXE+nhsA7ETqoqbxrCRmPY/y1k7yg4limm5m9xYfnNypVGDSblely9FvD7/W41n+cZVggrpEe1kvPk1vMyg==" saltValue="1sAczJ87+T25NcSl3BOB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1.95</v>
      </c>
      <c r="C2" s="21">
        <f>'Données pop de l''année de ref'!C52</f>
        <v>1.95</v>
      </c>
      <c r="D2" s="21">
        <f>'Données pop de l''année de ref'!C53</f>
        <v>5.4340000000000002</v>
      </c>
      <c r="E2" s="21">
        <f>'Données pop de l''année de ref'!C54</f>
        <v>6.1880000000000006</v>
      </c>
      <c r="F2" s="21">
        <f>'Données pop de l''année de ref'!C55</f>
        <v>3.5446666666666662</v>
      </c>
    </row>
    <row r="3" spans="1:6" ht="15.75" customHeight="1" x14ac:dyDescent="0.25">
      <c r="A3" s="3" t="s">
        <v>238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237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C49I801vPNEemAphz8cJeDs72IhIxn4K/4T4aP0elTlhoUImHaedoaMyZn7i5NZXYcp6vmBPEi19Wl/TaC1aYg==" saltValue="Nw6tGDBUYUfY8N0pfvm73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XinpQxSyY9MVZgOSvPwDWZCiP/69qHYJzE5r49BYdtNtGAZEkfLFWTwGDSN1CKIODDSKbYwLAyJA2RlcAA6lw==" saltValue="ANai76ZVj7JSfaFr6u1L4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5QrvFEmgUd2Rv9VPsmSQvICVAhqF01D3cQo0TxuhA7RcUxq6gCmrR2fPu8I2WOwYm2Z+9zzhVl2jwXMtYI66PA==" saltValue="fm01c15QG+wNuxwcOOgT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mUyenMfY1/yrQIlDNOBasYuDMkFLmVCQ4OeKCQMSbwPxlxGBBEi0xxvCyUhvx71cqsVM4YZzWxKfPxsy6qlhA==" saltValue="mTWv1koYA/X9ZVMR/2uP6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nXdXdG0XXUz0WdTAS3QGJnsDo+gQswlX4/kZELLxrs3c51u6AGnkxskjKfmdeCTlSaOozYANk7B0PLDOD+T0Q==" saltValue="ZJOjMv8xiCXmoy69xuQU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w5hDKeHYxaUlrAA60+KkWgx8aGVUSdZDQp+WGy0kLDWNeulSqA5UX2gqUB+vMFcZqSLxh46Zl6clThag6JAQ5g==" saltValue="p+XAph+q9cjWL/ynWa0N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+UsEhIDwfLMKBK+xJbqZ+UZ/kkMAERij2hPk41DuS2GGBxNrpeB5vf9B2s0nLrw0nXDlsNZDlOZR7s3kUo1qtQ==" saltValue="ettQZbBqF6UDF7MzWEBr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ncbh0RU+kllp1jbJG/5irNZLrDFXYGtB6bRP7guoGnhflXemUClFegnh22FcSGmPhmRpt96r1mXnJcbdcBjmA==" saltValue="/Mf5v8P9S1Uz1X56biwhv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u+CBfZdAhpTquhHeYKGoYp16gnNuvOJGCzBrUwabD9iHv9BrsU4Trr9IU6etp4ARSGcsMhXVkCvi10Hsu223g==" saltValue="8hW+4cg42s5Pg8cLFvl+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6h3K6l7JgaG72rFr5keqs17/rytv1/fcYYoCBkbsy7F9GzO1E9g+xZY5SYqN4DFVVeYuCwUrWEppiS+XacJNg==" saltValue="m4XXrXTdZdbn+oBF6h2u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2ILw588vtjQAK9RNEHU1nGN24eQ3CGclWGawk6sQN5NDwlxHKlybztfjwOF7kDfB68G+B0y2/Qww6WcX1cNSg==" saltValue="5/JHtD3escG87v4VKeQG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v0aeKym1O/RkoCcjlh1lV14hPPO08E4UiUWMVuO9wYC6eh+/+FvoYPSWQCobEy7ELJ0sVhgeVjQc9nNzj6aEA==" saltValue="p6qYLbGvsjm/W3IlkgEZ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kZQxDzQDVI926KfOc6GN6ggFzl6R+YyNS3fmy3rU931J4yEP69mYQk19BQ/gkmzOmAz/85TDhL9yXrKlLfMGQ==" saltValue="pYBy06WOPOes3AKYIFUz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pkLXgoYISiONi5lFPHP2Z1TnYT2WycynQ7Hl5yKW7aAxmUVMlxEWkDKfVpSeN8BWYqeb2mHqq/sph12nI23pA==" saltValue="iNMT9NUkt5TaCK2T5cQK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XCDnVTzguHHVSTRzV934UVKwa2pwTK1t/or19jR0FkLLhudkl95LHH3o9R1hbUyjbn7/ivFrp9xuU92zKFGbA==" saltValue="Be/tj/2h9W5yA9ZwphHI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cBLNr3+34fiM8EIGt1U3NdRYXzK+HPeUbv1T7iDvEFQ5FomoMXvjpgWVotNS0PIj31nORppgKLoGpep+XeUlQ==" saltValue="0czu2hnoxXwUwf+K7gbE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2025-07-04T04:59:40Z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