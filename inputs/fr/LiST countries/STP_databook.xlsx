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FDE3AD9-99CD-4A5B-B2C0-C77C2FF77D0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36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<sst xmlns="http://schemas.openxmlformats.org/spreadsheetml/2006/main" count="2169" uniqueCount="369">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</sst>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31132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0.68835669999999993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0.11550000000000001</v>
      </c>
    </row>
    <row r="24" spans="1:3" ht="15" customHeight="1" x14ac:dyDescent="0.25">
      <c r="B24" s="15" t="s">
        <v>51</v>
      </c>
      <c r="C24" s="45">
        <v>0.47460000000000002</v>
      </c>
    </row>
    <row r="25" spans="1:3" ht="15" customHeight="1" x14ac:dyDescent="0.25">
      <c r="B25" s="15" t="s">
        <v>52</v>
      </c>
      <c r="C25" s="45">
        <v>0.32340000000000002</v>
      </c>
    </row>
    <row r="26" spans="1:3" ht="15" customHeight="1" x14ac:dyDescent="0.25">
      <c r="B26" s="15" t="s">
        <v>53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6.5631199999999996</v>
      </c>
    </row>
    <row r="38" spans="1:5" ht="15" customHeight="1" x14ac:dyDescent="0.25">
      <c r="B38" s="11" t="s">
        <v>63</v>
      </c>
      <c r="C38" s="43">
        <v>14.3725</v>
      </c>
      <c r="D38" s="12"/>
      <c r="E38" s="13"/>
    </row>
    <row r="39" spans="1:5" ht="15" customHeight="1" x14ac:dyDescent="0.25">
      <c r="B39" s="11" t="s">
        <v>64</v>
      </c>
      <c r="C39" s="43">
        <v>16.718489999999999</v>
      </c>
      <c r="D39" s="12"/>
      <c r="E39" s="12"/>
    </row>
    <row r="40" spans="1:5" ht="15" customHeight="1" x14ac:dyDescent="0.25">
      <c r="B40" s="11" t="s">
        <v>65</v>
      </c>
      <c r="C40" s="98">
        <v>0.59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71</v>
      </c>
      <c r="C47" s="45">
        <v>7.5182200000000005E-2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1.95</v>
      </c>
      <c r="D51" s="12"/>
    </row>
    <row r="52" spans="1:4" ht="15" customHeight="1" x14ac:dyDescent="0.25">
      <c r="B52" s="11" t="s">
        <v>75</v>
      </c>
      <c r="C52" s="98">
        <v>1.95</v>
      </c>
    </row>
    <row r="53" spans="1:4" ht="15.75" customHeight="1" x14ac:dyDescent="0.25">
      <c r="B53" s="11" t="s">
        <v>76</v>
      </c>
      <c r="C53" s="98">
        <v>5.4340000000000002</v>
      </c>
    </row>
    <row r="54" spans="1:4" ht="15.75" customHeight="1" x14ac:dyDescent="0.25">
      <c r="B54" s="11" t="s">
        <v>77</v>
      </c>
      <c r="C54" s="98">
        <v>6.1880000000000006</v>
      </c>
    </row>
    <row r="55" spans="1:4" ht="15.75" customHeight="1" x14ac:dyDescent="0.25">
      <c r="B55" s="11" t="s">
        <v>78</v>
      </c>
      <c r="C55" s="98">
        <v>3.5446666666666662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0.57259000000000004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0.1111475279</v>
      </c>
    </row>
    <row r="63" spans="1:4" ht="15.75" customHeight="1" x14ac:dyDescent="0.3">
      <c r="A63" s="4"/>
    </row>
  </sheetData>
  <sheetProtection algorithmName="SHA-512" hashValue="NwzXVeVCpzpaNKZTdNePgQ+BF2vJAHWJCt6Zx7vBexzL20X9dRg+XcvJReW8a0nGYwMtt3n8WSY6C4z9PkbGnw==" saltValue="e/DGFxitsPOXf041+n6o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ZvBEA4KCI7/bnHRhsg3bL//V2TTJnbBmr8vJcc9UKevsyFyFYHVI+1LHajml4kIwZSoU4yt0lnMPUxhXX8AlA==" saltValue="GLyfJNpegWKZ9B+emsdk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7.2663600000000161E-2</v>
      </c>
    </row>
    <row r="5" spans="1:8" ht="15.75" customHeight="1" x14ac:dyDescent="0.25">
      <c r="B5" s="19" t="s">
        <v>98</v>
      </c>
      <c r="C5" s="99">
        <v>3.2022400000000013E-2</v>
      </c>
    </row>
    <row r="6" spans="1:8" ht="15.75" customHeight="1" x14ac:dyDescent="0.25">
      <c r="B6" s="19" t="s">
        <v>99</v>
      </c>
      <c r="C6" s="99">
        <v>0.18112940000000011</v>
      </c>
    </row>
    <row r="7" spans="1:8" ht="15.75" customHeight="1" x14ac:dyDescent="0.25">
      <c r="B7" s="19" t="s">
        <v>100</v>
      </c>
      <c r="C7" s="99">
        <v>0.43143469999999928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0.18141010000000021</v>
      </c>
    </row>
    <row r="10" spans="1:8" ht="15.75" customHeight="1" x14ac:dyDescent="0.25">
      <c r="B10" s="19" t="s">
        <v>103</v>
      </c>
      <c r="C10" s="99">
        <v>0.1013398000000002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106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107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108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113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4.7837044999999988E-2</v>
      </c>
    </row>
    <row r="27" spans="1:8" ht="15.75" customHeight="1" x14ac:dyDescent="0.25">
      <c r="B27" s="19" t="s">
        <v>120</v>
      </c>
      <c r="C27" s="99">
        <v>1.836863E-2</v>
      </c>
    </row>
    <row r="28" spans="1:8" ht="15.75" customHeight="1" x14ac:dyDescent="0.25">
      <c r="B28" s="19" t="s">
        <v>121</v>
      </c>
      <c r="C28" s="99">
        <v>0.231175139</v>
      </c>
    </row>
    <row r="29" spans="1:8" ht="15.75" customHeight="1" x14ac:dyDescent="0.25">
      <c r="B29" s="19" t="s">
        <v>122</v>
      </c>
      <c r="C29" s="99">
        <v>0.138527135</v>
      </c>
    </row>
    <row r="30" spans="1:8" ht="15.75" customHeight="1" x14ac:dyDescent="0.25">
      <c r="B30" s="19" t="s">
        <v>2</v>
      </c>
      <c r="C30" s="99">
        <v>4.9111505E-2</v>
      </c>
    </row>
    <row r="31" spans="1:8" ht="15.75" customHeight="1" x14ac:dyDescent="0.25">
      <c r="B31" s="19" t="s">
        <v>123</v>
      </c>
      <c r="C31" s="99">
        <v>6.9658183999999998E-2</v>
      </c>
    </row>
    <row r="32" spans="1:8" ht="15.75" customHeight="1" x14ac:dyDescent="0.25">
      <c r="B32" s="19" t="s">
        <v>124</v>
      </c>
      <c r="C32" s="99">
        <v>0.14941447299999999</v>
      </c>
    </row>
    <row r="33" spans="2:3" ht="15.75" customHeight="1" x14ac:dyDescent="0.25">
      <c r="B33" s="19" t="s">
        <v>125</v>
      </c>
      <c r="C33" s="99">
        <v>0.122223571</v>
      </c>
    </row>
    <row r="34" spans="2:3" ht="15.75" customHeight="1" x14ac:dyDescent="0.25">
      <c r="B34" s="19" t="s">
        <v>126</v>
      </c>
      <c r="C34" s="99">
        <v>0.173684317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SYEe9d2Ol1C9L0TkHjyOG80W2X8LILQyR247yHrkImvp3SG8Sdl+itQcBzZXA8G6sX5/CMjf8htBApulXLDVOw==" saltValue="Knp+l1kEj4GqQ8fRRUM3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132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133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137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KGFoacYBu8H/eiQAdc/wWrmUxNkw9+QeDz75OXGQHp2vCneGzoqevG2w6LM9usW+X0C/k5skkgsD15ru7xzsQ==" saltValue="3IzPSszqD0Ymdcslgcu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lbsieyPRBTOLDMwRtfWfsuLfYEBTbTu3pCEeEaBWsW8CiOb5sS96vHKGsn3TZZ4U+1+pdiuEeHGbbOe5yImZgg==" saltValue="Z0DqChogXOlj43XI82720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HDZTIWFXvSbTs3GFzePr4sawmpkgznkyqG9t0Bgb+43uR5xHwbYwaq9FmazmbxH8hcyOtW4WHB9FGDntPW+tA==" saltValue="Pq2la6xRW7gE8h/YpDru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2386.6961758184002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0.43436000000000002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0.39685999999999999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1.718917778663958E-2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96933.289739999993</v>
      </c>
      <c r="C22" s="107">
        <v>96637.338749999995</v>
      </c>
      <c r="D22" s="107">
        <v>96347.932560000001</v>
      </c>
      <c r="E22" s="107">
        <v>95957.418810000003</v>
      </c>
      <c r="F22" s="107">
        <v>95445.618130000003</v>
      </c>
      <c r="G22" s="107">
        <v>94905.706950000007</v>
      </c>
      <c r="H22" s="107">
        <v>94246.119479999994</v>
      </c>
      <c r="I22" s="107">
        <v>93301.41476</v>
      </c>
      <c r="J22" s="107">
        <v>91857.557180000003</v>
      </c>
      <c r="K22" s="107">
        <v>89621.092300000004</v>
      </c>
      <c r="L22" s="107">
        <v>86160.015780000002</v>
      </c>
      <c r="M22" s="107">
        <v>81045.916119999994</v>
      </c>
      <c r="N22" s="107">
        <v>73544.375180000003</v>
      </c>
      <c r="O22" s="107">
        <v>63225.913849999997</v>
      </c>
    </row>
  </sheetData>
  <sheetProtection algorithmName="SHA-512" hashValue="tGryB1e7ss6jCv0zBt3RDYcDAqssn9/Gf6z9hKcuFfCrW8tQDEgi+FAcF7jODvS6vJmeJulTUOzNEBB4o3LKeQ==" saltValue="mmsUggl56EACV5zQ+eJi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NHuCX6Nnn1AabuvnGShV7m3OBMhhvmXR9ozFGBUy45zFjIZzKFKQlDk/C478uaK0Inkj65SJ+GpPToUWiVs0g==" saltValue="cpl3Ry7wx56luDeXqFXK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zg8hcSOMTGgzCQD/qF7bSqdvvQNcZ8N9IT4YYAvOwwnxk1jx+qNd5cO/xOydMaK6/FqR7jz97HOv7HvC2I+xQ==" saltValue="qpzCCkjrwfbotfVNEFmY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1.1113E-2</v>
      </c>
      <c r="C10" s="96">
        <v>0.95</v>
      </c>
      <c r="D10" s="56">
        <v>14.332612801245681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14.332612801245681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14.332612801245681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14.332612801245681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14.332612801245681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0.74299999999999999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0.50451279999999998</v>
      </c>
      <c r="C19" s="96">
        <v>0.95</v>
      </c>
      <c r="D19" s="56">
        <v>4.0260706086583404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4.7482493984987979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0.62744799530607998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0.58558969999999999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0.2004783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0.7196437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0.1203943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1.57512E-2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0.88436999999999999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0.33004980000000012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6yPdEmyKawiePp/wjqp/DDRUkcL61QAQqFnJ7RSCPk5ho+gNmbT9C/ZAlksE9Y68MRSoUbFPZfDomFN1DEJ8PQ==" saltValue="K33cBTyS9toG786I7+V2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+Lvv6OtZm7EDUe4xq0nNuOvgdNjPLC7tKi1FLwtByE/wkjTXxgwGoVkWz9ADUWi4foOqAKbWKHMWjvLHjN/0Q==" saltValue="em2A4at3Z2ta35Ga7mXS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ELtDCCM6l3GgOLVSoV9UoSbHmZVVYTtI6MaMjWqQmikJQlXsN8Wqwqd5FBXIf6sI7Z8TPusHBNPnaaNomg3bQ==" saltValue="dvEldCWkdgWA0HHdBivJ8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1.95</v>
      </c>
      <c r="C2" s="21">
        <f>'Données pop de l''année de ref'!C52</f>
        <v>1.95</v>
      </c>
      <c r="D2" s="21">
        <f>'Données pop de l''année de ref'!C53</f>
        <v>5.4340000000000002</v>
      </c>
      <c r="E2" s="21">
        <f>'Données pop de l''année de ref'!C54</f>
        <v>6.1880000000000006</v>
      </c>
      <c r="F2" s="21">
        <f>'Données pop de l''année de ref'!C55</f>
        <v>3.5446666666666662</v>
      </c>
    </row>
    <row r="3" spans="1:6" ht="15.75" customHeight="1" x14ac:dyDescent="0.25">
      <c r="A3" s="3" t="s">
        <v>238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237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UCcZmXyW4MYHf7vNkbgJol2cjexhlaqsXGt9AR+1A4uvXZMVp9AxQb4BQEnAfgPoDXKZ451xYNswJRsEwIJvLg==" saltValue="76j4U5++sxAJSH02EIi/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P4QTsp4/gik9/QiOj97dYUI+6ezXxGTMgCvmppsHqN7II7uUx/UEgdfCIwHBigtk+bgUWjTtVsi7N/d5lgvWA==" saltValue="cj4QFeKtio11Jp+dPxAq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Xk8hEfjOOePKiNcij63JMEXrHTUQRgMYLN2eQH8Kke/JGNiiMlLmaydImqNi+zXtHjyN357ZQ2lftR1FIn2Lg==" saltValue="8T9GFwBy1hOo8mcASvjP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fbr6rMnSitjf90biXJCXz+9TJJ5TjoRj9DxN+KpLoHSuwYfIjw7VnMbMyo9lil578PWvX76P9M8oAJOJwAapw==" saltValue="b4WOVKtqWCYw5t6rEBNJf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lWUazwH6iQvkILPS7o3csHn0g9nEmNTPVNreAZnPIAfT/I/kGLheMdEl1l0aK1pJyqt6SOSAyI9DtH7+JwwZQ==" saltValue="XtnhUthgET1D7Y6SHq1S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7B369oVFZA4iaEsQVKRsbGsaRP/fDaWwM+TbtEvU8C+sZWk82mN8OGHA2yPbD/31hOoCimLB3/ZyLySMmw/PAg==" saltValue="x/mfKstNp/U4GRo9Z6bo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RPCIVOpbLyxunc4kSvGXf25/+gbpPneovzJOcG38/PAABJ9JPWq/EVUsZEesNLGkKIgpAimfAIydjSt95ZXmA==" saltValue="bBIGu1ibzCSUhhCZELnV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SEA3OEYHX60yfFyXgXXama7z7GEJr8R1506w1uchN61WKfA0FIdIf8wdQjynu9oozd/hOKPspTLVE2/EFhdvQ==" saltValue="4/kHDaIRR4+J7YlE2fDO5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sPHG5tQ8KLgXtSs/AxzX8w08s14s6xRP25uUECfCXQ3XRpkoczC8SToG012u9rPuxup0/FTgT+pA+llWqctgw==" saltValue="VgRflRBPUXaqXJm7xvMC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dhsmQSPLQU3sAbHR+wep7tFoCeOdad5FXmqtkpZAx5aQmkAMFzi0uDdmtOqzp3Km2clg6HW3Bjpwb4g47KZkw==" saltValue="CDVEbbgq/EyJzg6U1j/p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mSXrarJw9K8lb0Dd2ok3mn7x6hQw5lrR0VqJeDdpOHpLvuzNyOGw4gRM5Nbut1Ol9XDdanmoczFaZL0iOPPeQ==" saltValue="ocbWbs8c3MGSZ5lrhj76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mMXQHhNLDVs9Ef0LJ+KQSgrQeQEW8llt26vDvpMBR5mxS95tyKU2LcASO7Z4SPtMf8pJMaF/b0BGuvfwLKLrA==" saltValue="+9KGtKa+BHw/BtCKOpO2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TxFeNUbzQqSYcaEvNxNYRIqBdsceJcOK33THud/d2bDYdVI86Noilqsro1nwIQ/hGzg6n1eY7e+DLKzGJcIog==" saltValue="DgsvsiiUGoeMZA0dzFMc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KnjeTiEZ0KK7X92kqymD4sLVAqI6loaZG8AG8iQLXOM03CJwOukQNXccWB8GgjWIN54ze3+ZZrniDVvRstFdg==" saltValue="YzTkRdIB+XgWUchER2ob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SDYcijz6lMQXLacfTs4EY1kPC1v9SDU9dVIt1pdruz6k89dtnNjk3nfAv0JzmTQgdUzg9Miq8yKL6J3dzD9dw==" saltValue="eAbBDaTpM8oEfGv3W2QA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B+cOXvrj0DOD5KoBXJsyzESA8vwWhRe65a6GkDlQ/4CRHldrP5gozCyz29jHn5j0BoMkFylx/gMLCwy5c9fiw==" saltValue="rzZuASw4hyq0KrrF80Z3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