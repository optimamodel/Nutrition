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4049D6A-04AB-40D9-A064-EC92A287C98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A32" i="2"/>
  <c r="A31" i="2"/>
  <c r="A29" i="2"/>
  <c r="A21" i="2"/>
  <c r="A20" i="2"/>
  <c r="A1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3" i="2" l="1"/>
  <c r="A24" i="2"/>
  <c r="A34" i="2"/>
  <c r="I40" i="2"/>
  <c r="A33" i="2"/>
  <c r="A15" i="2"/>
  <c r="A36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6" i="2"/>
  <c r="A37" i="2"/>
  <c r="A17" i="2"/>
  <c r="A28" i="2"/>
  <c r="I38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<sst xmlns="http://schemas.openxmlformats.org/spreadsheetml/2006/main" count="2101" uniqueCount="337">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</sst>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29873.677734375029</v>
      </c>
    </row>
    <row r="8" spans="1:3" ht="15" customHeight="1" x14ac:dyDescent="0.25">
      <c r="B8" s="5" t="s">
        <v>19</v>
      </c>
      <c r="C8" s="44">
        <v>1.0999999999999999E-2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0.68290496826171898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0.11550000000000001</v>
      </c>
    </row>
    <row r="24" spans="1:3" ht="15" customHeight="1" x14ac:dyDescent="0.25">
      <c r="B24" s="15" t="s">
        <v>33</v>
      </c>
      <c r="C24" s="45">
        <v>0.47460000000000002</v>
      </c>
    </row>
    <row r="25" spans="1:3" ht="15" customHeight="1" x14ac:dyDescent="0.25">
      <c r="B25" s="15" t="s">
        <v>34</v>
      </c>
      <c r="C25" s="45">
        <v>0.32340000000000002</v>
      </c>
    </row>
    <row r="26" spans="1:3" ht="15" customHeight="1" x14ac:dyDescent="0.25">
      <c r="B26" s="15" t="s">
        <v>35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6.5631199999999996</v>
      </c>
    </row>
    <row r="38" spans="1:5" ht="15" customHeight="1" x14ac:dyDescent="0.25">
      <c r="B38" s="11" t="s">
        <v>45</v>
      </c>
      <c r="C38" s="43">
        <v>14.3725</v>
      </c>
      <c r="D38" s="12"/>
      <c r="E38" s="13"/>
    </row>
    <row r="39" spans="1:5" ht="15" customHeight="1" x14ac:dyDescent="0.25">
      <c r="B39" s="11" t="s">
        <v>46</v>
      </c>
      <c r="C39" s="43">
        <v>16.718489999999999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6.1190999999999997E-3</v>
      </c>
      <c r="D45" s="12"/>
    </row>
    <row r="46" spans="1:5" ht="15.75" customHeight="1" x14ac:dyDescent="0.25">
      <c r="B46" s="11" t="s">
        <v>52</v>
      </c>
      <c r="C46" s="45">
        <v>6.5748799999999996E-2</v>
      </c>
      <c r="D46" s="12"/>
    </row>
    <row r="47" spans="1:5" ht="15.75" customHeight="1" x14ac:dyDescent="0.25">
      <c r="B47" s="11" t="s">
        <v>53</v>
      </c>
      <c r="C47" s="45">
        <v>7.5182200000000005E-2</v>
      </c>
      <c r="D47" s="12"/>
      <c r="E47" s="13"/>
    </row>
    <row r="48" spans="1:5" ht="15" customHeight="1" x14ac:dyDescent="0.25">
      <c r="B48" s="11" t="s">
        <v>54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0.57259000000000004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IakJOeKqGaGeYzbAm/EHIg8fzNvUUO7JC4QP2hRwzqqYm+mgmB/LHMOY/BPxmzXOKNwr9C7fhzCTmR8mfPRblQ==" saltValue="0K1Ft+IqA0gPYDCYuXap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6538</v>
      </c>
      <c r="C2" s="49">
        <v>16652.5</v>
      </c>
      <c r="D2" s="49">
        <v>19748.5</v>
      </c>
      <c r="E2" s="49">
        <v>13500.5</v>
      </c>
      <c r="F2" s="49">
        <v>10361</v>
      </c>
      <c r="G2" s="17">
        <f t="shared" ref="G2:G13" si="0">C2+D2+E2+F2</f>
        <v>60262.5</v>
      </c>
      <c r="H2" s="17">
        <f t="shared" ref="H2:H13" si="1">(B2 + stillbirth*B2/(1000-stillbirth))/(1-abortion)</f>
        <v>7486.5699843247576</v>
      </c>
      <c r="I2" s="17">
        <f t="shared" ref="I2:I13" si="2">G2-H2</f>
        <v>52775.930015675243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6632</v>
      </c>
      <c r="C3" s="50">
        <v>16747.5</v>
      </c>
      <c r="D3" s="50">
        <v>20695</v>
      </c>
      <c r="E3" s="50">
        <v>13571.5</v>
      </c>
      <c r="F3" s="50">
        <v>10716</v>
      </c>
      <c r="G3" s="17">
        <f t="shared" si="0"/>
        <v>61730</v>
      </c>
      <c r="H3" s="17">
        <f t="shared" si="1"/>
        <v>7594.2080354912505</v>
      </c>
      <c r="I3" s="17">
        <f t="shared" si="2"/>
        <v>54135.791964508753</v>
      </c>
    </row>
    <row r="4" spans="1:9" ht="15.75" customHeight="1" x14ac:dyDescent="0.25">
      <c r="A4" s="5">
        <f t="shared" si="3"/>
        <v>2026</v>
      </c>
      <c r="B4" s="49">
        <v>6745</v>
      </c>
      <c r="C4" s="50">
        <v>16923.5</v>
      </c>
      <c r="D4" s="50">
        <v>21676.5</v>
      </c>
      <c r="E4" s="50">
        <v>13727.5</v>
      </c>
      <c r="F4" s="50">
        <v>10989.5</v>
      </c>
      <c r="G4" s="17">
        <f t="shared" si="0"/>
        <v>63317</v>
      </c>
      <c r="H4" s="17">
        <f t="shared" si="1"/>
        <v>7723.6027140211818</v>
      </c>
      <c r="I4" s="17">
        <f t="shared" si="2"/>
        <v>55593.397285978819</v>
      </c>
    </row>
    <row r="5" spans="1:9" ht="15.75" customHeight="1" x14ac:dyDescent="0.25">
      <c r="A5" s="5">
        <f t="shared" si="3"/>
        <v>2027</v>
      </c>
      <c r="B5" s="49">
        <v>6822</v>
      </c>
      <c r="C5" s="50">
        <v>17196</v>
      </c>
      <c r="D5" s="50">
        <v>22669.5</v>
      </c>
      <c r="E5" s="50">
        <v>13979</v>
      </c>
      <c r="F5" s="50">
        <v>11187</v>
      </c>
      <c r="G5" s="17">
        <f t="shared" si="0"/>
        <v>65031.5</v>
      </c>
      <c r="H5" s="17">
        <f t="shared" si="1"/>
        <v>7811.7743091256498</v>
      </c>
      <c r="I5" s="17">
        <f t="shared" si="2"/>
        <v>57219.725690874351</v>
      </c>
    </row>
    <row r="6" spans="1:9" ht="15.75" customHeight="1" x14ac:dyDescent="0.25">
      <c r="A6" s="5">
        <f t="shared" si="3"/>
        <v>2028</v>
      </c>
      <c r="B6" s="49">
        <v>6921</v>
      </c>
      <c r="C6" s="50">
        <v>17411.5</v>
      </c>
      <c r="D6" s="50">
        <v>23615</v>
      </c>
      <c r="E6" s="50">
        <v>14324.5</v>
      </c>
      <c r="F6" s="50">
        <v>11313</v>
      </c>
      <c r="G6" s="17">
        <f t="shared" si="0"/>
        <v>66664</v>
      </c>
      <c r="H6" s="17">
        <f t="shared" si="1"/>
        <v>7925.1377885456786</v>
      </c>
      <c r="I6" s="17">
        <f t="shared" si="2"/>
        <v>58738.862211454325</v>
      </c>
    </row>
    <row r="7" spans="1:9" ht="15.75" customHeight="1" x14ac:dyDescent="0.25">
      <c r="A7" s="5">
        <f t="shared" si="3"/>
        <v>2029</v>
      </c>
      <c r="B7" s="49">
        <v>7009</v>
      </c>
      <c r="C7" s="50">
        <v>17605</v>
      </c>
      <c r="D7" s="50">
        <v>24444.5</v>
      </c>
      <c r="E7" s="50">
        <v>14767</v>
      </c>
      <c r="F7" s="50">
        <v>11382</v>
      </c>
      <c r="G7" s="17">
        <f t="shared" si="0"/>
        <v>68198.5</v>
      </c>
      <c r="H7" s="17">
        <f t="shared" si="1"/>
        <v>8025.9053258079266</v>
      </c>
      <c r="I7" s="17">
        <f t="shared" si="2"/>
        <v>60172.594674192071</v>
      </c>
    </row>
    <row r="8" spans="1:9" ht="15.75" customHeight="1" x14ac:dyDescent="0.25">
      <c r="A8" s="5">
        <f t="shared" si="3"/>
        <v>2030</v>
      </c>
      <c r="B8" s="49">
        <v>7080</v>
      </c>
      <c r="C8" s="50">
        <v>17809.5</v>
      </c>
      <c r="D8" s="50">
        <v>25107.5</v>
      </c>
      <c r="E8" s="50">
        <v>15314.5</v>
      </c>
      <c r="F8" s="50">
        <v>11404</v>
      </c>
      <c r="G8" s="17">
        <f t="shared" si="0"/>
        <v>69635.5</v>
      </c>
      <c r="H8" s="17">
        <f t="shared" si="1"/>
        <v>8107.2064070081506</v>
      </c>
      <c r="I8" s="17">
        <f t="shared" si="2"/>
        <v>61528.293592991846</v>
      </c>
    </row>
    <row r="9" spans="1:9" ht="15.75" customHeight="1" x14ac:dyDescent="0.25">
      <c r="A9" s="5">
        <f t="shared" si="3"/>
        <v>2031</v>
      </c>
      <c r="B9" s="49">
        <v>7183</v>
      </c>
      <c r="C9" s="50">
        <v>18008.5</v>
      </c>
      <c r="D9" s="50">
        <v>25604.5</v>
      </c>
      <c r="E9" s="50">
        <v>15971.5</v>
      </c>
      <c r="F9" s="50">
        <v>11391</v>
      </c>
      <c r="G9" s="17">
        <f t="shared" si="0"/>
        <v>70975.5</v>
      </c>
      <c r="H9" s="17">
        <f t="shared" si="1"/>
        <v>8225.1502290310091</v>
      </c>
      <c r="I9" s="17">
        <f t="shared" si="2"/>
        <v>62750.349770968991</v>
      </c>
    </row>
    <row r="10" spans="1:9" ht="15.75" customHeight="1" x14ac:dyDescent="0.25">
      <c r="A10" s="5">
        <f t="shared" si="3"/>
        <v>2032</v>
      </c>
      <c r="B10" s="49">
        <v>7281</v>
      </c>
      <c r="C10" s="50">
        <v>18004</v>
      </c>
      <c r="D10" s="50">
        <v>26159.5</v>
      </c>
      <c r="E10" s="50">
        <v>16732.5</v>
      </c>
      <c r="F10" s="50">
        <v>11355.5</v>
      </c>
      <c r="G10" s="17">
        <f t="shared" si="0"/>
        <v>72251.5</v>
      </c>
      <c r="H10" s="17">
        <f t="shared" si="1"/>
        <v>8337.3686228003298</v>
      </c>
      <c r="I10" s="17">
        <f t="shared" si="2"/>
        <v>63914.131377199672</v>
      </c>
    </row>
    <row r="11" spans="1:9" ht="15.75" customHeight="1" x14ac:dyDescent="0.25">
      <c r="A11" s="5">
        <f t="shared" si="3"/>
        <v>2033</v>
      </c>
      <c r="B11" s="49">
        <v>7365</v>
      </c>
      <c r="C11" s="50">
        <v>17840.5</v>
      </c>
      <c r="D11" s="50">
        <v>26791</v>
      </c>
      <c r="E11" s="50">
        <v>17570.5</v>
      </c>
      <c r="F11" s="50">
        <v>11310.5</v>
      </c>
      <c r="G11" s="17">
        <f t="shared" si="0"/>
        <v>73512.5</v>
      </c>
      <c r="H11" s="17">
        <f t="shared" si="1"/>
        <v>8433.5558174597481</v>
      </c>
      <c r="I11" s="17">
        <f t="shared" si="2"/>
        <v>65078.944182540254</v>
      </c>
    </row>
    <row r="12" spans="1:9" ht="15.75" customHeight="1" x14ac:dyDescent="0.25">
      <c r="A12" s="5">
        <f t="shared" si="3"/>
        <v>2034</v>
      </c>
      <c r="B12" s="49">
        <v>7431</v>
      </c>
      <c r="C12" s="50">
        <v>17720</v>
      </c>
      <c r="D12" s="50">
        <v>27305</v>
      </c>
      <c r="E12" s="50">
        <v>18463</v>
      </c>
      <c r="F12" s="50">
        <v>11286</v>
      </c>
      <c r="G12" s="17">
        <f t="shared" si="0"/>
        <v>74774</v>
      </c>
      <c r="H12" s="17">
        <f t="shared" si="1"/>
        <v>8509.1314704064353</v>
      </c>
      <c r="I12" s="17">
        <f t="shared" si="2"/>
        <v>66264.868529593572</v>
      </c>
    </row>
    <row r="13" spans="1:9" ht="15.75" customHeight="1" x14ac:dyDescent="0.25">
      <c r="A13" s="5">
        <f t="shared" si="3"/>
        <v>2035</v>
      </c>
      <c r="B13" s="49">
        <v>7492</v>
      </c>
      <c r="C13" s="50">
        <v>17670.5</v>
      </c>
      <c r="D13" s="50">
        <v>27681</v>
      </c>
      <c r="E13" s="50">
        <v>19397</v>
      </c>
      <c r="F13" s="50">
        <v>11308</v>
      </c>
      <c r="G13" s="17">
        <f t="shared" si="0"/>
        <v>76056.5</v>
      </c>
      <c r="H13" s="17">
        <f t="shared" si="1"/>
        <v>8578.9816950995846</v>
      </c>
      <c r="I13" s="17">
        <f t="shared" si="2"/>
        <v>67477.518304900412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JkfzK/C5qql77XeWqxWA/JOSN1SlgA4TW1l03c8bC1ROI4vP7GsV0IsOcxGdMZJD+BM4YLd0O+GYmVKpOAmDQ==" saltValue="yZRZI5Y1mySHARSLuT3/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7.2663600000000161E-2</v>
      </c>
    </row>
    <row r="5" spans="1:8" ht="15.75" customHeight="1" x14ac:dyDescent="0.25">
      <c r="B5" s="19" t="s">
        <v>80</v>
      </c>
      <c r="C5" s="101">
        <v>3.2022400000000013E-2</v>
      </c>
    </row>
    <row r="6" spans="1:8" ht="15.75" customHeight="1" x14ac:dyDescent="0.25">
      <c r="B6" s="19" t="s">
        <v>81</v>
      </c>
      <c r="C6" s="101">
        <v>0.18112940000000011</v>
      </c>
    </row>
    <row r="7" spans="1:8" ht="15.75" customHeight="1" x14ac:dyDescent="0.25">
      <c r="B7" s="19" t="s">
        <v>82</v>
      </c>
      <c r="C7" s="101">
        <v>0.43143469999999928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0.18141010000000021</v>
      </c>
    </row>
    <row r="10" spans="1:8" ht="15.75" customHeight="1" x14ac:dyDescent="0.25">
      <c r="B10" s="19" t="s">
        <v>85</v>
      </c>
      <c r="C10" s="101">
        <v>0.1013398000000002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88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89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90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95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4.7837044999999988E-2</v>
      </c>
    </row>
    <row r="27" spans="1:8" ht="15.75" customHeight="1" x14ac:dyDescent="0.25">
      <c r="B27" s="19" t="s">
        <v>102</v>
      </c>
      <c r="C27" s="101">
        <v>1.836863E-2</v>
      </c>
    </row>
    <row r="28" spans="1:8" ht="15.75" customHeight="1" x14ac:dyDescent="0.25">
      <c r="B28" s="19" t="s">
        <v>103</v>
      </c>
      <c r="C28" s="101">
        <v>0.231175139</v>
      </c>
    </row>
    <row r="29" spans="1:8" ht="15.75" customHeight="1" x14ac:dyDescent="0.25">
      <c r="B29" s="19" t="s">
        <v>104</v>
      </c>
      <c r="C29" s="101">
        <v>0.138527135</v>
      </c>
    </row>
    <row r="30" spans="1:8" ht="15.75" customHeight="1" x14ac:dyDescent="0.25">
      <c r="B30" s="19" t="s">
        <v>2</v>
      </c>
      <c r="C30" s="101">
        <v>4.9111505E-2</v>
      </c>
    </row>
    <row r="31" spans="1:8" ht="15.75" customHeight="1" x14ac:dyDescent="0.25">
      <c r="B31" s="19" t="s">
        <v>105</v>
      </c>
      <c r="C31" s="101">
        <v>6.9658183999999998E-2</v>
      </c>
    </row>
    <row r="32" spans="1:8" ht="15.75" customHeight="1" x14ac:dyDescent="0.25">
      <c r="B32" s="19" t="s">
        <v>106</v>
      </c>
      <c r="C32" s="101">
        <v>0.14941447299999999</v>
      </c>
    </row>
    <row r="33" spans="2:3" ht="15.75" customHeight="1" x14ac:dyDescent="0.25">
      <c r="B33" s="19" t="s">
        <v>107</v>
      </c>
      <c r="C33" s="101">
        <v>0.122223571</v>
      </c>
    </row>
    <row r="34" spans="2:3" ht="15.75" customHeight="1" x14ac:dyDescent="0.25">
      <c r="B34" s="19" t="s">
        <v>108</v>
      </c>
      <c r="C34" s="101">
        <v>0.173684317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zGUCyk7O3Ufc0FIy7J4+3IgYu6MpE7j5A7NM9wchfDf1GgSo7RK6JXquQJDyNdVmrClWILVIA4gcOmy5WxijTw==" saltValue="tRNBcexqcCYr2csK7X0x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114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115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119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120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pq0KXaLk/Y+7wiW5W6hE7RVy0uJxxMlXcbmR3on8f4RrwUZPf/DrgAq4wJ58pEl0ptpLuUuH3qr4eGVu6TbJw==" saltValue="/l2OkMSj43Sziux6y0FH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132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jVSUyeFmYHBKMWh/Zg9Oh5EFIB6U7TOLzFRjoVVzLD+Oey4zpYME/Z+LUnsBj5HfFN43wiHI60oWtjbue0i7nQ==" saltValue="Ho9x7dNSHnleeUEj+KVE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RqgQQUJdhRBmTTsx2pTh+7BuDQePHp1riAm3HCpFhU/HZa/SFDse/dbF3YG7V1mRd0z6+hTiA/k19Q7VA/BOg==" saltValue="tP4Ue3QjVYvUPljv4H3B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Y6c1KQwYuMvVyCwJ7F3BcoZ0gcyzZcEwBdBL1XYh1CK+pKKvymwLm0jr9f73luiHtZg7yu7luLdZl4yyIl65Lg==" saltValue="1oBglhdsepXvoSrEz7Yp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8vJIXdXwj2pDURVJKdf9icgC026I7j362z0msoBlgWjzQ/DxfG4CHOY8pCLb1O6T1IPzuzeivL/H/rFuQL3Pg==" saltValue="/xl/d9dm3dnZUZPFG8y+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QdbbCq5fF5qhJCQ8xAPkzp2zy6CaiYEJt5RVtbNTiSv+sKk5okK0HMuvHcBflFEciCcm5AJ7hM2zC/WmpUctWw==" saltValue="RGO/wXnWfpxhIUeCFpUe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0.94053016777428589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0.39138418028773941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1.1113E-2</v>
      </c>
      <c r="C10" s="98">
        <v>0.95</v>
      </c>
      <c r="D10" s="56">
        <v>14.332612801245681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14.332612801245681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14.332612801245681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14.332612801245681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1.1113E-2</v>
      </c>
      <c r="C14" s="98">
        <v>0.95</v>
      </c>
      <c r="D14" s="56">
        <v>14.332612801245681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14.332612801245681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0.74299999999999999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0.50451279999999998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24.509852846612429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4.7482493984987979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0.62744799530607998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1.1113E-2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0.58558969999999999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0.2004783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0.7196437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0.1203943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1.57512E-2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0.88436999999999999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B5NteLPvQxurI+tTlg07yEpAwTvLKxJH5ELDhliyI3NvFcleunhanh0bNoaJo3k9GuTGAYDW4nrqLAmutdreiQ==" saltValue="x8lk09uW16iqf+ayXpYI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+ocaIQzY7M1EZYU/HWYl+wJvetscb8Wl04QgzQ5Gxuz+oFt7ZcQysLc/NGdwZTO2v7tVTZc2RsrlFzCd8jKQEA==" saltValue="xZwmOG+TNt12N3/IbRrJ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Xilf4tsIhMdEDPf4FaQ53ULZdnqLDsMruWN1sAK5dNj3WgRi2hidEQX+xMlsDyMfkyzaeeZknWFjJxli3kp3Mg==" saltValue="daUNkdwbB6PR+erGPiWc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wiMkjNyjy3Ok0pX/yPrajNwUUF9DcOoqhR90S9kmnJhT4hBsQKHblumTVzF0FamDXnYev7RoQfRsUOd2vTDW4A==" saltValue="oei9ed3UZmb6PGLh6AMM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xFPDJzRRoknPzVSO7twGIcsD6gwSv87ZjTZCcs31d4jgGoa8aLWgA+egBgkiLEkz0nxvMjI6Sx0mHthzaZ+CQ==" saltValue="oAeZMxiyG8dr1/+PVD1D6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MVz/OhA/TnvFi/HujLOxo0KbmC46+8scpkT8IyVdrih/mvx1g0PaAV10+OstYydYiY/lKEiZx1ja4QnLjGURA==" saltValue="kXVaXBlBtwSCvhYJRd9qH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IwkZZ4eNtRZq2bttPko+ytkYUnnFw2RK4ge4Fu+3/+ZPnnfUbqoy+0AVrp3RYX/an7D8WXRiXeMWmpygj8Ttw==" saltValue="ZkD5c4hC4o3iofSWEQyK3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7ksybWx+i4XjNLQmGIflMoJ/fgZui3QY5EmptwErMo2hcFknH6BiECoFM2k6tgVGdsNG9QUdXEDU5ZmxLOveg==" saltValue="4rTlfwAEzrQBaqIp+KB/G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ig+BIMG8o/EJfDDO/RrRvvYWlpJV8tR9tBWR/V1pwt3mx3HNcEWfKtzd8adWaZGzJDDo0pEO6Rsw6ywb5GweA==" saltValue="y+ut96Ixa2jIU+WjrjxU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fVU6S2ll3Ss4jcueL0UFT7v+xhc/fQoxfy9N3AtmaMn89NnXbPsxcGnmaip3viRvHTakC9tinu1vCQE+MmtwQ==" saltValue="ZISWuAav3x5vYPegx4bF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cP3wnMGKZ4nrbxKwkG/1AW9wz2RALn0CBd9juxQoPjshVWv+6xZ8A6VanHpWajFhDV1Ke+DXtP132Aps/XQlw==" saltValue="bEwORAXQD1Ls+4CP3eQMI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BVwc5zfIbNrP1/6EOKnwo7CNB0HsQkCVuviwvhQsBCEpwvvcTA6x0H5ZPCUdzqJ5Tg7w0mAyVuhzJM8pFT8RA==" saltValue="q+J9pBif/pFFZM+lL8a3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lFPm278U5ajFjIzmefKobIdjh0ismbaxxSEZpWFYYRi/p9N2epraPqqQT8FVGpbZo0ogvmU0E835vr/+s22sQ==" saltValue="j3Pi8fXnL5gZenhKhGKT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QDJfa+AJtpITzqvSU8qZz0aLmsI7awmRxHX72SHD4TP2Z7ozB289sBI1qgwj0v0PRaZN08Jq9vK7US9a9QiIw==" saltValue="xgzCdOzPfcVbBIy5y4KH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0i63Uj3uMwCJQOb6bve+PN/PFmkjfhjglVfdBwNtHjed/VC9z6SCiVO8I3XLF0CKJ+oU+gYhRk4qYji9fNlhw==" saltValue="cn8NZOs2nVm6YRdFlehD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QvdCXrIlbiy9JZfJN67q2ITnOOp2j0rn/Zu0+H9hSN+kQ/PCbm5TCt6yew96h7oAXXizyrLkOnv+NsteTPIQw==" saltValue="oQDweoFHCEYMRyut7Sn1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8m0vzDSjEf0AGsZynh0MhrnEXctD21RYCogYUojy9b9BDG0BtIATe0oyIJBZKgnL1C0LLTnK/7sMZlKdUhK7w==" saltValue="QpqbjaaoPTtEL0qf3cbz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j0mBdH88Y4Hs+hobQpi9VcBDfYq9uh5WWADj1JKK9zxw8dy2v7YHxROYBQRmPaTDWxcJEa2Le1GY/PgzQRcTQ==" saltValue="RctZQ76wtwkWnDPHIxWG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q4mCUVA+SPh9I40Rkhkd6bni/c7S3mVJ4FApZMxCMid+kkfefUNfqvkO3Vm60gYjnYB+hGkathNfzoftLPSJw==" saltValue="p+ag5/48Xwd4c5RhHZjG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2024-08-06T09:46:46Z</dcterms:modified>
</cp:coreProperties>
</file>