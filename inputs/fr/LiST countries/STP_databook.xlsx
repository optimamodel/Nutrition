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2D1AB024-BF95-40F5-BE3B-D7D53A52F4F6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36" i="2" l="1"/>
  <c r="A35" i="2"/>
  <c r="A37" i="2"/>
  <c r="I7" i="2"/>
  <c r="I13" i="2"/>
  <c r="A19" i="2"/>
  <c r="A22" i="2"/>
  <c r="A23" i="2"/>
  <c r="A24" i="2"/>
  <c r="A40" i="2"/>
  <c r="I4" i="2"/>
  <c r="A25" i="2"/>
  <c r="A26" i="2"/>
  <c r="I38" i="2"/>
  <c r="A31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<sst xmlns="http://schemas.openxmlformats.org/spreadsheetml/2006/main" count="2169" uniqueCount="369">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</sst>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31132</v>
      </c>
    </row>
    <row r="8" spans="1:3" ht="15" customHeight="1" x14ac:dyDescent="0.25">
      <c r="B8" s="5" t="s">
        <v>37</v>
      </c>
      <c r="C8" s="44">
        <v>0.55500000000000005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0.68835669999999993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0.27079180898833899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0.11550000000000001</v>
      </c>
    </row>
    <row r="24" spans="1:3" ht="15" customHeight="1" x14ac:dyDescent="0.25">
      <c r="B24" s="15" t="s">
        <v>51</v>
      </c>
      <c r="C24" s="45">
        <v>0.47460000000000002</v>
      </c>
    </row>
    <row r="25" spans="1:3" ht="15" customHeight="1" x14ac:dyDescent="0.25">
      <c r="B25" s="15" t="s">
        <v>52</v>
      </c>
      <c r="C25" s="45">
        <v>0.32340000000000002</v>
      </c>
    </row>
    <row r="26" spans="1:3" ht="15" customHeight="1" x14ac:dyDescent="0.25">
      <c r="B26" s="15" t="s">
        <v>53</v>
      </c>
      <c r="C26" s="45">
        <v>8.6500000000000007E-2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0.35185775257007201</v>
      </c>
    </row>
    <row r="30" spans="1:3" ht="14.25" customHeight="1" x14ac:dyDescent="0.25">
      <c r="B30" s="25" t="s">
        <v>56</v>
      </c>
      <c r="C30" s="97">
        <v>2.3858720907234902E-2</v>
      </c>
    </row>
    <row r="31" spans="1:3" ht="14.25" customHeight="1" x14ac:dyDescent="0.25">
      <c r="B31" s="25" t="s">
        <v>57</v>
      </c>
      <c r="C31" s="97">
        <v>3.4342930038455802E-2</v>
      </c>
    </row>
    <row r="32" spans="1:3" ht="14.25" customHeight="1" x14ac:dyDescent="0.25">
      <c r="B32" s="25" t="s">
        <v>58</v>
      </c>
      <c r="C32" s="97">
        <v>0.58994059648423802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6.5631199999999996</v>
      </c>
    </row>
    <row r="38" spans="1:5" ht="15" customHeight="1" x14ac:dyDescent="0.25">
      <c r="B38" s="11" t="s">
        <v>63</v>
      </c>
      <c r="C38" s="43">
        <v>14.3725</v>
      </c>
      <c r="D38" s="12"/>
      <c r="E38" s="13"/>
    </row>
    <row r="39" spans="1:5" ht="15" customHeight="1" x14ac:dyDescent="0.25">
      <c r="B39" s="11" t="s">
        <v>64</v>
      </c>
      <c r="C39" s="43">
        <v>16.718489999999999</v>
      </c>
      <c r="D39" s="12"/>
      <c r="E39" s="12"/>
    </row>
    <row r="40" spans="1:5" ht="15" customHeight="1" x14ac:dyDescent="0.25">
      <c r="B40" s="11" t="s">
        <v>65</v>
      </c>
      <c r="C40" s="98">
        <v>0.59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7.6169099999999998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6.1190999999999997E-3</v>
      </c>
      <c r="D45" s="12"/>
    </row>
    <row r="46" spans="1:5" ht="15.75" customHeight="1" x14ac:dyDescent="0.25">
      <c r="B46" s="11" t="s">
        <v>70</v>
      </c>
      <c r="C46" s="45">
        <v>6.5748799999999996E-2</v>
      </c>
      <c r="D46" s="12"/>
    </row>
    <row r="47" spans="1:5" ht="15.75" customHeight="1" x14ac:dyDescent="0.25">
      <c r="B47" s="11" t="s">
        <v>71</v>
      </c>
      <c r="C47" s="45">
        <v>7.5182200000000005E-2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1.95</v>
      </c>
      <c r="D51" s="12"/>
    </row>
    <row r="52" spans="1:4" ht="15" customHeight="1" x14ac:dyDescent="0.25">
      <c r="B52" s="11" t="s">
        <v>75</v>
      </c>
      <c r="C52" s="98">
        <v>1.95</v>
      </c>
    </row>
    <row r="53" spans="1:4" ht="15.75" customHeight="1" x14ac:dyDescent="0.25">
      <c r="B53" s="11" t="s">
        <v>76</v>
      </c>
      <c r="C53" s="98">
        <v>5.4340000000000002</v>
      </c>
    </row>
    <row r="54" spans="1:4" ht="15.75" customHeight="1" x14ac:dyDescent="0.25">
      <c r="B54" s="11" t="s">
        <v>77</v>
      </c>
      <c r="C54" s="98">
        <v>6.1880000000000006</v>
      </c>
    </row>
    <row r="55" spans="1:4" ht="15.75" customHeight="1" x14ac:dyDescent="0.25">
      <c r="B55" s="11" t="s">
        <v>78</v>
      </c>
      <c r="C55" s="98">
        <v>3.5446666666666662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0.57259000000000004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0.1111475279</v>
      </c>
    </row>
    <row r="63" spans="1:4" ht="15.75" customHeight="1" x14ac:dyDescent="0.3">
      <c r="A63" s="4"/>
    </row>
  </sheetData>
  <sheetProtection algorithmName="SHA-512" hashValue="sqz4Mcyf7+3jfFJdtETDNxXW6Hf+5gwQiTEulawVLx+FWKWHFnTf0XckZtjXjUZXG5gBDEfgGSMe5wV+6y5Uyw==" saltValue="O3iqIZuBmEo03enMnuW0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6617</v>
      </c>
      <c r="C2" s="49">
        <v>13763</v>
      </c>
      <c r="D2" s="49">
        <v>19984</v>
      </c>
      <c r="E2" s="49">
        <v>13853.5</v>
      </c>
      <c r="F2" s="49">
        <v>11759</v>
      </c>
      <c r="G2" s="17">
        <f t="shared" ref="G2:G13" si="0">C2+D2+E2+F2</f>
        <v>59359.5</v>
      </c>
      <c r="H2" s="17">
        <f t="shared" ref="H2:H13" si="1">(B2 + stillbirth*B2/(1000-stillbirth))/(1-abortion)</f>
        <v>7577.0317507306399</v>
      </c>
      <c r="I2" s="17">
        <f t="shared" ref="I2:I13" si="2">G2-H2</f>
        <v>51782.468249269361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6688</v>
      </c>
      <c r="C3" s="50">
        <v>13881.5</v>
      </c>
      <c r="D3" s="50">
        <v>20894</v>
      </c>
      <c r="E3" s="50">
        <v>13970.5</v>
      </c>
      <c r="F3" s="50">
        <v>12129</v>
      </c>
      <c r="G3" s="17">
        <f t="shared" si="0"/>
        <v>60875</v>
      </c>
      <c r="H3" s="17">
        <f t="shared" si="1"/>
        <v>7658.3328319308621</v>
      </c>
      <c r="I3" s="17">
        <f t="shared" si="2"/>
        <v>53216.667168069136</v>
      </c>
    </row>
    <row r="4" spans="1:9" ht="15.75" customHeight="1" x14ac:dyDescent="0.25">
      <c r="A4" s="5">
        <f t="shared" si="3"/>
        <v>2026</v>
      </c>
      <c r="B4" s="49">
        <v>6777</v>
      </c>
      <c r="C4" s="50">
        <v>13838.5</v>
      </c>
      <c r="D4" s="50">
        <v>21828</v>
      </c>
      <c r="E4" s="50">
        <v>14165.5</v>
      </c>
      <c r="F4" s="50">
        <v>12412</v>
      </c>
      <c r="G4" s="17">
        <f t="shared" si="0"/>
        <v>62244</v>
      </c>
      <c r="H4" s="17">
        <f t="shared" si="1"/>
        <v>7760.2454548438182</v>
      </c>
      <c r="I4" s="17">
        <f t="shared" si="2"/>
        <v>54483.754545156182</v>
      </c>
    </row>
    <row r="5" spans="1:9" ht="15.75" customHeight="1" x14ac:dyDescent="0.25">
      <c r="A5" s="5">
        <f t="shared" si="3"/>
        <v>2027</v>
      </c>
      <c r="B5" s="49">
        <v>6866</v>
      </c>
      <c r="C5" s="50">
        <v>13866</v>
      </c>
      <c r="D5" s="50">
        <v>22769.5</v>
      </c>
      <c r="E5" s="50">
        <v>14438</v>
      </c>
      <c r="F5" s="50">
        <v>12615</v>
      </c>
      <c r="G5" s="17">
        <f t="shared" si="0"/>
        <v>63688.5</v>
      </c>
      <c r="H5" s="17">
        <f t="shared" si="1"/>
        <v>7862.1580777567733</v>
      </c>
      <c r="I5" s="17">
        <f t="shared" si="2"/>
        <v>55826.341922243228</v>
      </c>
    </row>
    <row r="6" spans="1:9" ht="15.75" customHeight="1" x14ac:dyDescent="0.25">
      <c r="A6" s="5">
        <f t="shared" si="3"/>
        <v>2028</v>
      </c>
      <c r="B6" s="49">
        <v>6937</v>
      </c>
      <c r="C6" s="50">
        <v>14027</v>
      </c>
      <c r="D6" s="50">
        <v>23669</v>
      </c>
      <c r="E6" s="50">
        <v>14794.5</v>
      </c>
      <c r="F6" s="50">
        <v>12768</v>
      </c>
      <c r="G6" s="17">
        <f t="shared" si="0"/>
        <v>65258.5</v>
      </c>
      <c r="H6" s="17">
        <f t="shared" si="1"/>
        <v>7943.4591589569964</v>
      </c>
      <c r="I6" s="17">
        <f t="shared" si="2"/>
        <v>57315.040841043003</v>
      </c>
    </row>
    <row r="7" spans="1:9" ht="15.75" customHeight="1" x14ac:dyDescent="0.25">
      <c r="A7" s="5">
        <f t="shared" si="3"/>
        <v>2029</v>
      </c>
      <c r="B7" s="49">
        <v>7038</v>
      </c>
      <c r="C7" s="50">
        <v>14183.5</v>
      </c>
      <c r="D7" s="50">
        <v>24456.5</v>
      </c>
      <c r="E7" s="50">
        <v>15241.5</v>
      </c>
      <c r="F7" s="50">
        <v>12882</v>
      </c>
      <c r="G7" s="17">
        <f t="shared" si="0"/>
        <v>66763.5</v>
      </c>
      <c r="H7" s="17">
        <f t="shared" si="1"/>
        <v>8059.1128096784405</v>
      </c>
      <c r="I7" s="17">
        <f t="shared" si="2"/>
        <v>58704.387190321562</v>
      </c>
    </row>
    <row r="8" spans="1:9" ht="15.75" customHeight="1" x14ac:dyDescent="0.25">
      <c r="A8" s="5">
        <f t="shared" si="3"/>
        <v>2030</v>
      </c>
      <c r="B8" s="49">
        <v>7102</v>
      </c>
      <c r="C8" s="50">
        <v>14359</v>
      </c>
      <c r="D8" s="50">
        <v>25071.5</v>
      </c>
      <c r="E8" s="50">
        <v>15779</v>
      </c>
      <c r="F8" s="50">
        <v>12963.5</v>
      </c>
      <c r="G8" s="17">
        <f t="shared" si="0"/>
        <v>68173</v>
      </c>
      <c r="H8" s="17">
        <f t="shared" si="1"/>
        <v>8132.3982913237114</v>
      </c>
      <c r="I8" s="17">
        <f t="shared" si="2"/>
        <v>60040.601708676288</v>
      </c>
    </row>
    <row r="9" spans="1:9" ht="15.75" customHeight="1" x14ac:dyDescent="0.25">
      <c r="A9" s="5">
        <f t="shared" si="3"/>
        <v>2031</v>
      </c>
      <c r="B9" s="49">
        <v>7182</v>
      </c>
      <c r="C9" s="50">
        <v>14548.5</v>
      </c>
      <c r="D9" s="50">
        <v>25491</v>
      </c>
      <c r="E9" s="50">
        <v>16419.5</v>
      </c>
      <c r="F9" s="50">
        <v>13020.5</v>
      </c>
      <c r="G9" s="17">
        <f t="shared" si="0"/>
        <v>69479.5</v>
      </c>
      <c r="H9" s="17">
        <f t="shared" si="1"/>
        <v>8224.0051433803019</v>
      </c>
      <c r="I9" s="17">
        <f t="shared" si="2"/>
        <v>61255.494856619698</v>
      </c>
    </row>
    <row r="10" spans="1:9" ht="15.75" customHeight="1" x14ac:dyDescent="0.25">
      <c r="A10" s="5">
        <f t="shared" si="3"/>
        <v>2032</v>
      </c>
      <c r="B10" s="49">
        <v>7259</v>
      </c>
      <c r="C10" s="50">
        <v>14550.5</v>
      </c>
      <c r="D10" s="50">
        <v>25939.5</v>
      </c>
      <c r="E10" s="50">
        <v>17158</v>
      </c>
      <c r="F10" s="50">
        <v>13051</v>
      </c>
      <c r="G10" s="17">
        <f t="shared" si="0"/>
        <v>70699</v>
      </c>
      <c r="H10" s="17">
        <f t="shared" si="1"/>
        <v>8312.1767384847681</v>
      </c>
      <c r="I10" s="17">
        <f t="shared" si="2"/>
        <v>62386.82326151523</v>
      </c>
    </row>
    <row r="11" spans="1:9" ht="15.75" customHeight="1" x14ac:dyDescent="0.25">
      <c r="A11" s="5">
        <f t="shared" si="3"/>
        <v>2033</v>
      </c>
      <c r="B11" s="49">
        <v>7332</v>
      </c>
      <c r="C11" s="50">
        <v>14378.5</v>
      </c>
      <c r="D11" s="50">
        <v>26462</v>
      </c>
      <c r="E11" s="50">
        <v>17965</v>
      </c>
      <c r="F11" s="50">
        <v>13074</v>
      </c>
      <c r="G11" s="17">
        <f t="shared" si="0"/>
        <v>71879.5</v>
      </c>
      <c r="H11" s="17">
        <f t="shared" si="1"/>
        <v>8395.7679909864073</v>
      </c>
      <c r="I11" s="17">
        <f t="shared" si="2"/>
        <v>63483.732009013591</v>
      </c>
    </row>
    <row r="12" spans="1:9" ht="15.75" customHeight="1" x14ac:dyDescent="0.25">
      <c r="A12" s="5">
        <f t="shared" si="3"/>
        <v>2034</v>
      </c>
      <c r="B12" s="49">
        <v>7397</v>
      </c>
      <c r="C12" s="50">
        <v>14275</v>
      </c>
      <c r="D12" s="50">
        <v>26876</v>
      </c>
      <c r="E12" s="50">
        <v>18818.5</v>
      </c>
      <c r="F12" s="50">
        <v>13126.5</v>
      </c>
      <c r="G12" s="17">
        <f t="shared" si="0"/>
        <v>73096</v>
      </c>
      <c r="H12" s="17">
        <f t="shared" si="1"/>
        <v>8470.1985582823854</v>
      </c>
      <c r="I12" s="17">
        <f t="shared" si="2"/>
        <v>64625.801441717616</v>
      </c>
    </row>
    <row r="13" spans="1:9" ht="15.75" customHeight="1" x14ac:dyDescent="0.25">
      <c r="A13" s="5">
        <f t="shared" si="3"/>
        <v>2035</v>
      </c>
      <c r="B13" s="49">
        <v>7425</v>
      </c>
      <c r="C13" s="50">
        <v>14249</v>
      </c>
      <c r="D13" s="50">
        <v>27160.5</v>
      </c>
      <c r="E13" s="50">
        <v>19708</v>
      </c>
      <c r="F13" s="50">
        <v>13241</v>
      </c>
      <c r="G13" s="17">
        <f t="shared" si="0"/>
        <v>74358.5</v>
      </c>
      <c r="H13" s="17">
        <f t="shared" si="1"/>
        <v>8502.2609565021903</v>
      </c>
      <c r="I13" s="17">
        <f t="shared" si="2"/>
        <v>65856.239043497815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487zpVDCkfyxNg6CYSpC7AO8gZL3bAxA1BXY0iAGecMEYiOLW5KSi9bJ39+TZ7jYgABGdua7A9yI0+mbz5hqXQ==" saltValue="PrNuWW8AX5j9HRWuesjxe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7.2663600000000161E-2</v>
      </c>
    </row>
    <row r="5" spans="1:8" ht="15.75" customHeight="1" x14ac:dyDescent="0.25">
      <c r="B5" s="19" t="s">
        <v>98</v>
      </c>
      <c r="C5" s="99">
        <v>3.2022400000000013E-2</v>
      </c>
    </row>
    <row r="6" spans="1:8" ht="15.75" customHeight="1" x14ac:dyDescent="0.25">
      <c r="B6" s="19" t="s">
        <v>99</v>
      </c>
      <c r="C6" s="99">
        <v>0.18112940000000011</v>
      </c>
    </row>
    <row r="7" spans="1:8" ht="15.75" customHeight="1" x14ac:dyDescent="0.25">
      <c r="B7" s="19" t="s">
        <v>100</v>
      </c>
      <c r="C7" s="99">
        <v>0.43143469999999928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0.18141010000000021</v>
      </c>
    </row>
    <row r="10" spans="1:8" ht="15.75" customHeight="1" x14ac:dyDescent="0.25">
      <c r="B10" s="19" t="s">
        <v>103</v>
      </c>
      <c r="C10" s="99">
        <v>0.1013398000000002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5.9773070306148287E-3</v>
      </c>
      <c r="D14" s="55">
        <v>5.9773070306148287E-3</v>
      </c>
      <c r="E14" s="55">
        <v>5.9773070306148287E-3</v>
      </c>
      <c r="F14" s="55">
        <v>5.9773070306148287E-3</v>
      </c>
    </row>
    <row r="15" spans="1:8" ht="15.75" customHeight="1" x14ac:dyDescent="0.25">
      <c r="B15" s="19" t="s">
        <v>106</v>
      </c>
      <c r="C15" s="99">
        <v>0.14201342044077259</v>
      </c>
      <c r="D15" s="99">
        <v>0.14201342044077259</v>
      </c>
      <c r="E15" s="99">
        <v>0.14201342044077259</v>
      </c>
      <c r="F15" s="99">
        <v>0.14201342044077259</v>
      </c>
    </row>
    <row r="16" spans="1:8" ht="15.75" customHeight="1" x14ac:dyDescent="0.25">
      <c r="B16" s="19" t="s">
        <v>107</v>
      </c>
      <c r="C16" s="99">
        <v>1.5148673316420749E-3</v>
      </c>
      <c r="D16" s="99">
        <v>1.5148673316420749E-3</v>
      </c>
      <c r="E16" s="99">
        <v>1.5148673316420749E-3</v>
      </c>
      <c r="F16" s="99">
        <v>1.5148673316420749E-3</v>
      </c>
    </row>
    <row r="17" spans="1:8" ht="15.75" customHeight="1" x14ac:dyDescent="0.25">
      <c r="B17" s="19" t="s">
        <v>108</v>
      </c>
      <c r="C17" s="99">
        <v>0.79207380330936872</v>
      </c>
      <c r="D17" s="99">
        <v>0.79207380330936872</v>
      </c>
      <c r="E17" s="99">
        <v>0.79207380330936872</v>
      </c>
      <c r="F17" s="99">
        <v>0.79207380330936872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7.4143769382759572E-3</v>
      </c>
      <c r="D19" s="99">
        <v>7.4143769382759572E-3</v>
      </c>
      <c r="E19" s="99">
        <v>7.4143769382759572E-3</v>
      </c>
      <c r="F19" s="99">
        <v>7.4143769382759572E-3</v>
      </c>
    </row>
    <row r="20" spans="1:8" ht="15.75" customHeight="1" x14ac:dyDescent="0.25">
      <c r="B20" s="19" t="s">
        <v>111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112</v>
      </c>
      <c r="C21" s="99">
        <v>2.638911729579237E-2</v>
      </c>
      <c r="D21" s="99">
        <v>2.638911729579237E-2</v>
      </c>
      <c r="E21" s="99">
        <v>2.638911729579237E-2</v>
      </c>
      <c r="F21" s="99">
        <v>2.638911729579237E-2</v>
      </c>
    </row>
    <row r="22" spans="1:8" ht="15.75" customHeight="1" x14ac:dyDescent="0.25">
      <c r="B22" s="19" t="s">
        <v>113</v>
      </c>
      <c r="C22" s="99">
        <v>2.4617107653533501E-2</v>
      </c>
      <c r="D22" s="99">
        <v>2.4617107653533501E-2</v>
      </c>
      <c r="E22" s="99">
        <v>2.4617107653533501E-2</v>
      </c>
      <c r="F22" s="99">
        <v>2.4617107653533501E-2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4.7837044999999988E-2</v>
      </c>
    </row>
    <row r="27" spans="1:8" ht="15.75" customHeight="1" x14ac:dyDescent="0.25">
      <c r="B27" s="19" t="s">
        <v>120</v>
      </c>
      <c r="C27" s="99">
        <v>1.836863E-2</v>
      </c>
    </row>
    <row r="28" spans="1:8" ht="15.75" customHeight="1" x14ac:dyDescent="0.25">
      <c r="B28" s="19" t="s">
        <v>121</v>
      </c>
      <c r="C28" s="99">
        <v>0.231175139</v>
      </c>
    </row>
    <row r="29" spans="1:8" ht="15.75" customHeight="1" x14ac:dyDescent="0.25">
      <c r="B29" s="19" t="s">
        <v>122</v>
      </c>
      <c r="C29" s="99">
        <v>0.138527135</v>
      </c>
    </row>
    <row r="30" spans="1:8" ht="15.75" customHeight="1" x14ac:dyDescent="0.25">
      <c r="B30" s="19" t="s">
        <v>2</v>
      </c>
      <c r="C30" s="99">
        <v>4.9111505E-2</v>
      </c>
    </row>
    <row r="31" spans="1:8" ht="15.75" customHeight="1" x14ac:dyDescent="0.25">
      <c r="B31" s="19" t="s">
        <v>123</v>
      </c>
      <c r="C31" s="99">
        <v>6.9658183999999998E-2</v>
      </c>
    </row>
    <row r="32" spans="1:8" ht="15.75" customHeight="1" x14ac:dyDescent="0.25">
      <c r="B32" s="19" t="s">
        <v>124</v>
      </c>
      <c r="C32" s="99">
        <v>0.14941447299999999</v>
      </c>
    </row>
    <row r="33" spans="2:3" ht="15.75" customHeight="1" x14ac:dyDescent="0.25">
      <c r="B33" s="19" t="s">
        <v>125</v>
      </c>
      <c r="C33" s="99">
        <v>0.122223571</v>
      </c>
    </row>
    <row r="34" spans="2:3" ht="15.75" customHeight="1" x14ac:dyDescent="0.25">
      <c r="B34" s="19" t="s">
        <v>126</v>
      </c>
      <c r="C34" s="99">
        <v>0.173684317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kZqIehY+mCr3vlqITA27W+V0fa9Uy6C4bUv6jNl/n+BLh7ss0dEzcILrRHQWtCWWOTdYjEsB0i1qZneY44Bdvw==" saltValue="1tzNkDjukNgFTRj/4WuXy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0.82676394554305221</v>
      </c>
      <c r="D2" s="52">
        <f>IFERROR(1-_xlfn.NORM.DIST(_xlfn.NORM.INV(SUM(D4:D5), 0, 1) + 1, 0, 1, TRUE), "")</f>
        <v>0.82676394554305221</v>
      </c>
      <c r="E2" s="52">
        <f>IFERROR(1-_xlfn.NORM.DIST(_xlfn.NORM.INV(SUM(E4:E5), 0, 1) + 1, 0, 1, TRUE), "")</f>
        <v>0.65915750323456745</v>
      </c>
      <c r="F2" s="52">
        <f>IFERROR(1-_xlfn.NORM.DIST(_xlfn.NORM.INV(SUM(F4:F5), 0, 1) + 1, 0, 1, TRUE), "")</f>
        <v>0.62498946478788864</v>
      </c>
      <c r="G2" s="52">
        <f>IFERROR(1-_xlfn.NORM.DIST(_xlfn.NORM.INV(SUM(G4:G5), 0, 1) + 1, 0, 1, TRUE), "")</f>
        <v>0.67909768924145342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0.14713445445694781</v>
      </c>
      <c r="D3" s="52">
        <f>IFERROR(_xlfn.NORM.DIST(_xlfn.NORM.INV(SUM(D4:D5), 0, 1) + 1, 0, 1, TRUE) - SUM(D4:D5), "")</f>
        <v>0.14713445445694781</v>
      </c>
      <c r="E3" s="52">
        <f>IFERROR(_xlfn.NORM.DIST(_xlfn.NORM.INV(SUM(E4:E5), 0, 1) + 1, 0, 1, TRUE) - SUM(E4:E5), "")</f>
        <v>0.26159699676543252</v>
      </c>
      <c r="F3" s="52">
        <f>IFERROR(_xlfn.NORM.DIST(_xlfn.NORM.INV(SUM(F4:F5), 0, 1) + 1, 0, 1, TRUE) - SUM(F4:F5), "")</f>
        <v>0.28136103521211137</v>
      </c>
      <c r="G3" s="52">
        <f>IFERROR(_xlfn.NORM.DIST(_xlfn.NORM.INV(SUM(G4:G5), 0, 1) + 1, 0, 1, TRUE) - SUM(G4:G5), "")</f>
        <v>0.24946601075854657</v>
      </c>
    </row>
    <row r="4" spans="1:15" ht="15.75" customHeight="1" x14ac:dyDescent="0.25">
      <c r="B4" s="5" t="s">
        <v>132</v>
      </c>
      <c r="C4" s="45">
        <v>1.8525300000000001E-2</v>
      </c>
      <c r="D4" s="53">
        <v>1.8525300000000001E-2</v>
      </c>
      <c r="E4" s="53">
        <v>1.41817E-2</v>
      </c>
      <c r="F4" s="53">
        <v>5.7010900000000003E-2</v>
      </c>
      <c r="G4" s="53">
        <v>3.7941599999999999E-2</v>
      </c>
    </row>
    <row r="5" spans="1:15" ht="15.75" customHeight="1" x14ac:dyDescent="0.25">
      <c r="B5" s="5" t="s">
        <v>133</v>
      </c>
      <c r="C5" s="45">
        <v>7.5763000000000002E-3</v>
      </c>
      <c r="D5" s="53">
        <v>7.5763000000000002E-3</v>
      </c>
      <c r="E5" s="53">
        <v>6.5063800000000005E-2</v>
      </c>
      <c r="F5" s="53">
        <v>3.66386E-2</v>
      </c>
      <c r="G5" s="53">
        <v>3.3494700000000002E-2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0.62961648186943653</v>
      </c>
      <c r="D8" s="52">
        <f>IFERROR(1-_xlfn.NORM.DIST(_xlfn.NORM.INV(SUM(D10:D11), 0, 1) + 1, 0, 1, TRUE), "")</f>
        <v>0.62961648186943653</v>
      </c>
      <c r="E8" s="52">
        <f>IFERROR(1-_xlfn.NORM.DIST(_xlfn.NORM.INV(SUM(E10:E11), 0, 1) + 1, 0, 1, TRUE), "")</f>
        <v>0.78987108124984162</v>
      </c>
      <c r="F8" s="52">
        <f>IFERROR(1-_xlfn.NORM.DIST(_xlfn.NORM.INV(SUM(F10:F11), 0, 1) + 1, 0, 1, TRUE), "")</f>
        <v>0.79331829205928583</v>
      </c>
      <c r="G8" s="52">
        <f>IFERROR(1-_xlfn.NORM.DIST(_xlfn.NORM.INV(SUM(G10:G11), 0, 1) + 1, 0, 1, TRUE), "")</f>
        <v>0.86184988827977049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0.27876231813056351</v>
      </c>
      <c r="D9" s="52">
        <f>IFERROR(_xlfn.NORM.DIST(_xlfn.NORM.INV(SUM(D10:D11), 0, 1) + 1, 0, 1, TRUE) - SUM(D10:D11), "")</f>
        <v>0.27876231813056351</v>
      </c>
      <c r="E9" s="52">
        <f>IFERROR(_xlfn.NORM.DIST(_xlfn.NORM.INV(SUM(E10:E11), 0, 1) + 1, 0, 1, TRUE) - SUM(E10:E11), "")</f>
        <v>0.17466771875015838</v>
      </c>
      <c r="F9" s="52">
        <f>IFERROR(_xlfn.NORM.DIST(_xlfn.NORM.INV(SUM(F10:F11), 0, 1) + 1, 0, 1, TRUE) - SUM(F10:F11), "")</f>
        <v>0.17214880794071416</v>
      </c>
      <c r="G9" s="52">
        <f>IFERROR(_xlfn.NORM.DIST(_xlfn.NORM.INV(SUM(G10:G11), 0, 1) + 1, 0, 1, TRUE) - SUM(G10:G11), "")</f>
        <v>0.11978131172022953</v>
      </c>
    </row>
    <row r="10" spans="1:15" ht="15.75" customHeight="1" x14ac:dyDescent="0.25">
      <c r="B10" s="5" t="s">
        <v>137</v>
      </c>
      <c r="C10" s="45">
        <v>4.0578700000000002E-2</v>
      </c>
      <c r="D10" s="53">
        <v>4.0578700000000002E-2</v>
      </c>
      <c r="E10" s="53">
        <v>3.1065300000000001E-2</v>
      </c>
      <c r="F10" s="53">
        <v>2.3253699999999999E-2</v>
      </c>
      <c r="G10" s="53">
        <v>1.16712E-2</v>
      </c>
    </row>
    <row r="11" spans="1:15" ht="15.75" customHeight="1" x14ac:dyDescent="0.25">
      <c r="B11" s="5" t="s">
        <v>138</v>
      </c>
      <c r="C11" s="45">
        <v>5.1042499999999998E-2</v>
      </c>
      <c r="D11" s="53">
        <v>5.1042499999999998E-2</v>
      </c>
      <c r="E11" s="53">
        <v>4.3958999999999986E-3</v>
      </c>
      <c r="F11" s="53">
        <v>1.12792E-2</v>
      </c>
      <c r="G11" s="53">
        <v>6.6976000000000006E-3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0.73811573149999998</v>
      </c>
      <c r="D14" s="54">
        <v>0.73101439726399997</v>
      </c>
      <c r="E14" s="54">
        <v>0.73101439726399997</v>
      </c>
      <c r="F14" s="54">
        <v>0.46123497697700011</v>
      </c>
      <c r="G14" s="54">
        <v>0.46123497697700011</v>
      </c>
      <c r="H14" s="45">
        <v>0.42499999999999999</v>
      </c>
      <c r="I14" s="55">
        <v>0.42499999999999999</v>
      </c>
      <c r="J14" s="55">
        <v>0.42499999999999999</v>
      </c>
      <c r="K14" s="55">
        <v>0.42499999999999999</v>
      </c>
      <c r="L14" s="45">
        <v>0.30499999999999999</v>
      </c>
      <c r="M14" s="55">
        <v>0.30499999999999999</v>
      </c>
      <c r="N14" s="55">
        <v>0.30499999999999999</v>
      </c>
      <c r="O14" s="55">
        <v>0.30499999999999999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0.42263768669958501</v>
      </c>
      <c r="D15" s="52">
        <f t="shared" si="0"/>
        <v>0.41857153372939376</v>
      </c>
      <c r="E15" s="52">
        <f t="shared" si="0"/>
        <v>0.41857153372939376</v>
      </c>
      <c r="F15" s="52">
        <f t="shared" si="0"/>
        <v>0.26409853546726053</v>
      </c>
      <c r="G15" s="52">
        <f t="shared" si="0"/>
        <v>0.26409853546726053</v>
      </c>
      <c r="H15" s="52">
        <f t="shared" si="0"/>
        <v>0.24335075</v>
      </c>
      <c r="I15" s="52">
        <f t="shared" si="0"/>
        <v>0.24335075</v>
      </c>
      <c r="J15" s="52">
        <f t="shared" si="0"/>
        <v>0.24335075</v>
      </c>
      <c r="K15" s="52">
        <f t="shared" si="0"/>
        <v>0.24335075</v>
      </c>
      <c r="L15" s="52">
        <f t="shared" si="0"/>
        <v>0.17463995000000002</v>
      </c>
      <c r="M15" s="52">
        <f t="shared" si="0"/>
        <v>0.17463995000000002</v>
      </c>
      <c r="N15" s="52">
        <f t="shared" si="0"/>
        <v>0.17463995000000002</v>
      </c>
      <c r="O15" s="52">
        <f t="shared" si="0"/>
        <v>0.17463995000000002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k5dMYSuWL/UGHh29HKj3rp32I3dmZVB9de38mDYssJIJWEI0KDK/RL68nWcmE0zP0SkPYdgrzcwCAouX5tQrgA==" saltValue="HPiayGwS7E3LIwU5+beQ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0.71186269999999996</v>
      </c>
      <c r="D2" s="53">
        <v>0.50451279999999998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</v>
      </c>
      <c r="D3" s="53">
        <v>8.512829999999999E-2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0.13968539999999999</v>
      </c>
      <c r="D4" s="53">
        <v>0.21177399999999999</v>
      </c>
      <c r="E4" s="53">
        <v>0.6588117</v>
      </c>
      <c r="F4" s="53">
        <v>0.4976312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0.14845190000000008</v>
      </c>
      <c r="D5" s="52">
        <f t="shared" si="0"/>
        <v>0.19858490000000006</v>
      </c>
      <c r="E5" s="52">
        <f>1-SUM(E2:E4)</f>
        <v>0.3411883</v>
      </c>
      <c r="F5" s="52">
        <f>1-SUM(F2:F4)</f>
        <v>0.50236879999999995</v>
      </c>
      <c r="G5" s="52">
        <f>1-SUM(G2:G4)</f>
        <v>1</v>
      </c>
    </row>
  </sheetData>
  <sheetProtection algorithmName="SHA-512" hashValue="igeJi2to0ivzXC2PzApdyTpNngP9fad7QWrquJgWcfqB0NqyRi06GSo6LFd+e4rsgZvSayck0Lv0oDQiKVk8tw==" saltValue="LGSzVzbyUgMMmVnGk0eGh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POVLF54xAH4AXNl3v7WgBjyqJRNarKmfXcMGRbmzjR+eUTtFEEAy8hnyTAYSNzeq3Lxs9YAz4P2gWpZ6FupzLQ==" saltValue="ABZX1he2iia+eysrGIk7O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2386.6961758184002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0.43436000000000002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0.39685999999999999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1.718917778663958E-2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96933.289739999993</v>
      </c>
      <c r="C22" s="107">
        <v>96637.338749999995</v>
      </c>
      <c r="D22" s="107">
        <v>96347.932560000001</v>
      </c>
      <c r="E22" s="107">
        <v>95957.418810000003</v>
      </c>
      <c r="F22" s="107">
        <v>95445.618130000003</v>
      </c>
      <c r="G22" s="107">
        <v>94905.706950000007</v>
      </c>
      <c r="H22" s="107">
        <v>94246.119479999994</v>
      </c>
      <c r="I22" s="107">
        <v>93301.41476</v>
      </c>
      <c r="J22" s="107">
        <v>91857.557180000003</v>
      </c>
      <c r="K22" s="107">
        <v>89621.092300000004</v>
      </c>
      <c r="L22" s="107">
        <v>86160.015780000002</v>
      </c>
      <c r="M22" s="107">
        <v>81045.916119999994</v>
      </c>
      <c r="N22" s="107">
        <v>73544.375180000003</v>
      </c>
      <c r="O22" s="107">
        <v>63225.913849999997</v>
      </c>
    </row>
  </sheetData>
  <sheetProtection algorithmName="SHA-512" hashValue="vSUaoOefV0Vq7gvKUBps7JI84aOF+q2JC9j80ugCizP1fjVn4PkET5T1yosFGJAA+UY1moku1G/fg9Wb5xSK6g==" saltValue="v+qc8wdmiF7geAlW9JjZO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K2KZMgfGK5kAICZ0JNvxt3M8a4d621ZaBpq2mlfRdi7GbtHbdVt6ucw/U/p9bbAWPPx78dPr9UMN5UqOHfQ3TQ==" saltValue="Qi0Y2uL/cj1BeVVS4Oejp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1JYzl1G4nmzDL5r12bsqzJo9S8E5rLdWWEwmWKffqFBpokcYTDqq1EmxJHpPr1NOtJa12+5dr4ymoh5pk6BCNw==" saltValue="0f3APCiQuWLOAmgGYNu5L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6.8747382117628364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2.1291837256908908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0.78848199824391296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0.22197642864885933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1.1113E-2</v>
      </c>
      <c r="C10" s="96">
        <v>0.95</v>
      </c>
      <c r="D10" s="56">
        <v>14.332612801245681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14.332612801245681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14.332612801245681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14.332612801245681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0.31330000000000002</v>
      </c>
      <c r="C14" s="96">
        <v>0.95</v>
      </c>
      <c r="D14" s="56">
        <v>2.7509100930955666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14.332612801245681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2.1562548532894295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0.58636119533868591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0.74299999999999999</v>
      </c>
      <c r="C18" s="96">
        <v>0.95</v>
      </c>
      <c r="D18" s="56">
        <v>6.8747382117628364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0.50451279999999998</v>
      </c>
      <c r="C19" s="96">
        <v>0.95</v>
      </c>
      <c r="D19" s="56">
        <v>4.0260706086583404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7.2638561333206297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6.8747382117628364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4.7482493984987979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0.62744799530607998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4.4432147531692987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8.8360724993186164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0.58558969999999999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0.2004783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57.448392612859095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125.66324080233395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0.65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0.7196437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0.1203943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1.57512E-2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0.88436999999999999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0.33004980000000012</v>
      </c>
      <c r="C38" s="96">
        <v>0.95</v>
      </c>
      <c r="D38" s="56">
        <v>2.2145073762257557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5.8497136845734818</v>
      </c>
      <c r="E39" s="56" t="s">
        <v>230</v>
      </c>
      <c r="F39" s="96">
        <v>1</v>
      </c>
      <c r="G39" s="96">
        <v>1</v>
      </c>
    </row>
  </sheetData>
  <sheetProtection algorithmName="SHA-512" hashValue="LIWghCBAWxWjLWdyVAlhmygUEEkI4PKSrXpouzkU/qOMXT1Rc7NDX1ExkjH+6Al3c35NN2g2baKjiaTf8RQ2cg==" saltValue="IODOItAVsBzxSOdLsCCp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KNPSjJHqoipotADMb/MpnvHjoocIk+qf5sr6rUC75FbjfyDfFVh9QLvPnTfLTlMj34/LHSQnUdZGqOxyjnsCmA==" saltValue="HLet6eCQ8KV7wPqdCycFA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miKXSJqy7JGFpYoxVpskxQZmrW5Cgcyx5UOSTib+siBY1hOk89AQuCdvAPRtPQhD1qg2sAx0kJCpc6AFEyz8mw==" saltValue="3KnxCIm1/LjkhzSt76BdK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1.95</v>
      </c>
      <c r="C2" s="21">
        <f>'Données pop de l''année de ref'!C52</f>
        <v>1.95</v>
      </c>
      <c r="D2" s="21">
        <f>'Données pop de l''année de ref'!C53</f>
        <v>5.4340000000000002</v>
      </c>
      <c r="E2" s="21">
        <f>'Données pop de l''année de ref'!C54</f>
        <v>6.1880000000000006</v>
      </c>
      <c r="F2" s="21">
        <f>'Données pop de l''année de ref'!C55</f>
        <v>3.5446666666666662</v>
      </c>
    </row>
    <row r="3" spans="1:6" ht="15.75" customHeight="1" x14ac:dyDescent="0.25">
      <c r="A3" s="3" t="s">
        <v>238</v>
      </c>
      <c r="B3" s="21">
        <f>frac_mam_1month * 2.6</f>
        <v>0.10550462000000001</v>
      </c>
      <c r="C3" s="21">
        <f>frac_mam_1_5months * 2.6</f>
        <v>0.10550462000000001</v>
      </c>
      <c r="D3" s="21">
        <f>frac_mam_6_11months * 2.6</f>
        <v>8.0769779999999999E-2</v>
      </c>
      <c r="E3" s="21">
        <f>frac_mam_12_23months * 2.6</f>
        <v>6.0459619999999999E-2</v>
      </c>
      <c r="F3" s="21">
        <f>frac_mam_24_59months * 2.6</f>
        <v>3.034512E-2</v>
      </c>
    </row>
    <row r="4" spans="1:6" ht="15.75" customHeight="1" x14ac:dyDescent="0.25">
      <c r="A4" s="3" t="s">
        <v>237</v>
      </c>
      <c r="B4" s="21">
        <f>frac_sam_1month * 2.6</f>
        <v>0.13271050000000001</v>
      </c>
      <c r="C4" s="21">
        <f>frac_sam_1_5months * 2.6</f>
        <v>0.13271050000000001</v>
      </c>
      <c r="D4" s="21">
        <f>frac_sam_6_11months * 2.6</f>
        <v>1.1429339999999996E-2</v>
      </c>
      <c r="E4" s="21">
        <f>frac_sam_12_23months * 2.6</f>
        <v>2.9325919999999998E-2</v>
      </c>
      <c r="F4" s="21">
        <f>frac_sam_24_59months * 2.6</f>
        <v>1.7413760000000004E-2</v>
      </c>
    </row>
  </sheetData>
  <sheetProtection algorithmName="SHA-512" hashValue="1c3GLjoA6w35sLPNzrMaEaflQALVRlEC9sCYG5JNA+ux4IzVLl+gL7iitrrQjoivyP9SZL5Lkro1kvFaV9SRZg==" saltValue="8IWiS8JidiGwU15XsxBwB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0.55500000000000005</v>
      </c>
      <c r="F2" s="60">
        <f>food_insecure</f>
        <v>0.55500000000000005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0.55500000000000005</v>
      </c>
      <c r="F5" s="60">
        <f>food_insecure</f>
        <v>0.55500000000000005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4.1659090909090896E-2</v>
      </c>
      <c r="D7" s="60">
        <f>diarrhoea_1_5mo*frac_diarrhea_severe</f>
        <v>4.1659090909090896E-2</v>
      </c>
      <c r="E7" s="60">
        <f>diarrhoea_6_11mo*frac_diarrhea_severe</f>
        <v>0.11608999999999998</v>
      </c>
      <c r="F7" s="60">
        <f>diarrhoea_12_23mo*frac_diarrhea_severe</f>
        <v>0.1321981818181818</v>
      </c>
      <c r="G7" s="60">
        <f>diarrhoea_24_59mo*frac_diarrhea_severe</f>
        <v>7.5726969696969668E-2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0.55500000000000005</v>
      </c>
      <c r="F8" s="60">
        <f>food_insecure</f>
        <v>0.55500000000000005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0.55500000000000005</v>
      </c>
      <c r="F9" s="60">
        <f>food_insecure</f>
        <v>0.55500000000000005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4.1659090909090896E-2</v>
      </c>
      <c r="D12" s="60">
        <f>diarrhoea_1_5mo*frac_diarrhea_severe</f>
        <v>4.1659090909090896E-2</v>
      </c>
      <c r="E12" s="60">
        <f>diarrhoea_6_11mo*frac_diarrhea_severe</f>
        <v>0.11608999999999998</v>
      </c>
      <c r="F12" s="60">
        <f>diarrhoea_12_23mo*frac_diarrhea_severe</f>
        <v>0.1321981818181818</v>
      </c>
      <c r="G12" s="60">
        <f>diarrhoea_24_59mo*frac_diarrhea_severe</f>
        <v>7.5726969696969668E-2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0.55500000000000005</v>
      </c>
      <c r="I15" s="60">
        <f t="shared" si="0"/>
        <v>0.55500000000000005</v>
      </c>
      <c r="J15" s="60">
        <f t="shared" si="0"/>
        <v>0.55500000000000005</v>
      </c>
      <c r="K15" s="60">
        <f t="shared" si="0"/>
        <v>0.55500000000000005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0.55500000000000005</v>
      </c>
      <c r="I16" s="60">
        <f t="shared" si="0"/>
        <v>0.55500000000000005</v>
      </c>
      <c r="J16" s="60">
        <f t="shared" si="0"/>
        <v>0.55500000000000005</v>
      </c>
      <c r="K16" s="60">
        <f t="shared" si="0"/>
        <v>0.55500000000000005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0.27079180898833899</v>
      </c>
      <c r="M24" s="60">
        <f>famplan_unmet_need</f>
        <v>0.27079180898833899</v>
      </c>
      <c r="N24" s="60">
        <f>famplan_unmet_need</f>
        <v>0.27079180898833899</v>
      </c>
      <c r="O24" s="60">
        <f>famplan_unmet_need</f>
        <v>0.27079180898833899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0.18902724361500003</v>
      </c>
      <c r="M25" s="60">
        <f>(1-food_insecure)*(0.49)+food_insecure*(0.7)</f>
        <v>0.60654999999999992</v>
      </c>
      <c r="N25" s="60">
        <f>(1-food_insecure)*(0.49)+food_insecure*(0.7)</f>
        <v>0.60654999999999992</v>
      </c>
      <c r="O25" s="60">
        <f>(1-food_insecure)*(0.49)+food_insecure*(0.7)</f>
        <v>0.60654999999999992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8.1011675835000019E-2</v>
      </c>
      <c r="M26" s="60">
        <f>(1-food_insecure)*(0.21)+food_insecure*(0.3)</f>
        <v>0.25995000000000001</v>
      </c>
      <c r="N26" s="60">
        <f>(1-food_insecure)*(0.21)+food_insecure*(0.3)</f>
        <v>0.25995000000000001</v>
      </c>
      <c r="O26" s="60">
        <f>(1-food_insecure)*(0.21)+food_insecure*(0.3)</f>
        <v>0.25995000000000001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4.160438055E-2</v>
      </c>
      <c r="M27" s="60">
        <f>(1-food_insecure)*(0.3)</f>
        <v>0.13349999999999998</v>
      </c>
      <c r="N27" s="60">
        <f>(1-food_insecure)*(0.3)</f>
        <v>0.13349999999999998</v>
      </c>
      <c r="O27" s="60">
        <f>(1-food_insecure)*(0.3)</f>
        <v>0.13349999999999998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0.68835669999999993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qgpLz+YwQGAaQWg5ll3aJDDjlEXGeNUfAi7H8h4jtgoxFzpNpd/wXgWHCrJ50MufVkhdVV0+5A957f8a+BWcQ==" saltValue="3vhGTi+ukH19vNmoMtebL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1hjYvJiQzbW6e9j4ZS0brZd6nyJNtj/Q1ol6jMT3qfQkexJm/3Po28dJ9NBDNTitwl1f5dEvCcuJ9vfs59f+bQ==" saltValue="CA9h/qmIjeOHtNIghoEYr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OoLgOI1IZ8xtjZTx3AxKy2sMJ3voBXmpRhNNEfVs9qyE4qxLYwI9/yiQE7Z+X4YS5pHF5FZvqBCHy4hrGAX8nQ==" saltValue="Vo+P2m8xFKYUsXqVAYISd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3s2XuGrtkWfB733uM8W2zIlZ8xkV2XuQKLthXfws0qDskx6tq6c5RrrwNQ9kL/bGXSutApFKwHas/77GSkbtNw==" saltValue="1HJtkw+veRQ3KMcoW24X8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gtdbF32CQljtDdSy2Plr9d1AfzDF7W7ZfoXHB86+w7D5+g+KdK/6BBfD3wH1H/h6RoZWYRgoOgnx/T7kOQyPcw==" saltValue="/cbXeGZfgstq2wOQ7Lgur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7clhp4GHEYJe+/oYTPh6jRswOGJHBwap4COubtzgw8p+NfZJUqVamgxwVZAqrgfBOD4ctDLVakIHwjPdFgpGFA==" saltValue="n1PFz8gDVpIXWc6W5sXa/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JcpB/sADk8IJcTZB9BXBk1eOwNdwHxKfoIGuiHplfjfLfcdYHrLCI72TK+9J7G1XvQgZpGHcMhNDD5QWa3Iz4g==" saltValue="JzLv7B+nSkEEAdBi8zFW6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Ykps8L4ovpzmth1fY6VqeJr8dsQXvTlQJTiCLb9EXuJVDSp9FMOGSPdjnaikweFhEilBx913Qae4pEhNAYxkCQ==" saltValue="PA0bLyeLCK9DTBTzdF3e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7TAk9/FFDwF8z5D2h1ehqsF0EzkwhiVaK38BjWzGBUQbnjwtyrqPY+F1nNwy2DMsKPzfnyMDHX0cYE0Ys2hf8A==" saltValue="9cRRMVel54wlu/dHpNyV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CPqnnirjLk6L6UWwNLV4yrgmqSFKhtNWvgcWbI25ZUmh6jOOMWc8N24EmRGHeDgYBURkSpFofpa3yOnBf05mQ==" saltValue="CTUunE26xbbrgnEmLptq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wC2jnccr/mWsYA2c3BF25M3G62ZcQxBAFslU/jjbo4G5zNrJ7wxQgV84iStY+mcsbyjiLu2UJ69L0MuLfQMw/A==" saltValue="qyMmaV1/H/JARcWBHZFF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3TG6qwcbNhUwWM79kp3wHMVrCOR8Q3p+CQo09GYuyeFMiFODOd07fdgkn0400OJzhETyf7VVXFNcioI75eZ/A==" saltValue="236JOypBQBqI97O5szoA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/P6yEZ/la73wVavRwHiexWV0dO7qIOKTF1jdIsTHBR2PcWThkqk0FKoTFfQc79PxDFXbRXyUsPLK9ziBtEXTwg==" saltValue="m9Qrr31gRU02e9jvT6c3u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iz0jUD3CmOBG99Eq+k1RUJ5ILAvTYIT9Nz7xBqWaJ6CoNAosvfvaeww37qpItmQwQ58ouW45apdoT9VzAThq5A==" saltValue="lnsOQ34X9OOYsgw+CxS7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XFwcdZITFG5WVNUc4XgZCxU7WlqsK1oHHfNVwkOSm86mcTCtY6DB4iP1UfAizpDVFrY2s/fWaeRFbndBgLeRng==" saltValue="W59qttXwS2ohY0gaZrzCd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2026-04-29T07:22:49Z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