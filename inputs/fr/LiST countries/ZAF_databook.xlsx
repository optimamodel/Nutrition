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fr\LiST countries\"/>
    </mc:Choice>
  </mc:AlternateContent>
  <xr:revisionPtr revIDLastSave="0" documentId="8_{B437A70C-C13A-4757-A155-0866D86771BE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D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F116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I38" i="2" l="1"/>
  <c r="A31" i="2"/>
  <c r="I39" i="2"/>
  <c r="I6" i="2"/>
  <c r="I12" i="2"/>
  <c r="A35" i="2"/>
  <c r="I7" i="2"/>
  <c r="I13" i="2"/>
  <c r="A37" i="2"/>
  <c r="A36" i="2"/>
  <c r="A19" i="2"/>
  <c r="A22" i="2"/>
  <c r="A23" i="2"/>
  <c r="A24" i="2"/>
  <c r="A40" i="2"/>
  <c r="I4" i="2"/>
  <c r="A25" i="2"/>
  <c r="A26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<sst xmlns="http://schemas.openxmlformats.org/spreadsheetml/2006/main" count="2169" uniqueCount="369">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</sst>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5686551.5</v>
      </c>
    </row>
    <row r="8" spans="1:3" ht="15" customHeight="1" x14ac:dyDescent="0.25">
      <c r="B8" s="5" t="s">
        <v>37</v>
      </c>
      <c r="C8" s="44">
        <v>0.55500000000000005</v>
      </c>
    </row>
    <row r="9" spans="1:3" ht="15" customHeight="1" x14ac:dyDescent="0.25">
      <c r="B9" s="5" t="s">
        <v>38</v>
      </c>
      <c r="C9" s="45">
        <v>0.15</v>
      </c>
    </row>
    <row r="10" spans="1:3" ht="15" customHeight="1" x14ac:dyDescent="0.25">
      <c r="B10" s="5" t="s">
        <v>39</v>
      </c>
      <c r="C10" s="45">
        <v>0.78522720000000001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0.14899999999999999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9.8900000000000002E-2</v>
      </c>
    </row>
    <row r="24" spans="1:3" ht="15" customHeight="1" x14ac:dyDescent="0.25">
      <c r="B24" s="15" t="s">
        <v>51</v>
      </c>
      <c r="C24" s="45">
        <v>0.53500000000000003</v>
      </c>
    </row>
    <row r="25" spans="1:3" ht="15" customHeight="1" x14ac:dyDescent="0.25">
      <c r="B25" s="15" t="s">
        <v>52</v>
      </c>
      <c r="C25" s="45">
        <v>0.3115</v>
      </c>
    </row>
    <row r="26" spans="1:3" ht="15" customHeight="1" x14ac:dyDescent="0.25">
      <c r="B26" s="15" t="s">
        <v>53</v>
      </c>
      <c r="C26" s="45">
        <v>5.4600000000000003E-2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0.35873412103889402</v>
      </c>
    </row>
    <row r="30" spans="1:3" ht="14.25" customHeight="1" x14ac:dyDescent="0.25">
      <c r="B30" s="25" t="s">
        <v>56</v>
      </c>
      <c r="C30" s="97">
        <v>2.5198011863396302E-2</v>
      </c>
    </row>
    <row r="31" spans="1:3" ht="14.25" customHeight="1" x14ac:dyDescent="0.25">
      <c r="B31" s="25" t="s">
        <v>57</v>
      </c>
      <c r="C31" s="97">
        <v>4.3840922737282198E-2</v>
      </c>
    </row>
    <row r="32" spans="1:3" ht="14.25" customHeight="1" x14ac:dyDescent="0.25">
      <c r="B32" s="25" t="s">
        <v>58</v>
      </c>
      <c r="C32" s="97">
        <v>0.57222694436042698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11.02473</v>
      </c>
    </row>
    <row r="38" spans="1:5" ht="15" customHeight="1" x14ac:dyDescent="0.25">
      <c r="B38" s="11" t="s">
        <v>63</v>
      </c>
      <c r="C38" s="43">
        <v>26.427199999999999</v>
      </c>
      <c r="D38" s="12"/>
      <c r="E38" s="13"/>
    </row>
    <row r="39" spans="1:5" ht="15" customHeight="1" x14ac:dyDescent="0.25">
      <c r="B39" s="11" t="s">
        <v>64</v>
      </c>
      <c r="C39" s="43">
        <v>32.847329999999999</v>
      </c>
      <c r="D39" s="12"/>
      <c r="E39" s="12"/>
    </row>
    <row r="40" spans="1:5" ht="15" customHeight="1" x14ac:dyDescent="0.25">
      <c r="B40" s="11" t="s">
        <v>65</v>
      </c>
      <c r="C40" s="98">
        <v>1.27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16.163879999999999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1.10247E-2</v>
      </c>
      <c r="D45" s="12"/>
    </row>
    <row r="46" spans="1:5" ht="15.75" customHeight="1" x14ac:dyDescent="0.25">
      <c r="B46" s="11" t="s">
        <v>70</v>
      </c>
      <c r="C46" s="45">
        <v>0.1185986</v>
      </c>
      <c r="D46" s="12"/>
    </row>
    <row r="47" spans="1:5" ht="15.75" customHeight="1" x14ac:dyDescent="0.25">
      <c r="B47" s="11" t="s">
        <v>71</v>
      </c>
      <c r="C47" s="45">
        <v>0.1031654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1.82</v>
      </c>
      <c r="D51" s="12"/>
    </row>
    <row r="52" spans="1:4" ht="15" customHeight="1" x14ac:dyDescent="0.25">
      <c r="B52" s="11" t="s">
        <v>75</v>
      </c>
      <c r="C52" s="98">
        <v>1.82</v>
      </c>
    </row>
    <row r="53" spans="1:4" ht="15.75" customHeight="1" x14ac:dyDescent="0.25">
      <c r="B53" s="11" t="s">
        <v>76</v>
      </c>
      <c r="C53" s="98">
        <v>4.2380000000000004</v>
      </c>
    </row>
    <row r="54" spans="1:4" ht="15.75" customHeight="1" x14ac:dyDescent="0.25">
      <c r="B54" s="11" t="s">
        <v>77</v>
      </c>
      <c r="C54" s="98">
        <v>4.3680000000000003</v>
      </c>
    </row>
    <row r="55" spans="1:4" ht="15.75" customHeight="1" x14ac:dyDescent="0.25">
      <c r="B55" s="11" t="s">
        <v>78</v>
      </c>
      <c r="C55" s="98">
        <v>2.062666666666666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0.55612200000000001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0.16638388949999999</v>
      </c>
    </row>
    <row r="63" spans="1:4" ht="15.75" customHeight="1" x14ac:dyDescent="0.3">
      <c r="A63" s="4"/>
    </row>
  </sheetData>
  <sheetProtection algorithmName="SHA-512" hashValue="Xa8owo2tpGwbs6nkmDv4Z+O16f6hSV0Wsv3bjilS8vf7RwGZ5hEz2+tBblCis/Pzi8T9QfRmMLCEMxY7m2JI/g==" saltValue="M3fentG+73c8apambLFB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1182869</v>
      </c>
      <c r="C2" s="49">
        <v>2662386.5</v>
      </c>
      <c r="D2" s="49">
        <v>5316736</v>
      </c>
      <c r="E2" s="49">
        <v>5616566</v>
      </c>
      <c r="F2" s="49">
        <v>4174974</v>
      </c>
      <c r="G2" s="17">
        <f t="shared" ref="G2:G13" si="0">C2+D2+E2+F2</f>
        <v>17770662.5</v>
      </c>
      <c r="H2" s="17">
        <f t="shared" ref="H2:H13" si="1">(B2 + stillbirth*B2/(1000-stillbirth))/(1-abortion)</f>
        <v>1366253.2721220055</v>
      </c>
      <c r="I2" s="17">
        <f t="shared" ref="I2:I13" si="2">G2-H2</f>
        <v>16404409.227877995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1175749</v>
      </c>
      <c r="C3" s="50">
        <v>2706494</v>
      </c>
      <c r="D3" s="50">
        <v>5281434.9999999991</v>
      </c>
      <c r="E3" s="50">
        <v>5642607</v>
      </c>
      <c r="F3" s="50">
        <v>4335074.5000000009</v>
      </c>
      <c r="G3" s="17">
        <f t="shared" si="0"/>
        <v>17965610.5</v>
      </c>
      <c r="H3" s="17">
        <f t="shared" si="1"/>
        <v>1358029.4338968862</v>
      </c>
      <c r="I3" s="17">
        <f t="shared" si="2"/>
        <v>16607581.066103114</v>
      </c>
    </row>
    <row r="4" spans="1:9" ht="15.75" customHeight="1" x14ac:dyDescent="0.25">
      <c r="A4" s="5">
        <f t="shared" si="3"/>
        <v>2026</v>
      </c>
      <c r="B4" s="49">
        <v>1167803</v>
      </c>
      <c r="C4" s="50">
        <v>2721951</v>
      </c>
      <c r="D4" s="50">
        <v>5277493</v>
      </c>
      <c r="E4" s="50">
        <v>5650361</v>
      </c>
      <c r="F4" s="50">
        <v>4492795</v>
      </c>
      <c r="G4" s="17">
        <f t="shared" si="0"/>
        <v>18142600</v>
      </c>
      <c r="H4" s="17">
        <f t="shared" si="1"/>
        <v>1348851.5380349765</v>
      </c>
      <c r="I4" s="17">
        <f t="shared" si="2"/>
        <v>16793748.461965024</v>
      </c>
    </row>
    <row r="5" spans="1:9" ht="15.75" customHeight="1" x14ac:dyDescent="0.25">
      <c r="A5" s="5">
        <f t="shared" si="3"/>
        <v>2027</v>
      </c>
      <c r="B5" s="49">
        <v>1162164</v>
      </c>
      <c r="C5" s="50">
        <v>2717928</v>
      </c>
      <c r="D5" s="50">
        <v>5302300.9999999991</v>
      </c>
      <c r="E5" s="50">
        <v>5639762.0000000009</v>
      </c>
      <c r="F5" s="50">
        <v>4642721.5</v>
      </c>
      <c r="G5" s="17">
        <f t="shared" si="0"/>
        <v>18302712.5</v>
      </c>
      <c r="H5" s="17">
        <f t="shared" si="1"/>
        <v>1342338.3043620205</v>
      </c>
      <c r="I5" s="17">
        <f t="shared" si="2"/>
        <v>16960374.195637979</v>
      </c>
    </row>
    <row r="6" spans="1:9" ht="15.75" customHeight="1" x14ac:dyDescent="0.25">
      <c r="A6" s="5">
        <f t="shared" si="3"/>
        <v>2028</v>
      </c>
      <c r="B6" s="49">
        <v>1156824</v>
      </c>
      <c r="C6" s="50">
        <v>2704161.5</v>
      </c>
      <c r="D6" s="50">
        <v>5346698.5</v>
      </c>
      <c r="E6" s="50">
        <v>5614781</v>
      </c>
      <c r="F6" s="50">
        <v>4780441.5</v>
      </c>
      <c r="G6" s="17">
        <f t="shared" si="0"/>
        <v>18446082.5</v>
      </c>
      <c r="H6" s="17">
        <f t="shared" si="1"/>
        <v>1336170.4256931806</v>
      </c>
      <c r="I6" s="17">
        <f t="shared" si="2"/>
        <v>17109912.07430682</v>
      </c>
    </row>
    <row r="7" spans="1:9" ht="15.75" customHeight="1" x14ac:dyDescent="0.25">
      <c r="A7" s="5">
        <f t="shared" si="3"/>
        <v>2029</v>
      </c>
      <c r="B7" s="49">
        <v>1152475</v>
      </c>
      <c r="C7" s="50">
        <v>2683483.5</v>
      </c>
      <c r="D7" s="50">
        <v>5400900</v>
      </c>
      <c r="E7" s="50">
        <v>5576940.5000000009</v>
      </c>
      <c r="F7" s="50">
        <v>4905499.5</v>
      </c>
      <c r="G7" s="17">
        <f t="shared" si="0"/>
        <v>18566823.5</v>
      </c>
      <c r="H7" s="17">
        <f t="shared" si="1"/>
        <v>1331147.1851817984</v>
      </c>
      <c r="I7" s="17">
        <f t="shared" si="2"/>
        <v>17235676.314818203</v>
      </c>
    </row>
    <row r="8" spans="1:9" ht="15.75" customHeight="1" x14ac:dyDescent="0.25">
      <c r="A8" s="5">
        <f t="shared" si="3"/>
        <v>2030</v>
      </c>
      <c r="B8" s="49">
        <v>1146101</v>
      </c>
      <c r="C8" s="50">
        <v>2659203.5</v>
      </c>
      <c r="D8" s="50">
        <v>5461498</v>
      </c>
      <c r="E8" s="50">
        <v>5523464.5</v>
      </c>
      <c r="F8" s="50">
        <v>5018590.5</v>
      </c>
      <c r="G8" s="17">
        <f t="shared" si="0"/>
        <v>18662756.5</v>
      </c>
      <c r="H8" s="17">
        <f t="shared" si="1"/>
        <v>1323785.0019167825</v>
      </c>
      <c r="I8" s="17">
        <f t="shared" si="2"/>
        <v>17338971.498083219</v>
      </c>
    </row>
    <row r="9" spans="1:9" ht="15.75" customHeight="1" x14ac:dyDescent="0.25">
      <c r="A9" s="5">
        <f t="shared" si="3"/>
        <v>2031</v>
      </c>
      <c r="B9" s="49">
        <v>1140828</v>
      </c>
      <c r="C9" s="50">
        <v>2641954</v>
      </c>
      <c r="D9" s="50">
        <v>5530317.9999999991</v>
      </c>
      <c r="E9" s="50">
        <v>5453147.5</v>
      </c>
      <c r="F9" s="50">
        <v>5116643</v>
      </c>
      <c r="G9" s="17">
        <f t="shared" si="0"/>
        <v>18742062.5</v>
      </c>
      <c r="H9" s="17">
        <f t="shared" si="1"/>
        <v>1317694.5104896685</v>
      </c>
      <c r="I9" s="17">
        <f t="shared" si="2"/>
        <v>17424367.989510331</v>
      </c>
    </row>
    <row r="10" spans="1:9" ht="15.75" customHeight="1" x14ac:dyDescent="0.25">
      <c r="A10" s="5">
        <f t="shared" si="3"/>
        <v>2032</v>
      </c>
      <c r="B10" s="49">
        <v>1136735</v>
      </c>
      <c r="C10" s="50">
        <v>2642337</v>
      </c>
      <c r="D10" s="50">
        <v>5606532.9999999991</v>
      </c>
      <c r="E10" s="50">
        <v>5372392.5</v>
      </c>
      <c r="F10" s="50">
        <v>5198148</v>
      </c>
      <c r="G10" s="17">
        <f t="shared" si="0"/>
        <v>18819410.5</v>
      </c>
      <c r="H10" s="17">
        <f t="shared" si="1"/>
        <v>1312966.9585436832</v>
      </c>
      <c r="I10" s="17">
        <f t="shared" si="2"/>
        <v>17506443.541456316</v>
      </c>
    </row>
    <row r="11" spans="1:9" ht="15.75" customHeight="1" x14ac:dyDescent="0.25">
      <c r="A11" s="5">
        <f t="shared" si="3"/>
        <v>2033</v>
      </c>
      <c r="B11" s="49">
        <v>1132757</v>
      </c>
      <c r="C11" s="50">
        <v>2667867.5</v>
      </c>
      <c r="D11" s="50">
        <v>5679991</v>
      </c>
      <c r="E11" s="50">
        <v>5293409.5</v>
      </c>
      <c r="F11" s="50">
        <v>5261009.5</v>
      </c>
      <c r="G11" s="17">
        <f t="shared" si="0"/>
        <v>18902277.5</v>
      </c>
      <c r="H11" s="17">
        <f t="shared" si="1"/>
        <v>1308372.2354454354</v>
      </c>
      <c r="I11" s="17">
        <f t="shared" si="2"/>
        <v>17593905.264554564</v>
      </c>
    </row>
    <row r="12" spans="1:9" ht="15.75" customHeight="1" x14ac:dyDescent="0.25">
      <c r="A12" s="5">
        <f t="shared" si="3"/>
        <v>2034</v>
      </c>
      <c r="B12" s="49">
        <v>1128749</v>
      </c>
      <c r="C12" s="50">
        <v>2723595.5</v>
      </c>
      <c r="D12" s="50">
        <v>5733616.5</v>
      </c>
      <c r="E12" s="50">
        <v>5231571</v>
      </c>
      <c r="F12" s="50">
        <v>5304103</v>
      </c>
      <c r="G12" s="17">
        <f t="shared" si="0"/>
        <v>18992886</v>
      </c>
      <c r="H12" s="17">
        <f t="shared" si="1"/>
        <v>1303742.8613434299</v>
      </c>
      <c r="I12" s="17">
        <f t="shared" si="2"/>
        <v>17689143.138656572</v>
      </c>
    </row>
    <row r="13" spans="1:9" ht="15.75" customHeight="1" x14ac:dyDescent="0.25">
      <c r="A13" s="5">
        <f t="shared" si="3"/>
        <v>2035</v>
      </c>
      <c r="B13" s="49">
        <v>1125172</v>
      </c>
      <c r="C13" s="50">
        <v>2803857</v>
      </c>
      <c r="D13" s="50">
        <v>5758192.9999999991</v>
      </c>
      <c r="E13" s="50">
        <v>5199778</v>
      </c>
      <c r="F13" s="50">
        <v>5331446</v>
      </c>
      <c r="G13" s="17">
        <f t="shared" si="0"/>
        <v>19093274</v>
      </c>
      <c r="H13" s="17">
        <f t="shared" si="1"/>
        <v>1299611.3066620743</v>
      </c>
      <c r="I13" s="17">
        <f t="shared" si="2"/>
        <v>17793662.693337925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0iRYpxb6u3jyd5s4KxE1xWZ+NZ1Vll40lsvaxsCWfbOfIiCrEjtfq2r+lbEn3z3qyxQAbDmiEPKnOJDRe0O0DQ==" saltValue="nRE3gMnccKG6yExTvCCwK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0.14131246935840991</v>
      </c>
    </row>
    <row r="5" spans="1:8" ht="15.75" customHeight="1" x14ac:dyDescent="0.25">
      <c r="B5" s="19" t="s">
        <v>98</v>
      </c>
      <c r="C5" s="99">
        <v>5.2328941334510708E-2</v>
      </c>
    </row>
    <row r="6" spans="1:8" ht="15.75" customHeight="1" x14ac:dyDescent="0.25">
      <c r="B6" s="19" t="s">
        <v>99</v>
      </c>
      <c r="C6" s="99">
        <v>0.200539021228022</v>
      </c>
    </row>
    <row r="7" spans="1:8" ht="15.75" customHeight="1" x14ac:dyDescent="0.25">
      <c r="B7" s="19" t="s">
        <v>100</v>
      </c>
      <c r="C7" s="99">
        <v>0.35804108021250081</v>
      </c>
    </row>
    <row r="8" spans="1:8" ht="15.75" customHeight="1" x14ac:dyDescent="0.25">
      <c r="B8" s="19" t="s">
        <v>101</v>
      </c>
      <c r="C8" s="99">
        <v>0</v>
      </c>
    </row>
    <row r="9" spans="1:8" ht="15.75" customHeight="1" x14ac:dyDescent="0.25">
      <c r="B9" s="19" t="s">
        <v>102</v>
      </c>
      <c r="C9" s="99">
        <v>0.1016678551433597</v>
      </c>
    </row>
    <row r="10" spans="1:8" ht="15.75" customHeight="1" x14ac:dyDescent="0.25">
      <c r="B10" s="19" t="s">
        <v>103</v>
      </c>
      <c r="C10" s="99">
        <v>0.14611063272319719</v>
      </c>
    </row>
    <row r="11" spans="1:8" ht="15.75" customHeight="1" x14ac:dyDescent="0.25">
      <c r="B11" s="27" t="s">
        <v>59</v>
      </c>
      <c r="C11" s="48">
        <f>SUM(C3:C10)</f>
        <v>1.0000000000000004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0.1141063799115946</v>
      </c>
      <c r="D14" s="55">
        <v>0.1141063799115946</v>
      </c>
      <c r="E14" s="55">
        <v>0.1141063799115946</v>
      </c>
      <c r="F14" s="55">
        <v>0.1141063799115946</v>
      </c>
    </row>
    <row r="15" spans="1:8" ht="15.75" customHeight="1" x14ac:dyDescent="0.25">
      <c r="B15" s="19" t="s">
        <v>106</v>
      </c>
      <c r="C15" s="99">
        <v>0.14028486062831391</v>
      </c>
      <c r="D15" s="99">
        <v>0.14028486062831391</v>
      </c>
      <c r="E15" s="99">
        <v>0.14028486062831391</v>
      </c>
      <c r="F15" s="99">
        <v>0.14028486062831391</v>
      </c>
    </row>
    <row r="16" spans="1:8" ht="15.75" customHeight="1" x14ac:dyDescent="0.25">
      <c r="B16" s="19" t="s">
        <v>107</v>
      </c>
      <c r="C16" s="99">
        <v>1.2786357296704E-2</v>
      </c>
      <c r="D16" s="99">
        <v>1.2786357296704E-2</v>
      </c>
      <c r="E16" s="99">
        <v>1.2786357296704E-2</v>
      </c>
      <c r="F16" s="99">
        <v>1.2786357296704E-2</v>
      </c>
    </row>
    <row r="17" spans="1:8" ht="15.75" customHeight="1" x14ac:dyDescent="0.25">
      <c r="B17" s="19" t="s">
        <v>108</v>
      </c>
      <c r="C17" s="99">
        <v>6.2816054194864109E-3</v>
      </c>
      <c r="D17" s="99">
        <v>6.2816054194864109E-3</v>
      </c>
      <c r="E17" s="99">
        <v>6.2816054194864109E-3</v>
      </c>
      <c r="F17" s="99">
        <v>6.2816054194864109E-3</v>
      </c>
    </row>
    <row r="18" spans="1:8" ht="15.75" customHeight="1" x14ac:dyDescent="0.25">
      <c r="B18" s="19" t="s">
        <v>109</v>
      </c>
      <c r="C18" s="99">
        <v>4.8197314204791912E-4</v>
      </c>
      <c r="D18" s="99">
        <v>4.8197314204791912E-4</v>
      </c>
      <c r="E18" s="99">
        <v>4.8197314204791912E-4</v>
      </c>
      <c r="F18" s="99">
        <v>4.8197314204791912E-4</v>
      </c>
    </row>
    <row r="19" spans="1:8" ht="15.75" customHeight="1" x14ac:dyDescent="0.25">
      <c r="B19" s="19" t="s">
        <v>110</v>
      </c>
      <c r="C19" s="99">
        <v>5.8874549489732484E-3</v>
      </c>
      <c r="D19" s="99">
        <v>5.8874549489732484E-3</v>
      </c>
      <c r="E19" s="99">
        <v>5.8874549489732484E-3</v>
      </c>
      <c r="F19" s="99">
        <v>5.8874549489732484E-3</v>
      </c>
    </row>
    <row r="20" spans="1:8" ht="15.75" customHeight="1" x14ac:dyDescent="0.25">
      <c r="B20" s="19" t="s">
        <v>111</v>
      </c>
      <c r="C20" s="99">
        <v>0.4883253174639669</v>
      </c>
      <c r="D20" s="99">
        <v>0.4883253174639669</v>
      </c>
      <c r="E20" s="99">
        <v>0.4883253174639669</v>
      </c>
      <c r="F20" s="99">
        <v>0.4883253174639669</v>
      </c>
    </row>
    <row r="21" spans="1:8" ht="15.75" customHeight="1" x14ac:dyDescent="0.25">
      <c r="B21" s="19" t="s">
        <v>112</v>
      </c>
      <c r="C21" s="99">
        <v>8.8324152768175151E-2</v>
      </c>
      <c r="D21" s="99">
        <v>8.8324152768175151E-2</v>
      </c>
      <c r="E21" s="99">
        <v>8.8324152768175151E-2</v>
      </c>
      <c r="F21" s="99">
        <v>8.8324152768175151E-2</v>
      </c>
    </row>
    <row r="22" spans="1:8" ht="15.75" customHeight="1" x14ac:dyDescent="0.25">
      <c r="B22" s="19" t="s">
        <v>113</v>
      </c>
      <c r="C22" s="99">
        <v>0.1435218984207379</v>
      </c>
      <c r="D22" s="99">
        <v>0.1435218984207379</v>
      </c>
      <c r="E22" s="99">
        <v>0.1435218984207379</v>
      </c>
      <c r="F22" s="99">
        <v>0.1435218984207379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3.3942822999999997E-2</v>
      </c>
    </row>
    <row r="27" spans="1:8" ht="15.75" customHeight="1" x14ac:dyDescent="0.25">
      <c r="B27" s="19" t="s">
        <v>120</v>
      </c>
      <c r="C27" s="99">
        <v>5.9011999999999997E-4</v>
      </c>
    </row>
    <row r="28" spans="1:8" ht="15.75" customHeight="1" x14ac:dyDescent="0.25">
      <c r="B28" s="19" t="s">
        <v>121</v>
      </c>
      <c r="C28" s="99">
        <v>0.106273149</v>
      </c>
    </row>
    <row r="29" spans="1:8" ht="15.75" customHeight="1" x14ac:dyDescent="0.25">
      <c r="B29" s="19" t="s">
        <v>122</v>
      </c>
      <c r="C29" s="99">
        <v>0.14667259199999999</v>
      </c>
    </row>
    <row r="30" spans="1:8" ht="15.75" customHeight="1" x14ac:dyDescent="0.25">
      <c r="B30" s="19" t="s">
        <v>2</v>
      </c>
      <c r="C30" s="99">
        <v>8.2104470999999998E-2</v>
      </c>
    </row>
    <row r="31" spans="1:8" ht="15.75" customHeight="1" x14ac:dyDescent="0.25">
      <c r="B31" s="19" t="s">
        <v>123</v>
      </c>
      <c r="C31" s="99">
        <v>5.7501955E-2</v>
      </c>
    </row>
    <row r="32" spans="1:8" ht="15.75" customHeight="1" x14ac:dyDescent="0.25">
      <c r="B32" s="19" t="s">
        <v>124</v>
      </c>
      <c r="C32" s="99">
        <v>2.0726010999999999E-2</v>
      </c>
    </row>
    <row r="33" spans="2:3" ht="15.75" customHeight="1" x14ac:dyDescent="0.25">
      <c r="B33" s="19" t="s">
        <v>125</v>
      </c>
      <c r="C33" s="99">
        <v>6.9730735000000002E-2</v>
      </c>
    </row>
    <row r="34" spans="2:3" ht="15.75" customHeight="1" x14ac:dyDescent="0.25">
      <c r="B34" s="19" t="s">
        <v>126</v>
      </c>
      <c r="C34" s="99">
        <v>0.48245814399999998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H731Y0ubkvRd1v+e7Z/4hJSgfOemkpC/XIhiYmx3GMu/syLz3AJWNCYE45jXaEq4aMiOdue2ffcuj+Y+KZo5hg==" saltValue="CMuWcjlxKUwwSIwk/cRT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0.29404613063562945</v>
      </c>
      <c r="D2" s="52">
        <f>IFERROR(1-_xlfn.NORM.DIST(_xlfn.NORM.INV(SUM(D4:D5), 0, 1) + 1, 0, 1, TRUE), "")</f>
        <v>0.29404613063562945</v>
      </c>
      <c r="E2" s="52">
        <f>IFERROR(1-_xlfn.NORM.DIST(_xlfn.NORM.INV(SUM(E4:E5), 0, 1) + 1, 0, 1, TRUE), "")</f>
        <v>0.47607468141544351</v>
      </c>
      <c r="F2" s="52">
        <f>IFERROR(1-_xlfn.NORM.DIST(_xlfn.NORM.INV(SUM(F4:F5), 0, 1) + 1, 0, 1, TRUE), "")</f>
        <v>0.25426909799357433</v>
      </c>
      <c r="G2" s="52">
        <f>IFERROR(1-_xlfn.NORM.DIST(_xlfn.NORM.INV(SUM(G4:G5), 0, 1) + 1, 0, 1, TRUE), "")</f>
        <v>0.37012116046592136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0.38262036936437055</v>
      </c>
      <c r="D3" s="52">
        <f>IFERROR(_xlfn.NORM.DIST(_xlfn.NORM.INV(SUM(D4:D5), 0, 1) + 1, 0, 1, TRUE) - SUM(D4:D5), "")</f>
        <v>0.38262036936437055</v>
      </c>
      <c r="E3" s="52">
        <f>IFERROR(_xlfn.NORM.DIST(_xlfn.NORM.INV(SUM(E4:E5), 0, 1) + 1, 0, 1, TRUE) - SUM(E4:E5), "")</f>
        <v>0.35031451858455648</v>
      </c>
      <c r="F3" s="52">
        <f>IFERROR(_xlfn.NORM.DIST(_xlfn.NORM.INV(SUM(F4:F5), 0, 1) + 1, 0, 1, TRUE) - SUM(F4:F5), "")</f>
        <v>0.37838250200642565</v>
      </c>
      <c r="G3" s="52">
        <f>IFERROR(_xlfn.NORM.DIST(_xlfn.NORM.INV(SUM(G4:G5), 0, 1) + 1, 0, 1, TRUE) - SUM(G4:G5), "")</f>
        <v>0.37796123953407862</v>
      </c>
    </row>
    <row r="4" spans="1:15" ht="15.75" customHeight="1" x14ac:dyDescent="0.25">
      <c r="B4" s="5" t="s">
        <v>132</v>
      </c>
      <c r="C4" s="45">
        <v>0.14050360000000001</v>
      </c>
      <c r="D4" s="53">
        <v>0.14050360000000001</v>
      </c>
      <c r="E4" s="53">
        <v>0.1182729</v>
      </c>
      <c r="F4" s="53">
        <v>0.20068749999999999</v>
      </c>
      <c r="G4" s="53">
        <v>0.1783488</v>
      </c>
    </row>
    <row r="5" spans="1:15" ht="15.75" customHeight="1" x14ac:dyDescent="0.25">
      <c r="B5" s="5" t="s">
        <v>133</v>
      </c>
      <c r="C5" s="45">
        <v>0.18282989999999999</v>
      </c>
      <c r="D5" s="53">
        <v>0.18282989999999999</v>
      </c>
      <c r="E5" s="53">
        <v>5.5337900000000002E-2</v>
      </c>
      <c r="F5" s="53">
        <v>0.1666609</v>
      </c>
      <c r="G5" s="53">
        <v>7.3568800000000004E-2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0.79931186824450506</v>
      </c>
      <c r="D8" s="52">
        <f>IFERROR(1-_xlfn.NORM.DIST(_xlfn.NORM.INV(SUM(D10:D11), 0, 1) + 1, 0, 1, TRUE), "")</f>
        <v>0.79931186824450506</v>
      </c>
      <c r="E8" s="52">
        <f>IFERROR(1-_xlfn.NORM.DIST(_xlfn.NORM.INV(SUM(E10:E11), 0, 1) + 1, 0, 1, TRUE), "")</f>
        <v>0.86559676256688545</v>
      </c>
      <c r="F8" s="52">
        <f>IFERROR(1-_xlfn.NORM.DIST(_xlfn.NORM.INV(SUM(F10:F11), 0, 1) + 1, 0, 1, TRUE), "")</f>
        <v>0.83472937410055581</v>
      </c>
      <c r="G8" s="52">
        <f>IFERROR(1-_xlfn.NORM.DIST(_xlfn.NORM.INV(SUM(G10:G11), 0, 1) + 1, 0, 1, TRUE), "")</f>
        <v>0.8342125299855313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0.16774273175549498</v>
      </c>
      <c r="D9" s="52">
        <f>IFERROR(_xlfn.NORM.DIST(_xlfn.NORM.INV(SUM(D10:D11), 0, 1) + 1, 0, 1, TRUE) - SUM(D10:D11), "")</f>
        <v>0.16774273175549498</v>
      </c>
      <c r="E9" s="52">
        <f>IFERROR(_xlfn.NORM.DIST(_xlfn.NORM.INV(SUM(E10:E11), 0, 1) + 1, 0, 1, TRUE) - SUM(E10:E11), "")</f>
        <v>0.11679303743311456</v>
      </c>
      <c r="F9" s="52">
        <f>IFERROR(_xlfn.NORM.DIST(_xlfn.NORM.INV(SUM(F10:F11), 0, 1) + 1, 0, 1, TRUE) - SUM(F10:F11), "")</f>
        <v>0.14102422589944419</v>
      </c>
      <c r="G9" s="52">
        <f>IFERROR(_xlfn.NORM.DIST(_xlfn.NORM.INV(SUM(G10:G11), 0, 1) + 1, 0, 1, TRUE) - SUM(G10:G11), "")</f>
        <v>0.1414224700144687</v>
      </c>
    </row>
    <row r="10" spans="1:15" ht="15.75" customHeight="1" x14ac:dyDescent="0.25">
      <c r="B10" s="5" t="s">
        <v>137</v>
      </c>
      <c r="C10" s="45">
        <v>2.657E-2</v>
      </c>
      <c r="D10" s="53">
        <v>2.657E-2</v>
      </c>
      <c r="E10" s="53">
        <v>3.8682E-3</v>
      </c>
      <c r="F10" s="53">
        <v>1.40923E-2</v>
      </c>
      <c r="G10" s="53">
        <v>2.15506E-2</v>
      </c>
    </row>
    <row r="11" spans="1:15" ht="15.75" customHeight="1" x14ac:dyDescent="0.25">
      <c r="B11" s="5" t="s">
        <v>138</v>
      </c>
      <c r="C11" s="45">
        <v>6.3753999999999998E-3</v>
      </c>
      <c r="D11" s="53">
        <v>6.3753999999999998E-3</v>
      </c>
      <c r="E11" s="53">
        <v>1.3742000000000001E-2</v>
      </c>
      <c r="F11" s="53">
        <v>1.0154099999999999E-2</v>
      </c>
      <c r="G11" s="53">
        <v>2.8143999999999999E-3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0.3103689825</v>
      </c>
      <c r="D14" s="54">
        <v>0.297864656768</v>
      </c>
      <c r="E14" s="54">
        <v>0.297864656768</v>
      </c>
      <c r="F14" s="54">
        <v>0.20754421313499999</v>
      </c>
      <c r="G14" s="54">
        <v>0.20754421313499999</v>
      </c>
      <c r="H14" s="45">
        <v>0.28100000000000003</v>
      </c>
      <c r="I14" s="55">
        <v>0.28100000000000003</v>
      </c>
      <c r="J14" s="55">
        <v>0.28100000000000003</v>
      </c>
      <c r="K14" s="55">
        <v>0.28100000000000003</v>
      </c>
      <c r="L14" s="45">
        <v>0.25700000000000001</v>
      </c>
      <c r="M14" s="55">
        <v>0.25700000000000001</v>
      </c>
      <c r="N14" s="55">
        <v>0.25700000000000001</v>
      </c>
      <c r="O14" s="55">
        <v>0.25700000000000001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0.17260301928586499</v>
      </c>
      <c r="D15" s="52">
        <f t="shared" si="0"/>
        <v>0.1656490886511337</v>
      </c>
      <c r="E15" s="52">
        <f t="shared" si="0"/>
        <v>0.1656490886511337</v>
      </c>
      <c r="F15" s="52">
        <f t="shared" si="0"/>
        <v>0.11541990289706247</v>
      </c>
      <c r="G15" s="52">
        <f t="shared" si="0"/>
        <v>0.11541990289706247</v>
      </c>
      <c r="H15" s="52">
        <f t="shared" si="0"/>
        <v>0.15627028200000001</v>
      </c>
      <c r="I15" s="52">
        <f t="shared" si="0"/>
        <v>0.15627028200000001</v>
      </c>
      <c r="J15" s="52">
        <f t="shared" si="0"/>
        <v>0.15627028200000001</v>
      </c>
      <c r="K15" s="52">
        <f t="shared" si="0"/>
        <v>0.15627028200000001</v>
      </c>
      <c r="L15" s="52">
        <f t="shared" si="0"/>
        <v>0.142923354</v>
      </c>
      <c r="M15" s="52">
        <f t="shared" si="0"/>
        <v>0.142923354</v>
      </c>
      <c r="N15" s="52">
        <f t="shared" si="0"/>
        <v>0.142923354</v>
      </c>
      <c r="O15" s="52">
        <f t="shared" si="0"/>
        <v>0.142923354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DRddfXqidgV4jW+Rgh2cyv50V8YEU/qzFetD+nVhFaAMYgvPUQ9MzDWtJZ02XlrSVJvMlmfr/5oeMcmhcimVA==" saltValue="bd4y8cTWJayxPIv/XrLP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0.44014819999999999</v>
      </c>
      <c r="D2" s="53">
        <v>0.27586660000000002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0.15107960000000001</v>
      </c>
      <c r="D3" s="53">
        <v>0.15072820000000001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0.21675549999999999</v>
      </c>
      <c r="D4" s="53">
        <v>0.31531809999999999</v>
      </c>
      <c r="E4" s="53">
        <v>0.5836865</v>
      </c>
      <c r="F4" s="53">
        <v>0.33648869999999997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0.19201670000000004</v>
      </c>
      <c r="D5" s="52">
        <f t="shared" si="0"/>
        <v>0.25808710000000001</v>
      </c>
      <c r="E5" s="52">
        <f>1-SUM(E2:E4)</f>
        <v>0.4163135</v>
      </c>
      <c r="F5" s="52">
        <f>1-SUM(F2:F4)</f>
        <v>0.66351130000000003</v>
      </c>
      <c r="G5" s="52">
        <f>1-SUM(G2:G4)</f>
        <v>1</v>
      </c>
    </row>
  </sheetData>
  <sheetProtection algorithmName="SHA-512" hashValue="AjRWMdC10GsreQp2Z2BqJbB5mIG2mcFqpZhBWnRvydx+NUQO9g5u9C4hDgPKaUdNqIGZmk4uVrcpfpfGRdMgiw==" saltValue="3rU1lABg/WUVQWE+fBBcL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rVS8rquyoNumFK4ucFSDkMj5/sbuCUpd3GIxG+f5tfXklOksEAXbM2m/vcE6Y+sbq4lxGCGx3fEHAjW0SR4Eiw==" saltValue="gZvORefJjGxcnLDAgBCpf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6766.4812542947802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0.58639000000000008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0.55531999999999992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1.5804905073423522E-2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96502.997910000006</v>
      </c>
      <c r="C22" s="107">
        <v>96260.188460000005</v>
      </c>
      <c r="D22" s="107">
        <v>95976.718070000003</v>
      </c>
      <c r="E22" s="107">
        <v>95267.668950000007</v>
      </c>
      <c r="F22" s="107">
        <v>93895.115269999995</v>
      </c>
      <c r="G22" s="107">
        <v>91610.970319999993</v>
      </c>
      <c r="H22" s="107">
        <v>88349.324540000001</v>
      </c>
      <c r="I22" s="107">
        <v>84552.175730000003</v>
      </c>
      <c r="J22" s="107">
        <v>80432.232359999995</v>
      </c>
      <c r="K22" s="107">
        <v>76194.606329999995</v>
      </c>
      <c r="L22" s="107">
        <v>71407.311679999999</v>
      </c>
      <c r="M22" s="107">
        <v>66102.765629999994</v>
      </c>
      <c r="N22" s="107">
        <v>59746.514569999999</v>
      </c>
      <c r="O22" s="107">
        <v>52036.71557</v>
      </c>
    </row>
  </sheetData>
  <sheetProtection algorithmName="SHA-512" hashValue="hAsadbK9Ue2n6MZf0t071VHQgDvP8USwPN4QlGjeOQbtBGFl7aW6Y5bdsaM93WGEyxH3RvN1Ke9gba5GD2j1Wg==" saltValue="47bSEiWTJ4U/Of8fC1w5x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rZv37NTbbX1fQ196LWTirayT3sv2Sf5BRtRBujCotpoJIVK7DrHS+27BLsaL62ZD1zsCqWEIpv2KBbK/SOJ3BA==" saltValue="aYxwMB/KbfYAAvdqLO44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v+uBURDn3MyH95xPoScTMbp44RaDKLirdPGgLbKrAePJ4WlWUk5EfZrdXrSIsTgY4Hi6/0vXgEuZmp9/rt72Sg==" saltValue="M3cHmsWAnvkjaIA0WYf3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0.2139553248340432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0.50549569999999999</v>
      </c>
      <c r="C10" s="96">
        <v>0.95</v>
      </c>
      <c r="D10" s="56">
        <v>13.174056864953229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13.174056864953229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13.174056864953229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13.174056864953229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13.174056864953229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0.45208722222222197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0.53100000000000003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0.27586660000000002</v>
      </c>
      <c r="C19" s="96">
        <v>0.95</v>
      </c>
      <c r="D19" s="56">
        <v>12.125692061066291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4.3805110504495071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0.68605638799376001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0.51420810000000006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0.39905479999999999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0.42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0.44369690000000001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0.15718509999999999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1.2015899999999999E-2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0.90452129999999997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0.27900000000000003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3FclUk0gwVgzcSWKefxAYNLlrrlmXD1//mQNscMwX/J1z64w73KhW3Ej5JmLlEffX4ALi2zlR+uPVMmCbg78Cw==" saltValue="fdGXv5aRZNraA5fropSh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yvQ1Wa7gUepMOad3If1PRBBPChjr58vNCYzzrUMztwxGOo0lg0ssTkBE1U0GKoyFfyXU0v0i6pmnmXGhV5Iphg==" saltValue="yuVoCl7v5lamPy+6ZithU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574CPJuq/ETbXQpfc+h3CA63JMX6ftjr5+uAJwasT1siisIfURG2Sq3Fha4KlVM10oUOJXlYXrfLOlltzQaaHg==" saltValue="fcJxur8pG3bQr33eFhP5m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1.82</v>
      </c>
      <c r="C2" s="21">
        <f>'Données pop de l''année de ref'!C52</f>
        <v>1.82</v>
      </c>
      <c r="D2" s="21">
        <f>'Données pop de l''année de ref'!C53</f>
        <v>4.2380000000000004</v>
      </c>
      <c r="E2" s="21">
        <f>'Données pop de l''année de ref'!C54</f>
        <v>4.3680000000000003</v>
      </c>
      <c r="F2" s="21">
        <f>'Données pop de l''année de ref'!C55</f>
        <v>2.062666666666666</v>
      </c>
    </row>
    <row r="3" spans="1:6" ht="15.75" customHeight="1" x14ac:dyDescent="0.25">
      <c r="A3" s="3" t="s">
        <v>238</v>
      </c>
      <c r="B3" s="21">
        <f>frac_mam_1month * 2.6</f>
        <v>6.9082000000000005E-2</v>
      </c>
      <c r="C3" s="21">
        <f>frac_mam_1_5months * 2.6</f>
        <v>6.9082000000000005E-2</v>
      </c>
      <c r="D3" s="21">
        <f>frac_mam_6_11months * 2.6</f>
        <v>1.005732E-2</v>
      </c>
      <c r="E3" s="21">
        <f>frac_mam_12_23months * 2.6</f>
        <v>3.6639980000000003E-2</v>
      </c>
      <c r="F3" s="21">
        <f>frac_mam_24_59months * 2.6</f>
        <v>5.6031560000000001E-2</v>
      </c>
    </row>
    <row r="4" spans="1:6" ht="15.75" customHeight="1" x14ac:dyDescent="0.25">
      <c r="A4" s="3" t="s">
        <v>237</v>
      </c>
      <c r="B4" s="21">
        <f>frac_sam_1month * 2.6</f>
        <v>1.657604E-2</v>
      </c>
      <c r="C4" s="21">
        <f>frac_sam_1_5months * 2.6</f>
        <v>1.657604E-2</v>
      </c>
      <c r="D4" s="21">
        <f>frac_sam_6_11months * 2.6</f>
        <v>3.5729200000000003E-2</v>
      </c>
      <c r="E4" s="21">
        <f>frac_sam_12_23months * 2.6</f>
        <v>2.6400659999999999E-2</v>
      </c>
      <c r="F4" s="21">
        <f>frac_sam_24_59months * 2.6</f>
        <v>7.3174399999999997E-3</v>
      </c>
    </row>
  </sheetData>
  <sheetProtection algorithmName="SHA-512" hashValue="MkrxPsMEmqISJOsG5/E+IGDiJJrf2BO8KuiXNfGTO7Q9B7u3o3ImWRfxVJpKv8GqO/iF4afyWTysnoJ4FqO3lA==" saltValue="yLDDss87EzSM5ZQ92H5W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3.9709090909090916E-2</v>
      </c>
      <c r="D7" s="60">
        <f>diarrhoea_1_5mo*frac_diarrhea_severe</f>
        <v>3.9709090909090916E-2</v>
      </c>
      <c r="E7" s="60">
        <f>diarrhoea_6_11mo*frac_diarrhea_severe</f>
        <v>9.2465454545454559E-2</v>
      </c>
      <c r="F7" s="60">
        <f>diarrhoea_12_23mo*frac_diarrhea_severe</f>
        <v>9.5301818181818196E-2</v>
      </c>
      <c r="G7" s="60">
        <f>diarrhoea_24_59mo*frac_diarrhea_severe</f>
        <v>4.500363636363635E-2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3.9709090909090916E-2</v>
      </c>
      <c r="D12" s="60">
        <f>diarrhoea_1_5mo*frac_diarrhea_severe</f>
        <v>3.9709090909090916E-2</v>
      </c>
      <c r="E12" s="60">
        <f>diarrhoea_6_11mo*frac_diarrhea_severe</f>
        <v>9.2465454545454559E-2</v>
      </c>
      <c r="F12" s="60">
        <f>diarrhoea_12_23mo*frac_diarrhea_severe</f>
        <v>9.5301818181818196E-2</v>
      </c>
      <c r="G12" s="60">
        <f>diarrhoea_24_59mo*frac_diarrhea_severe</f>
        <v>4.500363636363635E-2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0.15</v>
      </c>
      <c r="I19" s="60">
        <f>frac_malaria_risk</f>
        <v>0.15</v>
      </c>
      <c r="J19" s="60">
        <f>frac_malaria_risk</f>
        <v>0.15</v>
      </c>
      <c r="K19" s="60">
        <f>frac_malaria_risk</f>
        <v>0.15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0.14899999999999999</v>
      </c>
      <c r="M24" s="60">
        <f>famplan_unmet_need</f>
        <v>0.14899999999999999</v>
      </c>
      <c r="N24" s="60">
        <f>famplan_unmet_need</f>
        <v>0.14899999999999999</v>
      </c>
      <c r="O24" s="60">
        <f>famplan_unmet_need</f>
        <v>0.14899999999999999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0.13027044183999997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5.5830189360000004E-2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2.8672168799999995E-2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0.78522720000000001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0.15</v>
      </c>
      <c r="D34" s="60">
        <f t="shared" si="4"/>
        <v>0.15</v>
      </c>
      <c r="E34" s="60">
        <f t="shared" si="4"/>
        <v>0.15</v>
      </c>
      <c r="F34" s="60">
        <f t="shared" si="4"/>
        <v>0.15</v>
      </c>
      <c r="G34" s="60">
        <f t="shared" si="4"/>
        <v>0.15</v>
      </c>
      <c r="H34" s="60">
        <f t="shared" si="4"/>
        <v>0.15</v>
      </c>
      <c r="I34" s="60">
        <f t="shared" si="4"/>
        <v>0.15</v>
      </c>
      <c r="J34" s="60">
        <f t="shared" si="4"/>
        <v>0.15</v>
      </c>
      <c r="K34" s="60">
        <f t="shared" si="4"/>
        <v>0.15</v>
      </c>
      <c r="L34" s="60">
        <f t="shared" si="4"/>
        <v>0.15</v>
      </c>
      <c r="M34" s="60">
        <f t="shared" si="4"/>
        <v>0.15</v>
      </c>
      <c r="N34" s="60">
        <f t="shared" si="4"/>
        <v>0.15</v>
      </c>
      <c r="O34" s="60">
        <f t="shared" si="4"/>
        <v>0.15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tmwgH7N4Wuck7d9TtwqN7qZsA+ZAmnGU6F38YPCN4hvlBlM4s5HbY8iFukfniiTxnr9401h4YvTVUM2gFcK/jA==" saltValue="MP3eKVFvqaibeajPK00A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HJ1Q8b3t5iQvSpkzFTDMKgmyYMCA66OVnEz03FfoSMEGrBDdzxZIdsG6oKtZUm/6UJodZK6fUvwZNYxMHPbyOA==" saltValue="BmvWV+hp52aBYe1QNXiLv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szibMvgK82Ua0/gauaBvZcdmdTHDkLTgYwM1GZRqMYyKDUtyLb2ElArQAzHqrmSV0/QJzFpq9zy2l/KxDXYmw==" saltValue="XDwT4oJelo59zkwlmhC2G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ResPtND47sDdmaIF1b5V/WdD1rT9J4jA9068MxhIHRZMlVFXfXWPsRrzEu6C5HJgVFx5oFskIpMsSKmuBH7b2A==" saltValue="2Ze3j+NqbWIWh4Nqp+2sA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S1LlKN/qWk6BbA8ytZFgZTWPrRR+1JKYB1WwDeIRClX2d9GIHeOYbnVpZ+mgIbY+L5LfOjaOeysEwFJ5RxHFXg==" saltValue="kjQJiJ2WEujBtY7H7AOK7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uYenJc6D7c5CJe3tKcTmqZYJg4uK5wfixoVhUmReSi6aLMwDD62ayuzGUPuajqqxPKxDWtA+retx61Sj10HPdw==" saltValue="OQurjktfCSh5QUcqUqIfS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46NCjTn+q/ZDQqBYMi9jciTcyEqei32JSE57MqSIiIG9Pdytb5LOF3NBR7skznXhZ2aqFLk+WBWayhRkycK/Bg==" saltValue="duwPo4xN8znVZmONS+BW2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ojdT6mvwAVkocWkK+5H7ztGjc6kEoIOcFfdNGQEKnfjyz8dYFeRAKH2gUyWjyMa+2Gd+cEoLdD4+7A06unu2pQ==" saltValue="cIdGC/lzVEMkd2VICX4j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zue1KR0uay0pK/veeLoCK7wMB91exYi+TrbPfwToi+Jmr8ybFpIUKxYQohyiteNSDQ/7PgaOJVHCUQ+GrBkr5w==" saltValue="MLi51mTNN+9qLX9pBIG0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KGYvKTYwU22JIsg8Q03yver3IxR1ZZ2ZqUh6npr3ybLSgLsgpUTVVpktZ5YzjaCS8J6Foad6UVO+NF5QBxGFaA==" saltValue="tm3FY0GA4tgnlYIaKSDn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zcoEHtcINSe7tt6Z9TSabOMf+uwxn2/iZsvZV4cfo0Cqo68JGfFNGa+XFdN+T6nCw4qdEi2vKLmUYipTkfDww==" saltValue="5P9yq9W1spF+f6a6WRTJ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Rep18ZkuJOTkXsl1m/wgEuu9Ig9kt6iU+/06AXfxElGYtLuDbsWLMoL0eysQKT0Yo2Zg/zQzmXW7gqPgMMeyoQ==" saltValue="gz9GIWBluCkE3gwDbSs7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NM5r4Gstg0UGYCisql4tXIBF1HVa5Mc/LWfbWHx4ymBxBWMxZsSi3LdA1bAPXi7J/D7y6RyPU7O2yFzBCm30w==" saltValue="kb/1q3rzoCz4RYea31fW1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8DF9YyqKzBvAeQpD2mwix5fOZBLL7FQHEAtRiIEdbepKcDH7SKZKYd2sMYouzHXrKSu1/8WJznEcXBPXrEtsgQ==" saltValue="/Rf7NkbiJo9RH0Cnh10D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yKroVTPNzwjMT2cSKc5R7BlTMab/A/aX+6aRDtwkA/Ae9htU+P6j5x+hGC+chmHJlb6fwMa8RvFneWkjorOTQ==" saltValue="D8HPEqKxOUsQ8a/izk3mr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2026-04-29T08:04:01Z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