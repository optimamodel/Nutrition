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696C5F2D-FFD2-493F-A1E9-7F4484A48A88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E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F152" i="27" s="1"/>
  <c r="E97" i="27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A37" i="2"/>
  <c r="A19" i="2"/>
  <c r="A15" i="2"/>
  <c r="H13" i="2"/>
  <c r="G13" i="2"/>
  <c r="H12" i="2"/>
  <c r="G12" i="2"/>
  <c r="I12" i="2" s="1"/>
  <c r="H11" i="2"/>
  <c r="G11" i="2"/>
  <c r="I11" i="2" s="1"/>
  <c r="H10" i="2"/>
  <c r="G10" i="2"/>
  <c r="I10" i="2" s="1"/>
  <c r="H9" i="2"/>
  <c r="G9" i="2"/>
  <c r="H8" i="2"/>
  <c r="G8" i="2"/>
  <c r="I8" i="2" s="1"/>
  <c r="H7" i="2"/>
  <c r="G7" i="2"/>
  <c r="I7" i="2" s="1"/>
  <c r="H6" i="2"/>
  <c r="G6" i="2"/>
  <c r="I6" i="2" s="1"/>
  <c r="H5" i="2"/>
  <c r="G5" i="2"/>
  <c r="H4" i="2"/>
  <c r="G4" i="2"/>
  <c r="I4" i="2" s="1"/>
  <c r="H3" i="2"/>
  <c r="G3" i="2"/>
  <c r="I3" i="2" s="1"/>
  <c r="H2" i="2"/>
  <c r="G2" i="2"/>
  <c r="I2" i="2" s="1"/>
  <c r="A2" i="2"/>
  <c r="A40" i="2" s="1"/>
  <c r="C33" i="1"/>
  <c r="C20" i="1"/>
  <c r="A27" i="2" l="1"/>
  <c r="A29" i="2"/>
  <c r="I40" i="2"/>
  <c r="A21" i="2"/>
  <c r="A23" i="2"/>
  <c r="I5" i="2"/>
  <c r="I9" i="2"/>
  <c r="I13" i="2"/>
  <c r="A31" i="2"/>
  <c r="A35" i="2"/>
  <c r="A16" i="2"/>
  <c r="A24" i="2"/>
  <c r="A32" i="2"/>
  <c r="A17" i="2"/>
  <c r="A25" i="2"/>
  <c r="A3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  <c r="A39" i="2"/>
  <c r="A20" i="2"/>
  <c r="A28" i="2"/>
  <c r="A36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<sst xmlns="http://schemas.openxmlformats.org/spreadsheetml/2006/main" count="2101" uniqueCount="337">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</sst>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5650872.6875</v>
      </c>
    </row>
    <row r="8" spans="1:3" ht="15" customHeight="1" x14ac:dyDescent="0.25">
      <c r="B8" s="5" t="s">
        <v>19</v>
      </c>
      <c r="C8" s="44">
        <v>0.189</v>
      </c>
    </row>
    <row r="9" spans="1:3" ht="15" customHeight="1" x14ac:dyDescent="0.25">
      <c r="B9" s="5" t="s">
        <v>20</v>
      </c>
      <c r="C9" s="45">
        <v>0.15</v>
      </c>
    </row>
    <row r="10" spans="1:3" ht="15" customHeight="1" x14ac:dyDescent="0.25">
      <c r="B10" s="5" t="s">
        <v>21</v>
      </c>
      <c r="C10" s="45">
        <v>0.84276802062988299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0.221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9.8900000000000002E-2</v>
      </c>
    </row>
    <row r="24" spans="1:3" ht="15" customHeight="1" x14ac:dyDescent="0.25">
      <c r="B24" s="15" t="s">
        <v>33</v>
      </c>
      <c r="C24" s="45">
        <v>0.53500000000000003</v>
      </c>
    </row>
    <row r="25" spans="1:3" ht="15" customHeight="1" x14ac:dyDescent="0.25">
      <c r="B25" s="15" t="s">
        <v>34</v>
      </c>
      <c r="C25" s="45">
        <v>0.3115</v>
      </c>
    </row>
    <row r="26" spans="1:3" ht="15" customHeight="1" x14ac:dyDescent="0.25">
      <c r="B26" s="15" t="s">
        <v>35</v>
      </c>
      <c r="C26" s="45">
        <v>5.4600000000000003E-2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0.35873412103889402</v>
      </c>
    </row>
    <row r="30" spans="1:3" ht="14.25" customHeight="1" x14ac:dyDescent="0.25">
      <c r="B30" s="25" t="s">
        <v>38</v>
      </c>
      <c r="C30" s="99">
        <v>2.5198011863396302E-2</v>
      </c>
    </row>
    <row r="31" spans="1:3" ht="14.25" customHeight="1" x14ac:dyDescent="0.25">
      <c r="B31" s="25" t="s">
        <v>39</v>
      </c>
      <c r="C31" s="99">
        <v>4.3840922737282198E-2</v>
      </c>
    </row>
    <row r="32" spans="1:3" ht="14.25" customHeight="1" x14ac:dyDescent="0.25">
      <c r="B32" s="25" t="s">
        <v>40</v>
      </c>
      <c r="C32" s="99">
        <v>0.57222694436042698</v>
      </c>
    </row>
    <row r="33" spans="1:5" ht="13" customHeight="1" x14ac:dyDescent="0.25">
      <c r="B33" s="27" t="s">
        <v>41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11.02473</v>
      </c>
    </row>
    <row r="38" spans="1:5" ht="15" customHeight="1" x14ac:dyDescent="0.25">
      <c r="B38" s="11" t="s">
        <v>45</v>
      </c>
      <c r="C38" s="43">
        <v>26.427199999999999</v>
      </c>
      <c r="D38" s="12"/>
      <c r="E38" s="13"/>
    </row>
    <row r="39" spans="1:5" ht="15" customHeight="1" x14ac:dyDescent="0.25">
      <c r="B39" s="11" t="s">
        <v>46</v>
      </c>
      <c r="C39" s="43">
        <v>32.847329999999999</v>
      </c>
      <c r="D39" s="12"/>
      <c r="E39" s="12"/>
    </row>
    <row r="40" spans="1:5" ht="15" customHeight="1" x14ac:dyDescent="0.25">
      <c r="B40" s="11" t="s">
        <v>47</v>
      </c>
      <c r="C40" s="100">
        <v>1.27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16.163879999999999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1.10247E-2</v>
      </c>
      <c r="D45" s="12"/>
    </row>
    <row r="46" spans="1:5" ht="15.75" customHeight="1" x14ac:dyDescent="0.25">
      <c r="B46" s="11" t="s">
        <v>52</v>
      </c>
      <c r="C46" s="45">
        <v>0.1185986</v>
      </c>
      <c r="D46" s="12"/>
    </row>
    <row r="47" spans="1:5" ht="15.75" customHeight="1" x14ac:dyDescent="0.25">
      <c r="B47" s="11" t="s">
        <v>53</v>
      </c>
      <c r="C47" s="45">
        <v>0.1031654</v>
      </c>
      <c r="D47" s="12"/>
      <c r="E47" s="13"/>
    </row>
    <row r="48" spans="1:5" ht="15" customHeight="1" x14ac:dyDescent="0.25">
      <c r="B48" s="11" t="s">
        <v>54</v>
      </c>
      <c r="C48" s="46">
        <v>0.76721130000000004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3.3</v>
      </c>
      <c r="D51" s="12"/>
    </row>
    <row r="52" spans="1:4" ht="15" customHeight="1" x14ac:dyDescent="0.25">
      <c r="B52" s="11" t="s">
        <v>57</v>
      </c>
      <c r="C52" s="100">
        <v>3.3</v>
      </c>
    </row>
    <row r="53" spans="1:4" ht="15.75" customHeight="1" x14ac:dyDescent="0.25">
      <c r="B53" s="11" t="s">
        <v>58</v>
      </c>
      <c r="C53" s="100">
        <v>3.3</v>
      </c>
    </row>
    <row r="54" spans="1:4" ht="15.75" customHeight="1" x14ac:dyDescent="0.25">
      <c r="B54" s="11" t="s">
        <v>59</v>
      </c>
      <c r="C54" s="100">
        <v>3.3</v>
      </c>
    </row>
    <row r="55" spans="1:4" ht="15.75" customHeight="1" x14ac:dyDescent="0.25">
      <c r="B55" s="11" t="s">
        <v>60</v>
      </c>
      <c r="C55" s="100">
        <v>3.3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2.181818181818182E-2</v>
      </c>
    </row>
    <row r="59" spans="1:4" ht="15.75" customHeight="1" x14ac:dyDescent="0.25">
      <c r="B59" s="11" t="s">
        <v>63</v>
      </c>
      <c r="C59" s="45">
        <v>0.55612200000000001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0.14205164000000001</v>
      </c>
    </row>
    <row r="63" spans="1:4" ht="15.75" customHeight="1" x14ac:dyDescent="0.3">
      <c r="A63" s="4"/>
    </row>
  </sheetData>
  <sheetProtection algorithmName="SHA-512" hashValue="zjRSXF0MEiTntiYB5n4jvIHbvQVfVrz4cwInMEATKOZ4Jf83BbK+kfKlcYnXXOAvNIm/hAVMJPDGMiM287zX4Q==" saltValue="NhYAu+V9qnbO9X+2E5flV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1127932</v>
      </c>
      <c r="C2" s="49">
        <v>3137925</v>
      </c>
      <c r="D2" s="49">
        <v>4644386.5</v>
      </c>
      <c r="E2" s="49">
        <v>5429110</v>
      </c>
      <c r="F2" s="49">
        <v>3131063</v>
      </c>
      <c r="G2" s="17">
        <f t="shared" ref="G2:G13" si="0">C2+D2+E2+F2</f>
        <v>16342484.5</v>
      </c>
      <c r="H2" s="17">
        <f t="shared" ref="H2:H13" si="1">(B2 + stillbirth*B2/(1000-stillbirth))/(1-abortion)</f>
        <v>1302799.1990077666</v>
      </c>
      <c r="I2" s="17">
        <f t="shared" ref="I2:I13" si="2">G2-H2</f>
        <v>15039685.300992234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1114545</v>
      </c>
      <c r="C3" s="50">
        <v>3204738.5</v>
      </c>
      <c r="D3" s="50">
        <v>4602513.5</v>
      </c>
      <c r="E3" s="50">
        <v>5428826.5</v>
      </c>
      <c r="F3" s="50">
        <v>3327221</v>
      </c>
      <c r="G3" s="17">
        <f t="shared" si="0"/>
        <v>16563299.5</v>
      </c>
      <c r="H3" s="17">
        <f t="shared" si="1"/>
        <v>1287336.7660977005</v>
      </c>
      <c r="I3" s="17">
        <f t="shared" si="2"/>
        <v>15275962.7339023</v>
      </c>
    </row>
    <row r="4" spans="1:9" ht="15.75" customHeight="1" x14ac:dyDescent="0.25">
      <c r="A4" s="5">
        <f t="shared" si="3"/>
        <v>2026</v>
      </c>
      <c r="B4" s="49">
        <v>1105630</v>
      </c>
      <c r="C4" s="50">
        <v>3260227.5</v>
      </c>
      <c r="D4" s="50">
        <v>4594205.5</v>
      </c>
      <c r="E4" s="50">
        <v>5391733.5</v>
      </c>
      <c r="F4" s="50">
        <v>3541887</v>
      </c>
      <c r="G4" s="17">
        <f t="shared" si="0"/>
        <v>16788053.5</v>
      </c>
      <c r="H4" s="17">
        <f t="shared" si="1"/>
        <v>1277039.6428144225</v>
      </c>
      <c r="I4" s="17">
        <f t="shared" si="2"/>
        <v>15511013.857185578</v>
      </c>
    </row>
    <row r="5" spans="1:9" ht="15.75" customHeight="1" x14ac:dyDescent="0.25">
      <c r="A5" s="5">
        <f t="shared" si="3"/>
        <v>2027</v>
      </c>
      <c r="B5" s="49">
        <v>1097949</v>
      </c>
      <c r="C5" s="50">
        <v>3305278.5</v>
      </c>
      <c r="D5" s="50">
        <v>4626941.5</v>
      </c>
      <c r="E5" s="50">
        <v>5306996</v>
      </c>
      <c r="F5" s="50">
        <v>3765723</v>
      </c>
      <c r="G5" s="17">
        <f t="shared" si="0"/>
        <v>17004939</v>
      </c>
      <c r="H5" s="17">
        <f t="shared" si="1"/>
        <v>1268167.8308190373</v>
      </c>
      <c r="I5" s="17">
        <f t="shared" si="2"/>
        <v>15736771.169180963</v>
      </c>
    </row>
    <row r="6" spans="1:9" ht="15.75" customHeight="1" x14ac:dyDescent="0.25">
      <c r="A6" s="5">
        <f t="shared" si="3"/>
        <v>2028</v>
      </c>
      <c r="B6" s="49">
        <v>1089004</v>
      </c>
      <c r="C6" s="50">
        <v>3326839</v>
      </c>
      <c r="D6" s="50">
        <v>4708274</v>
      </c>
      <c r="E6" s="50">
        <v>5191814.5</v>
      </c>
      <c r="F6" s="50">
        <v>3985571.5</v>
      </c>
      <c r="G6" s="17">
        <f t="shared" si="0"/>
        <v>17212499</v>
      </c>
      <c r="H6" s="17">
        <f t="shared" si="1"/>
        <v>1257836.0565320021</v>
      </c>
      <c r="I6" s="17">
        <f t="shared" si="2"/>
        <v>15954662.943467997</v>
      </c>
    </row>
    <row r="7" spans="1:9" ht="15.75" customHeight="1" x14ac:dyDescent="0.25">
      <c r="A7" s="5">
        <f t="shared" si="3"/>
        <v>2029</v>
      </c>
      <c r="B7" s="49">
        <v>1085681</v>
      </c>
      <c r="C7" s="50">
        <v>3336093</v>
      </c>
      <c r="D7" s="50">
        <v>4807527.5</v>
      </c>
      <c r="E7" s="50">
        <v>5071644.5</v>
      </c>
      <c r="F7" s="50">
        <v>4180962</v>
      </c>
      <c r="G7" s="17">
        <f t="shared" si="0"/>
        <v>17396227</v>
      </c>
      <c r="H7" s="17">
        <f t="shared" si="1"/>
        <v>1253997.8803491266</v>
      </c>
      <c r="I7" s="17">
        <f t="shared" si="2"/>
        <v>16142229.119650874</v>
      </c>
    </row>
    <row r="8" spans="1:9" ht="15.75" customHeight="1" x14ac:dyDescent="0.25">
      <c r="A8" s="5">
        <f t="shared" si="3"/>
        <v>2030</v>
      </c>
      <c r="B8" s="49">
        <v>1082293</v>
      </c>
      <c r="C8" s="50">
        <v>3343308.5</v>
      </c>
      <c r="D8" s="50">
        <v>4905161.5</v>
      </c>
      <c r="E8" s="50">
        <v>4953088.5000000009</v>
      </c>
      <c r="F8" s="50">
        <v>4339853</v>
      </c>
      <c r="G8" s="17">
        <f t="shared" si="0"/>
        <v>17541411.5</v>
      </c>
      <c r="H8" s="17">
        <f t="shared" si="1"/>
        <v>1250084.6269914436</v>
      </c>
      <c r="I8" s="17">
        <f t="shared" si="2"/>
        <v>16291326.873008557</v>
      </c>
    </row>
    <row r="9" spans="1:9" ht="15.75" customHeight="1" x14ac:dyDescent="0.25">
      <c r="A9" s="5">
        <f t="shared" si="3"/>
        <v>2031</v>
      </c>
      <c r="B9" s="49">
        <v>1080262</v>
      </c>
      <c r="C9" s="50">
        <v>3345039.5</v>
      </c>
      <c r="D9" s="50">
        <v>5015503</v>
      </c>
      <c r="E9" s="50">
        <v>4835155.5</v>
      </c>
      <c r="F9" s="50">
        <v>4460900</v>
      </c>
      <c r="G9" s="17">
        <f t="shared" si="0"/>
        <v>17656598</v>
      </c>
      <c r="H9" s="17">
        <f t="shared" si="1"/>
        <v>1247738.7540370591</v>
      </c>
      <c r="I9" s="17">
        <f t="shared" si="2"/>
        <v>16408859.24596294</v>
      </c>
    </row>
    <row r="10" spans="1:9" ht="15.75" customHeight="1" x14ac:dyDescent="0.25">
      <c r="A10" s="5">
        <f t="shared" si="3"/>
        <v>2032</v>
      </c>
      <c r="B10" s="49">
        <v>1082157</v>
      </c>
      <c r="C10" s="50">
        <v>3355122.5</v>
      </c>
      <c r="D10" s="50">
        <v>5137047</v>
      </c>
      <c r="E10" s="50">
        <v>4722489</v>
      </c>
      <c r="F10" s="50">
        <v>4551714</v>
      </c>
      <c r="G10" s="17">
        <f t="shared" si="0"/>
        <v>17766372.5</v>
      </c>
      <c r="H10" s="17">
        <f t="shared" si="1"/>
        <v>1249927.5424410761</v>
      </c>
      <c r="I10" s="17">
        <f t="shared" si="2"/>
        <v>16516444.957558924</v>
      </c>
    </row>
    <row r="11" spans="1:9" ht="15.75" customHeight="1" x14ac:dyDescent="0.25">
      <c r="A11" s="5">
        <f t="shared" si="3"/>
        <v>2033</v>
      </c>
      <c r="B11" s="49">
        <v>1081745</v>
      </c>
      <c r="C11" s="50">
        <v>3375293.5</v>
      </c>
      <c r="D11" s="50">
        <v>5258236.5</v>
      </c>
      <c r="E11" s="50">
        <v>4627072</v>
      </c>
      <c r="F11" s="50">
        <v>4617307</v>
      </c>
      <c r="G11" s="17">
        <f t="shared" si="0"/>
        <v>17877909</v>
      </c>
      <c r="H11" s="17">
        <f t="shared" si="1"/>
        <v>1249451.6686561394</v>
      </c>
      <c r="I11" s="17">
        <f t="shared" si="2"/>
        <v>16628457.331343861</v>
      </c>
    </row>
    <row r="12" spans="1:9" ht="15.75" customHeight="1" x14ac:dyDescent="0.25">
      <c r="A12" s="5">
        <f t="shared" si="3"/>
        <v>2034</v>
      </c>
      <c r="B12" s="49">
        <v>1081601</v>
      </c>
      <c r="C12" s="50">
        <v>3387822</v>
      </c>
      <c r="D12" s="50">
        <v>5364742.5</v>
      </c>
      <c r="E12" s="50">
        <v>4559799</v>
      </c>
      <c r="F12" s="50">
        <v>4655375.9999999991</v>
      </c>
      <c r="G12" s="17">
        <f t="shared" si="0"/>
        <v>17967739.5</v>
      </c>
      <c r="H12" s="17">
        <f t="shared" si="1"/>
        <v>1249285.3438381031</v>
      </c>
      <c r="I12" s="17">
        <f t="shared" si="2"/>
        <v>16718454.156161897</v>
      </c>
    </row>
    <row r="13" spans="1:9" ht="15.75" customHeight="1" x14ac:dyDescent="0.25">
      <c r="A13" s="5">
        <f t="shared" si="3"/>
        <v>2035</v>
      </c>
      <c r="B13" s="49">
        <v>1083817</v>
      </c>
      <c r="C13" s="50">
        <v>3387662</v>
      </c>
      <c r="D13" s="50">
        <v>5447826</v>
      </c>
      <c r="E13" s="50">
        <v>4522452</v>
      </c>
      <c r="F13" s="50">
        <v>4665631</v>
      </c>
      <c r="G13" s="17">
        <f t="shared" si="0"/>
        <v>18023571</v>
      </c>
      <c r="H13" s="17">
        <f t="shared" si="1"/>
        <v>1251844.8979823256</v>
      </c>
      <c r="I13" s="17">
        <f t="shared" si="2"/>
        <v>16771726.102017675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Apfed2K2YieasS9nXsgMge8QA1cziOFCYPUpaBv7VqVgmPg9DxE2tMxvBluhKhJApqpAJbRpBzSNmU1zFlQFHQ==" saltValue="3j6h8Ax8RkT1RvQeZLYM7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0</v>
      </c>
    </row>
    <row r="4" spans="1:8" ht="15.75" customHeight="1" x14ac:dyDescent="0.25">
      <c r="B4" s="19" t="s">
        <v>79</v>
      </c>
      <c r="C4" s="101">
        <v>0.14131246935840991</v>
      </c>
    </row>
    <row r="5" spans="1:8" ht="15.75" customHeight="1" x14ac:dyDescent="0.25">
      <c r="B5" s="19" t="s">
        <v>80</v>
      </c>
      <c r="C5" s="101">
        <v>5.2328941334510708E-2</v>
      </c>
    </row>
    <row r="6" spans="1:8" ht="15.75" customHeight="1" x14ac:dyDescent="0.25">
      <c r="B6" s="19" t="s">
        <v>81</v>
      </c>
      <c r="C6" s="101">
        <v>0.200539021228022</v>
      </c>
    </row>
    <row r="7" spans="1:8" ht="15.75" customHeight="1" x14ac:dyDescent="0.25">
      <c r="B7" s="19" t="s">
        <v>82</v>
      </c>
      <c r="C7" s="101">
        <v>0.35804108021250081</v>
      </c>
    </row>
    <row r="8" spans="1:8" ht="15.75" customHeight="1" x14ac:dyDescent="0.25">
      <c r="B8" s="19" t="s">
        <v>83</v>
      </c>
      <c r="C8" s="101">
        <v>0</v>
      </c>
    </row>
    <row r="9" spans="1:8" ht="15.75" customHeight="1" x14ac:dyDescent="0.25">
      <c r="B9" s="19" t="s">
        <v>84</v>
      </c>
      <c r="C9" s="101">
        <v>0.1016678551433597</v>
      </c>
    </row>
    <row r="10" spans="1:8" ht="15.75" customHeight="1" x14ac:dyDescent="0.25">
      <c r="B10" s="19" t="s">
        <v>85</v>
      </c>
      <c r="C10" s="101">
        <v>0.14611063272319719</v>
      </c>
    </row>
    <row r="11" spans="1:8" ht="15.75" customHeight="1" x14ac:dyDescent="0.25">
      <c r="B11" s="27" t="s">
        <v>41</v>
      </c>
      <c r="C11" s="48">
        <f>SUM(C3:C10)</f>
        <v>1.0000000000000004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0.1141063799115946</v>
      </c>
      <c r="D14" s="55">
        <v>0.1141063799115946</v>
      </c>
      <c r="E14" s="55">
        <v>0.1141063799115946</v>
      </c>
      <c r="F14" s="55">
        <v>0.1141063799115946</v>
      </c>
    </row>
    <row r="15" spans="1:8" ht="15.75" customHeight="1" x14ac:dyDescent="0.25">
      <c r="B15" s="19" t="s">
        <v>88</v>
      </c>
      <c r="C15" s="101">
        <v>0.14028486062831391</v>
      </c>
      <c r="D15" s="101">
        <v>0.14028486062831391</v>
      </c>
      <c r="E15" s="101">
        <v>0.14028486062831391</v>
      </c>
      <c r="F15" s="101">
        <v>0.14028486062831391</v>
      </c>
    </row>
    <row r="16" spans="1:8" ht="15.75" customHeight="1" x14ac:dyDescent="0.25">
      <c r="B16" s="19" t="s">
        <v>89</v>
      </c>
      <c r="C16" s="101">
        <v>1.2786357296704E-2</v>
      </c>
      <c r="D16" s="101">
        <v>1.2786357296704E-2</v>
      </c>
      <c r="E16" s="101">
        <v>1.2786357296704E-2</v>
      </c>
      <c r="F16" s="101">
        <v>1.2786357296704E-2</v>
      </c>
    </row>
    <row r="17" spans="1:8" ht="15.75" customHeight="1" x14ac:dyDescent="0.25">
      <c r="B17" s="19" t="s">
        <v>90</v>
      </c>
      <c r="C17" s="101">
        <v>6.2816054194864109E-3</v>
      </c>
      <c r="D17" s="101">
        <v>6.2816054194864109E-3</v>
      </c>
      <c r="E17" s="101">
        <v>6.2816054194864109E-3</v>
      </c>
      <c r="F17" s="101">
        <v>6.2816054194864109E-3</v>
      </c>
    </row>
    <row r="18" spans="1:8" ht="15.75" customHeight="1" x14ac:dyDescent="0.25">
      <c r="B18" s="19" t="s">
        <v>91</v>
      </c>
      <c r="C18" s="101">
        <v>4.8197314204791912E-4</v>
      </c>
      <c r="D18" s="101">
        <v>4.8197314204791912E-4</v>
      </c>
      <c r="E18" s="101">
        <v>4.8197314204791912E-4</v>
      </c>
      <c r="F18" s="101">
        <v>4.8197314204791912E-4</v>
      </c>
    </row>
    <row r="19" spans="1:8" ht="15.75" customHeight="1" x14ac:dyDescent="0.25">
      <c r="B19" s="19" t="s">
        <v>92</v>
      </c>
      <c r="C19" s="101">
        <v>5.8874549489732484E-3</v>
      </c>
      <c r="D19" s="101">
        <v>5.8874549489732484E-3</v>
      </c>
      <c r="E19" s="101">
        <v>5.8874549489732484E-3</v>
      </c>
      <c r="F19" s="101">
        <v>5.8874549489732484E-3</v>
      </c>
    </row>
    <row r="20" spans="1:8" ht="15.75" customHeight="1" x14ac:dyDescent="0.25">
      <c r="B20" s="19" t="s">
        <v>93</v>
      </c>
      <c r="C20" s="101">
        <v>0.4883253174639669</v>
      </c>
      <c r="D20" s="101">
        <v>0.4883253174639669</v>
      </c>
      <c r="E20" s="101">
        <v>0.4883253174639669</v>
      </c>
      <c r="F20" s="101">
        <v>0.4883253174639669</v>
      </c>
    </row>
    <row r="21" spans="1:8" ht="15.75" customHeight="1" x14ac:dyDescent="0.25">
      <c r="B21" s="19" t="s">
        <v>94</v>
      </c>
      <c r="C21" s="101">
        <v>8.8324152768175151E-2</v>
      </c>
      <c r="D21" s="101">
        <v>8.8324152768175151E-2</v>
      </c>
      <c r="E21" s="101">
        <v>8.8324152768175151E-2</v>
      </c>
      <c r="F21" s="101">
        <v>8.8324152768175151E-2</v>
      </c>
    </row>
    <row r="22" spans="1:8" ht="15.75" customHeight="1" x14ac:dyDescent="0.25">
      <c r="B22" s="19" t="s">
        <v>95</v>
      </c>
      <c r="C22" s="101">
        <v>0.1435218984207379</v>
      </c>
      <c r="D22" s="101">
        <v>0.1435218984207379</v>
      </c>
      <c r="E22" s="101">
        <v>0.1435218984207379</v>
      </c>
      <c r="F22" s="101">
        <v>0.1435218984207379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3.3942822999999997E-2</v>
      </c>
    </row>
    <row r="27" spans="1:8" ht="15.75" customHeight="1" x14ac:dyDescent="0.25">
      <c r="B27" s="19" t="s">
        <v>102</v>
      </c>
      <c r="C27" s="101">
        <v>5.9011999999999997E-4</v>
      </c>
    </row>
    <row r="28" spans="1:8" ht="15.75" customHeight="1" x14ac:dyDescent="0.25">
      <c r="B28" s="19" t="s">
        <v>103</v>
      </c>
      <c r="C28" s="101">
        <v>0.106273149</v>
      </c>
    </row>
    <row r="29" spans="1:8" ht="15.75" customHeight="1" x14ac:dyDescent="0.25">
      <c r="B29" s="19" t="s">
        <v>104</v>
      </c>
      <c r="C29" s="101">
        <v>0.14667259199999999</v>
      </c>
    </row>
    <row r="30" spans="1:8" ht="15.75" customHeight="1" x14ac:dyDescent="0.25">
      <c r="B30" s="19" t="s">
        <v>2</v>
      </c>
      <c r="C30" s="101">
        <v>8.2104470999999998E-2</v>
      </c>
    </row>
    <row r="31" spans="1:8" ht="15.75" customHeight="1" x14ac:dyDescent="0.25">
      <c r="B31" s="19" t="s">
        <v>105</v>
      </c>
      <c r="C31" s="101">
        <v>5.7501955E-2</v>
      </c>
    </row>
    <row r="32" spans="1:8" ht="15.75" customHeight="1" x14ac:dyDescent="0.25">
      <c r="B32" s="19" t="s">
        <v>106</v>
      </c>
      <c r="C32" s="101">
        <v>2.0726010999999999E-2</v>
      </c>
    </row>
    <row r="33" spans="2:3" ht="15.75" customHeight="1" x14ac:dyDescent="0.25">
      <c r="B33" s="19" t="s">
        <v>107</v>
      </c>
      <c r="C33" s="101">
        <v>6.9730735000000002E-2</v>
      </c>
    </row>
    <row r="34" spans="2:3" ht="15.75" customHeight="1" x14ac:dyDescent="0.25">
      <c r="B34" s="19" t="s">
        <v>108</v>
      </c>
      <c r="C34" s="101">
        <v>0.48245814399999998</v>
      </c>
    </row>
    <row r="35" spans="2:3" ht="15.75" customHeight="1" x14ac:dyDescent="0.25">
      <c r="B35" s="27" t="s">
        <v>41</v>
      </c>
      <c r="C35" s="48">
        <f>SUM(C26:C34)</f>
        <v>1</v>
      </c>
    </row>
  </sheetData>
  <sheetProtection algorithmName="SHA-512" hashValue="zpcJ3PptY5X2bZTUfpC38XwhLd3afxhWSG4cspvESM4g2KpZw0VS/vWAX6hHyEVgvHkaW8ail92RErQ3wtyEdA==" saltValue="VRa2m5USsft3zopK0hiKj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0.29404613063562945</v>
      </c>
      <c r="D2" s="52">
        <f>IFERROR(1-_xlfn.NORM.DIST(_xlfn.NORM.INV(SUM(D4:D5), 0, 1) + 1, 0, 1, TRUE), "")</f>
        <v>0.29404613063562945</v>
      </c>
      <c r="E2" s="52">
        <f>IFERROR(1-_xlfn.NORM.DIST(_xlfn.NORM.INV(SUM(E4:E5), 0, 1) + 1, 0, 1, TRUE), "")</f>
        <v>0.47607468141544351</v>
      </c>
      <c r="F2" s="52">
        <f>IFERROR(1-_xlfn.NORM.DIST(_xlfn.NORM.INV(SUM(F4:F5), 0, 1) + 1, 0, 1, TRUE), "")</f>
        <v>0.25426909799357433</v>
      </c>
      <c r="G2" s="52">
        <f>IFERROR(1-_xlfn.NORM.DIST(_xlfn.NORM.INV(SUM(G4:G5), 0, 1) + 1, 0, 1, TRUE), "")</f>
        <v>0.37012116046592136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0.38262036936437055</v>
      </c>
      <c r="D3" s="52">
        <f>IFERROR(_xlfn.NORM.DIST(_xlfn.NORM.INV(SUM(D4:D5), 0, 1) + 1, 0, 1, TRUE) - SUM(D4:D5), "")</f>
        <v>0.38262036936437055</v>
      </c>
      <c r="E3" s="52">
        <f>IFERROR(_xlfn.NORM.DIST(_xlfn.NORM.INV(SUM(E4:E5), 0, 1) + 1, 0, 1, TRUE) - SUM(E4:E5), "")</f>
        <v>0.35031451858455648</v>
      </c>
      <c r="F3" s="52">
        <f>IFERROR(_xlfn.NORM.DIST(_xlfn.NORM.INV(SUM(F4:F5), 0, 1) + 1, 0, 1, TRUE) - SUM(F4:F5), "")</f>
        <v>0.37838250200642565</v>
      </c>
      <c r="G3" s="52">
        <f>IFERROR(_xlfn.NORM.DIST(_xlfn.NORM.INV(SUM(G4:G5), 0, 1) + 1, 0, 1, TRUE) - SUM(G4:G5), "")</f>
        <v>0.37796123953407862</v>
      </c>
    </row>
    <row r="4" spans="1:15" ht="15.75" customHeight="1" x14ac:dyDescent="0.25">
      <c r="B4" s="5" t="s">
        <v>114</v>
      </c>
      <c r="C4" s="45">
        <v>0.14050360000000001</v>
      </c>
      <c r="D4" s="53">
        <v>0.14050360000000001</v>
      </c>
      <c r="E4" s="53">
        <v>0.1182729</v>
      </c>
      <c r="F4" s="53">
        <v>0.20068749999999999</v>
      </c>
      <c r="G4" s="53">
        <v>0.1783488</v>
      </c>
    </row>
    <row r="5" spans="1:15" ht="15.75" customHeight="1" x14ac:dyDescent="0.25">
      <c r="B5" s="5" t="s">
        <v>115</v>
      </c>
      <c r="C5" s="45">
        <v>0.18282989999999999</v>
      </c>
      <c r="D5" s="53">
        <v>0.18282989999999999</v>
      </c>
      <c r="E5" s="53">
        <v>5.5337900000000002E-2</v>
      </c>
      <c r="F5" s="53">
        <v>0.1666609</v>
      </c>
      <c r="G5" s="53">
        <v>7.3568800000000004E-2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0.79931186824450506</v>
      </c>
      <c r="D8" s="52">
        <f>IFERROR(1-_xlfn.NORM.DIST(_xlfn.NORM.INV(SUM(D10:D11), 0, 1) + 1, 0, 1, TRUE), "")</f>
        <v>0.79931186824450506</v>
      </c>
      <c r="E8" s="52">
        <f>IFERROR(1-_xlfn.NORM.DIST(_xlfn.NORM.INV(SUM(E10:E11), 0, 1) + 1, 0, 1, TRUE), "")</f>
        <v>0.86559676256688545</v>
      </c>
      <c r="F8" s="52">
        <f>IFERROR(1-_xlfn.NORM.DIST(_xlfn.NORM.INV(SUM(F10:F11), 0, 1) + 1, 0, 1, TRUE), "")</f>
        <v>0.83472937410055581</v>
      </c>
      <c r="G8" s="52">
        <f>IFERROR(1-_xlfn.NORM.DIST(_xlfn.NORM.INV(SUM(G10:G11), 0, 1) + 1, 0, 1, TRUE), "")</f>
        <v>0.8342125299855313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0.16774273175549498</v>
      </c>
      <c r="D9" s="52">
        <f>IFERROR(_xlfn.NORM.DIST(_xlfn.NORM.INV(SUM(D10:D11), 0, 1) + 1, 0, 1, TRUE) - SUM(D10:D11), "")</f>
        <v>0.16774273175549498</v>
      </c>
      <c r="E9" s="52">
        <f>IFERROR(_xlfn.NORM.DIST(_xlfn.NORM.INV(SUM(E10:E11), 0, 1) + 1, 0, 1, TRUE) - SUM(E10:E11), "")</f>
        <v>0.11679303743311456</v>
      </c>
      <c r="F9" s="52">
        <f>IFERROR(_xlfn.NORM.DIST(_xlfn.NORM.INV(SUM(F10:F11), 0, 1) + 1, 0, 1, TRUE) - SUM(F10:F11), "")</f>
        <v>0.14102422589944419</v>
      </c>
      <c r="G9" s="52">
        <f>IFERROR(_xlfn.NORM.DIST(_xlfn.NORM.INV(SUM(G10:G11), 0, 1) + 1, 0, 1, TRUE) - SUM(G10:G11), "")</f>
        <v>0.1414224700144687</v>
      </c>
    </row>
    <row r="10" spans="1:15" ht="15.75" customHeight="1" x14ac:dyDescent="0.25">
      <c r="B10" s="5" t="s">
        <v>119</v>
      </c>
      <c r="C10" s="45">
        <v>2.657E-2</v>
      </c>
      <c r="D10" s="53">
        <v>2.657E-2</v>
      </c>
      <c r="E10" s="53">
        <v>3.8682E-3</v>
      </c>
      <c r="F10" s="53">
        <v>1.40923E-2</v>
      </c>
      <c r="G10" s="53">
        <v>2.15506E-2</v>
      </c>
    </row>
    <row r="11" spans="1:15" ht="15.75" customHeight="1" x14ac:dyDescent="0.25">
      <c r="B11" s="5" t="s">
        <v>120</v>
      </c>
      <c r="C11" s="45">
        <v>6.3753999999999998E-3</v>
      </c>
      <c r="D11" s="53">
        <v>6.3753999999999998E-3</v>
      </c>
      <c r="E11" s="53">
        <v>1.3742000000000001E-2</v>
      </c>
      <c r="F11" s="53">
        <v>1.0154099999999999E-2</v>
      </c>
      <c r="G11" s="53">
        <v>2.8143999999999999E-3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0.3103689825</v>
      </c>
      <c r="D14" s="54">
        <v>0.297864656768</v>
      </c>
      <c r="E14" s="54">
        <v>0.297864656768</v>
      </c>
      <c r="F14" s="54">
        <v>0.20754421313499999</v>
      </c>
      <c r="G14" s="54">
        <v>0.20754421313499999</v>
      </c>
      <c r="H14" s="45">
        <v>0.28100000000000003</v>
      </c>
      <c r="I14" s="55">
        <v>0.28100000000000003</v>
      </c>
      <c r="J14" s="55">
        <v>0.28100000000000003</v>
      </c>
      <c r="K14" s="55">
        <v>0.28100000000000003</v>
      </c>
      <c r="L14" s="45">
        <v>0.25700000000000001</v>
      </c>
      <c r="M14" s="55">
        <v>0.25700000000000001</v>
      </c>
      <c r="N14" s="55">
        <v>0.25700000000000001</v>
      </c>
      <c r="O14" s="55">
        <v>0.25700000000000001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0.17260301928586499</v>
      </c>
      <c r="D15" s="52">
        <f t="shared" si="0"/>
        <v>0.1656490886511337</v>
      </c>
      <c r="E15" s="52">
        <f t="shared" si="0"/>
        <v>0.1656490886511337</v>
      </c>
      <c r="F15" s="52">
        <f t="shared" si="0"/>
        <v>0.11541990289706247</v>
      </c>
      <c r="G15" s="52">
        <f t="shared" si="0"/>
        <v>0.11541990289706247</v>
      </c>
      <c r="H15" s="52">
        <f t="shared" si="0"/>
        <v>0.15627028200000001</v>
      </c>
      <c r="I15" s="52">
        <f t="shared" si="0"/>
        <v>0.15627028200000001</v>
      </c>
      <c r="J15" s="52">
        <f t="shared" si="0"/>
        <v>0.15627028200000001</v>
      </c>
      <c r="K15" s="52">
        <f t="shared" si="0"/>
        <v>0.15627028200000001</v>
      </c>
      <c r="L15" s="52">
        <f t="shared" si="0"/>
        <v>0.142923354</v>
      </c>
      <c r="M15" s="52">
        <f t="shared" si="0"/>
        <v>0.142923354</v>
      </c>
      <c r="N15" s="52">
        <f t="shared" si="0"/>
        <v>0.142923354</v>
      </c>
      <c r="O15" s="52">
        <f t="shared" si="0"/>
        <v>0.142923354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esxesb4EQ+xb/Mq+1vcpwczhHW/FDStfqWQQxMI/ioD9lkTPigp5kstaI4Ql4yoQidKWFymqhxg8Ryhm5R8ULg==" saltValue="yegShpjPerEO1ug37vG5w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0.44014819999999999</v>
      </c>
      <c r="D2" s="53">
        <v>0.27586660000000002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0.15107960000000001</v>
      </c>
      <c r="D3" s="53">
        <v>0.15072820000000001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0.21675549999999999</v>
      </c>
      <c r="D4" s="53">
        <v>0.31531809999999999</v>
      </c>
      <c r="E4" s="53">
        <v>0.5836865</v>
      </c>
      <c r="F4" s="53">
        <v>0.33648869999999997</v>
      </c>
      <c r="G4" s="53">
        <v>0</v>
      </c>
    </row>
    <row r="5" spans="1:7" x14ac:dyDescent="0.25">
      <c r="B5" s="3" t="s">
        <v>132</v>
      </c>
      <c r="C5" s="52">
        <v>0.19201679999999999</v>
      </c>
      <c r="D5" s="52">
        <v>0.25808700000000001</v>
      </c>
      <c r="E5" s="52">
        <f>1-SUM(E2:E4)</f>
        <v>0.4163135</v>
      </c>
      <c r="F5" s="52">
        <f>1-SUM(F2:F4)</f>
        <v>0.66351130000000003</v>
      </c>
      <c r="G5" s="52">
        <f>1-SUM(G2:G4)</f>
        <v>1</v>
      </c>
    </row>
  </sheetData>
  <sheetProtection algorithmName="SHA-512" hashValue="0+fJ/5XLZHjPkdqrdcjX6Y0OIU6BJIycMDb9NYfc/vX95rslwxOEydydTE7vnK6gtey83ZuX4ugeJIemSh87wA==" saltValue="qsT2nKpOwGwUMUKOCvqs0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wSG37bqj05K3GHz4hSZzGfx4qM/BP6lJxrAJlI/C20Xz7bfpfMmJfesBV90Ft5hrC1A76IJFI9YFvD0vf1ujTw==" saltValue="ckpt+josZOMTFdEUpQBBa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qlpejWinevQ2jk5LFZGRkSzQADPuHyowjhpn0UuAm+/YBrHFy0h8fe+OOwyCUXmSkgKysJ3dznzUUQnA+B6iwQ==" saltValue="/VCB9dtm8Dz/8UkkL+YA/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LaWIYPiBpORLqB6PvzGpmCg9cX0dk9QKGz2eeV6njxnRI/rNDm5dflchZitz5C5hf4yTi4WOz5x3B213r+2GtA==" saltValue="hpw9WzbFQCMCpBiaWLMcr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wmSHr6KRw3RlUNjEZ6Hyfl1aF0U21gohBNqCnTeCSrY81GYnjtqkQ4kFdG04QJNT6b6BF+egw1t3IJNCYdiCxg==" saltValue="2DvQLNM6vIUN9WzrWf7de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65.60734264525216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19.75203299904819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7.2861200073283072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3.667401424966358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0.2139553248340432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0.78848199824391296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0.5</v>
      </c>
      <c r="C9" s="98">
        <v>0.95</v>
      </c>
      <c r="D9" s="56">
        <v>0.40394964285693302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0.50549569999999999</v>
      </c>
      <c r="C10" s="98">
        <v>0.95</v>
      </c>
      <c r="D10" s="56">
        <v>13.174056864953229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13.174056864953229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13.174056864953229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13.174056864953229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0.50549569999999999</v>
      </c>
      <c r="C14" s="98">
        <v>0.95</v>
      </c>
      <c r="D14" s="56">
        <v>13.174056864953229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13.174056864953229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</v>
      </c>
      <c r="C16" s="98">
        <v>0.95</v>
      </c>
      <c r="D16" s="56">
        <v>2.503642449664842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0.45208722222222197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0.53100000000000003</v>
      </c>
      <c r="C18" s="98">
        <v>0.95</v>
      </c>
      <c r="D18" s="56">
        <v>7.2861200073283072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0.27586660000000002</v>
      </c>
      <c r="C19" s="98">
        <v>0.95</v>
      </c>
      <c r="D19" s="56">
        <v>7.2861200073283072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7.4846345450640612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22.81909077660552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4.3805110504495071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0.68605638799376001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0.50549569999999999</v>
      </c>
      <c r="C26" s="98">
        <v>0.95</v>
      </c>
      <c r="D26" s="56">
        <v>3.4665816434934871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13.803307962555669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0.51420810000000006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0.39905479999999999</v>
      </c>
      <c r="C29" s="98">
        <v>0.95</v>
      </c>
      <c r="D29" s="56">
        <v>88.005851455993124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180.94215297303569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0.42</v>
      </c>
      <c r="C32" s="98">
        <v>0.95</v>
      </c>
      <c r="D32" s="56">
        <v>0.65266805708153031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0.44369690000000001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0.15718509999999999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1.2015899999999999E-2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0.90452129999999997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0.27900000000000003</v>
      </c>
      <c r="C38" s="98">
        <v>0.95</v>
      </c>
      <c r="D38" s="56">
        <v>2.4488574538288082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3.4277904548683669</v>
      </c>
      <c r="E39" s="56" t="s">
        <v>201</v>
      </c>
      <c r="F39" s="98">
        <v>1</v>
      </c>
      <c r="G39" s="98">
        <v>1</v>
      </c>
    </row>
  </sheetData>
  <sheetProtection algorithmName="SHA-512" hashValue="S/paGBOpa/5mSikxqOQ1l0ZOoYGwO++xx3NiLnXLnYOU4Eg/mcxbn6HZG7NmxEGQrHt390PWJm/uuFraTrfXyA==" saltValue="+HH2mDmkg4STR7fdOc6rS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puxutcbYfkDv+tZ9u7gWQXUpJ+Y2YARRO9ahBq2/lVrEsboN1+BKUKUUkkaFmkEL7tNErjNp91NEUGZyOroeAA==" saltValue="4ZbZqTfKS3frjtt3LA01i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hM96BIOGLsu1c/OmU7dzjt9ZVQkDVLqyEuzMY8XLfRsKwbA19X6PU7fVgcKDpQdVabZ01CZoTt2ePQ4eoAJjLw==" saltValue="IUvnnzXMkjV8V9WtfGviL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209</v>
      </c>
      <c r="B3" s="21">
        <f>frac_mam_1month * 2.6</f>
        <v>6.9082000000000005E-2</v>
      </c>
      <c r="C3" s="21">
        <f>frac_mam_1_5months * 2.6</f>
        <v>6.9082000000000005E-2</v>
      </c>
      <c r="D3" s="21">
        <f>frac_mam_6_11months * 2.6</f>
        <v>1.005732E-2</v>
      </c>
      <c r="E3" s="21">
        <f>frac_mam_12_23months * 2.6</f>
        <v>3.6639980000000003E-2</v>
      </c>
      <c r="F3" s="21">
        <f>frac_mam_24_59months * 2.6</f>
        <v>5.6031560000000001E-2</v>
      </c>
    </row>
    <row r="4" spans="1:6" ht="15.75" customHeight="1" x14ac:dyDescent="0.25">
      <c r="A4" s="3" t="s">
        <v>208</v>
      </c>
      <c r="B4" s="21">
        <f>frac_sam_1month * 2.6</f>
        <v>1.657604E-2</v>
      </c>
      <c r="C4" s="21">
        <f>frac_sam_1_5months * 2.6</f>
        <v>1.657604E-2</v>
      </c>
      <c r="D4" s="21">
        <f>frac_sam_6_11months * 2.6</f>
        <v>3.5729200000000003E-2</v>
      </c>
      <c r="E4" s="21">
        <f>frac_sam_12_23months * 2.6</f>
        <v>2.6400659999999999E-2</v>
      </c>
      <c r="F4" s="21">
        <f>frac_sam_24_59months * 2.6</f>
        <v>7.3174399999999997E-3</v>
      </c>
    </row>
  </sheetData>
  <sheetProtection algorithmName="SHA-512" hashValue="gujt9f2/R8ejHbJ0y/WJnG+vu3rNcNXrvHAp6UhxcqINKs2UFndu1in12EvN12JWPfi4hgxXNf1Pyxv8xomJhg==" saltValue="bFml45E/olvhI2RDXmL2N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0.189</v>
      </c>
      <c r="E2" s="60">
        <f>food_insecure</f>
        <v>0.189</v>
      </c>
      <c r="F2" s="60">
        <f>food_insecure</f>
        <v>0.189</v>
      </c>
      <c r="G2" s="60">
        <f>food_insecure</f>
        <v>0.189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0.189</v>
      </c>
      <c r="F5" s="60">
        <f>food_insecure</f>
        <v>0.189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0.189</v>
      </c>
      <c r="F8" s="60">
        <f>food_insecure</f>
        <v>0.189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0.189</v>
      </c>
      <c r="F9" s="60">
        <f>food_insecure</f>
        <v>0.189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0.189</v>
      </c>
      <c r="I15" s="60">
        <f>food_insecure</f>
        <v>0.189</v>
      </c>
      <c r="J15" s="60">
        <f>food_insecure</f>
        <v>0.189</v>
      </c>
      <c r="K15" s="60">
        <f>food_insecure</f>
        <v>0.189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0.15</v>
      </c>
      <c r="I19" s="60">
        <f>frac_malaria_risk</f>
        <v>0.15</v>
      </c>
      <c r="J19" s="60">
        <f>frac_malaria_risk</f>
        <v>0.15</v>
      </c>
      <c r="K19" s="60">
        <f>frac_malaria_risk</f>
        <v>0.15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0.221</v>
      </c>
      <c r="M24" s="60">
        <f>famplan_unmet_need</f>
        <v>0.221</v>
      </c>
      <c r="N24" s="60">
        <f>famplan_unmet_need</f>
        <v>0.221</v>
      </c>
      <c r="O24" s="60">
        <f>famplan_unmet_need</f>
        <v>0.221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8.3284207152557271E-2</v>
      </c>
      <c r="M25" s="60">
        <f>(1-food_insecure)*(0.49)+food_insecure*(0.7)</f>
        <v>0.52968999999999999</v>
      </c>
      <c r="N25" s="60">
        <f>(1-food_insecure)*(0.49)+food_insecure*(0.7)</f>
        <v>0.52968999999999999</v>
      </c>
      <c r="O25" s="60">
        <f>(1-food_insecure)*(0.49)+food_insecure*(0.7)</f>
        <v>0.52968999999999999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3.5693231636810263E-2</v>
      </c>
      <c r="M26" s="60">
        <f>(1-food_insecure)*(0.21)+food_insecure*(0.3)</f>
        <v>0.22700999999999999</v>
      </c>
      <c r="N26" s="60">
        <f>(1-food_insecure)*(0.21)+food_insecure*(0.3)</f>
        <v>0.22700999999999999</v>
      </c>
      <c r="O26" s="60">
        <f>(1-food_insecure)*(0.21)+food_insecure*(0.3)</f>
        <v>0.22700999999999999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3.8254540580749466E-2</v>
      </c>
      <c r="M27" s="60">
        <f>(1-food_insecure)*(0.3)</f>
        <v>0.24329999999999996</v>
      </c>
      <c r="N27" s="60">
        <f>(1-food_insecure)*(0.3)</f>
        <v>0.24329999999999996</v>
      </c>
      <c r="O27" s="60">
        <f>(1-food_insecure)*(0.3)</f>
        <v>0.24329999999999996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0.84276802062988287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0.15</v>
      </c>
      <c r="D34" s="60">
        <f t="shared" si="3"/>
        <v>0.15</v>
      </c>
      <c r="E34" s="60">
        <f t="shared" si="3"/>
        <v>0.15</v>
      </c>
      <c r="F34" s="60">
        <f t="shared" si="3"/>
        <v>0.15</v>
      </c>
      <c r="G34" s="60">
        <f t="shared" si="3"/>
        <v>0.15</v>
      </c>
      <c r="H34" s="60">
        <f t="shared" si="3"/>
        <v>0.15</v>
      </c>
      <c r="I34" s="60">
        <f t="shared" si="3"/>
        <v>0.15</v>
      </c>
      <c r="J34" s="60">
        <f t="shared" si="3"/>
        <v>0.15</v>
      </c>
      <c r="K34" s="60">
        <f t="shared" si="3"/>
        <v>0.15</v>
      </c>
      <c r="L34" s="60">
        <f t="shared" si="3"/>
        <v>0.15</v>
      </c>
      <c r="M34" s="60">
        <f t="shared" si="3"/>
        <v>0.15</v>
      </c>
      <c r="N34" s="60">
        <f t="shared" si="3"/>
        <v>0.15</v>
      </c>
      <c r="O34" s="60">
        <f t="shared" si="3"/>
        <v>0.15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lbH09tmXK7Xrq1RnLqbnDvxjaN+qSh3WgthGWqWxkalj8nzpHbcCaRT/8ukk+kjlaTshrBbc80D6XkvzWdGyzQ==" saltValue="xvX/mWgNKo2tcMl0f4mcg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UKVcxJm1XhEjF9i5WQVg53DVObodLcKsX9eQanp3oHUwxMTatzJ30uXOluE0LsLCpXpXTWeDJlFUGlWHhUO68g==" saltValue="VZTCShVQ/OXNnM8yWaYkR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tOD2npv4nyz2drajBkABRH9QNaLY938nhz05qFcn/gH5LbzNcGrnMrWnrADfv1oDMAq5FO5EBAtuyTE4Zonnog==" saltValue="2dc01gHtNE/ptsbgnaIpa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j4sXyKKV6JebarRk0goNZKlP/h64sS518DYDDSB4+OfD49CDNALKGvzDd/v8m1Ug/zILjdnLSex397bB1rr5Ew==" saltValue="Evm5G4b+UP//OlCRbJfmv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R2K2WYZo/6gMhWjQ3bs0zcckxzdTP+x+5rFViRLzdB8G5uaKKsd69Z2PcL/kReskuQiKl/36p7XXhkcMYFkzsw==" saltValue="ndTCEhirjdFAKMtGwah83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4yWmoQ1nauQKeHH9D5YvEmrdKQQ/lPlXEyYMSElYitDEGS9YptiWsTEb6m+nkb8UG1/mKWUl8HBVGNSL1yJRZQ==" saltValue="VuXTxj9PBHm8PYJywnAOh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6FmJZ1fv7ItkUeSBFks5yBMvKIHP/9aQxy9wyoV8sd1FZURsJ61OExW9NYHmauDKJsleD0/nPILxxB/Db8UJpQ==" saltValue="LA3uopsGp8Ao51tH0S3dh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s03loUvUmHmZDIs8HBTFmGTDh+goz9Iw3xH4ajBAOlZvEnFuit6nTQr7ls8/JhbKFxnupNS76rXhQVDAvrAFUQ==" saltValue="BFxxdvGnu+8Vc++hyBEZ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9mOJ4+ycqkbyNFRE3Y7ngBQjL5wrpfOpF4fNsjIWn5mpaab1t6UWaPt0+T0Cj3/ByZpMfCWLbtkRMPYk+kBgQ==" saltValue="KS3GjGJPKI+r8RNPocOt3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FL+DwNa4EpV+14qkhdxiBZr0nb0SzTGpiyMWN2sWKz6xYcgu2CwVLFwQvRFmPTaITl7klYF6pPtu1DcK0ksOuw==" saltValue="54DXsOVXd/PZS9Qwgmd6A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c2WoLs/GEPEpw+6tiUwCTm2XmdACt9CpsjYjour2bW542u4doJQlmgGI+J7mVdSabpQPFdJhJiPpOPlVt98Iww==" saltValue="2havHJLEng5OJtzw849Jk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nWQvvRtYeL+cRZ2IePGP+tPAzW5iFO+KEQELDEUuBc1euvR5oGvYREUlUswtHUzBd89eqpSj1tCc4N936Lca7w==" saltValue="t/T+W/wRur22atOhiTW7P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7SDj2B/8pcvJf88Iiwn+c/stJ3Rr0jst2MntK8/oVeda0FzOKnLnMq7ueRkyKfISvS7IVaSUua0rwYFtjri6yQ==" saltValue="2hCyZkkmz9v1sRdWAagnJ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0.108652621475675</v>
      </c>
      <c r="G18" s="90">
        <f>MIN(MAX(1-0.89/(1-frac_sam_12_23months+(frac_sam_12_23months*0.89)),0),1)</f>
        <v>0.10900480202262386</v>
      </c>
      <c r="H18" s="90">
        <f>MIN(MAX(1-0.89/(1-frac_sam_24_59months+(frac_sam_24_59months*0.89)),0),1)</f>
        <v>0.10972438491397918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0.1096211420151697</v>
      </c>
      <c r="G20" s="90">
        <f>MIN(MAX(1-0.89/(1-frac_mam_12_23months+(frac_mam_12_23months*0.89)),0),1)</f>
        <v>0.10861822186247483</v>
      </c>
      <c r="H20" s="90">
        <f>MIN(MAX(1-0.89/(1-frac_mam_24_59months+(frac_mam_24_59months*0.89)),0),1)</f>
        <v>0.10788518294659699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9.8639355020166963E-3</v>
      </c>
      <c r="G73" s="90">
        <f>MIN(MAX(1-0.99/(1-frac_sam_12_23months+(frac_sam_12_23months*0.99)),0),1)</f>
        <v>9.8994642014944567E-3</v>
      </c>
      <c r="H73" s="90">
        <f>MIN(MAX(1-0.99/(1-frac_sam_24_59months+(frac_sam_24_59months*0.99)),0),1)</f>
        <v>9.97213665581409E-3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9.961703338608574E-3</v>
      </c>
      <c r="G75" s="90">
        <f>MIN(MAX(1-0.99/(1-frac_mam_12_23months+(frac_mam_12_23months*0.99)),0),1)</f>
        <v>9.8604665665300573E-3</v>
      </c>
      <c r="H75" s="90">
        <f>MIN(MAX(1-0.99/(1-frac_mam_24_59months+(frac_mam_24_59months*0.99)),0),1)</f>
        <v>9.7866030716815544E-3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0.19779522038370256</v>
      </c>
      <c r="G128" s="90">
        <f>MIN(MAX(1-0.8/(1-frac_sam_12_23months+(frac_sam_12_23months*0.8)),0),1)</f>
        <v>0.19837203790201208</v>
      </c>
      <c r="H128" s="90">
        <f>MIN(MAX(1-0.8/(1-frac_sam_24_59months+(frac_sam_24_59months*0.8)),0),1)</f>
        <v>0.1995494423901325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0.19938060881420294</v>
      </c>
      <c r="G130" s="90">
        <f>MIN(MAX(1-0.8/(1-frac_mam_12_23months+(frac_mam_12_23months*0.8)),0),1)</f>
        <v>0.19773885906471955</v>
      </c>
      <c r="H130" s="90">
        <f>MIN(MAX(1-0.8/(1-frac_mam_24_59months+(frac_mam_24_59months*0.8)),0),1)</f>
        <v>0.19653697795944258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AaI0sYhVaQ4VXqU9PU+3v8B57528B0TQrdoAdTytr+uUEAg5Sx888Jz2hC84SERJFFo3EHEKjqrktV7lYBfF3Q==" saltValue="93A07/amrzAe938d7wCGf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5LWxLjaQNl+8JKfkvRfJkET3sZMbqIy6YuIzJw90BCE32dbpHGF/9kJCJRFev/WYqCXMyZYNWjmKCpJ8OmK2Tg==" saltValue="YJLh+jCIACEYrRDbG8ulD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2024-08-06T10:00:45Z</dcterms:modified>
</cp:coreProperties>
</file>