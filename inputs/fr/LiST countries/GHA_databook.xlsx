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A829B13F-C0C6-4C4D-9A2A-E417C276D82C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I39" i="2" s="1"/>
  <c r="H38" i="2"/>
  <c r="G38" i="2"/>
  <c r="I38" i="2" s="1"/>
  <c r="H13" i="2"/>
  <c r="G13" i="2"/>
  <c r="I13" i="2" s="1"/>
  <c r="H12" i="2"/>
  <c r="G12" i="2"/>
  <c r="I12" i="2" s="1"/>
  <c r="H11" i="2"/>
  <c r="G11" i="2"/>
  <c r="H10" i="2"/>
  <c r="G10" i="2"/>
  <c r="I10" i="2" s="1"/>
  <c r="H9" i="2"/>
  <c r="G9" i="2"/>
  <c r="I9" i="2" s="1"/>
  <c r="H8" i="2"/>
  <c r="G8" i="2"/>
  <c r="I8" i="2" s="1"/>
  <c r="H7" i="2"/>
  <c r="G7" i="2"/>
  <c r="H6" i="2"/>
  <c r="G6" i="2"/>
  <c r="I6" i="2" s="1"/>
  <c r="H5" i="2"/>
  <c r="G5" i="2"/>
  <c r="I5" i="2" s="1"/>
  <c r="H4" i="2"/>
  <c r="G4" i="2"/>
  <c r="I4" i="2" s="1"/>
  <c r="H3" i="2"/>
  <c r="G3" i="2"/>
  <c r="H2" i="2"/>
  <c r="G2" i="2"/>
  <c r="I2" i="2" s="1"/>
  <c r="A2" i="2"/>
  <c r="A40" i="2" s="1"/>
  <c r="C33" i="1"/>
  <c r="C20" i="1"/>
  <c r="A15" i="2" l="1"/>
  <c r="A23" i="2"/>
  <c r="I3" i="2"/>
  <c r="I7" i="2"/>
  <c r="I11" i="2"/>
  <c r="A31" i="2"/>
  <c r="A16" i="2"/>
  <c r="A24" i="2"/>
  <c r="A32" i="2"/>
  <c r="A3" i="2"/>
  <c r="A39" i="2"/>
  <c r="A26" i="2"/>
  <c r="A19" i="2"/>
  <c r="A27" i="2"/>
  <c r="A35" i="2"/>
  <c r="A17" i="2"/>
  <c r="A33" i="2"/>
  <c r="A20" i="2"/>
  <c r="A28" i="2"/>
  <c r="A36" i="2"/>
  <c r="A25" i="2"/>
  <c r="A18" i="2"/>
  <c r="A34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<sst xmlns="http://schemas.openxmlformats.org/spreadsheetml/2006/main" count="2101" uniqueCount="337">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</sst>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4397300.34375</v>
      </c>
    </row>
    <row r="8" spans="1:3" ht="15" customHeight="1" x14ac:dyDescent="0.25">
      <c r="B8" s="5" t="s">
        <v>19</v>
      </c>
      <c r="C8" s="44">
        <v>0.13300000000000001</v>
      </c>
    </row>
    <row r="9" spans="1:3" ht="15" customHeight="1" x14ac:dyDescent="0.25">
      <c r="B9" s="5" t="s">
        <v>20</v>
      </c>
      <c r="C9" s="45">
        <v>0.98</v>
      </c>
    </row>
    <row r="10" spans="1:3" ht="15" customHeight="1" x14ac:dyDescent="0.25">
      <c r="B10" s="5" t="s">
        <v>21</v>
      </c>
      <c r="C10" s="45">
        <v>0.56591400146484405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0.53799999999999992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8.5699999999999998E-2</v>
      </c>
    </row>
    <row r="24" spans="1:3" ht="15" customHeight="1" x14ac:dyDescent="0.25">
      <c r="B24" s="15" t="s">
        <v>33</v>
      </c>
      <c r="C24" s="45">
        <v>0.43590000000000001</v>
      </c>
    </row>
    <row r="25" spans="1:3" ht="15" customHeight="1" x14ac:dyDescent="0.25">
      <c r="B25" s="15" t="s">
        <v>34</v>
      </c>
      <c r="C25" s="45">
        <v>0.3957</v>
      </c>
    </row>
    <row r="26" spans="1:3" ht="15" customHeight="1" x14ac:dyDescent="0.25">
      <c r="B26" s="15" t="s">
        <v>35</v>
      </c>
      <c r="C26" s="45">
        <v>8.2699999999999996E-2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0.27146440725940302</v>
      </c>
    </row>
    <row r="30" spans="1:3" ht="14.25" customHeight="1" x14ac:dyDescent="0.25">
      <c r="B30" s="25" t="s">
        <v>38</v>
      </c>
      <c r="C30" s="99">
        <v>3.0900048109988299E-2</v>
      </c>
    </row>
    <row r="31" spans="1:3" ht="14.25" customHeight="1" x14ac:dyDescent="0.25">
      <c r="B31" s="25" t="s">
        <v>39</v>
      </c>
      <c r="C31" s="99">
        <v>6.9419093990287797E-2</v>
      </c>
    </row>
    <row r="32" spans="1:3" ht="14.25" customHeight="1" x14ac:dyDescent="0.25">
      <c r="B32" s="25" t="s">
        <v>40</v>
      </c>
      <c r="C32" s="99">
        <v>0.62821645064032094</v>
      </c>
    </row>
    <row r="33" spans="1:5" ht="13" customHeight="1" x14ac:dyDescent="0.25">
      <c r="B33" s="27" t="s">
        <v>41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22.823730000000001</v>
      </c>
    </row>
    <row r="38" spans="1:5" ht="15" customHeight="1" x14ac:dyDescent="0.25">
      <c r="B38" s="11" t="s">
        <v>45</v>
      </c>
      <c r="C38" s="43">
        <v>32.582920000000001</v>
      </c>
      <c r="D38" s="12"/>
      <c r="E38" s="13"/>
    </row>
    <row r="39" spans="1:5" ht="15" customHeight="1" x14ac:dyDescent="0.25">
      <c r="B39" s="11" t="s">
        <v>46</v>
      </c>
      <c r="C39" s="43">
        <v>43.974519999999998</v>
      </c>
      <c r="D39" s="12"/>
      <c r="E39" s="12"/>
    </row>
    <row r="40" spans="1:5" ht="15" customHeight="1" x14ac:dyDescent="0.25">
      <c r="B40" s="11" t="s">
        <v>47</v>
      </c>
      <c r="C40" s="100">
        <v>2.63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21.40353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6.8689999999999992E-3</v>
      </c>
      <c r="D45" s="12"/>
    </row>
    <row r="46" spans="1:5" ht="15.75" customHeight="1" x14ac:dyDescent="0.25">
      <c r="B46" s="11" t="s">
        <v>52</v>
      </c>
      <c r="C46" s="45">
        <v>7.3128600000000002E-2</v>
      </c>
      <c r="D46" s="12"/>
    </row>
    <row r="47" spans="1:5" ht="15.75" customHeight="1" x14ac:dyDescent="0.25">
      <c r="B47" s="11" t="s">
        <v>53</v>
      </c>
      <c r="C47" s="45">
        <v>0.2015941</v>
      </c>
      <c r="D47" s="12"/>
      <c r="E47" s="13"/>
    </row>
    <row r="48" spans="1:5" ht="15" customHeight="1" x14ac:dyDescent="0.25">
      <c r="B48" s="11" t="s">
        <v>54</v>
      </c>
      <c r="C48" s="46">
        <v>0.7184083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0.39087600000000011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0.14158809999999999</v>
      </c>
    </row>
    <row r="63" spans="1:4" ht="15.75" customHeight="1" x14ac:dyDescent="0.3">
      <c r="A63" s="4"/>
    </row>
  </sheetData>
  <sheetProtection algorithmName="SHA-512" hashValue="pM3GihTphdY1PkT9iF8Y2ry5Zjr/pDmAxMlPdzy7iF+8H1B3yokUk3WyUakWYu6BmKr7h/Pdsif91mp7sEioBw==" saltValue="AkaAD7Y7Vjnr3OLl8qpd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911299</v>
      </c>
      <c r="C2" s="49">
        <v>2136384.5</v>
      </c>
      <c r="D2" s="49">
        <v>2878811</v>
      </c>
      <c r="E2" s="49">
        <v>2401241</v>
      </c>
      <c r="F2" s="49">
        <v>1642162</v>
      </c>
      <c r="G2" s="17">
        <f t="shared" ref="G2:G13" si="0">C2+D2+E2+F2</f>
        <v>9058598.5</v>
      </c>
      <c r="H2" s="17">
        <f t="shared" ref="H2:H13" si="1">(B2 + stillbirth*B2/(1000-stillbirth))/(1-abortion)</f>
        <v>1058216.6165534456</v>
      </c>
      <c r="I2" s="17">
        <f t="shared" ref="I2:I13" si="2">G2-H2</f>
        <v>8000381.8834465547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916924</v>
      </c>
      <c r="C3" s="50">
        <v>2181356</v>
      </c>
      <c r="D3" s="50">
        <v>2953162</v>
      </c>
      <c r="E3" s="50">
        <v>2422665</v>
      </c>
      <c r="F3" s="50">
        <v>1709817</v>
      </c>
      <c r="G3" s="17">
        <f t="shared" si="0"/>
        <v>9267000</v>
      </c>
      <c r="H3" s="17">
        <f t="shared" si="1"/>
        <v>1064748.4666576518</v>
      </c>
      <c r="I3" s="17">
        <f t="shared" si="2"/>
        <v>8202251.5333423484</v>
      </c>
    </row>
    <row r="4" spans="1:9" ht="15.75" customHeight="1" x14ac:dyDescent="0.25">
      <c r="A4" s="5">
        <f t="shared" si="3"/>
        <v>2026</v>
      </c>
      <c r="B4" s="49">
        <v>921313</v>
      </c>
      <c r="C4" s="50">
        <v>2228279</v>
      </c>
      <c r="D4" s="50">
        <v>3033727.5</v>
      </c>
      <c r="E4" s="50">
        <v>2442481.5</v>
      </c>
      <c r="F4" s="50">
        <v>1771485</v>
      </c>
      <c r="G4" s="17">
        <f t="shared" si="0"/>
        <v>9475973</v>
      </c>
      <c r="H4" s="17">
        <f t="shared" si="1"/>
        <v>1069845.0515656273</v>
      </c>
      <c r="I4" s="17">
        <f t="shared" si="2"/>
        <v>8406127.9484343734</v>
      </c>
    </row>
    <row r="5" spans="1:9" ht="15.75" customHeight="1" x14ac:dyDescent="0.25">
      <c r="A5" s="5">
        <f t="shared" si="3"/>
        <v>2027</v>
      </c>
      <c r="B5" s="49">
        <v>929498</v>
      </c>
      <c r="C5" s="50">
        <v>2280136.5</v>
      </c>
      <c r="D5" s="50">
        <v>3113993.5</v>
      </c>
      <c r="E5" s="50">
        <v>2462845</v>
      </c>
      <c r="F5" s="50">
        <v>1826705</v>
      </c>
      <c r="G5" s="17">
        <f t="shared" si="0"/>
        <v>9683680</v>
      </c>
      <c r="H5" s="17">
        <f t="shared" si="1"/>
        <v>1079349.6192283703</v>
      </c>
      <c r="I5" s="17">
        <f t="shared" si="2"/>
        <v>8604330.3807716295</v>
      </c>
    </row>
    <row r="6" spans="1:9" ht="15.75" customHeight="1" x14ac:dyDescent="0.25">
      <c r="A6" s="5">
        <f t="shared" si="3"/>
        <v>2028</v>
      </c>
      <c r="B6" s="49">
        <v>936474</v>
      </c>
      <c r="C6" s="50">
        <v>2330821.5</v>
      </c>
      <c r="D6" s="50">
        <v>3192680.5</v>
      </c>
      <c r="E6" s="50">
        <v>2488129.5</v>
      </c>
      <c r="F6" s="50">
        <v>1874190</v>
      </c>
      <c r="G6" s="17">
        <f t="shared" si="0"/>
        <v>9885821.5</v>
      </c>
      <c r="H6" s="17">
        <f t="shared" si="1"/>
        <v>1087450.2745753825</v>
      </c>
      <c r="I6" s="17">
        <f t="shared" si="2"/>
        <v>8798371.2254246175</v>
      </c>
    </row>
    <row r="7" spans="1:9" ht="15.75" customHeight="1" x14ac:dyDescent="0.25">
      <c r="A7" s="5">
        <f t="shared" si="3"/>
        <v>2029</v>
      </c>
      <c r="B7" s="49">
        <v>943623</v>
      </c>
      <c r="C7" s="50">
        <v>2379929.5</v>
      </c>
      <c r="D7" s="50">
        <v>3269707</v>
      </c>
      <c r="E7" s="50">
        <v>2520760</v>
      </c>
      <c r="F7" s="50">
        <v>1916471</v>
      </c>
      <c r="G7" s="17">
        <f t="shared" si="0"/>
        <v>10086867.5</v>
      </c>
      <c r="H7" s="17">
        <f t="shared" si="1"/>
        <v>1095751.8206011551</v>
      </c>
      <c r="I7" s="17">
        <f t="shared" si="2"/>
        <v>8991115.6793988459</v>
      </c>
    </row>
    <row r="8" spans="1:9" ht="15.75" customHeight="1" x14ac:dyDescent="0.25">
      <c r="A8" s="5">
        <f t="shared" si="3"/>
        <v>2030</v>
      </c>
      <c r="B8" s="49">
        <v>949657</v>
      </c>
      <c r="C8" s="50">
        <v>2421611</v>
      </c>
      <c r="D8" s="50">
        <v>3344956</v>
      </c>
      <c r="E8" s="50">
        <v>2562187.5</v>
      </c>
      <c r="F8" s="50">
        <v>1953223</v>
      </c>
      <c r="G8" s="17">
        <f t="shared" si="0"/>
        <v>10281977.5</v>
      </c>
      <c r="H8" s="17">
        <f t="shared" si="1"/>
        <v>1102758.6087840495</v>
      </c>
      <c r="I8" s="17">
        <f t="shared" si="2"/>
        <v>9179218.8912159503</v>
      </c>
    </row>
    <row r="9" spans="1:9" ht="15.75" customHeight="1" x14ac:dyDescent="0.25">
      <c r="A9" s="5">
        <f t="shared" si="3"/>
        <v>2031</v>
      </c>
      <c r="B9" s="49">
        <v>956126</v>
      </c>
      <c r="C9" s="50">
        <v>2444374.5</v>
      </c>
      <c r="D9" s="50">
        <v>3420694.5</v>
      </c>
      <c r="E9" s="50">
        <v>2610773</v>
      </c>
      <c r="F9" s="50">
        <v>1986527</v>
      </c>
      <c r="G9" s="17">
        <f t="shared" si="0"/>
        <v>10462369</v>
      </c>
      <c r="H9" s="17">
        <f t="shared" si="1"/>
        <v>1110270.5267083358</v>
      </c>
      <c r="I9" s="17">
        <f t="shared" si="2"/>
        <v>9352098.4732916635</v>
      </c>
    </row>
    <row r="10" spans="1:9" ht="15.75" customHeight="1" x14ac:dyDescent="0.25">
      <c r="A10" s="5">
        <f t="shared" si="3"/>
        <v>2032</v>
      </c>
      <c r="B10" s="49">
        <v>964543</v>
      </c>
      <c r="C10" s="50">
        <v>2456472</v>
      </c>
      <c r="D10" s="50">
        <v>3499264.5</v>
      </c>
      <c r="E10" s="50">
        <v>2664595.5</v>
      </c>
      <c r="F10" s="50">
        <v>2015973</v>
      </c>
      <c r="G10" s="17">
        <f t="shared" si="0"/>
        <v>10636305</v>
      </c>
      <c r="H10" s="17">
        <f t="shared" si="1"/>
        <v>1120044.4968998211</v>
      </c>
      <c r="I10" s="17">
        <f t="shared" si="2"/>
        <v>9516260.5031001791</v>
      </c>
    </row>
    <row r="11" spans="1:9" ht="15.75" customHeight="1" x14ac:dyDescent="0.25">
      <c r="A11" s="5">
        <f t="shared" si="3"/>
        <v>2033</v>
      </c>
      <c r="B11" s="49">
        <v>972737</v>
      </c>
      <c r="C11" s="50">
        <v>2466755</v>
      </c>
      <c r="D11" s="50">
        <v>3579544</v>
      </c>
      <c r="E11" s="50">
        <v>2723661</v>
      </c>
      <c r="F11" s="50">
        <v>2038455</v>
      </c>
      <c r="G11" s="17">
        <f t="shared" si="0"/>
        <v>10808415</v>
      </c>
      <c r="H11" s="17">
        <f t="shared" si="1"/>
        <v>1129559.5155227308</v>
      </c>
      <c r="I11" s="17">
        <f t="shared" si="2"/>
        <v>9678855.4844772685</v>
      </c>
    </row>
    <row r="12" spans="1:9" ht="15.75" customHeight="1" x14ac:dyDescent="0.25">
      <c r="A12" s="5">
        <f t="shared" si="3"/>
        <v>2034</v>
      </c>
      <c r="B12" s="49">
        <v>980395</v>
      </c>
      <c r="C12" s="50">
        <v>2474711</v>
      </c>
      <c r="D12" s="50">
        <v>3658040.5</v>
      </c>
      <c r="E12" s="50">
        <v>2788621</v>
      </c>
      <c r="F12" s="50">
        <v>2059295</v>
      </c>
      <c r="G12" s="17">
        <f t="shared" si="0"/>
        <v>10980667.5</v>
      </c>
      <c r="H12" s="17">
        <f t="shared" si="1"/>
        <v>1138452.1214068218</v>
      </c>
      <c r="I12" s="17">
        <f t="shared" si="2"/>
        <v>9842215.3785931785</v>
      </c>
    </row>
    <row r="13" spans="1:9" ht="15.75" customHeight="1" x14ac:dyDescent="0.25">
      <c r="A13" s="5">
        <f t="shared" si="3"/>
        <v>2035</v>
      </c>
      <c r="B13" s="49">
        <v>992864</v>
      </c>
      <c r="C13" s="50">
        <v>2478336</v>
      </c>
      <c r="D13" s="50">
        <v>3732345</v>
      </c>
      <c r="E13" s="50">
        <v>2862627.5</v>
      </c>
      <c r="F13" s="50">
        <v>2080346</v>
      </c>
      <c r="G13" s="17">
        <f t="shared" si="0"/>
        <v>11153654.5</v>
      </c>
      <c r="H13" s="17">
        <f t="shared" si="1"/>
        <v>1152931.3461089283</v>
      </c>
      <c r="I13" s="17">
        <f t="shared" si="2"/>
        <v>10000723.153891072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Gy07NGBepS0BaMC9jbOGz72HGZQu1W3N7J5SflVI5xbMbv9TcwUyuI0yOGcdT06hrh9q892M+en+BWwqojKcDA==" saltValue="hiFpOB0ApXQ6B5sL9uYms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9.4482999999999841E-3</v>
      </c>
    </row>
    <row r="4" spans="1:8" ht="15.75" customHeight="1" x14ac:dyDescent="0.25">
      <c r="B4" s="19" t="s">
        <v>79</v>
      </c>
      <c r="C4" s="101">
        <v>6.0587099999999838E-2</v>
      </c>
    </row>
    <row r="5" spans="1:8" ht="15.75" customHeight="1" x14ac:dyDescent="0.25">
      <c r="B5" s="19" t="s">
        <v>80</v>
      </c>
      <c r="C5" s="101">
        <v>8.0444099999999921E-2</v>
      </c>
    </row>
    <row r="6" spans="1:8" ht="15.75" customHeight="1" x14ac:dyDescent="0.25">
      <c r="B6" s="19" t="s">
        <v>81</v>
      </c>
      <c r="C6" s="101">
        <v>0.24506110000000039</v>
      </c>
    </row>
    <row r="7" spans="1:8" ht="15.75" customHeight="1" x14ac:dyDescent="0.25">
      <c r="B7" s="19" t="s">
        <v>82</v>
      </c>
      <c r="C7" s="101">
        <v>0.41408430000000013</v>
      </c>
    </row>
    <row r="8" spans="1:8" ht="15.75" customHeight="1" x14ac:dyDescent="0.25">
      <c r="B8" s="19" t="s">
        <v>83</v>
      </c>
      <c r="C8" s="101">
        <v>1.210499999999998E-3</v>
      </c>
    </row>
    <row r="9" spans="1:8" ht="15.75" customHeight="1" x14ac:dyDescent="0.25">
      <c r="B9" s="19" t="s">
        <v>84</v>
      </c>
      <c r="C9" s="101">
        <v>7.320219999999994E-2</v>
      </c>
    </row>
    <row r="10" spans="1:8" ht="15.75" customHeight="1" x14ac:dyDescent="0.25">
      <c r="B10" s="19" t="s">
        <v>85</v>
      </c>
      <c r="C10" s="101">
        <v>0.1159623999999998</v>
      </c>
    </row>
    <row r="11" spans="1:8" ht="15.75" customHeight="1" x14ac:dyDescent="0.25">
      <c r="B11" s="27" t="s">
        <v>41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0.12181956141335119</v>
      </c>
      <c r="D14" s="55">
        <v>0.12181956141335119</v>
      </c>
      <c r="E14" s="55">
        <v>0.12181956141335119</v>
      </c>
      <c r="F14" s="55">
        <v>0.12181956141335119</v>
      </c>
    </row>
    <row r="15" spans="1:8" ht="15.75" customHeight="1" x14ac:dyDescent="0.25">
      <c r="B15" s="19" t="s">
        <v>88</v>
      </c>
      <c r="C15" s="101">
        <v>0.1525436960829033</v>
      </c>
      <c r="D15" s="101">
        <v>0.1525436960829033</v>
      </c>
      <c r="E15" s="101">
        <v>0.1525436960829033</v>
      </c>
      <c r="F15" s="101">
        <v>0.1525436960829033</v>
      </c>
    </row>
    <row r="16" spans="1:8" ht="15.75" customHeight="1" x14ac:dyDescent="0.25">
      <c r="B16" s="19" t="s">
        <v>89</v>
      </c>
      <c r="C16" s="101">
        <v>1.9379345713266979E-2</v>
      </c>
      <c r="D16" s="101">
        <v>1.9379345713266979E-2</v>
      </c>
      <c r="E16" s="101">
        <v>1.9379345713266979E-2</v>
      </c>
      <c r="F16" s="101">
        <v>1.9379345713266979E-2</v>
      </c>
    </row>
    <row r="17" spans="1:8" ht="15.75" customHeight="1" x14ac:dyDescent="0.25">
      <c r="B17" s="19" t="s">
        <v>90</v>
      </c>
      <c r="C17" s="101">
        <v>7.0679873364541653E-3</v>
      </c>
      <c r="D17" s="101">
        <v>7.0679873364541653E-3</v>
      </c>
      <c r="E17" s="101">
        <v>7.0679873364541653E-3</v>
      </c>
      <c r="F17" s="101">
        <v>7.0679873364541653E-3</v>
      </c>
    </row>
    <row r="18" spans="1:8" ht="15.75" customHeight="1" x14ac:dyDescent="0.25">
      <c r="B18" s="19" t="s">
        <v>91</v>
      </c>
      <c r="C18" s="101">
        <v>0.22238897098278571</v>
      </c>
      <c r="D18" s="101">
        <v>0.22238897098278571</v>
      </c>
      <c r="E18" s="101">
        <v>0.22238897098278571</v>
      </c>
      <c r="F18" s="101">
        <v>0.22238897098278571</v>
      </c>
    </row>
    <row r="19" spans="1:8" ht="15.75" customHeight="1" x14ac:dyDescent="0.25">
      <c r="B19" s="19" t="s">
        <v>92</v>
      </c>
      <c r="C19" s="101">
        <v>3.3325376474692817E-2</v>
      </c>
      <c r="D19" s="101">
        <v>3.3325376474692817E-2</v>
      </c>
      <c r="E19" s="101">
        <v>3.3325376474692817E-2</v>
      </c>
      <c r="F19" s="101">
        <v>3.3325376474692817E-2</v>
      </c>
    </row>
    <row r="20" spans="1:8" ht="15.75" customHeight="1" x14ac:dyDescent="0.25">
      <c r="B20" s="19" t="s">
        <v>93</v>
      </c>
      <c r="C20" s="101">
        <v>0.1144476671113132</v>
      </c>
      <c r="D20" s="101">
        <v>0.1144476671113132</v>
      </c>
      <c r="E20" s="101">
        <v>0.1144476671113132</v>
      </c>
      <c r="F20" s="101">
        <v>0.1144476671113132</v>
      </c>
    </row>
    <row r="21" spans="1:8" ht="15.75" customHeight="1" x14ac:dyDescent="0.25">
      <c r="B21" s="19" t="s">
        <v>94</v>
      </c>
      <c r="C21" s="101">
        <v>0.13423673221728019</v>
      </c>
      <c r="D21" s="101">
        <v>0.13423673221728019</v>
      </c>
      <c r="E21" s="101">
        <v>0.13423673221728019</v>
      </c>
      <c r="F21" s="101">
        <v>0.13423673221728019</v>
      </c>
    </row>
    <row r="22" spans="1:8" ht="15.75" customHeight="1" x14ac:dyDescent="0.25">
      <c r="B22" s="19" t="s">
        <v>95</v>
      </c>
      <c r="C22" s="101">
        <v>0.1947906626679525</v>
      </c>
      <c r="D22" s="101">
        <v>0.1947906626679525</v>
      </c>
      <c r="E22" s="101">
        <v>0.1947906626679525</v>
      </c>
      <c r="F22" s="101">
        <v>0.1947906626679525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6.6578172000000005E-2</v>
      </c>
    </row>
    <row r="27" spans="1:8" ht="15.75" customHeight="1" x14ac:dyDescent="0.25">
      <c r="B27" s="19" t="s">
        <v>102</v>
      </c>
      <c r="C27" s="101">
        <v>4.9825570000000003E-3</v>
      </c>
    </row>
    <row r="28" spans="1:8" ht="15.75" customHeight="1" x14ac:dyDescent="0.25">
      <c r="B28" s="19" t="s">
        <v>103</v>
      </c>
      <c r="C28" s="101">
        <v>0.12458364500000001</v>
      </c>
    </row>
    <row r="29" spans="1:8" ht="15.75" customHeight="1" x14ac:dyDescent="0.25">
      <c r="B29" s="19" t="s">
        <v>104</v>
      </c>
      <c r="C29" s="101">
        <v>0.123203627</v>
      </c>
    </row>
    <row r="30" spans="1:8" ht="15.75" customHeight="1" x14ac:dyDescent="0.25">
      <c r="B30" s="19" t="s">
        <v>2</v>
      </c>
      <c r="C30" s="101">
        <v>8.5390918999999996E-2</v>
      </c>
    </row>
    <row r="31" spans="1:8" ht="15.75" customHeight="1" x14ac:dyDescent="0.25">
      <c r="B31" s="19" t="s">
        <v>105</v>
      </c>
      <c r="C31" s="101">
        <v>0.13704649199999999</v>
      </c>
    </row>
    <row r="32" spans="1:8" ht="15.75" customHeight="1" x14ac:dyDescent="0.25">
      <c r="B32" s="19" t="s">
        <v>106</v>
      </c>
      <c r="C32" s="101">
        <v>1.3877614E-2</v>
      </c>
    </row>
    <row r="33" spans="2:3" ht="15.75" customHeight="1" x14ac:dyDescent="0.25">
      <c r="B33" s="19" t="s">
        <v>107</v>
      </c>
      <c r="C33" s="101">
        <v>0.162878947</v>
      </c>
    </row>
    <row r="34" spans="2:3" ht="15.75" customHeight="1" x14ac:dyDescent="0.25">
      <c r="B34" s="19" t="s">
        <v>108</v>
      </c>
      <c r="C34" s="101">
        <v>0.281458027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c1hmLOoczaCWlqjBPr0aYBN39l0UgnhZdiyNs6CP9d+Hb5gkm+r1Z0/CoH/rL2YLOr+gBcF2M6+Fyk/k4cwxFw==" saltValue="Pab9cJ24OeuZmfA0gxC9e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0.66907221117541471</v>
      </c>
      <c r="D2" s="52">
        <f>IFERROR(1-_xlfn.NORM.DIST(_xlfn.NORM.INV(SUM(D4:D5), 0, 1) + 1, 0, 1, TRUE), "")</f>
        <v>0.66907221117541471</v>
      </c>
      <c r="E2" s="52">
        <f>IFERROR(1-_xlfn.NORM.DIST(_xlfn.NORM.INV(SUM(E4:E5), 0, 1) + 1, 0, 1, TRUE), "")</f>
        <v>0.61858610074099551</v>
      </c>
      <c r="F2" s="52">
        <f>IFERROR(1-_xlfn.NORM.DIST(_xlfn.NORM.INV(SUM(F4:F5), 0, 1) + 1, 0, 1, TRUE), "")</f>
        <v>0.45590429923977593</v>
      </c>
      <c r="G2" s="52">
        <f>IFERROR(1-_xlfn.NORM.DIST(_xlfn.NORM.INV(SUM(G4:G5), 0, 1) + 1, 0, 1, TRUE), "")</f>
        <v>0.43778270998959623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0.25561888882458528</v>
      </c>
      <c r="D3" s="52">
        <f>IFERROR(_xlfn.NORM.DIST(_xlfn.NORM.INV(SUM(D4:D5), 0, 1) + 1, 0, 1, TRUE) - SUM(D4:D5), "")</f>
        <v>0.25561888882458528</v>
      </c>
      <c r="E3" s="52">
        <f>IFERROR(_xlfn.NORM.DIST(_xlfn.NORM.INV(SUM(E4:E5), 0, 1) + 1, 0, 1, TRUE) - SUM(E4:E5), "")</f>
        <v>0.28491629925900447</v>
      </c>
      <c r="F3" s="52">
        <f>IFERROR(_xlfn.NORM.DIST(_xlfn.NORM.INV(SUM(F4:F5), 0, 1) + 1, 0, 1, TRUE) - SUM(F4:F5), "")</f>
        <v>0.35715930076022406</v>
      </c>
      <c r="G3" s="52">
        <f>IFERROR(_xlfn.NORM.DIST(_xlfn.NORM.INV(SUM(G4:G5), 0, 1) + 1, 0, 1, TRUE) - SUM(G4:G5), "")</f>
        <v>0.36271679001040374</v>
      </c>
    </row>
    <row r="4" spans="1:15" ht="15.75" customHeight="1" x14ac:dyDescent="0.25">
      <c r="B4" s="5" t="s">
        <v>114</v>
      </c>
      <c r="C4" s="45">
        <v>4.8323999999999999E-2</v>
      </c>
      <c r="D4" s="53">
        <v>4.8323999999999999E-2</v>
      </c>
      <c r="E4" s="53">
        <v>7.00075E-2</v>
      </c>
      <c r="F4" s="53">
        <v>0.13699249999999999</v>
      </c>
      <c r="G4" s="53">
        <v>0.14552480000000001</v>
      </c>
    </row>
    <row r="5" spans="1:15" ht="15.75" customHeight="1" x14ac:dyDescent="0.25">
      <c r="B5" s="5" t="s">
        <v>115</v>
      </c>
      <c r="C5" s="45">
        <v>2.6984899999999999E-2</v>
      </c>
      <c r="D5" s="53">
        <v>2.6984899999999999E-2</v>
      </c>
      <c r="E5" s="53">
        <v>2.6490099999999999E-2</v>
      </c>
      <c r="F5" s="53">
        <v>4.9943899999999999E-2</v>
      </c>
      <c r="G5" s="53">
        <v>5.3975700000000001E-2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0.54336582884235329</v>
      </c>
      <c r="D8" s="52">
        <f>IFERROR(1-_xlfn.NORM.DIST(_xlfn.NORM.INV(SUM(D10:D11), 0, 1) + 1, 0, 1, TRUE), "")</f>
        <v>0.54336582884235329</v>
      </c>
      <c r="E8" s="52">
        <f>IFERROR(1-_xlfn.NORM.DIST(_xlfn.NORM.INV(SUM(E10:E11), 0, 1) + 1, 0, 1, TRUE), "")</f>
        <v>0.51614816595486235</v>
      </c>
      <c r="F8" s="52">
        <f>IFERROR(1-_xlfn.NORM.DIST(_xlfn.NORM.INV(SUM(F10:F11), 0, 1) + 1, 0, 1, TRUE), "")</f>
        <v>0.60643135268855997</v>
      </c>
      <c r="G8" s="52">
        <f>IFERROR(1-_xlfn.NORM.DIST(_xlfn.NORM.INV(SUM(G10:G11), 0, 1) + 1, 0, 1, TRUE), "")</f>
        <v>0.79123157495557583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0.32290117115764672</v>
      </c>
      <c r="D9" s="52">
        <f>IFERROR(_xlfn.NORM.DIST(_xlfn.NORM.INV(SUM(D10:D11), 0, 1) + 1, 0, 1, TRUE) - SUM(D10:D11), "")</f>
        <v>0.32290117115764672</v>
      </c>
      <c r="E9" s="52">
        <f>IFERROR(_xlfn.NORM.DIST(_xlfn.NORM.INV(SUM(E10:E11), 0, 1) + 1, 0, 1, TRUE) - SUM(E10:E11), "")</f>
        <v>0.33479533404513762</v>
      </c>
      <c r="F9" s="52">
        <f>IFERROR(_xlfn.NORM.DIST(_xlfn.NORM.INV(SUM(F10:F11), 0, 1) + 1, 0, 1, TRUE) - SUM(F10:F11), "")</f>
        <v>0.29153164731144005</v>
      </c>
      <c r="G9" s="52">
        <f>IFERROR(_xlfn.NORM.DIST(_xlfn.NORM.INV(SUM(G10:G11), 0, 1) + 1, 0, 1, TRUE) - SUM(G10:G11), "")</f>
        <v>0.17367492504442417</v>
      </c>
    </row>
    <row r="10" spans="1:15" ht="15.75" customHeight="1" x14ac:dyDescent="0.25">
      <c r="B10" s="5" t="s">
        <v>119</v>
      </c>
      <c r="C10" s="45">
        <v>8.9863300000000007E-2</v>
      </c>
      <c r="D10" s="53">
        <v>8.9863300000000007E-2</v>
      </c>
      <c r="E10" s="53">
        <v>0.12234349999999999</v>
      </c>
      <c r="F10" s="53">
        <v>8.4030900000000006E-2</v>
      </c>
      <c r="G10" s="53">
        <v>3.2996200000000003E-2</v>
      </c>
    </row>
    <row r="11" spans="1:15" ht="15.75" customHeight="1" x14ac:dyDescent="0.25">
      <c r="B11" s="5" t="s">
        <v>120</v>
      </c>
      <c r="C11" s="45">
        <v>4.3869699999999998E-2</v>
      </c>
      <c r="D11" s="53">
        <v>4.3869699999999998E-2</v>
      </c>
      <c r="E11" s="53">
        <v>2.6713000000000001E-2</v>
      </c>
      <c r="F11" s="53">
        <v>1.8006100000000001E-2</v>
      </c>
      <c r="G11" s="53">
        <v>2.0972999999999999E-3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0.76397983049999996</v>
      </c>
      <c r="D14" s="54">
        <v>0.75075595181599997</v>
      </c>
      <c r="E14" s="54">
        <v>0.75075595181599997</v>
      </c>
      <c r="F14" s="54">
        <v>0.65965136567799998</v>
      </c>
      <c r="G14" s="54">
        <v>0.65965136567799998</v>
      </c>
      <c r="H14" s="45">
        <v>0.54299999999999993</v>
      </c>
      <c r="I14" s="55">
        <v>0.54299999999999993</v>
      </c>
      <c r="J14" s="55">
        <v>0.54299999999999993</v>
      </c>
      <c r="K14" s="55">
        <v>0.54299999999999993</v>
      </c>
      <c r="L14" s="45">
        <v>0.45700000000000002</v>
      </c>
      <c r="M14" s="55">
        <v>0.45700000000000002</v>
      </c>
      <c r="N14" s="55">
        <v>0.45700000000000002</v>
      </c>
      <c r="O14" s="55">
        <v>0.45700000000000002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0.29862138022651807</v>
      </c>
      <c r="D15" s="52">
        <f t="shared" si="0"/>
        <v>0.2934524834220309</v>
      </c>
      <c r="E15" s="52">
        <f t="shared" si="0"/>
        <v>0.2934524834220309</v>
      </c>
      <c r="F15" s="52">
        <f t="shared" si="0"/>
        <v>0.25784188721075402</v>
      </c>
      <c r="G15" s="52">
        <f t="shared" si="0"/>
        <v>0.25784188721075402</v>
      </c>
      <c r="H15" s="52">
        <f t="shared" si="0"/>
        <v>0.21224566800000003</v>
      </c>
      <c r="I15" s="52">
        <f t="shared" si="0"/>
        <v>0.21224566800000003</v>
      </c>
      <c r="J15" s="52">
        <f t="shared" si="0"/>
        <v>0.21224566800000003</v>
      </c>
      <c r="K15" s="52">
        <f t="shared" si="0"/>
        <v>0.21224566800000003</v>
      </c>
      <c r="L15" s="52">
        <f t="shared" si="0"/>
        <v>0.17863033200000006</v>
      </c>
      <c r="M15" s="52">
        <f t="shared" si="0"/>
        <v>0.17863033200000006</v>
      </c>
      <c r="N15" s="52">
        <f t="shared" si="0"/>
        <v>0.17863033200000006</v>
      </c>
      <c r="O15" s="52">
        <f t="shared" si="0"/>
        <v>0.17863033200000006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5VDqO/GtVxHTUque84QdmXIAowZNUQBOx1yphQJaDUgXZWmTpCzpxX7jyvH1qsnt5goupuOMy5XKF4yM15hGXA==" saltValue="GKHJvbXDaMlEz5ekYNdR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0.63748349999999998</v>
      </c>
      <c r="D2" s="53">
        <v>0.38182569999999999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0.210618</v>
      </c>
      <c r="D3" s="53">
        <v>0.211954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0.1174632</v>
      </c>
      <c r="D4" s="53">
        <v>0.38791469999999989</v>
      </c>
      <c r="E4" s="53">
        <v>0.98155690000000007</v>
      </c>
      <c r="F4" s="53">
        <v>0.66134090000000001</v>
      </c>
      <c r="G4" s="53">
        <v>0</v>
      </c>
    </row>
    <row r="5" spans="1:7" x14ac:dyDescent="0.25">
      <c r="B5" s="3" t="s">
        <v>132</v>
      </c>
      <c r="C5" s="52">
        <v>3.4435300000000002E-2</v>
      </c>
      <c r="D5" s="52">
        <v>1.8305600000000002E-2</v>
      </c>
      <c r="E5" s="52">
        <f>1-SUM(E2:E4)</f>
        <v>1.8443099999999935E-2</v>
      </c>
      <c r="F5" s="52">
        <f>1-SUM(F2:F4)</f>
        <v>0.33865909999999999</v>
      </c>
      <c r="G5" s="52">
        <f>1-SUM(G2:G4)</f>
        <v>1</v>
      </c>
    </row>
  </sheetData>
  <sheetProtection algorithmName="SHA-512" hashValue="3r9cH8BpQiDTGd/4SVGgCLgB8nd/psBvoD0Rkb2VsaMgY30fELNOAuA8GJ6LP2E8lq4+z2lzTKQLCe4EU4KCAA==" saltValue="GEIn6pbj+h9XbLIq3cC95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h2Hn0FGyvd9yNZb16Qz6EEMOmEGY/8QDZR2A2K8XYwU+eVJJ/fmhCMT6+8/O869dxSmoAO+q6jiQ4V3oxiNHpA==" saltValue="Hte8xRdZWE60GwyC1wuHy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b2XTq9PKHDXmJAODFSdMwbiJ3zW5MbKV9B8M8GNogk1ednOwn45nFaPeJOt4xkgbocUD08I+58Yl4geON+eeOQ==" saltValue="IQgVcE9MAZaG2vwXk21Xh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WrbxMb9uPyjhEGsXKabQQMSGAnkgq+56puxej3GIpW984aX4jwk/vOCHJNIh/N/Q5glOcDWYNqrPsAJ3dLl7Ag==" saltValue="JdNlMOLLOw9XPHpnJMbCN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jaIX71sSTRzDfMldr/XNu/I838TlIBHprZrd5pewLsRAHlQbhC4YS6s7iXfGgrGERgh48hX+fNKKiGrOvOpFlg==" saltValue="uRFHkNyC1gGK7TvX45qVq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32.139211884942107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19.75203299904819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7.2861200073283072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0.5249617017576077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0.19283527130965261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0.10284547803181469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0.5</v>
      </c>
      <c r="C9" s="98">
        <v>0.95</v>
      </c>
      <c r="D9" s="56">
        <v>0.16283867355037329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0.5936245</v>
      </c>
      <c r="C10" s="98">
        <v>0.95</v>
      </c>
      <c r="D10" s="56">
        <v>13.61384665422082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13.61384665422082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13.61384665422082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13.61384665422082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0.5936245</v>
      </c>
      <c r="C14" s="98">
        <v>0.95</v>
      </c>
      <c r="D14" s="56">
        <v>13.61384665422082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13.61384665422082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0.79167399999999999</v>
      </c>
      <c r="C16" s="98">
        <v>0.95</v>
      </c>
      <c r="D16" s="56">
        <v>2.503642449664842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0.28066999999999998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0.56399999999999995</v>
      </c>
      <c r="C18" s="98">
        <v>0.95</v>
      </c>
      <c r="D18" s="56">
        <v>7.2861200073283072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0.38182569999999999</v>
      </c>
      <c r="C19" s="98">
        <v>0.95</v>
      </c>
      <c r="D19" s="56">
        <v>7.2861200073283072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7.4846345450640612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23.27165885855867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0.7480929999999999</v>
      </c>
      <c r="C23" s="98">
        <v>0.95</v>
      </c>
      <c r="D23" s="56">
        <v>4.5073761426825563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0.58759262855713601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0.5936245</v>
      </c>
      <c r="C26" s="98">
        <v>0.95</v>
      </c>
      <c r="D26" s="56">
        <v>3.4665816434934871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13.803307962555669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0.47842659999999998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0.25902579999999997</v>
      </c>
      <c r="C29" s="98">
        <v>0.95</v>
      </c>
      <c r="D29" s="56">
        <v>88.005851455993124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180.94215297303569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0.35</v>
      </c>
      <c r="C32" s="98">
        <v>0.95</v>
      </c>
      <c r="D32" s="56">
        <v>0.65266805708153031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0.41689389999999998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0.23128789999999999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3.4973999999999999E-3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0.5667259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0.24299999999999999</v>
      </c>
      <c r="C38" s="98">
        <v>0.95</v>
      </c>
      <c r="D38" s="56">
        <v>2.4488574538288082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201</v>
      </c>
      <c r="F39" s="98">
        <v>1</v>
      </c>
      <c r="G39" s="98">
        <v>1</v>
      </c>
    </row>
  </sheetData>
  <sheetProtection algorithmName="SHA-512" hashValue="JNOCaa5t2U0EnEliWxYwMhIc4nnWjp+/fGtlHLvV3AFDj26lmeTKFDgPeAgOtk6kgBYJdUk63xW5McN6OYa0+A==" saltValue="LWG1RmK5Bt2ucmnoj3ya0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SFsT16+tdivfpxbKgTaVEhNqma5GFRX7vEAv4PtiNbDl3lQ5rREHjb6ymokfKWfKTmWI2LVI47cd2vR4kTV1BQ==" saltValue="wr0dejiQ3ZEXBRveDz2n4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E4EywpfA5l3r2PLrivLAglq60H83IScXnj2Q4+cAVgUt2eiS6lhABU2LC0YhDIIK6+12QynxPgPH2wSNCFJWqw==" saltValue="N6xrrHU0AsBGSs+gq4Ron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0.23364458000000002</v>
      </c>
      <c r="C3" s="21">
        <f>frac_mam_1_5months * 2.6</f>
        <v>0.23364458000000002</v>
      </c>
      <c r="D3" s="21">
        <f>frac_mam_6_11months * 2.6</f>
        <v>0.31809310000000002</v>
      </c>
      <c r="E3" s="21">
        <f>frac_mam_12_23months * 2.6</f>
        <v>0.21848034000000002</v>
      </c>
      <c r="F3" s="21">
        <f>frac_mam_24_59months * 2.6</f>
        <v>8.5790120000000011E-2</v>
      </c>
    </row>
    <row r="4" spans="1:6" ht="15.75" customHeight="1" x14ac:dyDescent="0.25">
      <c r="A4" s="3" t="s">
        <v>208</v>
      </c>
      <c r="B4" s="21">
        <f>frac_sam_1month * 2.6</f>
        <v>0.11406121999999999</v>
      </c>
      <c r="C4" s="21">
        <f>frac_sam_1_5months * 2.6</f>
        <v>0.11406121999999999</v>
      </c>
      <c r="D4" s="21">
        <f>frac_sam_6_11months * 2.6</f>
        <v>6.945380000000001E-2</v>
      </c>
      <c r="E4" s="21">
        <f>frac_sam_12_23months * 2.6</f>
        <v>4.6815860000000001E-2</v>
      </c>
      <c r="F4" s="21">
        <f>frac_sam_24_59months * 2.6</f>
        <v>5.4529799999999996E-3</v>
      </c>
    </row>
  </sheetData>
  <sheetProtection algorithmName="SHA-512" hashValue="l/AVBq35yJu+hN0SD6TqY6CNr9q67hdTE440TtOLLpNvCWU8KhBx6EmpSJmfwEkXxoLs12bjCrwt7ot+gvcI4g==" saltValue="FFHQTOqqTwC694x/SNNmo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0.13300000000000001</v>
      </c>
      <c r="E2" s="60">
        <f>food_insecure</f>
        <v>0.13300000000000001</v>
      </c>
      <c r="F2" s="60">
        <f>food_insecure</f>
        <v>0.13300000000000001</v>
      </c>
      <c r="G2" s="60">
        <f>food_insecure</f>
        <v>0.13300000000000001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0.13300000000000001</v>
      </c>
      <c r="F5" s="60">
        <f>food_insecure</f>
        <v>0.13300000000000001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0.13300000000000001</v>
      </c>
      <c r="F8" s="60">
        <f>food_insecure</f>
        <v>0.13300000000000001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0.13300000000000001</v>
      </c>
      <c r="F9" s="60">
        <f>food_insecure</f>
        <v>0.13300000000000001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0.13300000000000001</v>
      </c>
      <c r="I15" s="60">
        <f>food_insecure</f>
        <v>0.13300000000000001</v>
      </c>
      <c r="J15" s="60">
        <f>food_insecure</f>
        <v>0.13300000000000001</v>
      </c>
      <c r="K15" s="60">
        <f>food_insecure</f>
        <v>0.13300000000000001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0.98</v>
      </c>
      <c r="I19" s="60">
        <f>frac_malaria_risk</f>
        <v>0.98</v>
      </c>
      <c r="J19" s="60">
        <f>frac_malaria_risk</f>
        <v>0.98</v>
      </c>
      <c r="K19" s="60">
        <f>frac_malaria_risk</f>
        <v>0.98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0.53799999999999992</v>
      </c>
      <c r="M24" s="60">
        <f>famplan_unmet_need</f>
        <v>0.53799999999999992</v>
      </c>
      <c r="N24" s="60">
        <f>famplan_unmet_need</f>
        <v>0.53799999999999992</v>
      </c>
      <c r="O24" s="60">
        <f>famplan_unmet_need</f>
        <v>0.53799999999999992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0.2248261612213133</v>
      </c>
      <c r="M25" s="60">
        <f>(1-food_insecure)*(0.49)+food_insecure*(0.7)</f>
        <v>0.51793</v>
      </c>
      <c r="N25" s="60">
        <f>(1-food_insecure)*(0.49)+food_insecure*(0.7)</f>
        <v>0.51793</v>
      </c>
      <c r="O25" s="60">
        <f>(1-food_insecure)*(0.49)+food_insecure*(0.7)</f>
        <v>0.51793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9.6354069094848546E-2</v>
      </c>
      <c r="M26" s="60">
        <f>(1-food_insecure)*(0.21)+food_insecure*(0.3)</f>
        <v>0.22196999999999997</v>
      </c>
      <c r="N26" s="60">
        <f>(1-food_insecure)*(0.21)+food_insecure*(0.3)</f>
        <v>0.22196999999999997</v>
      </c>
      <c r="O26" s="60">
        <f>(1-food_insecure)*(0.21)+food_insecure*(0.3)</f>
        <v>0.22196999999999997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0.11290576821899406</v>
      </c>
      <c r="M27" s="60">
        <f>(1-food_insecure)*(0.3)</f>
        <v>0.2601</v>
      </c>
      <c r="N27" s="60">
        <f>(1-food_insecure)*(0.3)</f>
        <v>0.2601</v>
      </c>
      <c r="O27" s="60">
        <f>(1-food_insecure)*(0.3)</f>
        <v>0.2601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0.56591400146484405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0.98</v>
      </c>
      <c r="D34" s="60">
        <f t="shared" si="3"/>
        <v>0.98</v>
      </c>
      <c r="E34" s="60">
        <f t="shared" si="3"/>
        <v>0.98</v>
      </c>
      <c r="F34" s="60">
        <f t="shared" si="3"/>
        <v>0.98</v>
      </c>
      <c r="G34" s="60">
        <f t="shared" si="3"/>
        <v>0.98</v>
      </c>
      <c r="H34" s="60">
        <f t="shared" si="3"/>
        <v>0.98</v>
      </c>
      <c r="I34" s="60">
        <f t="shared" si="3"/>
        <v>0.98</v>
      </c>
      <c r="J34" s="60">
        <f t="shared" si="3"/>
        <v>0.98</v>
      </c>
      <c r="K34" s="60">
        <f t="shared" si="3"/>
        <v>0.98</v>
      </c>
      <c r="L34" s="60">
        <f t="shared" si="3"/>
        <v>0.98</v>
      </c>
      <c r="M34" s="60">
        <f t="shared" si="3"/>
        <v>0.98</v>
      </c>
      <c r="N34" s="60">
        <f t="shared" si="3"/>
        <v>0.98</v>
      </c>
      <c r="O34" s="60">
        <f t="shared" si="3"/>
        <v>0.98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DBFzU82kbFzxIEptLBN8s9OgHj7zS01S18KRI8wuS/PdPNwr3JvhQpmf6PqJJ8p6oH+bJGb/7nAgGgiDnjcszA==" saltValue="PO4TqMWFg0OlcXn2xwc7K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Gd7g1+059KkX3Wg8tfRYUUP71XoXahKlkCLR4AbeZSuWnhf557vIUC1eYpVZeya7OF3+oconil1SmvaCPW59Qg==" saltValue="gjnbAnbzwxAL36V//qN11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Zbfini9IRBHh57qiJ1jz/nnmAjNK6s/qFLXydIXc5pRK1qYw/goiruxaYqAhtwHp2R7TCHDb7BcCQKtAoau1bg==" saltValue="I9ticX3BpXsEbNYr7ZYSB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puRPZM7oD+2qlTsNE59dk9e8Ih2mNkrj/rdjutzPMO/ruLQG1b4/JsSJUy6iKV1RXrKb3tsmKSvG6hpNg82hnw==" saltValue="w2aOTtW+ctFqbVSkYLYvV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HEFptyv30jYp+CyfPc9SULkXwowDXAFysIkmyUQ518qKO9tFbtTwkc8wCBStWPnnGGK6FdCJmR5UtPzsYQQvpg==" saltValue="XgTHm7X7bPGnyJPMj7il7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BxbbPE9y9t1zQdQjnUIa5G2cCHocsdBz+WUyEdt3VyDlR9tAzlB21nw8os0+zMBtc8ccK2Qx+/v8b1X83pVaxg==" saltValue="ABEmfggEebyeN9WoqL9LF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9kjapXMfE0F7pVI26wBq7rGpt6Lk9wJjq6l8CYqaxRNzedMPe862VYFAqVbhjxPgQNlEvPrudBpfDfU9ZXNpqQ==" saltValue="ycvw40I5e2ecA7Dy4DmJN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TpXS0p+9b0I5HR/cMZWmzw8Exfx3/nsUYi3nYx2clmeegorXmCX7jueBaPCvBvOMnvc/RA5z3VMXy4yY0ADT7w==" saltValue="1JaprArEZCnvMP1j0Nb6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nD4OWHqBHobK54tJWiM1eQwQb89baCnHnQGJAxVYU2ojSyGaJVRRG95xC7K5gz9s/dTdD1/o4tFlIHgk9Hg2ag==" saltValue="TOC0hWMHyQ+PhhFAykLD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MK3rJKsW/NTgBk/OaVezEKLLFYe8ovlVjCfNf+8Fi+LV9EluoWMXeTUXTnCxo9UtjT2VcTSnyHBGXdRqPz0I0g==" saltValue="zdggFcMD8qhBrsomcwPc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hR5U80gM6juX8GCoqnxFbA66L7CCiM/STX+N5514Pd2PpBqJIvaoilbu4LYMaiyGwyflhWDkU3P+J5eG8zUHyQ==" saltValue="Rx4S+wH/tdrZCBs1KMgg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aMOXzEjkisjL1VyDePbBSpuijFiNmYJeYX/Isakj0djJ0c4dE/rycZHnxmCQJQ5R9JrbQyt5gZ6Wc338d+VwlA==" saltValue="Qja8ocqRqZexSjNxQvSs4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pXbfVb3UDhRzzMDsIOtQCG4Q3eId0bi+jA8WMEPAHz6Viv1UXdoL5jadlHFu0ZJCn+39cWU/VWWZmtA//yAPnQ==" saltValue="nh6a0gdgrFVIs88uIB0Yh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0.10737709006275309</v>
      </c>
      <c r="G18" s="90">
        <f>MIN(MAX(1-0.89/(1-frac_sam_12_23months+(frac_sam_12_23months*0.89)),0),1)</f>
        <v>0.10823370435944735</v>
      </c>
      <c r="H18" s="90">
        <f>MIN(MAX(1-0.89/(1-frac_sam_24_59months+(frac_sam_24_59months*0.89)),0),1)</f>
        <v>0.10979462694982123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9.7859182842976455E-2</v>
      </c>
      <c r="G20" s="90">
        <f>MIN(MAX(1-0.89/(1-frac_mam_12_23months+(frac_mam_12_23months*0.89)),0),1)</f>
        <v>0.10169662346766428</v>
      </c>
      <c r="H20" s="90">
        <f>MIN(MAX(1-0.89/(1-frac_mam_24_59months+(frac_mam_24_59months*0.89)),0),1)</f>
        <v>0.10675790456878054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9.7354706362711152E-3</v>
      </c>
      <c r="G73" s="90">
        <f>MIN(MAX(1-0.99/(1-frac_sam_12_23months+(frac_sam_12_23months*0.99)),0),1)</f>
        <v>9.8217075064753745E-3</v>
      </c>
      <c r="H73" s="90">
        <f>MIN(MAX(1-0.99/(1-frac_sam_24_59months+(frac_sam_24_59months*0.99)),0),1)</f>
        <v>9.9792362945229085E-3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8.7873157095952337E-3</v>
      </c>
      <c r="G75" s="90">
        <f>MIN(MAX(1-0.99/(1-frac_mam_12_23months+(frac_mam_12_23months*0.99)),0),1)</f>
        <v>9.1673944440578969E-3</v>
      </c>
      <c r="H75" s="90">
        <f>MIN(MAX(1-0.99/(1-frac_mam_24_59months+(frac_mam_24_59months*0.99)),0),1)</f>
        <v>9.6732297982506932E-3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0.19570296264824449</v>
      </c>
      <c r="G128" s="90">
        <f>MIN(MAX(1-0.8/(1-frac_sam_12_23months+(frac_sam_12_23months*0.8)),0),1)</f>
        <v>0.19710861147381165</v>
      </c>
      <c r="H128" s="90">
        <f>MIN(MAX(1-0.8/(1-frac_sam_24_59months+(frac_sam_24_59months*0.8)),0),1)</f>
        <v>0.19966429118357987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0.1799340523466546</v>
      </c>
      <c r="G130" s="90">
        <f>MIN(MAX(1-0.8/(1-frac_mam_12_23months+(frac_mam_12_23months*0.8)),0),1)</f>
        <v>0.18632523544543833</v>
      </c>
      <c r="H130" s="90">
        <f>MIN(MAX(1-0.8/(1-frac_mam_24_59months+(frac_mam_24_59months*0.8)),0),1)</f>
        <v>0.19468553658042298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n9K8De4Nfzd4FVlwHXRK+6hYQj2YNfIlTq+kV2pBSc38BaMy7hUGhZAcWr/vTvlNLQPeNUXAZlpQV8O7IsL5w==" saltValue="5laSgB4WyEnlslBvjbF6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D6NHtY50+BySv2nbV5SWRkUsVVQOWNPnonr2VtZArT3lTGN18Zl8M/+EDBIUh1X/D3el2mKIyus8vN6y0E+Zkg==" saltValue="RSlKgb8M84bFo/HGWFq57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2024-08-06T09:05:17Z</dcterms:modified>
</cp:coreProperties>
</file>