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DACA40A-28E0-497B-9FD2-FD23A0EF803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26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I9" i="2"/>
  <c r="A31" i="2"/>
  <c r="A34" i="2"/>
  <c r="A40" i="2"/>
  <c r="I2" i="2"/>
  <c r="I6" i="2"/>
  <c r="A19" i="2"/>
  <c r="A35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<sst xmlns="http://schemas.openxmlformats.org/spreadsheetml/2006/main" count="2159" uniqueCount="368">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</sst>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4249501</v>
      </c>
    </row>
    <row r="8" spans="1:3" ht="15" customHeight="1" x14ac:dyDescent="0.25">
      <c r="B8" s="5" t="s">
        <v>37</v>
      </c>
      <c r="C8" s="44">
        <v>0.38300000000000001</v>
      </c>
    </row>
    <row r="9" spans="1:3" ht="15" customHeight="1" x14ac:dyDescent="0.25">
      <c r="B9" s="5" t="s">
        <v>38</v>
      </c>
      <c r="C9" s="45">
        <v>0.98</v>
      </c>
    </row>
    <row r="10" spans="1:3" ht="15" customHeight="1" x14ac:dyDescent="0.25">
      <c r="B10" s="5" t="s">
        <v>39</v>
      </c>
      <c r="C10" s="45">
        <v>0.51394300000000004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0.29899999999999999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8.5699999999999998E-2</v>
      </c>
    </row>
    <row r="24" spans="1:3" ht="15" customHeight="1" x14ac:dyDescent="0.25">
      <c r="B24" s="15" t="s">
        <v>51</v>
      </c>
      <c r="C24" s="45">
        <v>0.43590000000000001</v>
      </c>
    </row>
    <row r="25" spans="1:3" ht="15" customHeight="1" x14ac:dyDescent="0.25">
      <c r="B25" s="15" t="s">
        <v>52</v>
      </c>
      <c r="C25" s="45">
        <v>0.3957</v>
      </c>
    </row>
    <row r="26" spans="1:3" ht="15" customHeight="1" x14ac:dyDescent="0.25">
      <c r="B26" s="15" t="s">
        <v>53</v>
      </c>
      <c r="C26" s="45">
        <v>8.2699999999999996E-2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0.27146440725940302</v>
      </c>
    </row>
    <row r="30" spans="1:3" ht="14.25" customHeight="1" x14ac:dyDescent="0.25">
      <c r="B30" s="25" t="s">
        <v>56</v>
      </c>
      <c r="C30" s="99">
        <v>3.0900048109988299E-2</v>
      </c>
    </row>
    <row r="31" spans="1:3" ht="14.25" customHeight="1" x14ac:dyDescent="0.25">
      <c r="B31" s="25" t="s">
        <v>57</v>
      </c>
      <c r="C31" s="99">
        <v>6.9419093990287797E-2</v>
      </c>
    </row>
    <row r="32" spans="1:3" ht="14.25" customHeight="1" x14ac:dyDescent="0.25">
      <c r="B32" s="25" t="s">
        <v>58</v>
      </c>
      <c r="C32" s="99">
        <v>0.62821645064032094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22.823730000000001</v>
      </c>
    </row>
    <row r="38" spans="1:5" ht="15" customHeight="1" x14ac:dyDescent="0.25">
      <c r="B38" s="11" t="s">
        <v>63</v>
      </c>
      <c r="C38" s="43">
        <v>32.582920000000001</v>
      </c>
      <c r="D38" s="12"/>
      <c r="E38" s="13"/>
    </row>
    <row r="39" spans="1:5" ht="15" customHeight="1" x14ac:dyDescent="0.25">
      <c r="B39" s="11" t="s">
        <v>64</v>
      </c>
      <c r="C39" s="43">
        <v>43.974519999999998</v>
      </c>
      <c r="D39" s="12"/>
      <c r="E39" s="12"/>
    </row>
    <row r="40" spans="1:5" ht="15" customHeight="1" x14ac:dyDescent="0.25">
      <c r="B40" s="11" t="s">
        <v>65</v>
      </c>
      <c r="C40" s="100">
        <v>2.63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21.40353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6.8689999999999992E-3</v>
      </c>
      <c r="D45" s="12"/>
    </row>
    <row r="46" spans="1:5" ht="15.75" customHeight="1" x14ac:dyDescent="0.25">
      <c r="B46" s="11" t="s">
        <v>70</v>
      </c>
      <c r="C46" s="45">
        <v>7.3128600000000002E-2</v>
      </c>
      <c r="D46" s="12"/>
    </row>
    <row r="47" spans="1:5" ht="15.75" customHeight="1" x14ac:dyDescent="0.25">
      <c r="B47" s="11" t="s">
        <v>71</v>
      </c>
      <c r="C47" s="45">
        <v>0.2015941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2.4180000000000001</v>
      </c>
      <c r="D51" s="12"/>
    </row>
    <row r="52" spans="1:4" ht="15" customHeight="1" x14ac:dyDescent="0.25">
      <c r="B52" s="11" t="s">
        <v>75</v>
      </c>
      <c r="C52" s="100">
        <v>2.4180000000000001</v>
      </c>
    </row>
    <row r="53" spans="1:4" ht="15.75" customHeight="1" x14ac:dyDescent="0.25">
      <c r="B53" s="11" t="s">
        <v>76</v>
      </c>
      <c r="C53" s="100">
        <v>4.3680000000000003</v>
      </c>
    </row>
    <row r="54" spans="1:4" ht="15.75" customHeight="1" x14ac:dyDescent="0.25">
      <c r="B54" s="11" t="s">
        <v>77</v>
      </c>
      <c r="C54" s="100">
        <v>4.992</v>
      </c>
    </row>
    <row r="55" spans="1:4" ht="15.75" customHeight="1" x14ac:dyDescent="0.25">
      <c r="B55" s="11" t="s">
        <v>78</v>
      </c>
      <c r="C55" s="100">
        <v>2.6173333333333328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0.39087600000000011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0.14158809999999999</v>
      </c>
    </row>
    <row r="63" spans="1:4" ht="15.75" customHeight="1" x14ac:dyDescent="0.3">
      <c r="A63" s="4"/>
    </row>
  </sheetData>
  <sheetProtection algorithmName="SHA-512" hashValue="4YHnANzINjBcEBk64/Depw4Xij1pnMg2vDQV/tlNOcLPcONuGt0ijMz+ULJdQ8CbxIXQRgOT3IvrFSlX95HIzg==" saltValue="sKGUUdDRG662v7bcwMOU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892343</v>
      </c>
      <c r="C2" s="49">
        <v>1737487.5</v>
      </c>
      <c r="D2" s="49">
        <v>2884921.9999999995</v>
      </c>
      <c r="E2" s="49">
        <v>2377647</v>
      </c>
      <c r="F2" s="49">
        <v>1801856.4999999998</v>
      </c>
      <c r="G2" s="17">
        <f t="shared" ref="G2:G13" si="0">C2+D2+E2+F2</f>
        <v>8801913</v>
      </c>
      <c r="H2" s="17">
        <f t="shared" ref="H2:H13" si="1">(B2 + stillbirth*B2/(1000-stillbirth))/(1-abortion)</f>
        <v>1036204.5720067194</v>
      </c>
      <c r="I2" s="17">
        <f t="shared" ref="I2:I13" si="2">G2-H2</f>
        <v>7765708.4279932808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897874</v>
      </c>
      <c r="C3" s="50">
        <v>1769735</v>
      </c>
      <c r="D3" s="50">
        <v>2949443</v>
      </c>
      <c r="E3" s="50">
        <v>2411325.5</v>
      </c>
      <c r="F3" s="50">
        <v>1860137.5</v>
      </c>
      <c r="G3" s="17">
        <f t="shared" si="0"/>
        <v>8990641</v>
      </c>
      <c r="H3" s="17">
        <f t="shared" si="1"/>
        <v>1042627.2676380732</v>
      </c>
      <c r="I3" s="17">
        <f t="shared" si="2"/>
        <v>7948013.7323619267</v>
      </c>
    </row>
    <row r="4" spans="1:9" ht="15.75" customHeight="1" x14ac:dyDescent="0.25">
      <c r="A4" s="5">
        <f t="shared" si="3"/>
        <v>2026</v>
      </c>
      <c r="B4" s="49">
        <v>903735</v>
      </c>
      <c r="C4" s="50">
        <v>1804891</v>
      </c>
      <c r="D4" s="50">
        <v>3019378</v>
      </c>
      <c r="E4" s="50">
        <v>2441393</v>
      </c>
      <c r="F4" s="50">
        <v>1919119</v>
      </c>
      <c r="G4" s="17">
        <f t="shared" si="0"/>
        <v>9184781</v>
      </c>
      <c r="H4" s="17">
        <f t="shared" si="1"/>
        <v>1049433.1651422072</v>
      </c>
      <c r="I4" s="17">
        <f t="shared" si="2"/>
        <v>8135347.8348577926</v>
      </c>
    </row>
    <row r="5" spans="1:9" ht="15.75" customHeight="1" x14ac:dyDescent="0.25">
      <c r="A5" s="5">
        <f t="shared" si="3"/>
        <v>2027</v>
      </c>
      <c r="B5" s="49">
        <v>909465</v>
      </c>
      <c r="C5" s="50">
        <v>1845659.5</v>
      </c>
      <c r="D5" s="50">
        <v>3089065.5</v>
      </c>
      <c r="E5" s="50">
        <v>2470279</v>
      </c>
      <c r="F5" s="50">
        <v>1974844.9999999998</v>
      </c>
      <c r="G5" s="17">
        <f t="shared" si="0"/>
        <v>9379849</v>
      </c>
      <c r="H5" s="17">
        <f t="shared" si="1"/>
        <v>1056086.9431150253</v>
      </c>
      <c r="I5" s="17">
        <f t="shared" si="2"/>
        <v>8323762.0568849742</v>
      </c>
    </row>
    <row r="6" spans="1:9" ht="15.75" customHeight="1" x14ac:dyDescent="0.25">
      <c r="A6" s="5">
        <f t="shared" si="3"/>
        <v>2028</v>
      </c>
      <c r="B6" s="49">
        <v>916517</v>
      </c>
      <c r="C6" s="50">
        <v>1890000</v>
      </c>
      <c r="D6" s="50">
        <v>3156361.5</v>
      </c>
      <c r="E6" s="50">
        <v>2502042.9999999995</v>
      </c>
      <c r="F6" s="50">
        <v>2023773.5000000002</v>
      </c>
      <c r="G6" s="17">
        <f t="shared" si="0"/>
        <v>9572178</v>
      </c>
      <c r="H6" s="17">
        <f t="shared" si="1"/>
        <v>1064275.8510145566</v>
      </c>
      <c r="I6" s="17">
        <f t="shared" si="2"/>
        <v>8507902.1489854436</v>
      </c>
    </row>
    <row r="7" spans="1:9" ht="15.75" customHeight="1" x14ac:dyDescent="0.25">
      <c r="A7" s="5">
        <f t="shared" si="3"/>
        <v>2029</v>
      </c>
      <c r="B7" s="49">
        <v>922888</v>
      </c>
      <c r="C7" s="50">
        <v>1932345.5</v>
      </c>
      <c r="D7" s="50">
        <v>3221837</v>
      </c>
      <c r="E7" s="50">
        <v>2538261</v>
      </c>
      <c r="F7" s="50">
        <v>2067275.5000000002</v>
      </c>
      <c r="G7" s="17">
        <f t="shared" si="0"/>
        <v>9759719</v>
      </c>
      <c r="H7" s="17">
        <f t="shared" si="1"/>
        <v>1071673.969594805</v>
      </c>
      <c r="I7" s="17">
        <f t="shared" si="2"/>
        <v>8688045.0304051954</v>
      </c>
    </row>
    <row r="8" spans="1:9" ht="15.75" customHeight="1" x14ac:dyDescent="0.25">
      <c r="A8" s="5">
        <f t="shared" si="3"/>
        <v>2030</v>
      </c>
      <c r="B8" s="49">
        <v>929536</v>
      </c>
      <c r="C8" s="50">
        <v>1968802.5</v>
      </c>
      <c r="D8" s="50">
        <v>3286566</v>
      </c>
      <c r="E8" s="50">
        <v>2580459.5</v>
      </c>
      <c r="F8" s="50">
        <v>2113749</v>
      </c>
      <c r="G8" s="17">
        <f t="shared" si="0"/>
        <v>9949577</v>
      </c>
      <c r="H8" s="17">
        <f t="shared" si="1"/>
        <v>1079393.7455046298</v>
      </c>
      <c r="I8" s="17">
        <f t="shared" si="2"/>
        <v>8870183.2544953711</v>
      </c>
    </row>
    <row r="9" spans="1:9" ht="15.75" customHeight="1" x14ac:dyDescent="0.25">
      <c r="A9" s="5">
        <f t="shared" si="3"/>
        <v>2031</v>
      </c>
      <c r="B9" s="49">
        <v>936419</v>
      </c>
      <c r="C9" s="50">
        <v>1995692</v>
      </c>
      <c r="D9" s="50">
        <v>3353028.5</v>
      </c>
      <c r="E9" s="50">
        <v>2627577</v>
      </c>
      <c r="F9" s="50">
        <v>2164978</v>
      </c>
      <c r="G9" s="17">
        <f t="shared" si="0"/>
        <v>10141275.5</v>
      </c>
      <c r="H9" s="17">
        <f t="shared" si="1"/>
        <v>1087386.4075965858</v>
      </c>
      <c r="I9" s="17">
        <f t="shared" si="2"/>
        <v>9053889.0924034137</v>
      </c>
    </row>
    <row r="10" spans="1:9" ht="15.75" customHeight="1" x14ac:dyDescent="0.25">
      <c r="A10" s="5">
        <f t="shared" si="3"/>
        <v>2032</v>
      </c>
      <c r="B10" s="49">
        <v>943366</v>
      </c>
      <c r="C10" s="50">
        <v>2007944</v>
      </c>
      <c r="D10" s="50">
        <v>3422755.5</v>
      </c>
      <c r="E10" s="50">
        <v>2677600.9999999995</v>
      </c>
      <c r="F10" s="50">
        <v>2210696</v>
      </c>
      <c r="G10" s="17">
        <f t="shared" si="0"/>
        <v>10318996.5</v>
      </c>
      <c r="H10" s="17">
        <f t="shared" si="1"/>
        <v>1095453.387627505</v>
      </c>
      <c r="I10" s="17">
        <f t="shared" si="2"/>
        <v>9223543.1123724952</v>
      </c>
    </row>
    <row r="11" spans="1:9" ht="15.75" customHeight="1" x14ac:dyDescent="0.25">
      <c r="A11" s="5">
        <f t="shared" si="3"/>
        <v>2033</v>
      </c>
      <c r="B11" s="49">
        <v>951814</v>
      </c>
      <c r="C11" s="50">
        <v>2009275</v>
      </c>
      <c r="D11" s="50">
        <v>3495202.5000000005</v>
      </c>
      <c r="E11" s="50">
        <v>2730413.4999999995</v>
      </c>
      <c r="F11" s="50">
        <v>2248318</v>
      </c>
      <c r="G11" s="17">
        <f t="shared" si="0"/>
        <v>10483209</v>
      </c>
      <c r="H11" s="17">
        <f t="shared" si="1"/>
        <v>1105263.3555706758</v>
      </c>
      <c r="I11" s="17">
        <f t="shared" si="2"/>
        <v>9377945.6444293242</v>
      </c>
    </row>
    <row r="12" spans="1:9" ht="15.75" customHeight="1" x14ac:dyDescent="0.25">
      <c r="A12" s="5">
        <f t="shared" si="3"/>
        <v>2034</v>
      </c>
      <c r="B12" s="49">
        <v>958778</v>
      </c>
      <c r="C12" s="50">
        <v>2007567.5</v>
      </c>
      <c r="D12" s="50">
        <v>3567270.5</v>
      </c>
      <c r="E12" s="50">
        <v>2786386.5</v>
      </c>
      <c r="F12" s="50">
        <v>2282559.5000000005</v>
      </c>
      <c r="G12" s="17">
        <f t="shared" si="0"/>
        <v>10643784</v>
      </c>
      <c r="H12" s="17">
        <f t="shared" si="1"/>
        <v>1113350.0763041324</v>
      </c>
      <c r="I12" s="17">
        <f t="shared" si="2"/>
        <v>9530433.9236958679</v>
      </c>
    </row>
    <row r="13" spans="1:9" ht="15.75" customHeight="1" x14ac:dyDescent="0.25">
      <c r="A13" s="5">
        <f t="shared" si="3"/>
        <v>2035</v>
      </c>
      <c r="B13" s="49">
        <v>965550</v>
      </c>
      <c r="C13" s="50">
        <v>2004160</v>
      </c>
      <c r="D13" s="50">
        <v>3634490.5</v>
      </c>
      <c r="E13" s="50">
        <v>2848284.4999999995</v>
      </c>
      <c r="F13" s="50">
        <v>2315172</v>
      </c>
      <c r="G13" s="17">
        <f t="shared" si="0"/>
        <v>10802107</v>
      </c>
      <c r="H13" s="17">
        <f t="shared" si="1"/>
        <v>1121213.8432206986</v>
      </c>
      <c r="I13" s="17">
        <f t="shared" si="2"/>
        <v>9680893.1567793004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oRql036++t/oI6OqrHKpFGH0+omxNla+dqIg+r3o8QX1fxq98d4av3QI1K1FL6vD3z6sbUItG1WXqSEWi5ctA==" saltValue="JLU/cJS7ORbFmkM+vdx2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9.4482999999999841E-3</v>
      </c>
    </row>
    <row r="4" spans="1:8" ht="15.75" customHeight="1" x14ac:dyDescent="0.25">
      <c r="B4" s="19" t="s">
        <v>97</v>
      </c>
      <c r="C4" s="101">
        <v>6.0587099999999838E-2</v>
      </c>
    </row>
    <row r="5" spans="1:8" ht="15.75" customHeight="1" x14ac:dyDescent="0.25">
      <c r="B5" s="19" t="s">
        <v>98</v>
      </c>
      <c r="C5" s="101">
        <v>8.0444099999999921E-2</v>
      </c>
    </row>
    <row r="6" spans="1:8" ht="15.75" customHeight="1" x14ac:dyDescent="0.25">
      <c r="B6" s="19" t="s">
        <v>99</v>
      </c>
      <c r="C6" s="101">
        <v>0.24506110000000039</v>
      </c>
    </row>
    <row r="7" spans="1:8" ht="15.75" customHeight="1" x14ac:dyDescent="0.25">
      <c r="B7" s="19" t="s">
        <v>100</v>
      </c>
      <c r="C7" s="101">
        <v>0.41408430000000013</v>
      </c>
    </row>
    <row r="8" spans="1:8" ht="15.75" customHeight="1" x14ac:dyDescent="0.25">
      <c r="B8" s="19" t="s">
        <v>101</v>
      </c>
      <c r="C8" s="101">
        <v>1.210499999999998E-3</v>
      </c>
    </row>
    <row r="9" spans="1:8" ht="15.75" customHeight="1" x14ac:dyDescent="0.25">
      <c r="B9" s="19" t="s">
        <v>102</v>
      </c>
      <c r="C9" s="101">
        <v>7.320219999999994E-2</v>
      </c>
    </row>
    <row r="10" spans="1:8" ht="15.75" customHeight="1" x14ac:dyDescent="0.25">
      <c r="B10" s="19" t="s">
        <v>103</v>
      </c>
      <c r="C10" s="101">
        <v>0.1159623999999998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0.12181956141335119</v>
      </c>
      <c r="D14" s="55">
        <v>0.12181956141335119</v>
      </c>
      <c r="E14" s="55">
        <v>0.12181956141335119</v>
      </c>
      <c r="F14" s="55">
        <v>0.12181956141335119</v>
      </c>
    </row>
    <row r="15" spans="1:8" ht="15.75" customHeight="1" x14ac:dyDescent="0.25">
      <c r="B15" s="19" t="s">
        <v>106</v>
      </c>
      <c r="C15" s="101">
        <v>0.1525436960829033</v>
      </c>
      <c r="D15" s="101">
        <v>0.1525436960829033</v>
      </c>
      <c r="E15" s="101">
        <v>0.1525436960829033</v>
      </c>
      <c r="F15" s="101">
        <v>0.1525436960829033</v>
      </c>
    </row>
    <row r="16" spans="1:8" ht="15.75" customHeight="1" x14ac:dyDescent="0.25">
      <c r="B16" s="19" t="s">
        <v>107</v>
      </c>
      <c r="C16" s="101">
        <v>1.9379345713266979E-2</v>
      </c>
      <c r="D16" s="101">
        <v>1.9379345713266979E-2</v>
      </c>
      <c r="E16" s="101">
        <v>1.9379345713266979E-2</v>
      </c>
      <c r="F16" s="101">
        <v>1.9379345713266979E-2</v>
      </c>
    </row>
    <row r="17" spans="1:8" ht="15.75" customHeight="1" x14ac:dyDescent="0.25">
      <c r="B17" s="19" t="s">
        <v>108</v>
      </c>
      <c r="C17" s="101">
        <v>7.0679873364541653E-3</v>
      </c>
      <c r="D17" s="101">
        <v>7.0679873364541653E-3</v>
      </c>
      <c r="E17" s="101">
        <v>7.0679873364541653E-3</v>
      </c>
      <c r="F17" s="101">
        <v>7.0679873364541653E-3</v>
      </c>
    </row>
    <row r="18" spans="1:8" ht="15.75" customHeight="1" x14ac:dyDescent="0.25">
      <c r="B18" s="19" t="s">
        <v>109</v>
      </c>
      <c r="C18" s="101">
        <v>0.22238897098278571</v>
      </c>
      <c r="D18" s="101">
        <v>0.22238897098278571</v>
      </c>
      <c r="E18" s="101">
        <v>0.22238897098278571</v>
      </c>
      <c r="F18" s="101">
        <v>0.22238897098278571</v>
      </c>
    </row>
    <row r="19" spans="1:8" ht="15.75" customHeight="1" x14ac:dyDescent="0.25">
      <c r="B19" s="19" t="s">
        <v>110</v>
      </c>
      <c r="C19" s="101">
        <v>3.3325376474692817E-2</v>
      </c>
      <c r="D19" s="101">
        <v>3.3325376474692817E-2</v>
      </c>
      <c r="E19" s="101">
        <v>3.3325376474692817E-2</v>
      </c>
      <c r="F19" s="101">
        <v>3.3325376474692817E-2</v>
      </c>
    </row>
    <row r="20" spans="1:8" ht="15.75" customHeight="1" x14ac:dyDescent="0.25">
      <c r="B20" s="19" t="s">
        <v>111</v>
      </c>
      <c r="C20" s="101">
        <v>0.1144476671113132</v>
      </c>
      <c r="D20" s="101">
        <v>0.1144476671113132</v>
      </c>
      <c r="E20" s="101">
        <v>0.1144476671113132</v>
      </c>
      <c r="F20" s="101">
        <v>0.1144476671113132</v>
      </c>
    </row>
    <row r="21" spans="1:8" ht="15.75" customHeight="1" x14ac:dyDescent="0.25">
      <c r="B21" s="19" t="s">
        <v>112</v>
      </c>
      <c r="C21" s="101">
        <v>0.13423673221728019</v>
      </c>
      <c r="D21" s="101">
        <v>0.13423673221728019</v>
      </c>
      <c r="E21" s="101">
        <v>0.13423673221728019</v>
      </c>
      <c r="F21" s="101">
        <v>0.13423673221728019</v>
      </c>
    </row>
    <row r="22" spans="1:8" ht="15.75" customHeight="1" x14ac:dyDescent="0.25">
      <c r="B22" s="19" t="s">
        <v>113</v>
      </c>
      <c r="C22" s="101">
        <v>0.1947906626679525</v>
      </c>
      <c r="D22" s="101">
        <v>0.1947906626679525</v>
      </c>
      <c r="E22" s="101">
        <v>0.1947906626679525</v>
      </c>
      <c r="F22" s="101">
        <v>0.1947906626679525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6.6578172000000005E-2</v>
      </c>
    </row>
    <row r="27" spans="1:8" ht="15.75" customHeight="1" x14ac:dyDescent="0.25">
      <c r="B27" s="19" t="s">
        <v>120</v>
      </c>
      <c r="C27" s="101">
        <v>4.9825570000000003E-3</v>
      </c>
    </row>
    <row r="28" spans="1:8" ht="15.75" customHeight="1" x14ac:dyDescent="0.25">
      <c r="B28" s="19" t="s">
        <v>121</v>
      </c>
      <c r="C28" s="101">
        <v>0.12458364500000001</v>
      </c>
    </row>
    <row r="29" spans="1:8" ht="15.75" customHeight="1" x14ac:dyDescent="0.25">
      <c r="B29" s="19" t="s">
        <v>122</v>
      </c>
      <c r="C29" s="101">
        <v>0.123203627</v>
      </c>
    </row>
    <row r="30" spans="1:8" ht="15.75" customHeight="1" x14ac:dyDescent="0.25">
      <c r="B30" s="19" t="s">
        <v>2</v>
      </c>
      <c r="C30" s="101">
        <v>8.5390918999999996E-2</v>
      </c>
    </row>
    <row r="31" spans="1:8" ht="15.75" customHeight="1" x14ac:dyDescent="0.25">
      <c r="B31" s="19" t="s">
        <v>123</v>
      </c>
      <c r="C31" s="101">
        <v>0.13704649199999999</v>
      </c>
    </row>
    <row r="32" spans="1:8" ht="15.75" customHeight="1" x14ac:dyDescent="0.25">
      <c r="B32" s="19" t="s">
        <v>124</v>
      </c>
      <c r="C32" s="101">
        <v>1.3877614E-2</v>
      </c>
    </row>
    <row r="33" spans="2:3" ht="15.75" customHeight="1" x14ac:dyDescent="0.25">
      <c r="B33" s="19" t="s">
        <v>125</v>
      </c>
      <c r="C33" s="101">
        <v>0.162878947</v>
      </c>
    </row>
    <row r="34" spans="2:3" ht="15.75" customHeight="1" x14ac:dyDescent="0.25">
      <c r="B34" s="19" t="s">
        <v>126</v>
      </c>
      <c r="C34" s="101">
        <v>0.281458027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cOzk4yUD0759/D6Fod5a+nQGe8A9b5eJ+AyPeFtEBxlVl/Jx/HPYQdtN6RsXECkXhlhuwbuiIuDtao4Qn3yTqA==" saltValue="E7bIlBpwAcEabSsF2Sfs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0.66907221117541471</v>
      </c>
      <c r="D2" s="52">
        <f>IFERROR(1-_xlfn.NORM.DIST(_xlfn.NORM.INV(SUM(D4:D5), 0, 1) + 1, 0, 1, TRUE), "")</f>
        <v>0.66907221117541471</v>
      </c>
      <c r="E2" s="52">
        <f>IFERROR(1-_xlfn.NORM.DIST(_xlfn.NORM.INV(SUM(E4:E5), 0, 1) + 1, 0, 1, TRUE), "")</f>
        <v>0.61858610074099551</v>
      </c>
      <c r="F2" s="52">
        <f>IFERROR(1-_xlfn.NORM.DIST(_xlfn.NORM.INV(SUM(F4:F5), 0, 1) + 1, 0, 1, TRUE), "")</f>
        <v>0.45590429923977593</v>
      </c>
      <c r="G2" s="52">
        <f>IFERROR(1-_xlfn.NORM.DIST(_xlfn.NORM.INV(SUM(G4:G5), 0, 1) + 1, 0, 1, TRUE), "")</f>
        <v>0.43778270998959623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0.25561888882458528</v>
      </c>
      <c r="D3" s="52">
        <f>IFERROR(_xlfn.NORM.DIST(_xlfn.NORM.INV(SUM(D4:D5), 0, 1) + 1, 0, 1, TRUE) - SUM(D4:D5), "")</f>
        <v>0.25561888882458528</v>
      </c>
      <c r="E3" s="52">
        <f>IFERROR(_xlfn.NORM.DIST(_xlfn.NORM.INV(SUM(E4:E5), 0, 1) + 1, 0, 1, TRUE) - SUM(E4:E5), "")</f>
        <v>0.28491629925900447</v>
      </c>
      <c r="F3" s="52">
        <f>IFERROR(_xlfn.NORM.DIST(_xlfn.NORM.INV(SUM(F4:F5), 0, 1) + 1, 0, 1, TRUE) - SUM(F4:F5), "")</f>
        <v>0.35715930076022406</v>
      </c>
      <c r="G3" s="52">
        <f>IFERROR(_xlfn.NORM.DIST(_xlfn.NORM.INV(SUM(G4:G5), 0, 1) + 1, 0, 1, TRUE) - SUM(G4:G5), "")</f>
        <v>0.36271679001040374</v>
      </c>
    </row>
    <row r="4" spans="1:15" ht="15.75" customHeight="1" x14ac:dyDescent="0.25">
      <c r="B4" s="5" t="s">
        <v>132</v>
      </c>
      <c r="C4" s="45">
        <v>4.8323999999999999E-2</v>
      </c>
      <c r="D4" s="53">
        <v>4.8323999999999999E-2</v>
      </c>
      <c r="E4" s="53">
        <v>7.00075E-2</v>
      </c>
      <c r="F4" s="53">
        <v>0.13699249999999999</v>
      </c>
      <c r="G4" s="53">
        <v>0.14552480000000001</v>
      </c>
    </row>
    <row r="5" spans="1:15" ht="15.75" customHeight="1" x14ac:dyDescent="0.25">
      <c r="B5" s="5" t="s">
        <v>133</v>
      </c>
      <c r="C5" s="45">
        <v>2.6984899999999999E-2</v>
      </c>
      <c r="D5" s="53">
        <v>2.6984899999999999E-2</v>
      </c>
      <c r="E5" s="53">
        <v>2.6490099999999999E-2</v>
      </c>
      <c r="F5" s="53">
        <v>4.9943899999999999E-2</v>
      </c>
      <c r="G5" s="53">
        <v>5.3975700000000001E-2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0.54336582884235329</v>
      </c>
      <c r="D8" s="52">
        <f>IFERROR(1-_xlfn.NORM.DIST(_xlfn.NORM.INV(SUM(D10:D11), 0, 1) + 1, 0, 1, TRUE), "")</f>
        <v>0.54336582884235329</v>
      </c>
      <c r="E8" s="52">
        <f>IFERROR(1-_xlfn.NORM.DIST(_xlfn.NORM.INV(SUM(E10:E11), 0, 1) + 1, 0, 1, TRUE), "")</f>
        <v>0.51614816595486235</v>
      </c>
      <c r="F8" s="52">
        <f>IFERROR(1-_xlfn.NORM.DIST(_xlfn.NORM.INV(SUM(F10:F11), 0, 1) + 1, 0, 1, TRUE), "")</f>
        <v>0.60643135268855997</v>
      </c>
      <c r="G8" s="52">
        <f>IFERROR(1-_xlfn.NORM.DIST(_xlfn.NORM.INV(SUM(G10:G11), 0, 1) + 1, 0, 1, TRUE), "")</f>
        <v>0.79123157495557583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0.32290117115764672</v>
      </c>
      <c r="D9" s="52">
        <f>IFERROR(_xlfn.NORM.DIST(_xlfn.NORM.INV(SUM(D10:D11), 0, 1) + 1, 0, 1, TRUE) - SUM(D10:D11), "")</f>
        <v>0.32290117115764672</v>
      </c>
      <c r="E9" s="52">
        <f>IFERROR(_xlfn.NORM.DIST(_xlfn.NORM.INV(SUM(E10:E11), 0, 1) + 1, 0, 1, TRUE) - SUM(E10:E11), "")</f>
        <v>0.33479533404513762</v>
      </c>
      <c r="F9" s="52">
        <f>IFERROR(_xlfn.NORM.DIST(_xlfn.NORM.INV(SUM(F10:F11), 0, 1) + 1, 0, 1, TRUE) - SUM(F10:F11), "")</f>
        <v>0.29153164731144005</v>
      </c>
      <c r="G9" s="52">
        <f>IFERROR(_xlfn.NORM.DIST(_xlfn.NORM.INV(SUM(G10:G11), 0, 1) + 1, 0, 1, TRUE) - SUM(G10:G11), "")</f>
        <v>0.17367492504442417</v>
      </c>
    </row>
    <row r="10" spans="1:15" ht="15.75" customHeight="1" x14ac:dyDescent="0.25">
      <c r="B10" s="5" t="s">
        <v>137</v>
      </c>
      <c r="C10" s="45">
        <v>8.9863300000000007E-2</v>
      </c>
      <c r="D10" s="53">
        <v>8.9863300000000007E-2</v>
      </c>
      <c r="E10" s="53">
        <v>0.12234349999999999</v>
      </c>
      <c r="F10" s="53">
        <v>8.4030900000000006E-2</v>
      </c>
      <c r="G10" s="53">
        <v>3.2996200000000003E-2</v>
      </c>
    </row>
    <row r="11" spans="1:15" ht="15.75" customHeight="1" x14ac:dyDescent="0.25">
      <c r="B11" s="5" t="s">
        <v>138</v>
      </c>
      <c r="C11" s="45">
        <v>4.3869699999999998E-2</v>
      </c>
      <c r="D11" s="53">
        <v>4.3869699999999998E-2</v>
      </c>
      <c r="E11" s="53">
        <v>2.6713000000000001E-2</v>
      </c>
      <c r="F11" s="53">
        <v>1.8006100000000001E-2</v>
      </c>
      <c r="G11" s="53">
        <v>2.0972999999999999E-3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0.76397983049999996</v>
      </c>
      <c r="D14" s="54">
        <v>0.75075595181599997</v>
      </c>
      <c r="E14" s="54">
        <v>0.75075595181599997</v>
      </c>
      <c r="F14" s="54">
        <v>0.65965136567799998</v>
      </c>
      <c r="G14" s="54">
        <v>0.65965136567799998</v>
      </c>
      <c r="H14" s="45">
        <v>0.54299999999999993</v>
      </c>
      <c r="I14" s="55">
        <v>0.54299999999999993</v>
      </c>
      <c r="J14" s="55">
        <v>0.54299999999999993</v>
      </c>
      <c r="K14" s="55">
        <v>0.54299999999999993</v>
      </c>
      <c r="L14" s="45">
        <v>0.45700000000000002</v>
      </c>
      <c r="M14" s="55">
        <v>0.45700000000000002</v>
      </c>
      <c r="N14" s="55">
        <v>0.45700000000000002</v>
      </c>
      <c r="O14" s="55">
        <v>0.45700000000000002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0.29862138022651807</v>
      </c>
      <c r="D15" s="52">
        <f t="shared" si="0"/>
        <v>0.2934524834220309</v>
      </c>
      <c r="E15" s="52">
        <f t="shared" si="0"/>
        <v>0.2934524834220309</v>
      </c>
      <c r="F15" s="52">
        <f t="shared" si="0"/>
        <v>0.25784188721075402</v>
      </c>
      <c r="G15" s="52">
        <f t="shared" si="0"/>
        <v>0.25784188721075402</v>
      </c>
      <c r="H15" s="52">
        <f t="shared" si="0"/>
        <v>0.21224566800000003</v>
      </c>
      <c r="I15" s="52">
        <f t="shared" si="0"/>
        <v>0.21224566800000003</v>
      </c>
      <c r="J15" s="52">
        <f t="shared" si="0"/>
        <v>0.21224566800000003</v>
      </c>
      <c r="K15" s="52">
        <f t="shared" si="0"/>
        <v>0.21224566800000003</v>
      </c>
      <c r="L15" s="52">
        <f t="shared" si="0"/>
        <v>0.17863033200000006</v>
      </c>
      <c r="M15" s="52">
        <f t="shared" si="0"/>
        <v>0.17863033200000006</v>
      </c>
      <c r="N15" s="52">
        <f t="shared" si="0"/>
        <v>0.17863033200000006</v>
      </c>
      <c r="O15" s="52">
        <f t="shared" si="0"/>
        <v>0.17863033200000006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P8CZHmcf8ffBKvuhS2IvIeVu06249jsbbjtsVtZCWQiWxJdoII6vvBKHV0pwJn18rmvlS6QZiq24wQ9EAkqTA==" saltValue="KW9dJ0zxiCufP6+YNAEJ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0.63748349999999998</v>
      </c>
      <c r="D2" s="53">
        <v>0.38182569999999999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0.210618</v>
      </c>
      <c r="D3" s="53">
        <v>0.211954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0.1174632</v>
      </c>
      <c r="D4" s="53">
        <v>0.38791469999999989</v>
      </c>
      <c r="E4" s="53">
        <v>0.98155690000000007</v>
      </c>
      <c r="F4" s="53">
        <v>0.66134090000000001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3.4435300000000058E-2</v>
      </c>
      <c r="D5" s="52">
        <f t="shared" si="0"/>
        <v>1.8305600000000144E-2</v>
      </c>
      <c r="E5" s="52">
        <f>1-SUM(E2:E4)</f>
        <v>1.8443099999999935E-2</v>
      </c>
      <c r="F5" s="52">
        <f>1-SUM(F2:F4)</f>
        <v>0.33865909999999999</v>
      </c>
      <c r="G5" s="52">
        <f>1-SUM(G2:G4)</f>
        <v>1</v>
      </c>
    </row>
  </sheetData>
  <sheetProtection algorithmName="SHA-512" hashValue="eUQuOK9zVxm7E0IelNxPw2Y5Sy23yETekWfnsBS4UHebrtZIeY26HAJ1sSKwlMyLGldmxI8d2j94khmemTMbcw==" saltValue="K/AOJw7LskIIMN/0TgzcH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lLZeBauPrMNbRNn6GLPz7e/lIPjMrGxdDABbNkN/uBM2zS5lDgz8yGd+w5vPPDULjWt2rLvN7J7GS44NKudxA==" saltValue="bL5h2hX51Z7LYrl4FVihJ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2203.5589351830299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0.43444000000000005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0.67138000000000009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1.8898219911506978E-2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95359.817079999993</v>
      </c>
      <c r="C22" s="109">
        <v>94789.126390000005</v>
      </c>
      <c r="D22" s="109">
        <v>94341.435490000003</v>
      </c>
      <c r="E22" s="109">
        <v>93747.501260000005</v>
      </c>
      <c r="F22" s="109">
        <v>92936.389540000004</v>
      </c>
      <c r="G22" s="109">
        <v>91950.157709999999</v>
      </c>
      <c r="H22" s="109">
        <v>90634.840890000007</v>
      </c>
      <c r="I22" s="109">
        <v>88818.978730000003</v>
      </c>
      <c r="J22" s="109">
        <v>86286.058080000003</v>
      </c>
      <c r="K22" s="109">
        <v>82950.622090000004</v>
      </c>
      <c r="L22" s="109">
        <v>78448.747640000001</v>
      </c>
      <c r="M22" s="109">
        <v>72602.058780000007</v>
      </c>
      <c r="N22" s="109">
        <v>64679.092329999999</v>
      </c>
      <c r="O22" s="109">
        <v>54745.002439999997</v>
      </c>
    </row>
  </sheetData>
  <sheetProtection algorithmName="SHA-512" hashValue="4tZumGJzWZ98dKRzikdPmzZB6gmXYlFS0wwhytygdD9TfnEK9Ps/T1eEvzYTfGAjHpeB3Hcqc0OPRR85NPfpvw==" saltValue="VnMkYtXQx7zyndRZMlVq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JA3bbQO4LJNsL3poiN+C3MlH3x2Nuu1NE8f1AFMKY8jBHx3oy5PaMXjBs1QF6bj/1uAC89KeWWY8bsTPi3Wpbg==" saltValue="AmH/88zVv7D3xxIkWOzj4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7ojknrU1sk9Sxa3tTHW/s8j4u5xkX91ptLmDXKIpUrxrjolqnImEF6HliHa8LQB4bxNt8RpymrGvj/u5/q1jA==" saltValue="dHP9bhmyhn6Kz/Mp882yO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7.7133394664213428E-2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0.5936245</v>
      </c>
      <c r="C10" s="98">
        <v>0.95</v>
      </c>
      <c r="D10" s="56">
        <v>13.61384665422082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13.61384665422082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13.61384665422082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13.61384665422082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0.5936245</v>
      </c>
      <c r="C14" s="98">
        <v>0.95</v>
      </c>
      <c r="D14" s="56">
        <v>13.61384665422082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13.61384665422082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0.79167399999999999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0.28066999999999998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0.5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0.38182569999999999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0.7480929999999999</v>
      </c>
      <c r="C23" s="98">
        <v>0.95</v>
      </c>
      <c r="D23" s="56">
        <v>4.5073761426825563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0.58759262855713601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0.5936245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0.47842659999999998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0.25902579999999997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0.41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0.41689387992765697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0.23128789999999999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3.4973999999999999E-3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0.5667259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0.24299999999999999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vsn9wN23ciTIdccMm+jWZCfFZCYYI0MwggTd/74gzQ5HigGQI+t9GWAxGk+IMG2dMVT2vFxuGWfWzvlZkYi4Yw==" saltValue="ITk/aR10wwv8qjiJTqXz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25XraVRq/c4LjrpVICnrLXgt4O16pAudS8Y2SlBEltK3+fpPB/gvl2Ut1cqyQi49aHi/nusjCdaaVK4xrxlAA==" saltValue="Ux/GjlxIT1UR1s412Hi7i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j+KVQUImiIkK8z3wX9dyJ9M0mk/LqTkE3H2gDwcCu5KYDGfv5njHevzO1rSJU8Hn1LFj2zZyFlQRTKdWJezXA==" saltValue="SXGw7BSTpeYfRcaRdv0qa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2.4180000000000001</v>
      </c>
      <c r="C2" s="21">
        <f>'Données pop de l''année de ref'!C52</f>
        <v>2.4180000000000001</v>
      </c>
      <c r="D2" s="21">
        <f>'Données pop de l''année de ref'!C53</f>
        <v>4.3680000000000003</v>
      </c>
      <c r="E2" s="21">
        <f>'Données pop de l''année de ref'!C54</f>
        <v>4.992</v>
      </c>
      <c r="F2" s="21">
        <f>'Données pop de l''année de ref'!C55</f>
        <v>2.6173333333333328</v>
      </c>
    </row>
    <row r="3" spans="1:6" ht="15.75" customHeight="1" x14ac:dyDescent="0.25">
      <c r="A3" s="3" t="s">
        <v>238</v>
      </c>
      <c r="B3" s="21">
        <f>frac_mam_1month * 2.6</f>
        <v>0.23364458000000002</v>
      </c>
      <c r="C3" s="21">
        <f>frac_mam_1_5months * 2.6</f>
        <v>0.23364458000000002</v>
      </c>
      <c r="D3" s="21">
        <f>frac_mam_6_11months * 2.6</f>
        <v>0.31809310000000002</v>
      </c>
      <c r="E3" s="21">
        <f>frac_mam_12_23months * 2.6</f>
        <v>0.21848034000000002</v>
      </c>
      <c r="F3" s="21">
        <f>frac_mam_24_59months * 2.6</f>
        <v>8.5790120000000011E-2</v>
      </c>
    </row>
    <row r="4" spans="1:6" ht="15.75" customHeight="1" x14ac:dyDescent="0.25">
      <c r="A4" s="3" t="s">
        <v>237</v>
      </c>
      <c r="B4" s="21">
        <f>frac_sam_1month * 2.6</f>
        <v>0.11406121999999999</v>
      </c>
      <c r="C4" s="21">
        <f>frac_sam_1_5months * 2.6</f>
        <v>0.11406121999999999</v>
      </c>
      <c r="D4" s="21">
        <f>frac_sam_6_11months * 2.6</f>
        <v>6.945380000000001E-2</v>
      </c>
      <c r="E4" s="21">
        <f>frac_sam_12_23months * 2.6</f>
        <v>4.6815860000000001E-2</v>
      </c>
      <c r="F4" s="21">
        <f>frac_sam_24_59months * 2.6</f>
        <v>5.4529799999999996E-3</v>
      </c>
    </row>
  </sheetData>
  <sheetProtection algorithmName="SHA-512" hashValue="E2EIOcfyxI32N/bOT7G4ZIKtrced67s3D7VKzugVZ8Tl1yWkdJnAllyei3Viex7qU5t6JvOqClUgkZUIHmE3Kw==" saltValue="oEZCx12ypkJAfLBfkfnXu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0.38300000000000001</v>
      </c>
      <c r="F2" s="60">
        <f>food_insecure</f>
        <v>0.38300000000000001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0.38300000000000001</v>
      </c>
      <c r="F5" s="60">
        <f>food_insecure</f>
        <v>0.38300000000000001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5.2756363636363643E-2</v>
      </c>
      <c r="D7" s="60">
        <f>diarrhoea_1_5mo*frac_diarrhea_severe</f>
        <v>5.2756363636363643E-2</v>
      </c>
      <c r="E7" s="60">
        <f>diarrhoea_6_11mo*frac_diarrhea_severe</f>
        <v>9.5301818181818196E-2</v>
      </c>
      <c r="F7" s="60">
        <f>diarrhoea_12_23mo*frac_diarrhea_severe</f>
        <v>0.10891636363636364</v>
      </c>
      <c r="G7" s="60">
        <f>diarrhoea_24_59mo*frac_diarrhea_severe</f>
        <v>5.7105454545454543E-2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0.38300000000000001</v>
      </c>
      <c r="F8" s="60">
        <f>food_insecure</f>
        <v>0.38300000000000001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0.38300000000000001</v>
      </c>
      <c r="F9" s="60">
        <f>food_insecure</f>
        <v>0.38300000000000001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5.2756363636363643E-2</v>
      </c>
      <c r="D12" s="60">
        <f>diarrhoea_1_5mo*frac_diarrhea_severe</f>
        <v>5.2756363636363643E-2</v>
      </c>
      <c r="E12" s="60">
        <f>diarrhoea_6_11mo*frac_diarrhea_severe</f>
        <v>9.5301818181818196E-2</v>
      </c>
      <c r="F12" s="60">
        <f>diarrhoea_12_23mo*frac_diarrhea_severe</f>
        <v>0.10891636363636364</v>
      </c>
      <c r="G12" s="60">
        <f>diarrhoea_24_59mo*frac_diarrhea_severe</f>
        <v>5.7105454545454543E-2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0.38300000000000001</v>
      </c>
      <c r="I15" s="60">
        <f t="shared" si="0"/>
        <v>0.38300000000000001</v>
      </c>
      <c r="J15" s="60">
        <f t="shared" si="0"/>
        <v>0.38300000000000001</v>
      </c>
      <c r="K15" s="60">
        <f t="shared" si="0"/>
        <v>0.38300000000000001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0.38300000000000001</v>
      </c>
      <c r="I16" s="60">
        <f t="shared" si="0"/>
        <v>0.38300000000000001</v>
      </c>
      <c r="J16" s="60">
        <f t="shared" si="0"/>
        <v>0.38300000000000001</v>
      </c>
      <c r="K16" s="60">
        <f t="shared" si="0"/>
        <v>0.38300000000000001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0.98</v>
      </c>
      <c r="I19" s="60">
        <f>frac_malaria_risk</f>
        <v>0.98</v>
      </c>
      <c r="J19" s="60">
        <f>frac_malaria_risk</f>
        <v>0.98</v>
      </c>
      <c r="K19" s="60">
        <f>frac_malaria_risk</f>
        <v>0.98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0.29899999999999999</v>
      </c>
      <c r="M24" s="60">
        <f>famplan_unmet_need</f>
        <v>0.29899999999999999</v>
      </c>
      <c r="N24" s="60">
        <f>famplan_unmet_need</f>
        <v>0.29899999999999999</v>
      </c>
      <c r="O24" s="60">
        <f>famplan_unmet_need</f>
        <v>0.29899999999999999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0.27726149450999998</v>
      </c>
      <c r="M25" s="60">
        <f>(1-food_insecure)*(0.49)+food_insecure*(0.7)</f>
        <v>0.57042999999999999</v>
      </c>
      <c r="N25" s="60">
        <f>(1-food_insecure)*(0.49)+food_insecure*(0.7)</f>
        <v>0.57042999999999999</v>
      </c>
      <c r="O25" s="60">
        <f>(1-food_insecure)*(0.49)+food_insecure*(0.7)</f>
        <v>0.57042999999999999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0.11882635478999998</v>
      </c>
      <c r="M26" s="60">
        <f>(1-food_insecure)*(0.21)+food_insecure*(0.3)</f>
        <v>0.24446999999999999</v>
      </c>
      <c r="N26" s="60">
        <f>(1-food_insecure)*(0.21)+food_insecure*(0.3)</f>
        <v>0.24446999999999999</v>
      </c>
      <c r="O26" s="60">
        <f>(1-food_insecure)*(0.21)+food_insecure*(0.3)</f>
        <v>0.24446999999999999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8.9969150699999986E-2</v>
      </c>
      <c r="M27" s="60">
        <f>(1-food_insecure)*(0.3)</f>
        <v>0.18509999999999999</v>
      </c>
      <c r="N27" s="60">
        <f>(1-food_insecure)*(0.3)</f>
        <v>0.18509999999999999</v>
      </c>
      <c r="O27" s="60">
        <f>(1-food_insecure)*(0.3)</f>
        <v>0.18509999999999999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0.51394300000000004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0.98</v>
      </c>
      <c r="D34" s="60">
        <f t="shared" si="4"/>
        <v>0.98</v>
      </c>
      <c r="E34" s="60">
        <f t="shared" si="4"/>
        <v>0.98</v>
      </c>
      <c r="F34" s="60">
        <f t="shared" si="4"/>
        <v>0.98</v>
      </c>
      <c r="G34" s="60">
        <f t="shared" si="4"/>
        <v>0.98</v>
      </c>
      <c r="H34" s="60">
        <f t="shared" si="4"/>
        <v>0.98</v>
      </c>
      <c r="I34" s="60">
        <f t="shared" si="4"/>
        <v>0.98</v>
      </c>
      <c r="J34" s="60">
        <f t="shared" si="4"/>
        <v>0.98</v>
      </c>
      <c r="K34" s="60">
        <f t="shared" si="4"/>
        <v>0.98</v>
      </c>
      <c r="L34" s="60">
        <f t="shared" si="4"/>
        <v>0.98</v>
      </c>
      <c r="M34" s="60">
        <f t="shared" si="4"/>
        <v>0.98</v>
      </c>
      <c r="N34" s="60">
        <f t="shared" si="4"/>
        <v>0.98</v>
      </c>
      <c r="O34" s="60">
        <f t="shared" si="4"/>
        <v>0.98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IKiKJTgqtttPAvvy83HqIkIn9cL+98AjU3YBQXS/+RFBPeQyohSgcNi+v3z5XhHLgK5E8pZy7AZgrAJmhFV1Q==" saltValue="BKHIwDxI+RnW9EyMOtkI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lAH+iyOHue4wgc0GU85SLDbmhzFu9FSfxU00RlDLQdAmi2H6RpK9NcGPtamNSwEMhLJlzFvBfI7U/zcIwo2sgQ==" saltValue="5cpan6LIR+had3VqvzzY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qfHfvrJ7tNsbg1ltEsiS9LiGTmM3SXnNx/nR8IRfcSXz4mj2aYHO+e0OP/kEbpxUSjU7UMMVBHjXgz+/ZHpOw==" saltValue="s7XlpAcu/L9sRzaq/igzq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ipiq8O1vWF/LWqBbVKmIb0csPS1+/BwOzIP+BgW7WF6hjQnAA+sOnMO+8ow3zuA5jGUWjJ/LTcyTeS1T4QBsQ==" saltValue="bjGWcU4GN1S0bqj83BfWG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AtcaNAbTVSdQHE0QgSRo8murLmxoJ4GnA2mqRbR9wIbCn84skd1oCNquvHLgWNUXZkqL+vEYAKBXVlm+gkri0w==" saltValue="4c4GGe7qS8HEedaJzL5ZN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gARt3dpxIRwLgnL65sHswhv4SKSQxup20Xzi++f5bHIvddE7G8Av/j8/KVLEUToTqahNTscKBGR7INRjlguDHg==" saltValue="rsvFlolhT4wNPgG4nMB24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C+HS8fDHTIIHCA3Yncch96sFk7xtWonBc+MhC9VV3H3kbvWJgRqJZy3bQvA+orBtoMjpQCZ0khqRGUNfQ8DMrA==" saltValue="74m4Z/rYvT6Shio3NUozS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PJYfEMIqBSqMWpLBjQIERefhkdeoYFSJ3jilHtp4BWo1U93A28y/7c0T9cv/ot2DG9IQcf8d9st2RwcJvbqgg==" saltValue="BGOt4/3WtgFzmT1VTDf8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Gp+8pHOK+CiT+xzYnkNr+PvdBntUvgvfv4TjF7OUXA3Tr5MKxDjfh6jG5immPonNvqYU0V21WgE5Z5K+Ee2cQ==" saltValue="LUiYcvPXjOZ4I/MaAZBW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JJw+7fYbbD5vaSdvkcdiDRrM4w9iuzixSvy12jIlX8vYchCMVxBsV/3oYOFiQWae+LRu2mes3TtiWcQRLvIWA==" saltValue="/yq399ieLloplWyT7noz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rEH+4H9M+Via1WClfNe3yoXC6YZyrrWeuoe28r17s6iYvPyjY9nmkqPQ0zhJP+5p4oziQ6BKtjyM6/rP1TBrQ==" saltValue="/hii3wxhrfJEoImyAeC+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eMlMXaTPmnsyLunHf4HAUFIvVww6LOun6fQKsxk50hSt4ZHuGz/l28CiCsbuthPOXl8lM1ix/9VJgR3S0hCZg==" saltValue="G4pzXX++ND4MsjCSLY13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2U7VIUEp1NgLB2vabtKB2q73l+cqM7ktocWHeOAv2kIUSReBxWWLzXHKjGsz5vSu+3zFsQtA/RLaqeypiq6Zg==" saltValue="FXF3Q0pgel86axply00W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vIZb94eUszluUySRBczKHrvtUIIFtmjrZ08Xrzz1NGRZ+znLbnG6JGiEfBU9y9Ic8tfZamjJDS/zkOxFwW6BtQ==" saltValue="ZmHwctYYB/bFIPmrSRhd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QY4Y9a1jolcR/6WrRcIUzIX2IqfmITjOLF2Gru6nHgzfUhTQMyqNF0JOr2W2w3RyweRo9soPiuTThmC0nTvJfA==" saltValue="ekzkuKrlwvLJ5mMVH/Nru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2025-07-04T03:49:17Z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