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A02C1CB-7C7F-432B-98F8-46EE0FC8EBF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26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9" i="2" l="1"/>
  <c r="I6" i="2"/>
  <c r="I12" i="2"/>
  <c r="A35" i="2"/>
  <c r="A22" i="2"/>
  <c r="I38" i="2"/>
  <c r="I3" i="2"/>
  <c r="I9" i="2"/>
  <c r="A23" i="2"/>
  <c r="A19" i="2"/>
  <c r="A24" i="2"/>
  <c r="A40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<sst xmlns="http://schemas.openxmlformats.org/spreadsheetml/2006/main" count="2169" uniqueCount="369">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</sst>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4249501</v>
      </c>
    </row>
    <row r="8" spans="1:3" ht="15" customHeight="1" x14ac:dyDescent="0.25">
      <c r="B8" s="5" t="s">
        <v>37</v>
      </c>
      <c r="C8" s="44">
        <v>0.38300000000000001</v>
      </c>
    </row>
    <row r="9" spans="1:3" ht="15" customHeight="1" x14ac:dyDescent="0.25">
      <c r="B9" s="5" t="s">
        <v>38</v>
      </c>
      <c r="C9" s="45">
        <v>0.98</v>
      </c>
    </row>
    <row r="10" spans="1:3" ht="15" customHeight="1" x14ac:dyDescent="0.25">
      <c r="B10" s="5" t="s">
        <v>39</v>
      </c>
      <c r="C10" s="45">
        <v>0.51394300000000004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8.5699999999999998E-2</v>
      </c>
    </row>
    <row r="24" spans="1:3" ht="15" customHeight="1" x14ac:dyDescent="0.25">
      <c r="B24" s="15" t="s">
        <v>51</v>
      </c>
      <c r="C24" s="45">
        <v>0.43590000000000001</v>
      </c>
    </row>
    <row r="25" spans="1:3" ht="15" customHeight="1" x14ac:dyDescent="0.25">
      <c r="B25" s="15" t="s">
        <v>52</v>
      </c>
      <c r="C25" s="45">
        <v>0.3957</v>
      </c>
    </row>
    <row r="26" spans="1:3" ht="15" customHeight="1" x14ac:dyDescent="0.25">
      <c r="B26" s="15" t="s">
        <v>53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0.27146440725940302</v>
      </c>
    </row>
    <row r="30" spans="1:3" ht="14.25" customHeight="1" x14ac:dyDescent="0.25">
      <c r="B30" s="25" t="s">
        <v>56</v>
      </c>
      <c r="C30" s="97">
        <v>3.0900048109988299E-2</v>
      </c>
    </row>
    <row r="31" spans="1:3" ht="14.25" customHeight="1" x14ac:dyDescent="0.25">
      <c r="B31" s="25" t="s">
        <v>57</v>
      </c>
      <c r="C31" s="97">
        <v>6.9419093990287797E-2</v>
      </c>
    </row>
    <row r="32" spans="1:3" ht="14.25" customHeight="1" x14ac:dyDescent="0.25">
      <c r="B32" s="25" t="s">
        <v>58</v>
      </c>
      <c r="C32" s="97">
        <v>0.62821645064032094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22.823730000000001</v>
      </c>
    </row>
    <row r="38" spans="1:5" ht="15" customHeight="1" x14ac:dyDescent="0.25">
      <c r="B38" s="11" t="s">
        <v>63</v>
      </c>
      <c r="C38" s="43">
        <v>32.582920000000001</v>
      </c>
      <c r="D38" s="12"/>
      <c r="E38" s="13"/>
    </row>
    <row r="39" spans="1:5" ht="15" customHeight="1" x14ac:dyDescent="0.25">
      <c r="B39" s="11" t="s">
        <v>64</v>
      </c>
      <c r="C39" s="43">
        <v>43.974519999999998</v>
      </c>
      <c r="D39" s="12"/>
      <c r="E39" s="12"/>
    </row>
    <row r="40" spans="1:5" ht="15" customHeight="1" x14ac:dyDescent="0.25">
      <c r="B40" s="11" t="s">
        <v>65</v>
      </c>
      <c r="C40" s="98">
        <v>2.63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6.8689999999999992E-3</v>
      </c>
      <c r="D45" s="12"/>
    </row>
    <row r="46" spans="1:5" ht="15.75" customHeight="1" x14ac:dyDescent="0.25">
      <c r="B46" s="11" t="s">
        <v>70</v>
      </c>
      <c r="C46" s="45">
        <v>7.3128600000000002E-2</v>
      </c>
      <c r="D46" s="12"/>
    </row>
    <row r="47" spans="1:5" ht="15.75" customHeight="1" x14ac:dyDescent="0.25">
      <c r="B47" s="11" t="s">
        <v>71</v>
      </c>
      <c r="C47" s="45">
        <v>0.2015941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2.4180000000000001</v>
      </c>
      <c r="D51" s="12"/>
    </row>
    <row r="52" spans="1:4" ht="15" customHeight="1" x14ac:dyDescent="0.25">
      <c r="B52" s="11" t="s">
        <v>75</v>
      </c>
      <c r="C52" s="98">
        <v>2.4180000000000001</v>
      </c>
    </row>
    <row r="53" spans="1:4" ht="15.75" customHeight="1" x14ac:dyDescent="0.25">
      <c r="B53" s="11" t="s">
        <v>76</v>
      </c>
      <c r="C53" s="98">
        <v>4.3680000000000003</v>
      </c>
    </row>
    <row r="54" spans="1:4" ht="15.75" customHeight="1" x14ac:dyDescent="0.25">
      <c r="B54" s="11" t="s">
        <v>77</v>
      </c>
      <c r="C54" s="98">
        <v>4.992</v>
      </c>
    </row>
    <row r="55" spans="1:4" ht="15.75" customHeight="1" x14ac:dyDescent="0.25">
      <c r="B55" s="11" t="s">
        <v>78</v>
      </c>
      <c r="C55" s="98">
        <v>2.6173333333333328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0.39087600000000011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crXXm95qoDHDHJYuD05ZFuXpoo3SlhCpAKXf5RaluHyrbQONX7cODMOd02KPj9eoVYG2DE4OniR/xVLQMByuQQ==" saltValue="M8gzgjVTZ5KLMHciAOZR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5+3mmOg2ukSHANk2xbjhEFzfGB9mmzNFU5cLeY6KXocm9IIR4tslCLbVrZkJmAeF3HyqJ2B/rJQGgEEFa6ozA==" saltValue="UsRChmonHFl2eEstToM8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9.4482999999999841E-3</v>
      </c>
    </row>
    <row r="4" spans="1:8" ht="15.75" customHeight="1" x14ac:dyDescent="0.25">
      <c r="B4" s="19" t="s">
        <v>97</v>
      </c>
      <c r="C4" s="99">
        <v>6.0587099999999838E-2</v>
      </c>
    </row>
    <row r="5" spans="1:8" ht="15.75" customHeight="1" x14ac:dyDescent="0.25">
      <c r="B5" s="19" t="s">
        <v>98</v>
      </c>
      <c r="C5" s="99">
        <v>8.0444099999999921E-2</v>
      </c>
    </row>
    <row r="6" spans="1:8" ht="15.75" customHeight="1" x14ac:dyDescent="0.25">
      <c r="B6" s="19" t="s">
        <v>99</v>
      </c>
      <c r="C6" s="99">
        <v>0.24506110000000039</v>
      </c>
    </row>
    <row r="7" spans="1:8" ht="15.75" customHeight="1" x14ac:dyDescent="0.25">
      <c r="B7" s="19" t="s">
        <v>100</v>
      </c>
      <c r="C7" s="99">
        <v>0.41408430000000013</v>
      </c>
    </row>
    <row r="8" spans="1:8" ht="15.75" customHeight="1" x14ac:dyDescent="0.25">
      <c r="B8" s="19" t="s">
        <v>101</v>
      </c>
      <c r="C8" s="99">
        <v>1.210499999999998E-3</v>
      </c>
    </row>
    <row r="9" spans="1:8" ht="15.75" customHeight="1" x14ac:dyDescent="0.25">
      <c r="B9" s="19" t="s">
        <v>102</v>
      </c>
      <c r="C9" s="99">
        <v>7.320219999999994E-2</v>
      </c>
    </row>
    <row r="10" spans="1:8" ht="15.75" customHeight="1" x14ac:dyDescent="0.25">
      <c r="B10" s="19" t="s">
        <v>103</v>
      </c>
      <c r="C10" s="99">
        <v>0.1159623999999998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106</v>
      </c>
      <c r="C15" s="99">
        <v>0.1525436960829033</v>
      </c>
      <c r="D15" s="99">
        <v>0.1525436960829033</v>
      </c>
      <c r="E15" s="99">
        <v>0.1525436960829033</v>
      </c>
      <c r="F15" s="99">
        <v>0.1525436960829033</v>
      </c>
    </row>
    <row r="16" spans="1:8" ht="15.75" customHeight="1" x14ac:dyDescent="0.25">
      <c r="B16" s="19" t="s">
        <v>107</v>
      </c>
      <c r="C16" s="99">
        <v>1.9379345713266979E-2</v>
      </c>
      <c r="D16" s="99">
        <v>1.9379345713266979E-2</v>
      </c>
      <c r="E16" s="99">
        <v>1.9379345713266979E-2</v>
      </c>
      <c r="F16" s="99">
        <v>1.9379345713266979E-2</v>
      </c>
    </row>
    <row r="17" spans="1:8" ht="15.75" customHeight="1" x14ac:dyDescent="0.25">
      <c r="B17" s="19" t="s">
        <v>108</v>
      </c>
      <c r="C17" s="99">
        <v>7.0679873364541653E-3</v>
      </c>
      <c r="D17" s="99">
        <v>7.0679873364541653E-3</v>
      </c>
      <c r="E17" s="99">
        <v>7.0679873364541653E-3</v>
      </c>
      <c r="F17" s="99">
        <v>7.0679873364541653E-3</v>
      </c>
    </row>
    <row r="18" spans="1:8" ht="15.75" customHeight="1" x14ac:dyDescent="0.25">
      <c r="B18" s="19" t="s">
        <v>109</v>
      </c>
      <c r="C18" s="99">
        <v>0.22238897098278571</v>
      </c>
      <c r="D18" s="99">
        <v>0.22238897098278571</v>
      </c>
      <c r="E18" s="99">
        <v>0.22238897098278571</v>
      </c>
      <c r="F18" s="99">
        <v>0.22238897098278571</v>
      </c>
    </row>
    <row r="19" spans="1:8" ht="15.75" customHeight="1" x14ac:dyDescent="0.25">
      <c r="B19" s="19" t="s">
        <v>110</v>
      </c>
      <c r="C19" s="99">
        <v>3.3325376474692817E-2</v>
      </c>
      <c r="D19" s="99">
        <v>3.3325376474692817E-2</v>
      </c>
      <c r="E19" s="99">
        <v>3.3325376474692817E-2</v>
      </c>
      <c r="F19" s="99">
        <v>3.3325376474692817E-2</v>
      </c>
    </row>
    <row r="20" spans="1:8" ht="15.75" customHeight="1" x14ac:dyDescent="0.25">
      <c r="B20" s="19" t="s">
        <v>111</v>
      </c>
      <c r="C20" s="99">
        <v>0.1144476671113132</v>
      </c>
      <c r="D20" s="99">
        <v>0.1144476671113132</v>
      </c>
      <c r="E20" s="99">
        <v>0.1144476671113132</v>
      </c>
      <c r="F20" s="99">
        <v>0.1144476671113132</v>
      </c>
    </row>
    <row r="21" spans="1:8" ht="15.75" customHeight="1" x14ac:dyDescent="0.25">
      <c r="B21" s="19" t="s">
        <v>112</v>
      </c>
      <c r="C21" s="99">
        <v>0.13423673221728019</v>
      </c>
      <c r="D21" s="99">
        <v>0.13423673221728019</v>
      </c>
      <c r="E21" s="99">
        <v>0.13423673221728019</v>
      </c>
      <c r="F21" s="99">
        <v>0.13423673221728019</v>
      </c>
    </row>
    <row r="22" spans="1:8" ht="15.75" customHeight="1" x14ac:dyDescent="0.25">
      <c r="B22" s="19" t="s">
        <v>113</v>
      </c>
      <c r="C22" s="99">
        <v>0.1947906626679525</v>
      </c>
      <c r="D22" s="99">
        <v>0.1947906626679525</v>
      </c>
      <c r="E22" s="99">
        <v>0.1947906626679525</v>
      </c>
      <c r="F22" s="99">
        <v>0.1947906626679525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6.6578172000000005E-2</v>
      </c>
    </row>
    <row r="27" spans="1:8" ht="15.75" customHeight="1" x14ac:dyDescent="0.25">
      <c r="B27" s="19" t="s">
        <v>120</v>
      </c>
      <c r="C27" s="99">
        <v>4.9825570000000003E-3</v>
      </c>
    </row>
    <row r="28" spans="1:8" ht="15.75" customHeight="1" x14ac:dyDescent="0.25">
      <c r="B28" s="19" t="s">
        <v>121</v>
      </c>
      <c r="C28" s="99">
        <v>0.12458364500000001</v>
      </c>
    </row>
    <row r="29" spans="1:8" ht="15.75" customHeight="1" x14ac:dyDescent="0.25">
      <c r="B29" s="19" t="s">
        <v>122</v>
      </c>
      <c r="C29" s="99">
        <v>0.123203627</v>
      </c>
    </row>
    <row r="30" spans="1:8" ht="15.75" customHeight="1" x14ac:dyDescent="0.25">
      <c r="B30" s="19" t="s">
        <v>2</v>
      </c>
      <c r="C30" s="99">
        <v>8.5390918999999996E-2</v>
      </c>
    </row>
    <row r="31" spans="1:8" ht="15.75" customHeight="1" x14ac:dyDescent="0.25">
      <c r="B31" s="19" t="s">
        <v>123</v>
      </c>
      <c r="C31" s="99">
        <v>0.13704649199999999</v>
      </c>
    </row>
    <row r="32" spans="1:8" ht="15.75" customHeight="1" x14ac:dyDescent="0.25">
      <c r="B32" s="19" t="s">
        <v>124</v>
      </c>
      <c r="C32" s="99">
        <v>1.3877614E-2</v>
      </c>
    </row>
    <row r="33" spans="2:3" ht="15.75" customHeight="1" x14ac:dyDescent="0.25">
      <c r="B33" s="19" t="s">
        <v>125</v>
      </c>
      <c r="C33" s="99">
        <v>0.162878947</v>
      </c>
    </row>
    <row r="34" spans="2:3" ht="15.75" customHeight="1" x14ac:dyDescent="0.25">
      <c r="B34" s="19" t="s">
        <v>126</v>
      </c>
      <c r="C34" s="99">
        <v>0.281458027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4d1ftvCLX4aYmhjQhZfkquJ2/eWFDOsovcnVoZpH8ncOLIBTHnFyLXCHFcu7OaWjSnWunvGqyFJ3J3Ghd6ebag==" saltValue="/voSsHODbcxpdkRx4CqA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132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133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137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138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v5lu6yKyRMyS2QBztwvFNOE0ZEtEEmOqZj6OufNIhGsVopc4medPJZ5r+yiGlc7f9+WhdRXOjvokUlbVvzE6w==" saltValue="KhfCxZFZ1qRUEfwZLsYg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eaxP5zjTjkY2/Ah17U04n/p/adNvePomuDQ1shVfgE7LV9upv3ilbIqK0NCF2o9olJ5EGNG380q1dZQRDYdbUw==" saltValue="lmsbocY8ae/dAtdR2mJl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rnVCkyIU7ZHewsrx0ubtfFBB3myIiKg1VXCpsc1UBwHANkGR8/6/LsuoyIP+xbPLM0aMHnmp0+J+axyMIEZTQ==" saltValue="bhJ+tDk/ZpuGs7Ni6H9M0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2203.5589351830299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0.43444000000000005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0.67138000000000009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1.8898219911506978E-2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95359.817079999993</v>
      </c>
      <c r="C22" s="107">
        <v>94789.126390000005</v>
      </c>
      <c r="D22" s="107">
        <v>94341.435490000003</v>
      </c>
      <c r="E22" s="107">
        <v>93747.501260000005</v>
      </c>
      <c r="F22" s="107">
        <v>92936.389540000004</v>
      </c>
      <c r="G22" s="107">
        <v>91950.157709999999</v>
      </c>
      <c r="H22" s="107">
        <v>90634.840890000007</v>
      </c>
      <c r="I22" s="107">
        <v>88818.978730000003</v>
      </c>
      <c r="J22" s="107">
        <v>86286.058080000003</v>
      </c>
      <c r="K22" s="107">
        <v>82950.622090000004</v>
      </c>
      <c r="L22" s="107">
        <v>78448.747640000001</v>
      </c>
      <c r="M22" s="107">
        <v>72602.058780000007</v>
      </c>
      <c r="N22" s="107">
        <v>64679.092329999999</v>
      </c>
      <c r="O22" s="107">
        <v>54745.002439999997</v>
      </c>
    </row>
  </sheetData>
  <sheetProtection algorithmName="SHA-512" hashValue="qhqvEXDqUSHHLEDxkTwHmZGijVAtgz0temazA3EJuRbN6ndFvLwoeFOmXBJB9FHpUApXddb4537HsuUU+FwbHQ==" saltValue="xB49OH5C6T1RNg6/xi58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QG5fPso59GOqbwk4xZduM20wmriJX7l/RKRqCZDudb9+hXWGG6le1n1wix5lJZHoLF3Md8/oLdNfwQ6WGZ0Yw==" saltValue="98GM5ofoTxxUvFIRjFLM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8mV4FtV0uijST7g9myvQAxhCxR4aQi+ujTGkG/GLsZG0olfinVejXiAir5LTtAzV6L1yw4p18V7uWoBg6j0xw==" saltValue="KO823ih0vQoYwqIn/aMf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7.7133394664213428E-2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0.5936245</v>
      </c>
      <c r="C10" s="96">
        <v>0.95</v>
      </c>
      <c r="D10" s="56">
        <v>13.61384665422082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13.61384665422082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13.61384665422082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13.61384665422082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0.5936245</v>
      </c>
      <c r="C14" s="96">
        <v>0.95</v>
      </c>
      <c r="D14" s="56">
        <v>13.61384665422082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13.61384665422082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0.79167399999999999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0.28066999999999998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0.38182569999999999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0.7480929999999999</v>
      </c>
      <c r="C23" s="96">
        <v>0.95</v>
      </c>
      <c r="D23" s="56">
        <v>4.5073761426825563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0.58759262855713601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0.5936245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0.47842659999999998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0.25902579999999997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0.41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0.41689387992765697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0.23128789999999999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3.4973999999999999E-3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0.5667259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0.24299999999999999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8e9bLzYOX2l5i8vT+s4ncNRY1VFY1WLZHhyg45Y0AE5Swe+xDQnfufM8maayqF8UcuEvN0AmkomhyIuMwtBZJA==" saltValue="nlNDNpD9mHO31bwfjgmU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tlyZURA26UlN8yfe4AH0qfAzhkX6s+59YwHyD1cVeFL5+VI+aUZvYRhMhAI8U4bPj/UTwhJz56gymV4Lr4V0A==" saltValue="YrJdratSSo+wERrJ+L4l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3bLuJ5FnKkDOOZhnPhdfbfCn6or+LhHg7tI+cHlBz9+eGW1AFAZmUK7d7CxokttzM5n/w+dzv4gfP2hhODN2A==" saltValue="TZMUizO1kuUs+Ae6TTKA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2.4180000000000001</v>
      </c>
      <c r="C2" s="21">
        <f>'Données pop de l''année de ref'!C52</f>
        <v>2.4180000000000001</v>
      </c>
      <c r="D2" s="21">
        <f>'Données pop de l''année de ref'!C53</f>
        <v>4.3680000000000003</v>
      </c>
      <c r="E2" s="21">
        <f>'Données pop de l''année de ref'!C54</f>
        <v>4.992</v>
      </c>
      <c r="F2" s="21">
        <f>'Données pop de l''année de ref'!C55</f>
        <v>2.6173333333333328</v>
      </c>
    </row>
    <row r="3" spans="1:6" ht="15.75" customHeight="1" x14ac:dyDescent="0.25">
      <c r="A3" s="3" t="s">
        <v>238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237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DpEbgMYzQDPFRcYEZM+R4eIf53Jmo/L5oB0MtS2HgdWd2yYZrs/iZ12y8q6uEMF3jrumnmgFKMfx3XT8qrDB0w==" saltValue="E5BXsQXPUxRPRge/EhXl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f6JKt+oY7bYh5XvPau3zYZrWfZkmF0s//TgyGyf2gocJAwEQdrdLbX8cEaztskQHr74tu0zqM1APRgiF2eCiA==" saltValue="GsjndvNrEcSvOsqFJDtq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ZQh3/bo4/iG7Aiv0ZEiPDeo48ArL3IUG8CTrMq/en7OEMXbmCjTR5y2lM5surNtwN6cBTtU6nxLDtnvimgx7Q==" saltValue="XbrE4NTjfX6Pfu3kutbJ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vimMH+5qQ1Ho7JZ73A4xqBL/JCjl5kCtBh8jsaNzs33CAmQl6NQfXtCkxlNcZXJc2FjAoaiu5maF7uXSKcOUw==" saltValue="vhGsdxf+YmPpX4thZ3EN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KO4KnbMxgB0Rdj3MfUPdoUvV1jxk+/wywptPpc6BRZ3P5NnIjBCAOIXrmAKMB8QeoN8UZVcozLr02iQcOFlIw==" saltValue="xmJiOgwFWZN3+JxHbnA6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lGdNDq94Evbo49EmmN4oNDiOBSPjg4DaC6LhTPSgRGlWaa6mk1N5+fYltJXBKOqk7XXLLMqd/+Joe9fzxJeiw==" saltValue="7m9lwGBhd9zFOnr66b1E8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iIFfWYZSO46FSy1SFT1QLt0xYCNNF0KQtUBup7CUPwtLj6GzwxaGtOyXv3wxK3An9yuX3CUH+OTf8chQ+gSfHQ==" saltValue="jE4/E06Mg6fGgTIJOxfY2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XuIemGw1sw449fEX4EBk/hC7PLzk/hH8cqiCwNUHz35nnaHhw710ZRI1IdFxXv411Z3G32bQl61Sgk2bs1nNw==" saltValue="P/tL3x68tIGfVeBIwLMdA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TxPzeIzGvfqCeys72sy5FYIERXIubgUWOUJa3Va81wUkEeskBUppaiVSQAs0xZ8/43mCmEv5DNIlRQaOISU9Q==" saltValue="YWez19z9/CUXOES1UwLm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4Idp9Qb+ayWJPWngtTjZk4KSsySor38xxRM4dYHAo/CdUmq+CSV7BDsXxpcdVJuTNs6Vt7cEtCO+EzB1rg4wrQ==" saltValue="USsiHHL08XfvQe8lM9Io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Y6uuHWdZ9os22m4URl5gl+DMrn2SsuwrQyE3XQ4N1YjX8G3C0LV3reFM8hqY9v33SdXFGKQYctLpyYMVKqiCA==" saltValue="pRrv0C5t34/Gz+ob1ct9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j3DbsoCWfMTwFW/MUFQQDM8RluICphkSVes4C1bgJ5y/gO+wu2lGMPliKQd6H01Iv55oYJxFxYIph6skZUVIg==" saltValue="bBtD+ZYJ984SWruDcqFz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b7lxUqGXgGjvoQys7W3N7rsVf8xunRnRcE+AhhZKoFq1aQpFHan8GBwLegg5yGje5oKda1vZ1sPZd7nFEEMjg==" saltValue="ikyIcI0AELVFOY+Q7aOR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u4oOn/2XlXrMMc2SllS8NkjERnRb712cCRgP2pwEiC56Rexoh4SfioRhWEfiDrsINbtyAOmKNQPMle1EVDwUQ==" saltValue="wrJHwe7W4b8dNK43NeiO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3HY7Ya8g+uchupNvLxRfIBRU1y2H3Idj8NNKFS7Rktw8nkid6Tc2SM9K8aGLnY17+YUilPrKVCDyLHTm3Ns5g==" saltValue="2gxq6nz3RIB0k1lDkwHC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XYMzdK/uNg0halZkK8hkkFNEHTCH9RuZKrlg4eYUKMBeGf6ZH0JA/R8it4wfxdYByGMWDVWUoZu7CFL/TSa3Q==" saltValue="Xxt9YCp4UqExWpxxpT+Dn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