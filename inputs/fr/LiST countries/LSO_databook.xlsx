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7587C19B-531E-4250-B5AD-BD12065ADAF7}" xr6:coauthVersionLast="47" xr6:coauthVersionMax="47" xr10:uidLastSave="{00000000-0000-0000-0000-000000000000}"/>
  <bookViews>
    <workbookView xWindow="20" yWindow="6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E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H38" i="2"/>
  <c r="G38" i="2"/>
  <c r="I38" i="2" s="1"/>
  <c r="A31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H5" i="2"/>
  <c r="I5" i="2" s="1"/>
  <c r="G5" i="2"/>
  <c r="H4" i="2"/>
  <c r="G4" i="2"/>
  <c r="I4" i="2" s="1"/>
  <c r="H3" i="2"/>
  <c r="I3" i="2" s="1"/>
  <c r="G3" i="2"/>
  <c r="H2" i="2"/>
  <c r="G2" i="2"/>
  <c r="A2" i="2"/>
  <c r="A40" i="2" s="1"/>
  <c r="C33" i="1"/>
  <c r="C20" i="1"/>
  <c r="I2" i="2" l="1"/>
  <c r="I6" i="2"/>
  <c r="A15" i="2"/>
  <c r="A23" i="2"/>
  <c r="A16" i="2"/>
  <c r="A24" i="2"/>
  <c r="A32" i="2"/>
  <c r="A33" i="2"/>
  <c r="A25" i="2"/>
  <c r="A3" i="2"/>
  <c r="A18" i="2"/>
  <c r="A26" i="2"/>
  <c r="A34" i="2"/>
  <c r="A39" i="2"/>
  <c r="A17" i="2"/>
  <c r="A5" i="2"/>
  <c r="A6" i="2" s="1"/>
  <c r="A7" i="2" s="1"/>
  <c r="A8" i="2" s="1"/>
  <c r="A9" i="2" s="1"/>
  <c r="A10" i="2" s="1"/>
  <c r="A11" i="2" s="1"/>
  <c r="A12" i="2" s="1"/>
  <c r="A13" i="2" s="1"/>
  <c r="A19" i="2"/>
  <c r="A27" i="2"/>
  <c r="A35" i="2"/>
  <c r="A20" i="2"/>
  <c r="A28" i="2"/>
  <c r="A36" i="2"/>
  <c r="A21" i="2"/>
  <c r="A29" i="2"/>
  <c r="A37" i="2"/>
  <c r="A4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<sst xmlns="http://schemas.openxmlformats.org/spreadsheetml/2006/main" count="2101" uniqueCount="337">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</sst>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281186.49609375</v>
      </c>
    </row>
    <row r="8" spans="1:3" ht="15" customHeight="1" x14ac:dyDescent="0.25">
      <c r="B8" s="5" t="s">
        <v>19</v>
      </c>
      <c r="C8" s="44">
        <v>0.26900000000000002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0.447736206054688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0.23899999999999999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0.1454</v>
      </c>
    </row>
    <row r="24" spans="1:3" ht="15" customHeight="1" x14ac:dyDescent="0.25">
      <c r="B24" s="15" t="s">
        <v>33</v>
      </c>
      <c r="C24" s="45">
        <v>0.49180000000000001</v>
      </c>
    </row>
    <row r="25" spans="1:3" ht="15" customHeight="1" x14ac:dyDescent="0.25">
      <c r="B25" s="15" t="s">
        <v>34</v>
      </c>
      <c r="C25" s="45">
        <v>0.28089999999999998</v>
      </c>
    </row>
    <row r="26" spans="1:3" ht="15" customHeight="1" x14ac:dyDescent="0.25">
      <c r="B26" s="15" t="s">
        <v>35</v>
      </c>
      <c r="C26" s="45">
        <v>8.1900000000000001E-2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0.391186912619995</v>
      </c>
    </row>
    <row r="30" spans="1:3" ht="14.25" customHeight="1" x14ac:dyDescent="0.25">
      <c r="B30" s="25" t="s">
        <v>38</v>
      </c>
      <c r="C30" s="99">
        <v>2.27253385251939E-2</v>
      </c>
    </row>
    <row r="31" spans="1:3" ht="14.25" customHeight="1" x14ac:dyDescent="0.25">
      <c r="B31" s="25" t="s">
        <v>39</v>
      </c>
      <c r="C31" s="99">
        <v>4.1775369773239798E-2</v>
      </c>
    </row>
    <row r="32" spans="1:3" ht="14.25" customHeight="1" x14ac:dyDescent="0.25">
      <c r="B32" s="25" t="s">
        <v>40</v>
      </c>
      <c r="C32" s="99">
        <v>0.54431237908157204</v>
      </c>
    </row>
    <row r="33" spans="1:5" ht="13" customHeight="1" x14ac:dyDescent="0.25">
      <c r="B33" s="27" t="s">
        <v>41</v>
      </c>
      <c r="C33" s="48">
        <f>SUM(C29:C32)</f>
        <v>1.0000000000000009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35.26191</v>
      </c>
    </row>
    <row r="38" spans="1:5" ht="15" customHeight="1" x14ac:dyDescent="0.25">
      <c r="B38" s="11" t="s">
        <v>45</v>
      </c>
      <c r="C38" s="43">
        <v>56.958309999999997</v>
      </c>
      <c r="D38" s="12"/>
      <c r="E38" s="13"/>
    </row>
    <row r="39" spans="1:5" ht="15" customHeight="1" x14ac:dyDescent="0.25">
      <c r="B39" s="11" t="s">
        <v>46</v>
      </c>
      <c r="C39" s="43">
        <v>72.925359999999998</v>
      </c>
      <c r="D39" s="12"/>
      <c r="E39" s="12"/>
    </row>
    <row r="40" spans="1:5" ht="15" customHeight="1" x14ac:dyDescent="0.25">
      <c r="B40" s="11" t="s">
        <v>47</v>
      </c>
      <c r="C40" s="100">
        <v>5.66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26.658390000000001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7.9373000000000013E-3</v>
      </c>
      <c r="D45" s="12"/>
    </row>
    <row r="46" spans="1:5" ht="15.75" customHeight="1" x14ac:dyDescent="0.25">
      <c r="B46" s="11" t="s">
        <v>52</v>
      </c>
      <c r="C46" s="45">
        <v>8.5285299999999994E-2</v>
      </c>
      <c r="D46" s="12"/>
    </row>
    <row r="47" spans="1:5" ht="15.75" customHeight="1" x14ac:dyDescent="0.25">
      <c r="B47" s="11" t="s">
        <v>53</v>
      </c>
      <c r="C47" s="45">
        <v>7.3452400000000001E-2</v>
      </c>
      <c r="D47" s="12"/>
      <c r="E47" s="13"/>
    </row>
    <row r="48" spans="1:5" ht="15" customHeight="1" x14ac:dyDescent="0.25">
      <c r="B48" s="11" t="s">
        <v>54</v>
      </c>
      <c r="C48" s="46">
        <v>0.83332499999999998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0.54738100000000001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0.14607059</v>
      </c>
    </row>
    <row r="63" spans="1:4" ht="15.75" customHeight="1" x14ac:dyDescent="0.3">
      <c r="A63" s="4"/>
    </row>
  </sheetData>
  <sheetProtection algorithmName="SHA-512" hashValue="ITJlJ9FlaPwalfUBBPDujUXQNr9J8Boauopu+FGc34kEmyBFmKX2jY8BpTh4ukI8xzEjzt6CZj7gLek7S74V0g==" saltValue="Jg0TL4NnYyOBJloS7SAm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59145</v>
      </c>
      <c r="C2" s="49">
        <v>141433.5</v>
      </c>
      <c r="D2" s="49">
        <v>214814</v>
      </c>
      <c r="E2" s="49">
        <v>182483.5</v>
      </c>
      <c r="F2" s="49">
        <v>100507.5</v>
      </c>
      <c r="G2" s="17">
        <f t="shared" ref="G2:G13" si="0">C2+D2+E2+F2</f>
        <v>639238.5</v>
      </c>
      <c r="H2" s="17">
        <f t="shared" ref="H2:H13" si="1">(B2 + stillbirth*B2/(1000-stillbirth))/(1-abortion)</f>
        <v>69051.016192277311</v>
      </c>
      <c r="I2" s="17">
        <f t="shared" ref="I2:I13" si="2">G2-H2</f>
        <v>570187.48380772269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58753</v>
      </c>
      <c r="C3" s="50">
        <v>142906</v>
      </c>
      <c r="D3" s="50">
        <v>215675</v>
      </c>
      <c r="E3" s="50">
        <v>185024.5</v>
      </c>
      <c r="F3" s="50">
        <v>105036</v>
      </c>
      <c r="G3" s="17">
        <f t="shared" si="0"/>
        <v>648641.5</v>
      </c>
      <c r="H3" s="17">
        <f t="shared" si="1"/>
        <v>68593.361304334583</v>
      </c>
      <c r="I3" s="17">
        <f t="shared" si="2"/>
        <v>580048.1386956654</v>
      </c>
    </row>
    <row r="4" spans="1:9" ht="15.75" customHeight="1" x14ac:dyDescent="0.25">
      <c r="A4" s="5">
        <f t="shared" si="3"/>
        <v>2026</v>
      </c>
      <c r="B4" s="49">
        <v>58585</v>
      </c>
      <c r="C4" s="50">
        <v>144985.5</v>
      </c>
      <c r="D4" s="50">
        <v>216276</v>
      </c>
      <c r="E4" s="50">
        <v>187371.5</v>
      </c>
      <c r="F4" s="50">
        <v>109630</v>
      </c>
      <c r="G4" s="17">
        <f t="shared" si="0"/>
        <v>658263</v>
      </c>
      <c r="H4" s="17">
        <f t="shared" si="1"/>
        <v>68397.223495216269</v>
      </c>
      <c r="I4" s="17">
        <f t="shared" si="2"/>
        <v>589865.77650478377</v>
      </c>
    </row>
    <row r="5" spans="1:9" ht="15.75" customHeight="1" x14ac:dyDescent="0.25">
      <c r="A5" s="5">
        <f t="shared" si="3"/>
        <v>2027</v>
      </c>
      <c r="B5" s="49">
        <v>58295</v>
      </c>
      <c r="C5" s="50">
        <v>146991.5</v>
      </c>
      <c r="D5" s="50">
        <v>217102.5</v>
      </c>
      <c r="E5" s="50">
        <v>189358.5</v>
      </c>
      <c r="F5" s="50">
        <v>114236.5</v>
      </c>
      <c r="G5" s="17">
        <f t="shared" si="0"/>
        <v>667689</v>
      </c>
      <c r="H5" s="17">
        <f t="shared" si="1"/>
        <v>68058.652277095374</v>
      </c>
      <c r="I5" s="17">
        <f t="shared" si="2"/>
        <v>599630.34772290464</v>
      </c>
    </row>
    <row r="6" spans="1:9" ht="15.75" customHeight="1" x14ac:dyDescent="0.25">
      <c r="A6" s="5">
        <f t="shared" si="3"/>
        <v>2028</v>
      </c>
      <c r="B6" s="49">
        <v>58208</v>
      </c>
      <c r="C6" s="50">
        <v>148820</v>
      </c>
      <c r="D6" s="50">
        <v>218376</v>
      </c>
      <c r="E6" s="50">
        <v>190691</v>
      </c>
      <c r="F6" s="50">
        <v>119069</v>
      </c>
      <c r="G6" s="17">
        <f t="shared" si="0"/>
        <v>676956</v>
      </c>
      <c r="H6" s="17">
        <f t="shared" si="1"/>
        <v>67957.080911659112</v>
      </c>
      <c r="I6" s="17">
        <f t="shared" si="2"/>
        <v>608998.91908834083</v>
      </c>
    </row>
    <row r="7" spans="1:9" ht="15.75" customHeight="1" x14ac:dyDescent="0.25">
      <c r="A7" s="5">
        <f t="shared" si="3"/>
        <v>2029</v>
      </c>
      <c r="B7" s="49">
        <v>57917</v>
      </c>
      <c r="C7" s="50">
        <v>150687</v>
      </c>
      <c r="D7" s="50">
        <v>219886</v>
      </c>
      <c r="E7" s="50">
        <v>191473</v>
      </c>
      <c r="F7" s="50">
        <v>124076.5</v>
      </c>
      <c r="G7" s="17">
        <f t="shared" si="0"/>
        <v>686122.5</v>
      </c>
      <c r="H7" s="17">
        <f t="shared" si="1"/>
        <v>67617.342206579182</v>
      </c>
      <c r="I7" s="17">
        <f t="shared" si="2"/>
        <v>618505.15779342083</v>
      </c>
    </row>
    <row r="8" spans="1:9" ht="15.75" customHeight="1" x14ac:dyDescent="0.25">
      <c r="A8" s="5">
        <f t="shared" si="3"/>
        <v>2030</v>
      </c>
      <c r="B8" s="49">
        <v>57920</v>
      </c>
      <c r="C8" s="50">
        <v>152782</v>
      </c>
      <c r="D8" s="50">
        <v>221522.5</v>
      </c>
      <c r="E8" s="50">
        <v>191985</v>
      </c>
      <c r="F8" s="50">
        <v>128880.5</v>
      </c>
      <c r="G8" s="17">
        <f t="shared" si="0"/>
        <v>695170</v>
      </c>
      <c r="H8" s="17">
        <f t="shared" si="1"/>
        <v>67620.844667456287</v>
      </c>
      <c r="I8" s="17">
        <f t="shared" si="2"/>
        <v>627549.15533254365</v>
      </c>
    </row>
    <row r="9" spans="1:9" ht="15.75" customHeight="1" x14ac:dyDescent="0.25">
      <c r="A9" s="5">
        <f t="shared" si="3"/>
        <v>2031</v>
      </c>
      <c r="B9" s="49">
        <v>57735</v>
      </c>
      <c r="C9" s="50">
        <v>154572</v>
      </c>
      <c r="D9" s="50">
        <v>223475.5</v>
      </c>
      <c r="E9" s="50">
        <v>192509</v>
      </c>
      <c r="F9" s="50">
        <v>133304</v>
      </c>
      <c r="G9" s="17">
        <f t="shared" si="0"/>
        <v>703860.5</v>
      </c>
      <c r="H9" s="17">
        <f t="shared" si="1"/>
        <v>67404.859580034332</v>
      </c>
      <c r="I9" s="17">
        <f t="shared" si="2"/>
        <v>636455.64041996561</v>
      </c>
    </row>
    <row r="10" spans="1:9" ht="15.75" customHeight="1" x14ac:dyDescent="0.25">
      <c r="A10" s="5">
        <f t="shared" si="3"/>
        <v>2032</v>
      </c>
      <c r="B10" s="49">
        <v>57735</v>
      </c>
      <c r="C10" s="50">
        <v>155702.5</v>
      </c>
      <c r="D10" s="50">
        <v>225675.5</v>
      </c>
      <c r="E10" s="50">
        <v>193303</v>
      </c>
      <c r="F10" s="50">
        <v>137341</v>
      </c>
      <c r="G10" s="17">
        <f t="shared" si="0"/>
        <v>712022</v>
      </c>
      <c r="H10" s="17">
        <f t="shared" si="1"/>
        <v>67404.859580034332</v>
      </c>
      <c r="I10" s="17">
        <f t="shared" si="2"/>
        <v>644617.14041996561</v>
      </c>
    </row>
    <row r="11" spans="1:9" ht="15.75" customHeight="1" x14ac:dyDescent="0.25">
      <c r="A11" s="5">
        <f t="shared" si="3"/>
        <v>2033</v>
      </c>
      <c r="B11" s="49">
        <v>57623</v>
      </c>
      <c r="C11" s="50">
        <v>156376</v>
      </c>
      <c r="D11" s="50">
        <v>227984.5</v>
      </c>
      <c r="E11" s="50">
        <v>194490.5</v>
      </c>
      <c r="F11" s="50">
        <v>140951.5</v>
      </c>
      <c r="G11" s="17">
        <f t="shared" si="0"/>
        <v>719802.5</v>
      </c>
      <c r="H11" s="17">
        <f t="shared" si="1"/>
        <v>67274.101040622132</v>
      </c>
      <c r="I11" s="17">
        <f t="shared" si="2"/>
        <v>652528.3989593779</v>
      </c>
    </row>
    <row r="12" spans="1:9" ht="15.75" customHeight="1" x14ac:dyDescent="0.25">
      <c r="A12" s="5">
        <f t="shared" si="3"/>
        <v>2034</v>
      </c>
      <c r="B12" s="49">
        <v>57499</v>
      </c>
      <c r="C12" s="50">
        <v>156802</v>
      </c>
      <c r="D12" s="50">
        <v>230585.5</v>
      </c>
      <c r="E12" s="50">
        <v>195737</v>
      </c>
      <c r="F12" s="50">
        <v>143944</v>
      </c>
      <c r="G12" s="17">
        <f t="shared" si="0"/>
        <v>727068.5</v>
      </c>
      <c r="H12" s="17">
        <f t="shared" si="1"/>
        <v>67129.332657701467</v>
      </c>
      <c r="I12" s="17">
        <f t="shared" si="2"/>
        <v>659939.16734229855</v>
      </c>
    </row>
    <row r="13" spans="1:9" ht="15.75" customHeight="1" x14ac:dyDescent="0.25">
      <c r="A13" s="5">
        <f t="shared" si="3"/>
        <v>2035</v>
      </c>
      <c r="B13" s="49">
        <v>57638</v>
      </c>
      <c r="C13" s="50">
        <v>157228</v>
      </c>
      <c r="D13" s="50">
        <v>233430.5</v>
      </c>
      <c r="E13" s="50">
        <v>196670.5</v>
      </c>
      <c r="F13" s="50">
        <v>146300.5</v>
      </c>
      <c r="G13" s="17">
        <f t="shared" si="0"/>
        <v>733629.5</v>
      </c>
      <c r="H13" s="17">
        <f t="shared" si="1"/>
        <v>67291.613345007689</v>
      </c>
      <c r="I13" s="17">
        <f t="shared" si="2"/>
        <v>666337.88665499236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C5UCNKTp1/hH35mEYxx2bE7XmX+qyXQBkJffRsHxIdKE6rvYBe19TtFqphaswpjytxzLaaccL3QDPdJyMLwbyw==" saltValue="JeM9e54JgfmPEZQA4XxD2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7.7941000000000069E-3</v>
      </c>
    </row>
    <row r="4" spans="1:8" ht="15.75" customHeight="1" x14ac:dyDescent="0.25">
      <c r="B4" s="19" t="s">
        <v>79</v>
      </c>
      <c r="C4" s="101">
        <v>5.680499999999996E-2</v>
      </c>
    </row>
    <row r="5" spans="1:8" ht="15.75" customHeight="1" x14ac:dyDescent="0.25">
      <c r="B5" s="19" t="s">
        <v>80</v>
      </c>
      <c r="C5" s="101">
        <v>7.5246199999999971E-2</v>
      </c>
    </row>
    <row r="6" spans="1:8" ht="15.75" customHeight="1" x14ac:dyDescent="0.25">
      <c r="B6" s="19" t="s">
        <v>81</v>
      </c>
      <c r="C6" s="101">
        <v>0.24614950000000041</v>
      </c>
    </row>
    <row r="7" spans="1:8" ht="15.75" customHeight="1" x14ac:dyDescent="0.25">
      <c r="B7" s="19" t="s">
        <v>82</v>
      </c>
      <c r="C7" s="101">
        <v>0.42908479999999949</v>
      </c>
    </row>
    <row r="8" spans="1:8" ht="15.75" customHeight="1" x14ac:dyDescent="0.25">
      <c r="B8" s="19" t="s">
        <v>83</v>
      </c>
      <c r="C8" s="101">
        <v>1.3393000000000001E-3</v>
      </c>
    </row>
    <row r="9" spans="1:8" ht="15.75" customHeight="1" x14ac:dyDescent="0.25">
      <c r="B9" s="19" t="s">
        <v>84</v>
      </c>
      <c r="C9" s="101">
        <v>6.3739400000000085E-2</v>
      </c>
    </row>
    <row r="10" spans="1:8" ht="15.75" customHeight="1" x14ac:dyDescent="0.25">
      <c r="B10" s="19" t="s">
        <v>85</v>
      </c>
      <c r="C10" s="101">
        <v>0.11984170000000011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0.196029067448931</v>
      </c>
      <c r="D14" s="55">
        <v>0.196029067448931</v>
      </c>
      <c r="E14" s="55">
        <v>0.196029067448931</v>
      </c>
      <c r="F14" s="55">
        <v>0.196029067448931</v>
      </c>
    </row>
    <row r="15" spans="1:8" ht="15.75" customHeight="1" x14ac:dyDescent="0.25">
      <c r="B15" s="19" t="s">
        <v>88</v>
      </c>
      <c r="C15" s="101">
        <v>0.2119757211068988</v>
      </c>
      <c r="D15" s="101">
        <v>0.2119757211068988</v>
      </c>
      <c r="E15" s="101">
        <v>0.2119757211068988</v>
      </c>
      <c r="F15" s="101">
        <v>0.2119757211068988</v>
      </c>
    </row>
    <row r="16" spans="1:8" ht="15.75" customHeight="1" x14ac:dyDescent="0.25">
      <c r="B16" s="19" t="s">
        <v>89</v>
      </c>
      <c r="C16" s="101">
        <v>1.4086381465792089E-2</v>
      </c>
      <c r="D16" s="101">
        <v>1.4086381465792089E-2</v>
      </c>
      <c r="E16" s="101">
        <v>1.4086381465792089E-2</v>
      </c>
      <c r="F16" s="101">
        <v>1.4086381465792089E-2</v>
      </c>
    </row>
    <row r="17" spans="1:8" ht="15.75" customHeight="1" x14ac:dyDescent="0.25">
      <c r="B17" s="19" t="s">
        <v>90</v>
      </c>
      <c r="C17" s="101">
        <v>5.4992529902401334E-3</v>
      </c>
      <c r="D17" s="101">
        <v>5.4992529902401334E-3</v>
      </c>
      <c r="E17" s="101">
        <v>5.4992529902401334E-3</v>
      </c>
      <c r="F17" s="101">
        <v>5.4992529902401334E-3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2.240392218952935E-2</v>
      </c>
      <c r="D19" s="101">
        <v>2.240392218952935E-2</v>
      </c>
      <c r="E19" s="101">
        <v>2.240392218952935E-2</v>
      </c>
      <c r="F19" s="101">
        <v>2.240392218952935E-2</v>
      </c>
    </row>
    <row r="20" spans="1:8" ht="15.75" customHeight="1" x14ac:dyDescent="0.25">
      <c r="B20" s="19" t="s">
        <v>93</v>
      </c>
      <c r="C20" s="101">
        <v>0.23441902277012119</v>
      </c>
      <c r="D20" s="101">
        <v>0.23441902277012119</v>
      </c>
      <c r="E20" s="101">
        <v>0.23441902277012119</v>
      </c>
      <c r="F20" s="101">
        <v>0.23441902277012119</v>
      </c>
    </row>
    <row r="21" spans="1:8" ht="15.75" customHeight="1" x14ac:dyDescent="0.25">
      <c r="B21" s="19" t="s">
        <v>94</v>
      </c>
      <c r="C21" s="101">
        <v>0.1020277474478483</v>
      </c>
      <c r="D21" s="101">
        <v>0.1020277474478483</v>
      </c>
      <c r="E21" s="101">
        <v>0.1020277474478483</v>
      </c>
      <c r="F21" s="101">
        <v>0.1020277474478483</v>
      </c>
    </row>
    <row r="22" spans="1:8" ht="15.75" customHeight="1" x14ac:dyDescent="0.25">
      <c r="B22" s="19" t="s">
        <v>95</v>
      </c>
      <c r="C22" s="101">
        <v>0.2135588845806389</v>
      </c>
      <c r="D22" s="101">
        <v>0.2135588845806389</v>
      </c>
      <c r="E22" s="101">
        <v>0.2135588845806389</v>
      </c>
      <c r="F22" s="101">
        <v>0.2135588845806389</v>
      </c>
    </row>
    <row r="23" spans="1:8" ht="15.75" customHeight="1" x14ac:dyDescent="0.25">
      <c r="B23" s="27" t="s">
        <v>41</v>
      </c>
      <c r="C23" s="48">
        <f>SUM(C14:C22)</f>
        <v>0.99999999999999967</v>
      </c>
      <c r="D23" s="48">
        <f>SUM(D14:D22)</f>
        <v>0.99999999999999967</v>
      </c>
      <c r="E23" s="48">
        <f>SUM(E14:E22)</f>
        <v>0.99999999999999967</v>
      </c>
      <c r="F23" s="48">
        <f>SUM(F14:F22)</f>
        <v>0.99999999999999967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7.8500723999999994E-2</v>
      </c>
    </row>
    <row r="27" spans="1:8" ht="15.75" customHeight="1" x14ac:dyDescent="0.25">
      <c r="B27" s="19" t="s">
        <v>102</v>
      </c>
      <c r="C27" s="101">
        <v>7.8598569999999996E-3</v>
      </c>
    </row>
    <row r="28" spans="1:8" ht="15.75" customHeight="1" x14ac:dyDescent="0.25">
      <c r="B28" s="19" t="s">
        <v>103</v>
      </c>
      <c r="C28" s="101">
        <v>0.139408438</v>
      </c>
    </row>
    <row r="29" spans="1:8" ht="15.75" customHeight="1" x14ac:dyDescent="0.25">
      <c r="B29" s="19" t="s">
        <v>104</v>
      </c>
      <c r="C29" s="101">
        <v>0.15153803099999999</v>
      </c>
    </row>
    <row r="30" spans="1:8" ht="15.75" customHeight="1" x14ac:dyDescent="0.25">
      <c r="B30" s="19" t="s">
        <v>2</v>
      </c>
      <c r="C30" s="101">
        <v>9.5629616000000001E-2</v>
      </c>
    </row>
    <row r="31" spans="1:8" ht="15.75" customHeight="1" x14ac:dyDescent="0.25">
      <c r="B31" s="19" t="s">
        <v>105</v>
      </c>
      <c r="C31" s="101">
        <v>9.8062453999999993E-2</v>
      </c>
    </row>
    <row r="32" spans="1:8" ht="15.75" customHeight="1" x14ac:dyDescent="0.25">
      <c r="B32" s="19" t="s">
        <v>106</v>
      </c>
      <c r="C32" s="101">
        <v>1.6473412E-2</v>
      </c>
    </row>
    <row r="33" spans="2:3" ht="15.75" customHeight="1" x14ac:dyDescent="0.25">
      <c r="B33" s="19" t="s">
        <v>107</v>
      </c>
      <c r="C33" s="101">
        <v>7.5640217999999995E-2</v>
      </c>
    </row>
    <row r="34" spans="2:3" ht="15.75" customHeight="1" x14ac:dyDescent="0.25">
      <c r="B34" s="19" t="s">
        <v>108</v>
      </c>
      <c r="C34" s="101">
        <v>0.33688724799999997</v>
      </c>
    </row>
    <row r="35" spans="2:3" ht="15.75" customHeight="1" x14ac:dyDescent="0.25">
      <c r="B35" s="27" t="s">
        <v>41</v>
      </c>
      <c r="C35" s="48">
        <f>SUM(C26:C34)</f>
        <v>0.99999999799999983</v>
      </c>
    </row>
  </sheetData>
  <sheetProtection algorithmName="SHA-512" hashValue="T900ZpLNfiVg4sTbnE8xHJQL7/NzD/0dhs2jj5n/APG2GiDNCXwTi4TL7nbwx0tIbwxWNXWwe5ov3l5FH4/L/w==" saltValue="6pHtK/NFlZTLLjBoCziQP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0.44164537184189023</v>
      </c>
      <c r="D2" s="52">
        <f>IFERROR(1-_xlfn.NORM.DIST(_xlfn.NORM.INV(SUM(D4:D5), 0, 1) + 1, 0, 1, TRUE), "")</f>
        <v>0.44164537184189023</v>
      </c>
      <c r="E2" s="52">
        <f>IFERROR(1-_xlfn.NORM.DIST(_xlfn.NORM.INV(SUM(E4:E5), 0, 1) + 1, 0, 1, TRUE), "")</f>
        <v>0.39200167866862889</v>
      </c>
      <c r="F2" s="52">
        <f>IFERROR(1-_xlfn.NORM.DIST(_xlfn.NORM.INV(SUM(F4:F5), 0, 1) + 1, 0, 1, TRUE), "")</f>
        <v>0.19310127727033533</v>
      </c>
      <c r="G2" s="52">
        <f>IFERROR(1-_xlfn.NORM.DIST(_xlfn.NORM.INV(SUM(G4:G5), 0, 1) + 1, 0, 1, TRUE), "")</f>
        <v>0.27262627322708688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0.36158072815810977</v>
      </c>
      <c r="D3" s="52">
        <f>IFERROR(_xlfn.NORM.DIST(_xlfn.NORM.INV(SUM(D4:D5), 0, 1) + 1, 0, 1, TRUE) - SUM(D4:D5), "")</f>
        <v>0.36158072815810977</v>
      </c>
      <c r="E3" s="52">
        <f>IFERROR(_xlfn.NORM.DIST(_xlfn.NORM.INV(SUM(E4:E5), 0, 1) + 1, 0, 1, TRUE) - SUM(E4:E5), "")</f>
        <v>0.37404652133137112</v>
      </c>
      <c r="F3" s="52">
        <f>IFERROR(_xlfn.NORM.DIST(_xlfn.NORM.INV(SUM(F4:F5), 0, 1) + 1, 0, 1, TRUE) - SUM(F4:F5), "")</f>
        <v>0.35999002272966463</v>
      </c>
      <c r="G3" s="52">
        <f>IFERROR(_xlfn.NORM.DIST(_xlfn.NORM.INV(SUM(G4:G5), 0, 1) + 1, 0, 1, TRUE) - SUM(G4:G5), "")</f>
        <v>0.38099312677291314</v>
      </c>
    </row>
    <row r="4" spans="1:15" ht="15.75" customHeight="1" x14ac:dyDescent="0.25">
      <c r="B4" s="5" t="s">
        <v>114</v>
      </c>
      <c r="C4" s="45">
        <v>0.13775409999999999</v>
      </c>
      <c r="D4" s="53">
        <v>0.13775409999999999</v>
      </c>
      <c r="E4" s="53">
        <v>0.1247017</v>
      </c>
      <c r="F4" s="53">
        <v>0.28340530000000003</v>
      </c>
      <c r="G4" s="53">
        <v>0.24160329999999999</v>
      </c>
    </row>
    <row r="5" spans="1:15" ht="15.75" customHeight="1" x14ac:dyDescent="0.25">
      <c r="B5" s="5" t="s">
        <v>115</v>
      </c>
      <c r="C5" s="45">
        <v>5.9019799999999997E-2</v>
      </c>
      <c r="D5" s="53">
        <v>5.9019799999999997E-2</v>
      </c>
      <c r="E5" s="53">
        <v>0.1092501</v>
      </c>
      <c r="F5" s="53">
        <v>0.16350339999999999</v>
      </c>
      <c r="G5" s="53">
        <v>0.1047773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0.7762927027928157</v>
      </c>
      <c r="D8" s="52">
        <f>IFERROR(1-_xlfn.NORM.DIST(_xlfn.NORM.INV(SUM(D10:D11), 0, 1) + 1, 0, 1, TRUE), "")</f>
        <v>0.7762927027928157</v>
      </c>
      <c r="E8" s="52">
        <f>IFERROR(1-_xlfn.NORM.DIST(_xlfn.NORM.INV(SUM(E10:E11), 0, 1) + 1, 0, 1, TRUE), "")</f>
        <v>0.79047634861427762</v>
      </c>
      <c r="F8" s="52">
        <f>IFERROR(1-_xlfn.NORM.DIST(_xlfn.NORM.INV(SUM(F10:F11), 0, 1) + 1, 0, 1, TRUE), "")</f>
        <v>0.84189946186029696</v>
      </c>
      <c r="G8" s="52">
        <f>IFERROR(1-_xlfn.NORM.DIST(_xlfn.NORM.INV(SUM(G10:G11), 0, 1) + 1, 0, 1, TRUE), "")</f>
        <v>0.87427773634898454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0.18448069720718435</v>
      </c>
      <c r="D9" s="52">
        <f>IFERROR(_xlfn.NORM.DIST(_xlfn.NORM.INV(SUM(D10:D11), 0, 1) + 1, 0, 1, TRUE) - SUM(D10:D11), "")</f>
        <v>0.18448069720718435</v>
      </c>
      <c r="E9" s="52">
        <f>IFERROR(_xlfn.NORM.DIST(_xlfn.NORM.INV(SUM(E10:E11), 0, 1) + 1, 0, 1, TRUE) - SUM(E10:E11), "")</f>
        <v>0.17422625138572237</v>
      </c>
      <c r="F9" s="52">
        <f>IFERROR(_xlfn.NORM.DIST(_xlfn.NORM.INV(SUM(F10:F11), 0, 1) + 1, 0, 1, TRUE) - SUM(F10:F11), "")</f>
        <v>0.13547403813970302</v>
      </c>
      <c r="G9" s="52">
        <f>IFERROR(_xlfn.NORM.DIST(_xlfn.NORM.INV(SUM(G10:G11), 0, 1) + 1, 0, 1, TRUE) - SUM(G10:G11), "")</f>
        <v>0.1098195636510155</v>
      </c>
    </row>
    <row r="10" spans="1:15" ht="15.75" customHeight="1" x14ac:dyDescent="0.25">
      <c r="B10" s="5" t="s">
        <v>119</v>
      </c>
      <c r="C10" s="45">
        <v>1.9007900000000001E-2</v>
      </c>
      <c r="D10" s="53">
        <v>1.9007900000000001E-2</v>
      </c>
      <c r="E10" s="53">
        <v>2.6654299999999999E-2</v>
      </c>
      <c r="F10" s="53">
        <v>1.23768E-2</v>
      </c>
      <c r="G10" s="53">
        <v>1.0315899999999999E-2</v>
      </c>
    </row>
    <row r="11" spans="1:15" ht="15.75" customHeight="1" x14ac:dyDescent="0.25">
      <c r="B11" s="5" t="s">
        <v>120</v>
      </c>
      <c r="C11" s="45">
        <v>2.0218699999999999E-2</v>
      </c>
      <c r="D11" s="53">
        <v>2.0218699999999999E-2</v>
      </c>
      <c r="E11" s="53">
        <v>8.6431000000000008E-3</v>
      </c>
      <c r="F11" s="53">
        <v>1.02497E-2</v>
      </c>
      <c r="G11" s="53">
        <v>5.5867999999999994E-3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0.54817841550000002</v>
      </c>
      <c r="D14" s="54">
        <v>0.53192778054099998</v>
      </c>
      <c r="E14" s="54">
        <v>0.53192778054099998</v>
      </c>
      <c r="F14" s="54">
        <v>0.51498086482299998</v>
      </c>
      <c r="G14" s="54">
        <v>0.51498086482299998</v>
      </c>
      <c r="H14" s="45">
        <v>0.33200000000000002</v>
      </c>
      <c r="I14" s="55">
        <v>0.33200000000000002</v>
      </c>
      <c r="J14" s="55">
        <v>0.33200000000000002</v>
      </c>
      <c r="K14" s="55">
        <v>0.33200000000000002</v>
      </c>
      <c r="L14" s="45">
        <v>0.27</v>
      </c>
      <c r="M14" s="55">
        <v>0.27</v>
      </c>
      <c r="N14" s="55">
        <v>0.27</v>
      </c>
      <c r="O14" s="55">
        <v>0.27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0.30006244925480552</v>
      </c>
      <c r="D15" s="52">
        <f t="shared" si="0"/>
        <v>0.2911671604403131</v>
      </c>
      <c r="E15" s="52">
        <f t="shared" si="0"/>
        <v>0.2911671604403131</v>
      </c>
      <c r="F15" s="52">
        <f t="shared" si="0"/>
        <v>0.28189074076767856</v>
      </c>
      <c r="G15" s="52">
        <f t="shared" si="0"/>
        <v>0.28189074076767856</v>
      </c>
      <c r="H15" s="52">
        <f t="shared" si="0"/>
        <v>0.18173049200000002</v>
      </c>
      <c r="I15" s="52">
        <f t="shared" si="0"/>
        <v>0.18173049200000002</v>
      </c>
      <c r="J15" s="52">
        <f t="shared" si="0"/>
        <v>0.18173049200000002</v>
      </c>
      <c r="K15" s="52">
        <f t="shared" si="0"/>
        <v>0.18173049200000002</v>
      </c>
      <c r="L15" s="52">
        <f t="shared" si="0"/>
        <v>0.14779287000000002</v>
      </c>
      <c r="M15" s="52">
        <f t="shared" si="0"/>
        <v>0.14779287000000002</v>
      </c>
      <c r="N15" s="52">
        <f t="shared" si="0"/>
        <v>0.14779287000000002</v>
      </c>
      <c r="O15" s="52">
        <f t="shared" si="0"/>
        <v>0.14779287000000002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GaIG0u+mHhfF8mp8lu5fZnJ1icQC/9+Z3JMKrE0ao07v8/fbC9maABgcjR5JVa2cGNKDEPhGyiK1wAqBTPNH0w==" saltValue="OB2LwxE46E4cH5817/ZD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0.82486890000000002</v>
      </c>
      <c r="D2" s="53">
        <v>0.54791509999999999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3.1576899999999998E-2</v>
      </c>
      <c r="D3" s="53">
        <v>5.63711E-2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0.1075892</v>
      </c>
      <c r="D4" s="53">
        <v>0.28015960000000001</v>
      </c>
      <c r="E4" s="53">
        <v>0.74949389999999994</v>
      </c>
      <c r="F4" s="53">
        <v>0.3424198</v>
      </c>
      <c r="G4" s="53">
        <v>0</v>
      </c>
    </row>
    <row r="5" spans="1:7" x14ac:dyDescent="0.25">
      <c r="B5" s="3" t="s">
        <v>132</v>
      </c>
      <c r="C5" s="52">
        <v>3.5964900000000001E-2</v>
      </c>
      <c r="D5" s="52">
        <v>0.1155542</v>
      </c>
      <c r="E5" s="52">
        <f>1-SUM(E2:E4)</f>
        <v>0.25050610000000006</v>
      </c>
      <c r="F5" s="52">
        <f>1-SUM(F2:F4)</f>
        <v>0.65758019999999995</v>
      </c>
      <c r="G5" s="52">
        <f>1-SUM(G2:G4)</f>
        <v>1</v>
      </c>
    </row>
  </sheetData>
  <sheetProtection algorithmName="SHA-512" hashValue="2L6rchpDkk4ghsBJO8uJpJ1LXR/TsGLYf8WOOfHTfpyYReLDZqQx+g8z3T9JnDraiFqcNQhsGPJwKKTU1ZCfCQ==" saltValue="1nV18xWZ6HBALkn03wvEc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K4W36uNVvAYEfoE95xz/MP+IUIQQsiY1NmpMiIVLrXRe1AgR86KbYKsUpFhhMEWnk0hQlh1QcLGgM+bS35mh0g==" saltValue="ZyAmbUa0RJ858B3IULLEr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+YXSFkwC60ylIRkSuBXGiiJOkaC73vCiBFi7uKgExqbKwBMiQ2HlEGfZm9txdWsv3/01NLxc5pC5VkyRUT6fAA==" saltValue="U/u3oYRqgpzOeaOI7F0Tm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DeYN/WADpYARWJa9PKfJ2aIymezk9odwNMoknXUqsIh/oDE9dzNziW1G4kJE1fmjEFeO0iEYNFPQg/E1R7RNlw==" saltValue="uhAVshBql7rQOaYbHb+BI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bx7nF0kIGvhMqVAKWhga8mx9kruu7MmNfmlueLdWVkDoNtEuiNSq3St663pGd8Vd47CRybtXQRaqxwwOmFYQxg==" saltValue="EpuQWM94TBaE5YIi8bhx5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65.60734264525216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18.819551991305399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7.2861200073283072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0.34881273754836678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0.38567054261930528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0.10284547803181469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0.5</v>
      </c>
      <c r="C9" s="98">
        <v>0.95</v>
      </c>
      <c r="D9" s="56">
        <v>0.22711709732025759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0.51401540000000001</v>
      </c>
      <c r="C10" s="98">
        <v>0.95</v>
      </c>
      <c r="D10" s="56">
        <v>12.568617380907741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12.568617380907741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12.568617380907741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12.568617380907741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0.51401540000000001</v>
      </c>
      <c r="C14" s="98">
        <v>0.95</v>
      </c>
      <c r="D14" s="56">
        <v>12.568617380907741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12.568617380907741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2.503642449664842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0.621</v>
      </c>
      <c r="C18" s="98">
        <v>0.95</v>
      </c>
      <c r="D18" s="56">
        <v>7.2861200073283072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0.54791509999999999</v>
      </c>
      <c r="C19" s="98">
        <v>0.95</v>
      </c>
      <c r="D19" s="56">
        <v>7.2861200073283072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7.4846345450640612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21.456851937503181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4.0021113729210773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0.64977730725310001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0.51401540000000001</v>
      </c>
      <c r="C26" s="98">
        <v>0.95</v>
      </c>
      <c r="D26" s="56">
        <v>3.4665816434934871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13.803307962555669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0.39736890000000002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0.1669523</v>
      </c>
      <c r="C29" s="98">
        <v>0.95</v>
      </c>
      <c r="D29" s="56">
        <v>88.005851455993124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6.1500000000000013E-2</v>
      </c>
      <c r="C31" s="98">
        <v>0.95</v>
      </c>
      <c r="D31" s="56">
        <v>180.94215297303569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0.18</v>
      </c>
      <c r="C32" s="98">
        <v>0.95</v>
      </c>
      <c r="D32" s="56">
        <v>0.65266805708153031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5.5719100000000001E-2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0.52886619999999995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2.7888000000000001E-3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0.72270930000000011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6.9999999999999993E-3</v>
      </c>
      <c r="C38" s="98">
        <v>0.95</v>
      </c>
      <c r="D38" s="56">
        <v>2.4488574538288082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201</v>
      </c>
      <c r="F39" s="98">
        <v>1</v>
      </c>
      <c r="G39" s="98">
        <v>1</v>
      </c>
    </row>
  </sheetData>
  <sheetProtection algorithmName="SHA-512" hashValue="rN6FBZHfRA/z2okhVnq7JK6xHq3ti4fomefUqgnIRQW0Ihgjd38O6pfYQIR6YXjzsq3kdesFe3e1qVhk42SXyw==" saltValue="za7VKppXq1tdCSPSINXG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IHyt2eWofls7jcVF6ZqXyfZTRwOq3h/kXJcRSeEirwYpzOgBM/tGVC1tf7PhXMPfYmU6hyv9XIA3DDzuDm79Ew==" saltValue="QJSEIE2/8p8foxGeV5A4G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2gvl66jGeUEVAqoW8MpZ7VTs4PQFRDxWJjvrZRrFsyOETPfANlHFYhKy1cyNp/0uICqizbhLQI8yElczsZjrTA==" saltValue="eztQ+VrQ+Byj4NIyzC3Ho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4.9420540000000006E-2</v>
      </c>
      <c r="C3" s="21">
        <f>frac_mam_1_5months * 2.6</f>
        <v>4.9420540000000006E-2</v>
      </c>
      <c r="D3" s="21">
        <f>frac_mam_6_11months * 2.6</f>
        <v>6.9301180000000004E-2</v>
      </c>
      <c r="E3" s="21">
        <f>frac_mam_12_23months * 2.6</f>
        <v>3.2179680000000002E-2</v>
      </c>
      <c r="F3" s="21">
        <f>frac_mam_24_59months * 2.6</f>
        <v>2.6821339999999999E-2</v>
      </c>
    </row>
    <row r="4" spans="1:6" ht="15.75" customHeight="1" x14ac:dyDescent="0.25">
      <c r="A4" s="3" t="s">
        <v>208</v>
      </c>
      <c r="B4" s="21">
        <f>frac_sam_1month * 2.6</f>
        <v>5.2568619999999996E-2</v>
      </c>
      <c r="C4" s="21">
        <f>frac_sam_1_5months * 2.6</f>
        <v>5.2568619999999996E-2</v>
      </c>
      <c r="D4" s="21">
        <f>frac_sam_6_11months * 2.6</f>
        <v>2.2472060000000002E-2</v>
      </c>
      <c r="E4" s="21">
        <f>frac_sam_12_23months * 2.6</f>
        <v>2.6649220000000001E-2</v>
      </c>
      <c r="F4" s="21">
        <f>frac_sam_24_59months * 2.6</f>
        <v>1.4525679999999999E-2</v>
      </c>
    </row>
  </sheetData>
  <sheetProtection algorithmName="SHA-512" hashValue="eUk4qXsI3SLqqIriYBf7cCCIZHJV9eSzygRTwWYJpTky5P3X9gxmHJMF9Mbst6LL+Za6PXL0NAM7L+nPr85qqA==" saltValue="PvLiw13SFKv2PydstmVcH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0.26900000000000002</v>
      </c>
      <c r="E2" s="60">
        <f>food_insecure</f>
        <v>0.26900000000000002</v>
      </c>
      <c r="F2" s="60">
        <f>food_insecure</f>
        <v>0.26900000000000002</v>
      </c>
      <c r="G2" s="60">
        <f>food_insecure</f>
        <v>0.26900000000000002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0.26900000000000002</v>
      </c>
      <c r="F5" s="60">
        <f>food_insecure</f>
        <v>0.26900000000000002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0.26900000000000002</v>
      </c>
      <c r="F8" s="60">
        <f>food_insecure</f>
        <v>0.26900000000000002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0.26900000000000002</v>
      </c>
      <c r="F9" s="60">
        <f>food_insecure</f>
        <v>0.26900000000000002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0.26900000000000002</v>
      </c>
      <c r="I15" s="60">
        <f>food_insecure</f>
        <v>0.26900000000000002</v>
      </c>
      <c r="J15" s="60">
        <f>food_insecure</f>
        <v>0.26900000000000002</v>
      </c>
      <c r="K15" s="60">
        <f>food_insecure</f>
        <v>0.26900000000000002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0.23899999999999999</v>
      </c>
      <c r="M24" s="60">
        <f>famplan_unmet_need</f>
        <v>0.23899999999999999</v>
      </c>
      <c r="N24" s="60">
        <f>famplan_unmet_need</f>
        <v>0.23899999999999999</v>
      </c>
      <c r="O24" s="60">
        <f>famplan_unmet_need</f>
        <v>0.23899999999999999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0.30180664075317354</v>
      </c>
      <c r="M25" s="60">
        <f>(1-food_insecure)*(0.49)+food_insecure*(0.7)</f>
        <v>0.54649000000000003</v>
      </c>
      <c r="N25" s="60">
        <f>(1-food_insecure)*(0.49)+food_insecure*(0.7)</f>
        <v>0.54649000000000003</v>
      </c>
      <c r="O25" s="60">
        <f>(1-food_insecure)*(0.49)+food_insecure*(0.7)</f>
        <v>0.54649000000000003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0.12934570317993152</v>
      </c>
      <c r="M26" s="60">
        <f>(1-food_insecure)*(0.21)+food_insecure*(0.3)</f>
        <v>0.23420999999999997</v>
      </c>
      <c r="N26" s="60">
        <f>(1-food_insecure)*(0.21)+food_insecure*(0.3)</f>
        <v>0.23420999999999997</v>
      </c>
      <c r="O26" s="60">
        <f>(1-food_insecure)*(0.21)+food_insecure*(0.3)</f>
        <v>0.23420999999999997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0.12111145001220691</v>
      </c>
      <c r="M27" s="60">
        <f>(1-food_insecure)*(0.3)</f>
        <v>0.21929999999999999</v>
      </c>
      <c r="N27" s="60">
        <f>(1-food_insecure)*(0.3)</f>
        <v>0.21929999999999999</v>
      </c>
      <c r="O27" s="60">
        <f>(1-food_insecure)*(0.3)</f>
        <v>0.21929999999999999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0.447736206054688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xeh9dQUbZu918rglH2xtuBtu74+AxcliZ3bD9NV5ZVJYTc19F6fKmnXJdfKenohYCjj+uqH9TkeNjvq80phlw==" saltValue="h7p5BjXZRL5XHzTGm0v0m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ZfGYi7fP6dTlD27KH6h8Xz4vmzWPl9/l5Awu+rcVtAou5RMXpTBk8UkKd9Q0BSlz4/1Jcp1VvzSs4uMYx84h1w==" saltValue="s2GBd03lemqdqMmZsuFel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UumYxX6P2IQ2XzfLAgyRGzCkqW/JkjmLV4bWYmKcigI+RQ7umfevbaMnrTRvMjh78VjmuC/xKaNuYw95BWVjfA==" saltValue="3MxcHEvNPRdan12229a1w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ss30oI6mqid1o/zQ3uFpfj7SkT/LXLrgQImMiKe/rsyQACKp2cbTNxCbBJlIBAGoCkJ23YkKvC4qEBTTX/+UMQ==" saltValue="pLFLIvWuQ6RcmeKikG6kw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F/4BbPHP82Peav2BoYZXk0Ksofbf6MW4Z8IFL8F/jszdvsknjL075OdYznWWuqkri4E33qqopqpmfFZqRHBETw==" saltValue="rM3sWg1ucS8/jAozOITwL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XRwbLaWliUQYkGLReq7uTGJMVpFpFbzaHrCWX04B8aVnoo3bt904ZvP2sQy0YzrEP8vFYpmsx4hO7S5J7rqhXg==" saltValue="Nz38ZkiP86DY33+MA/5wD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cbh650nbFD6PxGFb3qfyWcR6b8bWMchTlpr5jx3lZVDSGLfnMD4Z5Py4oC/r6eU44jqCWS6YD4b1lHzB1YfrXA==" saltValue="Q88ljkcV/4D6QL2iRx6z7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DvYN0YIoQImCZdxqRTZoWD4Kqo5ikM3iiZo4eK4p2Rq5/U6+tLreSfz8adk+F4eHz9pfx+ZRAIKzikZzyOue3Q==" saltValue="O0EWLx1rEQJBJ2DHhgLR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8hAersrHE9x/suWeU2ESi2qcpfcjvnuTWUH4GHcM87+cFf8mIhBiXKAtzyMapdnCWtmnT0nlDjDnyYOmLA/E+A==" saltValue="Tup6s3W7tAqrdKq9ZyZn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MVK9T8cDyB24tM61axEZVUtaAxCSjXz550Q1vY0jK48Fb1TzcZ/5hnH8HmudsFAuo+z8XKJ0DFbWhwCFQfJnaQ==" saltValue="EzGdw/Abj0vlZW1hDYMG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eTVuEumj3NtmRsfJOuFPnjQuBCDiPqe4fbtCR1V3OefZAIq7t/NngZQmq15fbqH5JEGNLa1ygiUyav8ywaqP0A==" saltValue="CyV+GxCn+AqIdWALoxCg+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AFp7U9ZPTSv7B+0APkwfnxkFQ4vWi50PYJA8biOAADnhAAn8izfkJr43xCt6Xf2flm79xJHD7DDSicB0VJcyQ==" saltValue="BNYWkPI4TZ8mmEieq+1R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Rcy8iBPIrmtWcHMT20l3dw59MjkY8f+KSwafwUx4+mg15tOajtP/Sk22Do5NFn9IvOdov3nzrd07F4ra4jY6A==" saltValue="flZftJPS6NrgwLSfcCtTI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0.1091530352659017</v>
      </c>
      <c r="G18" s="90">
        <f>MIN(MAX(1-0.89/(1-frac_sam_12_23months+(frac_sam_12_23months*0.89)),0),1)</f>
        <v>0.10899542174116428</v>
      </c>
      <c r="H18" s="90">
        <f>MIN(MAX(1-0.89/(1-frac_sam_24_59months+(frac_sam_24_59months*0.89)),0),1)</f>
        <v>0.10945271594768013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0.10738287067748886</v>
      </c>
      <c r="G20" s="90">
        <f>MIN(MAX(1-0.89/(1-frac_mam_12_23months+(frac_mam_12_23months*0.89)),0),1)</f>
        <v>0.10878665937983945</v>
      </c>
      <c r="H20" s="90">
        <f>MIN(MAX(1-0.89/(1-frac_mam_24_59months+(frac_mam_24_59months*0.89)),0),1)</f>
        <v>0.10898892607487454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9.9144259137461388E-3</v>
      </c>
      <c r="G73" s="90">
        <f>MIN(MAX(1-0.99/(1-frac_sam_12_23months+(frac_sam_12_23months*0.99)),0),1)</f>
        <v>9.8985175683552473E-3</v>
      </c>
      <c r="H73" s="90">
        <f>MIN(MAX(1-0.99/(1-frac_sam_24_59months+(frac_sam_24_59months*0.99)),0),1)</f>
        <v>9.944687589806267E-3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9.7360520765286118E-3</v>
      </c>
      <c r="G75" s="90">
        <f>MIN(MAX(1-0.99/(1-frac_mam_12_23months+(frac_mam_12_23months*0.99)),0),1)</f>
        <v>9.8774545127902069E-3</v>
      </c>
      <c r="H75" s="90">
        <f>MIN(MAX(1-0.99/(1-frac_mam_24_59months+(frac_mam_24_59months*0.99)),0),1)</f>
        <v>9.8978620535515871E-3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0.19861470935889192</v>
      </c>
      <c r="G128" s="90">
        <f>MIN(MAX(1-0.8/(1-frac_sam_12_23months+(frac_sam_12_23months*0.8)),0),1)</f>
        <v>0.19835667929114598</v>
      </c>
      <c r="H128" s="90">
        <f>MIN(MAX(1-0.8/(1-frac_sam_24_59months+(frac_sam_24_59months*0.8)),0),1)</f>
        <v>0.19910511208804271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0.19571245570160134</v>
      </c>
      <c r="G130" s="90">
        <f>MIN(MAX(1-0.8/(1-frac_mam_12_23months+(frac_mam_12_23months*0.8)),0),1)</f>
        <v>0.19801479791015486</v>
      </c>
      <c r="H130" s="90">
        <f>MIN(MAX(1-0.8/(1-frac_mam_24_59months+(frac_mam_24_59months*0.8)),0),1)</f>
        <v>0.19834604359021435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swIq22Ulh2vYzq9oJpE9ajYSav/AZAVceLnlJ8eIcyWr9zDpProPyuMP7tUq9bTXi1as6l79ierO9qv9y1iFcQ==" saltValue="f5GxjRtg+DpBRDU05h7i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vZ+lQ+uC6NBeo+lfieXECTc+MEj1tP6VwIxXzzvzc7/U2tXPexYtuQbxgvDOdOnbWAEN63peDKEjZu5k97sgSA==" saltValue="ykpvDfUnQ5jBrW3lU9lyZ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2024-08-06T09:21:24Z</dcterms:modified>
</cp:coreProperties>
</file>