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615135F-6217-46FF-9CD2-133FF361529D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1" i="2"/>
  <c r="A25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9" i="2" l="1"/>
  <c r="I9" i="2"/>
  <c r="A24" i="2"/>
  <c r="I6" i="2"/>
  <c r="I12" i="2"/>
  <c r="A35" i="2"/>
  <c r="I2" i="2"/>
  <c r="I8" i="2"/>
  <c r="A19" i="2"/>
  <c r="A40" i="2"/>
  <c r="I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<sst xmlns="http://schemas.openxmlformats.org/spreadsheetml/2006/main" count="2169" uniqueCount="369">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</sst>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274721</v>
      </c>
    </row>
    <row r="8" spans="1:3" ht="15" customHeight="1" x14ac:dyDescent="0.25">
      <c r="B8" s="5" t="s">
        <v>37</v>
      </c>
      <c r="C8" s="44">
        <v>0.49700000000000011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0.50025979999999992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0.1454</v>
      </c>
    </row>
    <row r="24" spans="1:3" ht="15" customHeight="1" x14ac:dyDescent="0.25">
      <c r="B24" s="15" t="s">
        <v>51</v>
      </c>
      <c r="C24" s="45">
        <v>0.49180000000000001</v>
      </c>
    </row>
    <row r="25" spans="1:3" ht="15" customHeight="1" x14ac:dyDescent="0.25">
      <c r="B25" s="15" t="s">
        <v>52</v>
      </c>
      <c r="C25" s="45">
        <v>0.28089999999999998</v>
      </c>
    </row>
    <row r="26" spans="1:3" ht="15" customHeight="1" x14ac:dyDescent="0.25">
      <c r="B26" s="15" t="s">
        <v>53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7">
        <v>2.27253385251939E-2</v>
      </c>
    </row>
    <row r="31" spans="1:3" ht="14.25" customHeight="1" x14ac:dyDescent="0.25">
      <c r="B31" s="25" t="s">
        <v>57</v>
      </c>
      <c r="C31" s="97">
        <v>4.1775369773239798E-2</v>
      </c>
    </row>
    <row r="32" spans="1:3" ht="14.25" customHeight="1" x14ac:dyDescent="0.25">
      <c r="B32" s="25" t="s">
        <v>58</v>
      </c>
      <c r="C32" s="97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35.26191</v>
      </c>
    </row>
    <row r="38" spans="1:5" ht="15" customHeight="1" x14ac:dyDescent="0.25">
      <c r="B38" s="11" t="s">
        <v>63</v>
      </c>
      <c r="C38" s="43">
        <v>56.958309999999997</v>
      </c>
      <c r="D38" s="12"/>
      <c r="E38" s="13"/>
    </row>
    <row r="39" spans="1:5" ht="15" customHeight="1" x14ac:dyDescent="0.25">
      <c r="B39" s="11" t="s">
        <v>64</v>
      </c>
      <c r="C39" s="43">
        <v>72.925359999999998</v>
      </c>
      <c r="D39" s="12"/>
      <c r="E39" s="12"/>
    </row>
    <row r="40" spans="1:5" ht="15" customHeight="1" x14ac:dyDescent="0.25">
      <c r="B40" s="11" t="s">
        <v>65</v>
      </c>
      <c r="C40" s="98">
        <v>5.66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71</v>
      </c>
      <c r="C47" s="45">
        <v>7.3452400000000001E-2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1.56</v>
      </c>
      <c r="D51" s="12"/>
    </row>
    <row r="52" spans="1:4" ht="15" customHeight="1" x14ac:dyDescent="0.25">
      <c r="B52" s="11" t="s">
        <v>75</v>
      </c>
      <c r="C52" s="98">
        <v>1.56</v>
      </c>
    </row>
    <row r="53" spans="1:4" ht="15.75" customHeight="1" x14ac:dyDescent="0.25">
      <c r="B53" s="11" t="s">
        <v>76</v>
      </c>
      <c r="C53" s="98">
        <v>5.798</v>
      </c>
    </row>
    <row r="54" spans="1:4" ht="15.75" customHeight="1" x14ac:dyDescent="0.25">
      <c r="B54" s="11" t="s">
        <v>77</v>
      </c>
      <c r="C54" s="98">
        <v>5.72</v>
      </c>
    </row>
    <row r="55" spans="1:4" ht="15.75" customHeight="1" x14ac:dyDescent="0.25">
      <c r="B55" s="11" t="s">
        <v>78</v>
      </c>
      <c r="C55" s="98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0.54738100000000001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Wmyeu85HevbhyCEklByekN7T1cOwg6K+wCGQcO3el/sSHfBO8E4Ode9F3xtsdMR2oi+M9SV/GyxduoNgx/8WGw==" saltValue="CuvnKa5syKfueU2XIv8T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55542</v>
      </c>
      <c r="C2" s="49">
        <v>120380</v>
      </c>
      <c r="D2" s="49">
        <v>213518</v>
      </c>
      <c r="E2" s="49">
        <v>197734.5</v>
      </c>
      <c r="F2" s="49">
        <v>118527</v>
      </c>
      <c r="G2" s="17">
        <f t="shared" ref="G2:G13" si="0">C2+D2+E2+F2</f>
        <v>650159.5</v>
      </c>
      <c r="H2" s="17">
        <f t="shared" ref="H2:H13" si="1">(B2 + stillbirth*B2/(1000-stillbirth))/(1-abortion)</f>
        <v>64844.560678864938</v>
      </c>
      <c r="I2" s="17">
        <f t="shared" ref="I2:I13" si="2">G2-H2</f>
        <v>585314.93932113505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55434</v>
      </c>
      <c r="C3" s="50">
        <v>122219</v>
      </c>
      <c r="D3" s="50">
        <v>214641</v>
      </c>
      <c r="E3" s="50">
        <v>198607</v>
      </c>
      <c r="F3" s="50">
        <v>126492.5</v>
      </c>
      <c r="G3" s="17">
        <f t="shared" si="0"/>
        <v>661959.5</v>
      </c>
      <c r="H3" s="17">
        <f t="shared" si="1"/>
        <v>64718.472087288879</v>
      </c>
      <c r="I3" s="17">
        <f t="shared" si="2"/>
        <v>597241.02791271114</v>
      </c>
    </row>
    <row r="4" spans="1:9" ht="15.75" customHeight="1" x14ac:dyDescent="0.25">
      <c r="A4" s="5">
        <f t="shared" si="3"/>
        <v>2026</v>
      </c>
      <c r="B4" s="49">
        <v>55312</v>
      </c>
      <c r="C4" s="50">
        <v>124735.5</v>
      </c>
      <c r="D4" s="50">
        <v>215760</v>
      </c>
      <c r="E4" s="50">
        <v>198926.5</v>
      </c>
      <c r="F4" s="50">
        <v>134487.5</v>
      </c>
      <c r="G4" s="17">
        <f t="shared" si="0"/>
        <v>673909.5</v>
      </c>
      <c r="H4" s="17">
        <f t="shared" si="1"/>
        <v>64576.038678286292</v>
      </c>
      <c r="I4" s="17">
        <f t="shared" si="2"/>
        <v>609333.46132171375</v>
      </c>
    </row>
    <row r="5" spans="1:9" ht="15.75" customHeight="1" x14ac:dyDescent="0.25">
      <c r="A5" s="5">
        <f t="shared" si="3"/>
        <v>2027</v>
      </c>
      <c r="B5" s="49">
        <v>55177</v>
      </c>
      <c r="C5" s="50">
        <v>127377</v>
      </c>
      <c r="D5" s="50">
        <v>217338.5</v>
      </c>
      <c r="E5" s="50">
        <v>198580</v>
      </c>
      <c r="F5" s="50">
        <v>142647.5</v>
      </c>
      <c r="G5" s="17">
        <f t="shared" si="0"/>
        <v>685943</v>
      </c>
      <c r="H5" s="17">
        <f t="shared" si="1"/>
        <v>64418.427938816225</v>
      </c>
      <c r="I5" s="17">
        <f t="shared" si="2"/>
        <v>621524.57206118375</v>
      </c>
    </row>
    <row r="6" spans="1:9" ht="15.75" customHeight="1" x14ac:dyDescent="0.25">
      <c r="A6" s="5">
        <f t="shared" si="3"/>
        <v>2028</v>
      </c>
      <c r="B6" s="49">
        <v>55092</v>
      </c>
      <c r="C6" s="50">
        <v>129564.5</v>
      </c>
      <c r="D6" s="50">
        <v>219838.5</v>
      </c>
      <c r="E6" s="50">
        <v>197475</v>
      </c>
      <c r="F6" s="50">
        <v>150685</v>
      </c>
      <c r="G6" s="17">
        <f t="shared" si="0"/>
        <v>697563</v>
      </c>
      <c r="H6" s="17">
        <f t="shared" si="1"/>
        <v>64319.191547298033</v>
      </c>
      <c r="I6" s="17">
        <f t="shared" si="2"/>
        <v>633243.80845270201</v>
      </c>
    </row>
    <row r="7" spans="1:9" ht="15.75" customHeight="1" x14ac:dyDescent="0.25">
      <c r="A7" s="5">
        <f t="shared" si="3"/>
        <v>2029</v>
      </c>
      <c r="B7" s="49">
        <v>55086</v>
      </c>
      <c r="C7" s="50">
        <v>131613.5</v>
      </c>
      <c r="D7" s="50">
        <v>223062.5</v>
      </c>
      <c r="E7" s="50">
        <v>195950.5</v>
      </c>
      <c r="F7" s="50">
        <v>157987</v>
      </c>
      <c r="G7" s="17">
        <f t="shared" si="0"/>
        <v>708613.5</v>
      </c>
      <c r="H7" s="17">
        <f t="shared" si="1"/>
        <v>64312.1866255438</v>
      </c>
      <c r="I7" s="17">
        <f t="shared" si="2"/>
        <v>644301.31337445625</v>
      </c>
    </row>
    <row r="8" spans="1:9" ht="15.75" customHeight="1" x14ac:dyDescent="0.25">
      <c r="A8" s="5">
        <f t="shared" si="3"/>
        <v>2030</v>
      </c>
      <c r="B8" s="49">
        <v>55094</v>
      </c>
      <c r="C8" s="50">
        <v>133515.5</v>
      </c>
      <c r="D8" s="50">
        <v>226471.5</v>
      </c>
      <c r="E8" s="50">
        <v>194482.5</v>
      </c>
      <c r="F8" s="50">
        <v>164362.5</v>
      </c>
      <c r="G8" s="17">
        <f t="shared" si="0"/>
        <v>718832</v>
      </c>
      <c r="H8" s="17">
        <f t="shared" si="1"/>
        <v>64321.526521216103</v>
      </c>
      <c r="I8" s="17">
        <f t="shared" si="2"/>
        <v>654510.47347878385</v>
      </c>
    </row>
    <row r="9" spans="1:9" ht="15.75" customHeight="1" x14ac:dyDescent="0.25">
      <c r="A9" s="5">
        <f t="shared" si="3"/>
        <v>2031</v>
      </c>
      <c r="B9" s="49">
        <v>55121</v>
      </c>
      <c r="C9" s="50">
        <v>134799</v>
      </c>
      <c r="D9" s="50">
        <v>230138.5</v>
      </c>
      <c r="E9" s="50">
        <v>193697</v>
      </c>
      <c r="F9" s="50">
        <v>169761</v>
      </c>
      <c r="G9" s="17">
        <f t="shared" si="0"/>
        <v>728395.5</v>
      </c>
      <c r="H9" s="17">
        <f t="shared" si="1"/>
        <v>64353.048669110118</v>
      </c>
      <c r="I9" s="17">
        <f t="shared" si="2"/>
        <v>664042.45133088983</v>
      </c>
    </row>
    <row r="10" spans="1:9" ht="15.75" customHeight="1" x14ac:dyDescent="0.25">
      <c r="A10" s="5">
        <f t="shared" si="3"/>
        <v>2032</v>
      </c>
      <c r="B10" s="49">
        <v>55189</v>
      </c>
      <c r="C10" s="50">
        <v>135280</v>
      </c>
      <c r="D10" s="50">
        <v>233707</v>
      </c>
      <c r="E10" s="50">
        <v>194066.5</v>
      </c>
      <c r="F10" s="50">
        <v>174108.5</v>
      </c>
      <c r="G10" s="17">
        <f t="shared" si="0"/>
        <v>737162</v>
      </c>
      <c r="H10" s="17">
        <f t="shared" si="1"/>
        <v>64432.437782324676</v>
      </c>
      <c r="I10" s="17">
        <f t="shared" si="2"/>
        <v>672729.56221767538</v>
      </c>
    </row>
    <row r="11" spans="1:9" ht="15.75" customHeight="1" x14ac:dyDescent="0.25">
      <c r="A11" s="5">
        <f t="shared" si="3"/>
        <v>2033</v>
      </c>
      <c r="B11" s="49">
        <v>55268</v>
      </c>
      <c r="C11" s="50">
        <v>135095.5</v>
      </c>
      <c r="D11" s="50">
        <v>237022</v>
      </c>
      <c r="E11" s="50">
        <v>195413</v>
      </c>
      <c r="F11" s="50">
        <v>177253</v>
      </c>
      <c r="G11" s="17">
        <f t="shared" si="0"/>
        <v>744783.5</v>
      </c>
      <c r="H11" s="17">
        <f t="shared" si="1"/>
        <v>64524.669252088643</v>
      </c>
      <c r="I11" s="17">
        <f t="shared" si="2"/>
        <v>680258.83074791136</v>
      </c>
    </row>
    <row r="12" spans="1:9" ht="15.75" customHeight="1" x14ac:dyDescent="0.25">
      <c r="A12" s="5">
        <f t="shared" si="3"/>
        <v>2034</v>
      </c>
      <c r="B12" s="49">
        <v>55362</v>
      </c>
      <c r="C12" s="50">
        <v>134235.5</v>
      </c>
      <c r="D12" s="50">
        <v>240628.5</v>
      </c>
      <c r="E12" s="50">
        <v>197018</v>
      </c>
      <c r="F12" s="50">
        <v>179284</v>
      </c>
      <c r="G12" s="17">
        <f t="shared" si="0"/>
        <v>751166</v>
      </c>
      <c r="H12" s="17">
        <f t="shared" si="1"/>
        <v>64634.41302623818</v>
      </c>
      <c r="I12" s="17">
        <f t="shared" si="2"/>
        <v>686531.58697376179</v>
      </c>
    </row>
    <row r="13" spans="1:9" ht="15.75" customHeight="1" x14ac:dyDescent="0.25">
      <c r="A13" s="5">
        <f t="shared" si="3"/>
        <v>2035</v>
      </c>
      <c r="B13" s="49">
        <v>55384</v>
      </c>
      <c r="C13" s="50">
        <v>132851.5</v>
      </c>
      <c r="D13" s="50">
        <v>244517</v>
      </c>
      <c r="E13" s="50">
        <v>198520.5</v>
      </c>
      <c r="F13" s="50">
        <v>180519.5</v>
      </c>
      <c r="G13" s="17">
        <f t="shared" si="0"/>
        <v>756408.5</v>
      </c>
      <c r="H13" s="17">
        <f t="shared" si="1"/>
        <v>64660.097739336998</v>
      </c>
      <c r="I13" s="17">
        <f t="shared" si="2"/>
        <v>691748.40226066299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o2jEBTmK3ZFW5uMNKxyFIuEBMt4gQcZxH1kXButcnnkznevXD5EUc/dVbyJKp43uPVVB9iGqmzJomfkXlIhaQ==" saltValue="qPYrhRBHfOYV/tBjLMJB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7.7941000000000069E-3</v>
      </c>
    </row>
    <row r="4" spans="1:8" ht="15.75" customHeight="1" x14ac:dyDescent="0.25">
      <c r="B4" s="19" t="s">
        <v>97</v>
      </c>
      <c r="C4" s="99">
        <v>5.680499999999996E-2</v>
      </c>
    </row>
    <row r="5" spans="1:8" ht="15.75" customHeight="1" x14ac:dyDescent="0.25">
      <c r="B5" s="19" t="s">
        <v>98</v>
      </c>
      <c r="C5" s="99">
        <v>7.5246199999999971E-2</v>
      </c>
    </row>
    <row r="6" spans="1:8" ht="15.75" customHeight="1" x14ac:dyDescent="0.25">
      <c r="B6" s="19" t="s">
        <v>99</v>
      </c>
      <c r="C6" s="99">
        <v>0.24614950000000041</v>
      </c>
    </row>
    <row r="7" spans="1:8" ht="15.75" customHeight="1" x14ac:dyDescent="0.25">
      <c r="B7" s="19" t="s">
        <v>100</v>
      </c>
      <c r="C7" s="99">
        <v>0.42908479999999949</v>
      </c>
    </row>
    <row r="8" spans="1:8" ht="15.75" customHeight="1" x14ac:dyDescent="0.25">
      <c r="B8" s="19" t="s">
        <v>101</v>
      </c>
      <c r="C8" s="99">
        <v>1.3393000000000001E-3</v>
      </c>
    </row>
    <row r="9" spans="1:8" ht="15.75" customHeight="1" x14ac:dyDescent="0.25">
      <c r="B9" s="19" t="s">
        <v>102</v>
      </c>
      <c r="C9" s="99">
        <v>6.3739400000000085E-2</v>
      </c>
    </row>
    <row r="10" spans="1:8" ht="15.75" customHeight="1" x14ac:dyDescent="0.25">
      <c r="B10" s="19" t="s">
        <v>103</v>
      </c>
      <c r="C10" s="99">
        <v>0.11984170000000011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106</v>
      </c>
      <c r="C15" s="99">
        <v>0.2119757211068988</v>
      </c>
      <c r="D15" s="99">
        <v>0.2119757211068988</v>
      </c>
      <c r="E15" s="99">
        <v>0.2119757211068988</v>
      </c>
      <c r="F15" s="99">
        <v>0.2119757211068988</v>
      </c>
    </row>
    <row r="16" spans="1:8" ht="15.75" customHeight="1" x14ac:dyDescent="0.25">
      <c r="B16" s="19" t="s">
        <v>107</v>
      </c>
      <c r="C16" s="99">
        <v>1.4086381465792089E-2</v>
      </c>
      <c r="D16" s="99">
        <v>1.4086381465792089E-2</v>
      </c>
      <c r="E16" s="99">
        <v>1.4086381465792089E-2</v>
      </c>
      <c r="F16" s="99">
        <v>1.4086381465792089E-2</v>
      </c>
    </row>
    <row r="17" spans="1:8" ht="15.75" customHeight="1" x14ac:dyDescent="0.25">
      <c r="B17" s="19" t="s">
        <v>108</v>
      </c>
      <c r="C17" s="99">
        <v>5.4992529902401334E-3</v>
      </c>
      <c r="D17" s="99">
        <v>5.4992529902401334E-3</v>
      </c>
      <c r="E17" s="99">
        <v>5.4992529902401334E-3</v>
      </c>
      <c r="F17" s="99">
        <v>5.4992529902401334E-3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2.240392218952935E-2</v>
      </c>
      <c r="D19" s="99">
        <v>2.240392218952935E-2</v>
      </c>
      <c r="E19" s="99">
        <v>2.240392218952935E-2</v>
      </c>
      <c r="F19" s="99">
        <v>2.240392218952935E-2</v>
      </c>
    </row>
    <row r="20" spans="1:8" ht="15.75" customHeight="1" x14ac:dyDescent="0.25">
      <c r="B20" s="19" t="s">
        <v>111</v>
      </c>
      <c r="C20" s="99">
        <v>0.23441902277012119</v>
      </c>
      <c r="D20" s="99">
        <v>0.23441902277012119</v>
      </c>
      <c r="E20" s="99">
        <v>0.23441902277012119</v>
      </c>
      <c r="F20" s="99">
        <v>0.23441902277012119</v>
      </c>
    </row>
    <row r="21" spans="1:8" ht="15.75" customHeight="1" x14ac:dyDescent="0.25">
      <c r="B21" s="19" t="s">
        <v>112</v>
      </c>
      <c r="C21" s="99">
        <v>0.1020277474478483</v>
      </c>
      <c r="D21" s="99">
        <v>0.1020277474478483</v>
      </c>
      <c r="E21" s="99">
        <v>0.1020277474478483</v>
      </c>
      <c r="F21" s="99">
        <v>0.1020277474478483</v>
      </c>
    </row>
    <row r="22" spans="1:8" ht="15.75" customHeight="1" x14ac:dyDescent="0.25">
      <c r="B22" s="19" t="s">
        <v>113</v>
      </c>
      <c r="C22" s="99">
        <v>0.2135588845806389</v>
      </c>
      <c r="D22" s="99">
        <v>0.2135588845806389</v>
      </c>
      <c r="E22" s="99">
        <v>0.2135588845806389</v>
      </c>
      <c r="F22" s="99">
        <v>0.2135588845806389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7.8500723999999994E-2</v>
      </c>
    </row>
    <row r="27" spans="1:8" ht="15.75" customHeight="1" x14ac:dyDescent="0.25">
      <c r="B27" s="19" t="s">
        <v>120</v>
      </c>
      <c r="C27" s="99">
        <v>7.8598569999999996E-3</v>
      </c>
    </row>
    <row r="28" spans="1:8" ht="15.75" customHeight="1" x14ac:dyDescent="0.25">
      <c r="B28" s="19" t="s">
        <v>121</v>
      </c>
      <c r="C28" s="99">
        <v>0.139408438</v>
      </c>
    </row>
    <row r="29" spans="1:8" ht="15.75" customHeight="1" x14ac:dyDescent="0.25">
      <c r="B29" s="19" t="s">
        <v>122</v>
      </c>
      <c r="C29" s="99">
        <v>0.15153803099999999</v>
      </c>
    </row>
    <row r="30" spans="1:8" ht="15.75" customHeight="1" x14ac:dyDescent="0.25">
      <c r="B30" s="19" t="s">
        <v>2</v>
      </c>
      <c r="C30" s="99">
        <v>9.5629616000000001E-2</v>
      </c>
    </row>
    <row r="31" spans="1:8" ht="15.75" customHeight="1" x14ac:dyDescent="0.25">
      <c r="B31" s="19" t="s">
        <v>123</v>
      </c>
      <c r="C31" s="99">
        <v>9.8062453999999993E-2</v>
      </c>
    </row>
    <row r="32" spans="1:8" ht="15.75" customHeight="1" x14ac:dyDescent="0.25">
      <c r="B32" s="19" t="s">
        <v>124</v>
      </c>
      <c r="C32" s="99">
        <v>1.6473412E-2</v>
      </c>
    </row>
    <row r="33" spans="2:3" ht="15.75" customHeight="1" x14ac:dyDescent="0.25">
      <c r="B33" s="19" t="s">
        <v>125</v>
      </c>
      <c r="C33" s="99">
        <v>7.5640217999999995E-2</v>
      </c>
    </row>
    <row r="34" spans="2:3" ht="15.75" customHeight="1" x14ac:dyDescent="0.25">
      <c r="B34" s="19" t="s">
        <v>126</v>
      </c>
      <c r="C34" s="99">
        <v>0.33688724799999997</v>
      </c>
    </row>
    <row r="35" spans="2:3" ht="15.75" customHeight="1" x14ac:dyDescent="0.25">
      <c r="B35" s="27" t="s">
        <v>59</v>
      </c>
      <c r="C35" s="48">
        <f>SUM(C26:C34)</f>
        <v>0.99999999799999983</v>
      </c>
    </row>
  </sheetData>
  <sheetProtection algorithmName="SHA-512" hashValue="RfUcE5PmpluHjP2Xj6SCbd45Mos5dhx+9cpzyLISrwM5uzXmvswz85umpXtB2MnjB4MECaiPSXDWEReyyTpGKA==" saltValue="bdlb8dFfh4QFazcAPkoQ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132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133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137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Ep81A1+iUEbxCGu3UDcr6EHjO2Aos227itVKn8ZsKW71tciCe+mP8NvDx8fWVV1VvFV/CBPq4ga0iDdcLFRlg==" saltValue="QY9BJYMHrmZwzhH9mEhq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CjYnyF4/al4BSc3UbvStIoOqHT/Qhsx8bZrqYyyROrUK/AQEIyTGGalmjljcs4YkP+Alx+LtWfmAtGIw+f/e1w==" saltValue="54nWZFC0DFSi1GQbdDRA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X+6UFG1M8q5/hfS6jOMGhhxx6cT4Mlj59qrJcwlVlwZrIII5Ue+RM4evxf2XCi+d9ArNyfHNHBLb6nWZzys/g==" saltValue="ksFxDz0zHQGmOgBEqHy6w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969.93576015940596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0.55220000000000002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0.59519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1.8943005751266326E-2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91334.282250000004</v>
      </c>
      <c r="C22" s="107">
        <v>90869.409620000006</v>
      </c>
      <c r="D22" s="107">
        <v>90541.851280000003</v>
      </c>
      <c r="E22" s="107">
        <v>89152.615990000006</v>
      </c>
      <c r="F22" s="107">
        <v>86938.323080000002</v>
      </c>
      <c r="G22" s="107">
        <v>83441.564849999995</v>
      </c>
      <c r="H22" s="107">
        <v>78242.721080000003</v>
      </c>
      <c r="I22" s="107">
        <v>71331.386240000007</v>
      </c>
      <c r="J22" s="107">
        <v>63229.26539</v>
      </c>
      <c r="K22" s="107">
        <v>54556.007660000003</v>
      </c>
      <c r="L22" s="107">
        <v>46247.636780000001</v>
      </c>
      <c r="M22" s="107">
        <v>38298.813719999998</v>
      </c>
      <c r="N22" s="107">
        <v>30591.59201</v>
      </c>
      <c r="O22" s="107">
        <v>23049.9362</v>
      </c>
    </row>
  </sheetData>
  <sheetProtection algorithmName="SHA-512" hashValue="tjLSuBFJ2sclZNSkJgEtut8nlCyJ9lDhh7J+ysRYdFiTWKWnKU4CjI+tMnwOJUiVsTNyH20wr6Wz+FjPS5ggxg==" saltValue="hSe8+ySXq3NwAUGs6gG/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HjaMf1I3OuRGov7/oe5T6Lj+dey0Wa8FH3aPe8AM3yottGce+jazYtCWj/7t1WaLwVetfkkLIpQ/d8B29ycc/Q==" saltValue="bWzdItAyPFQKGqyfXqlJL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88c+xU/49WGTrdsb10uS2QU4guNZO/nAliU2m2XptFGE67uTOEilWms0nCwVdC6QN8HOW17o+XZk19y7fDmnCA==" saltValue="Pds8XQ5uCDF+NHy7729Nf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0.38567054261930528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0.51401540000000001</v>
      </c>
      <c r="C10" s="96">
        <v>0.95</v>
      </c>
      <c r="D10" s="56">
        <v>12.568617380907741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12.568617380907741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12.568617380907741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12.568617380907741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12.568617380907741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0.621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0.54791509999999999</v>
      </c>
      <c r="C19" s="96">
        <v>0.95</v>
      </c>
      <c r="D19" s="56">
        <v>2.4903242449752758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4.0021113729210773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0.64977730725310001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0.39736890000000002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0.1669523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6.1500000000000013E-2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0.69599999999999995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5.5719100000000001E-2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0.52886619999999995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2.7888000000000001E-3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0.72270930000000011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0.104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Kzh99hPT1GjRmPSnTiwMZNjOVsnDs1Sq/0M3LFH4u6mxB7CvUbUWQP8KoH6wIexxz5XicQu+rxJLKgIBsbMi1g==" saltValue="kG5pRIOgouQrO/ts3MVs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99HKXXhvQsGipr/4yLDzShpexZLdnumHV8E1QKj4lVCip8oWOWXIH5ug5K8lyc9mNHM26wBx/jyGtMO6bvBzA==" saltValue="3QXQoRRqPsklS58KFDck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c47jJ+0H+Oc55Y0WhITpCZkynXNFvHsbiO3vaAsNr+rC7p9qG13TpOJRKHrx+FzeoiJo082SCE+9V8x8NrYsw==" saltValue="GRxIqahRkHNLgdyRzD/L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1.56</v>
      </c>
      <c r="C2" s="21">
        <f>'Données pop de l''année de ref'!C52</f>
        <v>1.56</v>
      </c>
      <c r="D2" s="21">
        <f>'Données pop de l''année de ref'!C53</f>
        <v>5.798</v>
      </c>
      <c r="E2" s="21">
        <f>'Données pop de l''année de ref'!C54</f>
        <v>5.72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237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i5y6y2ROBu8VVPLvFmYMbVBIM/IzbhSIdxGu+kbOnt4ZhGJmHOgYEtuGvgCcPnNjnYSlj+J8OrDRy/hUITed0Q==" saltValue="RN3X0l33/zBFOze2V3P8e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Ya30b35epdJwbwdCOyH+MVobOBl9TlOqrpahj6F6BXd4B1hZNxNYliZkC8moPRZLOxLa9dm1owMHR7sdbQrgQ==" saltValue="iDXiobXYiHLF9JY6Jeyx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6EQiijCipBoy1e7n2SFoH4YKaKRpW+qEamYPDXw3XdfKb8QQlvvbSGfPUzuRZWfFdTtOvi1WPWG8drVDZVn1Uw==" saltValue="J4EyPD8D4NsT3cLTtwOC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u206H8824QPFsZ1Adh3RJUmymCdSuexTEIWHUf1TraEI9G1ztxtNZtIjemwVm3+P1aHT2bHvHZvsFJonxqMHQ==" saltValue="ozFRWGEpHhjCCp436GO5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dsMGXVrdweV4TVVVy+pf4yu8dQmcQCX1jov0aWzasCIg225HCLoQYQkUj8I/9rkMD10hi7QAD/PprFtYKI9zA==" saltValue="+uSIztBh8qoEgcKoWBfY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qaRQHaYcl9RBnLXfUeEms2YHOxwKeBguXt3ZeePXYJ1gUbPOGtRTS33SrrQNofcQgiux+Qdu268Re2NH7Ge4Q==" saltValue="M0zFrXyyLbRXHICdQvQPU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tMavCAFxzkrDKRUd5t2j2DsF9U4+DoV9RugmZw83MVD3fVyAkQ/jwbwM4lh7L6JmYW4vimEcqohSFT800YUbg==" saltValue="ehtkGqNt/c0enyxG/YWB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1fLsUzL7ovPvDYzd0yN/6HL6i+nfuieibU0WrfaKwb+NlOycGjFd+kD1X6LrrtIfrmuVGW+k9krJrLJSZNCaw==" saltValue="q71ET6rQ29UsZUUBby7r9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FJAXZbss9MVZWWw8PX3STssdm0kZl86eS9zi/HaZnFfWjVcqbxD5vtY8LROnBGQ0Bvdqm2gjGVHExeV+7ds4g==" saltValue="pB4xN3MXhUM+Z3rqxFz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iahYtXUh0mWkpnzPVyY0JKbnAguctGc5At6erq9f279TpAzHFadatZe3e1exaohLJaThzcDKbkS3szXboJQ39A==" saltValue="Mp3r+lSe2UtkFr6XQlFR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/xe4E48/EvMjZbdc0cHt4uh18pOoW0SGXPttk1huLpFONzQtRwA4kFZHd7E7kn2fkt51jcCZ23NuaRoKsidwQ==" saltValue="an5ixArW7d/XOvax0P6l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nfRXHZmUJmvOq/oGaQraBJ5u/4NXmm6lJW8/K3qHEF9tmQXF4xXzLyiBPMOFq8XbyTBUnOfYlfSq4dIXDxdsA==" saltValue="ZLua7+Mei/GeJFiNZBSR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snn6pexeihaMWGQfU0X40xylMBPj8K15mwuvTadv0x0ewO6EZgTrM3pfhvHnfXSg+HnaY/09la0yk8zinz6/A==" saltValue="LtATxTXbb7pRx+86Fevf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HwliSn5ZpvQsCgP1KvJAL9vuVNHoS3b1lfloR8svTdOWl1nkzgpYl7JhFrUcyQUG6fFcbKRNfNDUKoOLWQ/0g==" saltValue="qs7X8PEL/FnUjeLo+suJ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M/YXVuMgQLNJWhjKsvmyJLciHt3QgW6UYdhvPLGd6M9LQFa1PGihaZMbkqksQ80FwdyrKn8NI0plVHUAAOfxA==" saltValue="FAGbANgclHk020fGLAq7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4T/EwSlUfHuU/QYfFeURK1ivUE0AE0YhJxn8lq1gZvgUpUCkzSmEcEORelyYXF0Wx68qkfwwTvYHkFiBjRz9g==" saltValue="Hz4yFKr3W0ggYLQiXobi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2026-04-29T06:23:48Z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