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AD5D858D-46B2-471A-958D-7748ED68AB2D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<sst xmlns="http://schemas.openxmlformats.org/spreadsheetml/2006/main" count="2102" uniqueCount="337">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</sst>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281186.49609375</v>
      </c>
    </row>
    <row r="8" spans="1:3" ht="15" customHeight="1" x14ac:dyDescent="0.25">
      <c r="B8" s="5" t="s">
        <v>19</v>
      </c>
      <c r="C8" s="44">
        <v>0.26900000000000002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0.447736206054688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0.23899999999999999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0.1454</v>
      </c>
    </row>
    <row r="24" spans="1:3" ht="15" customHeight="1" x14ac:dyDescent="0.25">
      <c r="B24" s="15" t="s">
        <v>33</v>
      </c>
      <c r="C24" s="45">
        <v>0.49180000000000001</v>
      </c>
    </row>
    <row r="25" spans="1:3" ht="15" customHeight="1" x14ac:dyDescent="0.25">
      <c r="B25" s="15" t="s">
        <v>34</v>
      </c>
      <c r="C25" s="45">
        <v>0.28089999999999998</v>
      </c>
    </row>
    <row r="26" spans="1:3" ht="15" customHeight="1" x14ac:dyDescent="0.25">
      <c r="B26" s="15" t="s">
        <v>35</v>
      </c>
      <c r="C26" s="45">
        <v>8.1900000000000001E-2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0.391186912619995</v>
      </c>
    </row>
    <row r="30" spans="1:3" ht="14.25" customHeight="1" x14ac:dyDescent="0.25">
      <c r="B30" s="25" t="s">
        <v>38</v>
      </c>
      <c r="C30" s="99">
        <v>2.27253385251939E-2</v>
      </c>
    </row>
    <row r="31" spans="1:3" ht="14.25" customHeight="1" x14ac:dyDescent="0.25">
      <c r="B31" s="25" t="s">
        <v>39</v>
      </c>
      <c r="C31" s="99">
        <v>4.1775369773239798E-2</v>
      </c>
    </row>
    <row r="32" spans="1:3" ht="14.25" customHeight="1" x14ac:dyDescent="0.25">
      <c r="B32" s="25" t="s">
        <v>40</v>
      </c>
      <c r="C32" s="99">
        <v>0.54431237908157204</v>
      </c>
    </row>
    <row r="33" spans="1:5" ht="13" customHeight="1" x14ac:dyDescent="0.25">
      <c r="B33" s="27" t="s">
        <v>41</v>
      </c>
      <c r="C33" s="48">
        <f>SUM(C29:C32)</f>
        <v>1.0000000000000009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35.26191</v>
      </c>
    </row>
    <row r="38" spans="1:5" ht="15" customHeight="1" x14ac:dyDescent="0.25">
      <c r="B38" s="11" t="s">
        <v>45</v>
      </c>
      <c r="C38" s="43">
        <v>56.958309999999997</v>
      </c>
      <c r="D38" s="12"/>
      <c r="E38" s="13"/>
    </row>
    <row r="39" spans="1:5" ht="15" customHeight="1" x14ac:dyDescent="0.25">
      <c r="B39" s="11" t="s">
        <v>46</v>
      </c>
      <c r="C39" s="43">
        <v>72.925359999999998</v>
      </c>
      <c r="D39" s="12"/>
      <c r="E39" s="12"/>
    </row>
    <row r="40" spans="1:5" ht="15" customHeight="1" x14ac:dyDescent="0.25">
      <c r="B40" s="11" t="s">
        <v>47</v>
      </c>
      <c r="C40" s="100">
        <v>5.66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26.658390000000001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7.9373000000000013E-3</v>
      </c>
      <c r="D45" s="12"/>
    </row>
    <row r="46" spans="1:5" ht="15.75" customHeight="1" x14ac:dyDescent="0.25">
      <c r="B46" s="11" t="s">
        <v>52</v>
      </c>
      <c r="C46" s="45">
        <v>8.5285299999999994E-2</v>
      </c>
      <c r="D46" s="12"/>
    </row>
    <row r="47" spans="1:5" ht="15.75" customHeight="1" x14ac:dyDescent="0.25">
      <c r="B47" s="11" t="s">
        <v>53</v>
      </c>
      <c r="C47" s="45">
        <v>7.3452400000000001E-2</v>
      </c>
      <c r="D47" s="12"/>
      <c r="E47" s="13"/>
    </row>
    <row r="48" spans="1:5" ht="15" customHeight="1" x14ac:dyDescent="0.25">
      <c r="B48" s="11" t="s">
        <v>54</v>
      </c>
      <c r="C48" s="46">
        <v>0.83332499999999998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0.54738100000000001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0.14607059</v>
      </c>
    </row>
    <row r="63" spans="1:4" ht="15.75" customHeight="1" x14ac:dyDescent="0.3">
      <c r="A63" s="4"/>
    </row>
  </sheetData>
  <sheetProtection algorithmName="SHA-512" hashValue="x0KKBWaDAz/tfAdACd1Rj9x90I2ndxXaSc+uYDcZp8Do2A7zZAqMUueWjp+tdZG2pP3eFS32DKaxwx/ioBrxOw==" saltValue="msHhM1CXAX2dvpVogELI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59145</v>
      </c>
      <c r="C2" s="49">
        <v>141433.5</v>
      </c>
      <c r="D2" s="49">
        <v>214814</v>
      </c>
      <c r="E2" s="49">
        <v>182483.5</v>
      </c>
      <c r="F2" s="49">
        <v>100507.5</v>
      </c>
      <c r="G2" s="17">
        <f t="shared" ref="G2:G13" si="0">C2+D2+E2+F2</f>
        <v>639238.5</v>
      </c>
      <c r="H2" s="17">
        <f t="shared" ref="H2:H13" si="1">(B2 + stillbirth*B2/(1000-stillbirth))/(1-abortion)</f>
        <v>69051.016192277311</v>
      </c>
      <c r="I2" s="17">
        <f t="shared" ref="I2:I13" si="2">G2-H2</f>
        <v>570187.48380772269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58753</v>
      </c>
      <c r="C3" s="50">
        <v>142906</v>
      </c>
      <c r="D3" s="50">
        <v>215675</v>
      </c>
      <c r="E3" s="50">
        <v>185024.5</v>
      </c>
      <c r="F3" s="50">
        <v>105036</v>
      </c>
      <c r="G3" s="17">
        <f t="shared" si="0"/>
        <v>648641.5</v>
      </c>
      <c r="H3" s="17">
        <f t="shared" si="1"/>
        <v>68593.361304334583</v>
      </c>
      <c r="I3" s="17">
        <f t="shared" si="2"/>
        <v>580048.1386956654</v>
      </c>
    </row>
    <row r="4" spans="1:9" ht="15.75" customHeight="1" x14ac:dyDescent="0.25">
      <c r="A4" s="5">
        <f t="shared" si="3"/>
        <v>2026</v>
      </c>
      <c r="B4" s="49">
        <v>58585</v>
      </c>
      <c r="C4" s="50">
        <v>144985.5</v>
      </c>
      <c r="D4" s="50">
        <v>216276</v>
      </c>
      <c r="E4" s="50">
        <v>187371.5</v>
      </c>
      <c r="F4" s="50">
        <v>109630</v>
      </c>
      <c r="G4" s="17">
        <f t="shared" si="0"/>
        <v>658263</v>
      </c>
      <c r="H4" s="17">
        <f t="shared" si="1"/>
        <v>68397.223495216269</v>
      </c>
      <c r="I4" s="17">
        <f t="shared" si="2"/>
        <v>589865.77650478377</v>
      </c>
    </row>
    <row r="5" spans="1:9" ht="15.75" customHeight="1" x14ac:dyDescent="0.25">
      <c r="A5" s="5">
        <f t="shared" si="3"/>
        <v>2027</v>
      </c>
      <c r="B5" s="49">
        <v>58295</v>
      </c>
      <c r="C5" s="50">
        <v>146991.5</v>
      </c>
      <c r="D5" s="50">
        <v>217102.5</v>
      </c>
      <c r="E5" s="50">
        <v>189358.5</v>
      </c>
      <c r="F5" s="50">
        <v>114236.5</v>
      </c>
      <c r="G5" s="17">
        <f t="shared" si="0"/>
        <v>667689</v>
      </c>
      <c r="H5" s="17">
        <f t="shared" si="1"/>
        <v>68058.652277095374</v>
      </c>
      <c r="I5" s="17">
        <f t="shared" si="2"/>
        <v>599630.34772290464</v>
      </c>
    </row>
    <row r="6" spans="1:9" ht="15.75" customHeight="1" x14ac:dyDescent="0.25">
      <c r="A6" s="5">
        <f t="shared" si="3"/>
        <v>2028</v>
      </c>
      <c r="B6" s="49">
        <v>58208</v>
      </c>
      <c r="C6" s="50">
        <v>148820</v>
      </c>
      <c r="D6" s="50">
        <v>218376</v>
      </c>
      <c r="E6" s="50">
        <v>190691</v>
      </c>
      <c r="F6" s="50">
        <v>119069</v>
      </c>
      <c r="G6" s="17">
        <f t="shared" si="0"/>
        <v>676956</v>
      </c>
      <c r="H6" s="17">
        <f t="shared" si="1"/>
        <v>67957.080911659112</v>
      </c>
      <c r="I6" s="17">
        <f t="shared" si="2"/>
        <v>608998.91908834083</v>
      </c>
    </row>
    <row r="7" spans="1:9" ht="15.75" customHeight="1" x14ac:dyDescent="0.25">
      <c r="A7" s="5">
        <f t="shared" si="3"/>
        <v>2029</v>
      </c>
      <c r="B7" s="49">
        <v>57917</v>
      </c>
      <c r="C7" s="50">
        <v>150687</v>
      </c>
      <c r="D7" s="50">
        <v>219886</v>
      </c>
      <c r="E7" s="50">
        <v>191473</v>
      </c>
      <c r="F7" s="50">
        <v>124076.5</v>
      </c>
      <c r="G7" s="17">
        <f t="shared" si="0"/>
        <v>686122.5</v>
      </c>
      <c r="H7" s="17">
        <f t="shared" si="1"/>
        <v>67617.342206579182</v>
      </c>
      <c r="I7" s="17">
        <f t="shared" si="2"/>
        <v>618505.15779342083</v>
      </c>
    </row>
    <row r="8" spans="1:9" ht="15.75" customHeight="1" x14ac:dyDescent="0.25">
      <c r="A8" s="5">
        <f t="shared" si="3"/>
        <v>2030</v>
      </c>
      <c r="B8" s="49">
        <v>57920</v>
      </c>
      <c r="C8" s="50">
        <v>152782</v>
      </c>
      <c r="D8" s="50">
        <v>221522.5</v>
      </c>
      <c r="E8" s="50">
        <v>191985</v>
      </c>
      <c r="F8" s="50">
        <v>128880.5</v>
      </c>
      <c r="G8" s="17">
        <f t="shared" si="0"/>
        <v>695170</v>
      </c>
      <c r="H8" s="17">
        <f t="shared" si="1"/>
        <v>67620.844667456287</v>
      </c>
      <c r="I8" s="17">
        <f t="shared" si="2"/>
        <v>627549.15533254365</v>
      </c>
    </row>
    <row r="9" spans="1:9" ht="15.75" customHeight="1" x14ac:dyDescent="0.25">
      <c r="A9" s="5">
        <f t="shared" si="3"/>
        <v>2031</v>
      </c>
      <c r="B9" s="49">
        <v>57735</v>
      </c>
      <c r="C9" s="50">
        <v>154572</v>
      </c>
      <c r="D9" s="50">
        <v>223475.5</v>
      </c>
      <c r="E9" s="50">
        <v>192509</v>
      </c>
      <c r="F9" s="50">
        <v>133304</v>
      </c>
      <c r="G9" s="17">
        <f t="shared" si="0"/>
        <v>703860.5</v>
      </c>
      <c r="H9" s="17">
        <f t="shared" si="1"/>
        <v>67404.859580034332</v>
      </c>
      <c r="I9" s="17">
        <f t="shared" si="2"/>
        <v>636455.64041996561</v>
      </c>
    </row>
    <row r="10" spans="1:9" ht="15.75" customHeight="1" x14ac:dyDescent="0.25">
      <c r="A10" s="5">
        <f t="shared" si="3"/>
        <v>2032</v>
      </c>
      <c r="B10" s="49">
        <v>57735</v>
      </c>
      <c r="C10" s="50">
        <v>155702.5</v>
      </c>
      <c r="D10" s="50">
        <v>225675.5</v>
      </c>
      <c r="E10" s="50">
        <v>193303</v>
      </c>
      <c r="F10" s="50">
        <v>137341</v>
      </c>
      <c r="G10" s="17">
        <f t="shared" si="0"/>
        <v>712022</v>
      </c>
      <c r="H10" s="17">
        <f t="shared" si="1"/>
        <v>67404.859580034332</v>
      </c>
      <c r="I10" s="17">
        <f t="shared" si="2"/>
        <v>644617.14041996561</v>
      </c>
    </row>
    <row r="11" spans="1:9" ht="15.75" customHeight="1" x14ac:dyDescent="0.25">
      <c r="A11" s="5">
        <f t="shared" si="3"/>
        <v>2033</v>
      </c>
      <c r="B11" s="49">
        <v>57623</v>
      </c>
      <c r="C11" s="50">
        <v>156376</v>
      </c>
      <c r="D11" s="50">
        <v>227984.5</v>
      </c>
      <c r="E11" s="50">
        <v>194490.5</v>
      </c>
      <c r="F11" s="50">
        <v>140951.5</v>
      </c>
      <c r="G11" s="17">
        <f t="shared" si="0"/>
        <v>719802.5</v>
      </c>
      <c r="H11" s="17">
        <f t="shared" si="1"/>
        <v>67274.101040622132</v>
      </c>
      <c r="I11" s="17">
        <f t="shared" si="2"/>
        <v>652528.3989593779</v>
      </c>
    </row>
    <row r="12" spans="1:9" ht="15.75" customHeight="1" x14ac:dyDescent="0.25">
      <c r="A12" s="5">
        <f t="shared" si="3"/>
        <v>2034</v>
      </c>
      <c r="B12" s="49">
        <v>57499</v>
      </c>
      <c r="C12" s="50">
        <v>156802</v>
      </c>
      <c r="D12" s="50">
        <v>230585.5</v>
      </c>
      <c r="E12" s="50">
        <v>195737</v>
      </c>
      <c r="F12" s="50">
        <v>143944</v>
      </c>
      <c r="G12" s="17">
        <f t="shared" si="0"/>
        <v>727068.5</v>
      </c>
      <c r="H12" s="17">
        <f t="shared" si="1"/>
        <v>67129.332657701467</v>
      </c>
      <c r="I12" s="17">
        <f t="shared" si="2"/>
        <v>659939.16734229855</v>
      </c>
    </row>
    <row r="13" spans="1:9" ht="15.75" customHeight="1" x14ac:dyDescent="0.25">
      <c r="A13" s="5">
        <f t="shared" si="3"/>
        <v>2035</v>
      </c>
      <c r="B13" s="49">
        <v>57638</v>
      </c>
      <c r="C13" s="50">
        <v>157228</v>
      </c>
      <c r="D13" s="50">
        <v>233430.5</v>
      </c>
      <c r="E13" s="50">
        <v>196670.5</v>
      </c>
      <c r="F13" s="50">
        <v>146300.5</v>
      </c>
      <c r="G13" s="17">
        <f t="shared" si="0"/>
        <v>733629.5</v>
      </c>
      <c r="H13" s="17">
        <f t="shared" si="1"/>
        <v>67291.613345007689</v>
      </c>
      <c r="I13" s="17">
        <f t="shared" si="2"/>
        <v>666337.88665499236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xMNG3koIBnHOMe5rtG72E3QofmPXa8WkDKL3/b9JTB/YzyLzvodBS4qroUBvyac2SrLY7WcYEZbvTyuVuivHyA==" saltValue="Mebrc8MZScM8SF7FUOsMw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7.7941000000000069E-3</v>
      </c>
    </row>
    <row r="4" spans="1:8" ht="15.75" customHeight="1" x14ac:dyDescent="0.25">
      <c r="B4" s="19" t="s">
        <v>79</v>
      </c>
      <c r="C4" s="101">
        <v>5.680499999999996E-2</v>
      </c>
    </row>
    <row r="5" spans="1:8" ht="15.75" customHeight="1" x14ac:dyDescent="0.25">
      <c r="B5" s="19" t="s">
        <v>80</v>
      </c>
      <c r="C5" s="101">
        <v>7.5246199999999971E-2</v>
      </c>
    </row>
    <row r="6" spans="1:8" ht="15.75" customHeight="1" x14ac:dyDescent="0.25">
      <c r="B6" s="19" t="s">
        <v>81</v>
      </c>
      <c r="C6" s="101">
        <v>0.24614950000000041</v>
      </c>
    </row>
    <row r="7" spans="1:8" ht="15.75" customHeight="1" x14ac:dyDescent="0.25">
      <c r="B7" s="19" t="s">
        <v>82</v>
      </c>
      <c r="C7" s="101">
        <v>0.42908479999999949</v>
      </c>
    </row>
    <row r="8" spans="1:8" ht="15.75" customHeight="1" x14ac:dyDescent="0.25">
      <c r="B8" s="19" t="s">
        <v>83</v>
      </c>
      <c r="C8" s="101">
        <v>1.3393000000000001E-3</v>
      </c>
    </row>
    <row r="9" spans="1:8" ht="15.75" customHeight="1" x14ac:dyDescent="0.25">
      <c r="B9" s="19" t="s">
        <v>84</v>
      </c>
      <c r="C9" s="101">
        <v>6.3739400000000085E-2</v>
      </c>
    </row>
    <row r="10" spans="1:8" ht="15.75" customHeight="1" x14ac:dyDescent="0.25">
      <c r="B10" s="19" t="s">
        <v>85</v>
      </c>
      <c r="C10" s="101">
        <v>0.11984170000000011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0.196029067448931</v>
      </c>
      <c r="D14" s="55">
        <v>0.196029067448931</v>
      </c>
      <c r="E14" s="55">
        <v>0.196029067448931</v>
      </c>
      <c r="F14" s="55">
        <v>0.196029067448931</v>
      </c>
    </row>
    <row r="15" spans="1:8" ht="15.75" customHeight="1" x14ac:dyDescent="0.25">
      <c r="B15" s="19" t="s">
        <v>88</v>
      </c>
      <c r="C15" s="101">
        <v>0.2119757211068988</v>
      </c>
      <c r="D15" s="101">
        <v>0.2119757211068988</v>
      </c>
      <c r="E15" s="101">
        <v>0.2119757211068988</v>
      </c>
      <c r="F15" s="101">
        <v>0.2119757211068988</v>
      </c>
    </row>
    <row r="16" spans="1:8" ht="15.75" customHeight="1" x14ac:dyDescent="0.25">
      <c r="B16" s="19" t="s">
        <v>89</v>
      </c>
      <c r="C16" s="101">
        <v>1.4086381465792089E-2</v>
      </c>
      <c r="D16" s="101">
        <v>1.4086381465792089E-2</v>
      </c>
      <c r="E16" s="101">
        <v>1.4086381465792089E-2</v>
      </c>
      <c r="F16" s="101">
        <v>1.4086381465792089E-2</v>
      </c>
    </row>
    <row r="17" spans="1:8" ht="15.75" customHeight="1" x14ac:dyDescent="0.25">
      <c r="B17" s="19" t="s">
        <v>90</v>
      </c>
      <c r="C17" s="101">
        <v>5.4992529902401334E-3</v>
      </c>
      <c r="D17" s="101">
        <v>5.4992529902401334E-3</v>
      </c>
      <c r="E17" s="101">
        <v>5.4992529902401334E-3</v>
      </c>
      <c r="F17" s="101">
        <v>5.4992529902401334E-3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2.240392218952935E-2</v>
      </c>
      <c r="D19" s="101">
        <v>2.240392218952935E-2</v>
      </c>
      <c r="E19" s="101">
        <v>2.240392218952935E-2</v>
      </c>
      <c r="F19" s="101">
        <v>2.240392218952935E-2</v>
      </c>
    </row>
    <row r="20" spans="1:8" ht="15.75" customHeight="1" x14ac:dyDescent="0.25">
      <c r="B20" s="19" t="s">
        <v>93</v>
      </c>
      <c r="C20" s="101">
        <v>0.23441902277012119</v>
      </c>
      <c r="D20" s="101">
        <v>0.23441902277012119</v>
      </c>
      <c r="E20" s="101">
        <v>0.23441902277012119</v>
      </c>
      <c r="F20" s="101">
        <v>0.23441902277012119</v>
      </c>
    </row>
    <row r="21" spans="1:8" ht="15.75" customHeight="1" x14ac:dyDescent="0.25">
      <c r="B21" s="19" t="s">
        <v>94</v>
      </c>
      <c r="C21" s="101">
        <v>0.1020277474478483</v>
      </c>
      <c r="D21" s="101">
        <v>0.1020277474478483</v>
      </c>
      <c r="E21" s="101">
        <v>0.1020277474478483</v>
      </c>
      <c r="F21" s="101">
        <v>0.1020277474478483</v>
      </c>
    </row>
    <row r="22" spans="1:8" ht="15.75" customHeight="1" x14ac:dyDescent="0.25">
      <c r="B22" s="19" t="s">
        <v>95</v>
      </c>
      <c r="C22" s="101">
        <v>0.2135588845806389</v>
      </c>
      <c r="D22" s="101">
        <v>0.2135588845806389</v>
      </c>
      <c r="E22" s="101">
        <v>0.2135588845806389</v>
      </c>
      <c r="F22" s="101">
        <v>0.2135588845806389</v>
      </c>
    </row>
    <row r="23" spans="1:8" ht="15.75" customHeight="1" x14ac:dyDescent="0.25">
      <c r="B23" s="27" t="s">
        <v>41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7.8500723999999994E-2</v>
      </c>
    </row>
    <row r="27" spans="1:8" ht="15.75" customHeight="1" x14ac:dyDescent="0.25">
      <c r="B27" s="19" t="s">
        <v>102</v>
      </c>
      <c r="C27" s="101">
        <v>7.8598569999999996E-3</v>
      </c>
    </row>
    <row r="28" spans="1:8" ht="15.75" customHeight="1" x14ac:dyDescent="0.25">
      <c r="B28" s="19" t="s">
        <v>103</v>
      </c>
      <c r="C28" s="101">
        <v>0.139408438</v>
      </c>
    </row>
    <row r="29" spans="1:8" ht="15.75" customHeight="1" x14ac:dyDescent="0.25">
      <c r="B29" s="19" t="s">
        <v>104</v>
      </c>
      <c r="C29" s="101">
        <v>0.15153803099999999</v>
      </c>
    </row>
    <row r="30" spans="1:8" ht="15.75" customHeight="1" x14ac:dyDescent="0.25">
      <c r="B30" s="19" t="s">
        <v>2</v>
      </c>
      <c r="C30" s="101">
        <v>9.5629616000000001E-2</v>
      </c>
    </row>
    <row r="31" spans="1:8" ht="15.75" customHeight="1" x14ac:dyDescent="0.25">
      <c r="B31" s="19" t="s">
        <v>105</v>
      </c>
      <c r="C31" s="101">
        <v>9.8062453999999993E-2</v>
      </c>
    </row>
    <row r="32" spans="1:8" ht="15.75" customHeight="1" x14ac:dyDescent="0.25">
      <c r="B32" s="19" t="s">
        <v>106</v>
      </c>
      <c r="C32" s="101">
        <v>1.6473412E-2</v>
      </c>
    </row>
    <row r="33" spans="2:3" ht="15.75" customHeight="1" x14ac:dyDescent="0.25">
      <c r="B33" s="19" t="s">
        <v>107</v>
      </c>
      <c r="C33" s="101">
        <v>7.5640217999999995E-2</v>
      </c>
    </row>
    <row r="34" spans="2:3" ht="15.75" customHeight="1" x14ac:dyDescent="0.25">
      <c r="B34" s="19" t="s">
        <v>108</v>
      </c>
      <c r="C34" s="101">
        <v>0.33688724799999997</v>
      </c>
    </row>
    <row r="35" spans="2:3" ht="15.75" customHeight="1" x14ac:dyDescent="0.25">
      <c r="B35" s="27" t="s">
        <v>41</v>
      </c>
      <c r="C35" s="48">
        <f>SUM(C26:C34)</f>
        <v>0.99999999799999983</v>
      </c>
    </row>
  </sheetData>
  <sheetProtection algorithmName="SHA-512" hashValue="LA8qo2AXcU9XiqeGvwmKdGnRHJYi5wB7weIYJuIHNuynUzBMeq/CAVpwm/FEMo2J4baD49dJdFI1ZHZ05pWYwQ==" saltValue="muFKVPlcm20ZCSeMn1YAQ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0.44164537184189023</v>
      </c>
      <c r="D2" s="52">
        <f>IFERROR(1-_xlfn.NORM.DIST(_xlfn.NORM.INV(SUM(D4:D5), 0, 1) + 1, 0, 1, TRUE), "")</f>
        <v>0.44164537184189023</v>
      </c>
      <c r="E2" s="52">
        <f>IFERROR(1-_xlfn.NORM.DIST(_xlfn.NORM.INV(SUM(E4:E5), 0, 1) + 1, 0, 1, TRUE), "")</f>
        <v>0.39200167866862889</v>
      </c>
      <c r="F2" s="52">
        <f>IFERROR(1-_xlfn.NORM.DIST(_xlfn.NORM.INV(SUM(F4:F5), 0, 1) + 1, 0, 1, TRUE), "")</f>
        <v>0.19310127727033533</v>
      </c>
      <c r="G2" s="52">
        <f>IFERROR(1-_xlfn.NORM.DIST(_xlfn.NORM.INV(SUM(G4:G5), 0, 1) + 1, 0, 1, TRUE), "")</f>
        <v>0.27262627322708688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0.36158072815810977</v>
      </c>
      <c r="D3" s="52">
        <f>IFERROR(_xlfn.NORM.DIST(_xlfn.NORM.INV(SUM(D4:D5), 0, 1) + 1, 0, 1, TRUE) - SUM(D4:D5), "")</f>
        <v>0.36158072815810977</v>
      </c>
      <c r="E3" s="52">
        <f>IFERROR(_xlfn.NORM.DIST(_xlfn.NORM.INV(SUM(E4:E5), 0, 1) + 1, 0, 1, TRUE) - SUM(E4:E5), "")</f>
        <v>0.37404652133137112</v>
      </c>
      <c r="F3" s="52">
        <f>IFERROR(_xlfn.NORM.DIST(_xlfn.NORM.INV(SUM(F4:F5), 0, 1) + 1, 0, 1, TRUE) - SUM(F4:F5), "")</f>
        <v>0.35999002272966463</v>
      </c>
      <c r="G3" s="52">
        <f>IFERROR(_xlfn.NORM.DIST(_xlfn.NORM.INV(SUM(G4:G5), 0, 1) + 1, 0, 1, TRUE) - SUM(G4:G5), "")</f>
        <v>0.38099312677291314</v>
      </c>
    </row>
    <row r="4" spans="1:15" ht="15.75" customHeight="1" x14ac:dyDescent="0.25">
      <c r="B4" s="5" t="s">
        <v>114</v>
      </c>
      <c r="C4" s="45">
        <v>0.13775409999999999</v>
      </c>
      <c r="D4" s="53">
        <v>0.13775409999999999</v>
      </c>
      <c r="E4" s="53">
        <v>0.1247017</v>
      </c>
      <c r="F4" s="53">
        <v>0.28340530000000003</v>
      </c>
      <c r="G4" s="53">
        <v>0.24160329999999999</v>
      </c>
    </row>
    <row r="5" spans="1:15" ht="15.75" customHeight="1" x14ac:dyDescent="0.25">
      <c r="B5" s="5" t="s">
        <v>115</v>
      </c>
      <c r="C5" s="45">
        <v>5.9019799999999997E-2</v>
      </c>
      <c r="D5" s="53">
        <v>5.9019799999999997E-2</v>
      </c>
      <c r="E5" s="53">
        <v>0.1092501</v>
      </c>
      <c r="F5" s="53">
        <v>0.16350339999999999</v>
      </c>
      <c r="G5" s="53">
        <v>0.1047773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0.7762927027928157</v>
      </c>
      <c r="D8" s="52">
        <f>IFERROR(1-_xlfn.NORM.DIST(_xlfn.NORM.INV(SUM(D10:D11), 0, 1) + 1, 0, 1, TRUE), "")</f>
        <v>0.7762927027928157</v>
      </c>
      <c r="E8" s="52">
        <f>IFERROR(1-_xlfn.NORM.DIST(_xlfn.NORM.INV(SUM(E10:E11), 0, 1) + 1, 0, 1, TRUE), "")</f>
        <v>0.79047634861427762</v>
      </c>
      <c r="F8" s="52">
        <f>IFERROR(1-_xlfn.NORM.DIST(_xlfn.NORM.INV(SUM(F10:F11), 0, 1) + 1, 0, 1, TRUE), "")</f>
        <v>0.84189946186029696</v>
      </c>
      <c r="G8" s="52">
        <f>IFERROR(1-_xlfn.NORM.DIST(_xlfn.NORM.INV(SUM(G10:G11), 0, 1) + 1, 0, 1, TRUE), "")</f>
        <v>0.87427773634898454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0.18448069720718435</v>
      </c>
      <c r="D9" s="52">
        <f>IFERROR(_xlfn.NORM.DIST(_xlfn.NORM.INV(SUM(D10:D11), 0, 1) + 1, 0, 1, TRUE) - SUM(D10:D11), "")</f>
        <v>0.18448069720718435</v>
      </c>
      <c r="E9" s="52">
        <f>IFERROR(_xlfn.NORM.DIST(_xlfn.NORM.INV(SUM(E10:E11), 0, 1) + 1, 0, 1, TRUE) - SUM(E10:E11), "")</f>
        <v>0.17422625138572237</v>
      </c>
      <c r="F9" s="52">
        <f>IFERROR(_xlfn.NORM.DIST(_xlfn.NORM.INV(SUM(F10:F11), 0, 1) + 1, 0, 1, TRUE) - SUM(F10:F11), "")</f>
        <v>0.13547403813970302</v>
      </c>
      <c r="G9" s="52">
        <f>IFERROR(_xlfn.NORM.DIST(_xlfn.NORM.INV(SUM(G10:G11), 0, 1) + 1, 0, 1, TRUE) - SUM(G10:G11), "")</f>
        <v>0.1098195636510155</v>
      </c>
    </row>
    <row r="10" spans="1:15" ht="15.75" customHeight="1" x14ac:dyDescent="0.25">
      <c r="B10" s="5" t="s">
        <v>119</v>
      </c>
      <c r="C10" s="45">
        <v>1.9007900000000001E-2</v>
      </c>
      <c r="D10" s="53">
        <v>1.9007900000000001E-2</v>
      </c>
      <c r="E10" s="53">
        <v>2.6654299999999999E-2</v>
      </c>
      <c r="F10" s="53">
        <v>1.23768E-2</v>
      </c>
      <c r="G10" s="53">
        <v>1.0315899999999999E-2</v>
      </c>
    </row>
    <row r="11" spans="1:15" ht="15.75" customHeight="1" x14ac:dyDescent="0.25">
      <c r="B11" s="5" t="s">
        <v>120</v>
      </c>
      <c r="C11" s="45">
        <v>2.0218699999999999E-2</v>
      </c>
      <c r="D11" s="53">
        <v>2.0218699999999999E-2</v>
      </c>
      <c r="E11" s="53">
        <v>8.6431000000000008E-3</v>
      </c>
      <c r="F11" s="53">
        <v>1.02497E-2</v>
      </c>
      <c r="G11" s="53">
        <v>5.5867999999999994E-3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0.54817841550000002</v>
      </c>
      <c r="D14" s="54">
        <v>0.53192778054099998</v>
      </c>
      <c r="E14" s="54">
        <v>0.53192778054099998</v>
      </c>
      <c r="F14" s="54">
        <v>0.51498086482299998</v>
      </c>
      <c r="G14" s="54">
        <v>0.51498086482299998</v>
      </c>
      <c r="H14" s="45">
        <v>0.33200000000000002</v>
      </c>
      <c r="I14" s="55">
        <v>0.33200000000000002</v>
      </c>
      <c r="J14" s="55">
        <v>0.33200000000000002</v>
      </c>
      <c r="K14" s="55">
        <v>0.33200000000000002</v>
      </c>
      <c r="L14" s="45">
        <v>0.27</v>
      </c>
      <c r="M14" s="55">
        <v>0.27</v>
      </c>
      <c r="N14" s="55">
        <v>0.27</v>
      </c>
      <c r="O14" s="55">
        <v>0.27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0.30006244925480552</v>
      </c>
      <c r="D15" s="52">
        <f t="shared" si="0"/>
        <v>0.2911671604403131</v>
      </c>
      <c r="E15" s="52">
        <f t="shared" si="0"/>
        <v>0.2911671604403131</v>
      </c>
      <c r="F15" s="52">
        <f t="shared" si="0"/>
        <v>0.28189074076767856</v>
      </c>
      <c r="G15" s="52">
        <f t="shared" si="0"/>
        <v>0.28189074076767856</v>
      </c>
      <c r="H15" s="52">
        <f t="shared" si="0"/>
        <v>0.18173049200000002</v>
      </c>
      <c r="I15" s="52">
        <f t="shared" si="0"/>
        <v>0.18173049200000002</v>
      </c>
      <c r="J15" s="52">
        <f t="shared" si="0"/>
        <v>0.18173049200000002</v>
      </c>
      <c r="K15" s="52">
        <f t="shared" si="0"/>
        <v>0.18173049200000002</v>
      </c>
      <c r="L15" s="52">
        <f t="shared" si="0"/>
        <v>0.14779287000000002</v>
      </c>
      <c r="M15" s="52">
        <f t="shared" si="0"/>
        <v>0.14779287000000002</v>
      </c>
      <c r="N15" s="52">
        <f t="shared" si="0"/>
        <v>0.14779287000000002</v>
      </c>
      <c r="O15" s="52">
        <f t="shared" si="0"/>
        <v>0.14779287000000002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NKOl/DQqCuzfMwXcqDROPv+IHaCBwq0OdpYR7foxgIyuOCRnc4u93QTvzCll1R6NWkj5QqowzAWBx2EWsER+YA==" saltValue="lKR1g26q1qAA1xA5ySCI+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0.82486890000000002</v>
      </c>
      <c r="D2" s="53">
        <v>0.54791509999999999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3.1576899999999998E-2</v>
      </c>
      <c r="D3" s="53">
        <v>5.63711E-2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0.1075892</v>
      </c>
      <c r="D4" s="53">
        <v>0.28015960000000001</v>
      </c>
      <c r="E4" s="53">
        <v>0.74949389999999994</v>
      </c>
      <c r="F4" s="53">
        <v>0.3424198</v>
      </c>
      <c r="G4" s="53">
        <v>0</v>
      </c>
    </row>
    <row r="5" spans="1:7" x14ac:dyDescent="0.25">
      <c r="B5" s="3" t="s">
        <v>132</v>
      </c>
      <c r="C5" s="52">
        <v>3.5964900000000001E-2</v>
      </c>
      <c r="D5" s="52">
        <v>0.1155542</v>
      </c>
      <c r="E5" s="52">
        <f>1-SUM(E2:E4)</f>
        <v>0.25050610000000006</v>
      </c>
      <c r="F5" s="52">
        <f>1-SUM(F2:F4)</f>
        <v>0.65758019999999995</v>
      </c>
      <c r="G5" s="52">
        <f>1-SUM(G2:G4)</f>
        <v>1</v>
      </c>
    </row>
  </sheetData>
  <sheetProtection algorithmName="SHA-512" hashValue="zEMwgpaAAOUXbMPQ944BhcrbQ/vuqftD88XoOfF/4SUIOgUy3F6wPioLnwZlFTF/xSgAz4KRD1ZLtvfTZESvtw==" saltValue="nM5AQMKgkyJ2PUZgH4cR0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+KxnWVnX3mHPjlmGY9bzmJtyNvOqaPKh95fFA9htL2vzBOaRfoIph4qwE7rjyJINaeAofvlvPR6p5F6HRWak5w==" saltValue="D69b2zZ9uLxAYMGM48tj8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pnp+vbzkmK5M91BgzdMuA+gIEXQ4SVU0pcoMMtK+w/+f6SlXlJYgCTm2UE+k5Pmu1QSicXDEYMGUjvOrfRidhg==" saltValue="VioefmA5QfDpTSW1AbkyL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JkNyv5c0vS8wd0PI+B6aTRoVl/CsEGj0XIu/n1j0TK9XmENBWa1BvwuNaeuCoel48ZFTzTmUKEeB651EHgbk3w==" saltValue="vDlBATWVq1H/xX+wda4yl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weNAezdngjaerFS61NLsa90cRyZnnxwGx0E8OX/+FTMlB/RPepOk8FRi+MYyDy3R+hbPN4HFdR2IazO15glqLQ==" saltValue="UwkgYk5AJC0eSkiK4TRUS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38.228563212348718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0.22566139075620001</v>
      </c>
      <c r="C3" s="98">
        <v>0.95</v>
      </c>
      <c r="D3" s="56">
        <v>39.436317937111831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103.97040719198429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0.34881273754836678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0.51401540000000001</v>
      </c>
      <c r="C10" s="98">
        <v>0.95</v>
      </c>
      <c r="D10" s="56">
        <v>12.568617380907741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0.51401540000000001</v>
      </c>
      <c r="C11" s="98">
        <v>0.95</v>
      </c>
      <c r="D11" s="56">
        <v>12.568617380907741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0.51401540000000001</v>
      </c>
      <c r="C12" s="98">
        <v>0.95</v>
      </c>
      <c r="D12" s="56">
        <v>12.568617380907741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0.51401540000000001</v>
      </c>
      <c r="C13" s="98">
        <v>0.95</v>
      </c>
      <c r="D13" s="56">
        <v>12.568617380907741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0.51401540000000001</v>
      </c>
      <c r="C14" s="98">
        <v>0.95</v>
      </c>
      <c r="D14" s="56">
        <v>12.568617380907741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0.51401540000000001</v>
      </c>
      <c r="C15" s="98">
        <v>0.95</v>
      </c>
      <c r="D15" s="56">
        <v>12.568617380907741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0.83</v>
      </c>
      <c r="C16" s="98">
        <v>0.95</v>
      </c>
      <c r="D16" s="56">
        <v>0.27538318080309132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0.11443259170915</v>
      </c>
      <c r="C18" s="98">
        <v>0.95</v>
      </c>
      <c r="D18" s="56">
        <v>2.4903242449752758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0.50279189999999996</v>
      </c>
      <c r="C19" s="98">
        <v>0.95</v>
      </c>
      <c r="D19" s="56">
        <v>2.4903242449752758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0.72270930000000011</v>
      </c>
      <c r="C21" s="98">
        <v>0.95</v>
      </c>
      <c r="D21" s="56">
        <v>3.0954058413748049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21.456851937503181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4.0021113729210773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0.86713245065980005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0.51401540000000001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18.113923100883021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0.68000333895065002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68.455567700421739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0.18</v>
      </c>
      <c r="C31" s="98">
        <v>0.95</v>
      </c>
      <c r="D31" s="56">
        <v>0.4685375268623197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0.54566520211153513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0.18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0.1669523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0.39736890000000002</v>
      </c>
      <c r="C38" s="98">
        <v>0.95</v>
      </c>
      <c r="D38" s="56">
        <v>3.150883261827913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1Oc2eX89D1wAYLdMwwT1zHYRNvP5ffuEyXxSmda+mXRKQLwsQAOAIB6siCf51pN7f2P+gYeA8fUQrEKmXvyh/A==" saltValue="qQDTWCHmqw6a2kVaDQTw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Cr7YsVAbihx/EU7XZVDbZ/LfH+HX/8RoeYjn69s/awT2ABXpDg7V1SSZIR5hIVzGH6Q/z5lVqNHTXyLyt+uivw==" saltValue="mjgvWjwhvUCZ1tIYpDZ/w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GJkUqegg4XQsLfdAgVP40mmIawyBetFzXcBKyQJhZ95Em4GYN9a2ZGHJycGy/e5G8K7zEX6+E4NPJb1jMIKuMA==" saltValue="aTsTWjnwEjUZee09z+xwL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4.9420540000000006E-2</v>
      </c>
      <c r="C3" s="21">
        <f>frac_mam_1_5months * 2.6</f>
        <v>4.9420540000000006E-2</v>
      </c>
      <c r="D3" s="21">
        <f>frac_mam_6_11months * 2.6</f>
        <v>6.9301180000000004E-2</v>
      </c>
      <c r="E3" s="21">
        <f>frac_mam_12_23months * 2.6</f>
        <v>3.2179680000000002E-2</v>
      </c>
      <c r="F3" s="21">
        <f>frac_mam_24_59months * 2.6</f>
        <v>2.6821339999999999E-2</v>
      </c>
    </row>
    <row r="4" spans="1:6" ht="15.75" customHeight="1" x14ac:dyDescent="0.25">
      <c r="A4" s="3" t="s">
        <v>208</v>
      </c>
      <c r="B4" s="21">
        <f>frac_sam_1month * 2.6</f>
        <v>5.2568619999999996E-2</v>
      </c>
      <c r="C4" s="21">
        <f>frac_sam_1_5months * 2.6</f>
        <v>5.2568619999999996E-2</v>
      </c>
      <c r="D4" s="21">
        <f>frac_sam_6_11months * 2.6</f>
        <v>2.2472060000000002E-2</v>
      </c>
      <c r="E4" s="21">
        <f>frac_sam_12_23months * 2.6</f>
        <v>2.6649220000000001E-2</v>
      </c>
      <c r="F4" s="21">
        <f>frac_sam_24_59months * 2.6</f>
        <v>1.4525679999999999E-2</v>
      </c>
    </row>
  </sheetData>
  <sheetProtection algorithmName="SHA-512" hashValue="+CYiPSZjmpRc02qAIHZJA6uFzJZA4QR3UWkV22Mo5a62Ba3srVw45I2Xsf3xoRpmzbZ+N6ch4V0JA4bHxTs0xA==" saltValue="ucGmrNJHOW27b/pxUlqx4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0.26900000000000002</v>
      </c>
      <c r="E2" s="60">
        <f>food_insecure</f>
        <v>0.26900000000000002</v>
      </c>
      <c r="F2" s="60">
        <f>food_insecure</f>
        <v>0.26900000000000002</v>
      </c>
      <c r="G2" s="60">
        <f>food_insecure</f>
        <v>0.26900000000000002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0.26900000000000002</v>
      </c>
      <c r="F5" s="60">
        <f>food_insecure</f>
        <v>0.26900000000000002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0.26900000000000002</v>
      </c>
      <c r="F8" s="60">
        <f>food_insecure</f>
        <v>0.26900000000000002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0.26900000000000002</v>
      </c>
      <c r="F9" s="60">
        <f>food_insecure</f>
        <v>0.26900000000000002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0.26900000000000002</v>
      </c>
      <c r="I15" s="60">
        <f>food_insecure</f>
        <v>0.26900000000000002</v>
      </c>
      <c r="J15" s="60">
        <f>food_insecure</f>
        <v>0.26900000000000002</v>
      </c>
      <c r="K15" s="60">
        <f>food_insecure</f>
        <v>0.26900000000000002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0.23899999999999999</v>
      </c>
      <c r="M24" s="60">
        <f>famplan_unmet_need</f>
        <v>0.23899999999999999</v>
      </c>
      <c r="N24" s="60">
        <f>famplan_unmet_need</f>
        <v>0.23899999999999999</v>
      </c>
      <c r="O24" s="60">
        <f>famplan_unmet_need</f>
        <v>0.23899999999999999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0.30180664075317354</v>
      </c>
      <c r="M25" s="60">
        <f>(1-food_insecure)*(0.49)+food_insecure*(0.7)</f>
        <v>0.54649000000000003</v>
      </c>
      <c r="N25" s="60">
        <f>(1-food_insecure)*(0.49)+food_insecure*(0.7)</f>
        <v>0.54649000000000003</v>
      </c>
      <c r="O25" s="60">
        <f>(1-food_insecure)*(0.49)+food_insecure*(0.7)</f>
        <v>0.54649000000000003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0.12934570317993152</v>
      </c>
      <c r="M26" s="60">
        <f>(1-food_insecure)*(0.21)+food_insecure*(0.3)</f>
        <v>0.23420999999999997</v>
      </c>
      <c r="N26" s="60">
        <f>(1-food_insecure)*(0.21)+food_insecure*(0.3)</f>
        <v>0.23420999999999997</v>
      </c>
      <c r="O26" s="60">
        <f>(1-food_insecure)*(0.21)+food_insecure*(0.3)</f>
        <v>0.23420999999999997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0.12111145001220691</v>
      </c>
      <c r="M27" s="60">
        <f>(1-food_insecure)*(0.3)</f>
        <v>0.21929999999999999</v>
      </c>
      <c r="N27" s="60">
        <f>(1-food_insecure)*(0.3)</f>
        <v>0.21929999999999999</v>
      </c>
      <c r="O27" s="60">
        <f>(1-food_insecure)*(0.3)</f>
        <v>0.21929999999999999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0.447736206054688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ANNL6jqsBWW9RnHH/3t8BcACOTMxN6pCwjGyZz+eT/6A1LRk/p+0I693114DXwESDLJFCDO3UdBOx84S8aL+Mg==" saltValue="AxAViLD4Q/LO6Pa/naO23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EiOL0NnCElpBAcZo6/7mZBgcOEQo0kEo1aSTPzgSOzYosFiydxGfYjcHRTGyx1q5SrZNUqKzXpq/hVp1oFt+bg==" saltValue="yiXSZt91jx/Oa6fYbhMVQ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mHbmIoEFvUOZhDCplGbp8Yl1A55lT8ztLXCx+pFijCJPRrXXizfhv29Zye7rDVmL46kmGqNjEJYsssn1Kdbw2Q==" saltValue="YZR1Hp6tuMS7MdR4trkYj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9bLG7qhfUkhmYJCfOCsDJBXXeesFdQHFOHV2+CamZvtsJpYHmPrwWWntb3p2Vip0cuN/dbTGUY1uHzOz7nkXGQ==" saltValue="EXj8vgywTq56KWcAPW62Y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ljjZgB7IY9TlGHVKBzCiQLTKcw9/K5jwGFuUrI3XMsNQIXtndGYFtK+j58wKrY3GBUrKdl+4d4qi1aH2h6ljGQ==" saltValue="N/IZ2HbtQKWhquWmhE9ln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o+fnwJDIhQPdiTMsVzu4ys36A9+N90Yzk2b3Tmttn1YRFIWuOabj9M3rxEM+yuoGWB+fymGtGXwfwFrOzihRdQ==" saltValue="XbxkZlZ8m3DPU6G80TBbs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0PAUc0FGMyV8KSB6XAPbVbLWrs3ghlZgHlHH2F/w5NIO0wAnzNCsoFtF4n1+w3+JP5raXtdSNihKxnc1uoqEJw==" saltValue="SnxViUmrKWGJmSsDPyr/W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cdx4GLlLHnSoxXretLo5sY52MtstqfO3fGmnFzMb1H8ZIP7BFfPQzv9+ClagBnWIjNE1xT2Cm2ULbSEvKRcKFg==" saltValue="tjGneK4RHchQzA+DhJTd1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eydvOydljv8iDKGU4gJnSm+BdXOURMDuueasUmrro3P8c+aTUvvjrxyLF4/PYMux5PUJHG3YYEtwCjBQ4YJZrA==" saltValue="kRBZOCPLutTTpY3y0drL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JUZXi/REO9pu+nL0gn7fmtzvtazS3WoUuVkaq+Yx7PgVhgG9kfaWT9zKqHbMC7Hs2Okei6JhLg243LPtY6rTEg==" saltValue="TDM8e0FWKm+HI+OLdmBf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gMLDMRcKLxr59a7VLmhY+wb2fPH53rkxxyASPphgTb/MBz7kBb1P96s8vRWQ+hQIEu+D1xAI/o23+bBenNyL9w==" saltValue="UHLu7t+CkKIa9XNXP4u8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DkO8D8TRzhyyWxRRehJB6XdTkZTbh88ggx3QXO8L4uoK+tmVN0mEw0KYjSCrUu35+pJc+l32mTBeNP+8N2UlRw==" saltValue="wIPVKwXo/mwXe1gvwXRM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tAdFEdA+WE7+NbLl8lrpoq973+rkAm7hZuLFvaQViBaTn9xk3xHuCUj2jmOE/pq9N4BVUKBOoXKxy0xxzOGyQ==" saltValue="p7YzizGVtBO+yEaXPwKhH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vNe+MIVP4jUVu4cOXCTw/4iiVxaSHF6UPB6p9LFOFPbTqTQ9H0Rl9eDfaBfN+o4+2EOk4oVhKa7AMw2lHMBq2g==" saltValue="ZrVfJ8Tq4nAmcoW7gyGK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tmfozjzneoZEgm01I/CBbBgqCTiofY/eDe4zpXMv95uwuCT1XEOTQo0obwdxGs389a8d4Fr0tTkC3dmZiICbHw==" saltValue="02iPc6tBqyg9K2p6ekngX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2024-05-17T00:37:16Z</dcterms:modified>
</cp:coreProperties>
</file>