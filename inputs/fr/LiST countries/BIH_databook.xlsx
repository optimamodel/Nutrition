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A1627DFF-0AA9-4597-B77E-617CAE758C09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24" i="2"/>
  <c r="A26" i="2"/>
  <c r="I39" i="2"/>
  <c r="A36" i="2"/>
  <c r="I4" i="2"/>
  <c r="I8" i="2"/>
  <c r="I12" i="2"/>
  <c r="A25" i="2"/>
  <c r="I9" i="2"/>
  <c r="I13" i="2"/>
  <c r="A31" i="2"/>
  <c r="A34" i="2"/>
  <c r="A40" i="2"/>
  <c r="I2" i="2"/>
  <c r="I6" i="2"/>
  <c r="A19" i="2"/>
  <c r="A35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<sst xmlns="http://schemas.openxmlformats.org/spreadsheetml/2006/main" count="2159" uniqueCount="368">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</sst>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123442.5</v>
      </c>
    </row>
    <row r="8" spans="1:3" ht="15" customHeight="1" x14ac:dyDescent="0.25">
      <c r="B8" s="5" t="s">
        <v>37</v>
      </c>
      <c r="C8" s="44">
        <v>0.01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0.91188728330000002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0.78099999999999992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3.7400000000000003E-2</v>
      </c>
    </row>
    <row r="24" spans="1:3" ht="15" customHeight="1" x14ac:dyDescent="0.25">
      <c r="B24" s="15" t="s">
        <v>51</v>
      </c>
      <c r="C24" s="45">
        <v>0.53110000000000002</v>
      </c>
    </row>
    <row r="25" spans="1:3" ht="15" customHeight="1" x14ac:dyDescent="0.25">
      <c r="B25" s="15" t="s">
        <v>52</v>
      </c>
      <c r="C25" s="45">
        <v>0.41370000000000001</v>
      </c>
    </row>
    <row r="26" spans="1:3" ht="15" customHeight="1" x14ac:dyDescent="0.25">
      <c r="B26" s="15" t="s">
        <v>53</v>
      </c>
      <c r="C26" s="45">
        <v>1.78E-2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0.51101988116637098</v>
      </c>
    </row>
    <row r="30" spans="1:3" ht="14.25" customHeight="1" x14ac:dyDescent="0.25">
      <c r="B30" s="25" t="s">
        <v>56</v>
      </c>
      <c r="C30" s="99">
        <v>3.6928466503456402E-2</v>
      </c>
    </row>
    <row r="31" spans="1:3" ht="14.25" customHeight="1" x14ac:dyDescent="0.25">
      <c r="B31" s="25" t="s">
        <v>57</v>
      </c>
      <c r="C31" s="99">
        <v>4.0966963582223501E-2</v>
      </c>
    </row>
    <row r="32" spans="1:3" ht="14.25" customHeight="1" x14ac:dyDescent="0.25">
      <c r="B32" s="25" t="s">
        <v>58</v>
      </c>
      <c r="C32" s="99">
        <v>0.41108468874794901</v>
      </c>
    </row>
    <row r="33" spans="1:5" ht="13.25" customHeight="1" x14ac:dyDescent="0.25">
      <c r="B33" s="27" t="s">
        <v>59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4.0971299999999999</v>
      </c>
    </row>
    <row r="38" spans="1:5" ht="15" customHeight="1" x14ac:dyDescent="0.25">
      <c r="B38" s="11" t="s">
        <v>63</v>
      </c>
      <c r="C38" s="43">
        <v>4.8431699999999998</v>
      </c>
      <c r="D38" s="12"/>
      <c r="E38" s="13"/>
    </row>
    <row r="39" spans="1:5" ht="15" customHeight="1" x14ac:dyDescent="0.25">
      <c r="B39" s="11" t="s">
        <v>64</v>
      </c>
      <c r="C39" s="43">
        <v>5.6006</v>
      </c>
      <c r="D39" s="12"/>
      <c r="E39" s="12"/>
    </row>
    <row r="40" spans="1:5" ht="15" customHeight="1" x14ac:dyDescent="0.25">
      <c r="B40" s="11" t="s">
        <v>65</v>
      </c>
      <c r="C40" s="100">
        <v>0.06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2.6832099999999999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5.9451E-3</v>
      </c>
      <c r="D45" s="12"/>
    </row>
    <row r="46" spans="1:5" ht="15.75" customHeight="1" x14ac:dyDescent="0.25">
      <c r="B46" s="11" t="s">
        <v>70</v>
      </c>
      <c r="C46" s="45">
        <v>6.38793E-2</v>
      </c>
      <c r="D46" s="12"/>
    </row>
    <row r="47" spans="1:5" ht="15.75" customHeight="1" x14ac:dyDescent="0.25">
      <c r="B47" s="11" t="s">
        <v>71</v>
      </c>
      <c r="C47" s="45">
        <v>7.5347799999999993E-2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2.8</v>
      </c>
      <c r="D51" s="12"/>
    </row>
    <row r="52" spans="1:4" ht="15" customHeight="1" x14ac:dyDescent="0.25">
      <c r="B52" s="11" t="s">
        <v>75</v>
      </c>
      <c r="C52" s="100">
        <v>2.8</v>
      </c>
    </row>
    <row r="53" spans="1:4" ht="15.75" customHeight="1" x14ac:dyDescent="0.25">
      <c r="B53" s="11" t="s">
        <v>76</v>
      </c>
      <c r="C53" s="100">
        <v>2.8</v>
      </c>
    </row>
    <row r="54" spans="1:4" ht="15.75" customHeight="1" x14ac:dyDescent="0.25">
      <c r="B54" s="11" t="s">
        <v>77</v>
      </c>
      <c r="C54" s="100">
        <v>2.8</v>
      </c>
    </row>
    <row r="55" spans="1:4" ht="15.75" customHeight="1" x14ac:dyDescent="0.25">
      <c r="B55" s="11" t="s">
        <v>78</v>
      </c>
      <c r="C55" s="100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0.61777399999999993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3.3956865999999898E-2</v>
      </c>
    </row>
    <row r="63" spans="1:4" ht="15.75" customHeight="1" x14ac:dyDescent="0.3">
      <c r="A63" s="4"/>
    </row>
  </sheetData>
  <sheetProtection algorithmName="SHA-512" hashValue="dnt3vmX5eZlqspN8jqC6vtA0FVZeykR3NPPXctLAoEXDZga4lzJ6qf1vLFc5FJy1bCGRv/BldxYmXYlSQEBWtg==" saltValue="17G/DOovyxQ57XWbX1Ay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24430</v>
      </c>
      <c r="C2" s="49">
        <v>78709.5</v>
      </c>
      <c r="D2" s="49">
        <v>161669.5</v>
      </c>
      <c r="E2" s="49">
        <v>171678.5</v>
      </c>
      <c r="F2" s="49">
        <v>248198.5</v>
      </c>
      <c r="G2" s="17">
        <f t="shared" ref="G2:G13" si="0">C2+D2+E2+F2</f>
        <v>660256</v>
      </c>
      <c r="H2" s="17">
        <f t="shared" ref="H2:H13" si="1">(B2 + stillbirth*B2/(1000-stillbirth))/(1-abortion)</f>
        <v>27836.05361378067</v>
      </c>
      <c r="I2" s="17">
        <f t="shared" ref="I2:I13" si="2">G2-H2</f>
        <v>632419.94638621935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24258</v>
      </c>
      <c r="C3" s="50">
        <v>77524.5</v>
      </c>
      <c r="D3" s="50">
        <v>163278</v>
      </c>
      <c r="E3" s="50">
        <v>163604.5</v>
      </c>
      <c r="F3" s="50">
        <v>244053.5</v>
      </c>
      <c r="G3" s="17">
        <f t="shared" si="0"/>
        <v>648460.5</v>
      </c>
      <c r="H3" s="17">
        <f t="shared" si="1"/>
        <v>27640.073211751594</v>
      </c>
      <c r="I3" s="17">
        <f t="shared" si="2"/>
        <v>620820.42678824835</v>
      </c>
    </row>
    <row r="4" spans="1:9" ht="15.75" customHeight="1" x14ac:dyDescent="0.25">
      <c r="A4" s="5">
        <f t="shared" si="3"/>
        <v>2026</v>
      </c>
      <c r="B4" s="49">
        <v>24034</v>
      </c>
      <c r="C4" s="50">
        <v>75927.5</v>
      </c>
      <c r="D4" s="50">
        <v>163034.5</v>
      </c>
      <c r="E4" s="50">
        <v>157697.99999999997</v>
      </c>
      <c r="F4" s="50">
        <v>237799.5</v>
      </c>
      <c r="G4" s="17">
        <f t="shared" si="0"/>
        <v>634459.5</v>
      </c>
      <c r="H4" s="17">
        <f t="shared" si="1"/>
        <v>27384.842920736988</v>
      </c>
      <c r="I4" s="17">
        <f t="shared" si="2"/>
        <v>607074.65707926301</v>
      </c>
    </row>
    <row r="5" spans="1:9" ht="15.75" customHeight="1" x14ac:dyDescent="0.25">
      <c r="A5" s="5">
        <f t="shared" si="3"/>
        <v>2027</v>
      </c>
      <c r="B5" s="49">
        <v>23827</v>
      </c>
      <c r="C5" s="50">
        <v>74148</v>
      </c>
      <c r="D5" s="50">
        <v>160092.5</v>
      </c>
      <c r="E5" s="50">
        <v>155024.5</v>
      </c>
      <c r="F5" s="50">
        <v>230111.49999999997</v>
      </c>
      <c r="G5" s="17">
        <f t="shared" si="0"/>
        <v>619376.5</v>
      </c>
      <c r="H5" s="17">
        <f t="shared" si="1"/>
        <v>27148.98278573688</v>
      </c>
      <c r="I5" s="17">
        <f t="shared" si="2"/>
        <v>592227.51721426309</v>
      </c>
    </row>
    <row r="6" spans="1:9" ht="15.75" customHeight="1" x14ac:dyDescent="0.25">
      <c r="A6" s="5">
        <f t="shared" si="3"/>
        <v>2028</v>
      </c>
      <c r="B6" s="49">
        <v>23643</v>
      </c>
      <c r="C6" s="50">
        <v>72459.5</v>
      </c>
      <c r="D6" s="50">
        <v>155972.5</v>
      </c>
      <c r="E6" s="50">
        <v>154298</v>
      </c>
      <c r="F6" s="50">
        <v>221508.5</v>
      </c>
      <c r="G6" s="17">
        <f t="shared" si="0"/>
        <v>604238.5</v>
      </c>
      <c r="H6" s="17">
        <f t="shared" si="1"/>
        <v>26939.329332403453</v>
      </c>
      <c r="I6" s="17">
        <f t="shared" si="2"/>
        <v>577299.17066759651</v>
      </c>
    </row>
    <row r="7" spans="1:9" ht="15.75" customHeight="1" x14ac:dyDescent="0.25">
      <c r="A7" s="5">
        <f t="shared" si="3"/>
        <v>2029</v>
      </c>
      <c r="B7" s="49">
        <v>23490</v>
      </c>
      <c r="C7" s="50">
        <v>70288.5</v>
      </c>
      <c r="D7" s="50">
        <v>153349</v>
      </c>
      <c r="E7" s="50">
        <v>153537</v>
      </c>
      <c r="F7" s="50">
        <v>211946</v>
      </c>
      <c r="G7" s="17">
        <f t="shared" si="0"/>
        <v>589120.5</v>
      </c>
      <c r="H7" s="17">
        <f t="shared" si="1"/>
        <v>26764.997928272936</v>
      </c>
      <c r="I7" s="17">
        <f t="shared" si="2"/>
        <v>562355.50207172707</v>
      </c>
    </row>
    <row r="8" spans="1:9" ht="15.75" customHeight="1" x14ac:dyDescent="0.25">
      <c r="A8" s="5">
        <f t="shared" si="3"/>
        <v>2030</v>
      </c>
      <c r="B8" s="49">
        <v>23375</v>
      </c>
      <c r="C8" s="50">
        <v>67998</v>
      </c>
      <c r="D8" s="50">
        <v>151974.5</v>
      </c>
      <c r="E8" s="50">
        <v>152513.50000000003</v>
      </c>
      <c r="F8" s="50">
        <v>201522.49999999997</v>
      </c>
      <c r="G8" s="17">
        <f t="shared" si="0"/>
        <v>574008.5</v>
      </c>
      <c r="H8" s="17">
        <f t="shared" si="1"/>
        <v>26633.964519939549</v>
      </c>
      <c r="I8" s="17">
        <f t="shared" si="2"/>
        <v>547374.5354800605</v>
      </c>
    </row>
    <row r="9" spans="1:9" ht="15.75" customHeight="1" x14ac:dyDescent="0.25">
      <c r="A9" s="5">
        <f t="shared" si="3"/>
        <v>2031</v>
      </c>
      <c r="B9" s="49">
        <v>23273</v>
      </c>
      <c r="C9" s="50">
        <v>66564.5</v>
      </c>
      <c r="D9" s="50">
        <v>150120.5</v>
      </c>
      <c r="E9" s="50">
        <v>151457.49999999997</v>
      </c>
      <c r="F9" s="50">
        <v>192594.49999999997</v>
      </c>
      <c r="G9" s="17">
        <f t="shared" si="0"/>
        <v>560737</v>
      </c>
      <c r="H9" s="17">
        <f t="shared" si="1"/>
        <v>26517.743583852534</v>
      </c>
      <c r="I9" s="17">
        <f t="shared" si="2"/>
        <v>534219.25641614746</v>
      </c>
    </row>
    <row r="10" spans="1:9" ht="15.75" customHeight="1" x14ac:dyDescent="0.25">
      <c r="A10" s="5">
        <f t="shared" si="3"/>
        <v>2032</v>
      </c>
      <c r="B10" s="49">
        <v>23102</v>
      </c>
      <c r="C10" s="50">
        <v>65629.5</v>
      </c>
      <c r="D10" s="50">
        <v>147403</v>
      </c>
      <c r="E10" s="50">
        <v>150728.99999999997</v>
      </c>
      <c r="F10" s="50">
        <v>184995.99999999997</v>
      </c>
      <c r="G10" s="17">
        <f t="shared" si="0"/>
        <v>548757.5</v>
      </c>
      <c r="H10" s="17">
        <f t="shared" si="1"/>
        <v>26322.902602765495</v>
      </c>
      <c r="I10" s="17">
        <f t="shared" si="2"/>
        <v>522434.59739723452</v>
      </c>
    </row>
    <row r="11" spans="1:9" ht="15.75" customHeight="1" x14ac:dyDescent="0.25">
      <c r="A11" s="5">
        <f t="shared" si="3"/>
        <v>2033</v>
      </c>
      <c r="B11" s="49">
        <v>22901</v>
      </c>
      <c r="C11" s="50">
        <v>64947.999999999993</v>
      </c>
      <c r="D11" s="50">
        <v>144212</v>
      </c>
      <c r="E11" s="50">
        <v>151404.49999999997</v>
      </c>
      <c r="F11" s="50">
        <v>176113.5</v>
      </c>
      <c r="G11" s="17">
        <f t="shared" si="0"/>
        <v>536678</v>
      </c>
      <c r="H11" s="17">
        <f t="shared" si="1"/>
        <v>26093.878993417566</v>
      </c>
      <c r="I11" s="17">
        <f t="shared" si="2"/>
        <v>510584.12100658246</v>
      </c>
    </row>
    <row r="12" spans="1:9" ht="15.75" customHeight="1" x14ac:dyDescent="0.25">
      <c r="A12" s="5">
        <f t="shared" si="3"/>
        <v>2034</v>
      </c>
      <c r="B12" s="49">
        <v>22633</v>
      </c>
      <c r="C12" s="50">
        <v>64610</v>
      </c>
      <c r="D12" s="50">
        <v>140467.5</v>
      </c>
      <c r="E12" s="50">
        <v>153056.5</v>
      </c>
      <c r="F12" s="50">
        <v>166805</v>
      </c>
      <c r="G12" s="17">
        <f t="shared" si="0"/>
        <v>524939</v>
      </c>
      <c r="H12" s="17">
        <f t="shared" si="1"/>
        <v>25788.514180953662</v>
      </c>
      <c r="I12" s="17">
        <f t="shared" si="2"/>
        <v>499150.48581904633</v>
      </c>
    </row>
    <row r="13" spans="1:9" ht="15.75" customHeight="1" x14ac:dyDescent="0.25">
      <c r="A13" s="5">
        <f t="shared" si="3"/>
        <v>2035</v>
      </c>
      <c r="B13" s="49">
        <v>22316</v>
      </c>
      <c r="C13" s="50">
        <v>64149.5</v>
      </c>
      <c r="D13" s="50">
        <v>136682.5</v>
      </c>
      <c r="E13" s="50">
        <v>154421.5</v>
      </c>
      <c r="F13" s="50">
        <v>158690.5</v>
      </c>
      <c r="G13" s="17">
        <f t="shared" si="0"/>
        <v>513944</v>
      </c>
      <c r="H13" s="17">
        <f t="shared" si="1"/>
        <v>25427.31774233031</v>
      </c>
      <c r="I13" s="17">
        <f t="shared" si="2"/>
        <v>488516.68225766969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L+CUNyDDD1W7WGAu5wPVioPU1VY8fTHTgGssoTDhSBJkmavnkzkILJLIYbOP21HBb8efS4v1wpqD+LsjmP78ow==" saltValue="xKOb92TZuYZw47FP9egxD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101">
        <v>4.6125695387430402E-2</v>
      </c>
    </row>
    <row r="5" spans="1:8" ht="15.75" customHeight="1" x14ac:dyDescent="0.25">
      <c r="B5" s="19" t="s">
        <v>98</v>
      </c>
      <c r="C5" s="101">
        <v>2.2718797728120219E-2</v>
      </c>
    </row>
    <row r="6" spans="1:8" ht="15.75" customHeight="1" x14ac:dyDescent="0.25">
      <c r="B6" s="19" t="s">
        <v>99</v>
      </c>
      <c r="C6" s="101">
        <v>0.17007988299201179</v>
      </c>
    </row>
    <row r="7" spans="1:8" ht="15.75" customHeight="1" x14ac:dyDescent="0.25">
      <c r="B7" s="19" t="s">
        <v>100</v>
      </c>
      <c r="C7" s="101">
        <v>0.39910116008988411</v>
      </c>
    </row>
    <row r="8" spans="1:8" ht="15.75" customHeight="1" x14ac:dyDescent="0.25">
      <c r="B8" s="19" t="s">
        <v>101</v>
      </c>
      <c r="C8" s="101">
        <v>0</v>
      </c>
    </row>
    <row r="9" spans="1:8" ht="15.75" customHeight="1" x14ac:dyDescent="0.25">
      <c r="B9" s="19" t="s">
        <v>102</v>
      </c>
      <c r="C9" s="101">
        <v>0.28086277191372289</v>
      </c>
    </row>
    <row r="10" spans="1:8" ht="15.75" customHeight="1" x14ac:dyDescent="0.25">
      <c r="B10" s="19" t="s">
        <v>103</v>
      </c>
      <c r="C10" s="101">
        <v>8.1111691888830689E-2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7.7534246653063301E-3</v>
      </c>
      <c r="D14" s="55">
        <v>7.7534246653063301E-3</v>
      </c>
      <c r="E14" s="55">
        <v>7.7534246653063301E-3</v>
      </c>
      <c r="F14" s="55">
        <v>7.7534246653063301E-3</v>
      </c>
    </row>
    <row r="15" spans="1:8" ht="15.75" customHeight="1" x14ac:dyDescent="0.25">
      <c r="B15" s="19" t="s">
        <v>106</v>
      </c>
      <c r="C15" s="101">
        <v>8.1529085162002718E-2</v>
      </c>
      <c r="D15" s="101">
        <v>8.1529085162002718E-2</v>
      </c>
      <c r="E15" s="101">
        <v>8.1529085162002718E-2</v>
      </c>
      <c r="F15" s="101">
        <v>8.1529085162002718E-2</v>
      </c>
    </row>
    <row r="16" spans="1:8" ht="15.75" customHeight="1" x14ac:dyDescent="0.25">
      <c r="B16" s="19" t="s">
        <v>107</v>
      </c>
      <c r="C16" s="101">
        <v>1.8139470884927539E-2</v>
      </c>
      <c r="D16" s="101">
        <v>1.8139470884927539E-2</v>
      </c>
      <c r="E16" s="101">
        <v>1.8139470884927539E-2</v>
      </c>
      <c r="F16" s="101">
        <v>1.8139470884927539E-2</v>
      </c>
    </row>
    <row r="17" spans="1:8" ht="15.75" customHeight="1" x14ac:dyDescent="0.25">
      <c r="B17" s="19" t="s">
        <v>108</v>
      </c>
      <c r="C17" s="101">
        <v>8.1429359592676109E-2</v>
      </c>
      <c r="D17" s="101">
        <v>8.1429359592676109E-2</v>
      </c>
      <c r="E17" s="101">
        <v>8.1429359592676109E-2</v>
      </c>
      <c r="F17" s="101">
        <v>8.1429359592676109E-2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2.3805046369849939E-2</v>
      </c>
      <c r="D19" s="101">
        <v>2.3805046369849939E-2</v>
      </c>
      <c r="E19" s="101">
        <v>2.3805046369849939E-2</v>
      </c>
      <c r="F19" s="101">
        <v>2.3805046369849939E-2</v>
      </c>
    </row>
    <row r="20" spans="1:8" ht="15.75" customHeight="1" x14ac:dyDescent="0.25">
      <c r="B20" s="19" t="s">
        <v>111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112</v>
      </c>
      <c r="C21" s="101">
        <v>0.1357873267302955</v>
      </c>
      <c r="D21" s="101">
        <v>0.1357873267302955</v>
      </c>
      <c r="E21" s="101">
        <v>0.1357873267302955</v>
      </c>
      <c r="F21" s="101">
        <v>0.1357873267302955</v>
      </c>
    </row>
    <row r="22" spans="1:8" ht="15.75" customHeight="1" x14ac:dyDescent="0.25">
      <c r="B22" s="19" t="s">
        <v>113</v>
      </c>
      <c r="C22" s="101">
        <v>0.6515562865949418</v>
      </c>
      <c r="D22" s="101">
        <v>0.6515562865949418</v>
      </c>
      <c r="E22" s="101">
        <v>0.6515562865949418</v>
      </c>
      <c r="F22" s="101">
        <v>0.6515562865949418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5.5773718999999999E-2</v>
      </c>
    </row>
    <row r="27" spans="1:8" ht="15.75" customHeight="1" x14ac:dyDescent="0.25">
      <c r="B27" s="19" t="s">
        <v>120</v>
      </c>
      <c r="C27" s="101">
        <v>5.7652142000000003E-2</v>
      </c>
    </row>
    <row r="28" spans="1:8" ht="15.75" customHeight="1" x14ac:dyDescent="0.25">
      <c r="B28" s="19" t="s">
        <v>121</v>
      </c>
      <c r="C28" s="101">
        <v>0.12384268499999999</v>
      </c>
    </row>
    <row r="29" spans="1:8" ht="15.75" customHeight="1" x14ac:dyDescent="0.25">
      <c r="B29" s="19" t="s">
        <v>122</v>
      </c>
      <c r="C29" s="101">
        <v>0.136252816</v>
      </c>
    </row>
    <row r="30" spans="1:8" ht="15.75" customHeight="1" x14ac:dyDescent="0.25">
      <c r="B30" s="19" t="s">
        <v>2</v>
      </c>
      <c r="C30" s="101">
        <v>8.3258572000000003E-2</v>
      </c>
    </row>
    <row r="31" spans="1:8" ht="15.75" customHeight="1" x14ac:dyDescent="0.25">
      <c r="B31" s="19" t="s">
        <v>123</v>
      </c>
      <c r="C31" s="101">
        <v>6.5980006999999993E-2</v>
      </c>
    </row>
    <row r="32" spans="1:8" ht="15.75" customHeight="1" x14ac:dyDescent="0.25">
      <c r="B32" s="19" t="s">
        <v>124</v>
      </c>
      <c r="C32" s="101">
        <v>0.12997820099999999</v>
      </c>
    </row>
    <row r="33" spans="2:3" ht="15.75" customHeight="1" x14ac:dyDescent="0.25">
      <c r="B33" s="19" t="s">
        <v>125</v>
      </c>
      <c r="C33" s="101">
        <v>0.124636924</v>
      </c>
    </row>
    <row r="34" spans="2:3" ht="15.75" customHeight="1" x14ac:dyDescent="0.25">
      <c r="B34" s="19" t="s">
        <v>126</v>
      </c>
      <c r="C34" s="101">
        <v>0.222624933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wuT4WuvwfrzaLVhxjOniDRuSxKRBHNKjzdSfvqZDUjgId1AN3r3mT4bp1AYnfgGtT1VyceEzwG/QpxFMfsP50w==" saltValue="9x6YfRV3NZtpfB9kezzSF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0.50112147523159711</v>
      </c>
      <c r="D2" s="52">
        <f>IFERROR(1-_xlfn.NORM.DIST(_xlfn.NORM.INV(SUM(D4:D5), 0, 1) + 1, 0, 1, TRUE), "")</f>
        <v>0.50112147523159711</v>
      </c>
      <c r="E2" s="52">
        <f>IFERROR(1-_xlfn.NORM.DIST(_xlfn.NORM.INV(SUM(E4:E5), 0, 1) + 1, 0, 1, TRUE), "")</f>
        <v>0.61554519945040442</v>
      </c>
      <c r="F2" s="52">
        <f>IFERROR(1-_xlfn.NORM.DIST(_xlfn.NORM.INV(SUM(F4:F5), 0, 1) + 1, 0, 1, TRUE), "")</f>
        <v>0.53603353327546466</v>
      </c>
      <c r="G2" s="52">
        <f>IFERROR(1-_xlfn.NORM.DIST(_xlfn.NORM.INV(SUM(G4:G5), 0, 1) + 1, 0, 1, TRUE), "")</f>
        <v>0.70806578736331471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0.34090252476840283</v>
      </c>
      <c r="D3" s="52">
        <f>IFERROR(_xlfn.NORM.DIST(_xlfn.NORM.INV(SUM(D4:D5), 0, 1) + 1, 0, 1, TRUE) - SUM(D4:D5), "")</f>
        <v>0.34090252476840283</v>
      </c>
      <c r="E3" s="52">
        <f>IFERROR(_xlfn.NORM.DIST(_xlfn.NORM.INV(SUM(E4:E5), 0, 1) + 1, 0, 1, TRUE) - SUM(E4:E5), "")</f>
        <v>0.28658780054959565</v>
      </c>
      <c r="F3" s="52">
        <f>IFERROR(_xlfn.NORM.DIST(_xlfn.NORM.INV(SUM(F4:F5), 0, 1) + 1, 0, 1, TRUE) - SUM(F4:F5), "")</f>
        <v>0.32620806672453534</v>
      </c>
      <c r="G3" s="52">
        <f>IFERROR(_xlfn.NORM.DIST(_xlfn.NORM.INV(SUM(G4:G5), 0, 1) + 1, 0, 1, TRUE) - SUM(G4:G5), "")</f>
        <v>0.23109211263668522</v>
      </c>
    </row>
    <row r="4" spans="1:15" ht="15.75" customHeight="1" x14ac:dyDescent="0.25">
      <c r="B4" s="5" t="s">
        <v>132</v>
      </c>
      <c r="C4" s="45">
        <v>7.4163300000000001E-2</v>
      </c>
      <c r="D4" s="53">
        <v>7.4163300000000001E-2</v>
      </c>
      <c r="E4" s="53">
        <v>7.3369099999999993E-2</v>
      </c>
      <c r="F4" s="53">
        <v>7.6801899999999992E-2</v>
      </c>
      <c r="G4" s="53">
        <v>3.5029100000000001E-2</v>
      </c>
    </row>
    <row r="5" spans="1:15" ht="15.75" customHeight="1" x14ac:dyDescent="0.25">
      <c r="B5" s="5" t="s">
        <v>133</v>
      </c>
      <c r="C5" s="45">
        <v>8.3812700000000004E-2</v>
      </c>
      <c r="D5" s="53">
        <v>8.3812700000000004E-2</v>
      </c>
      <c r="E5" s="53">
        <v>2.44979E-2</v>
      </c>
      <c r="F5" s="53">
        <v>6.0956499999999997E-2</v>
      </c>
      <c r="G5" s="53">
        <v>2.5812999999999999E-2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0.63714872393189437</v>
      </c>
      <c r="D8" s="52">
        <f>IFERROR(1-_xlfn.NORM.DIST(_xlfn.NORM.INV(SUM(D10:D11), 0, 1) + 1, 0, 1, TRUE), "")</f>
        <v>0.63714872393189437</v>
      </c>
      <c r="E8" s="52">
        <f>IFERROR(1-_xlfn.NORM.DIST(_xlfn.NORM.INV(SUM(E10:E11), 0, 1) + 1, 0, 1, TRUE), "")</f>
        <v>0.86938784466071861</v>
      </c>
      <c r="F8" s="52">
        <f>IFERROR(1-_xlfn.NORM.DIST(_xlfn.NORM.INV(SUM(F10:F11), 0, 1) + 1, 0, 1, TRUE), "")</f>
        <v>0.89500381064790036</v>
      </c>
      <c r="G8" s="52">
        <f>IFERROR(1-_xlfn.NORM.DIST(_xlfn.NORM.INV(SUM(G10:G11), 0, 1) + 1, 0, 1, TRUE), "")</f>
        <v>0.8660740585421659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0.27447917606810562</v>
      </c>
      <c r="D9" s="52">
        <f>IFERROR(_xlfn.NORM.DIST(_xlfn.NORM.INV(SUM(D10:D11), 0, 1) + 1, 0, 1, TRUE) - SUM(D10:D11), "")</f>
        <v>0.27447917606810562</v>
      </c>
      <c r="E9" s="52">
        <f>IFERROR(_xlfn.NORM.DIST(_xlfn.NORM.INV(SUM(E10:E11), 0, 1) + 1, 0, 1, TRUE) - SUM(E10:E11), "")</f>
        <v>0.11375625533928144</v>
      </c>
      <c r="F9" s="52">
        <f>IFERROR(_xlfn.NORM.DIST(_xlfn.NORM.INV(SUM(F10:F11), 0, 1) + 1, 0, 1, TRUE) - SUM(F10:F11), "")</f>
        <v>9.2885089352099659E-2</v>
      </c>
      <c r="G9" s="52">
        <f>IFERROR(_xlfn.NORM.DIST(_xlfn.NORM.INV(SUM(G10:G11), 0, 1) + 1, 0, 1, TRUE) - SUM(G10:G11), "")</f>
        <v>0.11641144145783412</v>
      </c>
    </row>
    <row r="10" spans="1:15" ht="15.75" customHeight="1" x14ac:dyDescent="0.25">
      <c r="B10" s="5" t="s">
        <v>137</v>
      </c>
      <c r="C10" s="45">
        <v>1.5284000000000001E-2</v>
      </c>
      <c r="D10" s="53">
        <v>1.5284000000000001E-2</v>
      </c>
      <c r="E10" s="53">
        <v>1.68559E-2</v>
      </c>
      <c r="F10" s="53">
        <v>6.0133999999999986E-3</v>
      </c>
      <c r="G10" s="53">
        <v>5.8563E-3</v>
      </c>
    </row>
    <row r="11" spans="1:15" ht="15.75" customHeight="1" x14ac:dyDescent="0.25">
      <c r="B11" s="5" t="s">
        <v>138</v>
      </c>
      <c r="C11" s="45">
        <v>7.3088100000000003E-2</v>
      </c>
      <c r="D11" s="53">
        <v>7.3088100000000003E-2</v>
      </c>
      <c r="E11" s="53">
        <v>0</v>
      </c>
      <c r="F11" s="53">
        <v>6.0977000000000002E-3</v>
      </c>
      <c r="G11" s="53">
        <v>1.1658200000000001E-2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0.41136791174999998</v>
      </c>
      <c r="D14" s="54">
        <v>0.41779542736699998</v>
      </c>
      <c r="E14" s="54">
        <v>0.41779542736699998</v>
      </c>
      <c r="F14" s="54">
        <v>0.219470227804</v>
      </c>
      <c r="G14" s="54">
        <v>0.219470227804</v>
      </c>
      <c r="H14" s="45">
        <v>0.29799999999999999</v>
      </c>
      <c r="I14" s="55">
        <v>0.29799999999999999</v>
      </c>
      <c r="J14" s="55">
        <v>0.29799999999999999</v>
      </c>
      <c r="K14" s="55">
        <v>0.29799999999999999</v>
      </c>
      <c r="L14" s="45">
        <v>0.29399999999999998</v>
      </c>
      <c r="M14" s="55">
        <v>0.29399999999999998</v>
      </c>
      <c r="N14" s="55">
        <v>0.29399999999999998</v>
      </c>
      <c r="O14" s="55">
        <v>0.29399999999999998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0.25413240031344447</v>
      </c>
      <c r="D15" s="52">
        <f t="shared" si="0"/>
        <v>0.258103152346221</v>
      </c>
      <c r="E15" s="52">
        <f t="shared" si="0"/>
        <v>0.258103152346221</v>
      </c>
      <c r="F15" s="52">
        <f t="shared" si="0"/>
        <v>0.13558300051138827</v>
      </c>
      <c r="G15" s="52">
        <f t="shared" si="0"/>
        <v>0.13558300051138827</v>
      </c>
      <c r="H15" s="52">
        <f t="shared" si="0"/>
        <v>0.18409665199999997</v>
      </c>
      <c r="I15" s="52">
        <f t="shared" si="0"/>
        <v>0.18409665199999997</v>
      </c>
      <c r="J15" s="52">
        <f t="shared" si="0"/>
        <v>0.18409665199999997</v>
      </c>
      <c r="K15" s="52">
        <f t="shared" si="0"/>
        <v>0.18409665199999997</v>
      </c>
      <c r="L15" s="52">
        <f t="shared" si="0"/>
        <v>0.18162555599999997</v>
      </c>
      <c r="M15" s="52">
        <f t="shared" si="0"/>
        <v>0.18162555599999997</v>
      </c>
      <c r="N15" s="52">
        <f t="shared" si="0"/>
        <v>0.18162555599999997</v>
      </c>
      <c r="O15" s="52">
        <f t="shared" si="0"/>
        <v>0.18162555599999997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sgyRxB6DGZAuZ/bJ7T7CoLECAEPxsTaWB2zDzNMRzyd6BD24jpBiOEyO83Q2MhOzC2cIsWvxQ+S7PIxXAmrvGg==" saltValue="mfr0vd17eKuFS9MNnBox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0.29851899999999998</v>
      </c>
      <c r="D2" s="53">
        <v>0.1619959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0.28573409999999999</v>
      </c>
      <c r="D3" s="53">
        <v>0.27325430000000001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0.29176390000000002</v>
      </c>
      <c r="D4" s="53">
        <v>0.28245730000000002</v>
      </c>
      <c r="E4" s="53">
        <v>0.45839709999999989</v>
      </c>
      <c r="F4" s="53">
        <v>0.1173019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0.12398299999999995</v>
      </c>
      <c r="D5" s="52">
        <f t="shared" si="0"/>
        <v>0.28229249999999995</v>
      </c>
      <c r="E5" s="52">
        <f>1-SUM(E2:E4)</f>
        <v>0.54160290000000011</v>
      </c>
      <c r="F5" s="52">
        <f>1-SUM(F2:F4)</f>
        <v>0.88269810000000004</v>
      </c>
      <c r="G5" s="52">
        <f>1-SUM(G2:G4)</f>
        <v>1</v>
      </c>
    </row>
  </sheetData>
  <sheetProtection algorithmName="SHA-512" hashValue="4+RDJwJiZ0ImrdIHURpnqFQww+kJ2aYMND7Gn5IYTjTU403IGee68XXn1mjxSgUU6MqJ06uR+k/UzF9rVsYYdg==" saltValue="+6d3u5mWPn1pGnvYgI4Be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Ce9meFqRwpRgQL7Hpx5CnUfi/AwxXz0r9z5Kv8EuTprUIEtHv7Ij/8dQe+rcPxDSPpOHEqCHBMTi9LbkqDXWw==" saltValue="W/KNndSX6ZrLaaIZX6JdI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7568.7984799592296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0.52302999999999999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0.503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1.4820047966476232E-2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99374.42899</v>
      </c>
      <c r="C22" s="109">
        <v>99322.549570000003</v>
      </c>
      <c r="D22" s="109">
        <v>99255.540999999997</v>
      </c>
      <c r="E22" s="109">
        <v>99099.034039999999</v>
      </c>
      <c r="F22" s="109">
        <v>98855.783190000002</v>
      </c>
      <c r="G22" s="109">
        <v>98618.116680000006</v>
      </c>
      <c r="H22" s="109">
        <v>98302.631160000004</v>
      </c>
      <c r="I22" s="109">
        <v>97855.769499999995</v>
      </c>
      <c r="J22" s="109">
        <v>97124.157319999998</v>
      </c>
      <c r="K22" s="109">
        <v>95826.140799999994</v>
      </c>
      <c r="L22" s="109">
        <v>93647.427190000002</v>
      </c>
      <c r="M22" s="109">
        <v>90017.456590000002</v>
      </c>
      <c r="N22" s="109">
        <v>84621.730850000007</v>
      </c>
      <c r="O22" s="109">
        <v>76770.005139999994</v>
      </c>
    </row>
  </sheetData>
  <sheetProtection algorithmName="SHA-512" hashValue="AakMKNfH5mp8f6iGcNwbyhhYmsdHswFd7dipKWtxPjt3NYuhxvJjfoBNXviCoqYkByaZN5nu9Nzt49pVDdZ2yg==" saltValue="i++vIKwpqYJey9ZQ9OEaa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DCbUVzv327OO4U8vnx4+bwpxn0VOzE8AiY3HBVwoCxfAA3Zt/eczJxCm39rLLgUjbLG4l3tab62qaiXs2s8xtg==" saltValue="XLRkmuhmpBxUUXMf5wTmf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n6bpx90XdkiH2kIN6p6UI+j1gNCD0p5CDWd+M2g9bGrZyPky8Pon4qNDhsKgbqEX8N5gW0JCDsl8zyt9o8+tyg==" saltValue="6kT0KwWlJsRQQgPR8xwJV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12.008526100307062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12.008526100307062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8.8894216990788131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0.40262538382804508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13.107414492422411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13.107414492422411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13.107414492422411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13.107414492422411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</v>
      </c>
      <c r="C14" s="98">
        <v>0.95</v>
      </c>
      <c r="D14" s="56">
        <v>13.107414492422411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13.107414492422411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0.14000000000000001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0.1619959</v>
      </c>
      <c r="C18" s="98">
        <v>0.95</v>
      </c>
      <c r="D18" s="56">
        <v>8.8894216990788131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0.1619959</v>
      </c>
      <c r="C19" s="98">
        <v>0.95</v>
      </c>
      <c r="D19" s="56">
        <v>11.065100889871371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8.8894216990788131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4.3388595676177406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0.917419377713932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5.1498336745138182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11.470990276356194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0.36322349999999998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</v>
      </c>
      <c r="C29" s="98">
        <v>0.95</v>
      </c>
      <c r="D29" s="56">
        <v>123.32014378516121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170.92419651995908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1.1057036847492325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0.97261049999999993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0.19614500000000001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5.4630999999999994E-3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0.95155970000000001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2.6374181166837261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vUVuwY04OyME284jvK44+m9YKH4ladQFmar+Vy6m+rr1AbdvhyaxgAlJ8+lj+HPM5QLATpSqSd2TeieB/GNgsQ==" saltValue="VwHU32jTI1/Otw1hFbNh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8vV2QUoH4Z3n40SfN7zVaaiVfeFr5OvSZRlENV2J1c/zDFxjNqwIJWkeUx6KKCfs+CsI3foanRlvkfuJ0cODg==" saltValue="d4W/Dldf1oCcBU0/A6A4J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tYln0UtKWmGI7u8YJbfRB33+IHM9Jqosf1Gxa0KHOHGddArwPfV70cZWW4xTjNa9UAoXhkPfinsykbZB2B84VQ==" saltValue="l2mtIYZ8C9170qHvuWf9/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3.97384E-2</v>
      </c>
      <c r="C3" s="21">
        <f>frac_mam_1_5months * 2.6</f>
        <v>3.97384E-2</v>
      </c>
      <c r="D3" s="21">
        <f>frac_mam_6_11months * 2.6</f>
        <v>4.3825340000000004E-2</v>
      </c>
      <c r="E3" s="21">
        <f>frac_mam_12_23months * 2.6</f>
        <v>1.5634839999999997E-2</v>
      </c>
      <c r="F3" s="21">
        <f>frac_mam_24_59months * 2.6</f>
        <v>1.5226380000000001E-2</v>
      </c>
    </row>
    <row r="4" spans="1:6" ht="15.75" customHeight="1" x14ac:dyDescent="0.25">
      <c r="A4" s="3" t="s">
        <v>237</v>
      </c>
      <c r="B4" s="21">
        <f>frac_sam_1month * 2.6</f>
        <v>0.19002906000000003</v>
      </c>
      <c r="C4" s="21">
        <f>frac_sam_1_5months * 2.6</f>
        <v>0.19002906000000003</v>
      </c>
      <c r="D4" s="21">
        <f>frac_sam_6_11months * 2.6</f>
        <v>0</v>
      </c>
      <c r="E4" s="21">
        <f>frac_sam_12_23months * 2.6</f>
        <v>1.585402E-2</v>
      </c>
      <c r="F4" s="21">
        <f>frac_sam_24_59months * 2.6</f>
        <v>3.0311320000000003E-2</v>
      </c>
    </row>
  </sheetData>
  <sheetProtection algorithmName="SHA-512" hashValue="IQtnsJcPGEMJMpaoP6YTYvhMsMapJD2T9gzkccN0omNUsGilCg57uhzw6U8QyrVBqwuiNf7PvMfigN63uC9BCQ==" saltValue="bTipReCvTz/uXvpxgqyzd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0.78099999999999992</v>
      </c>
      <c r="M24" s="60">
        <f>famplan_unmet_need</f>
        <v>0.78099999999999992</v>
      </c>
      <c r="N24" s="60">
        <f>famplan_unmet_need</f>
        <v>0.78099999999999992</v>
      </c>
      <c r="O24" s="60">
        <f>famplan_unmet_need</f>
        <v>0.78099999999999992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4.3360267888069993E-2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1.8582971952029997E-2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2.6169476859899992E-2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0.91188728329999991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5pLlIENOuKigXlOizhyYQPmvC2G4zfXOsNbAHEJrirzWfG1s8jCX9egJ+k/o42yytcIGfc6ujD431nq2fpyffg==" saltValue="A2u5h9m1aEA6604rtLKEE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dLzj397iZ5f7UokCAzwettidKqeM+M+QW5f/RJWhBi+Xa5PhIMky2EaMuZy9ZjskEjoBOgjqvChp+9fb8w46Rw==" saltValue="/pN0HupPsneX/DUe1etf4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ZFfe50EO19FTtlgJxIpMHLo3NKhohPYc20q8gJe0kj27veZ6E2EeLs9Plh0vTFxkQMjq+HQ+mvOvwCGVjWovSw==" saltValue="YV9ImlzUESU19IOsP9a/T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UKGjeeUIlQQzPdJElsWZlWfF6YB/n9WpmWZ28x897bRVwtg7i3EsPt3UE/KHSaim/pXzg7MLh326R0osLxpoQ==" saltValue="zKWb9Gijl3ZF9qM3AkyL3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zCBYycPCMTuBRqf9RDy+yG7f1upVpLgIHW5pKkNHKbCd4mSvqE1LVN0vVH6I0pWcv7zblo8mix8wLfE57/7P0g==" saltValue="uRWEgq4oFbbsXhvRpeTFr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veg/aOXigmtGJ8sNAjglnPkHyYShr//KEsh4BWVOwsyJIUUCZLqu+3CdqtmTseHzWDVCrgL1hMenzrx2IhxG4Q==" saltValue="Uyre2QM7GhXQlVLWlxyr4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wk7jfy3Kmo6VOPaaHLJUtEX/1F/rkexoV0sr3pVIdDS5LY/QLOVZywGApfCJag6qrQ0j6tRGITlTp62ijaLBXw==" saltValue="aZnkKMiMa+ZIGS20kd1ZP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L6rFv+SELXhH7bcSz3rF9GjBOZghEJh1dzinhH8wAcRDMeaaa1g2A9WxoHokzVhX31TvV2niKw8ROGzzx8NiWA==" saltValue="wq+ZORL4NCkca4qPtMJU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WcnchqB5RJP3A326cSD75lPl+XQVGcLLS5zcF23hVBvOjGofaEd3Pcu3IHEgCR7kxMnVMG3fSSZ/s3J0tQmtVQ==" saltValue="K6RvCvn8AkbcnF6B1Iqq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v0+hfnWssJFQ9g268nF0VkKGOMX1V0nF++7AOyDeeaGocnLMzEdIaWdWGlOzOzMKPkyemBOJjvk+sH5QfVs5A==" saltValue="VNritYwboDeNS/nAWPPj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edb3Wyu0bIsWcJlRXJfyYZPsxWZDZ21ZWKcmRaKS+MI+yjos/QypQyNUKr6MVnaZBQK25GOFfH1XetT3H4ms7Q==" saltValue="qWDqXDE0fe9JM5cojei9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5GpkeLIMmkim9GRqBPXVTItbg5OjNxgd9zWTENW7v69jMyga0X02Di/cL0XReXFav6ZmxJDIVygDrGh5FsFq1w==" saltValue="zfbw7VAqyaL/oUbQlxyz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kutPUvFGRECM1t+3VWAnOlDfgiDDqsGEdZovRZ9UkzTiuEwir6t0s8OwhLdoBsnOQdPLqY4tnM6UnqYivVZRA==" saltValue="rKyA4TgTTm9zdmoqIm3tr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YCleilT246mhfD9CyUfeDesVm7a3mhIySVcTJvmRFRM2eqf7JhFCORbXnG09t7E/3wOp2FKI7vI/PnGY6SMa7Q==" saltValue="MjOJo7T3klTpri7MKV4y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1uAzf+tt7W1L7OzKO9eK4UrHpEeAx7xuGFW/+4pTe9z+YcaDuWD8JMG4XDfxXZf/rRdAerESWvYIFOnEecd/eA==" saltValue="Pyp6Y/rKx5ti1hP4b+8+5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2025-07-04T03:18:10Z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