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472093E-7576-4267-BFE5-592127C2829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1" i="2" l="1"/>
  <c r="A32" i="2"/>
  <c r="A33" i="2"/>
  <c r="A25" i="2"/>
  <c r="A31" i="2"/>
  <c r="A39" i="2"/>
  <c r="A3" i="2"/>
  <c r="A23" i="2"/>
  <c r="A15" i="2"/>
  <c r="A24" i="2"/>
  <c r="A16" i="2"/>
  <c r="A34" i="2"/>
  <c r="A17" i="2"/>
  <c r="A26" i="2"/>
  <c r="A35" i="2"/>
  <c r="A18" i="2"/>
  <c r="A27" i="2"/>
  <c r="A36" i="2"/>
  <c r="A19" i="2"/>
  <c r="A28" i="2"/>
  <c r="A37" i="2"/>
  <c r="A20" i="2"/>
  <c r="A29" i="2"/>
  <c r="I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<sst xmlns="http://schemas.openxmlformats.org/spreadsheetml/2006/main" count="2101" uniqueCount="337">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</sst>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135579.033203125</v>
      </c>
    </row>
    <row r="8" spans="1:3" ht="15" customHeight="1" x14ac:dyDescent="0.25">
      <c r="B8" s="5" t="s">
        <v>19</v>
      </c>
      <c r="C8" s="44">
        <v>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3.7400000000000003E-2</v>
      </c>
    </row>
    <row r="24" spans="1:3" ht="15" customHeight="1" x14ac:dyDescent="0.25">
      <c r="B24" s="15" t="s">
        <v>33</v>
      </c>
      <c r="C24" s="45">
        <v>0.53110000000000002</v>
      </c>
    </row>
    <row r="25" spans="1:3" ht="15" customHeight="1" x14ac:dyDescent="0.25">
      <c r="B25" s="15" t="s">
        <v>34</v>
      </c>
      <c r="C25" s="45">
        <v>0.41370000000000001</v>
      </c>
    </row>
    <row r="26" spans="1:3" ht="15" customHeight="1" x14ac:dyDescent="0.25">
      <c r="B26" s="15" t="s">
        <v>35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0.51101988116637098</v>
      </c>
    </row>
    <row r="30" spans="1:3" ht="14.25" customHeight="1" x14ac:dyDescent="0.25">
      <c r="B30" s="25" t="s">
        <v>38</v>
      </c>
      <c r="C30" s="99">
        <v>3.6928466503456402E-2</v>
      </c>
    </row>
    <row r="31" spans="1:3" ht="14.25" customHeight="1" x14ac:dyDescent="0.25">
      <c r="B31" s="25" t="s">
        <v>39</v>
      </c>
      <c r="C31" s="99">
        <v>4.0966963582223501E-2</v>
      </c>
    </row>
    <row r="32" spans="1:3" ht="14.25" customHeight="1" x14ac:dyDescent="0.25">
      <c r="B32" s="25" t="s">
        <v>40</v>
      </c>
      <c r="C32" s="99">
        <v>0.41108468874794901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4.0971299999999999</v>
      </c>
    </row>
    <row r="38" spans="1:5" ht="15" customHeight="1" x14ac:dyDescent="0.25">
      <c r="B38" s="11" t="s">
        <v>45</v>
      </c>
      <c r="C38" s="43">
        <v>4.8431699999999998</v>
      </c>
      <c r="D38" s="12"/>
      <c r="E38" s="13"/>
    </row>
    <row r="39" spans="1:5" ht="15" customHeight="1" x14ac:dyDescent="0.25">
      <c r="B39" s="11" t="s">
        <v>46</v>
      </c>
      <c r="C39" s="43">
        <v>5.6006</v>
      </c>
      <c r="D39" s="12"/>
      <c r="E39" s="12"/>
    </row>
    <row r="40" spans="1:5" ht="15" customHeight="1" x14ac:dyDescent="0.25">
      <c r="B40" s="11" t="s">
        <v>47</v>
      </c>
      <c r="C40" s="100">
        <v>0.06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5.9451E-3</v>
      </c>
      <c r="D45" s="12"/>
    </row>
    <row r="46" spans="1:5" ht="15.75" customHeight="1" x14ac:dyDescent="0.25">
      <c r="B46" s="11" t="s">
        <v>52</v>
      </c>
      <c r="C46" s="45">
        <v>6.38793E-2</v>
      </c>
      <c r="D46" s="12"/>
    </row>
    <row r="47" spans="1:5" ht="15.75" customHeight="1" x14ac:dyDescent="0.25">
      <c r="B47" s="11" t="s">
        <v>53</v>
      </c>
      <c r="C47" s="45">
        <v>7.5347799999999993E-2</v>
      </c>
      <c r="D47" s="12"/>
      <c r="E47" s="13"/>
    </row>
    <row r="48" spans="1:5" ht="15" customHeight="1" x14ac:dyDescent="0.25">
      <c r="B48" s="11" t="s">
        <v>54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0.61777399999999993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OfwsKaRcRq3Jc+2j4RCl+9bzf1Ti4qzFQc2nI/XWQ+AwaLFq9Mi+NT+pjsESeBN+IKFTPGVIJfWMGOk58ijNlg==" saltValue="mFrKwzBxeBdIz9Ls2vJ7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X1iPEWGtQQYaQV0I2Moe8FFa+t/VscBOC8dCWTwH7c6frP8AGjX28OAxC6fHCJa3UFXvoPncTY2ngBGBKMlnA==" saltValue="lnX/X5evGc6NQ3mIu7pl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4.6125695387430402E-2</v>
      </c>
    </row>
    <row r="5" spans="1:8" ht="15.75" customHeight="1" x14ac:dyDescent="0.25">
      <c r="B5" s="19" t="s">
        <v>80</v>
      </c>
      <c r="C5" s="101">
        <v>2.2718797728120219E-2</v>
      </c>
    </row>
    <row r="6" spans="1:8" ht="15.75" customHeight="1" x14ac:dyDescent="0.25">
      <c r="B6" s="19" t="s">
        <v>81</v>
      </c>
      <c r="C6" s="101">
        <v>0.17007988299201179</v>
      </c>
    </row>
    <row r="7" spans="1:8" ht="15.75" customHeight="1" x14ac:dyDescent="0.25">
      <c r="B7" s="19" t="s">
        <v>82</v>
      </c>
      <c r="C7" s="101">
        <v>0.39910116008988411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0.28086277191372289</v>
      </c>
    </row>
    <row r="10" spans="1:8" ht="15.75" customHeight="1" x14ac:dyDescent="0.25">
      <c r="B10" s="19" t="s">
        <v>85</v>
      </c>
      <c r="C10" s="101">
        <v>8.1111691888830689E-2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88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89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90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95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5.5773718999999999E-2</v>
      </c>
    </row>
    <row r="27" spans="1:8" ht="15.75" customHeight="1" x14ac:dyDescent="0.25">
      <c r="B27" s="19" t="s">
        <v>102</v>
      </c>
      <c r="C27" s="101">
        <v>5.7652142000000003E-2</v>
      </c>
    </row>
    <row r="28" spans="1:8" ht="15.75" customHeight="1" x14ac:dyDescent="0.25">
      <c r="B28" s="19" t="s">
        <v>103</v>
      </c>
      <c r="C28" s="101">
        <v>0.12384268499999999</v>
      </c>
    </row>
    <row r="29" spans="1:8" ht="15.75" customHeight="1" x14ac:dyDescent="0.25">
      <c r="B29" s="19" t="s">
        <v>104</v>
      </c>
      <c r="C29" s="101">
        <v>0.136252816</v>
      </c>
    </row>
    <row r="30" spans="1:8" ht="15.75" customHeight="1" x14ac:dyDescent="0.25">
      <c r="B30" s="19" t="s">
        <v>2</v>
      </c>
      <c r="C30" s="101">
        <v>8.3258572000000003E-2</v>
      </c>
    </row>
    <row r="31" spans="1:8" ht="15.75" customHeight="1" x14ac:dyDescent="0.25">
      <c r="B31" s="19" t="s">
        <v>105</v>
      </c>
      <c r="C31" s="101">
        <v>6.5980006999999993E-2</v>
      </c>
    </row>
    <row r="32" spans="1:8" ht="15.75" customHeight="1" x14ac:dyDescent="0.25">
      <c r="B32" s="19" t="s">
        <v>106</v>
      </c>
      <c r="C32" s="101">
        <v>0.12997820099999999</v>
      </c>
    </row>
    <row r="33" spans="2:3" ht="15.75" customHeight="1" x14ac:dyDescent="0.25">
      <c r="B33" s="19" t="s">
        <v>107</v>
      </c>
      <c r="C33" s="101">
        <v>0.124636924</v>
      </c>
    </row>
    <row r="34" spans="2:3" ht="15.75" customHeight="1" x14ac:dyDescent="0.25">
      <c r="B34" s="19" t="s">
        <v>108</v>
      </c>
      <c r="C34" s="101">
        <v>0.222624933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S6+wa1pj6Fpndjq+Zcvhd7wfAd7LyLqR82blPMNOralQOP3ZT+iw7wfZ6kI6YdGqH/NBbOvlwvKAiMQKzKgijw==" saltValue="KBUvnq51+dsiutLbvl3y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114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115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119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120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HHHpX5tqHKpOu5XSeGQWu4P0+CzyinY/PK+KNLfsF24QdQqnMGvjudr2M84jZ7amGKgN7k2vIdVH0Cc6GyFEA==" saltValue="DZf2++XooWgxfV5CsN8u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132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1haNEynv4woAd1XWkxpEe+RFxoITOkuFh56zu0QlpZcaZuETFSGbO3PvnGN5DPSGMpcMt/4vKScZBHSLRXKm7Q==" saltValue="5oUsd9lkM5JHfeFC5PcQ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i0i43G3JJpmO/DKXmSPyaeyc7TsOXVsq5vOUvFhypzFmKD352xDfhm24rMQXVSTpL8d5PPbLLkB1CLdAoWJTA==" saltValue="WOLfLr6kLPYgNo76Bgsk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K4Gtr8ENar5bcZVlpQGMigalVtVfUEfxm42yhQmMj+LC7rwAg+bIU0rT+pT9YVqTTB1vCWk3Gtil9WadySbJ9Q==" saltValue="55XE4zo//agOBN6bKx8f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ydeAZTN+q5cWuvtO3QM9e6FxpJU/NerdEWQ53zvkjKtJ8Kv1H4ffuY4snpu8HsioQCD/D2+41thiMHvh/NOVWg==" saltValue="CVBjgji75dMVhAKY2dpa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TBrSEFBqTopWe3y7cYi+fv/09xJBRGCE5PBgCOR4UelQjDuVRNv9gZFkc0ZujsbJdicd/PrmWL/Vly4w4iYwQ==" saltValue="1hQMrktUk2W859R7dKwn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62.267198925302971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39.975115048626499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480.84054251477158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8.0604528320334623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13.107414492422411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13.107414492422411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13.107414492422411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13.107414492422411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13.107414492422411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13.107414492422411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0.81418029231775391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0.1619959</v>
      </c>
      <c r="C18" s="98">
        <v>0.95</v>
      </c>
      <c r="D18" s="56">
        <v>11.065100889871371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0.1619959</v>
      </c>
      <c r="C19" s="98">
        <v>0.95</v>
      </c>
      <c r="D19" s="56">
        <v>11.065100889871371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79.90136660715082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22.669145438411171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4.3388595676177406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0.917419377713932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18.641484890005319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0.36322349999999998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123.32014378516121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1.7708964965206571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0.97261049999999993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0.19614500000000001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5.4630999999999994E-3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0.95155970000000001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2.7958272003703142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TeSIJ7BhHMZLnQM/FPO94eYVyqBjsAAzR5iSIkIl6UnLW4Rp0tivmhihcWoEIkAwpYPHUPA8HCWcDx8h76rFw==" saltValue="ixG4aDtndlArBSp97ZC4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gqZKVB5GnsBUz48g3JCLmZTr5LkvSuIBBdnGWdeLJ7JtRYOimklTs2U78malz1sB0OaReAOPwOylc5ZFhJo/Q==" saltValue="vVgRRRn8yC4x8NW0v5xE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J5P0ALPbvkxoBZ5hBkqLXbdjEK/yXqhQZ6B5ZQS1sHMnN5f72RkBEa+k9BIz/PpGphAvG9/ORBP/KYr8tmdyg==" saltValue="y+6lf5wwyiztGmNtI4jT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208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xTd5b86U+x5erwxKQcvfpjCzakwGx2qvYnGOVMyf807TnaGNbEtaJFUHW1YnMroc2rY+bhoxXo2iKSTnCx6YBQ==" saltValue="Rok1Hp+rO1Z5ZKDhmcej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PXy/rTxyaSEGcs7NjYlZLLM0mhIgxWExX/h25S0yNhnophc+YGDStFAzYNRJ8KhZbv7jXYEE8lUNhxVlkwNaQ==" saltValue="nRZeb/dGy2+7snGkK1mj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ZXEEe2kAc0ZPxxzNVDfAek7TkZgV6AKWMDNQhtsLQBBGvoXYtqdiikolFaP/e6KPwSAXBwfRgtVZb70ZH0eNg==" saltValue="UagVl9nLC/3TDt0HwN37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ik4NBSWgJFo3m933hzPNp4tGn+uPHz1MDXff7z1mKMKL5bzjH7+swhhBYU27aXezMqwEOumL5S1e8+dEHUOjg==" saltValue="yWzadq58PlpiTrxUCwiS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tNdXBJXvjMZ2cI9geCRdlSqEGA7vyNhzdX8OOGoaesy5IDB6TtPAvtjz3WR8a9zTdekoA4KxXJzG3PKWe7zhw==" saltValue="8Bq7oqdXNybvrWegJoPg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bGWRoAhHmQm+D+fqKVbHEvH5dLf8VgkJkrqPATScFsS/ZVcEzpuXyDJ8qvGgMqzZo7oEF23oIuN76wEpFv1/Q==" saltValue="Cdbre5vkkGJ2Hj+cRWhf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1VCBH7Rbs0vVwiK36eQ0LZcXZil0oT2/M3fza3uedbCLk3k96ZBPy77ViDt74qUcRxOAewDwTvoCRTIXEErFOw==" saltValue="vP07nUl5EcYLWcvsGXHi6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AqXKARy1D1+yaO8b/IKxE4GsUbEe+C1z8QME/LkB5sBhavMfUrZ1Pb0yawoGXoIArsG7Sgjm64BWl0aWiYYoA==" saltValue="F6voW56pJesKq5ZulSeSl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6jgLHOyAbT/uSuoi6HmIggk1ah02Hz8IUo+NA0N849NPw2OwHSP0ssmCw1APSrEfQY0dg4L3BHByuOvKKITNQ==" saltValue="vaWasHyLQCn0/voXM48h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TTfTKhhQ3iTPk2aMjY0jVkicbwJjzHa0H8tGA9/nnTm7IHis8jAI7Wt2OMWQztw06u+yH+S7T86NG++6zXzyA==" saltValue="gqyoSoUnurEoTX9nMclb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YFghSZl0MjsqeVOhLFoitGL347etNmLo/Sw1NBs8IvlsEOxSzFLgG611RjJt5PGa8sjgDco9J1/xjolmxVy6g==" saltValue="KaFypPwGAQ0AsmN7pFG8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tAWPjekKrrOq2qLmeGO4MyDuuuP/Odrbv7+GdnUMHJdrY7nSsbEYWZzdlr5np+zDMGaseEae+ExcTgj8b2Qjw==" saltValue="vXHW9SXPKT1xZiJvWcWw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Mxv1gt/sV7sK5GPDgbV86OIxtzzzvcL7+0jBCF70nbZROKXbi9nQAUnJ/CZmPQtKMzkr0EsqkoXVMkg5y0p+g==" saltValue="Vy0ShmmSUqJ0hc2c1eVo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YSuHjotDegRObEEtlTVaZus+kji5431ZRLKq0axj7zRE2TLX8MKbEO+Az+GjnuxGlFWJim5gZMjZKqMZtoE/A==" saltValue="TZ3wTY42L6Un+oZ5rVfE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0.10940263448887544</v>
      </c>
      <c r="H18" s="90">
        <f>MIN(MAX(1-0.89/(1-frac_sam_24_59months+(frac_sam_24_59months*0.89)),0),1)</f>
        <v>0.10885719668674554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0.10834674200333871</v>
      </c>
      <c r="G20" s="90">
        <f>MIN(MAX(1-0.89/(1-frac_mam_12_23months+(frac_mam_12_23months*0.89)),0),1)</f>
        <v>0.10941089846465102</v>
      </c>
      <c r="H20" s="90">
        <f>MIN(MAX(1-0.89/(1-frac_mam_24_59months+(frac_mam_24_59months*0.89)),0),1)</f>
        <v>0.10942629865560982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9.9396290887630023E-3</v>
      </c>
      <c r="H73" s="90">
        <f>MIN(MAX(1-0.99/(1-frac_sam_24_59months+(frac_sam_24_59months*0.99)),0),1)</f>
        <v>9.8845703629820703E-3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9.8330984572428948E-3</v>
      </c>
      <c r="G75" s="90">
        <f>MIN(MAX(1-0.99/(1-frac_mam_12_23months+(frac_mam_12_23months*0.99)),0),1)</f>
        <v>9.9404637598478063E-3</v>
      </c>
      <c r="H75" s="90">
        <f>MIN(MAX(1-0.99/(1-frac_mam_24_59months+(frac_mam_24_59months*0.99)),0),1)</f>
        <v>9.9420192344723546E-3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0.19902317672494307</v>
      </c>
      <c r="H128" s="90">
        <f>MIN(MAX(1-0.8/(1-frac_sam_24_59months+(frac_sam_24_59months*0.8)),0),1)</f>
        <v>0.1981303285993754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0.19729393336227219</v>
      </c>
      <c r="G130" s="90">
        <f>MIN(MAX(1-0.8/(1-frac_mam_12_23months+(frac_mam_12_23months*0.8)),0),1)</f>
        <v>0.19903669745529562</v>
      </c>
      <c r="H130" s="90">
        <f>MIN(MAX(1-0.8/(1-frac_mam_24_59months+(frac_mam_24_59months*0.8)),0),1)</f>
        <v>0.19906189323306811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hqdCrpXJgcNiI6IibKQkHRF/8DBVNJP/OzXAS7LtnexJ+H4YfeE92sOqI5+ZBLt1zWPK+JlRywvjHPCh0mnQ==" saltValue="qaI7gjyn70B07/UvoUZ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E4GdqEu/OoKhqjH9iRYF80CJ5BagIljiYTq1cdAiUQvnJudROfu5Z3WZbxYwkdeWPciKvIr8GcjyL8OTxLjaA==" saltValue="n39Z4Ztnsy5Dvl3my3m4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2024-08-06T08:46:32Z</dcterms:modified>
</cp:coreProperties>
</file>