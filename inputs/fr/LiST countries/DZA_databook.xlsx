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BA4BDFA4-7E4B-42C5-9BC2-D0F04079FBAE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I39" i="2" s="1"/>
  <c r="H38" i="2"/>
  <c r="G38" i="2"/>
  <c r="I38" i="2" s="1"/>
  <c r="A37" i="2"/>
  <c r="A36" i="2"/>
  <c r="A31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2" i="2" l="1"/>
  <c r="I8" i="2"/>
  <c r="A24" i="2"/>
  <c r="A25" i="2"/>
  <c r="I6" i="2"/>
  <c r="I12" i="2"/>
  <c r="A35" i="2"/>
  <c r="A19" i="2"/>
  <c r="A22" i="2"/>
  <c r="I3" i="2"/>
  <c r="I9" i="2"/>
  <c r="A23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<sst xmlns="http://schemas.openxmlformats.org/spreadsheetml/2006/main" count="2169" uniqueCount="369">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</sst>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4632995.5</v>
      </c>
    </row>
    <row r="8" spans="1:3" ht="15" customHeight="1" x14ac:dyDescent="0.25">
      <c r="B8" s="5" t="s">
        <v>37</v>
      </c>
      <c r="C8" s="44">
        <v>1.4999999999999999E-2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0.68451698300000008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0.22800000000000001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2.9899999999999999E-2</v>
      </c>
    </row>
    <row r="24" spans="1:3" ht="15" customHeight="1" x14ac:dyDescent="0.25">
      <c r="B24" s="15" t="s">
        <v>51</v>
      </c>
      <c r="C24" s="45">
        <v>0.41</v>
      </c>
    </row>
    <row r="25" spans="1:3" ht="15" customHeight="1" x14ac:dyDescent="0.25">
      <c r="B25" s="15" t="s">
        <v>52</v>
      </c>
      <c r="C25" s="45">
        <v>0.46339999999999998</v>
      </c>
    </row>
    <row r="26" spans="1:3" ht="15" customHeight="1" x14ac:dyDescent="0.25">
      <c r="B26" s="15" t="s">
        <v>53</v>
      </c>
      <c r="C26" s="45">
        <v>9.6699999999999994E-2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0.31611757185067002</v>
      </c>
    </row>
    <row r="30" spans="1:3" ht="14.25" customHeight="1" x14ac:dyDescent="0.25">
      <c r="B30" s="25" t="s">
        <v>56</v>
      </c>
      <c r="C30" s="97">
        <v>5.6193137427978712E-2</v>
      </c>
    </row>
    <row r="31" spans="1:3" ht="14.25" customHeight="1" x14ac:dyDescent="0.25">
      <c r="B31" s="25" t="s">
        <v>57</v>
      </c>
      <c r="C31" s="97">
        <v>7.8032026225336698E-2</v>
      </c>
    </row>
    <row r="32" spans="1:3" ht="14.25" customHeight="1" x14ac:dyDescent="0.25">
      <c r="B32" s="25" t="s">
        <v>58</v>
      </c>
      <c r="C32" s="97">
        <v>0.54965726449601493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15.6492</v>
      </c>
    </row>
    <row r="38" spans="1:5" ht="15" customHeight="1" x14ac:dyDescent="0.25">
      <c r="B38" s="11" t="s">
        <v>63</v>
      </c>
      <c r="C38" s="43">
        <v>19.16029</v>
      </c>
      <c r="D38" s="12"/>
      <c r="E38" s="13"/>
    </row>
    <row r="39" spans="1:5" ht="15" customHeight="1" x14ac:dyDescent="0.25">
      <c r="B39" s="11" t="s">
        <v>64</v>
      </c>
      <c r="C39" s="43">
        <v>22.335290000000001</v>
      </c>
      <c r="D39" s="12"/>
      <c r="E39" s="12"/>
    </row>
    <row r="40" spans="1:5" ht="15" customHeight="1" x14ac:dyDescent="0.25">
      <c r="B40" s="11" t="s">
        <v>65</v>
      </c>
      <c r="C40" s="98">
        <v>0.78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9.8190000000000008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7.5297000000000003E-3</v>
      </c>
      <c r="D45" s="12"/>
    </row>
    <row r="46" spans="1:5" ht="15.75" customHeight="1" x14ac:dyDescent="0.25">
      <c r="B46" s="11" t="s">
        <v>70</v>
      </c>
      <c r="C46" s="45">
        <v>8.0905199999999997E-2</v>
      </c>
      <c r="D46" s="12"/>
    </row>
    <row r="47" spans="1:5" ht="15.75" customHeight="1" x14ac:dyDescent="0.25">
      <c r="B47" s="11" t="s">
        <v>71</v>
      </c>
      <c r="C47" s="45">
        <v>7.3840299999999998E-2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2.9</v>
      </c>
      <c r="D51" s="12"/>
    </row>
    <row r="52" spans="1:4" ht="15" customHeight="1" x14ac:dyDescent="0.25">
      <c r="B52" s="11" t="s">
        <v>75</v>
      </c>
      <c r="C52" s="98">
        <v>2.9</v>
      </c>
    </row>
    <row r="53" spans="1:4" ht="15.75" customHeight="1" x14ac:dyDescent="0.25">
      <c r="B53" s="11" t="s">
        <v>76</v>
      </c>
      <c r="C53" s="98">
        <v>2.9</v>
      </c>
    </row>
    <row r="54" spans="1:4" ht="15.75" customHeight="1" x14ac:dyDescent="0.25">
      <c r="B54" s="11" t="s">
        <v>77</v>
      </c>
      <c r="C54" s="98">
        <v>2.9</v>
      </c>
    </row>
    <row r="55" spans="1:4" ht="15.75" customHeight="1" x14ac:dyDescent="0.25">
      <c r="B55" s="11" t="s">
        <v>78</v>
      </c>
      <c r="C55" s="98">
        <v>2.9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2.0689655172413789E-2</v>
      </c>
    </row>
    <row r="59" spans="1:4" ht="15.75" customHeight="1" x14ac:dyDescent="0.25">
      <c r="B59" s="11" t="s">
        <v>81</v>
      </c>
      <c r="C59" s="45">
        <v>0.57310400000000006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7.2524920000000007E-2</v>
      </c>
    </row>
    <row r="63" spans="1:4" ht="15.75" customHeight="1" x14ac:dyDescent="0.3">
      <c r="A63" s="4"/>
    </row>
  </sheetData>
  <sheetProtection algorithmName="SHA-512" hashValue="qivBLXeyTpfmyUG99xWeg8unjAryNM8EyjPmMrRby79cBPdIBph2FuY0aT2m2J2yLxyyZtWtyXOmz660mnpCjg==" saltValue="qzfMdD1SdQCfloCE3tK8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881823</v>
      </c>
      <c r="C2" s="49">
        <v>1788486</v>
      </c>
      <c r="D2" s="49">
        <v>2903103</v>
      </c>
      <c r="E2" s="49">
        <v>3496855</v>
      </c>
      <c r="F2" s="49">
        <v>3176006.5</v>
      </c>
      <c r="G2" s="17">
        <f t="shared" ref="G2:G13" si="0">C2+D2+E2+F2</f>
        <v>11364450.5</v>
      </c>
      <c r="H2" s="17">
        <f t="shared" ref="H2:H13" si="1">(B2 + stillbirth*B2/(1000-stillbirth))/(1-abortion)</f>
        <v>1012008.5023940986</v>
      </c>
      <c r="I2" s="17">
        <f t="shared" ref="I2:I13" si="2">G2-H2</f>
        <v>10352441.997605901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855432</v>
      </c>
      <c r="C3" s="50">
        <v>1880737.5</v>
      </c>
      <c r="D3" s="50">
        <v>2896263</v>
      </c>
      <c r="E3" s="50">
        <v>3447368.0000000005</v>
      </c>
      <c r="F3" s="50">
        <v>3265149</v>
      </c>
      <c r="G3" s="17">
        <f t="shared" si="0"/>
        <v>11489517.5</v>
      </c>
      <c r="H3" s="17">
        <f t="shared" si="1"/>
        <v>981721.34001946938</v>
      </c>
      <c r="I3" s="17">
        <f t="shared" si="2"/>
        <v>10507796.15998053</v>
      </c>
    </row>
    <row r="4" spans="1:9" ht="15.75" customHeight="1" x14ac:dyDescent="0.25">
      <c r="A4" s="5">
        <f t="shared" si="3"/>
        <v>2026</v>
      </c>
      <c r="B4" s="49">
        <v>832197</v>
      </c>
      <c r="C4" s="50">
        <v>1968716.5</v>
      </c>
      <c r="D4" s="50">
        <v>2916550</v>
      </c>
      <c r="E4" s="50">
        <v>3388261.4999999995</v>
      </c>
      <c r="F4" s="50">
        <v>3345870</v>
      </c>
      <c r="G4" s="17">
        <f t="shared" si="0"/>
        <v>11619398</v>
      </c>
      <c r="H4" s="17">
        <f t="shared" si="1"/>
        <v>955056.10498576425</v>
      </c>
      <c r="I4" s="17">
        <f t="shared" si="2"/>
        <v>10664341.895014236</v>
      </c>
    </row>
    <row r="5" spans="1:9" ht="15.75" customHeight="1" x14ac:dyDescent="0.25">
      <c r="A5" s="5">
        <f t="shared" si="3"/>
        <v>2027</v>
      </c>
      <c r="B5" s="49">
        <v>811548</v>
      </c>
      <c r="C5" s="50">
        <v>2055652.5000000002</v>
      </c>
      <c r="D5" s="50">
        <v>2965857.5</v>
      </c>
      <c r="E5" s="50">
        <v>3320935.5</v>
      </c>
      <c r="F5" s="50">
        <v>3414471.9999999995</v>
      </c>
      <c r="G5" s="17">
        <f t="shared" si="0"/>
        <v>11756917.5</v>
      </c>
      <c r="H5" s="17">
        <f t="shared" si="1"/>
        <v>931358.64691772149</v>
      </c>
      <c r="I5" s="17">
        <f t="shared" si="2"/>
        <v>10825558.853082279</v>
      </c>
    </row>
    <row r="6" spans="1:9" ht="15.75" customHeight="1" x14ac:dyDescent="0.25">
      <c r="A6" s="5">
        <f t="shared" si="3"/>
        <v>2028</v>
      </c>
      <c r="B6" s="49">
        <v>794567</v>
      </c>
      <c r="C6" s="50">
        <v>2137849</v>
      </c>
      <c r="D6" s="50">
        <v>3053031</v>
      </c>
      <c r="E6" s="50">
        <v>3240166</v>
      </c>
      <c r="F6" s="50">
        <v>3467769.5</v>
      </c>
      <c r="G6" s="17">
        <f t="shared" si="0"/>
        <v>11898815.5</v>
      </c>
      <c r="H6" s="17">
        <f t="shared" si="1"/>
        <v>911870.70389610121</v>
      </c>
      <c r="I6" s="17">
        <f t="shared" si="2"/>
        <v>10986944.796103898</v>
      </c>
    </row>
    <row r="7" spans="1:9" ht="15.75" customHeight="1" x14ac:dyDescent="0.25">
      <c r="A7" s="5">
        <f t="shared" si="3"/>
        <v>2029</v>
      </c>
      <c r="B7" s="49">
        <v>781454</v>
      </c>
      <c r="C7" s="50">
        <v>2215097</v>
      </c>
      <c r="D7" s="50">
        <v>3169618.9999999995</v>
      </c>
      <c r="E7" s="50">
        <v>3152711.0000000005</v>
      </c>
      <c r="F7" s="50">
        <v>3503781.5</v>
      </c>
      <c r="G7" s="17">
        <f t="shared" si="0"/>
        <v>12041208.5</v>
      </c>
      <c r="H7" s="17">
        <f t="shared" si="1"/>
        <v>896821.80236836406</v>
      </c>
      <c r="I7" s="17">
        <f t="shared" si="2"/>
        <v>11144386.697631637</v>
      </c>
    </row>
    <row r="8" spans="1:9" ht="15.75" customHeight="1" x14ac:dyDescent="0.25">
      <c r="A8" s="5">
        <f t="shared" si="3"/>
        <v>2030</v>
      </c>
      <c r="B8" s="49">
        <v>771716</v>
      </c>
      <c r="C8" s="50">
        <v>2289872</v>
      </c>
      <c r="D8" s="50">
        <v>3297386.9999999995</v>
      </c>
      <c r="E8" s="50">
        <v>3073944</v>
      </c>
      <c r="F8" s="50">
        <v>3522340</v>
      </c>
      <c r="G8" s="17">
        <f t="shared" si="0"/>
        <v>12183543</v>
      </c>
      <c r="H8" s="17">
        <f t="shared" si="1"/>
        <v>885646.15964152012</v>
      </c>
      <c r="I8" s="17">
        <f t="shared" si="2"/>
        <v>11297896.840358481</v>
      </c>
    </row>
    <row r="9" spans="1:9" ht="15.75" customHeight="1" x14ac:dyDescent="0.25">
      <c r="A9" s="5">
        <f t="shared" si="3"/>
        <v>2031</v>
      </c>
      <c r="B9" s="49">
        <v>764881</v>
      </c>
      <c r="C9" s="50">
        <v>2355492.5</v>
      </c>
      <c r="D9" s="50">
        <v>3435498</v>
      </c>
      <c r="E9" s="50">
        <v>3004677.5</v>
      </c>
      <c r="F9" s="50">
        <v>3524365</v>
      </c>
      <c r="G9" s="17">
        <f t="shared" si="0"/>
        <v>12320033</v>
      </c>
      <c r="H9" s="17">
        <f t="shared" si="1"/>
        <v>877802.09329956293</v>
      </c>
      <c r="I9" s="17">
        <f t="shared" si="2"/>
        <v>11442230.906700438</v>
      </c>
    </row>
    <row r="10" spans="1:9" ht="15.75" customHeight="1" x14ac:dyDescent="0.25">
      <c r="A10" s="5">
        <f t="shared" si="3"/>
        <v>2032</v>
      </c>
      <c r="B10" s="49">
        <v>761645</v>
      </c>
      <c r="C10" s="50">
        <v>2405038</v>
      </c>
      <c r="D10" s="50">
        <v>3593161.5</v>
      </c>
      <c r="E10" s="50">
        <v>2942028.5000000005</v>
      </c>
      <c r="F10" s="50">
        <v>3512143</v>
      </c>
      <c r="G10" s="17">
        <f t="shared" si="0"/>
        <v>12452371</v>
      </c>
      <c r="H10" s="17">
        <f t="shared" si="1"/>
        <v>874088.35537965468</v>
      </c>
      <c r="I10" s="17">
        <f t="shared" si="2"/>
        <v>11578282.644620346</v>
      </c>
    </row>
    <row r="11" spans="1:9" ht="15.75" customHeight="1" x14ac:dyDescent="0.25">
      <c r="A11" s="5">
        <f t="shared" si="3"/>
        <v>2033</v>
      </c>
      <c r="B11" s="49">
        <v>762903</v>
      </c>
      <c r="C11" s="50">
        <v>2434536.5</v>
      </c>
      <c r="D11" s="50">
        <v>3762397.5</v>
      </c>
      <c r="E11" s="50">
        <v>2890836.5</v>
      </c>
      <c r="F11" s="50">
        <v>3487440.4999999995</v>
      </c>
      <c r="G11" s="17">
        <f t="shared" si="0"/>
        <v>12575211</v>
      </c>
      <c r="H11" s="17">
        <f t="shared" si="1"/>
        <v>875532.07673418021</v>
      </c>
      <c r="I11" s="17">
        <f t="shared" si="2"/>
        <v>11699678.92326582</v>
      </c>
    </row>
    <row r="12" spans="1:9" ht="15.75" customHeight="1" x14ac:dyDescent="0.25">
      <c r="A12" s="5">
        <f t="shared" si="3"/>
        <v>2034</v>
      </c>
      <c r="B12" s="49">
        <v>768066</v>
      </c>
      <c r="C12" s="50">
        <v>2442917.5</v>
      </c>
      <c r="D12" s="50">
        <v>3931813</v>
      </c>
      <c r="E12" s="50">
        <v>2859976.4999999995</v>
      </c>
      <c r="F12" s="50">
        <v>3450396.5</v>
      </c>
      <c r="G12" s="17">
        <f t="shared" si="0"/>
        <v>12685103.5</v>
      </c>
      <c r="H12" s="17">
        <f t="shared" si="1"/>
        <v>881457.30197536887</v>
      </c>
      <c r="I12" s="17">
        <f t="shared" si="2"/>
        <v>11803646.198024631</v>
      </c>
    </row>
    <row r="13" spans="1:9" ht="15.75" customHeight="1" x14ac:dyDescent="0.25">
      <c r="A13" s="5">
        <f t="shared" si="3"/>
        <v>2035</v>
      </c>
      <c r="B13" s="49">
        <v>774693</v>
      </c>
      <c r="C13" s="50">
        <v>2430334</v>
      </c>
      <c r="D13" s="50">
        <v>4099318.5000000005</v>
      </c>
      <c r="E13" s="50">
        <v>2854082.0000000005</v>
      </c>
      <c r="F13" s="50">
        <v>3402393</v>
      </c>
      <c r="G13" s="17">
        <f t="shared" si="0"/>
        <v>12786127.5</v>
      </c>
      <c r="H13" s="17">
        <f t="shared" si="1"/>
        <v>889062.66081196733</v>
      </c>
      <c r="I13" s="17">
        <f t="shared" si="2"/>
        <v>11897064.839188032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LtXs3qkScMziNTuhLnN6WqVXzL/mT+kaMfbUZ9m8oD4mJSbzTzYp8Pbg0UAjffbLZWoaKmrT7SSFA70jAL20lQ==" saltValue="Udn6xM9OMYF0TGUlVOKR+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5.0001989999601919E-3</v>
      </c>
    </row>
    <row r="4" spans="1:8" ht="15.75" customHeight="1" x14ac:dyDescent="0.25">
      <c r="B4" s="19" t="s">
        <v>97</v>
      </c>
      <c r="C4" s="99">
        <v>4.3378791324241689E-2</v>
      </c>
    </row>
    <row r="5" spans="1:8" ht="15.75" customHeight="1" x14ac:dyDescent="0.25">
      <c r="B5" s="19" t="s">
        <v>98</v>
      </c>
      <c r="C5" s="99">
        <v>4.3428391314321607E-2</v>
      </c>
    </row>
    <row r="6" spans="1:8" ht="15.75" customHeight="1" x14ac:dyDescent="0.25">
      <c r="B6" s="19" t="s">
        <v>99</v>
      </c>
      <c r="C6" s="99">
        <v>0.20442915911416809</v>
      </c>
    </row>
    <row r="7" spans="1:8" ht="15.75" customHeight="1" x14ac:dyDescent="0.25">
      <c r="B7" s="19" t="s">
        <v>100</v>
      </c>
      <c r="C7" s="99">
        <v>0.44831191033761802</v>
      </c>
    </row>
    <row r="8" spans="1:8" ht="15.75" customHeight="1" x14ac:dyDescent="0.25">
      <c r="B8" s="19" t="s">
        <v>101</v>
      </c>
      <c r="C8" s="99">
        <v>6.1679987664002426E-4</v>
      </c>
    </row>
    <row r="9" spans="1:8" ht="15.75" customHeight="1" x14ac:dyDescent="0.25">
      <c r="B9" s="19" t="s">
        <v>102</v>
      </c>
      <c r="C9" s="99">
        <v>0.16549056690188679</v>
      </c>
    </row>
    <row r="10" spans="1:8" ht="15.75" customHeight="1" x14ac:dyDescent="0.25">
      <c r="B10" s="19" t="s">
        <v>103</v>
      </c>
      <c r="C10" s="99">
        <v>8.9344182131163408E-2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7.022475265492524E-2</v>
      </c>
      <c r="D14" s="55">
        <v>7.022475265492524E-2</v>
      </c>
      <c r="E14" s="55">
        <v>7.022475265492524E-2</v>
      </c>
      <c r="F14" s="55">
        <v>7.022475265492524E-2</v>
      </c>
    </row>
    <row r="15" spans="1:8" ht="15.75" customHeight="1" x14ac:dyDescent="0.25">
      <c r="B15" s="19" t="s">
        <v>106</v>
      </c>
      <c r="C15" s="99">
        <v>0.30976529888450999</v>
      </c>
      <c r="D15" s="99">
        <v>0.30976529888450999</v>
      </c>
      <c r="E15" s="99">
        <v>0.30976529888450999</v>
      </c>
      <c r="F15" s="99">
        <v>0.30976529888450999</v>
      </c>
    </row>
    <row r="16" spans="1:8" ht="15.75" customHeight="1" x14ac:dyDescent="0.25">
      <c r="B16" s="19" t="s">
        <v>107</v>
      </c>
      <c r="C16" s="99">
        <v>1.6170295772139381E-2</v>
      </c>
      <c r="D16" s="99">
        <v>1.6170295772139381E-2</v>
      </c>
      <c r="E16" s="99">
        <v>1.6170295772139381E-2</v>
      </c>
      <c r="F16" s="99">
        <v>1.6170295772139381E-2</v>
      </c>
    </row>
    <row r="17" spans="1:8" ht="15.75" customHeight="1" x14ac:dyDescent="0.25">
      <c r="B17" s="19" t="s">
        <v>108</v>
      </c>
      <c r="C17" s="99">
        <v>1.4909933056514699E-2</v>
      </c>
      <c r="D17" s="99">
        <v>1.4909933056514699E-2</v>
      </c>
      <c r="E17" s="99">
        <v>1.4909933056514699E-2</v>
      </c>
      <c r="F17" s="99">
        <v>1.4909933056514699E-2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4.5015377709708093E-2</v>
      </c>
      <c r="D19" s="99">
        <v>4.5015377709708093E-2</v>
      </c>
      <c r="E19" s="99">
        <v>4.5015377709708093E-2</v>
      </c>
      <c r="F19" s="99">
        <v>4.5015377709708093E-2</v>
      </c>
    </row>
    <row r="20" spans="1:8" ht="15.75" customHeight="1" x14ac:dyDescent="0.25">
      <c r="B20" s="19" t="s">
        <v>111</v>
      </c>
      <c r="C20" s="99">
        <v>2.1004483575327339E-2</v>
      </c>
      <c r="D20" s="99">
        <v>2.1004483575327339E-2</v>
      </c>
      <c r="E20" s="99">
        <v>2.1004483575327339E-2</v>
      </c>
      <c r="F20" s="99">
        <v>2.1004483575327339E-2</v>
      </c>
    </row>
    <row r="21" spans="1:8" ht="15.75" customHeight="1" x14ac:dyDescent="0.25">
      <c r="B21" s="19" t="s">
        <v>112</v>
      </c>
      <c r="C21" s="99">
        <v>0.32989175281618099</v>
      </c>
      <c r="D21" s="99">
        <v>0.32989175281618099</v>
      </c>
      <c r="E21" s="99">
        <v>0.32989175281618099</v>
      </c>
      <c r="F21" s="99">
        <v>0.32989175281618099</v>
      </c>
    </row>
    <row r="22" spans="1:8" ht="15.75" customHeight="1" x14ac:dyDescent="0.25">
      <c r="B22" s="19" t="s">
        <v>113</v>
      </c>
      <c r="C22" s="99">
        <v>0.1930181055306941</v>
      </c>
      <c r="D22" s="99">
        <v>0.1930181055306941</v>
      </c>
      <c r="E22" s="99">
        <v>0.1930181055306941</v>
      </c>
      <c r="F22" s="99">
        <v>0.1930181055306941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4.6172718000000001E-2</v>
      </c>
    </row>
    <row r="27" spans="1:8" ht="15.75" customHeight="1" x14ac:dyDescent="0.25">
      <c r="B27" s="19" t="s">
        <v>120</v>
      </c>
      <c r="C27" s="99">
        <v>2.7233671000000001E-2</v>
      </c>
    </row>
    <row r="28" spans="1:8" ht="15.75" customHeight="1" x14ac:dyDescent="0.25">
      <c r="B28" s="19" t="s">
        <v>121</v>
      </c>
      <c r="C28" s="99">
        <v>0.19299803300000001</v>
      </c>
    </row>
    <row r="29" spans="1:8" ht="15.75" customHeight="1" x14ac:dyDescent="0.25">
      <c r="B29" s="19" t="s">
        <v>122</v>
      </c>
      <c r="C29" s="99">
        <v>0.151217407</v>
      </c>
    </row>
    <row r="30" spans="1:8" ht="15.75" customHeight="1" x14ac:dyDescent="0.25">
      <c r="B30" s="19" t="s">
        <v>2</v>
      </c>
      <c r="C30" s="99">
        <v>5.0257797E-2</v>
      </c>
    </row>
    <row r="31" spans="1:8" ht="15.75" customHeight="1" x14ac:dyDescent="0.25">
      <c r="B31" s="19" t="s">
        <v>123</v>
      </c>
      <c r="C31" s="99">
        <v>3.0332997E-2</v>
      </c>
    </row>
    <row r="32" spans="1:8" ht="15.75" customHeight="1" x14ac:dyDescent="0.25">
      <c r="B32" s="19" t="s">
        <v>124</v>
      </c>
      <c r="C32" s="99">
        <v>8.4368242999999996E-2</v>
      </c>
    </row>
    <row r="33" spans="2:3" ht="15.75" customHeight="1" x14ac:dyDescent="0.25">
      <c r="B33" s="19" t="s">
        <v>125</v>
      </c>
      <c r="C33" s="99">
        <v>0.169902637</v>
      </c>
    </row>
    <row r="34" spans="2:3" ht="15.75" customHeight="1" x14ac:dyDescent="0.25">
      <c r="B34" s="19" t="s">
        <v>126</v>
      </c>
      <c r="C34" s="99">
        <v>0.247516497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PinEWmL8iFkB3h5mRYcHwQJz1YHo29kkyA6O5HfP7KX/pNhDTk8QCQTWQYkVyrJT5K0o1bOr3vuGqg3hr+5RRg==" saltValue="PgLhaIt1EmeO3k2DisdOe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0.61918496408693291</v>
      </c>
      <c r="D2" s="52">
        <f>IFERROR(1-_xlfn.NORM.DIST(_xlfn.NORM.INV(SUM(D4:D5), 0, 1) + 1, 0, 1, TRUE), "")</f>
        <v>0.61918496408693291</v>
      </c>
      <c r="E2" s="52">
        <f>IFERROR(1-_xlfn.NORM.DIST(_xlfn.NORM.INV(SUM(E4:E5), 0, 1) + 1, 0, 1, TRUE), "")</f>
        <v>0.68153802984619016</v>
      </c>
      <c r="F2" s="52">
        <f>IFERROR(1-_xlfn.NORM.DIST(_xlfn.NORM.INV(SUM(F4:F5), 0, 1) + 1, 0, 1, TRUE), "")</f>
        <v>0.60842463489257459</v>
      </c>
      <c r="G2" s="52">
        <f>IFERROR(1-_xlfn.NORM.DIST(_xlfn.NORM.INV(SUM(G4:G5), 0, 1) + 1, 0, 1, TRUE), "")</f>
        <v>0.60691762186329989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0.28458583591306713</v>
      </c>
      <c r="D3" s="52">
        <f>IFERROR(_xlfn.NORM.DIST(_xlfn.NORM.INV(SUM(D4:D5), 0, 1) + 1, 0, 1, TRUE) - SUM(D4:D5), "")</f>
        <v>0.28458583591306713</v>
      </c>
      <c r="E3" s="52">
        <f>IFERROR(_xlfn.NORM.DIST(_xlfn.NORM.INV(SUM(E4:E5), 0, 1) + 1, 0, 1, TRUE) - SUM(E4:E5), "")</f>
        <v>0.24795207015380982</v>
      </c>
      <c r="F3" s="52">
        <f>IFERROR(_xlfn.NORM.DIST(_xlfn.NORM.INV(SUM(F4:F5), 0, 1) + 1, 0, 1, TRUE) - SUM(F4:F5), "")</f>
        <v>0.29045886510742547</v>
      </c>
      <c r="G3" s="52">
        <f>IFERROR(_xlfn.NORM.DIST(_xlfn.NORM.INV(SUM(G4:G5), 0, 1) + 1, 0, 1, TRUE) - SUM(G4:G5), "")</f>
        <v>0.29127037813670004</v>
      </c>
    </row>
    <row r="4" spans="1:15" ht="15.75" customHeight="1" x14ac:dyDescent="0.25">
      <c r="B4" s="5" t="s">
        <v>132</v>
      </c>
      <c r="C4" s="45">
        <v>5.4518200000000003E-2</v>
      </c>
      <c r="D4" s="53">
        <v>5.4518200000000003E-2</v>
      </c>
      <c r="E4" s="53">
        <v>4.9874099999999998E-2</v>
      </c>
      <c r="F4" s="53">
        <v>6.2763600000000003E-2</v>
      </c>
      <c r="G4" s="53">
        <v>6.7714499999999997E-2</v>
      </c>
    </row>
    <row r="5" spans="1:15" ht="15.75" customHeight="1" x14ac:dyDescent="0.25">
      <c r="B5" s="5" t="s">
        <v>133</v>
      </c>
      <c r="C5" s="45">
        <v>4.1710999999999998E-2</v>
      </c>
      <c r="D5" s="53">
        <v>4.1710999999999998E-2</v>
      </c>
      <c r="E5" s="53">
        <v>2.0635799999999999E-2</v>
      </c>
      <c r="F5" s="53">
        <v>3.8352900000000002E-2</v>
      </c>
      <c r="G5" s="53">
        <v>3.4097500000000003E-2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0.65703967577082956</v>
      </c>
      <c r="D8" s="52">
        <f>IFERROR(1-_xlfn.NORM.DIST(_xlfn.NORM.INV(SUM(D10:D11), 0, 1) + 1, 0, 1, TRUE), "")</f>
        <v>0.65703967577082956</v>
      </c>
      <c r="E8" s="52">
        <f>IFERROR(1-_xlfn.NORM.DIST(_xlfn.NORM.INV(SUM(E10:E11), 0, 1) + 1, 0, 1, TRUE), "")</f>
        <v>0.73569867693893731</v>
      </c>
      <c r="F8" s="52">
        <f>IFERROR(1-_xlfn.NORM.DIST(_xlfn.NORM.INV(SUM(F10:F11), 0, 1) + 1, 0, 1, TRUE), "")</f>
        <v>0.84026586290830652</v>
      </c>
      <c r="G8" s="52">
        <f>IFERROR(1-_xlfn.NORM.DIST(_xlfn.NORM.INV(SUM(G10:G11), 0, 1) + 1, 0, 1, TRUE), "")</f>
        <v>0.87141162635659608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0.26286002422917043</v>
      </c>
      <c r="D9" s="52">
        <f>IFERROR(_xlfn.NORM.DIST(_xlfn.NORM.INV(SUM(D10:D11), 0, 1) + 1, 0, 1, TRUE) - SUM(D10:D11), "")</f>
        <v>0.26286002422917043</v>
      </c>
      <c r="E9" s="52">
        <f>IFERROR(_xlfn.NORM.DIST(_xlfn.NORM.INV(SUM(E10:E11), 0, 1) + 1, 0, 1, TRUE) - SUM(E10:E11), "")</f>
        <v>0.21276542306106264</v>
      </c>
      <c r="F9" s="52">
        <f>IFERROR(_xlfn.NORM.DIST(_xlfn.NORM.INV(SUM(F10:F11), 0, 1) + 1, 0, 1, TRUE) - SUM(F10:F11), "")</f>
        <v>0.13674273709169349</v>
      </c>
      <c r="G9" s="52">
        <f>IFERROR(_xlfn.NORM.DIST(_xlfn.NORM.INV(SUM(G10:G11), 0, 1) + 1, 0, 1, TRUE) - SUM(G10:G11), "")</f>
        <v>0.11212967364340393</v>
      </c>
    </row>
    <row r="10" spans="1:15" ht="15.75" customHeight="1" x14ac:dyDescent="0.25">
      <c r="B10" s="5" t="s">
        <v>137</v>
      </c>
      <c r="C10" s="45">
        <v>3.4247699999999999E-2</v>
      </c>
      <c r="D10" s="53">
        <v>3.4247699999999999E-2</v>
      </c>
      <c r="E10" s="53">
        <v>2.76309E-2</v>
      </c>
      <c r="F10" s="53">
        <v>9.0066E-3</v>
      </c>
      <c r="G10" s="53">
        <v>1.0793000000000001E-2</v>
      </c>
    </row>
    <row r="11" spans="1:15" ht="15.75" customHeight="1" x14ac:dyDescent="0.25">
      <c r="B11" s="5" t="s">
        <v>138</v>
      </c>
      <c r="C11" s="45">
        <v>4.58526E-2</v>
      </c>
      <c r="D11" s="53">
        <v>4.58526E-2</v>
      </c>
      <c r="E11" s="53">
        <v>2.3904999999999999E-2</v>
      </c>
      <c r="F11" s="53">
        <v>1.39848E-2</v>
      </c>
      <c r="G11" s="53">
        <v>5.6657000000000001E-3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0.28899526175000001</v>
      </c>
      <c r="D14" s="54">
        <v>0.28268390162099999</v>
      </c>
      <c r="E14" s="54">
        <v>0.28268390162099999</v>
      </c>
      <c r="F14" s="54">
        <v>0.22708991540500001</v>
      </c>
      <c r="G14" s="54">
        <v>0.22708991540500001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0.35499999999999998</v>
      </c>
      <c r="M14" s="55">
        <v>0.35499999999999998</v>
      </c>
      <c r="N14" s="55">
        <v>0.35499999999999998</v>
      </c>
      <c r="O14" s="55">
        <v>0.35499999999999998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0.16562434048997202</v>
      </c>
      <c r="D15" s="52">
        <f t="shared" si="0"/>
        <v>0.16200727475460158</v>
      </c>
      <c r="E15" s="52">
        <f t="shared" si="0"/>
        <v>0.16200727475460158</v>
      </c>
      <c r="F15" s="52">
        <f t="shared" si="0"/>
        <v>0.13014613887826715</v>
      </c>
      <c r="G15" s="52">
        <f t="shared" si="0"/>
        <v>0.13014613887826715</v>
      </c>
      <c r="H15" s="52">
        <f t="shared" si="0"/>
        <v>0.22293745600000003</v>
      </c>
      <c r="I15" s="52">
        <f t="shared" si="0"/>
        <v>0.22293745600000003</v>
      </c>
      <c r="J15" s="52">
        <f t="shared" si="0"/>
        <v>0.22293745600000003</v>
      </c>
      <c r="K15" s="52">
        <f t="shared" si="0"/>
        <v>0.22293745600000003</v>
      </c>
      <c r="L15" s="52">
        <f t="shared" si="0"/>
        <v>0.20345192000000001</v>
      </c>
      <c r="M15" s="52">
        <f t="shared" si="0"/>
        <v>0.20345192000000001</v>
      </c>
      <c r="N15" s="52">
        <f t="shared" si="0"/>
        <v>0.20345192000000001</v>
      </c>
      <c r="O15" s="52">
        <f t="shared" si="0"/>
        <v>0.20345192000000001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QL4gg+PM6em+0jrVtVhur58Qoh1S3uDGQ0YKe9vQX/WvjpznxrmBVLV0EtTMQrV5xmdmJZSs1E8H3D6GyICZA==" saltValue="fbX5Osh0uXZSnbwa2ewL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0.48628440000000001</v>
      </c>
      <c r="D2" s="53">
        <v>0.25397140000000001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0.26631909999999998</v>
      </c>
      <c r="D3" s="53">
        <v>0.19622300000000001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0.15732409999999999</v>
      </c>
      <c r="D4" s="53">
        <v>0.33420899999999998</v>
      </c>
      <c r="E4" s="53">
        <v>0.58247979999999999</v>
      </c>
      <c r="F4" s="53">
        <v>0.367145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9.0072400000000052E-2</v>
      </c>
      <c r="D5" s="52">
        <f t="shared" si="0"/>
        <v>0.21559660000000003</v>
      </c>
      <c r="E5" s="52">
        <f>1-SUM(E2:E4)</f>
        <v>0.41752020000000001</v>
      </c>
      <c r="F5" s="52">
        <f>1-SUM(F2:F4)</f>
        <v>0.63285499999999995</v>
      </c>
      <c r="G5" s="52">
        <f>1-SUM(G2:G4)</f>
        <v>1</v>
      </c>
    </row>
  </sheetData>
  <sheetProtection algorithmName="SHA-512" hashValue="rB7oKocl7poD2fXlSML3+QHzV39rxBqY/RmRh6E+j9+SxzOoNx0StNdN4QaT8VMOWyhcTJ5PyzWgY54gAai1HQ==" saltValue="bUqhSkeJbv86U2xr+NXA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oUmsLcqugEglMIr0PSN8AGepXVCMo093/F6Rqy2FYmYVA00NvuV6ybnIQrcdlYm7u35z4W/7BF/Zj3A+bTLDQ==" saltValue="NMf02jksj4c9iiJQkqAYs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4342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0.35038000000000002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0.18049999999999999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1.5064160944352943E-2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97717.044450000001</v>
      </c>
      <c r="C22" s="107">
        <v>97553.420639999997</v>
      </c>
      <c r="D22" s="107">
        <v>97389.974860000002</v>
      </c>
      <c r="E22" s="107">
        <v>97144.307820000002</v>
      </c>
      <c r="F22" s="107">
        <v>96805.3891</v>
      </c>
      <c r="G22" s="107">
        <v>96441.235690000001</v>
      </c>
      <c r="H22" s="107">
        <v>95999.837249999997</v>
      </c>
      <c r="I22" s="107">
        <v>95427.389970000004</v>
      </c>
      <c r="J22" s="107">
        <v>94651.594500000007</v>
      </c>
      <c r="K22" s="107">
        <v>93544.66128</v>
      </c>
      <c r="L22" s="107">
        <v>91886.019469999999</v>
      </c>
      <c r="M22" s="107">
        <v>89439.137149999995</v>
      </c>
      <c r="N22" s="107">
        <v>85459.144130000001</v>
      </c>
      <c r="O22" s="107">
        <v>79760.902249999999</v>
      </c>
    </row>
  </sheetData>
  <sheetProtection algorithmName="SHA-512" hashValue="8+k/vP416rXdl9QgEUcCy33t+JMoTON840BMMGcKBXGUK/N20r58MDlEBDwTQw/MuPZReeflaiSSP1/Fpoaz8Q==" saltValue="W5d3fM2UlSpuIYPoqmIhp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O4G0tIkOY92bzVT+ZplEU4rF6lt/b83j/HEgNUKUME4txjXDBbuVhzsaXHxoTffdYMoJ9f/95o9xsHURQuLpgA==" saltValue="AOc3mIh9SRpZeYcmYOT8E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5ICpHXGK2OvFoJu12iimyX4sVa9QgOLktSLXtehMCUdBkXXc0Ft9Ziz/fFoP5yhjHv0UU7W+xJDQPgMUhMDgiw==" saltValue="TvURHJiOQHjgdr+Qsd727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7.4289688625382997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12.97995666743156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12.97995666743156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12.97995666743156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12.97995666743156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12.97995666743156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12.97995666743156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7.992352075384429E-2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0.25397140000000001</v>
      </c>
      <c r="C18" s="96">
        <v>0.95</v>
      </c>
      <c r="D18" s="56">
        <v>7.4289688625382997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0.25397140000000001</v>
      </c>
      <c r="C19" s="96">
        <v>0.95</v>
      </c>
      <c r="D19" s="56">
        <v>9.0366520404178896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7.4289688625382997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4.259198426998462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0.91598738953471903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2.9567118730808599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0.27308949999999999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0.39997139999999998</v>
      </c>
      <c r="C29" s="96">
        <v>0.95</v>
      </c>
      <c r="D29" s="56">
        <v>110.3413816734874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173.50469037871034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0.53033228587019021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0.84804100000000004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0.1809837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2.0029000000000002E-3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0.71388839999999998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2.6612563971340846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4A7deP1xnvFponBUdsRasLl97v5PX1Q8O54JFSELAXVxytVeTg7xxX9lXRu4lud+9rW66355fCn6FSYnvwkGeQ==" saltValue="F4120CWnJFicwS1fwje1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iJnTCcmgVS7q7sl9zauQ7I4XA/nzn1vdv61cPvdS8pDzRrvKIskNsw+ZZAE1R/tFNZU5LuNv0fqmZwOUb0+RQ==" saltValue="k5tXVjnKx6T+z6Ch/pLS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kxZYxkoOG7ZuBl24dlGEa2psYBpAhxJ4EMn1agP95EKeoM4iBtjAxxiBf+5caM7JQEOBivNzeZKnpM5jTRPAw==" saltValue="D5mzlRM8rc6a7Xr/rTYIp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238</v>
      </c>
      <c r="B3" s="21">
        <f>frac_mam_1month * 2.6</f>
        <v>8.9044020000000002E-2</v>
      </c>
      <c r="C3" s="21">
        <f>frac_mam_1_5months * 2.6</f>
        <v>8.9044020000000002E-2</v>
      </c>
      <c r="D3" s="21">
        <f>frac_mam_6_11months * 2.6</f>
        <v>7.1840340000000003E-2</v>
      </c>
      <c r="E3" s="21">
        <f>frac_mam_12_23months * 2.6</f>
        <v>2.3417159999999999E-2</v>
      </c>
      <c r="F3" s="21">
        <f>frac_mam_24_59months * 2.6</f>
        <v>2.8061800000000001E-2</v>
      </c>
    </row>
    <row r="4" spans="1:6" ht="15.75" customHeight="1" x14ac:dyDescent="0.25">
      <c r="A4" s="3" t="s">
        <v>237</v>
      </c>
      <c r="B4" s="21">
        <f>frac_sam_1month * 2.6</f>
        <v>0.11921676</v>
      </c>
      <c r="C4" s="21">
        <f>frac_sam_1_5months * 2.6</f>
        <v>0.11921676</v>
      </c>
      <c r="D4" s="21">
        <f>frac_sam_6_11months * 2.6</f>
        <v>6.2153E-2</v>
      </c>
      <c r="E4" s="21">
        <f>frac_sam_12_23months * 2.6</f>
        <v>3.6360480000000001E-2</v>
      </c>
      <c r="F4" s="21">
        <f>frac_sam_24_59months * 2.6</f>
        <v>1.473082E-2</v>
      </c>
    </row>
  </sheetData>
  <sheetProtection algorithmName="SHA-512" hashValue="lHJZLo+BokVeeAVo//qOkgs0eX7yuNTuH3/hvTwgqT5PtBTLyGrxnaV1YgS8nFI/1RIxen56lAQEV5ZdVq/lcA==" saltValue="OUASPuizT7oIAtYqWgUop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0.22800000000000001</v>
      </c>
      <c r="M24" s="60">
        <f>famplan_unmet_need</f>
        <v>0.22800000000000001</v>
      </c>
      <c r="N24" s="60">
        <f>famplan_unmet_need</f>
        <v>0.22800000000000001</v>
      </c>
      <c r="O24" s="60">
        <f>famplan_unmet_need</f>
        <v>0.22800000000000001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0.15558044983354993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6.6677335642949975E-2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9.3225231523499971E-2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Pur+fPbKxeCmD+Op5leR8pKrQgEbs/3f/uoJa1Zi4NDNwlOMfsiPnWnnRNXRRWW277Zjy2i0KjhH6UYUz0sOw==" saltValue="d6UHWCl+J9hePU9whddht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SFzBbuLMhX6fmcTB/ZGWN4n1b9M01dnKh8xyB3WfUqloduI7DUhTZd5JMz+vZI4Z4s+s1coYBqYOEkoVX0W2mg==" saltValue="4bI29oqO7dCRRf4BXkTfK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1EiEM20zCj9PWaNAUgVrbENsp1GcQXfAjfkNIGXtfNd+eLWB0h0eS8u/8b6RMFr+vMxom1TcYnWssl0J6hQnQ==" saltValue="UFMFo/F/Bdk56M3ERKbH0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XRPcqDfe6LasAqxW4c2GJe3QxOm2CY6/wT79TANyOZJuT5A3hogfbcmAUJrEwpv1qQPLjZ7MUs0cQnuon60JQ==" saltValue="TYKlWhgQJS94cfFitZCdD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nIdVxpn4oq0D0yuxJT6y8ET/uuARXY1n3QYLnraiPQq+ttFcljwc2GnCfKsqlIkmsdyyLvW3cnFPArfvGU0qRA==" saltValue="12ed+/UAOEGMo1iEMt0nA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nkSry6QmMnYB4uuQhXtEFQqOPx4Jv5IsPNeGn3YNPy2xfYVsogwxWAaLR3mHnJTbMsbQmXAub9IsACqbxDKVww==" saltValue="otVwMc6m3kycVkgE1ZkWd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6j4gnYIs/J8xg7cWcMjnvIECR+uCxQaXDK0HgADuoyJH/My2+dsdHrst95T+1G5EMJZruzkRqEJAzvFFHvXoXg==" saltValue="//eAChwwRXWvsgaGbQHba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dP2kn1JqjtCk73xfReXAVb02hxx0XfqNoPIYO0l8yI7Skhuzv6q87mqa4hLe2mE9lyWdg7LPia4Rwx9HJ64dNA==" saltValue="6L2386rn7mZ6A4UBASLb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8h/EycRkHYJ7+MrkPVNfQ/qa5wofwBfsd+ZiFJ4kuq9zQxD66H5yh+oKe6q/yTtnfkJewdAdB3seswydYLtiAg==" saltValue="xmJbwbifTwzmNCZ3Rfta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ZILIYCHuqBrLtbEd8EzJbZ1R6g4HZrfkiJ3+hwMX7aWMCfNynJPEB1TuwfwiFPmQlhQM5uKn1NfTb6fe03HmQ==" saltValue="UlN8MOH5iIlnN93t8/LJ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NJCw4FUWQ/gIzBX4dGppaQpPtwHP3wqegqdoSpPb90m1x6oBL3fGI12ZCVzGvXCI5yTCbxXYeDqSwJa4BkFiw==" saltValue="CQvjw1KpeXPED25kwJ9a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pwtTW9ivkazdINdAGHcGDuzm/rQpeUFvaXKW+8sXZY+dIRnRMl/qq3RTJYen0qH+Bqh+ha4yjb76TiQVc+RYA==" saltValue="bFNiCGy0oDuSd9Ngklv3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L3ls+UIVLQBfKj6Br27U9Hs71nILCFeWTX2vTAOEclAC13EeuVJrYwhHKoHBk2uxdtqso1D56JC+F0m1tdidg==" saltValue="KP6wOGop+MPfMwTnvMlD8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kEdvs8uN/2HxA1L2f9SyctZAvHCa7SJhIFgBvO06831EPEUxK/Qa5HwkrvLPSexQuLhppixiHOf8ze0mD3mOQ==" saltValue="wcrED5GpKfs4B9nVWvyu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sElzGfCVf8eMlTaLBiJmtwaShuyFhdKV4hvDAepEhOZi5s6NohTiJdMBT1SO1v3cnLbycH6mBmdXAv201DF2Jw==" saltValue="UmtGrrd/ft+4kc/UuwlXH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