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640236BE-60F3-47CE-BAEC-57B7D5A22A8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I39" i="2"/>
  <c r="A25" i="2"/>
  <c r="I9" i="2"/>
  <c r="I13" i="2"/>
  <c r="A31" i="2"/>
  <c r="I2" i="2"/>
  <c r="I6" i="2"/>
  <c r="A19" i="2"/>
  <c r="A35" i="2"/>
  <c r="A40" i="2"/>
  <c r="A22" i="2"/>
  <c r="A36" i="2"/>
  <c r="A34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<sst xmlns="http://schemas.openxmlformats.org/spreadsheetml/2006/main" count="2159" uniqueCount="368">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</sst>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4632995.5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2.9899999999999999E-2</v>
      </c>
    </row>
    <row r="24" spans="1:3" ht="15" customHeight="1" x14ac:dyDescent="0.25">
      <c r="B24" s="15" t="s">
        <v>51</v>
      </c>
      <c r="C24" s="45">
        <v>0.41</v>
      </c>
    </row>
    <row r="25" spans="1:3" ht="15" customHeight="1" x14ac:dyDescent="0.25">
      <c r="B25" s="15" t="s">
        <v>52</v>
      </c>
      <c r="C25" s="45">
        <v>0.46339999999999998</v>
      </c>
    </row>
    <row r="26" spans="1:3" ht="15" customHeight="1" x14ac:dyDescent="0.25">
      <c r="B26" s="15" t="s">
        <v>53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0.31611757185067002</v>
      </c>
    </row>
    <row r="30" spans="1:3" ht="14.25" customHeight="1" x14ac:dyDescent="0.25">
      <c r="B30" s="25" t="s">
        <v>56</v>
      </c>
      <c r="C30" s="99">
        <v>5.6193137427978712E-2</v>
      </c>
    </row>
    <row r="31" spans="1:3" ht="14.25" customHeight="1" x14ac:dyDescent="0.25">
      <c r="B31" s="25" t="s">
        <v>57</v>
      </c>
      <c r="C31" s="99">
        <v>7.8032026225336698E-2</v>
      </c>
    </row>
    <row r="32" spans="1:3" ht="14.25" customHeight="1" x14ac:dyDescent="0.25">
      <c r="B32" s="25" t="s">
        <v>58</v>
      </c>
      <c r="C32" s="99">
        <v>0.54965726449601493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15.6492</v>
      </c>
    </row>
    <row r="38" spans="1:5" ht="15" customHeight="1" x14ac:dyDescent="0.25">
      <c r="B38" s="11" t="s">
        <v>63</v>
      </c>
      <c r="C38" s="43">
        <v>19.16029</v>
      </c>
      <c r="D38" s="12"/>
      <c r="E38" s="13"/>
    </row>
    <row r="39" spans="1:5" ht="15" customHeight="1" x14ac:dyDescent="0.25">
      <c r="B39" s="11" t="s">
        <v>64</v>
      </c>
      <c r="C39" s="43">
        <v>22.335290000000001</v>
      </c>
      <c r="D39" s="12"/>
      <c r="E39" s="12"/>
    </row>
    <row r="40" spans="1:5" ht="15" customHeight="1" x14ac:dyDescent="0.25">
      <c r="B40" s="11" t="s">
        <v>65</v>
      </c>
      <c r="C40" s="100">
        <v>0.78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7.5297000000000003E-3</v>
      </c>
      <c r="D45" s="12"/>
    </row>
    <row r="46" spans="1:5" ht="15.75" customHeight="1" x14ac:dyDescent="0.25">
      <c r="B46" s="11" t="s">
        <v>70</v>
      </c>
      <c r="C46" s="45">
        <v>8.0905199999999997E-2</v>
      </c>
      <c r="D46" s="12"/>
    </row>
    <row r="47" spans="1:5" ht="15.75" customHeight="1" x14ac:dyDescent="0.25">
      <c r="B47" s="11" t="s">
        <v>71</v>
      </c>
      <c r="C47" s="45">
        <v>7.3840299999999998E-2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2.9</v>
      </c>
      <c r="D51" s="12"/>
    </row>
    <row r="52" spans="1:4" ht="15" customHeight="1" x14ac:dyDescent="0.25">
      <c r="B52" s="11" t="s">
        <v>75</v>
      </c>
      <c r="C52" s="100">
        <v>2.9</v>
      </c>
    </row>
    <row r="53" spans="1:4" ht="15.75" customHeight="1" x14ac:dyDescent="0.25">
      <c r="B53" s="11" t="s">
        <v>76</v>
      </c>
      <c r="C53" s="100">
        <v>2.9</v>
      </c>
    </row>
    <row r="54" spans="1:4" ht="15.75" customHeight="1" x14ac:dyDescent="0.25">
      <c r="B54" s="11" t="s">
        <v>77</v>
      </c>
      <c r="C54" s="100">
        <v>2.9</v>
      </c>
    </row>
    <row r="55" spans="1:4" ht="15.75" customHeight="1" x14ac:dyDescent="0.25">
      <c r="B55" s="11" t="s">
        <v>78</v>
      </c>
      <c r="C55" s="100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0.57310400000000006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f3uJKi3grGhSVsY7ru8QrAJbNoe55/6rvA1iiHM4Z7HzmQZ65srZ1KD93tgXYNzLMqVqa+34CCW3wsyQw12J1Q==" saltValue="06EadPa3IEkME8ZOQKM9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881823</v>
      </c>
      <c r="C2" s="49">
        <v>1788486</v>
      </c>
      <c r="D2" s="49">
        <v>2903103</v>
      </c>
      <c r="E2" s="49">
        <v>3496855</v>
      </c>
      <c r="F2" s="49">
        <v>3176006.5</v>
      </c>
      <c r="G2" s="17">
        <f t="shared" ref="G2:G13" si="0">C2+D2+E2+F2</f>
        <v>11364450.5</v>
      </c>
      <c r="H2" s="17">
        <f t="shared" ref="H2:H13" si="1">(B2 + stillbirth*B2/(1000-stillbirth))/(1-abortion)</f>
        <v>1012008.5023940986</v>
      </c>
      <c r="I2" s="17">
        <f t="shared" ref="I2:I13" si="2">G2-H2</f>
        <v>10352441.997605901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855432</v>
      </c>
      <c r="C3" s="50">
        <v>1880737.5</v>
      </c>
      <c r="D3" s="50">
        <v>2896263</v>
      </c>
      <c r="E3" s="50">
        <v>3447368.0000000005</v>
      </c>
      <c r="F3" s="50">
        <v>3265149</v>
      </c>
      <c r="G3" s="17">
        <f t="shared" si="0"/>
        <v>11489517.5</v>
      </c>
      <c r="H3" s="17">
        <f t="shared" si="1"/>
        <v>981721.34001946938</v>
      </c>
      <c r="I3" s="17">
        <f t="shared" si="2"/>
        <v>10507796.15998053</v>
      </c>
    </row>
    <row r="4" spans="1:9" ht="15.75" customHeight="1" x14ac:dyDescent="0.25">
      <c r="A4" s="5">
        <f t="shared" si="3"/>
        <v>2026</v>
      </c>
      <c r="B4" s="49">
        <v>832197</v>
      </c>
      <c r="C4" s="50">
        <v>1968716.5</v>
      </c>
      <c r="D4" s="50">
        <v>2916550</v>
      </c>
      <c r="E4" s="50">
        <v>3388261.4999999995</v>
      </c>
      <c r="F4" s="50">
        <v>3345870</v>
      </c>
      <c r="G4" s="17">
        <f t="shared" si="0"/>
        <v>11619398</v>
      </c>
      <c r="H4" s="17">
        <f t="shared" si="1"/>
        <v>955056.10498576425</v>
      </c>
      <c r="I4" s="17">
        <f t="shared" si="2"/>
        <v>10664341.895014236</v>
      </c>
    </row>
    <row r="5" spans="1:9" ht="15.75" customHeight="1" x14ac:dyDescent="0.25">
      <c r="A5" s="5">
        <f t="shared" si="3"/>
        <v>2027</v>
      </c>
      <c r="B5" s="49">
        <v>811548</v>
      </c>
      <c r="C5" s="50">
        <v>2055652.5000000002</v>
      </c>
      <c r="D5" s="50">
        <v>2965857.5</v>
      </c>
      <c r="E5" s="50">
        <v>3320935.5</v>
      </c>
      <c r="F5" s="50">
        <v>3414471.9999999995</v>
      </c>
      <c r="G5" s="17">
        <f t="shared" si="0"/>
        <v>11756917.5</v>
      </c>
      <c r="H5" s="17">
        <f t="shared" si="1"/>
        <v>931358.64691772149</v>
      </c>
      <c r="I5" s="17">
        <f t="shared" si="2"/>
        <v>10825558.853082279</v>
      </c>
    </row>
    <row r="6" spans="1:9" ht="15.75" customHeight="1" x14ac:dyDescent="0.25">
      <c r="A6" s="5">
        <f t="shared" si="3"/>
        <v>2028</v>
      </c>
      <c r="B6" s="49">
        <v>794567</v>
      </c>
      <c r="C6" s="50">
        <v>2137849</v>
      </c>
      <c r="D6" s="50">
        <v>3053031</v>
      </c>
      <c r="E6" s="50">
        <v>3240166</v>
      </c>
      <c r="F6" s="50">
        <v>3467769.5</v>
      </c>
      <c r="G6" s="17">
        <f t="shared" si="0"/>
        <v>11898815.5</v>
      </c>
      <c r="H6" s="17">
        <f t="shared" si="1"/>
        <v>911870.70389610121</v>
      </c>
      <c r="I6" s="17">
        <f t="shared" si="2"/>
        <v>10986944.796103898</v>
      </c>
    </row>
    <row r="7" spans="1:9" ht="15.75" customHeight="1" x14ac:dyDescent="0.25">
      <c r="A7" s="5">
        <f t="shared" si="3"/>
        <v>2029</v>
      </c>
      <c r="B7" s="49">
        <v>781454</v>
      </c>
      <c r="C7" s="50">
        <v>2215097</v>
      </c>
      <c r="D7" s="50">
        <v>3169618.9999999995</v>
      </c>
      <c r="E7" s="50">
        <v>3152711.0000000005</v>
      </c>
      <c r="F7" s="50">
        <v>3503781.5</v>
      </c>
      <c r="G7" s="17">
        <f t="shared" si="0"/>
        <v>12041208.5</v>
      </c>
      <c r="H7" s="17">
        <f t="shared" si="1"/>
        <v>896821.80236836406</v>
      </c>
      <c r="I7" s="17">
        <f t="shared" si="2"/>
        <v>11144386.697631637</v>
      </c>
    </row>
    <row r="8" spans="1:9" ht="15.75" customHeight="1" x14ac:dyDescent="0.25">
      <c r="A8" s="5">
        <f t="shared" si="3"/>
        <v>2030</v>
      </c>
      <c r="B8" s="49">
        <v>771716</v>
      </c>
      <c r="C8" s="50">
        <v>2289872</v>
      </c>
      <c r="D8" s="50">
        <v>3297386.9999999995</v>
      </c>
      <c r="E8" s="50">
        <v>3073944</v>
      </c>
      <c r="F8" s="50">
        <v>3522340</v>
      </c>
      <c r="G8" s="17">
        <f t="shared" si="0"/>
        <v>12183543</v>
      </c>
      <c r="H8" s="17">
        <f t="shared" si="1"/>
        <v>885646.15964152012</v>
      </c>
      <c r="I8" s="17">
        <f t="shared" si="2"/>
        <v>11297896.840358481</v>
      </c>
    </row>
    <row r="9" spans="1:9" ht="15.75" customHeight="1" x14ac:dyDescent="0.25">
      <c r="A9" s="5">
        <f t="shared" si="3"/>
        <v>2031</v>
      </c>
      <c r="B9" s="49">
        <v>764881</v>
      </c>
      <c r="C9" s="50">
        <v>2355492.5</v>
      </c>
      <c r="D9" s="50">
        <v>3435498</v>
      </c>
      <c r="E9" s="50">
        <v>3004677.5</v>
      </c>
      <c r="F9" s="50">
        <v>3524365</v>
      </c>
      <c r="G9" s="17">
        <f t="shared" si="0"/>
        <v>12320033</v>
      </c>
      <c r="H9" s="17">
        <f t="shared" si="1"/>
        <v>877802.09329956293</v>
      </c>
      <c r="I9" s="17">
        <f t="shared" si="2"/>
        <v>11442230.906700438</v>
      </c>
    </row>
    <row r="10" spans="1:9" ht="15.75" customHeight="1" x14ac:dyDescent="0.25">
      <c r="A10" s="5">
        <f t="shared" si="3"/>
        <v>2032</v>
      </c>
      <c r="B10" s="49">
        <v>761645</v>
      </c>
      <c r="C10" s="50">
        <v>2405038</v>
      </c>
      <c r="D10" s="50">
        <v>3593161.5</v>
      </c>
      <c r="E10" s="50">
        <v>2942028.5000000005</v>
      </c>
      <c r="F10" s="50">
        <v>3512143</v>
      </c>
      <c r="G10" s="17">
        <f t="shared" si="0"/>
        <v>12452371</v>
      </c>
      <c r="H10" s="17">
        <f t="shared" si="1"/>
        <v>874088.35537965468</v>
      </c>
      <c r="I10" s="17">
        <f t="shared" si="2"/>
        <v>11578282.644620346</v>
      </c>
    </row>
    <row r="11" spans="1:9" ht="15.75" customHeight="1" x14ac:dyDescent="0.25">
      <c r="A11" s="5">
        <f t="shared" si="3"/>
        <v>2033</v>
      </c>
      <c r="B11" s="49">
        <v>762903</v>
      </c>
      <c r="C11" s="50">
        <v>2434536.5</v>
      </c>
      <c r="D11" s="50">
        <v>3762397.5</v>
      </c>
      <c r="E11" s="50">
        <v>2890836.5</v>
      </c>
      <c r="F11" s="50">
        <v>3487440.4999999995</v>
      </c>
      <c r="G11" s="17">
        <f t="shared" si="0"/>
        <v>12575211</v>
      </c>
      <c r="H11" s="17">
        <f t="shared" si="1"/>
        <v>875532.07673418021</v>
      </c>
      <c r="I11" s="17">
        <f t="shared" si="2"/>
        <v>11699678.92326582</v>
      </c>
    </row>
    <row r="12" spans="1:9" ht="15.75" customHeight="1" x14ac:dyDescent="0.25">
      <c r="A12" s="5">
        <f t="shared" si="3"/>
        <v>2034</v>
      </c>
      <c r="B12" s="49">
        <v>768066</v>
      </c>
      <c r="C12" s="50">
        <v>2442917.5</v>
      </c>
      <c r="D12" s="50">
        <v>3931813</v>
      </c>
      <c r="E12" s="50">
        <v>2859976.4999999995</v>
      </c>
      <c r="F12" s="50">
        <v>3450396.5</v>
      </c>
      <c r="G12" s="17">
        <f t="shared" si="0"/>
        <v>12685103.5</v>
      </c>
      <c r="H12" s="17">
        <f t="shared" si="1"/>
        <v>881457.30197536887</v>
      </c>
      <c r="I12" s="17">
        <f t="shared" si="2"/>
        <v>11803646.198024631</v>
      </c>
    </row>
    <row r="13" spans="1:9" ht="15.75" customHeight="1" x14ac:dyDescent="0.25">
      <c r="A13" s="5">
        <f t="shared" si="3"/>
        <v>2035</v>
      </c>
      <c r="B13" s="49">
        <v>774693</v>
      </c>
      <c r="C13" s="50">
        <v>2430334</v>
      </c>
      <c r="D13" s="50">
        <v>4099318.5000000005</v>
      </c>
      <c r="E13" s="50">
        <v>2854082.0000000005</v>
      </c>
      <c r="F13" s="50">
        <v>3402393</v>
      </c>
      <c r="G13" s="17">
        <f t="shared" si="0"/>
        <v>12786127.5</v>
      </c>
      <c r="H13" s="17">
        <f t="shared" si="1"/>
        <v>889062.66081196733</v>
      </c>
      <c r="I13" s="17">
        <f t="shared" si="2"/>
        <v>11897064.839188032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awZx2n5Z4xPAsJ1rMk4Ya+Fok29LpQ/bHqPRslZe/gfD76ACof5++RuM4waFQnNI6Qv8NhTFjA1g1X7e121rA==" saltValue="t5Bya7vqyNyD9aaz8z7Y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5.0001989999601919E-3</v>
      </c>
    </row>
    <row r="4" spans="1:8" ht="15.75" customHeight="1" x14ac:dyDescent="0.25">
      <c r="B4" s="19" t="s">
        <v>97</v>
      </c>
      <c r="C4" s="101">
        <v>4.3378791324241689E-2</v>
      </c>
    </row>
    <row r="5" spans="1:8" ht="15.75" customHeight="1" x14ac:dyDescent="0.25">
      <c r="B5" s="19" t="s">
        <v>98</v>
      </c>
      <c r="C5" s="101">
        <v>4.3428391314321607E-2</v>
      </c>
    </row>
    <row r="6" spans="1:8" ht="15.75" customHeight="1" x14ac:dyDescent="0.25">
      <c r="B6" s="19" t="s">
        <v>99</v>
      </c>
      <c r="C6" s="101">
        <v>0.20442915911416809</v>
      </c>
    </row>
    <row r="7" spans="1:8" ht="15.75" customHeight="1" x14ac:dyDescent="0.25">
      <c r="B7" s="19" t="s">
        <v>100</v>
      </c>
      <c r="C7" s="101">
        <v>0.44831191033761802</v>
      </c>
    </row>
    <row r="8" spans="1:8" ht="15.75" customHeight="1" x14ac:dyDescent="0.25">
      <c r="B8" s="19" t="s">
        <v>101</v>
      </c>
      <c r="C8" s="101">
        <v>6.1679987664002426E-4</v>
      </c>
    </row>
    <row r="9" spans="1:8" ht="15.75" customHeight="1" x14ac:dyDescent="0.25">
      <c r="B9" s="19" t="s">
        <v>102</v>
      </c>
      <c r="C9" s="101">
        <v>0.16549056690188679</v>
      </c>
    </row>
    <row r="10" spans="1:8" ht="15.75" customHeight="1" x14ac:dyDescent="0.25">
      <c r="B10" s="19" t="s">
        <v>103</v>
      </c>
      <c r="C10" s="101">
        <v>8.9344182131163408E-2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106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107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108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111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112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113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4.6172718000000001E-2</v>
      </c>
    </row>
    <row r="27" spans="1:8" ht="15.75" customHeight="1" x14ac:dyDescent="0.25">
      <c r="B27" s="19" t="s">
        <v>120</v>
      </c>
      <c r="C27" s="101">
        <v>2.7233671000000001E-2</v>
      </c>
    </row>
    <row r="28" spans="1:8" ht="15.75" customHeight="1" x14ac:dyDescent="0.25">
      <c r="B28" s="19" t="s">
        <v>121</v>
      </c>
      <c r="C28" s="101">
        <v>0.19299803300000001</v>
      </c>
    </row>
    <row r="29" spans="1:8" ht="15.75" customHeight="1" x14ac:dyDescent="0.25">
      <c r="B29" s="19" t="s">
        <v>122</v>
      </c>
      <c r="C29" s="101">
        <v>0.151217407</v>
      </c>
    </row>
    <row r="30" spans="1:8" ht="15.75" customHeight="1" x14ac:dyDescent="0.25">
      <c r="B30" s="19" t="s">
        <v>2</v>
      </c>
      <c r="C30" s="101">
        <v>5.0257797E-2</v>
      </c>
    </row>
    <row r="31" spans="1:8" ht="15.75" customHeight="1" x14ac:dyDescent="0.25">
      <c r="B31" s="19" t="s">
        <v>123</v>
      </c>
      <c r="C31" s="101">
        <v>3.0332997E-2</v>
      </c>
    </row>
    <row r="32" spans="1:8" ht="15.75" customHeight="1" x14ac:dyDescent="0.25">
      <c r="B32" s="19" t="s">
        <v>124</v>
      </c>
      <c r="C32" s="101">
        <v>8.4368242999999996E-2</v>
      </c>
    </row>
    <row r="33" spans="2:3" ht="15.75" customHeight="1" x14ac:dyDescent="0.25">
      <c r="B33" s="19" t="s">
        <v>125</v>
      </c>
      <c r="C33" s="101">
        <v>0.169902637</v>
      </c>
    </row>
    <row r="34" spans="2:3" ht="15.75" customHeight="1" x14ac:dyDescent="0.25">
      <c r="B34" s="19" t="s">
        <v>126</v>
      </c>
      <c r="C34" s="101">
        <v>0.247516497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9OFpQe2OyfIEVPzc+1sqrCZ+RCFl/S/AaQoEX+quGszQGnailR5xBHxZsGLD7GehFP8FTwzYRJcUhEs87utKcA==" saltValue="PtfEtR7joUem2CPkC3hG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132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133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137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138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rmixcA4WDf7bK0FcwHpOAUNB1rkhAfqie5ZeYW4/4BVV0ky4ni+LAa8OObqfsihbMM+9tsVzGDR7lePbPct8Q==" saltValue="JqCjQHxchZcWfy2T1jaa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9.0072400000000052E-2</v>
      </c>
      <c r="D5" s="52">
        <f t="shared" si="0"/>
        <v>0.21559660000000003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lzKqzcUTYJZvgSIbHSSjdLsK+dXZIW1oB8gweOYv5xRiSfB4hSJrrRwCd2psIb7PdBdNQ+VchOxWbd1XmwmyTg==" saltValue="Tcyt4Ugk1hS7xfXHeXDe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+3R0wEm3tA+D5zIoJZd2Gxwe9pSvwvlwd1g6PKfxV85nKQv6yygVUhJkA02hqKZBacPMWFLpkFU4VBwcjHJmA==" saltValue="7nD6pi/Jr7adn0e7Eph1X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4342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0.35038000000000002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0.18049999999999999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1.5064160944352943E-2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97717.044450000001</v>
      </c>
      <c r="C22" s="109">
        <v>97553.420639999997</v>
      </c>
      <c r="D22" s="109">
        <v>97389.974860000002</v>
      </c>
      <c r="E22" s="109">
        <v>97144.307820000002</v>
      </c>
      <c r="F22" s="109">
        <v>96805.3891</v>
      </c>
      <c r="G22" s="109">
        <v>96441.235690000001</v>
      </c>
      <c r="H22" s="109">
        <v>95999.837249999997</v>
      </c>
      <c r="I22" s="109">
        <v>95427.389970000004</v>
      </c>
      <c r="J22" s="109">
        <v>94651.594500000007</v>
      </c>
      <c r="K22" s="109">
        <v>93544.66128</v>
      </c>
      <c r="L22" s="109">
        <v>91886.019469999999</v>
      </c>
      <c r="M22" s="109">
        <v>89439.137149999995</v>
      </c>
      <c r="N22" s="109">
        <v>85459.144130000001</v>
      </c>
      <c r="O22" s="109">
        <v>79760.902249999999</v>
      </c>
    </row>
  </sheetData>
  <sheetProtection algorithmName="SHA-512" hashValue="e2lqzjQfbAZadfRfQfo0wRFuUu5U/OgjXbZBbHd446x44pQwLJZy2qfwDQIR9gb3kikA3cpTy6DtJl17/LVrAw==" saltValue="bgy5BqmurjTocoCwgSCii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10AOcacx70XSBCq6Xd3UsSocNRrhM4htvOvjCWCB4GpBNpwFs1XfZbt9CbV3R0HkVXcECSwajIJF438Hu4FSBQ==" saltValue="GjCgUcLMtGsIhbpX6qD3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RDDgI4dA/osplVZ+stod/iJ6qvulm/PyarEDx+lvVcFWJa/0rPhwTV1mD1secZkZIFTrI4CUbWyYNsMKFIYtAw==" saltValue="mrsgRtRX8cHznUxGdy2/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12.97995666743156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12.97995666743156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12.97995666743156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12.97995666743156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12.97995666743156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12.97995666743156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0.25397140000000001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0.25397140000000001</v>
      </c>
      <c r="C19" s="98">
        <v>0.95</v>
      </c>
      <c r="D19" s="56">
        <v>9.0366520404178896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4.259198426998462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0.91598738953471903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0.27308949999999999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0.39997139999999998</v>
      </c>
      <c r="C29" s="98">
        <v>0.95</v>
      </c>
      <c r="D29" s="56">
        <v>110.3413816734874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0.84804100000000004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0.1809837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2.0029000000000002E-3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0.71388839999999998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DViAXIi5Z6JMkUdgJABF5GrQS2x34Jr7aofPFYZc7yRew4sTy1Znv5JVC65wMW5SOiyEdXBGu+Dj6VALEG+GjQ==" saltValue="aT9+HpLzA+mPtO+L8+d8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u3Cwr7L58rXsSt6ZR8lMTHv7AwpgE7p5cMw+oiTSpdUcYaqpbcK2XBTZxC/joYP+UiMZBlA03kdWWttcGYRUg==" saltValue="jXM+KJ89nryOoAq0Y46B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r5S5mVB+WflGYoIdL2zcBEPtwc4ESlfFg6lNZ9pa8BSV3rpRJpRWWVQJpwthIE0KjIX3h9bugBPnlMBKhXj9Q==" saltValue="w/J3EgR8ustbRmOCJX8S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237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lPk98WSDcR5/Yg/KGSKsZkqi4z4oGh+PKEvQ77DcB1CLvYrTt6b3ZY3+SmuwgtvJdsQs1z95GUBYD4de85OYIw==" saltValue="EqidKp/wAxjGmnAs5FXc7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w5ReoUFeQfsVpXI+6PAN1vhh2LaBeU7ch04ej7X7Vxf+zH9qbCqD+wWqtEqfeN3VS8VNM6uxuB6x75iAeWZ7A==" saltValue="N9xOCxxIt0bxiaz3CA/j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3aViPcVGj7n0fYnaV6CQ0PD0VaF4nOo8mIizsK9gGmZGcC2Xy6JjFlCaYfmQSPj72loBWS1Wj+ikPrIGUAHKQ==" saltValue="fKjCePjngsP5nBvMSKzb3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AgVask90aOvoMqy36KSAmvbUATH57r8pLLC034olxLbEGoCjSx3cl0lQrs1socLusABqtQuvcNeVApWTbOxMA==" saltValue="Z2mqIMM193cYF+aqp3q+p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NYx6KZON5nrHAdO6LbdFCwFs+DaFDJQ8BcngjgJhyz2oTUjzEYz4vnaB5SbjCHr9/Lx++FVw/h+psjx8a958g==" saltValue="SgIffY2dfS1HwGrG/TO+A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S/22b2Mm/Wb4dmAdlRgMbfU8J/AX2AEFt0eg0x7e/s8M0fo3n+iU2kc3Wf7YRwah3cNO0lXbJGN7jcdXIpwa+A==" saltValue="mbxWNtYqizsq+J1WNcS4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EFrhovPOCI8HbLKL5lEuwssiZsLYo4SrAnAk7j8OuzlEVckGH3HADKj43uoE1t8QY7WnY6QVJEC5fOS+R2TAfg==" saltValue="TmKXTqC7MpzpPJn01h/+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SpDAEmsWbwk9bM/WBUDFCMu4OyBZAajaYCVkz+jgTIn2kMI2x4kjoPjxMCGMMTmE+hOjJzijzgRxCs5rp00Qw==" saltValue="CS2++n8hIP08LN8OS1mUq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d9ZkE0Aaq5JfQfzQtOhhPBXiOzQNMLs7vfXuIRAp2aVWOfTNNLpfMqqAx45wPu2AJdai1aCXpJp3wmhFVTJIg==" saltValue="jRfzemFTH0uGRhxofwh1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19ZAbqxmEOuC0a/yH9uM7vjhwjXShIozxGnqpiLoediraSldYFQj0SZ0rrjPWKuiGYQkw3tegOoR8APc9Sb81A==" saltValue="kJsl13m3FMv4yTFphldN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x+YDytD64tEo1GBNBf/tMCQzJP4kXDn+VVF9YECWeHPPRO/UIe01dt1VyHvDVFvNe/nxd6aPXESAe9lilqGvA==" saltValue="XIITbXhzlWGdfUr4h7XK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0yoKYg3N9qCbGSszHK79nw2W16RSYb8NH+p4J33E++nxsZ1ePXY+GYnNPQi+AnOdmzt0FrgBRh3WeetCxeoyQ==" saltValue="CqZ2wge3FlbHWcefvm+5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WMkt6wDqIrzs/uCj3vXOU0PI5mOjUsxd/m2gaEXOSOhnkIXcrr6q4OrEKi+VgIZ5rZnuYrr90ye+jJW/EQRuQ==" saltValue="2tYpV/Wfa4tuT5sWudHi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buBSGLmAN2lDNoerdBLVHrmb+U6ZA1T+EJHPZhxbOgD+uaNsB+B5/V28k+HkYAGnvj/5YFkvf7GniogNazFqA==" saltValue="GklmQS/UaAKBUfTCmF/p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Z/dwmD1MMV73L/VziYfFXhehLd2tzpKN2nFDIjTiprJjvvHjLOva1htrkLzaFpfi/v9wWLSZy/8vLVMzrLYEA==" saltValue="ou8hogdRVCjqTMTtXUJo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tRZJWDZijTovUj5SjLe4fZb3KZCqo3egK7pzzsL0pGfkQTC9jzPRbCJJt/6b3SKu7u6BiYVG/xCsoE5Y7f69Q==" saltValue="nMmqDyFM5Jr3QA+CTcDF4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