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37E07D8-936F-4755-BEE6-E7D8A60E6CA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6" i="2"/>
  <c r="A35" i="2"/>
  <c r="A27" i="2"/>
  <c r="A24" i="2"/>
  <c r="A23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8" i="2" l="1"/>
  <c r="A15" i="2"/>
  <c r="A31" i="2"/>
  <c r="A16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<sst xmlns="http://schemas.openxmlformats.org/spreadsheetml/2006/main" count="2101" uniqueCount="337">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</sst>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4534012.28125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0.68451698300000008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2.9899999999999999E-2</v>
      </c>
    </row>
    <row r="24" spans="1:3" ht="15" customHeight="1" x14ac:dyDescent="0.25">
      <c r="B24" s="15" t="s">
        <v>33</v>
      </c>
      <c r="C24" s="45">
        <v>0.41</v>
      </c>
    </row>
    <row r="25" spans="1:3" ht="15" customHeight="1" x14ac:dyDescent="0.25">
      <c r="B25" s="15" t="s">
        <v>34</v>
      </c>
      <c r="C25" s="45">
        <v>0.46339999999999998</v>
      </c>
    </row>
    <row r="26" spans="1:3" ht="15" customHeight="1" x14ac:dyDescent="0.25">
      <c r="B26" s="15" t="s">
        <v>35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0.31611757185067002</v>
      </c>
    </row>
    <row r="30" spans="1:3" ht="14.25" customHeight="1" x14ac:dyDescent="0.25">
      <c r="B30" s="25" t="s">
        <v>38</v>
      </c>
      <c r="C30" s="99">
        <v>5.6193137427978712E-2</v>
      </c>
    </row>
    <row r="31" spans="1:3" ht="14.25" customHeight="1" x14ac:dyDescent="0.25">
      <c r="B31" s="25" t="s">
        <v>39</v>
      </c>
      <c r="C31" s="99">
        <v>7.8032026225336698E-2</v>
      </c>
    </row>
    <row r="32" spans="1:3" ht="14.25" customHeight="1" x14ac:dyDescent="0.25">
      <c r="B32" s="25" t="s">
        <v>40</v>
      </c>
      <c r="C32" s="99">
        <v>0.54965726449601493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15.6492</v>
      </c>
    </row>
    <row r="38" spans="1:5" ht="15" customHeight="1" x14ac:dyDescent="0.25">
      <c r="B38" s="11" t="s">
        <v>45</v>
      </c>
      <c r="C38" s="43">
        <v>19.16029</v>
      </c>
      <c r="D38" s="12"/>
      <c r="E38" s="13"/>
    </row>
    <row r="39" spans="1:5" ht="15" customHeight="1" x14ac:dyDescent="0.25">
      <c r="B39" s="11" t="s">
        <v>46</v>
      </c>
      <c r="C39" s="43">
        <v>22.335290000000001</v>
      </c>
      <c r="D39" s="12"/>
      <c r="E39" s="12"/>
    </row>
    <row r="40" spans="1:5" ht="15" customHeight="1" x14ac:dyDescent="0.25">
      <c r="B40" s="11" t="s">
        <v>47</v>
      </c>
      <c r="C40" s="100">
        <v>0.78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7.5297000000000003E-3</v>
      </c>
      <c r="D45" s="12"/>
    </row>
    <row r="46" spans="1:5" ht="15.75" customHeight="1" x14ac:dyDescent="0.25">
      <c r="B46" s="11" t="s">
        <v>52</v>
      </c>
      <c r="C46" s="45">
        <v>8.0905199999999997E-2</v>
      </c>
      <c r="D46" s="12"/>
    </row>
    <row r="47" spans="1:5" ht="15.75" customHeight="1" x14ac:dyDescent="0.25">
      <c r="B47" s="11" t="s">
        <v>53</v>
      </c>
      <c r="C47" s="45">
        <v>7.3840299999999998E-2</v>
      </c>
      <c r="D47" s="12"/>
      <c r="E47" s="13"/>
    </row>
    <row r="48" spans="1:5" ht="15" customHeight="1" x14ac:dyDescent="0.25">
      <c r="B48" s="11" t="s">
        <v>54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0.57310400000000006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EYEF/g+0+X8D+GQAg1HoHIyAYuELkRizcFuLzQskwMQhTeJi+PC8SWJE8KaQX7m2Lvx/Pij6EDB4TUoOia8uGA==" saltValue="ny06IXwGj8NAbzIbhk/o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yR6nfwM+l8adjimEJR1ZFVM5B509YVCnInDNwYH/sXDeiPyjGNcx7hfLNHOl/LPWtUvDbSTi2bjOqdogaARhg==" saltValue="pZuGP4zWml8gpcbef3d+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5.0001989999601919E-3</v>
      </c>
    </row>
    <row r="4" spans="1:8" ht="15.75" customHeight="1" x14ac:dyDescent="0.25">
      <c r="B4" s="19" t="s">
        <v>79</v>
      </c>
      <c r="C4" s="101">
        <v>4.3378791324241689E-2</v>
      </c>
    </row>
    <row r="5" spans="1:8" ht="15.75" customHeight="1" x14ac:dyDescent="0.25">
      <c r="B5" s="19" t="s">
        <v>80</v>
      </c>
      <c r="C5" s="101">
        <v>4.3428391314321607E-2</v>
      </c>
    </row>
    <row r="6" spans="1:8" ht="15.75" customHeight="1" x14ac:dyDescent="0.25">
      <c r="B6" s="19" t="s">
        <v>81</v>
      </c>
      <c r="C6" s="101">
        <v>0.20442915911416809</v>
      </c>
    </row>
    <row r="7" spans="1:8" ht="15.75" customHeight="1" x14ac:dyDescent="0.25">
      <c r="B7" s="19" t="s">
        <v>82</v>
      </c>
      <c r="C7" s="101">
        <v>0.44831191033761802</v>
      </c>
    </row>
    <row r="8" spans="1:8" ht="15.75" customHeight="1" x14ac:dyDescent="0.25">
      <c r="B8" s="19" t="s">
        <v>83</v>
      </c>
      <c r="C8" s="101">
        <v>6.1679987664002426E-4</v>
      </c>
    </row>
    <row r="9" spans="1:8" ht="15.75" customHeight="1" x14ac:dyDescent="0.25">
      <c r="B9" s="19" t="s">
        <v>84</v>
      </c>
      <c r="C9" s="101">
        <v>0.16549056690188679</v>
      </c>
    </row>
    <row r="10" spans="1:8" ht="15.75" customHeight="1" x14ac:dyDescent="0.25">
      <c r="B10" s="19" t="s">
        <v>85</v>
      </c>
      <c r="C10" s="101">
        <v>8.9344182131163408E-2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88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89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90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93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94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95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4.6172718000000001E-2</v>
      </c>
    </row>
    <row r="27" spans="1:8" ht="15.75" customHeight="1" x14ac:dyDescent="0.25">
      <c r="B27" s="19" t="s">
        <v>102</v>
      </c>
      <c r="C27" s="101">
        <v>2.7233671000000001E-2</v>
      </c>
    </row>
    <row r="28" spans="1:8" ht="15.75" customHeight="1" x14ac:dyDescent="0.25">
      <c r="B28" s="19" t="s">
        <v>103</v>
      </c>
      <c r="C28" s="101">
        <v>0.19299803300000001</v>
      </c>
    </row>
    <row r="29" spans="1:8" ht="15.75" customHeight="1" x14ac:dyDescent="0.25">
      <c r="B29" s="19" t="s">
        <v>104</v>
      </c>
      <c r="C29" s="101">
        <v>0.151217407</v>
      </c>
    </row>
    <row r="30" spans="1:8" ht="15.75" customHeight="1" x14ac:dyDescent="0.25">
      <c r="B30" s="19" t="s">
        <v>2</v>
      </c>
      <c r="C30" s="101">
        <v>5.0257797E-2</v>
      </c>
    </row>
    <row r="31" spans="1:8" ht="15.75" customHeight="1" x14ac:dyDescent="0.25">
      <c r="B31" s="19" t="s">
        <v>105</v>
      </c>
      <c r="C31" s="101">
        <v>3.0332997E-2</v>
      </c>
    </row>
    <row r="32" spans="1:8" ht="15.75" customHeight="1" x14ac:dyDescent="0.25">
      <c r="B32" s="19" t="s">
        <v>106</v>
      </c>
      <c r="C32" s="101">
        <v>8.4368242999999996E-2</v>
      </c>
    </row>
    <row r="33" spans="2:3" ht="15.75" customHeight="1" x14ac:dyDescent="0.25">
      <c r="B33" s="19" t="s">
        <v>107</v>
      </c>
      <c r="C33" s="101">
        <v>0.169902637</v>
      </c>
    </row>
    <row r="34" spans="2:3" ht="15.75" customHeight="1" x14ac:dyDescent="0.25">
      <c r="B34" s="19" t="s">
        <v>108</v>
      </c>
      <c r="C34" s="101">
        <v>0.247516497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7NnfHhQXFuE82lF7D25wzbRXXjFd7P9M4zWReS/mZTJ/meI/2lpOQAtg4mFK/Lmjq6kl0kffgax/QY5EZGNLEA==" saltValue="9QPq3BIigMKWzcBiPg4r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114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115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119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120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YmPbZfqE2OoV47ZUkee3x/Rvr+PRk1+rZoMN2WdsGNgf7I5d8BcBagynKOE/k8GnZtGlLw4KjpZucezxHxjRQ==" saltValue="OvE5rHv2bdYRaBmeld0y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132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fgEuL/IOtKPj3Dck/MvCz0eYe803oOOIcWHieAMVMKsK6IL1IAn10QKQe63lZUCcyNxXMiQOrzu9EL9dN7SIAQ==" saltValue="zBYoo0MRi7o9YiFJItCaZ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BYCLlTSDv+4KbnmFRZ/hMx9/0bfEDA/LQnz2DqEfVb3czHMC3xLVsQuHoFhTZek8qudPSEtWqnu/j+CwFsHpg==" saltValue="Pkxy5PppzjOD56uFFrH7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3v6y310qXytqHWSfrWuc6GjrLJetpwOszf+E8ZC1od2Crbh3HSpj7h+bxLF9eIH2jWcJ+aCH+9ZAWgZve4++sg==" saltValue="+g/Q2lGYvPqhcaB9Vxha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GOoUls0ZoGts1zHu6vqVWj01bovOsih4JACuIIal0t08TzooGGVtCO8D2Kn1xsEnE04CWDCQdki7CIwQZuu6A==" saltValue="EROzU3b/y2F+rUWW2xELA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Mo7/hbYqVGO+Qf4Tme8+7sfiS8sUppxkzsNsKdk0TALwxOj71adoRhjXkNU2wW1cCKAjw3RULbw+tZamcRHsA==" saltValue="47tcPYaxRA2zVKBKPyba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56.580620140373682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39.847657223635643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391.6881570886265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1.4605051036841139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12.97995666743156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12.97995666743156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12.97995666743156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12.97995666743156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12.97995666743156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12.97995666743156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0.68672246732690645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0.25397140000000001</v>
      </c>
      <c r="C18" s="98">
        <v>0.95</v>
      </c>
      <c r="D18" s="56">
        <v>9.0366520404178896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0.25397140000000001</v>
      </c>
      <c r="C19" s="98">
        <v>0.95</v>
      </c>
      <c r="D19" s="56">
        <v>9.0366520404178896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18.09265788699528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22.382365332181759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4.259198426998462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0.91598738953471892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18.540655838323278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0.27308949999999999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0.39997139999999998</v>
      </c>
      <c r="C29" s="98">
        <v>0.95</v>
      </c>
      <c r="D29" s="56">
        <v>110.3413816734874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0.92241108658405979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1.4711834954966929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0.84804100000000004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0.1809837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2.0029000000000002E-3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0.71388839999999998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3.7098806669089082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V5qyBk/rEt0uv4R6+akHmBGvQ2SAeeDeLhucvcuGpQfkNrYQb7IMkP00ozZHvalyVvlgkpxN8H4iyP/TEJdlxQ==" saltValue="BcE8iybFABGfd+RVwbN+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rE/0kb/qpb+A3wMAgn4OhW1uevuB5Vgd59n4LZdODLQX8LBIgzs2B2lV0I9HY4T5HVT2u8CJkGR1qQeTp32Kw==" saltValue="hCYblTn2AZ3+dl995kwq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fXKyRVVH17fM5aieZ1QpjH2Np7UhKT5Jv6PwuSfB9YZUItJtjTZeaOR2saoVtfU6MaPZjOQipiBWkfD3CISSQ==" saltValue="5rx3fB1hgZ2/LdGSmEft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208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cGW9JZT1p87p4rxN8FPp3JRzxTauxxL05sQo2mOq99bmql4Sl4xldCXz4FfUr5GERWi9rwmU04xiaoj0FJlAow==" saltValue="ZDpWTNnuC2VRT3kS2zHe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d1z/l501BOSN4Hafg6xQV0qGTlKkU9b0/mi19e42YB+B0kaYuBzQ4h/oDMN9/messHN3ds46tWvsJFDB8ZXYA==" saltValue="9ClnoCd2TNy4/UTK/coZ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aXR/mf+bhl0FL4hB9qU7wxnQvU5vFspqwDFe+dV8xdvn2n3GJ1Ph7KxrO6AXtDoe4EBRS2P1kHBs/fm+ZFI2JQ==" saltValue="CntSVXLQeRvb1/g+8ylo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LvUzoK7L6nX4Zz+66zhUlrKthzWLtC1yzQJjunTQ6x4eQVbqpgl7/nFtNneT6d425qHJyqfvCp3PPrhvRrVDw==" saltValue="cXJ5Zg6fohIn8Y1v11op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EcBEEdjsvkFLhAJg1FVDOpvxSL1i4waUObcygNjS7TbijLCHlj9g01e8tjfBhanCgu0NXtM+Ehp+CwTvQYd3g==" saltValue="la66ftTo4j+6Tty2OuR/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3nijhRDWwsavUsN43IW7GE56ZPj5QgU2QzaN88Mrn241fTNAokZ3raWGwqDjzz/Gk0lVn553wkjpxWuTM4eIQ==" saltValue="jQoOdBSxPR0Sq2WIMYi6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UyM0P34OFnFWb4jzKoPq+E6wIWZsn65KcgwxmJhQ0CEup0/qEW19/LUWMHVrqYPcJytXI97u0oNDRoujfkZaA==" saltValue="gW7EFKsE7iWKIT3WWWlV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mo7L5oUsoC4oJK3YFsYa0HyBniBiPLV79AFiLv9jHY85hMdeR+jVGNFyDDKuoDW2YWuO86qq5Hj4CF1sWk6uw==" saltValue="50QSHiF0lqSDDp47Fm0yw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kNhiVLXohbLzqaMXv0E9V/Y25T9SbCt8T9eV5t2VSx9/o5O4bhnHND2w8ziihTsidcfU3D0Vew68gXp2xNCug==" saltValue="KpfxPb0EtpikOhMpBiCp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BkhOOHPhKnASE/bN3vCYcXikpJXpSdAWwMeSOJCSoKSik5JWhSQHLHwfhxVra/QriPiYpZjPefFcjh2IjwE8g==" saltValue="Q+0CVRIvpbYDOSxaLaEC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FXnEBD94fX8JHpkaYcpWxHEIrIXaOqh6zR5tIXpnk784eLDoh4FUCh2+5UFeyXwucQqHJO0/rA44kCqUlcxMw==" saltValue="Q1bRoJeIaFekm26LD06m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7LLfBxLrBIgIcqB+MbkFA5EMjEBmSIrzAWoesavikPvWUS+VyO+iuRJ6tPjMVmV5fDm4MvU0h+W7eLQ+mKfMg==" saltValue="/PCoyUzcfcj1+WvIi+1p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yO5gMjO9dBm03ER/gnUP0cEuKE8SZabC4tU7MKGZjPylBCGjRXd18iMFsTTeC5wi5XyCt2ogleBX5AZi2jnpw==" saltValue="vYjAithmrLYp5oXM2OVM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2BkAd8olPTCboPhyPwBzcaN3pnhLgDNrCZPzrdWsC2N6uY43hgDqu0jYLAqUFqXX4F9MHqzeGA6xEPv70zN6g==" saltValue="FQvefR+H+dqBDpeVt4pR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0.10765353034070746</v>
      </c>
      <c r="G18" s="90">
        <f>MIN(MAX(1-0.89/(1-frac_sam_12_23months+(frac_sam_12_23months*0.89)),0),1)</f>
        <v>0.10862877869186749</v>
      </c>
      <c r="H18" s="90">
        <f>MIN(MAX(1-0.89/(1-frac_sam_24_59months+(frac_sam_24_59months*0.89)),0),1)</f>
        <v>0.10944498206783926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0.10728668805237962</v>
      </c>
      <c r="G20" s="90">
        <f>MIN(MAX(1-0.89/(1-frac_mam_12_23months+(frac_mam_12_23months*0.89)),0),1)</f>
        <v>0.10911737942484812</v>
      </c>
      <c r="H20" s="90">
        <f>MIN(MAX(1-0.89/(1-frac_mam_24_59months+(frac_mam_24_59months*0.89)),0),1)</f>
        <v>0.10894210934047222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9.7632839130195048E-3</v>
      </c>
      <c r="G73" s="90">
        <f>MIN(MAX(1-0.99/(1-frac_sam_12_23months+(frac_sam_12_23months*0.99)),0),1)</f>
        <v>9.8615311154034435E-3</v>
      </c>
      <c r="H73" s="90">
        <f>MIN(MAX(1-0.99/(1-frac_sam_24_59months+(frac_sam_24_59months*0.99)),0),1)</f>
        <v>9.9439063919044557E-3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9.7263784859130675E-3</v>
      </c>
      <c r="G75" s="90">
        <f>MIN(MAX(1-0.99/(1-frac_mam_12_23months+(frac_mam_12_23months*0.99)),0),1)</f>
        <v>9.9108266285111712E-3</v>
      </c>
      <c r="H75" s="90">
        <f>MIN(MAX(1-0.99/(1-frac_mam_24_59months+(frac_mam_24_59months*0.99)),0),1)</f>
        <v>9.8931377663590281E-3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0.19615682578407367</v>
      </c>
      <c r="G128" s="90">
        <f>MIN(MAX(1-0.8/(1-frac_sam_12_23months+(frac_sam_12_23months*0.8)),0),1)</f>
        <v>0.19775615605824859</v>
      </c>
      <c r="H128" s="90">
        <f>MIN(MAX(1-0.8/(1-frac_sam_24_59months+(frac_sam_24_59months*0.8)),0),1)</f>
        <v>0.19909245962970479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0.19555448930772246</v>
      </c>
      <c r="G130" s="90">
        <f>MIN(MAX(1-0.8/(1-frac_mam_12_23months+(frac_mam_12_23months*0.8)),0),1)</f>
        <v>0.19855634351269624</v>
      </c>
      <c r="H130" s="90">
        <f>MIN(MAX(1-0.8/(1-frac_mam_24_59months+(frac_mam_24_59months*0.8)),0),1)</f>
        <v>0.19826938429293472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d+BADnaxlQTLSxfrsDBLoy6N1+cX1UsLShlTuN7nEb/ACXeimpLKFfvyJrDmUQMJGTT9nnfw/qZUIxS687+cQ==" saltValue="okGNg8ub7oNv5CbLf9Iz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BnIxCYNXES3el36KYjtUaVG5d5XukaXTcmRcAF2WNxq2fIGADzquhMpuO+NpI2jMe5kR9JHAPB2/q2fHqBkdg==" saltValue="bm/4I9Ceas5PzoGx5W12/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2024-08-06T08:58:21Z</dcterms:modified>
</cp:coreProperties>
</file>