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ABAC7D8-7AD7-4E32-BE23-AF921188148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A32" i="2"/>
  <c r="A28" i="2"/>
  <c r="A20" i="2"/>
  <c r="A18" i="2"/>
  <c r="H13" i="2"/>
  <c r="G13" i="2"/>
  <c r="I13" i="2" s="1"/>
  <c r="H12" i="2"/>
  <c r="G12" i="2"/>
  <c r="H11" i="2"/>
  <c r="G11" i="2"/>
  <c r="H10" i="2"/>
  <c r="G10" i="2"/>
  <c r="I10" i="2" s="1"/>
  <c r="H9" i="2"/>
  <c r="G9" i="2"/>
  <c r="I9" i="2" s="1"/>
  <c r="H8" i="2"/>
  <c r="G8" i="2"/>
  <c r="H7" i="2"/>
  <c r="G7" i="2"/>
  <c r="H6" i="2"/>
  <c r="G6" i="2"/>
  <c r="I6" i="2" s="1"/>
  <c r="H5" i="2"/>
  <c r="G5" i="2"/>
  <c r="I5" i="2" s="1"/>
  <c r="H4" i="2"/>
  <c r="G4" i="2"/>
  <c r="H3" i="2"/>
  <c r="G3" i="2"/>
  <c r="H2" i="2"/>
  <c r="G2" i="2"/>
  <c r="I2" i="2" s="1"/>
  <c r="A2" i="2"/>
  <c r="A40" i="2" s="1"/>
  <c r="C33" i="1"/>
  <c r="C20" i="1"/>
  <c r="A23" i="2" l="1"/>
  <c r="A33" i="2"/>
  <c r="A24" i="2"/>
  <c r="A34" i="2"/>
  <c r="A15" i="2"/>
  <c r="A2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6" i="2"/>
  <c r="A36" i="2"/>
  <c r="A35" i="2"/>
  <c r="I3" i="2"/>
  <c r="I7" i="2"/>
  <c r="I11" i="2"/>
  <c r="A17" i="2"/>
  <c r="A27" i="2"/>
  <c r="I38" i="2"/>
  <c r="I4" i="2"/>
  <c r="I8" i="2"/>
  <c r="I12" i="2"/>
  <c r="A19" i="2"/>
  <c r="A31" i="2"/>
  <c r="A39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<sst xmlns="http://schemas.openxmlformats.org/spreadsheetml/2006/main" count="2101" uniqueCount="337">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</sst>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239831.673828125</v>
      </c>
    </row>
    <row r="8" spans="1:3" ht="15" customHeight="1" x14ac:dyDescent="0.25">
      <c r="B8" s="5" t="s">
        <v>19</v>
      </c>
      <c r="C8" s="44">
        <v>4.4999999999999998E-2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0.98864250183105495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0.1278</v>
      </c>
    </row>
    <row r="24" spans="1:3" ht="15" customHeight="1" x14ac:dyDescent="0.25">
      <c r="B24" s="15" t="s">
        <v>33</v>
      </c>
      <c r="C24" s="45">
        <v>0.60719999999999996</v>
      </c>
    </row>
    <row r="25" spans="1:3" ht="15" customHeight="1" x14ac:dyDescent="0.25">
      <c r="B25" s="15" t="s">
        <v>34</v>
      </c>
      <c r="C25" s="45">
        <v>0.2432</v>
      </c>
    </row>
    <row r="26" spans="1:3" ht="15" customHeight="1" x14ac:dyDescent="0.25">
      <c r="B26" s="15" t="s">
        <v>35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0.443381353500297</v>
      </c>
    </row>
    <row r="30" spans="1:3" ht="14.25" customHeight="1" x14ac:dyDescent="0.25">
      <c r="B30" s="25" t="s">
        <v>38</v>
      </c>
      <c r="C30" s="99">
        <v>5.9529082105141198E-2</v>
      </c>
    </row>
    <row r="31" spans="1:3" ht="14.25" customHeight="1" x14ac:dyDescent="0.25">
      <c r="B31" s="25" t="s">
        <v>39</v>
      </c>
      <c r="C31" s="99">
        <v>6.7946136004371396E-2</v>
      </c>
    </row>
    <row r="32" spans="1:3" ht="14.25" customHeight="1" x14ac:dyDescent="0.25">
      <c r="B32" s="25" t="s">
        <v>40</v>
      </c>
      <c r="C32" s="99">
        <v>0.42914342839018998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5.4023899999999996</v>
      </c>
    </row>
    <row r="38" spans="1:5" ht="15" customHeight="1" x14ac:dyDescent="0.25">
      <c r="B38" s="11" t="s">
        <v>45</v>
      </c>
      <c r="C38" s="43">
        <v>8.4329999999999998</v>
      </c>
      <c r="D38" s="12"/>
      <c r="E38" s="13"/>
    </row>
    <row r="39" spans="1:5" ht="15" customHeight="1" x14ac:dyDescent="0.25">
      <c r="B39" s="11" t="s">
        <v>46</v>
      </c>
      <c r="C39" s="43">
        <v>9.4797799999999999</v>
      </c>
      <c r="D39" s="12"/>
      <c r="E39" s="12"/>
    </row>
    <row r="40" spans="1:5" ht="15" customHeight="1" x14ac:dyDescent="0.25">
      <c r="B40" s="11" t="s">
        <v>47</v>
      </c>
      <c r="C40" s="100">
        <v>0.28000000000000003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6.6381999999999986E-3</v>
      </c>
      <c r="D45" s="12"/>
    </row>
    <row r="46" spans="1:5" ht="15.75" customHeight="1" x14ac:dyDescent="0.25">
      <c r="B46" s="11" t="s">
        <v>52</v>
      </c>
      <c r="C46" s="45">
        <v>7.1327000000000002E-2</v>
      </c>
      <c r="D46" s="12"/>
    </row>
    <row r="47" spans="1:5" ht="15.75" customHeight="1" x14ac:dyDescent="0.25">
      <c r="B47" s="11" t="s">
        <v>53</v>
      </c>
      <c r="C47" s="45">
        <v>7.4688299999999999E-2</v>
      </c>
      <c r="D47" s="12"/>
      <c r="E47" s="13"/>
    </row>
    <row r="48" spans="1:5" ht="15" customHeight="1" x14ac:dyDescent="0.25">
      <c r="B48" s="11" t="s">
        <v>54</v>
      </c>
      <c r="C48" s="46">
        <v>0.8473465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0.61720999999999993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Uw9M7jfrsPjF0Zg5UMd9P6Wk3/e9GlTScTo4IW+3tG30h3wOQZvr7Ap0w4iDXR6F0SuAHv29cMR4ooMVu+S0eQ==" saltValue="t+H0mmwm7aa645ic+mmo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46526</v>
      </c>
      <c r="C2" s="49">
        <v>135776.5</v>
      </c>
      <c r="D2" s="49">
        <v>201418.5</v>
      </c>
      <c r="E2" s="49">
        <v>272509</v>
      </c>
      <c r="F2" s="49">
        <v>229807.5</v>
      </c>
      <c r="G2" s="17">
        <f t="shared" ref="G2:G13" si="0">C2+D2+E2+F2</f>
        <v>839511.5</v>
      </c>
      <c r="H2" s="17">
        <f t="shared" ref="H2:H13" si="1">(B2 + stillbirth*B2/(1000-stillbirth))/(1-abortion)</f>
        <v>53172.137835613845</v>
      </c>
      <c r="I2" s="17">
        <f t="shared" ref="I2:I13" si="2">G2-H2</f>
        <v>786339.3621643862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45328</v>
      </c>
      <c r="C3" s="50">
        <v>141242</v>
      </c>
      <c r="D3" s="50">
        <v>197405</v>
      </c>
      <c r="E3" s="50">
        <v>264984</v>
      </c>
      <c r="F3" s="50">
        <v>231605</v>
      </c>
      <c r="G3" s="17">
        <f t="shared" si="0"/>
        <v>835236</v>
      </c>
      <c r="H3" s="17">
        <f t="shared" si="1"/>
        <v>51803.006143074934</v>
      </c>
      <c r="I3" s="17">
        <f t="shared" si="2"/>
        <v>783432.99385692505</v>
      </c>
    </row>
    <row r="4" spans="1:9" ht="15.75" customHeight="1" x14ac:dyDescent="0.25">
      <c r="A4" s="5">
        <f t="shared" si="3"/>
        <v>2026</v>
      </c>
      <c r="B4" s="49">
        <v>44305</v>
      </c>
      <c r="C4" s="50">
        <v>145874.5</v>
      </c>
      <c r="D4" s="50">
        <v>194549</v>
      </c>
      <c r="E4" s="50">
        <v>256613.5</v>
      </c>
      <c r="F4" s="50">
        <v>233892.5</v>
      </c>
      <c r="G4" s="17">
        <f t="shared" si="0"/>
        <v>830929.5</v>
      </c>
      <c r="H4" s="17">
        <f t="shared" si="1"/>
        <v>50633.872819646465</v>
      </c>
      <c r="I4" s="17">
        <f t="shared" si="2"/>
        <v>780295.62718035351</v>
      </c>
    </row>
    <row r="5" spans="1:9" ht="15.75" customHeight="1" x14ac:dyDescent="0.25">
      <c r="A5" s="5">
        <f t="shared" si="3"/>
        <v>2027</v>
      </c>
      <c r="B5" s="49">
        <v>43484</v>
      </c>
      <c r="C5" s="50">
        <v>150049</v>
      </c>
      <c r="D5" s="50">
        <v>192887.5</v>
      </c>
      <c r="E5" s="50">
        <v>248059.5</v>
      </c>
      <c r="F5" s="50">
        <v>236400.5</v>
      </c>
      <c r="G5" s="17">
        <f t="shared" si="0"/>
        <v>827396.5</v>
      </c>
      <c r="H5" s="17">
        <f t="shared" si="1"/>
        <v>49695.594756562619</v>
      </c>
      <c r="I5" s="17">
        <f t="shared" si="2"/>
        <v>777700.90524343739</v>
      </c>
    </row>
    <row r="6" spans="1:9" ht="15.75" customHeight="1" x14ac:dyDescent="0.25">
      <c r="A6" s="5">
        <f t="shared" si="3"/>
        <v>2028</v>
      </c>
      <c r="B6" s="49">
        <v>42705</v>
      </c>
      <c r="C6" s="50">
        <v>153676</v>
      </c>
      <c r="D6" s="50">
        <v>193356</v>
      </c>
      <c r="E6" s="50">
        <v>239158.5</v>
      </c>
      <c r="F6" s="50">
        <v>238732</v>
      </c>
      <c r="G6" s="17">
        <f t="shared" si="0"/>
        <v>824922.5</v>
      </c>
      <c r="H6" s="17">
        <f t="shared" si="1"/>
        <v>48805.316302065279</v>
      </c>
      <c r="I6" s="17">
        <f t="shared" si="2"/>
        <v>776117.18369793473</v>
      </c>
    </row>
    <row r="7" spans="1:9" ht="15.75" customHeight="1" x14ac:dyDescent="0.25">
      <c r="A7" s="5">
        <f t="shared" si="3"/>
        <v>2029</v>
      </c>
      <c r="B7" s="49">
        <v>41964</v>
      </c>
      <c r="C7" s="50">
        <v>156328.5</v>
      </c>
      <c r="D7" s="50">
        <v>196657.5</v>
      </c>
      <c r="E7" s="50">
        <v>229304</v>
      </c>
      <c r="F7" s="50">
        <v>240667.5</v>
      </c>
      <c r="G7" s="17">
        <f t="shared" si="0"/>
        <v>822957.5</v>
      </c>
      <c r="H7" s="17">
        <f t="shared" si="1"/>
        <v>47958.466064860491</v>
      </c>
      <c r="I7" s="17">
        <f t="shared" si="2"/>
        <v>774999.03393513954</v>
      </c>
    </row>
    <row r="8" spans="1:9" ht="15.75" customHeight="1" x14ac:dyDescent="0.25">
      <c r="A8" s="5">
        <f t="shared" si="3"/>
        <v>2030</v>
      </c>
      <c r="B8" s="49">
        <v>41674</v>
      </c>
      <c r="C8" s="50">
        <v>158001</v>
      </c>
      <c r="D8" s="50">
        <v>201730.5</v>
      </c>
      <c r="E8" s="50">
        <v>218575</v>
      </c>
      <c r="F8" s="50">
        <v>242379.5</v>
      </c>
      <c r="G8" s="17">
        <f t="shared" si="0"/>
        <v>820686</v>
      </c>
      <c r="H8" s="17">
        <f t="shared" si="1"/>
        <v>47627.040196048911</v>
      </c>
      <c r="I8" s="17">
        <f t="shared" si="2"/>
        <v>773058.95980395109</v>
      </c>
    </row>
    <row r="9" spans="1:9" ht="15.75" customHeight="1" x14ac:dyDescent="0.25">
      <c r="A9" s="5">
        <f t="shared" si="3"/>
        <v>2031</v>
      </c>
      <c r="B9" s="49">
        <v>41205</v>
      </c>
      <c r="C9" s="50">
        <v>159035.5</v>
      </c>
      <c r="D9" s="50">
        <v>206945</v>
      </c>
      <c r="E9" s="50">
        <v>207908.5</v>
      </c>
      <c r="F9" s="50">
        <v>244042.5</v>
      </c>
      <c r="G9" s="17">
        <f t="shared" si="0"/>
        <v>817931.5</v>
      </c>
      <c r="H9" s="17">
        <f t="shared" si="1"/>
        <v>47091.044566832919</v>
      </c>
      <c r="I9" s="17">
        <f t="shared" si="2"/>
        <v>770840.45543316705</v>
      </c>
    </row>
    <row r="10" spans="1:9" ht="15.75" customHeight="1" x14ac:dyDescent="0.25">
      <c r="A10" s="5">
        <f t="shared" si="3"/>
        <v>2032</v>
      </c>
      <c r="B10" s="49">
        <v>40988</v>
      </c>
      <c r="C10" s="50">
        <v>159466.5</v>
      </c>
      <c r="D10" s="50">
        <v>212065</v>
      </c>
      <c r="E10" s="50">
        <v>198402.5</v>
      </c>
      <c r="F10" s="50">
        <v>245053</v>
      </c>
      <c r="G10" s="17">
        <f t="shared" si="0"/>
        <v>814987</v>
      </c>
      <c r="H10" s="17">
        <f t="shared" si="1"/>
        <v>46843.046589135971</v>
      </c>
      <c r="I10" s="17">
        <f t="shared" si="2"/>
        <v>768143.95341086399</v>
      </c>
    </row>
    <row r="11" spans="1:9" ht="15.75" customHeight="1" x14ac:dyDescent="0.25">
      <c r="A11" s="5">
        <f t="shared" si="3"/>
        <v>2033</v>
      </c>
      <c r="B11" s="49">
        <v>40783</v>
      </c>
      <c r="C11" s="50">
        <v>158289.5</v>
      </c>
      <c r="D11" s="50">
        <v>217764.5</v>
      </c>
      <c r="E11" s="50">
        <v>190725.5</v>
      </c>
      <c r="F11" s="50">
        <v>244183</v>
      </c>
      <c r="G11" s="17">
        <f t="shared" si="0"/>
        <v>810962.5</v>
      </c>
      <c r="H11" s="17">
        <f t="shared" si="1"/>
        <v>46608.762785320883</v>
      </c>
      <c r="I11" s="17">
        <f t="shared" si="2"/>
        <v>764353.73721467913</v>
      </c>
    </row>
    <row r="12" spans="1:9" ht="15.75" customHeight="1" x14ac:dyDescent="0.25">
      <c r="A12" s="5">
        <f t="shared" si="3"/>
        <v>2034</v>
      </c>
      <c r="B12" s="49">
        <v>40786</v>
      </c>
      <c r="C12" s="50">
        <v>154908</v>
      </c>
      <c r="D12" s="50">
        <v>224378.5</v>
      </c>
      <c r="E12" s="50">
        <v>185037.5</v>
      </c>
      <c r="F12" s="50">
        <v>240657</v>
      </c>
      <c r="G12" s="17">
        <f t="shared" si="0"/>
        <v>804981</v>
      </c>
      <c r="H12" s="17">
        <f t="shared" si="1"/>
        <v>46612.191328791348</v>
      </c>
      <c r="I12" s="17">
        <f t="shared" si="2"/>
        <v>758368.80867120868</v>
      </c>
    </row>
    <row r="13" spans="1:9" ht="15.75" customHeight="1" x14ac:dyDescent="0.25">
      <c r="A13" s="5">
        <f t="shared" si="3"/>
        <v>2035</v>
      </c>
      <c r="B13" s="49">
        <v>40747</v>
      </c>
      <c r="C13" s="50">
        <v>150580</v>
      </c>
      <c r="D13" s="50">
        <v>231558</v>
      </c>
      <c r="E13" s="50">
        <v>181056.5</v>
      </c>
      <c r="F13" s="50">
        <v>234636</v>
      </c>
      <c r="G13" s="17">
        <f t="shared" si="0"/>
        <v>797830.5</v>
      </c>
      <c r="H13" s="17">
        <f t="shared" si="1"/>
        <v>46567.620263675308</v>
      </c>
      <c r="I13" s="17">
        <f t="shared" si="2"/>
        <v>751262.87973632466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87emrLJwb99ofTZv84l2WVg+RdHUu6jG18Q+3hfeHBj0XwM8LLFrmJP1JTX92UCnm+h+8fF9930LIImcbq/Tww==" saltValue="JbDEN+AT9UVmndM18vuM+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6.1434500000000017E-2</v>
      </c>
    </row>
    <row r="5" spans="1:8" ht="15.75" customHeight="1" x14ac:dyDescent="0.25">
      <c r="B5" s="19" t="s">
        <v>80</v>
      </c>
      <c r="C5" s="101">
        <v>3.080959999999993E-2</v>
      </c>
    </row>
    <row r="6" spans="1:8" ht="15.75" customHeight="1" x14ac:dyDescent="0.25">
      <c r="B6" s="19" t="s">
        <v>81</v>
      </c>
      <c r="C6" s="101">
        <v>0.15788579999999999</v>
      </c>
    </row>
    <row r="7" spans="1:8" ht="15.75" customHeight="1" x14ac:dyDescent="0.25">
      <c r="B7" s="19" t="s">
        <v>82</v>
      </c>
      <c r="C7" s="101">
        <v>0.42719720000000078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0.24526179999999931</v>
      </c>
    </row>
    <row r="10" spans="1:8" ht="15.75" customHeight="1" x14ac:dyDescent="0.25">
      <c r="B10" s="19" t="s">
        <v>85</v>
      </c>
      <c r="C10" s="101">
        <v>7.7411100000000052E-2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88</v>
      </c>
      <c r="C15" s="101">
        <v>0.19736594576080069</v>
      </c>
      <c r="D15" s="101">
        <v>0.19736594576080069</v>
      </c>
      <c r="E15" s="101">
        <v>0.19736594576080069</v>
      </c>
      <c r="F15" s="101">
        <v>0.19736594576080069</v>
      </c>
    </row>
    <row r="16" spans="1:8" ht="15.75" customHeight="1" x14ac:dyDescent="0.25">
      <c r="B16" s="19" t="s">
        <v>89</v>
      </c>
      <c r="C16" s="101">
        <v>5.4692018848222272E-2</v>
      </c>
      <c r="D16" s="101">
        <v>5.4692018848222272E-2</v>
      </c>
      <c r="E16" s="101">
        <v>5.4692018848222272E-2</v>
      </c>
      <c r="F16" s="101">
        <v>5.4692018848222272E-2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5.4498051902628193E-2</v>
      </c>
      <c r="D19" s="101">
        <v>5.4498051902628193E-2</v>
      </c>
      <c r="E19" s="101">
        <v>5.4498051902628193E-2</v>
      </c>
      <c r="F19" s="101">
        <v>5.4498051902628193E-2</v>
      </c>
    </row>
    <row r="20" spans="1:8" ht="15.75" customHeight="1" x14ac:dyDescent="0.25">
      <c r="B20" s="19" t="s">
        <v>93</v>
      </c>
      <c r="C20" s="101">
        <v>0.13982589993096289</v>
      </c>
      <c r="D20" s="101">
        <v>0.13982589993096289</v>
      </c>
      <c r="E20" s="101">
        <v>0.13982589993096289</v>
      </c>
      <c r="F20" s="101">
        <v>0.13982589993096289</v>
      </c>
    </row>
    <row r="21" spans="1:8" ht="15.75" customHeight="1" x14ac:dyDescent="0.25">
      <c r="B21" s="19" t="s">
        <v>94</v>
      </c>
      <c r="C21" s="101">
        <v>0.36947144300070628</v>
      </c>
      <c r="D21" s="101">
        <v>0.36947144300070628</v>
      </c>
      <c r="E21" s="101">
        <v>0.36947144300070628</v>
      </c>
      <c r="F21" s="101">
        <v>0.36947144300070628</v>
      </c>
    </row>
    <row r="22" spans="1:8" ht="15.75" customHeight="1" x14ac:dyDescent="0.25">
      <c r="B22" s="19" t="s">
        <v>95</v>
      </c>
      <c r="C22" s="101">
        <v>0.1566029180442485</v>
      </c>
      <c r="D22" s="101">
        <v>0.1566029180442485</v>
      </c>
      <c r="E22" s="101">
        <v>0.1566029180442485</v>
      </c>
      <c r="F22" s="101">
        <v>0.1566029180442485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3.5118521999999999E-2</v>
      </c>
    </row>
    <row r="27" spans="1:8" ht="15.75" customHeight="1" x14ac:dyDescent="0.25">
      <c r="B27" s="19" t="s">
        <v>102</v>
      </c>
      <c r="C27" s="101">
        <v>3.0268353000000001E-2</v>
      </c>
    </row>
    <row r="28" spans="1:8" ht="15.75" customHeight="1" x14ac:dyDescent="0.25">
      <c r="B28" s="19" t="s">
        <v>103</v>
      </c>
      <c r="C28" s="101">
        <v>4.2532465999999998E-2</v>
      </c>
    </row>
    <row r="29" spans="1:8" ht="15.75" customHeight="1" x14ac:dyDescent="0.25">
      <c r="B29" s="19" t="s">
        <v>104</v>
      </c>
      <c r="C29" s="101">
        <v>0.11442039499999999</v>
      </c>
    </row>
    <row r="30" spans="1:8" ht="15.75" customHeight="1" x14ac:dyDescent="0.25">
      <c r="B30" s="19" t="s">
        <v>2</v>
      </c>
      <c r="C30" s="101">
        <v>6.6051589999999993E-2</v>
      </c>
    </row>
    <row r="31" spans="1:8" ht="15.75" customHeight="1" x14ac:dyDescent="0.25">
      <c r="B31" s="19" t="s">
        <v>105</v>
      </c>
      <c r="C31" s="101">
        <v>4.992891800000001E-2</v>
      </c>
    </row>
    <row r="32" spans="1:8" ht="15.75" customHeight="1" x14ac:dyDescent="0.25">
      <c r="B32" s="19" t="s">
        <v>106</v>
      </c>
      <c r="C32" s="101">
        <v>0.10155209799999999</v>
      </c>
    </row>
    <row r="33" spans="2:3" ht="15.75" customHeight="1" x14ac:dyDescent="0.25">
      <c r="B33" s="19" t="s">
        <v>107</v>
      </c>
      <c r="C33" s="101">
        <v>0.24299047300000001</v>
      </c>
    </row>
    <row r="34" spans="2:3" ht="15.75" customHeight="1" x14ac:dyDescent="0.25">
      <c r="B34" s="19" t="s">
        <v>108</v>
      </c>
      <c r="C34" s="101">
        <v>0.31713718499999999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jXH5RjqMA8n+RhrcCAelazRdTxAQQ+d3CPwtsPtu8wxhV5pNZcwpAd29Bj7BwVu1/4DJnwkFd5VaGcFnxIizuQ==" saltValue="yH/3YFvBZesNM1hacjCl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114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115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119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120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J45BENoPT77Wdykj4oc9WGwm2Y8MGQxhdPAgpGCC6fPm5dwoiAZnqSiA3usdC6ONMniEyobEyCB57rKK+4Gww==" saltValue="fNTxtuy0v2ewjdCE0zk3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132</v>
      </c>
      <c r="C5" s="52">
        <v>0.1283841</v>
      </c>
      <c r="D5" s="52">
        <v>0.29044900000000001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6SlwlTHYLtm5emOlkSqlNc0+VeNr1WCrYu2CnxdiuPlOEZ9RIgp4936m9OacVW/4sr6W8vFEIH2LCcFjdilA7A==" saltValue="d3YTsWaGgd0XkStDzHzYR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8ztaNfw0O/EkehRltghyr0AVLzRb0Mto6WEvGWlLCOTmlx7u64/9y9bOBPwJwSNBjAG4H3YkqE2F0GDKTGe6Q==" saltValue="5j6DHH1MUNg8DZUAP+sIx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dStitShSISvoN1Yk1vuKIzO9c0BDnh2Cmi8xuomwhcVso432rY/cv9kfnz0Ra+2uQZgrjwwVRJCoY32gWtFx3g==" saltValue="pDMRRhRevN4+4+4Zw975R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ceYAxTNQ+h+z3Y4odwZ1J1gPL03Zt0uEpAb0GZeLHvc+cwc7LwZTkV2XxWVVlPZGwJ4r7AOO8AA4JjnySvsVFA==" saltValue="USMPf0k6t9WUVnxPsSRC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mLXA2dT8x3TFYyZm7vikzdLUq/3FiNv2t+lhcLbTNwhYmPB9GcsaE+7tiNgllFgUg9Ro4EXWEIFRlMDrNYzjFw==" saltValue="rEnhwi6nM5VoFlq3UUVxR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56.254705436031671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39.840352237471023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386.57856933182762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4.1173102961713033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12.97265168126693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12.97265168126693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12.97265168126693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12.97265168126693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12.97265168126693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12.97265168126693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0.67941748116227962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0.182699</v>
      </c>
      <c r="C18" s="98">
        <v>0.95</v>
      </c>
      <c r="D18" s="56">
        <v>8.9203956176994357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0.182699</v>
      </c>
      <c r="C19" s="98">
        <v>0.95</v>
      </c>
      <c r="D19" s="56">
        <v>8.9203956176994357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44.23052776081574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22.365929113311349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4.2546328106455702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0.71086051360217994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18.548511011776839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0.42392999999999997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0.49874190000000002</v>
      </c>
      <c r="C29" s="98">
        <v>0.95</v>
      </c>
      <c r="D29" s="56">
        <v>109.5975303040908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0.66646007760184001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1.454747276626283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0.91757350000000004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0.28326289999999998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3.0968200000000001E-2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0.84712010000000004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0.10861270000000001</v>
      </c>
      <c r="C38" s="98">
        <v>0.95</v>
      </c>
      <c r="D38" s="56">
        <v>1.036071241780949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CeuqI+SXi7/HsbsEoVxER9r3kxL408wLXhs4x/qu1zpBN3HQg8jvGwWMcLvEbgjEQgbY1HGVHfT9+zcEskEQag==" saltValue="Oii8+h00iOBaiOff9PVO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NTixyEUyTxs2LOLxxVLcK/kL/k6PcM98ANEeik2GfFjOAUou29UgKMNKhf2lOhEPtovBtebami5To4uMQE/Bg==" saltValue="ZbDvsqxOf540RFRIn4NN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8oHy95A7tLGoVfU06k1usIpmDEJgEBvULEnnu7atzAxjYE6oksHx6xU+0LLuAg2eLf51Ltx/Kr7TBxVdffUklA==" saltValue="B6INRc7yeixWHHbjpslFL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208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sheetProtection algorithmName="SHA-512" hashValue="NfCEfrL8c0/5Fqrg8K6jLQjCTCsi6HQFqclB+LwaTJw+TIpm58E1v1BD5RM60ZDy/lHLdvxwQZq1khjOLBoRUg==" saltValue="A5n2VQtITmgHQ1ah+MVAJ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ac32EPkXfK84TIBxXfwAr/orrYVxpMhckO62g1quwxNsiT2Dj4Zil9SRm1VzDFzTfJ5eaTUvhybwCIATuuxEQ==" saltValue="wDzjxjGeOANELKYumyj7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GVYAx/6zBAGXF50NKYKIxwpJ4tIRsw9WEhgRYpZkbuBSrvQvzFEatMPlU/VRFg/7BnPB1RsOYIi3la7/iJoqA==" saltValue="aHxq3xsUL/o+rJUzA6p0e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cJ3v0ZyN6eKTomWbwt6rFzo4q80ryCb5wkL+mI6ayhMzjPmKFZV2d40XLPcfH+GT8tP2Q8r5mkHwvdrZf4fYA==" saltValue="OFI4FVSoecDqxJceKedb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L3zDYopZNU3/g3v0go9ZnswnaAyvLsD4PXXQMp0zKbubiLPRHpg9N77VAVBn9wRdwK5kK0AfNs6VzCejjpDFw==" saltValue="FPU/I/cZ+NwJYyqzmhMkn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HVbw4Ll55dyT6wIPNx4QJSOzPrzY1UBK1qwV5IkrisNWyL+PxN5uwfnJY8TTG4t/E/o4ZgK6V4eR4P92aXdjQ==" saltValue="o/bYNyBVbPhPxlLr58qi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45CTuOMHT5YeP2o/Hsare3l/f4RUVeUChiDv9StbMi2fAmPlZOP30KowLZWtNNpLPKc5O1LpMJkEFl+LMFJZUA==" saltValue="kYNxafkIQ+639XW1KXMm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VqkTflhm2AQrcVFHaQe2FUTV1elyiWRFo7ta6kCGldZrIBnEeF5oQCUKnl5XtujmMkVaDNBMuAmnrSTxiWAiQ==" saltValue="CQqWjou+idu9J9tegsP+W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VioJGXfRQ8WdQgrf9NNdcLBIVB5LCbHQD/96GxtgLCOkdLRd0b3XC4k+vvXpJ9UKS6N6oN0dNexUZ5hw0b7Uw==" saltValue="mwqNsRtKf7DCJE4mmdhT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hsneYRKkrC8g3Bu06IdP9c4zJm6z+xXAb+7v7tKYQlTwddfBIf61RaCLpjEvm3U8GFrx0sTiETRzCGm/U/PIA==" saltValue="gsEKYijNP2I2RTRj8dzN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IJR5SiBLly2CI4gpjn/jXLTfZA+I5UETDRN0JHrWbZqKHBEB8VuLGNMCDzIocHQUXQYvuvd/SlQ3k3NdewfPeA==" saltValue="wRSMkfrVmPQEvxkSZwFt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ZMGKsGOjKyQR7tdTBpP+CZbhEu3Bn+g2CAOMdQqNswjv56YDBPDtS2C93jVykQ6SfgGYGrKvuWa6YZSgRZBBw==" saltValue="ehrySbL1ZHtIB+06yGKd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Eej7p4z1bEHTYG6l0k1W7tCFuf6zfXUbCc4cBCPOa1vx9DV8oRdgoYzoSxQ85y9Jxe++9NLNtDK6Njps5yUjQ==" saltValue="WZDlRPuGG7lBtf+tJwp0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VNq4aZpc+sDTJgLo4qu6gC8dL4BmIi/R1OHrw8wQ02opkwR6DK865tQk4Nz1LTWFkLz2VGiVMNktTHVKvPyVA==" saltValue="LVIYUFzuhrkmlrIfm3nS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0.10991327172937071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0.10951023062684473</v>
      </c>
      <c r="G20" s="90">
        <f>MIN(MAX(1-0.89/(1-frac_mam_12_23months+(frac_mam_12_23months*0.89)),0),1)</f>
        <v>0.10974475046612986</v>
      </c>
      <c r="H20" s="90">
        <f>MIN(MAX(1-0.89/(1-frac_mam_24_59months+(frac_mam_24_59months*0.89)),0),1)</f>
        <v>0.10994763020861376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9.991230502319759E-3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9.9504975248763117E-3</v>
      </c>
      <c r="G75" s="90">
        <f>MIN(MAX(1-0.99/(1-frac_mam_12_23months+(frac_mam_12_23months*0.99)),0),1)</f>
        <v>9.974194977392159E-3</v>
      </c>
      <c r="H75" s="90">
        <f>MIN(MAX(1-0.99/(1-frac_mam_24_59months+(frac_mam_24_59months*0.99)),0),1)</f>
        <v>9.9947044616741643E-3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0.19985824688701848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0.19919919919919915</v>
      </c>
      <c r="G130" s="90">
        <f>MIN(MAX(1-0.8/(1-frac_mam_12_23months+(frac_mam_12_23months*0.8)),0),1)</f>
        <v>0.19958274248365671</v>
      </c>
      <c r="H130" s="90">
        <f>MIN(MAX(1-0.8/(1-frac_mam_24_59months+(frac_mam_24_59months*0.8)),0),1)</f>
        <v>0.19991440684324402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p2ygNISKgomRHCusWbA5W6QZONbkUITyMHmH87V2S4rXEw3/+3/KQBt0naOA4cAR9j7UnreIOl46cmGZWdZJQ==" saltValue="lsQMTkkAfjmwNcJ23xAO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y1pwIeTqwOZi330J8Ea1u7heBfICPLVtYPXyFiuyTFp3YYubP/2/+tQbtCKvfa2wje3fdUGDHLIOJo5WoHKIg==" saltValue="l/VyVVy7+8cE/rkICaGmD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2024-08-06T09:03:26Z</dcterms:modified>
</cp:coreProperties>
</file>