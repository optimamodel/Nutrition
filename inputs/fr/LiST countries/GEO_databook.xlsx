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6F224747-02EA-4945-9300-797F54E7476C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I8" i="2" l="1"/>
  <c r="A36" i="2"/>
  <c r="A22" i="2"/>
  <c r="A23" i="2"/>
  <c r="A31" i="2"/>
  <c r="A24" i="2"/>
  <c r="A37" i="2"/>
  <c r="I9" i="2"/>
  <c r="I13" i="2"/>
  <c r="I38" i="2"/>
  <c r="A26" i="2"/>
  <c r="I39" i="2"/>
  <c r="A34" i="2"/>
  <c r="A40" i="2"/>
  <c r="I2" i="2"/>
  <c r="I6" i="2"/>
  <c r="A19" i="2"/>
  <c r="A35" i="2"/>
  <c r="I3" i="2"/>
  <c r="I7" i="2"/>
  <c r="I11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<sst xmlns="http://schemas.openxmlformats.org/spreadsheetml/2006/main" count="2169" uniqueCount="369">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</sst>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224805.5</v>
      </c>
    </row>
    <row r="8" spans="1:3" ht="15" customHeight="1" x14ac:dyDescent="0.25">
      <c r="B8" s="5" t="s">
        <v>37</v>
      </c>
      <c r="C8" s="44">
        <v>4.4999999999999998E-2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0.98864250183105495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0.1278</v>
      </c>
    </row>
    <row r="24" spans="1:3" ht="15" customHeight="1" x14ac:dyDescent="0.25">
      <c r="B24" s="15" t="s">
        <v>51</v>
      </c>
      <c r="C24" s="45">
        <v>0.60719999999999996</v>
      </c>
    </row>
    <row r="25" spans="1:3" ht="15" customHeight="1" x14ac:dyDescent="0.25">
      <c r="B25" s="15" t="s">
        <v>52</v>
      </c>
      <c r="C25" s="45">
        <v>0.2432</v>
      </c>
    </row>
    <row r="26" spans="1:3" ht="15" customHeight="1" x14ac:dyDescent="0.25">
      <c r="B26" s="15" t="s">
        <v>53</v>
      </c>
      <c r="C26" s="45">
        <v>2.18E-2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0.443381353500297</v>
      </c>
    </row>
    <row r="30" spans="1:3" ht="14.25" customHeight="1" x14ac:dyDescent="0.25">
      <c r="B30" s="25" t="s">
        <v>56</v>
      </c>
      <c r="C30" s="97">
        <v>5.9529082105141198E-2</v>
      </c>
    </row>
    <row r="31" spans="1:3" ht="14.25" customHeight="1" x14ac:dyDescent="0.25">
      <c r="B31" s="25" t="s">
        <v>57</v>
      </c>
      <c r="C31" s="97">
        <v>6.7946136004371396E-2</v>
      </c>
    </row>
    <row r="32" spans="1:3" ht="14.25" customHeight="1" x14ac:dyDescent="0.25">
      <c r="B32" s="25" t="s">
        <v>58</v>
      </c>
      <c r="C32" s="97">
        <v>0.42914342839018998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5.4023899999999996</v>
      </c>
    </row>
    <row r="38" spans="1:5" ht="15" customHeight="1" x14ac:dyDescent="0.25">
      <c r="B38" s="11" t="s">
        <v>63</v>
      </c>
      <c r="C38" s="43">
        <v>8.4329999999999998</v>
      </c>
      <c r="D38" s="12"/>
      <c r="E38" s="13"/>
    </row>
    <row r="39" spans="1:5" ht="15" customHeight="1" x14ac:dyDescent="0.25">
      <c r="B39" s="11" t="s">
        <v>64</v>
      </c>
      <c r="C39" s="43">
        <v>9.4797799999999999</v>
      </c>
      <c r="D39" s="12"/>
      <c r="E39" s="12"/>
    </row>
    <row r="40" spans="1:5" ht="15" customHeight="1" x14ac:dyDescent="0.25">
      <c r="B40" s="11" t="s">
        <v>65</v>
      </c>
      <c r="C40" s="98">
        <v>0.28000000000000003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5.6737099999999998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6.6381999999999986E-3</v>
      </c>
      <c r="D45" s="12"/>
    </row>
    <row r="46" spans="1:5" ht="15.75" customHeight="1" x14ac:dyDescent="0.25">
      <c r="B46" s="11" t="s">
        <v>70</v>
      </c>
      <c r="C46" s="45">
        <v>7.1327000000000002E-2</v>
      </c>
      <c r="D46" s="12"/>
    </row>
    <row r="47" spans="1:5" ht="15.75" customHeight="1" x14ac:dyDescent="0.25">
      <c r="B47" s="11" t="s">
        <v>71</v>
      </c>
      <c r="C47" s="45">
        <v>7.4688299999999999E-2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2.8</v>
      </c>
      <c r="D51" s="12"/>
    </row>
    <row r="52" spans="1:4" ht="15" customHeight="1" x14ac:dyDescent="0.25">
      <c r="B52" s="11" t="s">
        <v>75</v>
      </c>
      <c r="C52" s="98">
        <v>2.8</v>
      </c>
    </row>
    <row r="53" spans="1:4" ht="15.75" customHeight="1" x14ac:dyDescent="0.25">
      <c r="B53" s="11" t="s">
        <v>76</v>
      </c>
      <c r="C53" s="98">
        <v>2.8</v>
      </c>
    </row>
    <row r="54" spans="1:4" ht="15.75" customHeight="1" x14ac:dyDescent="0.25">
      <c r="B54" s="11" t="s">
        <v>77</v>
      </c>
      <c r="C54" s="98">
        <v>2.8</v>
      </c>
    </row>
    <row r="55" spans="1:4" ht="15.75" customHeight="1" x14ac:dyDescent="0.25">
      <c r="B55" s="11" t="s">
        <v>78</v>
      </c>
      <c r="C55" s="98">
        <v>2.8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0.61720999999999993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6.11720129999999E-2</v>
      </c>
    </row>
    <row r="63" spans="1:4" ht="15.75" customHeight="1" x14ac:dyDescent="0.3">
      <c r="A63" s="4"/>
    </row>
  </sheetData>
  <sheetProtection algorithmName="SHA-512" hashValue="1aiXYYricYY0h4r+FMURjoM48RB1eBu6/f7FxjbhLS+SxQTs/qaoiYWD4RpJ/9FIVGglkFui7mz8s4S5NKGzPA==" saltValue="CDk0ZRN1/un1tr32cHpT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42983</v>
      </c>
      <c r="C2" s="49">
        <v>113208</v>
      </c>
      <c r="D2" s="49">
        <v>212789</v>
      </c>
      <c r="E2" s="49">
        <v>282776.5</v>
      </c>
      <c r="F2" s="49">
        <v>264322.5</v>
      </c>
      <c r="G2" s="17">
        <f t="shared" ref="G2:G13" si="0">C2+D2+E2+F2</f>
        <v>873096</v>
      </c>
      <c r="H2" s="17">
        <f t="shared" ref="H2:H13" si="1">(B2 + stillbirth*B2/(1000-stillbirth))/(1-abortion)</f>
        <v>49123.027996995013</v>
      </c>
      <c r="I2" s="17">
        <f t="shared" ref="I2:I13" si="2">G2-H2</f>
        <v>823972.97200300498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42089</v>
      </c>
      <c r="C3" s="50">
        <v>119119</v>
      </c>
      <c r="D3" s="50">
        <v>210594</v>
      </c>
      <c r="E3" s="50">
        <v>276753.50000000006</v>
      </c>
      <c r="F3" s="50">
        <v>267644</v>
      </c>
      <c r="G3" s="17">
        <f t="shared" si="0"/>
        <v>874110.5</v>
      </c>
      <c r="H3" s="17">
        <f t="shared" si="1"/>
        <v>48101.322042796528</v>
      </c>
      <c r="I3" s="17">
        <f t="shared" si="2"/>
        <v>826009.17795720347</v>
      </c>
    </row>
    <row r="4" spans="1:9" ht="15.75" customHeight="1" x14ac:dyDescent="0.25">
      <c r="A4" s="5">
        <f t="shared" si="3"/>
        <v>2026</v>
      </c>
      <c r="B4" s="49">
        <v>41353</v>
      </c>
      <c r="C4" s="50">
        <v>124241</v>
      </c>
      <c r="D4" s="50">
        <v>209269</v>
      </c>
      <c r="E4" s="50">
        <v>269953.5</v>
      </c>
      <c r="F4" s="50">
        <v>271255.5</v>
      </c>
      <c r="G4" s="17">
        <f t="shared" si="0"/>
        <v>874719</v>
      </c>
      <c r="H4" s="17">
        <f t="shared" si="1"/>
        <v>47260.186044709182</v>
      </c>
      <c r="I4" s="17">
        <f t="shared" si="2"/>
        <v>827458.81395529083</v>
      </c>
    </row>
    <row r="5" spans="1:9" ht="15.75" customHeight="1" x14ac:dyDescent="0.25">
      <c r="A5" s="5">
        <f t="shared" si="3"/>
        <v>2027</v>
      </c>
      <c r="B5" s="49">
        <v>40720</v>
      </c>
      <c r="C5" s="50">
        <v>128139.5</v>
      </c>
      <c r="D5" s="50">
        <v>208880.49999999997</v>
      </c>
      <c r="E5" s="50">
        <v>263079.5</v>
      </c>
      <c r="F5" s="50">
        <v>274786.5</v>
      </c>
      <c r="G5" s="17">
        <f t="shared" si="0"/>
        <v>874886</v>
      </c>
      <c r="H5" s="17">
        <f t="shared" si="1"/>
        <v>46536.763372441128</v>
      </c>
      <c r="I5" s="17">
        <f t="shared" si="2"/>
        <v>828349.23662755883</v>
      </c>
    </row>
    <row r="6" spans="1:9" ht="15.75" customHeight="1" x14ac:dyDescent="0.25">
      <c r="A6" s="5">
        <f t="shared" si="3"/>
        <v>2028</v>
      </c>
      <c r="B6" s="49">
        <v>40247</v>
      </c>
      <c r="C6" s="50">
        <v>131056.00000000001</v>
      </c>
      <c r="D6" s="50">
        <v>210404</v>
      </c>
      <c r="E6" s="50">
        <v>256279</v>
      </c>
      <c r="F6" s="50">
        <v>277856</v>
      </c>
      <c r="G6" s="17">
        <f t="shared" si="0"/>
        <v>875595</v>
      </c>
      <c r="H6" s="17">
        <f t="shared" si="1"/>
        <v>45996.19635193119</v>
      </c>
      <c r="I6" s="17">
        <f t="shared" si="2"/>
        <v>829598.8036480688</v>
      </c>
    </row>
    <row r="7" spans="1:9" ht="15.75" customHeight="1" x14ac:dyDescent="0.25">
      <c r="A7" s="5">
        <f t="shared" si="3"/>
        <v>2029</v>
      </c>
      <c r="B7" s="49">
        <v>39936</v>
      </c>
      <c r="C7" s="50">
        <v>133397</v>
      </c>
      <c r="D7" s="50">
        <v>214596.99999999997</v>
      </c>
      <c r="E7" s="50">
        <v>248585</v>
      </c>
      <c r="F7" s="50">
        <v>280887</v>
      </c>
      <c r="G7" s="17">
        <f t="shared" si="0"/>
        <v>877466</v>
      </c>
      <c r="H7" s="17">
        <f t="shared" si="1"/>
        <v>45640.770678826346</v>
      </c>
      <c r="I7" s="17">
        <f t="shared" si="2"/>
        <v>831825.22932117363</v>
      </c>
    </row>
    <row r="8" spans="1:9" ht="15.75" customHeight="1" x14ac:dyDescent="0.25">
      <c r="A8" s="5">
        <f t="shared" si="3"/>
        <v>2030</v>
      </c>
      <c r="B8" s="49">
        <v>39699</v>
      </c>
      <c r="C8" s="50">
        <v>135500</v>
      </c>
      <c r="D8" s="50">
        <v>220284</v>
      </c>
      <c r="E8" s="50">
        <v>239788.5</v>
      </c>
      <c r="F8" s="50">
        <v>284128.50000000006</v>
      </c>
      <c r="G8" s="17">
        <f t="shared" si="0"/>
        <v>879701</v>
      </c>
      <c r="H8" s="17">
        <f t="shared" si="1"/>
        <v>45369.915744659629</v>
      </c>
      <c r="I8" s="17">
        <f t="shared" si="2"/>
        <v>834331.08425534039</v>
      </c>
    </row>
    <row r="9" spans="1:9" ht="15.75" customHeight="1" x14ac:dyDescent="0.25">
      <c r="A9" s="5">
        <f t="shared" si="3"/>
        <v>2031</v>
      </c>
      <c r="B9" s="49">
        <v>39600</v>
      </c>
      <c r="C9" s="50">
        <v>137764</v>
      </c>
      <c r="D9" s="50">
        <v>225742.5</v>
      </c>
      <c r="E9" s="50">
        <v>231132</v>
      </c>
      <c r="F9" s="50">
        <v>286688.99999999994</v>
      </c>
      <c r="G9" s="17">
        <f t="shared" si="0"/>
        <v>881327.5</v>
      </c>
      <c r="H9" s="17">
        <f t="shared" si="1"/>
        <v>45256.773810134298</v>
      </c>
      <c r="I9" s="17">
        <f t="shared" si="2"/>
        <v>836070.72618986573</v>
      </c>
    </row>
    <row r="10" spans="1:9" ht="15.75" customHeight="1" x14ac:dyDescent="0.25">
      <c r="A10" s="5">
        <f t="shared" si="3"/>
        <v>2032</v>
      </c>
      <c r="B10" s="49">
        <v>39624</v>
      </c>
      <c r="C10" s="50">
        <v>139514</v>
      </c>
      <c r="D10" s="50">
        <v>230943.5</v>
      </c>
      <c r="E10" s="50">
        <v>223725.00000000003</v>
      </c>
      <c r="F10" s="50">
        <v>287456</v>
      </c>
      <c r="G10" s="17">
        <f t="shared" si="0"/>
        <v>881638.5</v>
      </c>
      <c r="H10" s="17">
        <f t="shared" si="1"/>
        <v>45284.202157898013</v>
      </c>
      <c r="I10" s="17">
        <f t="shared" si="2"/>
        <v>836354.29784210201</v>
      </c>
    </row>
    <row r="11" spans="1:9" ht="15.75" customHeight="1" x14ac:dyDescent="0.25">
      <c r="A11" s="5">
        <f t="shared" si="3"/>
        <v>2033</v>
      </c>
      <c r="B11" s="49">
        <v>39714</v>
      </c>
      <c r="C11" s="50">
        <v>139495.5</v>
      </c>
      <c r="D11" s="50">
        <v>236887</v>
      </c>
      <c r="E11" s="50">
        <v>218152</v>
      </c>
      <c r="F11" s="50">
        <v>285721</v>
      </c>
      <c r="G11" s="17">
        <f t="shared" si="0"/>
        <v>880255.5</v>
      </c>
      <c r="H11" s="17">
        <f t="shared" si="1"/>
        <v>45387.058462011963</v>
      </c>
      <c r="I11" s="17">
        <f t="shared" si="2"/>
        <v>834868.44153798802</v>
      </c>
    </row>
    <row r="12" spans="1:9" ht="15.75" customHeight="1" x14ac:dyDescent="0.25">
      <c r="A12" s="5">
        <f t="shared" si="3"/>
        <v>2034</v>
      </c>
      <c r="B12" s="49">
        <v>39861</v>
      </c>
      <c r="C12" s="50">
        <v>136965</v>
      </c>
      <c r="D12" s="50">
        <v>244152.5</v>
      </c>
      <c r="E12" s="50">
        <v>214329.5</v>
      </c>
      <c r="F12" s="50">
        <v>281455</v>
      </c>
      <c r="G12" s="17">
        <f t="shared" si="0"/>
        <v>876902</v>
      </c>
      <c r="H12" s="17">
        <f t="shared" si="1"/>
        <v>45555.057092064722</v>
      </c>
      <c r="I12" s="17">
        <f t="shared" si="2"/>
        <v>831346.94290793524</v>
      </c>
    </row>
    <row r="13" spans="1:9" ht="15.75" customHeight="1" x14ac:dyDescent="0.25">
      <c r="A13" s="5">
        <f t="shared" si="3"/>
        <v>2035</v>
      </c>
      <c r="B13" s="49">
        <v>40131</v>
      </c>
      <c r="C13" s="50">
        <v>132498.5</v>
      </c>
      <c r="D13" s="50">
        <v>251928.99999999997</v>
      </c>
      <c r="E13" s="50">
        <v>211877</v>
      </c>
      <c r="F13" s="50">
        <v>275381.49999999994</v>
      </c>
      <c r="G13" s="17">
        <f t="shared" si="0"/>
        <v>871686</v>
      </c>
      <c r="H13" s="17">
        <f t="shared" si="1"/>
        <v>45863.626004406549</v>
      </c>
      <c r="I13" s="17">
        <f t="shared" si="2"/>
        <v>825822.3739955934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U9VgqzTStTIZPR4DDRqrSdtg5zj9NJpqiF9M64iAFCK51YnKgI47JMMVHOtQnLSgalgUSt7rLkzLoiV3nGbmGQ==" saltValue="GGzPJOV/0kWtGhP1j+MMs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6.1434500000000017E-2</v>
      </c>
    </row>
    <row r="5" spans="1:8" ht="15.75" customHeight="1" x14ac:dyDescent="0.25">
      <c r="B5" s="19" t="s">
        <v>98</v>
      </c>
      <c r="C5" s="99">
        <v>3.080959999999993E-2</v>
      </c>
    </row>
    <row r="6" spans="1:8" ht="15.75" customHeight="1" x14ac:dyDescent="0.25">
      <c r="B6" s="19" t="s">
        <v>99</v>
      </c>
      <c r="C6" s="99">
        <v>0.15788579999999999</v>
      </c>
    </row>
    <row r="7" spans="1:8" ht="15.75" customHeight="1" x14ac:dyDescent="0.25">
      <c r="B7" s="19" t="s">
        <v>100</v>
      </c>
      <c r="C7" s="99">
        <v>0.42719720000000078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0.24526179999999931</v>
      </c>
    </row>
    <row r="10" spans="1:8" ht="15.75" customHeight="1" x14ac:dyDescent="0.25">
      <c r="B10" s="19" t="s">
        <v>103</v>
      </c>
      <c r="C10" s="99">
        <v>7.7411100000000052E-2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2.7543722512431212E-2</v>
      </c>
      <c r="D14" s="55">
        <v>2.7543722512431212E-2</v>
      </c>
      <c r="E14" s="55">
        <v>2.7543722512431212E-2</v>
      </c>
      <c r="F14" s="55">
        <v>2.7543722512431212E-2</v>
      </c>
    </row>
    <row r="15" spans="1:8" ht="15.75" customHeight="1" x14ac:dyDescent="0.25">
      <c r="B15" s="19" t="s">
        <v>106</v>
      </c>
      <c r="C15" s="99">
        <v>0.19736594576080069</v>
      </c>
      <c r="D15" s="99">
        <v>0.19736594576080069</v>
      </c>
      <c r="E15" s="99">
        <v>0.19736594576080069</v>
      </c>
      <c r="F15" s="99">
        <v>0.19736594576080069</v>
      </c>
    </row>
    <row r="16" spans="1:8" ht="15.75" customHeight="1" x14ac:dyDescent="0.25">
      <c r="B16" s="19" t="s">
        <v>107</v>
      </c>
      <c r="C16" s="99">
        <v>5.4692018848222272E-2</v>
      </c>
      <c r="D16" s="99">
        <v>5.4692018848222272E-2</v>
      </c>
      <c r="E16" s="99">
        <v>5.4692018848222272E-2</v>
      </c>
      <c r="F16" s="99">
        <v>5.4692018848222272E-2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0</v>
      </c>
      <c r="D18" s="99">
        <v>0</v>
      </c>
      <c r="E18" s="99">
        <v>0</v>
      </c>
      <c r="F18" s="99">
        <v>0</v>
      </c>
    </row>
    <row r="19" spans="1:8" ht="15.75" customHeight="1" x14ac:dyDescent="0.25">
      <c r="B19" s="19" t="s">
        <v>110</v>
      </c>
      <c r="C19" s="99">
        <v>5.4498051902628193E-2</v>
      </c>
      <c r="D19" s="99">
        <v>5.4498051902628193E-2</v>
      </c>
      <c r="E19" s="99">
        <v>5.4498051902628193E-2</v>
      </c>
      <c r="F19" s="99">
        <v>5.4498051902628193E-2</v>
      </c>
    </row>
    <row r="20" spans="1:8" ht="15.75" customHeight="1" x14ac:dyDescent="0.25">
      <c r="B20" s="19" t="s">
        <v>111</v>
      </c>
      <c r="C20" s="99">
        <v>0.13982589993096289</v>
      </c>
      <c r="D20" s="99">
        <v>0.13982589993096289</v>
      </c>
      <c r="E20" s="99">
        <v>0.13982589993096289</v>
      </c>
      <c r="F20" s="99">
        <v>0.13982589993096289</v>
      </c>
    </row>
    <row r="21" spans="1:8" ht="15.75" customHeight="1" x14ac:dyDescent="0.25">
      <c r="B21" s="19" t="s">
        <v>112</v>
      </c>
      <c r="C21" s="99">
        <v>0.36947144300070628</v>
      </c>
      <c r="D21" s="99">
        <v>0.36947144300070628</v>
      </c>
      <c r="E21" s="99">
        <v>0.36947144300070628</v>
      </c>
      <c r="F21" s="99">
        <v>0.36947144300070628</v>
      </c>
    </row>
    <row r="22" spans="1:8" ht="15.75" customHeight="1" x14ac:dyDescent="0.25">
      <c r="B22" s="19" t="s">
        <v>113</v>
      </c>
      <c r="C22" s="99">
        <v>0.1566029180442485</v>
      </c>
      <c r="D22" s="99">
        <v>0.1566029180442485</v>
      </c>
      <c r="E22" s="99">
        <v>0.1566029180442485</v>
      </c>
      <c r="F22" s="99">
        <v>0.1566029180442485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3.5118521999999999E-2</v>
      </c>
    </row>
    <row r="27" spans="1:8" ht="15.75" customHeight="1" x14ac:dyDescent="0.25">
      <c r="B27" s="19" t="s">
        <v>120</v>
      </c>
      <c r="C27" s="99">
        <v>3.0268353000000001E-2</v>
      </c>
    </row>
    <row r="28" spans="1:8" ht="15.75" customHeight="1" x14ac:dyDescent="0.25">
      <c r="B28" s="19" t="s">
        <v>121</v>
      </c>
      <c r="C28" s="99">
        <v>4.2532465999999998E-2</v>
      </c>
    </row>
    <row r="29" spans="1:8" ht="15.75" customHeight="1" x14ac:dyDescent="0.25">
      <c r="B29" s="19" t="s">
        <v>122</v>
      </c>
      <c r="C29" s="99">
        <v>0.11442039499999999</v>
      </c>
    </row>
    <row r="30" spans="1:8" ht="15.75" customHeight="1" x14ac:dyDescent="0.25">
      <c r="B30" s="19" t="s">
        <v>2</v>
      </c>
      <c r="C30" s="99">
        <v>6.6051589999999993E-2</v>
      </c>
    </row>
    <row r="31" spans="1:8" ht="15.75" customHeight="1" x14ac:dyDescent="0.25">
      <c r="B31" s="19" t="s">
        <v>123</v>
      </c>
      <c r="C31" s="99">
        <v>4.992891800000001E-2</v>
      </c>
    </row>
    <row r="32" spans="1:8" ht="15.75" customHeight="1" x14ac:dyDescent="0.25">
      <c r="B32" s="19" t="s">
        <v>124</v>
      </c>
      <c r="C32" s="99">
        <v>0.10155209799999999</v>
      </c>
    </row>
    <row r="33" spans="2:3" ht="15.75" customHeight="1" x14ac:dyDescent="0.25">
      <c r="B33" s="19" t="s">
        <v>125</v>
      </c>
      <c r="C33" s="99">
        <v>0.24299047300000001</v>
      </c>
    </row>
    <row r="34" spans="2:3" ht="15.75" customHeight="1" x14ac:dyDescent="0.25">
      <c r="B34" s="19" t="s">
        <v>126</v>
      </c>
      <c r="C34" s="99">
        <v>0.31713718499999999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Gp+5ttCftx9Ess8zb+ppkxfiChpzD9XxsDhnxI5Nf4bCMNppOWPj5G814q4H74DR7OHl+jEGm5QlANxwy+eFpA==" saltValue="76/d/wcah3kCgtEen+j2/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0.83710119140353823</v>
      </c>
      <c r="D2" s="52">
        <f>IFERROR(1-_xlfn.NORM.DIST(_xlfn.NORM.INV(SUM(D4:D5), 0, 1) + 1, 0, 1, TRUE), "")</f>
        <v>0.83710119140353823</v>
      </c>
      <c r="E2" s="52">
        <f>IFERROR(1-_xlfn.NORM.DIST(_xlfn.NORM.INV(SUM(E4:E5), 0, 1) + 1, 0, 1, TRUE), "")</f>
        <v>0.86637734241792741</v>
      </c>
      <c r="F2" s="52">
        <f>IFERROR(1-_xlfn.NORM.DIST(_xlfn.NORM.INV(SUM(F4:F5), 0, 1) + 1, 0, 1, TRUE), "")</f>
        <v>0.73699789900702506</v>
      </c>
      <c r="G2" s="52">
        <f>IFERROR(1-_xlfn.NORM.DIST(_xlfn.NORM.INV(SUM(G4:G5), 0, 1) + 1, 0, 1, TRUE), "")</f>
        <v>0.68230989620481175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0.13919350859646185</v>
      </c>
      <c r="D3" s="52">
        <f>IFERROR(_xlfn.NORM.DIST(_xlfn.NORM.INV(SUM(D4:D5), 0, 1) + 1, 0, 1, TRUE) - SUM(D4:D5), "")</f>
        <v>0.13919350859646185</v>
      </c>
      <c r="E3" s="52">
        <f>IFERROR(_xlfn.NORM.DIST(_xlfn.NORM.INV(SUM(E4:E5), 0, 1) + 1, 0, 1, TRUE) - SUM(E4:E5), "")</f>
        <v>0.11616885758207256</v>
      </c>
      <c r="F3" s="52">
        <f>IFERROR(_xlfn.NORM.DIST(_xlfn.NORM.INV(SUM(F4:F5), 0, 1) + 1, 0, 1, TRUE) - SUM(F4:F5), "")</f>
        <v>0.21188500099297494</v>
      </c>
      <c r="G3" s="52">
        <f>IFERROR(_xlfn.NORM.DIST(_xlfn.NORM.INV(SUM(G4:G5), 0, 1) + 1, 0, 1, TRUE) - SUM(G4:G5), "")</f>
        <v>0.2474719037951883</v>
      </c>
    </row>
    <row r="4" spans="1:15" ht="15.75" customHeight="1" x14ac:dyDescent="0.25">
      <c r="B4" s="5" t="s">
        <v>132</v>
      </c>
      <c r="C4" s="45">
        <v>1.5584300000000001E-2</v>
      </c>
      <c r="D4" s="53">
        <v>1.5584300000000001E-2</v>
      </c>
      <c r="E4" s="53">
        <v>9.9590000000000008E-3</v>
      </c>
      <c r="F4" s="53">
        <v>3.1561400000000003E-2</v>
      </c>
      <c r="G4" s="53">
        <v>5.6891999999999998E-2</v>
      </c>
    </row>
    <row r="5" spans="1:15" ht="15.75" customHeight="1" x14ac:dyDescent="0.25">
      <c r="B5" s="5" t="s">
        <v>133</v>
      </c>
      <c r="C5" s="45">
        <v>8.1209999999999997E-3</v>
      </c>
      <c r="D5" s="53">
        <v>8.1209999999999997E-3</v>
      </c>
      <c r="E5" s="53">
        <v>7.4948000000000002E-3</v>
      </c>
      <c r="F5" s="53">
        <v>1.9555699999999999E-2</v>
      </c>
      <c r="G5" s="53">
        <v>1.33262E-2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0.74858039018781819</v>
      </c>
      <c r="D8" s="52">
        <f>IFERROR(1-_xlfn.NORM.DIST(_xlfn.NORM.INV(SUM(D10:D11), 0, 1) + 1, 0, 1, TRUE), "")</f>
        <v>0.74858039018781819</v>
      </c>
      <c r="E8" s="52">
        <f>IFERROR(1-_xlfn.NORM.DIST(_xlfn.NORM.INV(SUM(E10:E11), 0, 1) + 1, 0, 1, TRUE), "")</f>
        <v>0.9424674264231786</v>
      </c>
      <c r="F8" s="52">
        <f>IFERROR(1-_xlfn.NORM.DIST(_xlfn.NORM.INV(SUM(F10:F11), 0, 1) + 1, 0, 1, TRUE), "")</f>
        <v>0.96355895950318393</v>
      </c>
      <c r="G8" s="52">
        <f>IFERROR(1-_xlfn.NORM.DIST(_xlfn.NORM.INV(SUM(G10:G11), 0, 1) + 1, 0, 1, TRUE), "")</f>
        <v>0.9763940707354769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0.20396280981218182</v>
      </c>
      <c r="D9" s="52">
        <f>IFERROR(_xlfn.NORM.DIST(_xlfn.NORM.INV(SUM(D10:D11), 0, 1) + 1, 0, 1, TRUE) - SUM(D10:D11), "")</f>
        <v>0.20396280981218182</v>
      </c>
      <c r="E9" s="52">
        <f>IFERROR(_xlfn.NORM.DIST(_xlfn.NORM.INV(SUM(E10:E11), 0, 1) + 1, 0, 1, TRUE) - SUM(E10:E11), "")</f>
        <v>5.253257357682143E-2</v>
      </c>
      <c r="F9" s="52">
        <f>IFERROR(_xlfn.NORM.DIST(_xlfn.NORM.INV(SUM(F10:F11), 0, 1) + 1, 0, 1, TRUE) - SUM(F10:F11), "")</f>
        <v>3.3834540496816098E-2</v>
      </c>
      <c r="G9" s="52">
        <f>IFERROR(_xlfn.NORM.DIST(_xlfn.NORM.INV(SUM(G10:G11), 0, 1) + 1, 0, 1, TRUE) - SUM(G10:G11), "")</f>
        <v>2.2185229264523147E-2</v>
      </c>
    </row>
    <row r="10" spans="1:15" ht="15.75" customHeight="1" x14ac:dyDescent="0.25">
      <c r="B10" s="5" t="s">
        <v>137</v>
      </c>
      <c r="C10" s="45">
        <v>4.74568E-2</v>
      </c>
      <c r="D10" s="53">
        <v>4.74568E-2</v>
      </c>
      <c r="E10" s="53">
        <v>5.0000000000000001E-3</v>
      </c>
      <c r="F10" s="53">
        <v>2.6064999999999999E-3</v>
      </c>
      <c r="G10" s="53">
        <v>5.3490000000000005E-4</v>
      </c>
    </row>
    <row r="11" spans="1:15" ht="15.75" customHeight="1" x14ac:dyDescent="0.25">
      <c r="B11" s="5" t="s">
        <v>138</v>
      </c>
      <c r="C11" s="45">
        <v>0</v>
      </c>
      <c r="D11" s="53">
        <v>0</v>
      </c>
      <c r="E11" s="53">
        <v>0</v>
      </c>
      <c r="F11" s="53">
        <v>0</v>
      </c>
      <c r="G11" s="53">
        <v>8.8580000000000006E-4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0.11741428550000001</v>
      </c>
      <c r="D14" s="54">
        <v>0.104521495984</v>
      </c>
      <c r="E14" s="54">
        <v>0.104521495984</v>
      </c>
      <c r="F14" s="54">
        <v>7.1872665149799994E-2</v>
      </c>
      <c r="G14" s="54">
        <v>7.1872665149799994E-2</v>
      </c>
      <c r="H14" s="45">
        <v>0.30099999999999999</v>
      </c>
      <c r="I14" s="55">
        <v>0.30099999999999999</v>
      </c>
      <c r="J14" s="55">
        <v>0.30099999999999999</v>
      </c>
      <c r="K14" s="55">
        <v>0.30099999999999999</v>
      </c>
      <c r="L14" s="45">
        <v>0.27400000000000002</v>
      </c>
      <c r="M14" s="55">
        <v>0.27400000000000002</v>
      </c>
      <c r="N14" s="55">
        <v>0.27400000000000002</v>
      </c>
      <c r="O14" s="55">
        <v>0.27400000000000002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7.2469271153455E-2</v>
      </c>
      <c r="D15" s="52">
        <f t="shared" si="0"/>
        <v>6.4511712536284627E-2</v>
      </c>
      <c r="E15" s="52">
        <f t="shared" si="0"/>
        <v>6.4511712536284627E-2</v>
      </c>
      <c r="F15" s="52">
        <f t="shared" si="0"/>
        <v>4.4360527657108052E-2</v>
      </c>
      <c r="G15" s="52">
        <f t="shared" si="0"/>
        <v>4.4360527657108052E-2</v>
      </c>
      <c r="H15" s="52">
        <f t="shared" si="0"/>
        <v>0.18578020999999997</v>
      </c>
      <c r="I15" s="52">
        <f t="shared" si="0"/>
        <v>0.18578020999999997</v>
      </c>
      <c r="J15" s="52">
        <f t="shared" si="0"/>
        <v>0.18578020999999997</v>
      </c>
      <c r="K15" s="52">
        <f t="shared" si="0"/>
        <v>0.18578020999999997</v>
      </c>
      <c r="L15" s="52">
        <f t="shared" si="0"/>
        <v>0.16911553999999998</v>
      </c>
      <c r="M15" s="52">
        <f t="shared" si="0"/>
        <v>0.16911553999999998</v>
      </c>
      <c r="N15" s="52">
        <f t="shared" si="0"/>
        <v>0.16911553999999998</v>
      </c>
      <c r="O15" s="52">
        <f t="shared" si="0"/>
        <v>0.16911553999999998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npTV/KhVxxo4y+g29+7I8ooIBgvNeceK2RGPzN9G3dbP8WlKpwgLJ4/OVlPq2xYy5F4w33ovNWv7vvHtR9YP7Q==" saltValue="M1xuZbnpAhUTNO3Ipa4D9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0.26981300000000003</v>
      </c>
      <c r="D2" s="53">
        <v>0.182699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0.23890230000000001</v>
      </c>
      <c r="D3" s="53">
        <v>0.15771360000000001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0.36290050000000001</v>
      </c>
      <c r="D4" s="53">
        <v>0.36913839999999998</v>
      </c>
      <c r="E4" s="53">
        <v>0.57016309999999992</v>
      </c>
      <c r="F4" s="53">
        <v>0.2526948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0.12838419999999995</v>
      </c>
      <c r="D5" s="52">
        <f t="shared" si="0"/>
        <v>0.29044899999999996</v>
      </c>
      <c r="E5" s="52">
        <f>1-SUM(E2:E4)</f>
        <v>0.42983690000000008</v>
      </c>
      <c r="F5" s="52">
        <f>1-SUM(F2:F4)</f>
        <v>0.7473052</v>
      </c>
      <c r="G5" s="52">
        <f>1-SUM(G2:G4)</f>
        <v>1</v>
      </c>
    </row>
  </sheetData>
  <sheetProtection algorithmName="SHA-512" hashValue="m+1KzTAgZnrCq6xRvah8PA2rrX7lo1TspguE5V/1CsgT776ixR+A64NzXs2J0OhxMt67hWVGMwWc8zJsFzRdaA==" saltValue="DCTZVoINTP3+jDEgM7DJy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GXR3sQwY6ylGBMya8VAlm2UKqsYGy0WLmtJL2teSb2NMF3jt9/3uEvhZhlb2tfvdyChjwGnFWP1i79dHSpbO9w==" saltValue="4s8X3zaKUlfdf7i/Dy3Aq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6674.95695994589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0.50976999999999995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0.60799999999999998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1.484360453225831E-2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99002.072239999994</v>
      </c>
      <c r="C22" s="107">
        <v>98889.24424</v>
      </c>
      <c r="D22" s="107">
        <v>98763.162160000007</v>
      </c>
      <c r="E22" s="107">
        <v>98472.669899999994</v>
      </c>
      <c r="F22" s="107">
        <v>98088.782749999998</v>
      </c>
      <c r="G22" s="107">
        <v>97640.277740000005</v>
      </c>
      <c r="H22" s="107">
        <v>97053.135550000006</v>
      </c>
      <c r="I22" s="107">
        <v>96092.015090000001</v>
      </c>
      <c r="J22" s="107">
        <v>94650.674230000004</v>
      </c>
      <c r="K22" s="107">
        <v>92308.330870000005</v>
      </c>
      <c r="L22" s="107">
        <v>88873.305170000007</v>
      </c>
      <c r="M22" s="107">
        <v>83765.926439999996</v>
      </c>
      <c r="N22" s="107">
        <v>76750.407260000007</v>
      </c>
      <c r="O22" s="107">
        <v>67770.985329999996</v>
      </c>
    </row>
  </sheetData>
  <sheetProtection algorithmName="SHA-512" hashValue="odJc93JToNHHS4Dri5mn8zmPxRNCbrHjga56l7dT1GZ9t2OEur7LY7LRlEsF84RiOTbz7lN6VJDCXoKHKMQnNA==" saltValue="8FFf5qoINGECyeKX/MZyS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CT6RaUaUZzMJZwkcg1aI8GX2qAGZ10gwfDvuIdntTr/roJ4oVMuqQDVislWaTOMW/Eu2SeU0ocQPjoKMfIByFg==" saltValue="arw3FRtFiPCizZQSW+Ehg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pXbeXsm3ENuoqjVQXhDddE4DaP32mli9OklzdzNosKcWFX1Pn6ugfpl4TX1qGk8rgBT+PAhOI6RFkJRTvoLcOg==" saltValue="zJWD8iiV39bJAtwGMdYbt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12.008526100307062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12.008526100307062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8.8894216990788131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</v>
      </c>
      <c r="C9" s="96">
        <v>0.95</v>
      </c>
      <c r="D9" s="56">
        <v>0.40262538382804508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</v>
      </c>
      <c r="C10" s="96">
        <v>0.95</v>
      </c>
      <c r="D10" s="56">
        <v>12.97265168126693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12.97265168126693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12.97265168126693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12.97265168126693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</v>
      </c>
      <c r="C14" s="96">
        <v>0.95</v>
      </c>
      <c r="D14" s="56">
        <v>12.97265168126693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12.97265168126693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0.182699</v>
      </c>
      <c r="C18" s="96">
        <v>0.95</v>
      </c>
      <c r="D18" s="56">
        <v>8.8894216990788131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0.182699</v>
      </c>
      <c r="C19" s="96">
        <v>0.95</v>
      </c>
      <c r="D19" s="56">
        <v>8.9203956176994357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8.8894216990788131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4.2546328106455702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0.71086051360217994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</v>
      </c>
      <c r="C26" s="96">
        <v>0.95</v>
      </c>
      <c r="D26" s="56">
        <v>5.1498336745138182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11.470990276356194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0.42392999999999997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0.49874190000000002</v>
      </c>
      <c r="C29" s="96">
        <v>0.95</v>
      </c>
      <c r="D29" s="56">
        <v>109.5975303040908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</v>
      </c>
      <c r="C31" s="96">
        <v>0.95</v>
      </c>
      <c r="D31" s="56">
        <v>170.92419651995908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1.1057036847492325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0.91757350000000004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0.28326289999999998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3.0968200000000001E-2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0.84712010000000004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0.10861270000000001</v>
      </c>
      <c r="C38" s="96">
        <v>0.95</v>
      </c>
      <c r="D38" s="56">
        <v>2.6374181166837261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nl8+lNFqylSX8PGVyxhNyHnc8D/2qWmpldE+JONq3+A6XLJOmQCKqGdd7p1ppwps6JtCohHwedwi0tOE29/j5w==" saltValue="M1MfCuc+e2pImWYFjNaFc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DQy+PbcrAztZHTrycLLuphcA/bcOjrF9Ee2jqt1ljAGz+KmU2EOc4tBJtt9COXo864E/TgE9PzbIj9BFpUQilQ==" saltValue="8aSgxRmNn4fV85KYAxnEw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npWXipfno0EoJ1HB2E/j7AQUg7n7g9huUjNguqoV5RlkXjO6pj66yxorhPTMZlWrCcqbODcLww9IS9sJweNBQ==" saltValue="uyHDAiUfPgzAKzGaC1vc7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238</v>
      </c>
      <c r="B3" s="21">
        <f>frac_mam_1month * 2.6</f>
        <v>0.12338768</v>
      </c>
      <c r="C3" s="21">
        <f>frac_mam_1_5months * 2.6</f>
        <v>0.12338768</v>
      </c>
      <c r="D3" s="21">
        <f>frac_mam_6_11months * 2.6</f>
        <v>1.3000000000000001E-2</v>
      </c>
      <c r="E3" s="21">
        <f>frac_mam_12_23months * 2.6</f>
        <v>6.7768999999999998E-3</v>
      </c>
      <c r="F3" s="21">
        <f>frac_mam_24_59months * 2.6</f>
        <v>1.3907400000000001E-3</v>
      </c>
    </row>
    <row r="4" spans="1:6" ht="15.75" customHeight="1" x14ac:dyDescent="0.25">
      <c r="A4" s="3" t="s">
        <v>237</v>
      </c>
      <c r="B4" s="21">
        <f>frac_sam_1month * 2.6</f>
        <v>0</v>
      </c>
      <c r="C4" s="21">
        <f>frac_sam_1_5months * 2.6</f>
        <v>0</v>
      </c>
      <c r="D4" s="21">
        <f>frac_sam_6_11months * 2.6</f>
        <v>0</v>
      </c>
      <c r="E4" s="21">
        <f>frac_sam_12_23months * 2.6</f>
        <v>0</v>
      </c>
      <c r="F4" s="21">
        <f>frac_sam_24_59months * 2.6</f>
        <v>2.3030800000000003E-3</v>
      </c>
    </row>
  </sheetData>
  <sheetProtection algorithmName="SHA-512" hashValue="X0xTF4JnZMaOMyzJAwtZB36gEMg/OP0PJgA23z0QqC6EACGc0L1wisbpISixGl74ibE8DjwBwxubQ54SKhO8SA==" saltValue="ol7sXYDgYj3GATqh6yTeA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4.4999999999999998E-2</v>
      </c>
      <c r="F2" s="60">
        <f>food_insecure</f>
        <v>4.4999999999999998E-2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4.4999999999999998E-2</v>
      </c>
      <c r="F5" s="60">
        <f>food_insecure</f>
        <v>4.4999999999999998E-2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4.4999999999999998E-2</v>
      </c>
      <c r="F8" s="60">
        <f>food_insecure</f>
        <v>4.4999999999999998E-2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4.4999999999999998E-2</v>
      </c>
      <c r="F9" s="60">
        <f>food_insecure</f>
        <v>4.4999999999999998E-2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4.4999999999999998E-2</v>
      </c>
      <c r="I15" s="60">
        <f t="shared" si="0"/>
        <v>4.4999999999999998E-2</v>
      </c>
      <c r="J15" s="60">
        <f t="shared" si="0"/>
        <v>4.4999999999999998E-2</v>
      </c>
      <c r="K15" s="60">
        <f t="shared" si="0"/>
        <v>4.4999999999999998E-2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4.4999999999999998E-2</v>
      </c>
      <c r="I16" s="60">
        <f t="shared" si="0"/>
        <v>4.4999999999999998E-2</v>
      </c>
      <c r="J16" s="60">
        <f t="shared" si="0"/>
        <v>4.4999999999999998E-2</v>
      </c>
      <c r="K16" s="60">
        <f t="shared" si="0"/>
        <v>4.4999999999999998E-2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5.6725024604796026E-3</v>
      </c>
      <c r="M25" s="60">
        <f>(1-food_insecure)*(0.49)+food_insecure*(0.7)</f>
        <v>0.49944999999999995</v>
      </c>
      <c r="N25" s="60">
        <f>(1-food_insecure)*(0.49)+food_insecure*(0.7)</f>
        <v>0.49944999999999995</v>
      </c>
      <c r="O25" s="60">
        <f>(1-food_insecure)*(0.49)+food_insecure*(0.7)</f>
        <v>0.49944999999999995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2.4310724830626869E-3</v>
      </c>
      <c r="M26" s="60">
        <f>(1-food_insecure)*(0.21)+food_insecure*(0.3)</f>
        <v>0.21404999999999999</v>
      </c>
      <c r="N26" s="60">
        <f>(1-food_insecure)*(0.21)+food_insecure*(0.3)</f>
        <v>0.21404999999999999</v>
      </c>
      <c r="O26" s="60">
        <f>(1-food_insecure)*(0.21)+food_insecure*(0.3)</f>
        <v>0.21404999999999999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3.2539232254027556E-3</v>
      </c>
      <c r="M27" s="60">
        <f>(1-food_insecure)*(0.3)</f>
        <v>0.28649999999999998</v>
      </c>
      <c r="N27" s="60">
        <f>(1-food_insecure)*(0.3)</f>
        <v>0.28649999999999998</v>
      </c>
      <c r="O27" s="60">
        <f>(1-food_insecure)*(0.3)</f>
        <v>0.28649999999999998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0.98864250183105495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Lzf7CkUAaPnXy6G+mtBoJ0HivzcEOIwpTym6nVvoDL/TeQEm/kD4Vyi/YEGoX94YpWutVwhmC6eT6M8t/oeTCA==" saltValue="cUNtmu2rKx7dMdvEJSBtr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ldiJWJE+7AbEEbh4uBi62caaTsBusUDnwvVAgEuPGebGxCWT9zsOEImDJCZQhsxFze02H7GqyeC9rEC4acycjw==" saltValue="E2R2QfXvoWEnW9jeO0mJx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bVrjaOoVwdFD102pZngH6huz7t4lSiHGhSnOSiUGE3CfZ/8wLNiJp5QugL+Sp/nOeFMZL9PYiZVBXxsQgBL/eQ==" saltValue="wPoNvqBzme0vx0h1zKURn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8pPl/7q7N6v9Y5Cpbs7CpEJiQAtlM3qXgH+UvjnTVpBL2lM7VZM6nTLrxF/2+6T81EDLmONG3EG1hU+BX80uZA==" saltValue="cdigs1edTNfwrfvbuAbEd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DDN6kNpM6pu8nFqYDo0oJj6KaXwSSGh65hWlk08GFn+nJ8nglixtCyiZLOCAzvvkuYvMzkwvNnZHksZwXi9vmg==" saltValue="NowNLu5mEauUaCFylfv7T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AsW2z1unIBa7LCUF5xI3Y43eAgsk76XwEwWpk8G0XPahR80zh5oBw5GmWoU+/wf42S0CZVZfVS5D4w5oTCHjBA==" saltValue="lI1rAdcFpmdyY7dGGmj8G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aGfQYBlDO6o/h2pn03GAYkABhZfkRAUyXpUJPQqgiK1KvYQQYkxgQr7rl1ENAEpEP7br3bLc5XLD12uj/o5uMw==" saltValue="9e1BcRpCUFKbD0K7H0P66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fV4h/aSs5YgMdcpu8orDuSZHMq2Oyl2MH5srVS2qusYyPyEeqIFlMusJKpPhB/3yMA422zp8CTSPz3f5AyMYOg==" saltValue="Pl5V6Fw8ad9r8fMQiuubF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dEGo5I9zo2nkCveJVys/gTe2UBLlOpcz6HhKGuExCdxke7nT117DZ7DWCdLMPoEIUiJORjX0bhwpMsn5TLJdxA==" saltValue="OWpUh/BeVvcr1z+tBLrS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p9fXhPEvJLxUmTmGjSkv4W2QltqMFeE7NDSgF401sMSB/a8bKUNd+gwUhwHPlZBt/wFnlCxZigwlvu51FYt8A==" saltValue="L3ohLduN4XRa4ISphONL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M9lMiIGm9bbaGrj0tc2lU5Gxyu1Reibxxu3TCoSttSO/ZC+BmUpMpACdh54TjkWE1oEKrAGvZEBZYiokdnV2Cg==" saltValue="0R+S29u/gUUcH51uWi4KU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JnhlDpj10n0uzVrad/mvpfOVMbqvkH/RY5i/gWxb90O8wvyYAWe6+60gpTLikigIA1sz7u9Iz0ondL6v0TvgA==" saltValue="fOV63+G3Bg9tJTSyK4Vw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h6hsowt6NGDMrpYPI/VAUq7iv56YjVAF4Vl9JcHKEhK2Cayk1+HIy9U2PKYt0uNi3Vs2nBZ5Xvzd1N3Y4AYCBg==" saltValue="h5AujmFzTON3H487a5B/g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ezOavvuuXlRdwTtFXo5Boz0gPgWA6xM6a24JT8xirWe+NLlSGKr3pnMV9v5rcW78bAcBBN3te3r+OdCcw0xIRw==" saltValue="ftSn0acwyY9N0MUF7TWK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9VSSewyGj1FOEyWN0ywaGKyG8LGgPV3QnjYGitoW/fGqHD7KViG2LBthJqp92tjRcnAtrdm+peEh1BC0rM7/hw==" saltValue="TKO7nRM7qPbsXZrDSDlLd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2025-07-30T02:17:14Z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