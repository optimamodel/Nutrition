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E278578-E4C4-45EA-B77C-56BFDA3DB0E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A27" i="2"/>
  <c r="A24" i="2"/>
  <c r="H13" i="2"/>
  <c r="G13" i="2"/>
  <c r="I13" i="2" s="1"/>
  <c r="H12" i="2"/>
  <c r="G12" i="2"/>
  <c r="H11" i="2"/>
  <c r="G11" i="2"/>
  <c r="I11" i="2" s="1"/>
  <c r="H10" i="2"/>
  <c r="G10" i="2"/>
  <c r="I10" i="2" s="1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29" i="2" l="1"/>
  <c r="A15" i="2"/>
  <c r="A31" i="2"/>
  <c r="A16" i="2"/>
  <c r="A32" i="2"/>
  <c r="A19" i="2"/>
  <c r="A35" i="2"/>
  <c r="A21" i="2"/>
  <c r="A37" i="2"/>
  <c r="I4" i="2"/>
  <c r="I8" i="2"/>
  <c r="I12" i="2"/>
  <c r="A23" i="2"/>
  <c r="I38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<sst xmlns="http://schemas.openxmlformats.org/spreadsheetml/2006/main" count="2101" uniqueCount="337">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</sst>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16735.925537109379</v>
      </c>
    </row>
    <row r="8" spans="1:3" ht="15" customHeight="1" x14ac:dyDescent="0.25">
      <c r="B8" s="5" t="s">
        <v>19</v>
      </c>
      <c r="C8" s="44">
        <v>0.129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2.3699999999999999E-2</v>
      </c>
    </row>
    <row r="24" spans="1:3" ht="15" customHeight="1" x14ac:dyDescent="0.25">
      <c r="B24" s="15" t="s">
        <v>33</v>
      </c>
      <c r="C24" s="45">
        <v>0.4365</v>
      </c>
    </row>
    <row r="25" spans="1:3" ht="15" customHeight="1" x14ac:dyDescent="0.25">
      <c r="B25" s="15" t="s">
        <v>34</v>
      </c>
      <c r="C25" s="45">
        <v>0.4929</v>
      </c>
    </row>
    <row r="26" spans="1:3" ht="15" customHeight="1" x14ac:dyDescent="0.25">
      <c r="B26" s="15" t="s">
        <v>35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20.781860000000002</v>
      </c>
    </row>
    <row r="38" spans="1:5" ht="15" customHeight="1" x14ac:dyDescent="0.25">
      <c r="B38" s="11" t="s">
        <v>45</v>
      </c>
      <c r="C38" s="43">
        <v>38.256639999999997</v>
      </c>
      <c r="D38" s="12"/>
      <c r="E38" s="13"/>
    </row>
    <row r="39" spans="1:5" ht="15" customHeight="1" x14ac:dyDescent="0.25">
      <c r="B39" s="11" t="s">
        <v>46</v>
      </c>
      <c r="C39" s="43">
        <v>48.229109999999999</v>
      </c>
      <c r="D39" s="12"/>
      <c r="E39" s="12"/>
    </row>
    <row r="40" spans="1:5" ht="15" customHeight="1" x14ac:dyDescent="0.25">
      <c r="B40" s="11" t="s">
        <v>47</v>
      </c>
      <c r="C40" s="100">
        <v>0.76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6.1607999999999993E-3</v>
      </c>
      <c r="D45" s="12"/>
    </row>
    <row r="46" spans="1:5" ht="15.75" customHeight="1" x14ac:dyDescent="0.25">
      <c r="B46" s="11" t="s">
        <v>52</v>
      </c>
      <c r="C46" s="45">
        <v>6.6196500000000005E-2</v>
      </c>
      <c r="D46" s="12"/>
    </row>
    <row r="47" spans="1:5" ht="15.75" customHeight="1" x14ac:dyDescent="0.25">
      <c r="B47" s="11" t="s">
        <v>53</v>
      </c>
      <c r="C47" s="45">
        <v>7.5142600000000004E-2</v>
      </c>
      <c r="D47" s="12"/>
      <c r="E47" s="13"/>
    </row>
    <row r="48" spans="1:5" ht="15" customHeight="1" x14ac:dyDescent="0.25">
      <c r="B48" s="11" t="s">
        <v>54</v>
      </c>
      <c r="C48" s="46">
        <v>0.85250009999999998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0.56834600000000002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Mqi01ZxexrQbCL5W2nHeAKImX8+7vdSHHv6smiu+FcsKSkiNPP3ITAfESW7N03ZcwzpbLb0LbsBW25TJyduysw==" saltValue="vaFkweyqjoQKHNf7GJIi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3480</v>
      </c>
      <c r="C2" s="49">
        <v>7778.0000000000009</v>
      </c>
      <c r="D2" s="49">
        <v>11279.5</v>
      </c>
      <c r="E2" s="49">
        <v>10297</v>
      </c>
      <c r="F2" s="49">
        <v>6283.5</v>
      </c>
      <c r="G2" s="17">
        <f t="shared" ref="G2:G13" si="0">C2+D2+E2+F2</f>
        <v>35638</v>
      </c>
      <c r="H2" s="17">
        <f t="shared" ref="H2:H13" si="1">(B2 + stillbirth*B2/(1000-stillbirth))/(1-abortion)</f>
        <v>4011.17119846591</v>
      </c>
      <c r="I2" s="17">
        <f t="shared" ref="I2:I13" si="2">G2-H2</f>
        <v>31626.828801534091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3466</v>
      </c>
      <c r="C3" s="50">
        <v>8105.4999999999991</v>
      </c>
      <c r="D3" s="50">
        <v>11191.5</v>
      </c>
      <c r="E3" s="50">
        <v>10430</v>
      </c>
      <c r="F3" s="50">
        <v>6564.5</v>
      </c>
      <c r="G3" s="17">
        <f t="shared" si="0"/>
        <v>36291.5</v>
      </c>
      <c r="H3" s="17">
        <f t="shared" si="1"/>
        <v>3995.0343028398975</v>
      </c>
      <c r="I3" s="17">
        <f t="shared" si="2"/>
        <v>32296.465697160103</v>
      </c>
    </row>
    <row r="4" spans="1:9" ht="15.75" customHeight="1" x14ac:dyDescent="0.25">
      <c r="A4" s="5">
        <f t="shared" si="3"/>
        <v>2026</v>
      </c>
      <c r="B4" s="49">
        <v>3462</v>
      </c>
      <c r="C4" s="50">
        <v>8410.0000000000018</v>
      </c>
      <c r="D4" s="50">
        <v>11135.5</v>
      </c>
      <c r="E4" s="50">
        <v>10554.5</v>
      </c>
      <c r="F4" s="50">
        <v>6855</v>
      </c>
      <c r="G4" s="17">
        <f t="shared" si="0"/>
        <v>36955</v>
      </c>
      <c r="H4" s="17">
        <f t="shared" si="1"/>
        <v>3990.4237612324655</v>
      </c>
      <c r="I4" s="17">
        <f t="shared" si="2"/>
        <v>32964.576238767535</v>
      </c>
    </row>
    <row r="5" spans="1:9" ht="15.75" customHeight="1" x14ac:dyDescent="0.25">
      <c r="A5" s="5">
        <f t="shared" si="3"/>
        <v>2027</v>
      </c>
      <c r="B5" s="49">
        <v>3458</v>
      </c>
      <c r="C5" s="50">
        <v>8659.9999999999982</v>
      </c>
      <c r="D5" s="50">
        <v>11134</v>
      </c>
      <c r="E5" s="50">
        <v>10671</v>
      </c>
      <c r="F5" s="50">
        <v>7150.5000000000009</v>
      </c>
      <c r="G5" s="17">
        <f t="shared" si="0"/>
        <v>37615.5</v>
      </c>
      <c r="H5" s="17">
        <f t="shared" si="1"/>
        <v>3985.8132196250335</v>
      </c>
      <c r="I5" s="17">
        <f t="shared" si="2"/>
        <v>33629.686780374963</v>
      </c>
    </row>
    <row r="6" spans="1:9" ht="15.75" customHeight="1" x14ac:dyDescent="0.25">
      <c r="A6" s="5">
        <f t="shared" si="3"/>
        <v>2028</v>
      </c>
      <c r="B6" s="49">
        <v>3444</v>
      </c>
      <c r="C6" s="50">
        <v>8850.5</v>
      </c>
      <c r="D6" s="50">
        <v>11205.5</v>
      </c>
      <c r="E6" s="50">
        <v>10767</v>
      </c>
      <c r="F6" s="50">
        <v>7443.5</v>
      </c>
      <c r="G6" s="17">
        <f t="shared" si="0"/>
        <v>38266.5</v>
      </c>
      <c r="H6" s="17">
        <f t="shared" si="1"/>
        <v>3969.676323999021</v>
      </c>
      <c r="I6" s="17">
        <f t="shared" si="2"/>
        <v>34296.823676000982</v>
      </c>
    </row>
    <row r="7" spans="1:9" ht="15.75" customHeight="1" x14ac:dyDescent="0.25">
      <c r="A7" s="5">
        <f t="shared" si="3"/>
        <v>2029</v>
      </c>
      <c r="B7" s="49">
        <v>3444</v>
      </c>
      <c r="C7" s="50">
        <v>8994</v>
      </c>
      <c r="D7" s="50">
        <v>11356</v>
      </c>
      <c r="E7" s="50">
        <v>10827.5</v>
      </c>
      <c r="F7" s="50">
        <v>7707</v>
      </c>
      <c r="G7" s="17">
        <f t="shared" si="0"/>
        <v>38884.5</v>
      </c>
      <c r="H7" s="17">
        <f t="shared" si="1"/>
        <v>3969.676323999021</v>
      </c>
      <c r="I7" s="17">
        <f t="shared" si="2"/>
        <v>34914.823676000982</v>
      </c>
    </row>
    <row r="8" spans="1:9" ht="15.75" customHeight="1" x14ac:dyDescent="0.25">
      <c r="A8" s="5">
        <f t="shared" si="3"/>
        <v>2030</v>
      </c>
      <c r="B8" s="49">
        <v>3429</v>
      </c>
      <c r="C8" s="50">
        <v>9103.5</v>
      </c>
      <c r="D8" s="50">
        <v>11588.5</v>
      </c>
      <c r="E8" s="50">
        <v>10841</v>
      </c>
      <c r="F8" s="50">
        <v>7946.5</v>
      </c>
      <c r="G8" s="17">
        <f t="shared" si="0"/>
        <v>39479.5</v>
      </c>
      <c r="H8" s="17">
        <f t="shared" si="1"/>
        <v>3952.386792971151</v>
      </c>
      <c r="I8" s="17">
        <f t="shared" si="2"/>
        <v>35527.113207028851</v>
      </c>
    </row>
    <row r="9" spans="1:9" ht="15.75" customHeight="1" x14ac:dyDescent="0.25">
      <c r="A9" s="5">
        <f t="shared" si="3"/>
        <v>2031</v>
      </c>
      <c r="B9" s="49">
        <v>3420</v>
      </c>
      <c r="C9" s="50">
        <v>9179.5</v>
      </c>
      <c r="D9" s="50">
        <v>11907</v>
      </c>
      <c r="E9" s="50">
        <v>10801.5</v>
      </c>
      <c r="F9" s="50">
        <v>8173</v>
      </c>
      <c r="G9" s="17">
        <f t="shared" si="0"/>
        <v>40061</v>
      </c>
      <c r="H9" s="17">
        <f t="shared" si="1"/>
        <v>3942.0130743544287</v>
      </c>
      <c r="I9" s="17">
        <f t="shared" si="2"/>
        <v>36118.986925645571</v>
      </c>
    </row>
    <row r="10" spans="1:9" ht="15.75" customHeight="1" x14ac:dyDescent="0.25">
      <c r="A10" s="5">
        <f t="shared" si="3"/>
        <v>2032</v>
      </c>
      <c r="B10" s="49">
        <v>3405</v>
      </c>
      <c r="C10" s="50">
        <v>9240</v>
      </c>
      <c r="D10" s="50">
        <v>12294</v>
      </c>
      <c r="E10" s="50">
        <v>10713.5</v>
      </c>
      <c r="F10" s="50">
        <v>8372.5</v>
      </c>
      <c r="G10" s="17">
        <f t="shared" si="0"/>
        <v>40620</v>
      </c>
      <c r="H10" s="17">
        <f t="shared" si="1"/>
        <v>3924.7235433265582</v>
      </c>
      <c r="I10" s="17">
        <f t="shared" si="2"/>
        <v>36695.27645667344</v>
      </c>
    </row>
    <row r="11" spans="1:9" ht="15.75" customHeight="1" x14ac:dyDescent="0.25">
      <c r="A11" s="5">
        <f t="shared" si="3"/>
        <v>2033</v>
      </c>
      <c r="B11" s="49">
        <v>3405</v>
      </c>
      <c r="C11" s="50">
        <v>9297.5</v>
      </c>
      <c r="D11" s="50">
        <v>12716</v>
      </c>
      <c r="E11" s="50">
        <v>10597</v>
      </c>
      <c r="F11" s="50">
        <v>8546</v>
      </c>
      <c r="G11" s="17">
        <f t="shared" si="0"/>
        <v>41156.5</v>
      </c>
      <c r="H11" s="17">
        <f t="shared" si="1"/>
        <v>3924.7235433265582</v>
      </c>
      <c r="I11" s="17">
        <f t="shared" si="2"/>
        <v>37231.77645667344</v>
      </c>
    </row>
    <row r="12" spans="1:9" ht="15.75" customHeight="1" x14ac:dyDescent="0.25">
      <c r="A12" s="5">
        <f t="shared" si="3"/>
        <v>2034</v>
      </c>
      <c r="B12" s="49">
        <v>3402</v>
      </c>
      <c r="C12" s="50">
        <v>9350</v>
      </c>
      <c r="D12" s="50">
        <v>13133</v>
      </c>
      <c r="E12" s="50">
        <v>10485</v>
      </c>
      <c r="F12" s="50">
        <v>8691.5</v>
      </c>
      <c r="G12" s="17">
        <f t="shared" si="0"/>
        <v>41659.5</v>
      </c>
      <c r="H12" s="17">
        <f t="shared" si="1"/>
        <v>3921.2656371209841</v>
      </c>
      <c r="I12" s="17">
        <f t="shared" si="2"/>
        <v>37738.234362879019</v>
      </c>
    </row>
    <row r="13" spans="1:9" ht="15.75" customHeight="1" x14ac:dyDescent="0.25">
      <c r="A13" s="5">
        <f t="shared" si="3"/>
        <v>2035</v>
      </c>
      <c r="B13" s="49">
        <v>3424</v>
      </c>
      <c r="C13" s="50">
        <v>9398</v>
      </c>
      <c r="D13" s="50">
        <v>13513.5</v>
      </c>
      <c r="E13" s="50">
        <v>10401.5</v>
      </c>
      <c r="F13" s="50">
        <v>8810</v>
      </c>
      <c r="G13" s="17">
        <f t="shared" si="0"/>
        <v>42123</v>
      </c>
      <c r="H13" s="17">
        <f t="shared" si="1"/>
        <v>3946.6236159618607</v>
      </c>
      <c r="I13" s="17">
        <f t="shared" si="2"/>
        <v>38176.376384038136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gtzeUF50zt8nwaVFjtgcxot7ZOiuyV848yKvwCEmQQHHhNFKxVCJ5FEWcT5e67l9J/nKYgJSSz0gXibWmUD1w==" saltValue="a6epfkDMA8Z6z165+6IP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7.2434000000000057E-3</v>
      </c>
    </row>
    <row r="4" spans="1:8" ht="15.75" customHeight="1" x14ac:dyDescent="0.25">
      <c r="B4" s="19" t="s">
        <v>79</v>
      </c>
      <c r="C4" s="101">
        <v>4.3596400000000077E-2</v>
      </c>
    </row>
    <row r="5" spans="1:8" ht="15.75" customHeight="1" x14ac:dyDescent="0.25">
      <c r="B5" s="19" t="s">
        <v>80</v>
      </c>
      <c r="C5" s="101">
        <v>6.4211200000000065E-2</v>
      </c>
    </row>
    <row r="6" spans="1:8" ht="15.75" customHeight="1" x14ac:dyDescent="0.25">
      <c r="B6" s="19" t="s">
        <v>81</v>
      </c>
      <c r="C6" s="101">
        <v>0.23054500000000039</v>
      </c>
    </row>
    <row r="7" spans="1:8" ht="15.75" customHeight="1" x14ac:dyDescent="0.25">
      <c r="B7" s="19" t="s">
        <v>82</v>
      </c>
      <c r="C7" s="101">
        <v>0.41386899999999921</v>
      </c>
    </row>
    <row r="8" spans="1:8" ht="15.75" customHeight="1" x14ac:dyDescent="0.25">
      <c r="B8" s="19" t="s">
        <v>83</v>
      </c>
      <c r="C8" s="101">
        <v>1.0072000000000011E-3</v>
      </c>
    </row>
    <row r="9" spans="1:8" ht="15.75" customHeight="1" x14ac:dyDescent="0.25">
      <c r="B9" s="19" t="s">
        <v>84</v>
      </c>
      <c r="C9" s="101">
        <v>0.1080942</v>
      </c>
    </row>
    <row r="10" spans="1:8" ht="15.75" customHeight="1" x14ac:dyDescent="0.25">
      <c r="B10" s="19" t="s">
        <v>85</v>
      </c>
      <c r="C10" s="101">
        <v>0.13143360000000009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88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89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95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3.8186174000000003E-2</v>
      </c>
    </row>
    <row r="27" spans="1:8" ht="15.75" customHeight="1" x14ac:dyDescent="0.25">
      <c r="B27" s="19" t="s">
        <v>102</v>
      </c>
      <c r="C27" s="101">
        <v>3.5979345000000003E-2</v>
      </c>
    </row>
    <row r="28" spans="1:8" ht="15.75" customHeight="1" x14ac:dyDescent="0.25">
      <c r="B28" s="19" t="s">
        <v>103</v>
      </c>
      <c r="C28" s="101">
        <v>0.17918920699999999</v>
      </c>
    </row>
    <row r="29" spans="1:8" ht="15.75" customHeight="1" x14ac:dyDescent="0.25">
      <c r="B29" s="19" t="s">
        <v>104</v>
      </c>
      <c r="C29" s="101">
        <v>9.3383905000000003E-2</v>
      </c>
    </row>
    <row r="30" spans="1:8" ht="15.75" customHeight="1" x14ac:dyDescent="0.25">
      <c r="B30" s="19" t="s">
        <v>2</v>
      </c>
      <c r="C30" s="101">
        <v>4.2695289999999983E-2</v>
      </c>
    </row>
    <row r="31" spans="1:8" ht="15.75" customHeight="1" x14ac:dyDescent="0.25">
      <c r="B31" s="19" t="s">
        <v>105</v>
      </c>
      <c r="C31" s="101">
        <v>0.135273369</v>
      </c>
    </row>
    <row r="32" spans="1:8" ht="15.75" customHeight="1" x14ac:dyDescent="0.25">
      <c r="B32" s="19" t="s">
        <v>106</v>
      </c>
      <c r="C32" s="101">
        <v>0.18705686599999999</v>
      </c>
    </row>
    <row r="33" spans="2:3" ht="15.75" customHeight="1" x14ac:dyDescent="0.25">
      <c r="B33" s="19" t="s">
        <v>107</v>
      </c>
      <c r="C33" s="101">
        <v>0.13805392899999999</v>
      </c>
    </row>
    <row r="34" spans="2:3" ht="15.75" customHeight="1" x14ac:dyDescent="0.25">
      <c r="B34" s="19" t="s">
        <v>108</v>
      </c>
      <c r="C34" s="101">
        <v>0.150181916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SadPp7drJJHbhul7N5Yxec2p4Hgq+HD3QNKnoJPoBW7tbPXhzdanGRNAh72IrhSk9ZpbaBQreNpywxPnKgQWQQ==" saltValue="JeqmiYInFfsXCPVpabP+z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114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115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119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120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innRz1KeCgWy7UO7F3EeMsKFxahF0dWQTmGBrBT5fKyRvkDMDFirhXVWg/c/wuhTqKl9ftCtv3waPLmtrNj4Q==" saltValue="S65PllCsAX+35vasAqA7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132</v>
      </c>
      <c r="C5" s="52">
        <v>4.3992700000000003E-2</v>
      </c>
      <c r="D5" s="52">
        <v>0.10466830000000001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06GCFLdQu94r/2OGIF96h+Boe2S3MpQFwBKPTKG16rHe86zpUoonxr9YpTDpnimPHPIuRmW13NZC6Kcog/cRaw==" saltValue="cANHCLa+18GzWo/uO7xjf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TtF3F9R+9/DG7FlDtbgcDOQwxG8S5ZJEgqfZoX/K2AMmKoGXz8Xn1ARQilF/1Y7xaR9WCNIALUuvf8NJQToVg==" saltValue="hSObMzMQ2lAwGyGsdPYz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C2xCfmDCYupKKeFutsIZFjkAIa5MiYdaQIeVriKp7l2vYa09LgKYbAqWMzySkubnLhTZmSsPp/J6BvL2dceGTQ==" saltValue="ehQ7XbBpSabQ5ctq2Fm3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8ehv7hVHdYMp9A1lrsMTpYmSoYZV+z8Eg/jk5nozjdxgnaobg8zD/FM/EMVNqg6kmDM8KFbs242m6tttec2yg==" saltValue="hWiUEvFSTsInrfCSSyYZ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yD98n9jLcwCB9EHjGfoWxcDAWbsq0U22Vq8iF8b6mk4FBy7C5j4Zxhut7iQNGBdIE/sjG8WcyrJoX7H/2rOmWg==" saltValue="IKXMgV6fVgaTxTkiloGpS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41.719855648336448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44.789305247946928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158.70578687466161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2.172624196694712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0.195379</v>
      </c>
      <c r="C10" s="98">
        <v>0.95</v>
      </c>
      <c r="D10" s="56">
        <v>14.31436711706729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14.31436711706729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14.31436711706729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14.31436711706729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0.195379</v>
      </c>
      <c r="C14" s="98">
        <v>0.95</v>
      </c>
      <c r="D14" s="56">
        <v>14.31436711706729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14.31436711706729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0.37065239935599892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0.62829849999999998</v>
      </c>
      <c r="C18" s="98">
        <v>0.95</v>
      </c>
      <c r="D18" s="56">
        <v>3.7356966196012209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0.62829849999999998</v>
      </c>
      <c r="C19" s="98">
        <v>0.95</v>
      </c>
      <c r="D19" s="56">
        <v>3.7356966196012209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21.53623251599171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24.468800057211059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4.7368458458873084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0.61590661134138003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0.195379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20.098178904392949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0.6128325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9.3018500000000004E-2</v>
      </c>
      <c r="C29" s="98">
        <v>0.95</v>
      </c>
      <c r="D29" s="56">
        <v>76.423918391184941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4.0044889616495247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0.37</v>
      </c>
      <c r="C32" s="98">
        <v>0.95</v>
      </c>
      <c r="D32" s="56">
        <v>0.75019485502059058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0.55683169999999993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5.30184E-2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2.0643499999999999E-2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0.41100759999999997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0.1351242</v>
      </c>
      <c r="C38" s="98">
        <v>0.95</v>
      </c>
      <c r="D38" s="56">
        <v>5.8546499383283868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vSB/LdgwyUSKkqnD6QBgjgtmVn/I0y7fqmgAlq1n2VXoNCr7NYcPmBoRDlOmt4RWTXhghfNoPJYdt9VpZKKIAw==" saltValue="NBC6bYNcdfl+F80wwo5M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2NJyVCmNNLnkoH4sG+P9c+SA6Vrzq9w53F2FuF3JEmPul72cMKahgb7Gm/c3V3maoF+oQvsl3HYx6kWzEnH5Yg==" saltValue="aeViHc2UmTF6uQw0QI+t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pfN8nUb4RJ+MisTRGWkpdEI5Fn93J9iL7ICJvTHLhcPGvnQ5Oasu6Sj1I6P/ljt7EZrWzT/UtMv/XziqesKWSw==" saltValue="sHYL72lwreRIf2kX9NGu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208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sheetProtection algorithmName="SHA-512" hashValue="JzVIxThVVm7JsDbsfE8yfPZOX2vfUT8SzcOAJq3u2w2PZM6y0XXSPS9SlhGMgA/Fiq3kQunQ57GLJjz/H28N5A==" saltValue="aYFVqb6eiIyH2NDYwN8Oy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0.129</v>
      </c>
      <c r="E2" s="60">
        <f>food_insecure</f>
        <v>0.129</v>
      </c>
      <c r="F2" s="60">
        <f>food_insecure</f>
        <v>0.129</v>
      </c>
      <c r="G2" s="60">
        <f>food_insecure</f>
        <v>0.129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0.129</v>
      </c>
      <c r="I15" s="60">
        <f>food_insecure</f>
        <v>0.129</v>
      </c>
      <c r="J15" s="60">
        <f>food_insecure</f>
        <v>0.129</v>
      </c>
      <c r="K15" s="60">
        <f>food_insecure</f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EReg3Or0+WJ1+dU0SCbCEmQFh7U//Jzm3RnOA8x01o/W0BSE7S7Wncayaoqbqj4cWeCdtJlo6D/+uo+4Doq1g==" saltValue="8F+/FiJcMES2l21fd/laN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BvgXP7eHukEyaEFTZC6ezwoaCzWLopa5++sdMOe0Y/JKrl5NNNtBoR2KyWVrJ6j3EqZlbvEcERzyclb60diKWA==" saltValue="bRqDmYO6DWL3EI+aW4LC/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8rNamlQy3c/tYdK9gBAeCsAjtxf5T+/8FxTiBsUEqw5xy9YHfkWi8wseNev/r5pExRm15riRuOMq9pEpWfUKw==" saltValue="0tYBzA/Td4JBkf4WPiJL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BHF0FaS01vrU69VkkPqx9/fAizM3L11hYUrTfweOJEquDI9DIGIp+v3hDSdqxNwiJ1N18DpxdZOQiVKRvWw+A==" saltValue="3EjHDJm5ansAiMZbt5HO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AAJJv3TulWwIUhGsdMj3FoV1LQPNwm021PHV/DlUv2NIqNhgYULi1H1uJp5OhlfZYM12VsMEv51iZGd2PZfUg==" saltValue="QuePnX9XAH4mlr8RuPhm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x/H9GfKixA76B+8VQdC04HRKWp6L2A9BWGbHZTDaYLzSyl7eGH50p6DGVJT861i9p9PjLPoehBKon07vEQKuw==" saltValue="8ru9SMt5KFp6JB1NwaeL4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Ibik23mqPSBO/D4OHjynFvw1Zl4kOgl+8tvN7cf58X3kJPuLOX/H3dCk39KsIQvbvNjfWynI0WGN5DH8TkFVQ==" saltValue="IkKNkkeg+qb45IFPNSEQW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brEKeYadQS2v7ydQZk4ZjxacMe4hIEazmrI8oyLO74GZoqYqspLdFicLZq+f0b+iPYXx2VArDGB51FhpZij4w==" saltValue="2VaF1xCm+u60TFszlPqg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hLPVQhFkAitbMH+N5BYPo/E4Za4Tb9h2GMwi2PjlNTUq6TiKNzcaRckVUkpHHkVX9UnvGSDI+QIh5RFRYlbw==" saltValue="LAyzmzjGSsYOGcV8Etka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YzLndhyttJYwXnSyBSpm9+IyyBWHbiUqAOIH2V/+n72o/SjCEdYqrZa0Oxih0aUwzSS4b/VmRH+do4nNEz+cRg==" saltValue="GGmVAeZ4esYwnpqAcxLC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SqoSQPjo3IqACc8o03va0LknXbOH5VZ6hlz7ynrAJnndeWunTGjDLmCIjgsaAfT2jbm+CZhosuwLx//zoYGVA==" saltValue="mQyNTkeaHx+1BHFo4KTy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a+Xlq/4z+SpmCQozCwoTaVBPyH1apUTii7ZCxDXC5RTPj7kRp/cv+mrLRvUUmLPSu6/3DvJlUE+t+3/QDA8yA==" saltValue="kielZXCrg5I3gqynSO5G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yhfSUPxH5H1bDJOdoKQHcZCD+2xCyikook1wae0YWmO3fvinZppLQ16Z4qfaTRGgbDLpFzsdtsNGJ2c049sLw==" saltValue="w9tvVuy49E7SAvpZ9VYO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0.1080033439812077</v>
      </c>
      <c r="G18" s="90">
        <f>MIN(MAX(1-0.89/(1-frac_sam_12_23months+(frac_sam_12_23months*0.89)),0),1)</f>
        <v>0.10854827532362321</v>
      </c>
      <c r="H18" s="90">
        <f>MIN(MAX(1-0.89/(1-frac_sam_24_59months+(frac_sam_24_59months*0.89)),0),1)</f>
        <v>0.1092891289981186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0.10605717218788047</v>
      </c>
      <c r="G20" s="90">
        <f>MIN(MAX(1-0.89/(1-frac_mam_12_23months+(frac_mam_12_23months*0.89)),0),1)</f>
        <v>0.10763519489478446</v>
      </c>
      <c r="H20" s="90">
        <f>MIN(MAX(1-0.89/(1-frac_mam_24_59months+(frac_mam_24_59months*0.89)),0),1)</f>
        <v>0.10916174525491773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9.7985019167521337E-3</v>
      </c>
      <c r="G73" s="90">
        <f>MIN(MAX(1-0.99/(1-frac_sam_12_23months+(frac_sam_12_23months*0.99)),0),1)</f>
        <v>9.8534137486384621E-3</v>
      </c>
      <c r="H73" s="90">
        <f>MIN(MAX(1-0.99/(1-frac_sam_24_59months+(frac_sam_24_59months*0.99)),0),1)</f>
        <v>9.9281663281797217E-3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9.6028864117472246E-3</v>
      </c>
      <c r="G75" s="90">
        <f>MIN(MAX(1-0.99/(1-frac_mam_12_23months+(frac_mam_12_23months*0.99)),0),1)</f>
        <v>9.7614386574712553E-3</v>
      </c>
      <c r="H75" s="90">
        <f>MIN(MAX(1-0.99/(1-frac_mam_24_59months+(frac_mam_24_59months*0.99)),0),1)</f>
        <v>9.9153051849514284E-3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0.19673082297256661</v>
      </c>
      <c r="G128" s="90">
        <f>MIN(MAX(1-0.8/(1-frac_sam_12_23months+(frac_sam_12_23months*0.8)),0),1)</f>
        <v>0.19762424562888248</v>
      </c>
      <c r="H128" s="90">
        <f>MIN(MAX(1-0.8/(1-frac_sam_24_59months+(frac_sam_24_59months*0.8)),0),1)</f>
        <v>0.198837449045561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0.19353271301482544</v>
      </c>
      <c r="G130" s="90">
        <f>MIN(MAX(1-0.8/(1-frac_mam_12_23months+(frac_mam_12_23months*0.8)),0),1)</f>
        <v>0.19612672957604693</v>
      </c>
      <c r="H130" s="90">
        <f>MIN(MAX(1-0.8/(1-frac_mam_24_59months+(frac_mam_24_59months*0.8)),0),1)</f>
        <v>0.19862896635337535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VxZsgGD9NXC9SVkHftsV6NwxCs0Fat7shTJTwje+crdYc4RG0nsTI+Tv7XhNQfUPVshNN9YzM89TwuR+JAJ1w==" saltValue="GkXfY6Dfl9neCLdOi4ua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4gsS9lMYYZseAp+xR5SjaI/g8eKjGnQAuYI2F4I+euS+z0GuhBLAIaPQFidiGzTJCmwek1PWSqOsog2gjbzwg==" saltValue="ioSeY30YsMFAffIP1z34n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2024-08-06T09:17:05Z</dcterms:modified>
</cp:coreProperties>
</file>