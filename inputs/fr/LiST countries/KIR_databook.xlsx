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4DC0B29-AFD5-457B-87FB-40F56E96271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8" i="2" l="1"/>
  <c r="A25" i="2"/>
  <c r="A26" i="2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<sst xmlns="http://schemas.openxmlformats.org/spreadsheetml/2006/main" count="2159" uniqueCount="368">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</sst>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16210</v>
      </c>
    </row>
    <row r="8" spans="1:3" ht="15" customHeight="1" x14ac:dyDescent="0.25">
      <c r="B8" s="5" t="s">
        <v>37</v>
      </c>
      <c r="C8" s="44">
        <v>0.129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2.3699999999999999E-2</v>
      </c>
    </row>
    <row r="24" spans="1:3" ht="15" customHeight="1" x14ac:dyDescent="0.25">
      <c r="B24" s="15" t="s">
        <v>51</v>
      </c>
      <c r="C24" s="45">
        <v>0.4365</v>
      </c>
    </row>
    <row r="25" spans="1:3" ht="15" customHeight="1" x14ac:dyDescent="0.25">
      <c r="B25" s="15" t="s">
        <v>52</v>
      </c>
      <c r="C25" s="45">
        <v>0.4929</v>
      </c>
    </row>
    <row r="26" spans="1:3" ht="15" customHeight="1" x14ac:dyDescent="0.25">
      <c r="B26" s="15" t="s">
        <v>53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9">
        <v>2.3858720907234902E-2</v>
      </c>
    </row>
    <row r="31" spans="1:3" ht="14.25" customHeight="1" x14ac:dyDescent="0.25">
      <c r="B31" s="25" t="s">
        <v>57</v>
      </c>
      <c r="C31" s="99">
        <v>3.4342930038455802E-2</v>
      </c>
    </row>
    <row r="32" spans="1:3" ht="14.25" customHeight="1" x14ac:dyDescent="0.25">
      <c r="B32" s="25" t="s">
        <v>58</v>
      </c>
      <c r="C32" s="99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20.781860000000002</v>
      </c>
    </row>
    <row r="38" spans="1:5" ht="15" customHeight="1" x14ac:dyDescent="0.25">
      <c r="B38" s="11" t="s">
        <v>63</v>
      </c>
      <c r="C38" s="43">
        <v>38.256639999999997</v>
      </c>
      <c r="D38" s="12"/>
      <c r="E38" s="13"/>
    </row>
    <row r="39" spans="1:5" ht="15" customHeight="1" x14ac:dyDescent="0.25">
      <c r="B39" s="11" t="s">
        <v>64</v>
      </c>
      <c r="C39" s="43">
        <v>48.229109999999999</v>
      </c>
      <c r="D39" s="12"/>
      <c r="E39" s="12"/>
    </row>
    <row r="40" spans="1:5" ht="15" customHeight="1" x14ac:dyDescent="0.25">
      <c r="B40" s="11" t="s">
        <v>65</v>
      </c>
      <c r="C40" s="100">
        <v>0.76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6.1607999999999993E-3</v>
      </c>
      <c r="D45" s="12"/>
    </row>
    <row r="46" spans="1:5" ht="15.75" customHeight="1" x14ac:dyDescent="0.25">
      <c r="B46" s="11" t="s">
        <v>70</v>
      </c>
      <c r="C46" s="45">
        <v>6.6196500000000005E-2</v>
      </c>
      <c r="D46" s="12"/>
    </row>
    <row r="47" spans="1:5" ht="15.75" customHeight="1" x14ac:dyDescent="0.25">
      <c r="B47" s="11" t="s">
        <v>71</v>
      </c>
      <c r="C47" s="45">
        <v>7.5142600000000004E-2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2.2000000000000002</v>
      </c>
      <c r="D51" s="12"/>
    </row>
    <row r="52" spans="1:4" ht="15" customHeight="1" x14ac:dyDescent="0.25">
      <c r="B52" s="11" t="s">
        <v>75</v>
      </c>
      <c r="C52" s="100">
        <v>2.2000000000000002</v>
      </c>
    </row>
    <row r="53" spans="1:4" ht="15.75" customHeight="1" x14ac:dyDescent="0.25">
      <c r="B53" s="11" t="s">
        <v>76</v>
      </c>
      <c r="C53" s="100">
        <v>2.2000000000000002</v>
      </c>
    </row>
    <row r="54" spans="1:4" ht="15.75" customHeight="1" x14ac:dyDescent="0.25">
      <c r="B54" s="11" t="s">
        <v>77</v>
      </c>
      <c r="C54" s="100">
        <v>2.2000000000000002</v>
      </c>
    </row>
    <row r="55" spans="1:4" ht="15.75" customHeight="1" x14ac:dyDescent="0.25">
      <c r="B55" s="11" t="s">
        <v>78</v>
      </c>
      <c r="C55" s="100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0.56834600000000002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0/sl9+mUNiKwgAYh31UQcsXKdm7Zs7d0aLNv88Zfm5EVILlpewJPJ3mQHymHsNlv+N0U4ruSSSsNKuH0ECokUg==" saltValue="SklPLn7kc/6VtkhreoJV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3405</v>
      </c>
      <c r="C2" s="49">
        <v>6281</v>
      </c>
      <c r="D2" s="49">
        <v>11286.999999999998</v>
      </c>
      <c r="E2" s="49">
        <v>10271.5</v>
      </c>
      <c r="F2" s="49">
        <v>7147</v>
      </c>
      <c r="G2" s="17">
        <f t="shared" ref="G2:G13" si="0">C2+D2+E2+F2</f>
        <v>34986.5</v>
      </c>
      <c r="H2" s="17">
        <f t="shared" ref="H2:H13" si="1">(B2 + stillbirth*B2/(1000-stillbirth))/(1-abortion)</f>
        <v>3924.7235433265582</v>
      </c>
      <c r="I2" s="17">
        <f t="shared" ref="I2:I13" si="2">G2-H2</f>
        <v>31061.77645667344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3385</v>
      </c>
      <c r="C3" s="50">
        <v>6600.5</v>
      </c>
      <c r="D3" s="50">
        <v>11146.5</v>
      </c>
      <c r="E3" s="50">
        <v>10441</v>
      </c>
      <c r="F3" s="50">
        <v>7457</v>
      </c>
      <c r="G3" s="17">
        <f t="shared" si="0"/>
        <v>35645</v>
      </c>
      <c r="H3" s="17">
        <f t="shared" si="1"/>
        <v>3901.6708352893979</v>
      </c>
      <c r="I3" s="17">
        <f t="shared" si="2"/>
        <v>31743.329164710602</v>
      </c>
    </row>
    <row r="4" spans="1:9" ht="15.75" customHeight="1" x14ac:dyDescent="0.25">
      <c r="A4" s="5">
        <f t="shared" si="3"/>
        <v>2026</v>
      </c>
      <c r="B4" s="49">
        <v>3370</v>
      </c>
      <c r="C4" s="50">
        <v>6901.5</v>
      </c>
      <c r="D4" s="50">
        <v>11056.999999999998</v>
      </c>
      <c r="E4" s="50">
        <v>10610</v>
      </c>
      <c r="F4" s="50">
        <v>7771</v>
      </c>
      <c r="G4" s="17">
        <f t="shared" si="0"/>
        <v>36339.5</v>
      </c>
      <c r="H4" s="17">
        <f t="shared" si="1"/>
        <v>3884.3813042615275</v>
      </c>
      <c r="I4" s="17">
        <f t="shared" si="2"/>
        <v>32455.118695738471</v>
      </c>
    </row>
    <row r="5" spans="1:9" ht="15.75" customHeight="1" x14ac:dyDescent="0.25">
      <c r="A5" s="5">
        <f t="shared" si="3"/>
        <v>2027</v>
      </c>
      <c r="B5" s="49">
        <v>3363</v>
      </c>
      <c r="C5" s="50">
        <v>7141.5</v>
      </c>
      <c r="D5" s="50">
        <v>11045</v>
      </c>
      <c r="E5" s="50">
        <v>10765.5</v>
      </c>
      <c r="F5" s="50">
        <v>8081.5</v>
      </c>
      <c r="G5" s="17">
        <f t="shared" si="0"/>
        <v>37033.5</v>
      </c>
      <c r="H5" s="17">
        <f t="shared" si="1"/>
        <v>3876.3128564485214</v>
      </c>
      <c r="I5" s="17">
        <f t="shared" si="2"/>
        <v>33157.187143551477</v>
      </c>
    </row>
    <row r="6" spans="1:9" ht="15.75" customHeight="1" x14ac:dyDescent="0.25">
      <c r="A6" s="5">
        <f t="shared" si="3"/>
        <v>2028</v>
      </c>
      <c r="B6" s="49">
        <v>3363</v>
      </c>
      <c r="C6" s="50">
        <v>7299</v>
      </c>
      <c r="D6" s="50">
        <v>11119.499999999998</v>
      </c>
      <c r="E6" s="50">
        <v>10893.999999999998</v>
      </c>
      <c r="F6" s="50">
        <v>8374.5000000000018</v>
      </c>
      <c r="G6" s="17">
        <f t="shared" si="0"/>
        <v>37687</v>
      </c>
      <c r="H6" s="17">
        <f t="shared" si="1"/>
        <v>3876.3128564485214</v>
      </c>
      <c r="I6" s="17">
        <f t="shared" si="2"/>
        <v>33810.687143551477</v>
      </c>
    </row>
    <row r="7" spans="1:9" ht="15.75" customHeight="1" x14ac:dyDescent="0.25">
      <c r="A7" s="5">
        <f t="shared" si="3"/>
        <v>2029</v>
      </c>
      <c r="B7" s="49">
        <v>3368</v>
      </c>
      <c r="C7" s="50">
        <v>7388.5</v>
      </c>
      <c r="D7" s="50">
        <v>11273.5</v>
      </c>
      <c r="E7" s="50">
        <v>10984.5</v>
      </c>
      <c r="F7" s="50">
        <v>8634.5</v>
      </c>
      <c r="G7" s="17">
        <f t="shared" si="0"/>
        <v>38281</v>
      </c>
      <c r="H7" s="17">
        <f t="shared" si="1"/>
        <v>3882.0760334578117</v>
      </c>
      <c r="I7" s="17">
        <f t="shared" si="2"/>
        <v>34398.923966542192</v>
      </c>
    </row>
    <row r="8" spans="1:9" ht="15.75" customHeight="1" x14ac:dyDescent="0.25">
      <c r="A8" s="5">
        <f t="shared" si="3"/>
        <v>2030</v>
      </c>
      <c r="B8" s="49">
        <v>3376</v>
      </c>
      <c r="C8" s="50">
        <v>7424</v>
      </c>
      <c r="D8" s="50">
        <v>11517.5</v>
      </c>
      <c r="E8" s="50">
        <v>11012</v>
      </c>
      <c r="F8" s="50">
        <v>8880.5</v>
      </c>
      <c r="G8" s="17">
        <f t="shared" si="0"/>
        <v>38834</v>
      </c>
      <c r="H8" s="17">
        <f t="shared" si="1"/>
        <v>3891.2971166726757</v>
      </c>
      <c r="I8" s="17">
        <f t="shared" si="2"/>
        <v>34942.702883327322</v>
      </c>
    </row>
    <row r="9" spans="1:9" ht="15.75" customHeight="1" x14ac:dyDescent="0.25">
      <c r="A9" s="5">
        <f t="shared" si="3"/>
        <v>2031</v>
      </c>
      <c r="B9" s="49">
        <v>3389</v>
      </c>
      <c r="C9" s="50">
        <v>7418</v>
      </c>
      <c r="D9" s="50">
        <v>11854.500000000002</v>
      </c>
      <c r="E9" s="50">
        <v>10965.499999999998</v>
      </c>
      <c r="F9" s="50">
        <v>9128</v>
      </c>
      <c r="G9" s="17">
        <f t="shared" si="0"/>
        <v>39366</v>
      </c>
      <c r="H9" s="17">
        <f t="shared" si="1"/>
        <v>3906.2813768968299</v>
      </c>
      <c r="I9" s="17">
        <f t="shared" si="2"/>
        <v>35459.718623103166</v>
      </c>
    </row>
    <row r="10" spans="1:9" ht="15.75" customHeight="1" x14ac:dyDescent="0.25">
      <c r="A10" s="5">
        <f t="shared" si="3"/>
        <v>2032</v>
      </c>
      <c r="B10" s="49">
        <v>3406</v>
      </c>
      <c r="C10" s="50">
        <v>7403</v>
      </c>
      <c r="D10" s="50">
        <v>12251.000000000002</v>
      </c>
      <c r="E10" s="50">
        <v>10856.5</v>
      </c>
      <c r="F10" s="50">
        <v>9354.5</v>
      </c>
      <c r="G10" s="17">
        <f t="shared" si="0"/>
        <v>39865</v>
      </c>
      <c r="H10" s="17">
        <f t="shared" si="1"/>
        <v>3925.8761787284166</v>
      </c>
      <c r="I10" s="17">
        <f t="shared" si="2"/>
        <v>35939.123821271583</v>
      </c>
    </row>
    <row r="11" spans="1:9" ht="15.75" customHeight="1" x14ac:dyDescent="0.25">
      <c r="A11" s="5">
        <f t="shared" si="3"/>
        <v>2033</v>
      </c>
      <c r="B11" s="49">
        <v>3422</v>
      </c>
      <c r="C11" s="50">
        <v>7409</v>
      </c>
      <c r="D11" s="50">
        <v>12670.5</v>
      </c>
      <c r="E11" s="50">
        <v>10703.5</v>
      </c>
      <c r="F11" s="50">
        <v>9550.5</v>
      </c>
      <c r="G11" s="17">
        <f t="shared" si="0"/>
        <v>40333.5</v>
      </c>
      <c r="H11" s="17">
        <f t="shared" si="1"/>
        <v>3944.3183451581449</v>
      </c>
      <c r="I11" s="17">
        <f t="shared" si="2"/>
        <v>36389.181654841857</v>
      </c>
    </row>
    <row r="12" spans="1:9" ht="15.75" customHeight="1" x14ac:dyDescent="0.25">
      <c r="A12" s="5">
        <f t="shared" si="3"/>
        <v>2034</v>
      </c>
      <c r="B12" s="49">
        <v>3436</v>
      </c>
      <c r="C12" s="50">
        <v>7444.5</v>
      </c>
      <c r="D12" s="50">
        <v>13068.999999999998</v>
      </c>
      <c r="E12" s="50">
        <v>10544</v>
      </c>
      <c r="F12" s="50">
        <v>9726</v>
      </c>
      <c r="G12" s="17">
        <f t="shared" si="0"/>
        <v>40783.5</v>
      </c>
      <c r="H12" s="17">
        <f t="shared" si="1"/>
        <v>3960.455240784157</v>
      </c>
      <c r="I12" s="17">
        <f t="shared" si="2"/>
        <v>36823.044759215845</v>
      </c>
    </row>
    <row r="13" spans="1:9" ht="15.75" customHeight="1" x14ac:dyDescent="0.25">
      <c r="A13" s="5">
        <f t="shared" si="3"/>
        <v>2035</v>
      </c>
      <c r="B13" s="49">
        <v>3449</v>
      </c>
      <c r="C13" s="50">
        <v>7494</v>
      </c>
      <c r="D13" s="50">
        <v>13418</v>
      </c>
      <c r="E13" s="50">
        <v>10413</v>
      </c>
      <c r="F13" s="50">
        <v>9897.5</v>
      </c>
      <c r="G13" s="17">
        <f t="shared" si="0"/>
        <v>41222.5</v>
      </c>
      <c r="H13" s="17">
        <f t="shared" si="1"/>
        <v>3975.4395010083113</v>
      </c>
      <c r="I13" s="17">
        <f t="shared" si="2"/>
        <v>37247.06049899169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cCu/l1AgGoOCoiximy2JdI+97G7qww9wpbW7mIXU1+UnQi/0/yctKqgXsTMI43wVOlIdmW3EmszitvKJU5Edg==" saltValue="1dzyFwpAuinoRESWJqxi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7.2434000000000057E-3</v>
      </c>
    </row>
    <row r="4" spans="1:8" ht="15.75" customHeight="1" x14ac:dyDescent="0.25">
      <c r="B4" s="19" t="s">
        <v>97</v>
      </c>
      <c r="C4" s="101">
        <v>4.3596400000000077E-2</v>
      </c>
    </row>
    <row r="5" spans="1:8" ht="15.75" customHeight="1" x14ac:dyDescent="0.25">
      <c r="B5" s="19" t="s">
        <v>98</v>
      </c>
      <c r="C5" s="101">
        <v>6.4211200000000065E-2</v>
      </c>
    </row>
    <row r="6" spans="1:8" ht="15.75" customHeight="1" x14ac:dyDescent="0.25">
      <c r="B6" s="19" t="s">
        <v>99</v>
      </c>
      <c r="C6" s="101">
        <v>0.23054500000000039</v>
      </c>
    </row>
    <row r="7" spans="1:8" ht="15.75" customHeight="1" x14ac:dyDescent="0.25">
      <c r="B7" s="19" t="s">
        <v>100</v>
      </c>
      <c r="C7" s="101">
        <v>0.41386899999999921</v>
      </c>
    </row>
    <row r="8" spans="1:8" ht="15.75" customHeight="1" x14ac:dyDescent="0.25">
      <c r="B8" s="19" t="s">
        <v>101</v>
      </c>
      <c r="C8" s="101">
        <v>1.0072000000000011E-3</v>
      </c>
    </row>
    <row r="9" spans="1:8" ht="15.75" customHeight="1" x14ac:dyDescent="0.25">
      <c r="B9" s="19" t="s">
        <v>102</v>
      </c>
      <c r="C9" s="101">
        <v>0.1080942</v>
      </c>
    </row>
    <row r="10" spans="1:8" ht="15.75" customHeight="1" x14ac:dyDescent="0.25">
      <c r="B10" s="19" t="s">
        <v>103</v>
      </c>
      <c r="C10" s="101">
        <v>0.13143360000000009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106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107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113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3.8186174000000003E-2</v>
      </c>
    </row>
    <row r="27" spans="1:8" ht="15.75" customHeight="1" x14ac:dyDescent="0.25">
      <c r="B27" s="19" t="s">
        <v>120</v>
      </c>
      <c r="C27" s="101">
        <v>3.5979345000000003E-2</v>
      </c>
    </row>
    <row r="28" spans="1:8" ht="15.75" customHeight="1" x14ac:dyDescent="0.25">
      <c r="B28" s="19" t="s">
        <v>121</v>
      </c>
      <c r="C28" s="101">
        <v>0.17918920699999999</v>
      </c>
    </row>
    <row r="29" spans="1:8" ht="15.75" customHeight="1" x14ac:dyDescent="0.25">
      <c r="B29" s="19" t="s">
        <v>122</v>
      </c>
      <c r="C29" s="101">
        <v>9.3383905000000003E-2</v>
      </c>
    </row>
    <row r="30" spans="1:8" ht="15.75" customHeight="1" x14ac:dyDescent="0.25">
      <c r="B30" s="19" t="s">
        <v>2</v>
      </c>
      <c r="C30" s="101">
        <v>4.2695289999999983E-2</v>
      </c>
    </row>
    <row r="31" spans="1:8" ht="15.75" customHeight="1" x14ac:dyDescent="0.25">
      <c r="B31" s="19" t="s">
        <v>123</v>
      </c>
      <c r="C31" s="101">
        <v>0.135273369</v>
      </c>
    </row>
    <row r="32" spans="1:8" ht="15.75" customHeight="1" x14ac:dyDescent="0.25">
      <c r="B32" s="19" t="s">
        <v>124</v>
      </c>
      <c r="C32" s="101">
        <v>0.18705686599999999</v>
      </c>
    </row>
    <row r="33" spans="2:3" ht="15.75" customHeight="1" x14ac:dyDescent="0.25">
      <c r="B33" s="19" t="s">
        <v>125</v>
      </c>
      <c r="C33" s="101">
        <v>0.13805392899999999</v>
      </c>
    </row>
    <row r="34" spans="2:3" ht="15.75" customHeight="1" x14ac:dyDescent="0.25">
      <c r="B34" s="19" t="s">
        <v>126</v>
      </c>
      <c r="C34" s="101">
        <v>0.150181916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SbNnv/aKOsv80+gojiDWvm1uf0m1IjF49uGKJUGVvNTlaWjmjqH2H1BRmRhl2yIxHFN3A+cWpRB6erasgU3QSQ==" saltValue="dAS2XbE0qKYIGRorfglD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132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133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137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138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SThK5bGYKRxsbGyrYEi86B6SnqN4DgE8pw4PsFZRTCNNP7XNX4T47SX+QC1kokBYca8HjeCybTBfsVKeDtM6Q==" saltValue="oDMmfF7FYk2P8oXwwCeB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4.3992699999999885E-2</v>
      </c>
      <c r="D5" s="52">
        <f t="shared" si="0"/>
        <v>0.10466839999999999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kGR9k1EOIQsSXIem3T4GEYoXnOp7WhOYOXg5N9ASODPHh+SBM45zHy1OYR0TonO979ZPGEcYX41M6Gg29t8CEg==" saltValue="G2aUAszmPBXFFTo7VV6C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SyFfKESyX2JmMau0dWCA8y/QbXplk7xwOv/dmlcKlAc318b5guxwWTJl7qIiy48rz+jJSHCQAnQ75iOV9hGpA==" saltValue="xkZRX3T5do+A7bxRyun6T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1701.9706648880799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0.42786000000000002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0.41177000000000002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1.9653477213582189E-2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94773.202749999997</v>
      </c>
      <c r="C22" s="109">
        <v>94252.389890000006</v>
      </c>
      <c r="D22" s="109">
        <v>93886.773430000001</v>
      </c>
      <c r="E22" s="109">
        <v>93081.456699999995</v>
      </c>
      <c r="F22" s="109">
        <v>91671.541849999994</v>
      </c>
      <c r="G22" s="109">
        <v>89898.854250000004</v>
      </c>
      <c r="H22" s="109">
        <v>87657.911559999993</v>
      </c>
      <c r="I22" s="109">
        <v>84619.157200000001</v>
      </c>
      <c r="J22" s="109">
        <v>80361.275609999997</v>
      </c>
      <c r="K22" s="109">
        <v>74598.932979999998</v>
      </c>
      <c r="L22" s="109">
        <v>67251.099560000002</v>
      </c>
      <c r="M22" s="109">
        <v>58082.532160000002</v>
      </c>
      <c r="N22" s="109">
        <v>47553.40797</v>
      </c>
      <c r="O22" s="109">
        <v>36338.407200000001</v>
      </c>
    </row>
  </sheetData>
  <sheetProtection algorithmName="SHA-512" hashValue="TTGDvRbTNXEir0ZolfP2O7jrl8XF828cdZHJDoAqiMzaFr8WPyPrfYc2dijkA5gI1cDAOZ6bCCozgkQJHG113Q==" saltValue="Xqw2LshqIXXXWEJL9ZYd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MxSG4/rCc1OFt1E35v9gx4jsHbMqtoDvH1vToFa2N6PBv39+1ffuZqxA7b2NvWmBjAJc1n2xUDMbCChqhDwkA==" saltValue="ijQmBqJbSYXWkr8smn8c+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2E8hjW5KW84tRaQAD7ryP1KG6xohor0TXJM8R5bYt3tODhFRPP83DWUimfk/QOtF32k8jYEx65+Fqk/bdz9kkQ==" saltValue="IfVZge7s4YvbnWoj85DQ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2.172624196694712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0.195379</v>
      </c>
      <c r="C10" s="98">
        <v>0.95</v>
      </c>
      <c r="D10" s="56">
        <v>14.31436711706729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14.31436711706729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14.31436711706729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14.31436711706729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0.195379</v>
      </c>
      <c r="C14" s="98">
        <v>0.95</v>
      </c>
      <c r="D14" s="56">
        <v>14.31436711706729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14.31436711706729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0.62829849999999998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0.62829849999999998</v>
      </c>
      <c r="C19" s="98">
        <v>0.95</v>
      </c>
      <c r="D19" s="56">
        <v>3.7356966196012209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4.7368458458873084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0.61590661134138003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0.195379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0.6128325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9.3018500000000004E-2</v>
      </c>
      <c r="C29" s="98">
        <v>0.95</v>
      </c>
      <c r="D29" s="56">
        <v>76.423918391184941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0.37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0.55683169999999993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5.30184E-2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2.0643499999999999E-2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0.41100759999999997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0.1351242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uWTD61GF5zJclkwrqqK4DElkxsyPahB+350N2JyMnOH9v22qcEr+3+ExHCadCaM9wFrmMSfAS65pzOkGFkr9fA==" saltValue="lEDyjlBG6vI0eSXbe6Jb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gHtN0BayIndkiLJ6JEQYpGEMuKJ8T0mVmrmJnlbhxhpq8H2T+TgdgvgO+q76zwtoI42qiCmuBxxg337zGO84g==" saltValue="LAltgnWpWMr220PlTQcl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A+uM8BrURMv2CC20GGfEZ1jQPFWk1muXt3fNDGav/okBZGL55iPn2UJ6SlBwJnSrFArKImQumPjEl6OCaByJw==" saltValue="wVgkXXQ4VbqsNWP+5nWu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237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uM/P3d2Rvc0OmsQVXenYfIjcbSYK0EDLXSnKkmJXWyjHbs/2uO8XFjyqvxpniUIhbv650v0G5DM6du+k4ijM9A==" saltValue="Wl7n+IPn0vuXVxkc01c0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0.129</v>
      </c>
      <c r="F2" s="60">
        <f>food_insecure</f>
        <v>0.129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0.129</v>
      </c>
      <c r="I15" s="60">
        <f t="shared" si="0"/>
        <v>0.129</v>
      </c>
      <c r="J15" s="60">
        <f t="shared" si="0"/>
        <v>0.129</v>
      </c>
      <c r="K15" s="60">
        <f t="shared" si="0"/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0.129</v>
      </c>
      <c r="I16" s="60">
        <f t="shared" si="0"/>
        <v>0.129</v>
      </c>
      <c r="J16" s="60">
        <f t="shared" si="0"/>
        <v>0.129</v>
      </c>
      <c r="K16" s="60">
        <f t="shared" si="0"/>
        <v>0.129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0GYrGy+2yPyeWn3kYl2wkcB38C20pmI9SbLbT/zziKh8mlQzKbqQqPB+nW8bkWrfodxaxsq6dA7z1TWH5yAZg==" saltValue="3azsW8QZ1eTAsfeQeM5cE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50cEeXNgxbGoDPYcuZ/evFzIoObK8nLfaE8rrHLBwxhlKJOhNEmOMT/1/NkwwWum3W/ucngeMF6wvDVLCQocjg==" saltValue="heVtqz1R2wwEdkJ04Vds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9zXpYrzO5umSCXgQjLwn5SPZDhG5JeHJdJLTUdvi5DhyB43EURAswYJ4ToYPPvow3+x5Oas887mfsGlii+c5/g==" saltValue="xcuqGvrrF8E5Tcb3R+L1M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m/ufVQmveHvIXubXD4w1F5Gy4Ajcyt5QbzDFo4ykClrgpE+a9BIVZz+GO8YL4ffNslaLaBVh/GJ3qwb5S2JcA==" saltValue="F9F8KXLSWW72dBxS/PoE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XODNhL+10kM2R5cJ9+ffnAWnUzbQuWSbCmD1lFk/QSmKTRk+HI9L0pi4py3ehzfBEV3VAbSgdsVcBDhx+aViDA==" saltValue="AD9u8nE09CqOKnZEr8ziv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IhuuscOZH7t1i7tOk4oLHlKc44p8X0GMvtIZeYAMvCOWxW8Jtn7x7VFgMKRTPWI2v56u2PvRmCvOqhLmRHxMpA==" saltValue="MUCTIjIlrGbtbM7MxrRBI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WasFkia2xCtRSxVSlHmbB8pf0Mezw0Msg6m5PsExlBweYIv1K4Z28eEH01x6V9vQLaahgQr0zEu8yu7ifge7g==" saltValue="Y8gl3YdMsULu2C1bWUM+L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0yv3FeEi7jbrE4BPN2Q3Mobu2CliabZVZ9dXCdnebwPZ6WeozcBepJHoS+ZeDy9Oox045aEzEburLrw6x+NVXw==" saltValue="H3vTgl5NFz/FSa1Y1Stf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YOt7qR98dBhMSY1loJG1y7eJiwJKZz31Se9443QFjBy9XVEp8VoCdoSXa6J9KtUdwghRuwdbNjnY3vzDIxeEQ==" saltValue="BX+nfhfxCK1M7FSCzgxS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G1zl7Wp6qOJiFBlU7PNWXayuiAQ4WEmjUguFsGHa3tP2XCu8pi1P+HPHwyuYt3wi5rnpdfMUHJlmtgwuVfRJw==" saltValue="L4hOL+8Dq0cICd1iUAcM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8/CzX2MzG9k5mL9oQBnvq6AkiYcW7LpIchPBWBmxsXVZ5r///gQUH+H33mIUnuE0+xcQT9+47ONoncK1qMSOg==" saltValue="RghnZpGLK4jtQnF22aC4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nxuqp3PUCixIeekuDMc2dAFmt/aBUtzosoqLNrRo/moui0PfLKReSyvUchaQdkvFGM0vDyH0XEGunc7lzGkEQ==" saltValue="C3nbwUdUDgFRbHLIkmNA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X/knt8U7K1CkrECPt2SXGtGDdHd/mNEyVECIMQQn6UnpjSqWzZXQWDcZVEXmS2hbwb/bG9whxOId2I3PrmkXw==" saltValue="MAY3wQuEvzNM0bqP+VrW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6wSTeMih5Puk2+/oSH+kiEXQ1tM+rBCu00Ri7bFw5H7D4mw68sXhrBM/oszLHPRY2xfaGM6O8MpFldLJb66tw==" saltValue="SltXz9EEWiUnyk+5hOg+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5sylYoaT3pHcwCskGAjBRi4Vi/tHn6cz/L3OG2e7veB8kxciswzs+2Fof6fZa3OBf6GoWK+QwqBbU1Eked3aRQ==" saltValue="PvIbWQrP7tpZ/qStiDsL9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