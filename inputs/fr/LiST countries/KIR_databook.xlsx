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413FD3D1-9379-465F-A74F-B0DA91862065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<sst xmlns="http://schemas.openxmlformats.org/spreadsheetml/2006/main" count="2102" uniqueCount="337">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</sst>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16735.925537109379</v>
      </c>
    </row>
    <row r="8" spans="1:3" ht="15" customHeight="1" x14ac:dyDescent="0.25">
      <c r="B8" s="5" t="s">
        <v>19</v>
      </c>
      <c r="C8" s="44">
        <v>0.129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0.81408699039999999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0.64200000000000002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2.3699999999999999E-2</v>
      </c>
    </row>
    <row r="24" spans="1:3" ht="15" customHeight="1" x14ac:dyDescent="0.25">
      <c r="B24" s="15" t="s">
        <v>33</v>
      </c>
      <c r="C24" s="45">
        <v>0.4365</v>
      </c>
    </row>
    <row r="25" spans="1:3" ht="15" customHeight="1" x14ac:dyDescent="0.25">
      <c r="B25" s="15" t="s">
        <v>34</v>
      </c>
      <c r="C25" s="45">
        <v>0.4929</v>
      </c>
    </row>
    <row r="26" spans="1:3" ht="15" customHeight="1" x14ac:dyDescent="0.25">
      <c r="B26" s="15" t="s">
        <v>35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0.35185775257007201</v>
      </c>
    </row>
    <row r="30" spans="1:3" ht="14.25" customHeight="1" x14ac:dyDescent="0.25">
      <c r="B30" s="25" t="s">
        <v>38</v>
      </c>
      <c r="C30" s="99">
        <v>2.3858720907234902E-2</v>
      </c>
    </row>
    <row r="31" spans="1:3" ht="14.25" customHeight="1" x14ac:dyDescent="0.25">
      <c r="B31" s="25" t="s">
        <v>39</v>
      </c>
      <c r="C31" s="99">
        <v>3.4342930038455802E-2</v>
      </c>
    </row>
    <row r="32" spans="1:3" ht="14.25" customHeight="1" x14ac:dyDescent="0.25">
      <c r="B32" s="25" t="s">
        <v>40</v>
      </c>
      <c r="C32" s="99">
        <v>0.58994059648423802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20.781860000000002</v>
      </c>
    </row>
    <row r="38" spans="1:5" ht="15" customHeight="1" x14ac:dyDescent="0.25">
      <c r="B38" s="11" t="s">
        <v>45</v>
      </c>
      <c r="C38" s="43">
        <v>38.256639999999997</v>
      </c>
      <c r="D38" s="12"/>
      <c r="E38" s="13"/>
    </row>
    <row r="39" spans="1:5" ht="15" customHeight="1" x14ac:dyDescent="0.25">
      <c r="B39" s="11" t="s">
        <v>46</v>
      </c>
      <c r="C39" s="43">
        <v>48.229109999999999</v>
      </c>
      <c r="D39" s="12"/>
      <c r="E39" s="12"/>
    </row>
    <row r="40" spans="1:5" ht="15" customHeight="1" x14ac:dyDescent="0.25">
      <c r="B40" s="11" t="s">
        <v>47</v>
      </c>
      <c r="C40" s="100">
        <v>0.76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14.117010000000001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6.1607999999999993E-3</v>
      </c>
      <c r="D45" s="12"/>
    </row>
    <row r="46" spans="1:5" ht="15.75" customHeight="1" x14ac:dyDescent="0.25">
      <c r="B46" s="11" t="s">
        <v>52</v>
      </c>
      <c r="C46" s="45">
        <v>6.6196500000000005E-2</v>
      </c>
      <c r="D46" s="12"/>
    </row>
    <row r="47" spans="1:5" ht="15.75" customHeight="1" x14ac:dyDescent="0.25">
      <c r="B47" s="11" t="s">
        <v>53</v>
      </c>
      <c r="C47" s="45">
        <v>7.5142600000000004E-2</v>
      </c>
      <c r="D47" s="12"/>
      <c r="E47" s="13"/>
    </row>
    <row r="48" spans="1:5" ht="15" customHeight="1" x14ac:dyDescent="0.25">
      <c r="B48" s="11" t="s">
        <v>54</v>
      </c>
      <c r="C48" s="46">
        <v>0.85250009999999998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0.56834600000000002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GnbC1VRENW6bsOHIcj/TsmloBmpHd8UIewCY00HjJeVGDWn35Gwr+NwQcryd+EQHmj1zI1CZ9SSRK09R0Ub6ZQ==" saltValue="FUVZOaw3Ds+cZlrLgZgm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3480</v>
      </c>
      <c r="C2" s="49">
        <v>7778.0000000000009</v>
      </c>
      <c r="D2" s="49">
        <v>11279.5</v>
      </c>
      <c r="E2" s="49">
        <v>10297</v>
      </c>
      <c r="F2" s="49">
        <v>6283.5</v>
      </c>
      <c r="G2" s="17">
        <f t="shared" ref="G2:G13" si="0">C2+D2+E2+F2</f>
        <v>35638</v>
      </c>
      <c r="H2" s="17">
        <f t="shared" ref="H2:H13" si="1">(B2 + stillbirth*B2/(1000-stillbirth))/(1-abortion)</f>
        <v>4011.17119846591</v>
      </c>
      <c r="I2" s="17">
        <f t="shared" ref="I2:I13" si="2">G2-H2</f>
        <v>31626.828801534091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3466</v>
      </c>
      <c r="C3" s="50">
        <v>8105.4999999999991</v>
      </c>
      <c r="D3" s="50">
        <v>11191.5</v>
      </c>
      <c r="E3" s="50">
        <v>10430</v>
      </c>
      <c r="F3" s="50">
        <v>6564.5</v>
      </c>
      <c r="G3" s="17">
        <f t="shared" si="0"/>
        <v>36291.5</v>
      </c>
      <c r="H3" s="17">
        <f t="shared" si="1"/>
        <v>3995.0343028398975</v>
      </c>
      <c r="I3" s="17">
        <f t="shared" si="2"/>
        <v>32296.465697160103</v>
      </c>
    </row>
    <row r="4" spans="1:9" ht="15.75" customHeight="1" x14ac:dyDescent="0.25">
      <c r="A4" s="5">
        <f t="shared" si="3"/>
        <v>2026</v>
      </c>
      <c r="B4" s="49">
        <v>3462</v>
      </c>
      <c r="C4" s="50">
        <v>8410.0000000000018</v>
      </c>
      <c r="D4" s="50">
        <v>11135.5</v>
      </c>
      <c r="E4" s="50">
        <v>10554.5</v>
      </c>
      <c r="F4" s="50">
        <v>6855</v>
      </c>
      <c r="G4" s="17">
        <f t="shared" si="0"/>
        <v>36955</v>
      </c>
      <c r="H4" s="17">
        <f t="shared" si="1"/>
        <v>3990.4237612324655</v>
      </c>
      <c r="I4" s="17">
        <f t="shared" si="2"/>
        <v>32964.576238767535</v>
      </c>
    </row>
    <row r="5" spans="1:9" ht="15.75" customHeight="1" x14ac:dyDescent="0.25">
      <c r="A5" s="5">
        <f t="shared" si="3"/>
        <v>2027</v>
      </c>
      <c r="B5" s="49">
        <v>3458</v>
      </c>
      <c r="C5" s="50">
        <v>8659.9999999999982</v>
      </c>
      <c r="D5" s="50">
        <v>11134</v>
      </c>
      <c r="E5" s="50">
        <v>10671</v>
      </c>
      <c r="F5" s="50">
        <v>7150.5000000000009</v>
      </c>
      <c r="G5" s="17">
        <f t="shared" si="0"/>
        <v>37615.5</v>
      </c>
      <c r="H5" s="17">
        <f t="shared" si="1"/>
        <v>3985.8132196250335</v>
      </c>
      <c r="I5" s="17">
        <f t="shared" si="2"/>
        <v>33629.686780374963</v>
      </c>
    </row>
    <row r="6" spans="1:9" ht="15.75" customHeight="1" x14ac:dyDescent="0.25">
      <c r="A6" s="5">
        <f t="shared" si="3"/>
        <v>2028</v>
      </c>
      <c r="B6" s="49">
        <v>3444</v>
      </c>
      <c r="C6" s="50">
        <v>8850.5</v>
      </c>
      <c r="D6" s="50">
        <v>11205.5</v>
      </c>
      <c r="E6" s="50">
        <v>10767</v>
      </c>
      <c r="F6" s="50">
        <v>7443.5</v>
      </c>
      <c r="G6" s="17">
        <f t="shared" si="0"/>
        <v>38266.5</v>
      </c>
      <c r="H6" s="17">
        <f t="shared" si="1"/>
        <v>3969.676323999021</v>
      </c>
      <c r="I6" s="17">
        <f t="shared" si="2"/>
        <v>34296.823676000982</v>
      </c>
    </row>
    <row r="7" spans="1:9" ht="15.75" customHeight="1" x14ac:dyDescent="0.25">
      <c r="A7" s="5">
        <f t="shared" si="3"/>
        <v>2029</v>
      </c>
      <c r="B7" s="49">
        <v>3444</v>
      </c>
      <c r="C7" s="50">
        <v>8994</v>
      </c>
      <c r="D7" s="50">
        <v>11356</v>
      </c>
      <c r="E7" s="50">
        <v>10827.5</v>
      </c>
      <c r="F7" s="50">
        <v>7707</v>
      </c>
      <c r="G7" s="17">
        <f t="shared" si="0"/>
        <v>38884.5</v>
      </c>
      <c r="H7" s="17">
        <f t="shared" si="1"/>
        <v>3969.676323999021</v>
      </c>
      <c r="I7" s="17">
        <f t="shared" si="2"/>
        <v>34914.823676000982</v>
      </c>
    </row>
    <row r="8" spans="1:9" ht="15.75" customHeight="1" x14ac:dyDescent="0.25">
      <c r="A8" s="5">
        <f t="shared" si="3"/>
        <v>2030</v>
      </c>
      <c r="B8" s="49">
        <v>3429</v>
      </c>
      <c r="C8" s="50">
        <v>9103.5</v>
      </c>
      <c r="D8" s="50">
        <v>11588.5</v>
      </c>
      <c r="E8" s="50">
        <v>10841</v>
      </c>
      <c r="F8" s="50">
        <v>7946.5</v>
      </c>
      <c r="G8" s="17">
        <f t="shared" si="0"/>
        <v>39479.5</v>
      </c>
      <c r="H8" s="17">
        <f t="shared" si="1"/>
        <v>3952.386792971151</v>
      </c>
      <c r="I8" s="17">
        <f t="shared" si="2"/>
        <v>35527.113207028851</v>
      </c>
    </row>
    <row r="9" spans="1:9" ht="15.75" customHeight="1" x14ac:dyDescent="0.25">
      <c r="A9" s="5">
        <f t="shared" si="3"/>
        <v>2031</v>
      </c>
      <c r="B9" s="49">
        <v>3420</v>
      </c>
      <c r="C9" s="50">
        <v>9179.5</v>
      </c>
      <c r="D9" s="50">
        <v>11907</v>
      </c>
      <c r="E9" s="50">
        <v>10801.5</v>
      </c>
      <c r="F9" s="50">
        <v>8173</v>
      </c>
      <c r="G9" s="17">
        <f t="shared" si="0"/>
        <v>40061</v>
      </c>
      <c r="H9" s="17">
        <f t="shared" si="1"/>
        <v>3942.0130743544287</v>
      </c>
      <c r="I9" s="17">
        <f t="shared" si="2"/>
        <v>36118.986925645571</v>
      </c>
    </row>
    <row r="10" spans="1:9" ht="15.75" customHeight="1" x14ac:dyDescent="0.25">
      <c r="A10" s="5">
        <f t="shared" si="3"/>
        <v>2032</v>
      </c>
      <c r="B10" s="49">
        <v>3405</v>
      </c>
      <c r="C10" s="50">
        <v>9240</v>
      </c>
      <c r="D10" s="50">
        <v>12294</v>
      </c>
      <c r="E10" s="50">
        <v>10713.5</v>
      </c>
      <c r="F10" s="50">
        <v>8372.5</v>
      </c>
      <c r="G10" s="17">
        <f t="shared" si="0"/>
        <v>40620</v>
      </c>
      <c r="H10" s="17">
        <f t="shared" si="1"/>
        <v>3924.7235433265582</v>
      </c>
      <c r="I10" s="17">
        <f t="shared" si="2"/>
        <v>36695.27645667344</v>
      </c>
    </row>
    <row r="11" spans="1:9" ht="15.75" customHeight="1" x14ac:dyDescent="0.25">
      <c r="A11" s="5">
        <f t="shared" si="3"/>
        <v>2033</v>
      </c>
      <c r="B11" s="49">
        <v>3405</v>
      </c>
      <c r="C11" s="50">
        <v>9297.5</v>
      </c>
      <c r="D11" s="50">
        <v>12716</v>
      </c>
      <c r="E11" s="50">
        <v>10597</v>
      </c>
      <c r="F11" s="50">
        <v>8546</v>
      </c>
      <c r="G11" s="17">
        <f t="shared" si="0"/>
        <v>41156.5</v>
      </c>
      <c r="H11" s="17">
        <f t="shared" si="1"/>
        <v>3924.7235433265582</v>
      </c>
      <c r="I11" s="17">
        <f t="shared" si="2"/>
        <v>37231.77645667344</v>
      </c>
    </row>
    <row r="12" spans="1:9" ht="15.75" customHeight="1" x14ac:dyDescent="0.25">
      <c r="A12" s="5">
        <f t="shared" si="3"/>
        <v>2034</v>
      </c>
      <c r="B12" s="49">
        <v>3402</v>
      </c>
      <c r="C12" s="50">
        <v>9350</v>
      </c>
      <c r="D12" s="50">
        <v>13133</v>
      </c>
      <c r="E12" s="50">
        <v>10485</v>
      </c>
      <c r="F12" s="50">
        <v>8691.5</v>
      </c>
      <c r="G12" s="17">
        <f t="shared" si="0"/>
        <v>41659.5</v>
      </c>
      <c r="H12" s="17">
        <f t="shared" si="1"/>
        <v>3921.2656371209841</v>
      </c>
      <c r="I12" s="17">
        <f t="shared" si="2"/>
        <v>37738.234362879019</v>
      </c>
    </row>
    <row r="13" spans="1:9" ht="15.75" customHeight="1" x14ac:dyDescent="0.25">
      <c r="A13" s="5">
        <f t="shared" si="3"/>
        <v>2035</v>
      </c>
      <c r="B13" s="49">
        <v>3424</v>
      </c>
      <c r="C13" s="50">
        <v>9398</v>
      </c>
      <c r="D13" s="50">
        <v>13513.5</v>
      </c>
      <c r="E13" s="50">
        <v>10401.5</v>
      </c>
      <c r="F13" s="50">
        <v>8810</v>
      </c>
      <c r="G13" s="17">
        <f t="shared" si="0"/>
        <v>42123</v>
      </c>
      <c r="H13" s="17">
        <f t="shared" si="1"/>
        <v>3946.6236159618607</v>
      </c>
      <c r="I13" s="17">
        <f t="shared" si="2"/>
        <v>38176.376384038136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b0DtekoycdhF6JFQUyk/rdGOBBefUrvtNk2jOEgAkuoZ5IWhJalTm1l7ps7GsFgwujKF8slbbbODUe+BYV32Q==" saltValue="H0BvGpekJfkIITKdBrCXC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7.2434000000000057E-3</v>
      </c>
    </row>
    <row r="4" spans="1:8" ht="15.75" customHeight="1" x14ac:dyDescent="0.25">
      <c r="B4" s="19" t="s">
        <v>79</v>
      </c>
      <c r="C4" s="101">
        <v>4.3596400000000077E-2</v>
      </c>
    </row>
    <row r="5" spans="1:8" ht="15.75" customHeight="1" x14ac:dyDescent="0.25">
      <c r="B5" s="19" t="s">
        <v>80</v>
      </c>
      <c r="C5" s="101">
        <v>6.4211200000000065E-2</v>
      </c>
    </row>
    <row r="6" spans="1:8" ht="15.75" customHeight="1" x14ac:dyDescent="0.25">
      <c r="B6" s="19" t="s">
        <v>81</v>
      </c>
      <c r="C6" s="101">
        <v>0.23054500000000039</v>
      </c>
    </row>
    <row r="7" spans="1:8" ht="15.75" customHeight="1" x14ac:dyDescent="0.25">
      <c r="B7" s="19" t="s">
        <v>82</v>
      </c>
      <c r="C7" s="101">
        <v>0.41386899999999921</v>
      </c>
    </row>
    <row r="8" spans="1:8" ht="15.75" customHeight="1" x14ac:dyDescent="0.25">
      <c r="B8" s="19" t="s">
        <v>83</v>
      </c>
      <c r="C8" s="101">
        <v>1.0072000000000011E-3</v>
      </c>
    </row>
    <row r="9" spans="1:8" ht="15.75" customHeight="1" x14ac:dyDescent="0.25">
      <c r="B9" s="19" t="s">
        <v>84</v>
      </c>
      <c r="C9" s="101">
        <v>0.1080942</v>
      </c>
    </row>
    <row r="10" spans="1:8" ht="15.75" customHeight="1" x14ac:dyDescent="0.25">
      <c r="B10" s="19" t="s">
        <v>85</v>
      </c>
      <c r="C10" s="101">
        <v>0.13143360000000009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0.22235742576796599</v>
      </c>
      <c r="D14" s="55">
        <v>0.22235742576796599</v>
      </c>
      <c r="E14" s="55">
        <v>0.22235742576796599</v>
      </c>
      <c r="F14" s="55">
        <v>0.22235742576796599</v>
      </c>
    </row>
    <row r="15" spans="1:8" ht="15.75" customHeight="1" x14ac:dyDescent="0.25">
      <c r="B15" s="19" t="s">
        <v>88</v>
      </c>
      <c r="C15" s="101">
        <v>0.27767046684836882</v>
      </c>
      <c r="D15" s="101">
        <v>0.27767046684836882</v>
      </c>
      <c r="E15" s="101">
        <v>0.27767046684836882</v>
      </c>
      <c r="F15" s="101">
        <v>0.27767046684836882</v>
      </c>
    </row>
    <row r="16" spans="1:8" ht="15.75" customHeight="1" x14ac:dyDescent="0.25">
      <c r="B16" s="19" t="s">
        <v>89</v>
      </c>
      <c r="C16" s="101">
        <v>1.9460982459906701E-2</v>
      </c>
      <c r="D16" s="101">
        <v>1.9460982459906701E-2</v>
      </c>
      <c r="E16" s="101">
        <v>1.9460982459906701E-2</v>
      </c>
      <c r="F16" s="101">
        <v>1.9460982459906701E-2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0.16417924456219579</v>
      </c>
      <c r="D21" s="101">
        <v>0.16417924456219579</v>
      </c>
      <c r="E21" s="101">
        <v>0.16417924456219579</v>
      </c>
      <c r="F21" s="101">
        <v>0.16417924456219579</v>
      </c>
    </row>
    <row r="22" spans="1:8" ht="15.75" customHeight="1" x14ac:dyDescent="0.25">
      <c r="B22" s="19" t="s">
        <v>95</v>
      </c>
      <c r="C22" s="101">
        <v>0.3163318803615629</v>
      </c>
      <c r="D22" s="101">
        <v>0.3163318803615629</v>
      </c>
      <c r="E22" s="101">
        <v>0.3163318803615629</v>
      </c>
      <c r="F22" s="101">
        <v>0.3163318803615629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3.8186174000000003E-2</v>
      </c>
    </row>
    <row r="27" spans="1:8" ht="15.75" customHeight="1" x14ac:dyDescent="0.25">
      <c r="B27" s="19" t="s">
        <v>102</v>
      </c>
      <c r="C27" s="101">
        <v>3.5979345000000003E-2</v>
      </c>
    </row>
    <row r="28" spans="1:8" ht="15.75" customHeight="1" x14ac:dyDescent="0.25">
      <c r="B28" s="19" t="s">
        <v>103</v>
      </c>
      <c r="C28" s="101">
        <v>0.17918920699999999</v>
      </c>
    </row>
    <row r="29" spans="1:8" ht="15.75" customHeight="1" x14ac:dyDescent="0.25">
      <c r="B29" s="19" t="s">
        <v>104</v>
      </c>
      <c r="C29" s="101">
        <v>9.3383905000000003E-2</v>
      </c>
    </row>
    <row r="30" spans="1:8" ht="15.75" customHeight="1" x14ac:dyDescent="0.25">
      <c r="B30" s="19" t="s">
        <v>2</v>
      </c>
      <c r="C30" s="101">
        <v>4.2695289999999983E-2</v>
      </c>
    </row>
    <row r="31" spans="1:8" ht="15.75" customHeight="1" x14ac:dyDescent="0.25">
      <c r="B31" s="19" t="s">
        <v>105</v>
      </c>
      <c r="C31" s="101">
        <v>0.135273369</v>
      </c>
    </row>
    <row r="32" spans="1:8" ht="15.75" customHeight="1" x14ac:dyDescent="0.25">
      <c r="B32" s="19" t="s">
        <v>106</v>
      </c>
      <c r="C32" s="101">
        <v>0.18705686599999999</v>
      </c>
    </row>
    <row r="33" spans="2:3" ht="15.75" customHeight="1" x14ac:dyDescent="0.25">
      <c r="B33" s="19" t="s">
        <v>107</v>
      </c>
      <c r="C33" s="101">
        <v>0.13805392899999999</v>
      </c>
    </row>
    <row r="34" spans="2:3" ht="15.75" customHeight="1" x14ac:dyDescent="0.25">
      <c r="B34" s="19" t="s">
        <v>108</v>
      </c>
      <c r="C34" s="101">
        <v>0.150181916</v>
      </c>
    </row>
    <row r="35" spans="2:3" ht="15.75" customHeight="1" x14ac:dyDescent="0.25">
      <c r="B35" s="27" t="s">
        <v>41</v>
      </c>
      <c r="C35" s="48">
        <f>SUM(C26:C34)</f>
        <v>1.0000000009999999</v>
      </c>
    </row>
  </sheetData>
  <sheetProtection algorithmName="SHA-512" hashValue="M0A7qAy7e64xEK0H+ZIyIHVvfqdPODYVHV9hgsWxvg/sWNNq/LCV4zfzJH6NZxSPntH5sHHikkr2bffBjbvrNw==" saltValue="g/rsnmjQLBIPcXW7k/bsv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0.68530893122159209</v>
      </c>
      <c r="D2" s="52">
        <f>IFERROR(1-_xlfn.NORM.DIST(_xlfn.NORM.INV(SUM(D4:D5), 0, 1) + 1, 0, 1, TRUE), "")</f>
        <v>0.68530893122159209</v>
      </c>
      <c r="E2" s="52">
        <f>IFERROR(1-_xlfn.NORM.DIST(_xlfn.NORM.INV(SUM(E4:E5), 0, 1) + 1, 0, 1, TRUE), "")</f>
        <v>0.71403464461608135</v>
      </c>
      <c r="F2" s="52">
        <f>IFERROR(1-_xlfn.NORM.DIST(_xlfn.NORM.INV(SUM(F4:F5), 0, 1) + 1, 0, 1, TRUE), "")</f>
        <v>0.53686912809634602</v>
      </c>
      <c r="G2" s="52">
        <f>IFERROR(1-_xlfn.NORM.DIST(_xlfn.NORM.INV(SUM(G4:G5), 0, 1) + 1, 0, 1, TRUE), "")</f>
        <v>0.45067441162678157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0.24560026877840796</v>
      </c>
      <c r="D3" s="52">
        <f>IFERROR(_xlfn.NORM.DIST(_xlfn.NORM.INV(SUM(D4:D5), 0, 1) + 1, 0, 1, TRUE) - SUM(D4:D5), "")</f>
        <v>0.24560026877840796</v>
      </c>
      <c r="E3" s="52">
        <f>IFERROR(_xlfn.NORM.DIST(_xlfn.NORM.INV(SUM(E4:E5), 0, 1) + 1, 0, 1, TRUE) - SUM(E4:E5), "")</f>
        <v>0.22719855538391864</v>
      </c>
      <c r="F3" s="52">
        <f>IFERROR(_xlfn.NORM.DIST(_xlfn.NORM.INV(SUM(F4:F5), 0, 1) + 1, 0, 1, TRUE) - SUM(F4:F5), "")</f>
        <v>0.32583497190365407</v>
      </c>
      <c r="G3" s="52">
        <f>IFERROR(_xlfn.NORM.DIST(_xlfn.NORM.INV(SUM(G4:G5), 0, 1) + 1, 0, 1, TRUE) - SUM(G4:G5), "")</f>
        <v>0.35882208837321844</v>
      </c>
    </row>
    <row r="4" spans="1:15" ht="15.75" customHeight="1" x14ac:dyDescent="0.25">
      <c r="B4" s="5" t="s">
        <v>114</v>
      </c>
      <c r="C4" s="45">
        <v>5.7732699999999998E-2</v>
      </c>
      <c r="D4" s="53">
        <v>5.7732699999999998E-2</v>
      </c>
      <c r="E4" s="53">
        <v>3.7514100000000002E-2</v>
      </c>
      <c r="F4" s="53">
        <v>8.4266199999999999E-2</v>
      </c>
      <c r="G4" s="53">
        <v>0.14328250000000001</v>
      </c>
    </row>
    <row r="5" spans="1:15" ht="15.75" customHeight="1" x14ac:dyDescent="0.25">
      <c r="B5" s="5" t="s">
        <v>115</v>
      </c>
      <c r="C5" s="45">
        <v>1.1358099999999999E-2</v>
      </c>
      <c r="D5" s="53">
        <v>1.1358099999999999E-2</v>
      </c>
      <c r="E5" s="53">
        <v>2.1252699999999999E-2</v>
      </c>
      <c r="F5" s="53">
        <v>5.3029699999999999E-2</v>
      </c>
      <c r="G5" s="53">
        <v>4.7220999999999999E-2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0.59564306203041173</v>
      </c>
      <c r="D8" s="52">
        <f>IFERROR(1-_xlfn.NORM.DIST(_xlfn.NORM.INV(SUM(D10:D11), 0, 1) + 1, 0, 1, TRUE), "")</f>
        <v>0.59564306203041173</v>
      </c>
      <c r="E8" s="52">
        <f>IFERROR(1-_xlfn.NORM.DIST(_xlfn.NORM.INV(SUM(E10:E11), 0, 1) + 1, 0, 1, TRUE), "")</f>
        <v>0.70919815778332507</v>
      </c>
      <c r="F8" s="52">
        <f>IFERROR(1-_xlfn.NORM.DIST(_xlfn.NORM.INV(SUM(F10:F11), 0, 1) + 1, 0, 1, TRUE), "")</f>
        <v>0.77746088192221219</v>
      </c>
      <c r="G8" s="52">
        <f>IFERROR(1-_xlfn.NORM.DIST(_xlfn.NORM.INV(SUM(G10:G11), 0, 1) + 1, 0, 1, TRUE), "")</f>
        <v>0.87476102653628784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0.29725443796958828</v>
      </c>
      <c r="D9" s="52">
        <f>IFERROR(_xlfn.NORM.DIST(_xlfn.NORM.INV(SUM(D10:D11), 0, 1) + 1, 0, 1, TRUE) - SUM(D10:D11), "")</f>
        <v>0.29725443796958828</v>
      </c>
      <c r="E9" s="52">
        <f>IFERROR(_xlfn.NORM.DIST(_xlfn.NORM.INV(SUM(E10:E11), 0, 1) + 1, 0, 1, TRUE) - SUM(E10:E11), "")</f>
        <v>0.23035624221667494</v>
      </c>
      <c r="F9" s="52">
        <f>IFERROR(_xlfn.NORM.DIST(_xlfn.NORM.INV(SUM(F10:F11), 0, 1) + 1, 0, 1, TRUE) - SUM(F10:F11), "")</f>
        <v>0.18364331807778783</v>
      </c>
      <c r="G9" s="52">
        <f>IFERROR(_xlfn.NORM.DIST(_xlfn.NORM.INV(SUM(G10:G11), 0, 1) + 1, 0, 1, TRUE) - SUM(G10:G11), "")</f>
        <v>0.10942927346371215</v>
      </c>
    </row>
    <row r="10" spans="1:15" ht="15.75" customHeight="1" x14ac:dyDescent="0.25">
      <c r="B10" s="5" t="s">
        <v>119</v>
      </c>
      <c r="C10" s="45">
        <v>7.4211700000000005E-2</v>
      </c>
      <c r="D10" s="53">
        <v>7.4211700000000005E-2</v>
      </c>
      <c r="E10" s="53">
        <v>4.0096399999999997E-2</v>
      </c>
      <c r="F10" s="53">
        <v>2.40913E-2</v>
      </c>
      <c r="G10" s="53">
        <v>8.5543000000000008E-3</v>
      </c>
    </row>
    <row r="11" spans="1:15" ht="15.75" customHeight="1" x14ac:dyDescent="0.25">
      <c r="B11" s="5" t="s">
        <v>120</v>
      </c>
      <c r="C11" s="45">
        <v>3.2890799999999998E-2</v>
      </c>
      <c r="D11" s="53">
        <v>3.2890799999999998E-2</v>
      </c>
      <c r="E11" s="53">
        <v>2.0349200000000001E-2</v>
      </c>
      <c r="F11" s="53">
        <v>1.48045E-2</v>
      </c>
      <c r="G11" s="53">
        <v>7.2554000000000004E-3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0.51340841550000005</v>
      </c>
      <c r="D14" s="54">
        <v>0.51488794754</v>
      </c>
      <c r="E14" s="54">
        <v>0.51488794754</v>
      </c>
      <c r="F14" s="54">
        <v>0.30718176750999998</v>
      </c>
      <c r="G14" s="54">
        <v>0.30718176750999998</v>
      </c>
      <c r="H14" s="45">
        <v>0.36</v>
      </c>
      <c r="I14" s="55">
        <v>0.36</v>
      </c>
      <c r="J14" s="55">
        <v>0.36</v>
      </c>
      <c r="K14" s="55">
        <v>0.36</v>
      </c>
      <c r="L14" s="45">
        <v>0.253</v>
      </c>
      <c r="M14" s="55">
        <v>0.253</v>
      </c>
      <c r="N14" s="55">
        <v>0.253</v>
      </c>
      <c r="O14" s="55">
        <v>0.253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0.29179361931576303</v>
      </c>
      <c r="D15" s="52">
        <f t="shared" si="0"/>
        <v>0.29263450543256886</v>
      </c>
      <c r="E15" s="52">
        <f t="shared" si="0"/>
        <v>0.29263450543256886</v>
      </c>
      <c r="F15" s="52">
        <f t="shared" si="0"/>
        <v>0.17458552883723846</v>
      </c>
      <c r="G15" s="52">
        <f t="shared" si="0"/>
        <v>0.17458552883723846</v>
      </c>
      <c r="H15" s="52">
        <f t="shared" si="0"/>
        <v>0.20460455999999999</v>
      </c>
      <c r="I15" s="52">
        <f t="shared" si="0"/>
        <v>0.20460455999999999</v>
      </c>
      <c r="J15" s="52">
        <f t="shared" si="0"/>
        <v>0.20460455999999999</v>
      </c>
      <c r="K15" s="52">
        <f t="shared" si="0"/>
        <v>0.20460455999999999</v>
      </c>
      <c r="L15" s="52">
        <f t="shared" si="0"/>
        <v>0.143791538</v>
      </c>
      <c r="M15" s="52">
        <f t="shared" si="0"/>
        <v>0.143791538</v>
      </c>
      <c r="N15" s="52">
        <f t="shared" si="0"/>
        <v>0.143791538</v>
      </c>
      <c r="O15" s="52">
        <f t="shared" si="0"/>
        <v>0.143791538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dfW+Df3ho1nhM3mzZYaVP0ardKtJrX+TJpI2sSPZZQ82T/tA29SRa0HWudrD3ycFrAVlhDBHaoAlqcDxLyxLA==" saltValue="VWzNw1Mznxj7A2erI+Yo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0.75947090000000006</v>
      </c>
      <c r="D2" s="53">
        <v>0.62829849999999998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9.82682E-2</v>
      </c>
      <c r="D3" s="53">
        <v>0.1174654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9.82682E-2</v>
      </c>
      <c r="D4" s="53">
        <v>0.1495677</v>
      </c>
      <c r="E4" s="53">
        <v>0.77113910000000008</v>
      </c>
      <c r="F4" s="53">
        <v>0.61218490000000003</v>
      </c>
      <c r="G4" s="53">
        <v>0</v>
      </c>
    </row>
    <row r="5" spans="1:7" x14ac:dyDescent="0.25">
      <c r="B5" s="3" t="s">
        <v>132</v>
      </c>
      <c r="C5" s="52">
        <v>4.3992700000000003E-2</v>
      </c>
      <c r="D5" s="52">
        <v>0.10466830000000001</v>
      </c>
      <c r="E5" s="52">
        <f>1-SUM(E2:E4)</f>
        <v>0.22886089999999992</v>
      </c>
      <c r="F5" s="52">
        <f>1-SUM(F2:F4)</f>
        <v>0.38781509999999997</v>
      </c>
      <c r="G5" s="52">
        <f>1-SUM(G2:G4)</f>
        <v>1</v>
      </c>
    </row>
  </sheetData>
  <sheetProtection algorithmName="SHA-512" hashValue="XzWAo7Cyug4vRfgUIfaHATJr2xEp+t+ii+TaS9F08MAWpRsH0iXCQCqGdwY2zC2HxMU+r7B6Oi1IjnFumGJ4ZQ==" saltValue="D3Mrj9BubqLFVNVl9zCge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9o8hffpWUwRHhfg15RGk3r9GlBILtMB2SlP2/Vq1z2rj+cPiXZRsGSB0W679EXu+ol2zmoZfN+WEA/34Eiwpg==" saltValue="SM9zSwtBtfep1eXgLAbNU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jOF01yTYWAss3UeUw94zq/hIepnAX8oYXzENr0kjSY++NUAOJ7LDiUVQvaKHT052F61YjnJKXOxeG7ZcDrPoHg==" saltValue="KimsCv/cS2HTf7ElT5VaD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LllFNvefhx8sf65OViVMalTZtFuiRk3TWh2BDsDugDLe9U7qh7JiE/NWu1izBiFby/Ohp4Hfkc+IV+9HfUikKw==" saltValue="ys8avX+YQ/VEtDQTmjkIB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2kJov3Jjj0TzoxK4cNiAsmp9JXEQfPg+I3hd0SC97NwQXx662OO1oqyPa20X6aXIgc1oWktOjk2lqmDDqt1syQ==" saltValue="plgwlfCftglgJLijesljJ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41.719855648336448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0.22059325775620001</v>
      </c>
      <c r="C3" s="98">
        <v>0.95</v>
      </c>
      <c r="D3" s="56">
        <v>44.789305247946928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158.70578687466161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2.172624196694712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0.195379</v>
      </c>
      <c r="C10" s="98">
        <v>0.95</v>
      </c>
      <c r="D10" s="56">
        <v>14.31436711706729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0.195379</v>
      </c>
      <c r="C11" s="98">
        <v>0.95</v>
      </c>
      <c r="D11" s="56">
        <v>14.31436711706729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0.195379</v>
      </c>
      <c r="C12" s="98">
        <v>0.95</v>
      </c>
      <c r="D12" s="56">
        <v>14.31436711706729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0.195379</v>
      </c>
      <c r="C13" s="98">
        <v>0.95</v>
      </c>
      <c r="D13" s="56">
        <v>14.31436711706729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0.195379</v>
      </c>
      <c r="C14" s="98">
        <v>0.95</v>
      </c>
      <c r="D14" s="56">
        <v>14.31436711706729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0.195379</v>
      </c>
      <c r="C15" s="98">
        <v>0.95</v>
      </c>
      <c r="D15" s="56">
        <v>14.31436711706729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0.93</v>
      </c>
      <c r="C16" s="98">
        <v>0.95</v>
      </c>
      <c r="D16" s="56">
        <v>0.37065239935599892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0.10846760728617</v>
      </c>
      <c r="C18" s="98">
        <v>0.95</v>
      </c>
      <c r="D18" s="56">
        <v>3.7356966196012209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0.45182050000000001</v>
      </c>
      <c r="C19" s="98">
        <v>0.95</v>
      </c>
      <c r="D19" s="56">
        <v>3.7356966196012209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0.41100759999999997</v>
      </c>
      <c r="C21" s="98">
        <v>0.95</v>
      </c>
      <c r="D21" s="56">
        <v>21.53623251599171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24.468800057211059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4.7368458458873084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0.82193176540404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0.195379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20.098178904392949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0.64455706211787001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76.423918391184941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0.37</v>
      </c>
      <c r="C31" s="98">
        <v>0.95</v>
      </c>
      <c r="D31" s="56">
        <v>4.0044889616495247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0.75019485502059058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0.37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9.3018500000000004E-2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0.6128325</v>
      </c>
      <c r="C38" s="98">
        <v>0.95</v>
      </c>
      <c r="D38" s="56">
        <v>5.8546499383283868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kj8eQu9f3dfhUXAWQNaUIZHGjg0+QIzKO5T0AebIPcpmkjlaTO9vdGy4n6yWbpxk0CPaPrSP1D7WZZTPhEAMHg==" saltValue="nN67Tb4Yinw63gkDOxlZ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QMT8Rfhbb/NyrcicQ8eHruZciHuVtVpEXlLY8ogMvJzj+41KEydRo47g8/Ncc+PdnmyCys8L4gjdq3sQVR9Sg==" saltValue="DMxdnn3whH7GlDXkDS4/c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rsAgdU4NA9AxODPr4BNM+bNcvMNKhDgNkQM8PjX9cWTFNYtDNk44UeWf8nTwjN0EX3XZDmETMfaY89yiLPs/w==" saltValue="52xFZ3JM3YumONftyPT/p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0.19295042000000001</v>
      </c>
      <c r="C3" s="21">
        <f>frac_mam_1_5months * 2.6</f>
        <v>0.19295042000000001</v>
      </c>
      <c r="D3" s="21">
        <f>frac_mam_6_11months * 2.6</f>
        <v>0.10425063999999999</v>
      </c>
      <c r="E3" s="21">
        <f>frac_mam_12_23months * 2.6</f>
        <v>6.2637380000000006E-2</v>
      </c>
      <c r="F3" s="21">
        <f>frac_mam_24_59months * 2.6</f>
        <v>2.2241180000000003E-2</v>
      </c>
    </row>
    <row r="4" spans="1:6" ht="15.75" customHeight="1" x14ac:dyDescent="0.25">
      <c r="A4" s="3" t="s">
        <v>208</v>
      </c>
      <c r="B4" s="21">
        <f>frac_sam_1month * 2.6</f>
        <v>8.5516079999999994E-2</v>
      </c>
      <c r="C4" s="21">
        <f>frac_sam_1_5months * 2.6</f>
        <v>8.5516079999999994E-2</v>
      </c>
      <c r="D4" s="21">
        <f>frac_sam_6_11months * 2.6</f>
        <v>5.2907920000000004E-2</v>
      </c>
      <c r="E4" s="21">
        <f>frac_sam_12_23months * 2.6</f>
        <v>3.8491700000000004E-2</v>
      </c>
      <c r="F4" s="21">
        <f>frac_sam_24_59months * 2.6</f>
        <v>1.8864040000000002E-2</v>
      </c>
    </row>
  </sheetData>
  <sheetProtection algorithmName="SHA-512" hashValue="Rie5M7JaJqwJmo9lrS+krSEJ6yt4jjSFALg7npowDmvXUCKwJSo0mc6JLqq3NrcbxGA1w8nPHxUtB7Ubz9E5dA==" saltValue="7UGmjE86Pb6V4S7oVINOk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0.129</v>
      </c>
      <c r="E2" s="60">
        <f>food_insecure</f>
        <v>0.129</v>
      </c>
      <c r="F2" s="60">
        <f>food_insecure</f>
        <v>0.129</v>
      </c>
      <c r="G2" s="60">
        <f>food_insecure</f>
        <v>0.129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0.129</v>
      </c>
      <c r="F5" s="60">
        <f>food_insecure</f>
        <v>0.129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0.129</v>
      </c>
      <c r="F8" s="60">
        <f>food_insecure</f>
        <v>0.129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0.129</v>
      </c>
      <c r="F9" s="60">
        <f>food_insecure</f>
        <v>0.129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0.129</v>
      </c>
      <c r="I15" s="60">
        <f>food_insecure</f>
        <v>0.129</v>
      </c>
      <c r="J15" s="60">
        <f>food_insecure</f>
        <v>0.129</v>
      </c>
      <c r="K15" s="60">
        <f>food_insecure</f>
        <v>0.129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0.64200000000000002</v>
      </c>
      <c r="M24" s="60">
        <f>famplan_unmet_need</f>
        <v>0.64200000000000002</v>
      </c>
      <c r="N24" s="60">
        <f>famplan_unmet_need</f>
        <v>0.64200000000000002</v>
      </c>
      <c r="O24" s="60">
        <f>famplan_unmet_need</f>
        <v>0.64200000000000002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9.613375813406401E-2</v>
      </c>
      <c r="M25" s="60">
        <f>(1-food_insecure)*(0.49)+food_insecure*(0.7)</f>
        <v>0.51709000000000005</v>
      </c>
      <c r="N25" s="60">
        <f>(1-food_insecure)*(0.49)+food_insecure*(0.7)</f>
        <v>0.51709000000000005</v>
      </c>
      <c r="O25" s="60">
        <f>(1-food_insecure)*(0.49)+food_insecure*(0.7)</f>
        <v>0.51709000000000005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4.1200182057456E-2</v>
      </c>
      <c r="M26" s="60">
        <f>(1-food_insecure)*(0.21)+food_insecure*(0.3)</f>
        <v>0.22160999999999997</v>
      </c>
      <c r="N26" s="60">
        <f>(1-food_insecure)*(0.21)+food_insecure*(0.3)</f>
        <v>0.22160999999999997</v>
      </c>
      <c r="O26" s="60">
        <f>(1-food_insecure)*(0.21)+food_insecure*(0.3)</f>
        <v>0.22160999999999997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4.8579069408479995E-2</v>
      </c>
      <c r="M27" s="60">
        <f>(1-food_insecure)*(0.3)</f>
        <v>0.26129999999999998</v>
      </c>
      <c r="N27" s="60">
        <f>(1-food_insecure)*(0.3)</f>
        <v>0.26129999999999998</v>
      </c>
      <c r="O27" s="60">
        <f>(1-food_insecure)*(0.3)</f>
        <v>0.26129999999999998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TCPkv30N7y5VA56ffRiTUEAK3k2mqg8KxIYxKoovfjH43Ipvd2fLYsqu+SA6gDF0I2HEszBxAz/bzQEXNVWKQ==" saltValue="3UBbTKWqlJGwRvrx/JZMp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1N1FBDJ3CTqVIjap0cE/dlrlewgoPzeyOxR10AmqQcuJpqycaAeHg29a68LlZ7iSGLtq1D9oKCEC0161Ym+/xQ==" saltValue="mMHz9ADtDtcxnmZhmGEfB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7MRKKNqa+vacioyAczkl5WhyjPGuFSC/wAd0qgQDeU7z1jffHl7tLTbW8NdKEja6LsGWLuKYVDPGHTuOymdqA==" saltValue="bzjLEP6NYsGiOl2XO+nZx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fekal/dFlTnjkxwtxVd9Vi6uTR+8h0DZT2F26Caqf7/yLplmweWFkOVd0cps+0VEuR4k8WSHx9OWtZNafcTGA==" saltValue="mI5aT1TNbD0ird9TiNMYE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fgwcRossAEOCyk28TsTsiFpJD6n9dVrYBqQ5j1nNKX4D3ApVALlfneiwF3LaKEvwt1CAdBp3U9/NqQglQNrFEQ==" saltValue="z26lmJ0jLWoJ4JlqOv/rO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66Aeair/NBxOFtwc4oywj8GQd39eHJM2bHSlf8FXBE231B4488G8ZxShQf0bnsUTuuupxna1AZKhRrRZLFy0sw==" saltValue="aMBlzv5uwSSW8NrYobHyz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uEs1VL73zSoGt3v+1TTgzjCEWmPA82u5FmZpr36bEqGebYGbZLNVbYqeOQzkMG2D4CW46mUeIMvpVL1jm9LirA==" saltValue="gxMV/0afQFxaAi1TcuQC5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3HEuaCH+4srDiwH1YMhVWd8ezt2Iqbm2he17GnxsCdrxSAxMn+4gEtCPkiV9XUijm5wlawwMRR1Rw9oLi3bl+A==" saltValue="Xfig4NNKcRgJ5hu/xcbm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6KMP9IvH0bl8HqdRNcKCTfKQ1XYldkSVJFbMjuYy3OI0hAQthmQOYU4798jGAppIQXInagWk/GtQ2h7UJ3w0Q==" saltValue="6x5QjnxuWEhfPsptKQju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8JSSzb4pGKAkFHnfE9ASnm6RiFNdCellzFAmNqEQRLXEwPQjtM1FnuKVmjCH8Ee8sL8XZ0NuicIezFQ7elJwGA==" saltValue="kfM2oRCVbJjDZ8Gr5hcf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qM3pl5LC6u80GhlIUP/FbChSLgJLNOgh4V6c+4K6g9iz9Nam2kGWEbg98TWzHsL6kacvIUIcyeapLJAlxr4GPA==" saltValue="5yCSqxtXCYM/OFw5ySQX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Oso+VBSBC2MbizzuMAzDyUFgI6au9DEy9xjckJF733xgi7ejzkO3nUliPsj7mx7mv1z0zIIvHffYLDNezgzhA==" saltValue="yL4Fyou0R1J3/uvAzJ6X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v/NAVmDNuPGHLAbXchyZGwwleJXMU7IqiV0oXSndVnqrn0mDkED9NK/OX9U4XKOY3S/du/pkx7tIOiND6WIGw==" saltValue="ldT9NtHQ7t43ILsyGb0/c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r/j90xO0iSDSefoN+xjuGUwIw16HQ0Po922uyHzd4RiAqivM/DbTaUyAlMzj4c3rvF49nUnhUpfAyYZ0VGgxOg==" saltValue="caliHCRp8cD1Hg1+QKkU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GwrrV7uGvssb1LeauIZ+aOvpX0xocoQbZAr+D/5OQu2fmRTdXKdu57O23tYH6S6hVXWlBD5i/iv8vncRE7Gxyw==" saltValue="AP2vnpx9w7n21xCSz1H0u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2024-05-17T00:34:57Z</dcterms:modified>
</cp:coreProperties>
</file>