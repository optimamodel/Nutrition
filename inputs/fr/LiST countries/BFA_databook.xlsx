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0EC000F-5035-4625-85B7-6CD40680B31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1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36" i="2" s="1"/>
  <c r="C33" i="1"/>
  <c r="C20" i="1"/>
  <c r="A29" i="2" l="1"/>
  <c r="A37" i="2"/>
  <c r="I4" i="2"/>
  <c r="A38" i="2"/>
  <c r="A2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14" i="2"/>
  <c r="A22" i="2"/>
  <c r="A30" i="2"/>
  <c r="A40" i="2"/>
  <c r="A15" i="2"/>
  <c r="A31" i="2"/>
  <c r="A16" i="2"/>
  <c r="A24" i="2"/>
  <c r="A32" i="2"/>
  <c r="A17" i="2"/>
  <c r="A25" i="2"/>
  <c r="A33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<sst xmlns="http://schemas.openxmlformats.org/spreadsheetml/2006/main" count="2101" uniqueCount="337">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</sst>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3718927.21875</v>
      </c>
    </row>
    <row r="8" spans="1:3" ht="15" customHeight="1" x14ac:dyDescent="0.25">
      <c r="B8" s="5" t="s">
        <v>19</v>
      </c>
      <c r="C8" s="44">
        <v>0.43700000000000011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0.29334579467773397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0.55000000000000004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0.1002</v>
      </c>
    </row>
    <row r="24" spans="1:3" ht="15" customHeight="1" x14ac:dyDescent="0.25">
      <c r="B24" s="15" t="s">
        <v>33</v>
      </c>
      <c r="C24" s="45">
        <v>0.46389999999999998</v>
      </c>
    </row>
    <row r="25" spans="1:3" ht="15" customHeight="1" x14ac:dyDescent="0.25">
      <c r="B25" s="15" t="s">
        <v>34</v>
      </c>
      <c r="C25" s="45">
        <v>0.34920000000000001</v>
      </c>
    </row>
    <row r="26" spans="1:3" ht="15" customHeight="1" x14ac:dyDescent="0.25">
      <c r="B26" s="15" t="s">
        <v>35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0.21763249840316501</v>
      </c>
    </row>
    <row r="30" spans="1:3" ht="14.25" customHeight="1" x14ac:dyDescent="0.25">
      <c r="B30" s="25" t="s">
        <v>38</v>
      </c>
      <c r="C30" s="99">
        <v>2.8261826382030401E-2</v>
      </c>
    </row>
    <row r="31" spans="1:3" ht="14.25" customHeight="1" x14ac:dyDescent="0.25">
      <c r="B31" s="25" t="s">
        <v>39</v>
      </c>
      <c r="C31" s="99">
        <v>5.3921783185132001E-2</v>
      </c>
    </row>
    <row r="32" spans="1:3" ht="14.25" customHeight="1" x14ac:dyDescent="0.25">
      <c r="B32" s="25" t="s">
        <v>40</v>
      </c>
      <c r="C32" s="99">
        <v>0.70018389202967202</v>
      </c>
    </row>
    <row r="33" spans="1:5" ht="13" customHeight="1" x14ac:dyDescent="0.25">
      <c r="B33" s="27" t="s">
        <v>41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25.253029999999999</v>
      </c>
    </row>
    <row r="38" spans="1:5" ht="15" customHeight="1" x14ac:dyDescent="0.25">
      <c r="B38" s="11" t="s">
        <v>45</v>
      </c>
      <c r="C38" s="43">
        <v>51.773859999999999</v>
      </c>
      <c r="D38" s="12"/>
      <c r="E38" s="13"/>
    </row>
    <row r="39" spans="1:5" ht="15" customHeight="1" x14ac:dyDescent="0.25">
      <c r="B39" s="11" t="s">
        <v>46</v>
      </c>
      <c r="C39" s="43">
        <v>82.607579999999999</v>
      </c>
      <c r="D39" s="12"/>
      <c r="E39" s="12"/>
    </row>
    <row r="40" spans="1:5" ht="15" customHeight="1" x14ac:dyDescent="0.25">
      <c r="B40" s="11" t="s">
        <v>47</v>
      </c>
      <c r="C40" s="100">
        <v>2.64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7.9159E-3</v>
      </c>
      <c r="D45" s="12"/>
    </row>
    <row r="46" spans="1:5" ht="15.75" customHeight="1" x14ac:dyDescent="0.25">
      <c r="B46" s="11" t="s">
        <v>52</v>
      </c>
      <c r="C46" s="45">
        <v>8.5054999999999992E-2</v>
      </c>
      <c r="D46" s="12"/>
    </row>
    <row r="47" spans="1:5" ht="15.75" customHeight="1" x14ac:dyDescent="0.25">
      <c r="B47" s="11" t="s">
        <v>53</v>
      </c>
      <c r="C47" s="45">
        <v>7.3472799999999991E-2</v>
      </c>
      <c r="D47" s="12"/>
      <c r="E47" s="13"/>
    </row>
    <row r="48" spans="1:5" ht="15" customHeight="1" x14ac:dyDescent="0.25">
      <c r="B48" s="11" t="s">
        <v>54</v>
      </c>
      <c r="C48" s="46">
        <v>0.83355630000000003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0.41227000000000008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9kaOTxAwiMtA0gUVl1XCCuksXGy5bLS2ZbuO6uWfFvMhDklmKkisqbbraXKi3fkkrZa6pWfw+ZE73CJMlbt6sA==" saltValue="ykL/+oWO987foDLgpPbc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810065</v>
      </c>
      <c r="C2" s="49">
        <v>1614385</v>
      </c>
      <c r="D2" s="49">
        <v>1990041.5</v>
      </c>
      <c r="E2" s="49">
        <v>1430003.5</v>
      </c>
      <c r="F2" s="49">
        <v>873738.5</v>
      </c>
      <c r="G2" s="17">
        <f t="shared" ref="G2:G13" si="0">C2+D2+E2+F2</f>
        <v>5908168.5</v>
      </c>
      <c r="H2" s="17">
        <f t="shared" ref="H2:H13" si="1">(B2 + stillbirth*B2/(1000-stillbirth))/(1-abortion)</f>
        <v>939682.63684930699</v>
      </c>
      <c r="I2" s="17">
        <f t="shared" ref="I2:I13" si="2">G2-H2</f>
        <v>4968485.8631506935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819320</v>
      </c>
      <c r="C3" s="50">
        <v>1667263</v>
      </c>
      <c r="D3" s="50">
        <v>2055105</v>
      </c>
      <c r="E3" s="50">
        <v>1466491.5</v>
      </c>
      <c r="F3" s="50">
        <v>909040.5</v>
      </c>
      <c r="G3" s="17">
        <f t="shared" si="0"/>
        <v>6097900</v>
      </c>
      <c r="H3" s="17">
        <f t="shared" si="1"/>
        <v>950418.5195303763</v>
      </c>
      <c r="I3" s="17">
        <f t="shared" si="2"/>
        <v>5147481.4804696236</v>
      </c>
    </row>
    <row r="4" spans="1:9" ht="15.75" customHeight="1" x14ac:dyDescent="0.25">
      <c r="A4" s="5">
        <f t="shared" si="3"/>
        <v>2026</v>
      </c>
      <c r="B4" s="49">
        <v>829433</v>
      </c>
      <c r="C4" s="50">
        <v>1717394.5</v>
      </c>
      <c r="D4" s="50">
        <v>2124671</v>
      </c>
      <c r="E4" s="50">
        <v>1504437</v>
      </c>
      <c r="F4" s="50">
        <v>945033</v>
      </c>
      <c r="G4" s="17">
        <f t="shared" si="0"/>
        <v>6291535.5</v>
      </c>
      <c r="H4" s="17">
        <f t="shared" si="1"/>
        <v>962149.68987652997</v>
      </c>
      <c r="I4" s="17">
        <f t="shared" si="2"/>
        <v>5329385.8101234697</v>
      </c>
    </row>
    <row r="5" spans="1:9" ht="15.75" customHeight="1" x14ac:dyDescent="0.25">
      <c r="A5" s="5">
        <f t="shared" si="3"/>
        <v>2027</v>
      </c>
      <c r="B5" s="49">
        <v>838900</v>
      </c>
      <c r="C5" s="50">
        <v>1764451.5</v>
      </c>
      <c r="D5" s="50">
        <v>2198692</v>
      </c>
      <c r="E5" s="50">
        <v>1544377</v>
      </c>
      <c r="F5" s="50">
        <v>980763.5</v>
      </c>
      <c r="G5" s="17">
        <f t="shared" si="0"/>
        <v>6488284</v>
      </c>
      <c r="H5" s="17">
        <f t="shared" si="1"/>
        <v>973131.49445153621</v>
      </c>
      <c r="I5" s="17">
        <f t="shared" si="2"/>
        <v>5515152.5055484641</v>
      </c>
    </row>
    <row r="6" spans="1:9" ht="15.75" customHeight="1" x14ac:dyDescent="0.25">
      <c r="A6" s="5">
        <f t="shared" si="3"/>
        <v>2028</v>
      </c>
      <c r="B6" s="49">
        <v>847849</v>
      </c>
      <c r="C6" s="50">
        <v>1808540.5</v>
      </c>
      <c r="D6" s="50">
        <v>2276166.5</v>
      </c>
      <c r="E6" s="50">
        <v>1586507.5</v>
      </c>
      <c r="F6" s="50">
        <v>1015073</v>
      </c>
      <c r="G6" s="17">
        <f t="shared" si="0"/>
        <v>6686287.5</v>
      </c>
      <c r="H6" s="17">
        <f t="shared" si="1"/>
        <v>983512.41439890396</v>
      </c>
      <c r="I6" s="17">
        <f t="shared" si="2"/>
        <v>5702775.085601096</v>
      </c>
    </row>
    <row r="7" spans="1:9" ht="15.75" customHeight="1" x14ac:dyDescent="0.25">
      <c r="A7" s="5">
        <f t="shared" si="3"/>
        <v>2029</v>
      </c>
      <c r="B7" s="49">
        <v>859738</v>
      </c>
      <c r="C7" s="50">
        <v>1849047</v>
      </c>
      <c r="D7" s="50">
        <v>2356110</v>
      </c>
      <c r="E7" s="50">
        <v>1631418</v>
      </c>
      <c r="F7" s="50">
        <v>1047668</v>
      </c>
      <c r="G7" s="17">
        <f t="shared" si="0"/>
        <v>6884243</v>
      </c>
      <c r="H7" s="17">
        <f t="shared" si="1"/>
        <v>997303.76061124669</v>
      </c>
      <c r="I7" s="17">
        <f t="shared" si="2"/>
        <v>5886939.2393887537</v>
      </c>
    </row>
    <row r="8" spans="1:9" ht="15.75" customHeight="1" x14ac:dyDescent="0.25">
      <c r="A8" s="5">
        <f t="shared" si="3"/>
        <v>2030</v>
      </c>
      <c r="B8" s="49">
        <v>868480</v>
      </c>
      <c r="C8" s="50">
        <v>1884293</v>
      </c>
      <c r="D8" s="50">
        <v>2437734</v>
      </c>
      <c r="E8" s="50">
        <v>1679331.5</v>
      </c>
      <c r="F8" s="50">
        <v>1078934.5</v>
      </c>
      <c r="G8" s="17">
        <f t="shared" si="0"/>
        <v>7080293</v>
      </c>
      <c r="H8" s="17">
        <f t="shared" si="1"/>
        <v>1007444.5587093458</v>
      </c>
      <c r="I8" s="17">
        <f t="shared" si="2"/>
        <v>6072848.4412906542</v>
      </c>
    </row>
    <row r="9" spans="1:9" ht="15.75" customHeight="1" x14ac:dyDescent="0.25">
      <c r="A9" s="5">
        <f t="shared" si="3"/>
        <v>2031</v>
      </c>
      <c r="B9" s="49">
        <v>877438</v>
      </c>
      <c r="C9" s="50">
        <v>1913035</v>
      </c>
      <c r="D9" s="50">
        <v>2520966.5</v>
      </c>
      <c r="E9" s="50">
        <v>1729757</v>
      </c>
      <c r="F9" s="50">
        <v>1109668.5</v>
      </c>
      <c r="G9" s="17">
        <f t="shared" si="0"/>
        <v>7273427</v>
      </c>
      <c r="H9" s="17">
        <f t="shared" si="1"/>
        <v>1017835.9187371165</v>
      </c>
      <c r="I9" s="17">
        <f t="shared" si="2"/>
        <v>6255591.0812628837</v>
      </c>
    </row>
    <row r="10" spans="1:9" ht="15.75" customHeight="1" x14ac:dyDescent="0.25">
      <c r="A10" s="5">
        <f t="shared" si="3"/>
        <v>2032</v>
      </c>
      <c r="B10" s="49">
        <v>885899</v>
      </c>
      <c r="C10" s="50">
        <v>1937496</v>
      </c>
      <c r="D10" s="50">
        <v>2605389</v>
      </c>
      <c r="E10" s="50">
        <v>1782572.5</v>
      </c>
      <c r="F10" s="50">
        <v>1140558</v>
      </c>
      <c r="G10" s="17">
        <f t="shared" si="0"/>
        <v>7466015.5</v>
      </c>
      <c r="H10" s="17">
        <f t="shared" si="1"/>
        <v>1027650.7543248557</v>
      </c>
      <c r="I10" s="17">
        <f t="shared" si="2"/>
        <v>6438364.7456751447</v>
      </c>
    </row>
    <row r="11" spans="1:9" ht="15.75" customHeight="1" x14ac:dyDescent="0.25">
      <c r="A11" s="5">
        <f t="shared" si="3"/>
        <v>2033</v>
      </c>
      <c r="B11" s="49">
        <v>895298</v>
      </c>
      <c r="C11" s="50">
        <v>1960068.5</v>
      </c>
      <c r="D11" s="50">
        <v>2688922.5</v>
      </c>
      <c r="E11" s="50">
        <v>1839143</v>
      </c>
      <c r="F11" s="50">
        <v>1171704</v>
      </c>
      <c r="G11" s="17">
        <f t="shared" si="0"/>
        <v>7659838</v>
      </c>
      <c r="H11" s="17">
        <f t="shared" si="1"/>
        <v>1038553.6782923727</v>
      </c>
      <c r="I11" s="17">
        <f t="shared" si="2"/>
        <v>6621284.3217076268</v>
      </c>
    </row>
    <row r="12" spans="1:9" ht="15.75" customHeight="1" x14ac:dyDescent="0.25">
      <c r="A12" s="5">
        <f t="shared" si="3"/>
        <v>2034</v>
      </c>
      <c r="B12" s="49">
        <v>902614</v>
      </c>
      <c r="C12" s="50">
        <v>1981544</v>
      </c>
      <c r="D12" s="50">
        <v>2769751.5</v>
      </c>
      <c r="E12" s="50">
        <v>1899610</v>
      </c>
      <c r="F12" s="50">
        <v>1202576.5</v>
      </c>
      <c r="G12" s="17">
        <f t="shared" si="0"/>
        <v>7853482</v>
      </c>
      <c r="H12" s="17">
        <f t="shared" si="1"/>
        <v>1047040.3036510656</v>
      </c>
      <c r="I12" s="17">
        <f t="shared" si="2"/>
        <v>6806441.6963489344</v>
      </c>
    </row>
    <row r="13" spans="1:9" ht="15.75" customHeight="1" x14ac:dyDescent="0.25">
      <c r="A13" s="5">
        <f t="shared" si="3"/>
        <v>2035</v>
      </c>
      <c r="B13" s="49">
        <v>907160</v>
      </c>
      <c r="C13" s="50">
        <v>2003061.5</v>
      </c>
      <c r="D13" s="50">
        <v>2846439</v>
      </c>
      <c r="E13" s="50">
        <v>1963561.5</v>
      </c>
      <c r="F13" s="50">
        <v>1233267.5</v>
      </c>
      <c r="G13" s="17">
        <f t="shared" si="0"/>
        <v>8046329.5</v>
      </c>
      <c r="H13" s="17">
        <f t="shared" si="1"/>
        <v>1052313.7042635065</v>
      </c>
      <c r="I13" s="17">
        <f t="shared" si="2"/>
        <v>6994015.7957364935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wDjFj3uyHpuG5Kx/LjTVQ5U9fVTNY9ZGmg/zCGHTI3aDAqK/CmXByHAuKXhRRwqAYpOowoqEfc7r81gnOGdKw==" saltValue="CxosbTSV797CChcQRFa3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2.0333900000000009E-2</v>
      </c>
    </row>
    <row r="4" spans="1:8" ht="15.75" customHeight="1" x14ac:dyDescent="0.25">
      <c r="B4" s="19" t="s">
        <v>79</v>
      </c>
      <c r="C4" s="101">
        <v>5.8515499999999963E-2</v>
      </c>
    </row>
    <row r="5" spans="1:8" ht="15.75" customHeight="1" x14ac:dyDescent="0.25">
      <c r="B5" s="19" t="s">
        <v>80</v>
      </c>
      <c r="C5" s="101">
        <v>8.584010000000003E-2</v>
      </c>
    </row>
    <row r="6" spans="1:8" ht="15.75" customHeight="1" x14ac:dyDescent="0.25">
      <c r="B6" s="19" t="s">
        <v>81</v>
      </c>
      <c r="C6" s="101">
        <v>0.24612210000000009</v>
      </c>
    </row>
    <row r="7" spans="1:8" ht="15.75" customHeight="1" x14ac:dyDescent="0.25">
      <c r="B7" s="19" t="s">
        <v>82</v>
      </c>
      <c r="C7" s="101">
        <v>0.40482630000000008</v>
      </c>
    </row>
    <row r="8" spans="1:8" ht="15.75" customHeight="1" x14ac:dyDescent="0.25">
      <c r="B8" s="19" t="s">
        <v>83</v>
      </c>
      <c r="C8" s="101">
        <v>2.627099999999999E-3</v>
      </c>
    </row>
    <row r="9" spans="1:8" ht="15.75" customHeight="1" x14ac:dyDescent="0.25">
      <c r="B9" s="19" t="s">
        <v>84</v>
      </c>
      <c r="C9" s="101">
        <v>7.09566999999999E-2</v>
      </c>
    </row>
    <row r="10" spans="1:8" ht="15.75" customHeight="1" x14ac:dyDescent="0.25">
      <c r="B10" s="19" t="s">
        <v>85</v>
      </c>
      <c r="C10" s="101">
        <v>0.1107782999999999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88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89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90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91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92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93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94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95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8.7586460000000005E-2</v>
      </c>
    </row>
    <row r="27" spans="1:8" ht="15.75" customHeight="1" x14ac:dyDescent="0.25">
      <c r="B27" s="19" t="s">
        <v>102</v>
      </c>
      <c r="C27" s="101">
        <v>8.3866540000000003E-3</v>
      </c>
    </row>
    <row r="28" spans="1:8" ht="15.75" customHeight="1" x14ac:dyDescent="0.25">
      <c r="B28" s="19" t="s">
        <v>103</v>
      </c>
      <c r="C28" s="101">
        <v>0.15511656900000001</v>
      </c>
    </row>
    <row r="29" spans="1:8" ht="15.75" customHeight="1" x14ac:dyDescent="0.25">
      <c r="B29" s="19" t="s">
        <v>104</v>
      </c>
      <c r="C29" s="101">
        <v>0.16688481799999999</v>
      </c>
    </row>
    <row r="30" spans="1:8" ht="15.75" customHeight="1" x14ac:dyDescent="0.25">
      <c r="B30" s="19" t="s">
        <v>2</v>
      </c>
      <c r="C30" s="101">
        <v>0.10560810299999999</v>
      </c>
    </row>
    <row r="31" spans="1:8" ht="15.75" customHeight="1" x14ac:dyDescent="0.25">
      <c r="B31" s="19" t="s">
        <v>105</v>
      </c>
      <c r="C31" s="101">
        <v>0.107401392</v>
      </c>
    </row>
    <row r="32" spans="1:8" ht="15.75" customHeight="1" x14ac:dyDescent="0.25">
      <c r="B32" s="19" t="s">
        <v>106</v>
      </c>
      <c r="C32" s="101">
        <v>1.8908227E-2</v>
      </c>
    </row>
    <row r="33" spans="2:3" ht="15.75" customHeight="1" x14ac:dyDescent="0.25">
      <c r="B33" s="19" t="s">
        <v>107</v>
      </c>
      <c r="C33" s="101">
        <v>8.4811863000000015E-2</v>
      </c>
    </row>
    <row r="34" spans="2:3" ht="15.75" customHeight="1" x14ac:dyDescent="0.25">
      <c r="B34" s="19" t="s">
        <v>108</v>
      </c>
      <c r="C34" s="101">
        <v>0.26529591499999999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8/urBB3dDBKqz2j/SLuNlZdcq1QTSgTy2uJOoWScXrxy1S5Al3SEQT7Rr577vBGeOJRWz5Xh3GGHr2/c9ZJ/Iw==" saltValue="BwvOFbJ+2DziaeH8Z6RDi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114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115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119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120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mZx1EPcHI2lW6UBmJLl1qvnVMb6Gt/waji1smv5m931u8P5MhMKsvEBURdLw1dALT+3znY/AOZHbNX+bVnopA==" saltValue="8lQJYt/DGHOS48LmrW0B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132</v>
      </c>
      <c r="C5" s="52">
        <v>1.1916599999999999E-2</v>
      </c>
      <c r="D5" s="52">
        <v>8.6671000000000005E-3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qZDlpcXpvsVXi01iqC2DkCi2Y0X7KbsXJsiM+PQOg4QPLF7aGGce0bp5fk6eBSptLrXU3oqRjsfsGD1sVPkDKQ==" saltValue="Gw0nFlYzzSW3H7efZIIY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TxRQSsTjOIcu1mSCCA0YeFmk2XJJ6hljJkTbmVpWj2XW54IO9bRiGhgpCeqVzFCVKEiu5Q6wdAmRZJgp0AxEw==" saltValue="Jjc/q0YgcPThIQ0n/Har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vYSj/uglAAFCn5IQAOFkYmjXIwh1SE6KuaI5+luB1tDB/jztI8vITZlp4RQgtnIq5IfVEQXLbp1Lw7fkIEs6dw==" saltValue="UX62KijOHt33lkln9Axl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5/gKUYScPbqLsF3OwRBjTpItOra+ga1Gnkc8AD7li7eLL5fk/Yt3ZrTYltlhoMgR61LM4wALvxkS4VLI231sew==" saltValue="bV6TEIVQcZGX0f8doD09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/ahFLl7QZVZfhBe7vyHgwHk7YhCu68+hnssjPKElhQ7XbbuBmKzsApOA76dvqLXVDJsDy+E9yRFOaCjFzIbvg==" saltValue="8ALs1Q06JU5Br+y5jsPT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108.3666777779934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0.26358573908477312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1.4655480619533601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0.89989793277837904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0.50202689999999994</v>
      </c>
      <c r="C10" s="98">
        <v>0.95</v>
      </c>
      <c r="D10" s="56">
        <v>14.1771259775989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14.1771259775989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14.1771259775989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14.1771259775989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0.50202689999999994</v>
      </c>
      <c r="C14" s="98">
        <v>0.95</v>
      </c>
      <c r="D14" s="56">
        <v>14.1771259775989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14.1771259775989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0.47599999999999998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7.7161999999999994E-2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0.36299999999999999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0.22145599999999999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24.160007493407178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0.753</v>
      </c>
      <c r="C23" s="98">
        <v>0.95</v>
      </c>
      <c r="D23" s="56">
        <v>4.6510701337195632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0.1585419884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0.17</v>
      </c>
      <c r="C26" s="98">
        <v>0.95</v>
      </c>
      <c r="D26" s="56">
        <v>5.3637963370450166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0.2117704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5.1927199999999993E-2</v>
      </c>
      <c r="C29" s="98">
        <v>0.95</v>
      </c>
      <c r="D29" s="56">
        <v>55.628302891743601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0.26090000000000002</v>
      </c>
      <c r="C31" s="98">
        <v>0.95</v>
      </c>
      <c r="D31" s="56">
        <v>97.279249710223155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0.99</v>
      </c>
      <c r="C32" s="98">
        <v>0.95</v>
      </c>
      <c r="D32" s="56">
        <v>0.1686728407875791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9.1563700000000012E-2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0.20785490000000001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3.8836000000000001E-3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0.31716830000000001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0.17199999999999999</v>
      </c>
      <c r="C38" s="98">
        <v>0.95</v>
      </c>
      <c r="D38" s="56">
        <v>3.5421296565391618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zUx5DMewJ0gfkgaQpNdms7ZjI+AOp+TDdMwNXjuCpgL0JUtpPY+tP1Qol/oOZcmAAyxNWuEttBADVj4vzbAq2Q==" saltValue="4LRR7UqyRamC2smyTDVT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SirLHL+NAz3DCWaq7Rx8m0OGzEstmaj0kT6VTzVc5lyEO8TvGvGrFE1nv1AlJ1Q10ciU98X2tQrD79ELAvxS8Q==" saltValue="qBZYPWh1GrGV7BOdha+93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8rOSbraGcJM4SXVnkVEQilVG4xy2TmVpLaW5T+Rz09Domw9F5UP7wW2OLMxt3GqfXQMuq5XCpXLi6KWidYfkwg==" saltValue="iVoRPtGfhCk/36LG1Upx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208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sheetProtection algorithmName="SHA-512" hashValue="m+nnWhthUfsivViSV+VYdS/2JXy1QZ1RQXqsUw3q4KLm7NmGVdqZiHUDMmktkP7SrRIu27N+BrWQQwlunoi+xA==" saltValue="6A3uRbBF8qr88k6KzK36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0.43700000000000011</v>
      </c>
      <c r="E2" s="60">
        <f>food_insecure</f>
        <v>0.43700000000000011</v>
      </c>
      <c r="F2" s="60">
        <f>food_insecure</f>
        <v>0.43700000000000011</v>
      </c>
      <c r="G2" s="60">
        <f>food_insecure</f>
        <v>0.43700000000000011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0.43700000000000011</v>
      </c>
      <c r="F5" s="60">
        <f>food_insecure</f>
        <v>0.43700000000000011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0.43700000000000011</v>
      </c>
      <c r="F8" s="60">
        <f>food_insecure</f>
        <v>0.43700000000000011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0.43700000000000011</v>
      </c>
      <c r="F9" s="60">
        <f>food_insecure</f>
        <v>0.43700000000000011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0.43700000000000011</v>
      </c>
      <c r="I15" s="60">
        <f>food_insecure</f>
        <v>0.43700000000000011</v>
      </c>
      <c r="J15" s="60">
        <f>food_insecure</f>
        <v>0.43700000000000011</v>
      </c>
      <c r="K15" s="60">
        <f>food_insecure</f>
        <v>0.43700000000000011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0.55000000000000004</v>
      </c>
      <c r="M24" s="60">
        <f>famplan_unmet_need</f>
        <v>0.55000000000000004</v>
      </c>
      <c r="N24" s="60">
        <f>famplan_unmet_need</f>
        <v>0.55000000000000004</v>
      </c>
      <c r="O24" s="60">
        <f>famplan_unmet_need</f>
        <v>0.55000000000000004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0.41111021703033468</v>
      </c>
      <c r="M25" s="60">
        <f>(1-food_insecure)*(0.49)+food_insecure*(0.7)</f>
        <v>0.58177000000000001</v>
      </c>
      <c r="N25" s="60">
        <f>(1-food_insecure)*(0.49)+food_insecure*(0.7)</f>
        <v>0.58177000000000001</v>
      </c>
      <c r="O25" s="60">
        <f>(1-food_insecure)*(0.49)+food_insecure*(0.7)</f>
        <v>0.58177000000000001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0.17619009301300059</v>
      </c>
      <c r="M26" s="60">
        <f>(1-food_insecure)*(0.21)+food_insecure*(0.3)</f>
        <v>0.24933</v>
      </c>
      <c r="N26" s="60">
        <f>(1-food_insecure)*(0.21)+food_insecure*(0.3)</f>
        <v>0.24933</v>
      </c>
      <c r="O26" s="60">
        <f>(1-food_insecure)*(0.21)+food_insecure*(0.3)</f>
        <v>0.24933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0.1193538952789307</v>
      </c>
      <c r="M27" s="60">
        <f>(1-food_insecure)*(0.3)</f>
        <v>0.16889999999999997</v>
      </c>
      <c r="N27" s="60">
        <f>(1-food_insecure)*(0.3)</f>
        <v>0.16889999999999997</v>
      </c>
      <c r="O27" s="60">
        <f>(1-food_insecure)*(0.3)</f>
        <v>0.16889999999999997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0.29334579467773397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IguHhFDN/3xvR946P+v1EENSYWL1x1Pkq7sT+R5oopFxELu+HtdWkESvtweyJevKnKvrCkVjWrKhEkLqxbLcg==" saltValue="HiafuDL/FMIwjMPDZifQX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OXgJ6qX1pBL/8EE3mGmJUQJf5nfjonsCp5l1kYW+nh0ynCfSHzh9nL9dlk4pges+9cNIW8OIdJ8M+10HG8X34Q==" saltValue="4jc677D9go+KJxW4ciaXJ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lB4JKXCi9v7Sl10Jz4Xb7uYBHOLk2RM/UfFIeEMmP1rCeECdX24bg6AfEsMJLGudhacDm9yWVEizxoLhoPXHw==" saltValue="gSO6X/S6VavMk8XvYFDg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aJM93V1Cyv409l5ItdV0Ax5KsxfXm3nzMs22VcNIJQ2YEHv48TOD7iuxsht50NFHn+XvcVNHErAXE/lJHsgSQ==" saltValue="RoJipem7pDI3iSvQA4Z68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RHAGpUC4aLwZAbArE7mxaKFCpt54zxPg5r1M7iRkebFuDdZQIwHMjh8WNgQqm/SOxLj8pgA8RTe57tyvPXy2Q==" saltValue="Z/1GXyNeyl9AHtYXZ8Mvw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Ko819oAPTNzMaiIfFB14vW87PNDLD98iYktYDdRMoXDYTBFLF9XjtwQ57zWAW71xdTizwyPc9PQWsEko9Qq+w==" saltValue="IlLc71CDsLRvF4v+j6fp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lAra29W+00vtSJYCBgyswEkAZ4/kcyBHn7CrDCh4IIETTZX5KrerExaEujYVUbl80ow8Qc+gGlKhC5CEVh21Q==" saltValue="Qjr1rA/EEx1arK5RnkeR1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2Vw8V3ofTWLiKMdW28OgRf+3KiCU+b/TPPHB2JNZobYKY0IEMSdAQ8/TX8O2Ta/Q078o6N1ITH+c7i/4BSg/A==" saltValue="G7unxCMnG5CsXtM7bdMw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7EMbh+aoffHOvPfsd54KxyhJITZxVdHYSNyVP1yeWzBewEHk3KfbMY74Hdy+za7DYeZ4+De9A17GC7IeQU/6A==" saltValue="kbkQ8Vwnzrmn1Tjah62y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ZuLCSRq/8dFvMdhqznKcXihgVgR3pDWf+Hq/8JmvvpK50KAUHIl8bY1QpkDx9OnB9jgjFsLG6ikuDey+gE4Ew==" saltValue="ycm+shANdWHKP4h8F0/h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0RX8tWvuTlfu4wc4vjmSub1c7dA5cJjEbZ/5Vga8p1C1x9KzUujJB3Ux73jEpVfx8W9vwiuMRAAtyOa3SS1P/A==" saltValue="t0a0/3+p9peeKHLYLm5L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hDHKsJsdLNyugcjH0p95UryM90CkqUpMpGSDy/7c9zpiBP+z2UcZnqYDTza+nxi0YehfiGnje1156SDXGGzGw==" saltValue="76ssVetNcOw1xXbeWrnZ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bcrob5Ay3bKBkkFhDOAwZgoGxF/F2YIRTaj82IgfIHHKmgxj1dgBF5g8TWhQOgkCvO4mWbhKLxXBMysINisGQ==" saltValue="C5KoAkpTiTNdrdZ507In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9.7416363060856437E-2</v>
      </c>
      <c r="G18" s="90">
        <f>MIN(MAX(1-0.89/(1-frac_sam_12_23months+(frac_sam_12_23months*0.89)),0),1)</f>
        <v>0.1020557661405741</v>
      </c>
      <c r="H18" s="90">
        <f>MIN(MAX(1-0.89/(1-frac_sam_24_59months+(frac_sam_24_59months*0.89)),0),1)</f>
        <v>0.10688447814143665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9.005813074682345E-2</v>
      </c>
      <c r="G20" s="90">
        <f>MIN(MAX(1-0.89/(1-frac_mam_12_23months+(frac_mam_12_23months*0.89)),0),1)</f>
        <v>9.6623615537627217E-2</v>
      </c>
      <c r="H20" s="90">
        <f>MIN(MAX(1-0.89/(1-frac_mam_24_59months+(frac_mam_24_59months*0.89)),0),1)</f>
        <v>0.10415251410079795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8.7436460117265025E-3</v>
      </c>
      <c r="G73" s="90">
        <f>MIN(MAX(1-0.99/(1-frac_sam_12_23months+(frac_sam_12_23months*0.99)),0),1)</f>
        <v>9.20311692889908E-3</v>
      </c>
      <c r="H73" s="90">
        <f>MIN(MAX(1-0.99/(1-frac_sam_24_59months+(frac_sam_24_59months*0.99)),0),1)</f>
        <v>9.6859466558332219E-3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8.023663721753449E-3</v>
      </c>
      <c r="G75" s="90">
        <f>MIN(MAX(1-0.99/(1-frac_mam_12_23months+(frac_mam_12_23months*0.99)),0),1)</f>
        <v>8.6655647166651306E-3</v>
      </c>
      <c r="H75" s="90">
        <f>MIN(MAX(1-0.99/(1-frac_mam_24_59months+(frac_mam_24_59months*0.99)),0),1)</f>
        <v>9.4121921289240795E-3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0.17919360861045597</v>
      </c>
      <c r="G128" s="90">
        <f>MIN(MAX(1-0.8/(1-frac_sam_12_23months+(frac_sam_12_23months*0.8)),0),1)</f>
        <v>0.18692105603099785</v>
      </c>
      <c r="H128" s="90">
        <f>MIN(MAX(1-0.8/(1-frac_sam_24_59months+(frac_sam_24_59months*0.8)),0),1)</f>
        <v>0.1948936127387958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0.16679994395896425</v>
      </c>
      <c r="G130" s="90">
        <f>MIN(MAX(1-0.8/(1-frac_mam_12_23months+(frac_mam_12_23months*0.8)),0),1)</f>
        <v>0.1778665225192636</v>
      </c>
      <c r="H130" s="90">
        <f>MIN(MAX(1-0.8/(1-frac_mam_24_59months+(frac_mam_24_59months*0.8)),0),1)</f>
        <v>0.19039168182506438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xyyEiEzfTycwWDj9BYW1E4SwcOdFFd6cVH1bYaGAcPYfMLXfdYkIEHT60pDITedvChxrHqWFZommhG2/29XSw==" saltValue="JgJkNATDaenpPcHxOYKk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vP3Pe6BvOj+unxi0Irf1MMLon4AUUlM+XJr4ZYPWDOe0jTGOG9qBOnOHulBwIvcL64t4F+gu1d1d26tSYwCkmQ==" saltValue="DRvzeqEOXZIq/8GekzX9e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2024-08-06T08:44:15Z</dcterms:modified>
</cp:coreProperties>
</file>