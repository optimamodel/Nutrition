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01A60299-C346-4393-B273-1D0EE9573B6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<sst xmlns="http://schemas.openxmlformats.org/spreadsheetml/2006/main" count="2102" uniqueCount="337">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</sst>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3718927.21875</v>
      </c>
    </row>
    <row r="8" spans="1:3" ht="15" customHeight="1" x14ac:dyDescent="0.25">
      <c r="B8" s="5" t="s">
        <v>19</v>
      </c>
      <c r="C8" s="44">
        <v>0.43700000000000011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0.29334579467773397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0.55000000000000004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0.1002</v>
      </c>
    </row>
    <row r="24" spans="1:3" ht="15" customHeight="1" x14ac:dyDescent="0.25">
      <c r="B24" s="15" t="s">
        <v>33</v>
      </c>
      <c r="C24" s="45">
        <v>0.46389999999999998</v>
      </c>
    </row>
    <row r="25" spans="1:3" ht="15" customHeight="1" x14ac:dyDescent="0.25">
      <c r="B25" s="15" t="s">
        <v>34</v>
      </c>
      <c r="C25" s="45">
        <v>0.34920000000000001</v>
      </c>
    </row>
    <row r="26" spans="1:3" ht="15" customHeight="1" x14ac:dyDescent="0.25">
      <c r="B26" s="15" t="s">
        <v>35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0.21763249840316501</v>
      </c>
    </row>
    <row r="30" spans="1:3" ht="14.25" customHeight="1" x14ac:dyDescent="0.25">
      <c r="B30" s="25" t="s">
        <v>38</v>
      </c>
      <c r="C30" s="99">
        <v>2.8261826382030401E-2</v>
      </c>
    </row>
    <row r="31" spans="1:3" ht="14.25" customHeight="1" x14ac:dyDescent="0.25">
      <c r="B31" s="25" t="s">
        <v>39</v>
      </c>
      <c r="C31" s="99">
        <v>5.3921783185132001E-2</v>
      </c>
    </row>
    <row r="32" spans="1:3" ht="14.25" customHeight="1" x14ac:dyDescent="0.25">
      <c r="B32" s="25" t="s">
        <v>40</v>
      </c>
      <c r="C32" s="99">
        <v>0.70018389202967202</v>
      </c>
    </row>
    <row r="33" spans="1:5" ht="13" customHeight="1" x14ac:dyDescent="0.25">
      <c r="B33" s="27" t="s">
        <v>41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25.253029999999999</v>
      </c>
    </row>
    <row r="38" spans="1:5" ht="15" customHeight="1" x14ac:dyDescent="0.25">
      <c r="B38" s="11" t="s">
        <v>45</v>
      </c>
      <c r="C38" s="43">
        <v>51.773859999999999</v>
      </c>
      <c r="D38" s="12"/>
      <c r="E38" s="13"/>
    </row>
    <row r="39" spans="1:5" ht="15" customHeight="1" x14ac:dyDescent="0.25">
      <c r="B39" s="11" t="s">
        <v>46</v>
      </c>
      <c r="C39" s="43">
        <v>82.607579999999999</v>
      </c>
      <c r="D39" s="12"/>
      <c r="E39" s="12"/>
    </row>
    <row r="40" spans="1:5" ht="15" customHeight="1" x14ac:dyDescent="0.25">
      <c r="B40" s="11" t="s">
        <v>47</v>
      </c>
      <c r="C40" s="100">
        <v>2.64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7.9159E-3</v>
      </c>
      <c r="D45" s="12"/>
    </row>
    <row r="46" spans="1:5" ht="15.75" customHeight="1" x14ac:dyDescent="0.25">
      <c r="B46" s="11" t="s">
        <v>52</v>
      </c>
      <c r="C46" s="45">
        <v>8.5054999999999992E-2</v>
      </c>
      <c r="D46" s="12"/>
    </row>
    <row r="47" spans="1:5" ht="15.75" customHeight="1" x14ac:dyDescent="0.25">
      <c r="B47" s="11" t="s">
        <v>53</v>
      </c>
      <c r="C47" s="45">
        <v>7.3472799999999991E-2</v>
      </c>
      <c r="D47" s="12"/>
      <c r="E47" s="13"/>
    </row>
    <row r="48" spans="1:5" ht="15" customHeight="1" x14ac:dyDescent="0.25">
      <c r="B48" s="11" t="s">
        <v>54</v>
      </c>
      <c r="C48" s="46">
        <v>0.83355630000000003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0.41227000000000008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E//R05hAewK73/A1hW7WlvqhY7MKY1bmajlcEAJq3VK4TEVllSs9f7oM4AFlUmYYABtVg5kre2XrS+EHFXehdg==" saltValue="kDBOZqBGZudpIIXQZAl4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810065</v>
      </c>
      <c r="C2" s="49">
        <v>1614385</v>
      </c>
      <c r="D2" s="49">
        <v>1990041.5</v>
      </c>
      <c r="E2" s="49">
        <v>1430003.5</v>
      </c>
      <c r="F2" s="49">
        <v>873738.5</v>
      </c>
      <c r="G2" s="17">
        <f t="shared" ref="G2:G13" si="0">C2+D2+E2+F2</f>
        <v>5908168.5</v>
      </c>
      <c r="H2" s="17">
        <f t="shared" ref="H2:H13" si="1">(B2 + stillbirth*B2/(1000-stillbirth))/(1-abortion)</f>
        <v>939682.63684930699</v>
      </c>
      <c r="I2" s="17">
        <f t="shared" ref="I2:I13" si="2">G2-H2</f>
        <v>4968485.8631506935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819320</v>
      </c>
      <c r="C3" s="50">
        <v>1667263</v>
      </c>
      <c r="D3" s="50">
        <v>2055105</v>
      </c>
      <c r="E3" s="50">
        <v>1466491.5</v>
      </c>
      <c r="F3" s="50">
        <v>909040.5</v>
      </c>
      <c r="G3" s="17">
        <f t="shared" si="0"/>
        <v>6097900</v>
      </c>
      <c r="H3" s="17">
        <f t="shared" si="1"/>
        <v>950418.5195303763</v>
      </c>
      <c r="I3" s="17">
        <f t="shared" si="2"/>
        <v>5147481.4804696236</v>
      </c>
    </row>
    <row r="4" spans="1:9" ht="15.75" customHeight="1" x14ac:dyDescent="0.25">
      <c r="A4" s="5">
        <f t="shared" si="3"/>
        <v>2026</v>
      </c>
      <c r="B4" s="49">
        <v>829433</v>
      </c>
      <c r="C4" s="50">
        <v>1717394.5</v>
      </c>
      <c r="D4" s="50">
        <v>2124671</v>
      </c>
      <c r="E4" s="50">
        <v>1504437</v>
      </c>
      <c r="F4" s="50">
        <v>945033</v>
      </c>
      <c r="G4" s="17">
        <f t="shared" si="0"/>
        <v>6291535.5</v>
      </c>
      <c r="H4" s="17">
        <f t="shared" si="1"/>
        <v>962149.68987652997</v>
      </c>
      <c r="I4" s="17">
        <f t="shared" si="2"/>
        <v>5329385.8101234697</v>
      </c>
    </row>
    <row r="5" spans="1:9" ht="15.75" customHeight="1" x14ac:dyDescent="0.25">
      <c r="A5" s="5">
        <f t="shared" si="3"/>
        <v>2027</v>
      </c>
      <c r="B5" s="49">
        <v>838900</v>
      </c>
      <c r="C5" s="50">
        <v>1764451.5</v>
      </c>
      <c r="D5" s="50">
        <v>2198692</v>
      </c>
      <c r="E5" s="50">
        <v>1544377</v>
      </c>
      <c r="F5" s="50">
        <v>980763.5</v>
      </c>
      <c r="G5" s="17">
        <f t="shared" si="0"/>
        <v>6488284</v>
      </c>
      <c r="H5" s="17">
        <f t="shared" si="1"/>
        <v>973131.49445153621</v>
      </c>
      <c r="I5" s="17">
        <f t="shared" si="2"/>
        <v>5515152.5055484641</v>
      </c>
    </row>
    <row r="6" spans="1:9" ht="15.75" customHeight="1" x14ac:dyDescent="0.25">
      <c r="A6" s="5">
        <f t="shared" si="3"/>
        <v>2028</v>
      </c>
      <c r="B6" s="49">
        <v>847849</v>
      </c>
      <c r="C6" s="50">
        <v>1808540.5</v>
      </c>
      <c r="D6" s="50">
        <v>2276166.5</v>
      </c>
      <c r="E6" s="50">
        <v>1586507.5</v>
      </c>
      <c r="F6" s="50">
        <v>1015073</v>
      </c>
      <c r="G6" s="17">
        <f t="shared" si="0"/>
        <v>6686287.5</v>
      </c>
      <c r="H6" s="17">
        <f t="shared" si="1"/>
        <v>983512.41439890396</v>
      </c>
      <c r="I6" s="17">
        <f t="shared" si="2"/>
        <v>5702775.085601096</v>
      </c>
    </row>
    <row r="7" spans="1:9" ht="15.75" customHeight="1" x14ac:dyDescent="0.25">
      <c r="A7" s="5">
        <f t="shared" si="3"/>
        <v>2029</v>
      </c>
      <c r="B7" s="49">
        <v>859738</v>
      </c>
      <c r="C7" s="50">
        <v>1849047</v>
      </c>
      <c r="D7" s="50">
        <v>2356110</v>
      </c>
      <c r="E7" s="50">
        <v>1631418</v>
      </c>
      <c r="F7" s="50">
        <v>1047668</v>
      </c>
      <c r="G7" s="17">
        <f t="shared" si="0"/>
        <v>6884243</v>
      </c>
      <c r="H7" s="17">
        <f t="shared" si="1"/>
        <v>997303.76061124669</v>
      </c>
      <c r="I7" s="17">
        <f t="shared" si="2"/>
        <v>5886939.2393887537</v>
      </c>
    </row>
    <row r="8" spans="1:9" ht="15.75" customHeight="1" x14ac:dyDescent="0.25">
      <c r="A8" s="5">
        <f t="shared" si="3"/>
        <v>2030</v>
      </c>
      <c r="B8" s="49">
        <v>868480</v>
      </c>
      <c r="C8" s="50">
        <v>1884293</v>
      </c>
      <c r="D8" s="50">
        <v>2437734</v>
      </c>
      <c r="E8" s="50">
        <v>1679331.5</v>
      </c>
      <c r="F8" s="50">
        <v>1078934.5</v>
      </c>
      <c r="G8" s="17">
        <f t="shared" si="0"/>
        <v>7080293</v>
      </c>
      <c r="H8" s="17">
        <f t="shared" si="1"/>
        <v>1007444.5587093458</v>
      </c>
      <c r="I8" s="17">
        <f t="shared" si="2"/>
        <v>6072848.4412906542</v>
      </c>
    </row>
    <row r="9" spans="1:9" ht="15.75" customHeight="1" x14ac:dyDescent="0.25">
      <c r="A9" s="5">
        <f t="shared" si="3"/>
        <v>2031</v>
      </c>
      <c r="B9" s="49">
        <v>877438</v>
      </c>
      <c r="C9" s="50">
        <v>1913035</v>
      </c>
      <c r="D9" s="50">
        <v>2520966.5</v>
      </c>
      <c r="E9" s="50">
        <v>1729757</v>
      </c>
      <c r="F9" s="50">
        <v>1109668.5</v>
      </c>
      <c r="G9" s="17">
        <f t="shared" si="0"/>
        <v>7273427</v>
      </c>
      <c r="H9" s="17">
        <f t="shared" si="1"/>
        <v>1017835.9187371165</v>
      </c>
      <c r="I9" s="17">
        <f t="shared" si="2"/>
        <v>6255591.0812628837</v>
      </c>
    </row>
    <row r="10" spans="1:9" ht="15.75" customHeight="1" x14ac:dyDescent="0.25">
      <c r="A10" s="5">
        <f t="shared" si="3"/>
        <v>2032</v>
      </c>
      <c r="B10" s="49">
        <v>885899</v>
      </c>
      <c r="C10" s="50">
        <v>1937496</v>
      </c>
      <c r="D10" s="50">
        <v>2605389</v>
      </c>
      <c r="E10" s="50">
        <v>1782572.5</v>
      </c>
      <c r="F10" s="50">
        <v>1140558</v>
      </c>
      <c r="G10" s="17">
        <f t="shared" si="0"/>
        <v>7466015.5</v>
      </c>
      <c r="H10" s="17">
        <f t="shared" si="1"/>
        <v>1027650.7543248557</v>
      </c>
      <c r="I10" s="17">
        <f t="shared" si="2"/>
        <v>6438364.7456751447</v>
      </c>
    </row>
    <row r="11" spans="1:9" ht="15.75" customHeight="1" x14ac:dyDescent="0.25">
      <c r="A11" s="5">
        <f t="shared" si="3"/>
        <v>2033</v>
      </c>
      <c r="B11" s="49">
        <v>895298</v>
      </c>
      <c r="C11" s="50">
        <v>1960068.5</v>
      </c>
      <c r="D11" s="50">
        <v>2688922.5</v>
      </c>
      <c r="E11" s="50">
        <v>1839143</v>
      </c>
      <c r="F11" s="50">
        <v>1171704</v>
      </c>
      <c r="G11" s="17">
        <f t="shared" si="0"/>
        <v>7659838</v>
      </c>
      <c r="H11" s="17">
        <f t="shared" si="1"/>
        <v>1038553.6782923727</v>
      </c>
      <c r="I11" s="17">
        <f t="shared" si="2"/>
        <v>6621284.3217076268</v>
      </c>
    </row>
    <row r="12" spans="1:9" ht="15.75" customHeight="1" x14ac:dyDescent="0.25">
      <c r="A12" s="5">
        <f t="shared" si="3"/>
        <v>2034</v>
      </c>
      <c r="B12" s="49">
        <v>902614</v>
      </c>
      <c r="C12" s="50">
        <v>1981544</v>
      </c>
      <c r="D12" s="50">
        <v>2769751.5</v>
      </c>
      <c r="E12" s="50">
        <v>1899610</v>
      </c>
      <c r="F12" s="50">
        <v>1202576.5</v>
      </c>
      <c r="G12" s="17">
        <f t="shared" si="0"/>
        <v>7853482</v>
      </c>
      <c r="H12" s="17">
        <f t="shared" si="1"/>
        <v>1047040.3036510656</v>
      </c>
      <c r="I12" s="17">
        <f t="shared" si="2"/>
        <v>6806441.6963489344</v>
      </c>
    </row>
    <row r="13" spans="1:9" ht="15.75" customHeight="1" x14ac:dyDescent="0.25">
      <c r="A13" s="5">
        <f t="shared" si="3"/>
        <v>2035</v>
      </c>
      <c r="B13" s="49">
        <v>907160</v>
      </c>
      <c r="C13" s="50">
        <v>2003061.5</v>
      </c>
      <c r="D13" s="50">
        <v>2846439</v>
      </c>
      <c r="E13" s="50">
        <v>1963561.5</v>
      </c>
      <c r="F13" s="50">
        <v>1233267.5</v>
      </c>
      <c r="G13" s="17">
        <f t="shared" si="0"/>
        <v>8046329.5</v>
      </c>
      <c r="H13" s="17">
        <f t="shared" si="1"/>
        <v>1052313.7042635065</v>
      </c>
      <c r="I13" s="17">
        <f t="shared" si="2"/>
        <v>6994015.7957364935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KEXZAunDr/wXZx5s01dNpYragmK4WcML+/tz6cMft4zHCmIRzpsmg8USKuratVJOL3kLLhjKAkMfSTKWFyr1w==" saltValue="j9e6K84GYJaMbuo9VVoSW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2.0333900000000009E-2</v>
      </c>
    </row>
    <row r="4" spans="1:8" ht="15.75" customHeight="1" x14ac:dyDescent="0.25">
      <c r="B4" s="19" t="s">
        <v>79</v>
      </c>
      <c r="C4" s="101">
        <v>5.8515499999999963E-2</v>
      </c>
    </row>
    <row r="5" spans="1:8" ht="15.75" customHeight="1" x14ac:dyDescent="0.25">
      <c r="B5" s="19" t="s">
        <v>80</v>
      </c>
      <c r="C5" s="101">
        <v>8.584010000000003E-2</v>
      </c>
    </row>
    <row r="6" spans="1:8" ht="15.75" customHeight="1" x14ac:dyDescent="0.25">
      <c r="B6" s="19" t="s">
        <v>81</v>
      </c>
      <c r="C6" s="101">
        <v>0.24612210000000009</v>
      </c>
    </row>
    <row r="7" spans="1:8" ht="15.75" customHeight="1" x14ac:dyDescent="0.25">
      <c r="B7" s="19" t="s">
        <v>82</v>
      </c>
      <c r="C7" s="101">
        <v>0.40482630000000008</v>
      </c>
    </row>
    <row r="8" spans="1:8" ht="15.75" customHeight="1" x14ac:dyDescent="0.25">
      <c r="B8" s="19" t="s">
        <v>83</v>
      </c>
      <c r="C8" s="101">
        <v>2.627099999999999E-3</v>
      </c>
    </row>
    <row r="9" spans="1:8" ht="15.75" customHeight="1" x14ac:dyDescent="0.25">
      <c r="B9" s="19" t="s">
        <v>84</v>
      </c>
      <c r="C9" s="101">
        <v>7.09566999999999E-2</v>
      </c>
    </row>
    <row r="10" spans="1:8" ht="15.75" customHeight="1" x14ac:dyDescent="0.25">
      <c r="B10" s="19" t="s">
        <v>85</v>
      </c>
      <c r="C10" s="101">
        <v>0.1107782999999999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88</v>
      </c>
      <c r="C15" s="101">
        <v>0.19098412290106179</v>
      </c>
      <c r="D15" s="101">
        <v>0.19098412290106179</v>
      </c>
      <c r="E15" s="101">
        <v>0.19098412290106179</v>
      </c>
      <c r="F15" s="101">
        <v>0.19098412290106179</v>
      </c>
    </row>
    <row r="16" spans="1:8" ht="15.75" customHeight="1" x14ac:dyDescent="0.25">
      <c r="B16" s="19" t="s">
        <v>89</v>
      </c>
      <c r="C16" s="101">
        <v>2.6058078020985261E-2</v>
      </c>
      <c r="D16" s="101">
        <v>2.6058078020985261E-2</v>
      </c>
      <c r="E16" s="101">
        <v>2.6058078020985261E-2</v>
      </c>
      <c r="F16" s="101">
        <v>2.6058078020985261E-2</v>
      </c>
    </row>
    <row r="17" spans="1:8" ht="15.75" customHeight="1" x14ac:dyDescent="0.25">
      <c r="B17" s="19" t="s">
        <v>90</v>
      </c>
      <c r="C17" s="101">
        <v>2.5256963390322511E-2</v>
      </c>
      <c r="D17" s="101">
        <v>2.5256963390322511E-2</v>
      </c>
      <c r="E17" s="101">
        <v>2.5256963390322511E-2</v>
      </c>
      <c r="F17" s="101">
        <v>2.5256963390322511E-2</v>
      </c>
    </row>
    <row r="18" spans="1:8" ht="15.75" customHeight="1" x14ac:dyDescent="0.25">
      <c r="B18" s="19" t="s">
        <v>91</v>
      </c>
      <c r="C18" s="101">
        <v>0.41568012984165698</v>
      </c>
      <c r="D18" s="101">
        <v>0.41568012984165698</v>
      </c>
      <c r="E18" s="101">
        <v>0.41568012984165698</v>
      </c>
      <c r="F18" s="101">
        <v>0.41568012984165698</v>
      </c>
    </row>
    <row r="19" spans="1:8" ht="15.75" customHeight="1" x14ac:dyDescent="0.25">
      <c r="B19" s="19" t="s">
        <v>92</v>
      </c>
      <c r="C19" s="101">
        <v>1.2538035018300199E-2</v>
      </c>
      <c r="D19" s="101">
        <v>1.2538035018300199E-2</v>
      </c>
      <c r="E19" s="101">
        <v>1.2538035018300199E-2</v>
      </c>
      <c r="F19" s="101">
        <v>1.2538035018300199E-2</v>
      </c>
    </row>
    <row r="20" spans="1:8" ht="15.75" customHeight="1" x14ac:dyDescent="0.25">
      <c r="B20" s="19" t="s">
        <v>93</v>
      </c>
      <c r="C20" s="101">
        <v>1.0855404083290819E-2</v>
      </c>
      <c r="D20" s="101">
        <v>1.0855404083290819E-2</v>
      </c>
      <c r="E20" s="101">
        <v>1.0855404083290819E-2</v>
      </c>
      <c r="F20" s="101">
        <v>1.0855404083290819E-2</v>
      </c>
    </row>
    <row r="21" spans="1:8" ht="15.75" customHeight="1" x14ac:dyDescent="0.25">
      <c r="B21" s="19" t="s">
        <v>94</v>
      </c>
      <c r="C21" s="101">
        <v>7.773013437261285E-2</v>
      </c>
      <c r="D21" s="101">
        <v>7.773013437261285E-2</v>
      </c>
      <c r="E21" s="101">
        <v>7.773013437261285E-2</v>
      </c>
      <c r="F21" s="101">
        <v>7.773013437261285E-2</v>
      </c>
    </row>
    <row r="22" spans="1:8" ht="15.75" customHeight="1" x14ac:dyDescent="0.25">
      <c r="B22" s="19" t="s">
        <v>95</v>
      </c>
      <c r="C22" s="101">
        <v>0.11449193674951449</v>
      </c>
      <c r="D22" s="101">
        <v>0.11449193674951449</v>
      </c>
      <c r="E22" s="101">
        <v>0.11449193674951449</v>
      </c>
      <c r="F22" s="101">
        <v>0.11449193674951449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8.7586460000000005E-2</v>
      </c>
    </row>
    <row r="27" spans="1:8" ht="15.75" customHeight="1" x14ac:dyDescent="0.25">
      <c r="B27" s="19" t="s">
        <v>102</v>
      </c>
      <c r="C27" s="101">
        <v>8.3866540000000003E-3</v>
      </c>
    </row>
    <row r="28" spans="1:8" ht="15.75" customHeight="1" x14ac:dyDescent="0.25">
      <c r="B28" s="19" t="s">
        <v>103</v>
      </c>
      <c r="C28" s="101">
        <v>0.15511656900000001</v>
      </c>
    </row>
    <row r="29" spans="1:8" ht="15.75" customHeight="1" x14ac:dyDescent="0.25">
      <c r="B29" s="19" t="s">
        <v>104</v>
      </c>
      <c r="C29" s="101">
        <v>0.16688481799999999</v>
      </c>
    </row>
    <row r="30" spans="1:8" ht="15.75" customHeight="1" x14ac:dyDescent="0.25">
      <c r="B30" s="19" t="s">
        <v>2</v>
      </c>
      <c r="C30" s="101">
        <v>0.10560810299999999</v>
      </c>
    </row>
    <row r="31" spans="1:8" ht="15.75" customHeight="1" x14ac:dyDescent="0.25">
      <c r="B31" s="19" t="s">
        <v>105</v>
      </c>
      <c r="C31" s="101">
        <v>0.107401392</v>
      </c>
    </row>
    <row r="32" spans="1:8" ht="15.75" customHeight="1" x14ac:dyDescent="0.25">
      <c r="B32" s="19" t="s">
        <v>106</v>
      </c>
      <c r="C32" s="101">
        <v>1.8908227E-2</v>
      </c>
    </row>
    <row r="33" spans="2:3" ht="15.75" customHeight="1" x14ac:dyDescent="0.25">
      <c r="B33" s="19" t="s">
        <v>107</v>
      </c>
      <c r="C33" s="101">
        <v>8.4811863000000015E-2</v>
      </c>
    </row>
    <row r="34" spans="2:3" ht="15.75" customHeight="1" x14ac:dyDescent="0.25">
      <c r="B34" s="19" t="s">
        <v>108</v>
      </c>
      <c r="C34" s="101">
        <v>0.26529591499999999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vKptliBjXCvhrSM8CDP/5J90i/0UBtQipU3LykYn3ebECY7svaGNc6oqPTZPjnyavURXe4bbZX8/9rULoJb4kg==" saltValue="n0riRNCpX3qFWeUZOM0E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114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115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119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120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UWpa+GcqRoAyIC03HsrQEBVwOkMUI+YrgNOa5nw1MOEVyuOnWKFo8Dr66rqRcWMWic5SkJczwInmEH8zNvLNw==" saltValue="RAR7lfpt/9PIT/Xx+kpo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132</v>
      </c>
      <c r="C5" s="52">
        <v>1.1916599999999999E-2</v>
      </c>
      <c r="D5" s="52">
        <v>8.6671000000000005E-3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d5HZr633sAu4erpLg2+PQH4TLoDBM9NfN3JYkow/VkH6JM2zpdOGohfPvfE0y7mMnwOE/lFEHzYfE4LaRYkhLw==" saltValue="xJVnZQrp7V8WU/tMFjmNE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BYlJJns7KydBRbEqq5RmhUNCP+EIHWAthaiRQvv41X/icXq0b18jU+u+59qd4yysfKLTVr8nCQGodoXp4ppHQ==" saltValue="ohr8swqO3xZ/D87fsryH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1I+tlL5x432PPsrK5mTF4OE2Goyke6s1xZH7+Uzbyw7kvHb1DJvnerE95DCbJT+dwhvKMxsYT1o76i1AmZzgJg==" saltValue="OpZRGaGs63+EgbBXRGuc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CNvIFOnqiSJMFtAk63IHCl5mikAKYz6Hs1dEBo95rPYS7STeBGYauQOU3uDM5p85ekpsRPfSb59Jo47h9jkN8w==" saltValue="COjJTFAgEoFrDJUv3bAAd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mnfUMT+MWYWoYyqu9W8tA0dK0Nj4ExBAq4Ep2jGFZj8bslbz1MEocsVMowMJ/bFkIqT3Stb8beR/zRhREdyDzg==" saltValue="k6NWdB19Al4fbTVeoV06G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35.596790609555818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8.4015009909432004E-2</v>
      </c>
      <c r="C3" s="98">
        <v>0.95</v>
      </c>
      <c r="D3" s="56">
        <v>44.652064108478527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62.710307875329853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0.26358573908477312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0.50202689999999994</v>
      </c>
      <c r="C10" s="98">
        <v>0.95</v>
      </c>
      <c r="D10" s="56">
        <v>14.1771259775989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0.50202689999999994</v>
      </c>
      <c r="C11" s="98">
        <v>0.95</v>
      </c>
      <c r="D11" s="56">
        <v>14.1771259775989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0.50202689999999994</v>
      </c>
      <c r="C12" s="98">
        <v>0.95</v>
      </c>
      <c r="D12" s="56">
        <v>14.1771259775989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0.50202689999999994</v>
      </c>
      <c r="C13" s="98">
        <v>0.95</v>
      </c>
      <c r="D13" s="56">
        <v>14.1771259775989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0.50202689999999994</v>
      </c>
      <c r="C14" s="98">
        <v>0.95</v>
      </c>
      <c r="D14" s="56">
        <v>14.1771259775989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0.50202689999999994</v>
      </c>
      <c r="C15" s="98">
        <v>0.95</v>
      </c>
      <c r="D15" s="56">
        <v>14.1771259775989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0.95</v>
      </c>
      <c r="C16" s="98">
        <v>0.95</v>
      </c>
      <c r="D16" s="56">
        <v>0.23340244055012849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7.7161999999999994E-2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5.8176289436778002E-2</v>
      </c>
      <c r="C18" s="98">
        <v>0.95</v>
      </c>
      <c r="D18" s="56">
        <v>1.551549577453486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0.2475649</v>
      </c>
      <c r="C19" s="98">
        <v>0.95</v>
      </c>
      <c r="D19" s="56">
        <v>1.551549577453486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0.31716830000000001</v>
      </c>
      <c r="C21" s="98">
        <v>0.95</v>
      </c>
      <c r="D21" s="56">
        <v>2.4393581689457542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24.160007493407178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4.6510701337195632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0.65539535270066807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0.50202689999999994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20.48810894130915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0.526041010700668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62.448941953110591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0.99</v>
      </c>
      <c r="C31" s="98">
        <v>0.95</v>
      </c>
      <c r="D31" s="56">
        <v>1.2252665410686781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0.44130531545716389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5.1927199999999993E-2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0.2117704</v>
      </c>
      <c r="C38" s="98">
        <v>0.95</v>
      </c>
      <c r="D38" s="56">
        <v>4.5629156859560327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z20le90+JIW/oBpNOAwcIgDhA8OXjTEmWzB35yprqk4GMqPTBfAQyZuWaDzBPYKnN1k+lF9pPZmPzjlrcVkzqA==" saltValue="cNphAQO33oC3OY39niN4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OboFDl+r8/hzShEAoyLAdyKLB2FxQjDX8QUqN4XR1v/5tHpO+WKVGYuUh4mT5hnTEudzS0f0b7QglJIAWSvIQ==" saltValue="++tpC/Y18gXR5Lg4Otpx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jSDpT9Ltw3eE6Rl6MqO+D5pYHwxl8D6bAvE1DErEZS0hwFxTRGZQrQFHbVwdiIMpD16jQEkfvuu8ASpD/HFBg==" saltValue="wxBJw40Y0saPWG+/C3Gej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208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sheetProtection algorithmName="SHA-512" hashValue="8NfEKJeVMjLNF2SovlVDY7sFVMWUzbw6nQGP5iKmJGYZsDmjkHAjsh9FynczJUHuxvJ6/1zmCbG0CPNSzJ2h5A==" saltValue="JWQjKcnTNbA8z84I+6Ex3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0.43700000000000011</v>
      </c>
      <c r="E2" s="60">
        <f>food_insecure</f>
        <v>0.43700000000000011</v>
      </c>
      <c r="F2" s="60">
        <f>food_insecure</f>
        <v>0.43700000000000011</v>
      </c>
      <c r="G2" s="60">
        <f>food_insecure</f>
        <v>0.43700000000000011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0.43700000000000011</v>
      </c>
      <c r="F5" s="60">
        <f>food_insecure</f>
        <v>0.43700000000000011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0.43700000000000011</v>
      </c>
      <c r="F8" s="60">
        <f>food_insecure</f>
        <v>0.43700000000000011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0.43700000000000011</v>
      </c>
      <c r="F9" s="60">
        <f>food_insecure</f>
        <v>0.43700000000000011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0.43700000000000011</v>
      </c>
      <c r="I15" s="60">
        <f>food_insecure</f>
        <v>0.43700000000000011</v>
      </c>
      <c r="J15" s="60">
        <f>food_insecure</f>
        <v>0.43700000000000011</v>
      </c>
      <c r="K15" s="60">
        <f>food_insecure</f>
        <v>0.43700000000000011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0.55000000000000004</v>
      </c>
      <c r="M24" s="60">
        <f>famplan_unmet_need</f>
        <v>0.55000000000000004</v>
      </c>
      <c r="N24" s="60">
        <f>famplan_unmet_need</f>
        <v>0.55000000000000004</v>
      </c>
      <c r="O24" s="60">
        <f>famplan_unmet_need</f>
        <v>0.55000000000000004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0.41111021703033468</v>
      </c>
      <c r="M25" s="60">
        <f>(1-food_insecure)*(0.49)+food_insecure*(0.7)</f>
        <v>0.58177000000000001</v>
      </c>
      <c r="N25" s="60">
        <f>(1-food_insecure)*(0.49)+food_insecure*(0.7)</f>
        <v>0.58177000000000001</v>
      </c>
      <c r="O25" s="60">
        <f>(1-food_insecure)*(0.49)+food_insecure*(0.7)</f>
        <v>0.58177000000000001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0.17619009301300059</v>
      </c>
      <c r="M26" s="60">
        <f>(1-food_insecure)*(0.21)+food_insecure*(0.3)</f>
        <v>0.24933</v>
      </c>
      <c r="N26" s="60">
        <f>(1-food_insecure)*(0.21)+food_insecure*(0.3)</f>
        <v>0.24933</v>
      </c>
      <c r="O26" s="60">
        <f>(1-food_insecure)*(0.21)+food_insecure*(0.3)</f>
        <v>0.24933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0.1193538952789307</v>
      </c>
      <c r="M27" s="60">
        <f>(1-food_insecure)*(0.3)</f>
        <v>0.16889999999999997</v>
      </c>
      <c r="N27" s="60">
        <f>(1-food_insecure)*(0.3)</f>
        <v>0.16889999999999997</v>
      </c>
      <c r="O27" s="60">
        <f>(1-food_insecure)*(0.3)</f>
        <v>0.16889999999999997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0.29334579467773397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7XxozEXPT9jbebu4j4cqc2tqiCUw7gNg+4Wvb0R/8eR5KlLEwTgP7Dc3mm5v7+BwpKvlUioonqXxPatujFJGQ==" saltValue="RyF1rY5AekNO9nWG/gnY/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zixOB6Pbxj2/xPwz6PmPjtD41GgpFMPkHhp46S5/VTyyQNYkN42wfdnsUxHVd3ANcDrbNSxSiWGYrM4E/yChBg==" saltValue="YSHINucWfOGz8Q5Sk0IU1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jcieMdU0s4d9/AeLoNxT7mqNazXrbwACIuLOwXSKjBkOxpPB9LTNm4/u+n3ZFsAPKLFkbhXaHASJ1R0ofZe/g==" saltValue="vQDNHYL0P+yY+QjefSDRI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wimju5xzodEFQEfqevc6ie73bzr6iivsa6zoQ2ts5Ef6E8WDpqrPf2ekkq+rgdrtiefys5VokTUjcEMl5WcnQ==" saltValue="C1aZSDk21ln2fhvs5Xgif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0ZfmjWdaUItdDdEOrQTOKKZtV2czHJ1BkmI9r1Uz4JSM/4DpDTMFKrQDZ2mnTeeFnbuuO6ODPwLjBbnbKNjwQ==" saltValue="D1w0BWtBHCzxEbhm1fowu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lhk8f3RsOKCD6+hKzK6HL8ykjg/5yRIz336AU7V48VarczvsyYNJlxOzXqgn2Ft/oovM+uoKxoXZRXiM5WcFxA==" saltValue="QeBzonG58OUtNaYObbl3P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xvNG96vmmXkRrmhy0oo9E0BNdsbvaTANvragzpKaruf+vWpPSoA6OrtbpFkL8Sk/eWFV4JmsiP4fO1VFCbRtsg==" saltValue="Evo8Z7ystnE7kFQckMbBB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imsr9NLV+cCsmhTV3ugz/FlwrvmCDzo4tEKWDntj+XoGyrWt7GFwMrKTrz1TtL4k9bs+9EyR9C1nT59bFfNaw==" saltValue="wpge6dW5/s6kgUH3su3l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OHc0kYYpWjvPr2Q20oSnoTIui669AqI2A5vNd+36cWyLLMn++a5tfk7kkEDKWVgw6wZdcsHiVpb9t8I4TMSJw==" saltValue="gJmJrAPl3zK5FXqqNLvX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oA6crUjXJwVr6WWcMxc+5IISm+3p0w4QDs/gAzaXcPeuSLHozpGGLcuuxryP0gVteeL+oV0H/T6G5uQf7aHIQ==" saltValue="+jtTrit835f3OHwtrk+g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09PcX6v+v2z9CNsJ8Dh5aZAXHPvMPOhQgPHzhZ2P1GyJb/cWEncThRvegouTA+Kh4AOk5rdKQ0urau4N8izOOg==" saltValue="iPLIk9hpQJB+EGCDUebf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FpTVqdXrAJThF/dXi2ywSk91PBHOGG/FVLeDqgOIdgt1SYMzWPB/OJGxkPttvGTIvUhiH8g1Rjhhkz8zngVPQ==" saltValue="il0gfLZHzn3fN476xzTF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Q647k8tyM8R+AMi7oeG9WBBjxs5qMyw2rP6gJQhlMqIMJw5VeUgfoNCBKcMZ/jv1+C+rsYMdLhxuxtByt4CRg==" saltValue="JG0AqcMrknOfLdfw/dtf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IF4Rh0UUDm8wBTarPgcKiuOYAX17lfkGVfLhLqRt5VVwxAI0DbWNVBGXEg14Tua1P6sTmiF5zA193suWvWloA==" saltValue="jnl13R0LJlAZ+sAfvNnP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9+CQ91C+ZhCDavJCVkE1+K8RdHtcuXhDLios+fQjl4MixAk5SXEikhrwMDk1d3CuwcXVUlFvaCc0LFYAXii5w==" saltValue="zUSSuhEGgEHxCZtGkIjQd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2024-05-17T00:12:59Z</dcterms:modified>
</cp:coreProperties>
</file>