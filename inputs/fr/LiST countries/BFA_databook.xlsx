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C1A9F094-540C-4638-83CB-6709A02B3101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A40" i="2"/>
  <c r="H39" i="2"/>
  <c r="G39" i="2"/>
  <c r="I39" i="2" s="1"/>
  <c r="H38" i="2"/>
  <c r="G38" i="2"/>
  <c r="I38" i="2" s="1"/>
  <c r="A36" i="2"/>
  <c r="A34" i="2"/>
  <c r="A31" i="2"/>
  <c r="A25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8" i="2" l="1"/>
  <c r="A24" i="2"/>
  <c r="A26" i="2"/>
  <c r="I6" i="2"/>
  <c r="I12" i="2"/>
  <c r="A35" i="2"/>
  <c r="I7" i="2"/>
  <c r="I13" i="2"/>
  <c r="A37" i="2"/>
  <c r="A19" i="2"/>
  <c r="A22" i="2"/>
  <c r="I2" i="2"/>
  <c r="I3" i="2"/>
  <c r="I9" i="2"/>
  <c r="A23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<sst xmlns="http://schemas.openxmlformats.org/spreadsheetml/2006/main" count="2169" uniqueCount="369">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</sst>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3360280</v>
      </c>
    </row>
    <row r="8" spans="1:3" ht="15" customHeight="1" x14ac:dyDescent="0.25">
      <c r="B8" s="5" t="s">
        <v>37</v>
      </c>
      <c r="C8" s="44">
        <v>0.39900000000000002</v>
      </c>
    </row>
    <row r="9" spans="1:3" ht="15" customHeight="1" x14ac:dyDescent="0.25">
      <c r="B9" s="5" t="s">
        <v>38</v>
      </c>
      <c r="C9" s="45">
        <v>1</v>
      </c>
    </row>
    <row r="10" spans="1:3" ht="15" customHeight="1" x14ac:dyDescent="0.25">
      <c r="B10" s="5" t="s">
        <v>39</v>
      </c>
      <c r="C10" s="45">
        <v>0.25918239999999998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0.37782734425937498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0.1002</v>
      </c>
    </row>
    <row r="24" spans="1:3" ht="15" customHeight="1" x14ac:dyDescent="0.25">
      <c r="B24" s="15" t="s">
        <v>51</v>
      </c>
      <c r="C24" s="45">
        <v>0.46389999999999998</v>
      </c>
    </row>
    <row r="25" spans="1:3" ht="15" customHeight="1" x14ac:dyDescent="0.25">
      <c r="B25" s="15" t="s">
        <v>52</v>
      </c>
      <c r="C25" s="45">
        <v>0.34920000000000001</v>
      </c>
    </row>
    <row r="26" spans="1:3" ht="15" customHeight="1" x14ac:dyDescent="0.25">
      <c r="B26" s="15" t="s">
        <v>53</v>
      </c>
      <c r="C26" s="45">
        <v>8.6699999999999999E-2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0.21763249840316501</v>
      </c>
    </row>
    <row r="30" spans="1:3" ht="14.25" customHeight="1" x14ac:dyDescent="0.25">
      <c r="B30" s="25" t="s">
        <v>56</v>
      </c>
      <c r="C30" s="97">
        <v>2.8261826382030401E-2</v>
      </c>
    </row>
    <row r="31" spans="1:3" ht="14.25" customHeight="1" x14ac:dyDescent="0.25">
      <c r="B31" s="25" t="s">
        <v>57</v>
      </c>
      <c r="C31" s="97">
        <v>5.3921783185132001E-2</v>
      </c>
    </row>
    <row r="32" spans="1:3" ht="14.25" customHeight="1" x14ac:dyDescent="0.25">
      <c r="B32" s="25" t="s">
        <v>58</v>
      </c>
      <c r="C32" s="97">
        <v>0.70018389202967202</v>
      </c>
    </row>
    <row r="33" spans="1:5" ht="13.25" customHeight="1" x14ac:dyDescent="0.25">
      <c r="B33" s="27" t="s">
        <v>59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25.253029999999999</v>
      </c>
    </row>
    <row r="38" spans="1:5" ht="15" customHeight="1" x14ac:dyDescent="0.25">
      <c r="B38" s="11" t="s">
        <v>63</v>
      </c>
      <c r="C38" s="43">
        <v>51.773859999999999</v>
      </c>
      <c r="D38" s="12"/>
      <c r="E38" s="13"/>
    </row>
    <row r="39" spans="1:5" ht="15" customHeight="1" x14ac:dyDescent="0.25">
      <c r="B39" s="11" t="s">
        <v>64</v>
      </c>
      <c r="C39" s="43">
        <v>82.607579999999999</v>
      </c>
      <c r="D39" s="12"/>
      <c r="E39" s="12"/>
    </row>
    <row r="40" spans="1:5" ht="15" customHeight="1" x14ac:dyDescent="0.25">
      <c r="B40" s="11" t="s">
        <v>65</v>
      </c>
      <c r="C40" s="98">
        <v>2.64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20.38372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7.9159E-3</v>
      </c>
      <c r="D45" s="12"/>
    </row>
    <row r="46" spans="1:5" ht="15.75" customHeight="1" x14ac:dyDescent="0.25">
      <c r="B46" s="11" t="s">
        <v>70</v>
      </c>
      <c r="C46" s="45">
        <v>8.5054999999999992E-2</v>
      </c>
      <c r="D46" s="12"/>
    </row>
    <row r="47" spans="1:5" ht="15.75" customHeight="1" x14ac:dyDescent="0.25">
      <c r="B47" s="11" t="s">
        <v>71</v>
      </c>
      <c r="C47" s="45">
        <v>7.3472799999999991E-2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3.1459999999999999</v>
      </c>
      <c r="D51" s="12"/>
    </row>
    <row r="52" spans="1:4" ht="15" customHeight="1" x14ac:dyDescent="0.25">
      <c r="B52" s="11" t="s">
        <v>75</v>
      </c>
      <c r="C52" s="98">
        <v>3.1459999999999999</v>
      </c>
    </row>
    <row r="53" spans="1:4" ht="15.75" customHeight="1" x14ac:dyDescent="0.25">
      <c r="B53" s="11" t="s">
        <v>76</v>
      </c>
      <c r="C53" s="98">
        <v>7.6439999999999992</v>
      </c>
    </row>
    <row r="54" spans="1:4" ht="15.75" customHeight="1" x14ac:dyDescent="0.25">
      <c r="B54" s="11" t="s">
        <v>77</v>
      </c>
      <c r="C54" s="98">
        <v>6.1619999999999999</v>
      </c>
    </row>
    <row r="55" spans="1:4" ht="15.75" customHeight="1" x14ac:dyDescent="0.25">
      <c r="B55" s="11" t="s">
        <v>78</v>
      </c>
      <c r="C55" s="98">
        <v>3.0333333333333332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0.41227000000000008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0.13137902000000001</v>
      </c>
    </row>
    <row r="63" spans="1:4" ht="15.75" customHeight="1" x14ac:dyDescent="0.3">
      <c r="A63" s="4"/>
    </row>
  </sheetData>
  <sheetProtection algorithmName="SHA-512" hashValue="Gco7IRDCTFWju28cdkaZRldzFnsiIIgqu/1SXKALOp9JMv7bmG98VjNI3oPP91CvD4Js2te1jbAB/zMRC1tG0w==" saltValue="Ktb4EgTPrmZr4PTZf+wF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737914</v>
      </c>
      <c r="C2" s="49">
        <v>1325552</v>
      </c>
      <c r="D2" s="49">
        <v>2001767.5</v>
      </c>
      <c r="E2" s="49">
        <v>1438393</v>
      </c>
      <c r="F2" s="49">
        <v>1001450</v>
      </c>
      <c r="G2" s="17">
        <f t="shared" ref="G2:G13" si="0">C2+D2+E2+F2</f>
        <v>5767162.5</v>
      </c>
      <c r="H2" s="17">
        <f t="shared" ref="H2:H13" si="1">(B2 + stillbirth*B2/(1000-stillbirth))/(1-abortion)</f>
        <v>855986.8322764464</v>
      </c>
      <c r="I2" s="17">
        <f t="shared" ref="I2:I13" si="2">G2-H2</f>
        <v>4911175.6677235533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741692</v>
      </c>
      <c r="C3" s="50">
        <v>1370133.5</v>
      </c>
      <c r="D3" s="50">
        <v>2065017.5</v>
      </c>
      <c r="E3" s="50">
        <v>1475380.5</v>
      </c>
      <c r="F3" s="50">
        <v>1041547</v>
      </c>
      <c r="G3" s="17">
        <f t="shared" si="0"/>
        <v>5952078.5</v>
      </c>
      <c r="H3" s="17">
        <f t="shared" si="1"/>
        <v>860369.34602783271</v>
      </c>
      <c r="I3" s="17">
        <f t="shared" si="2"/>
        <v>5091709.1539721675</v>
      </c>
    </row>
    <row r="4" spans="1:9" ht="15.75" customHeight="1" x14ac:dyDescent="0.25">
      <c r="A4" s="5">
        <f t="shared" si="3"/>
        <v>2026</v>
      </c>
      <c r="B4" s="49">
        <v>747913</v>
      </c>
      <c r="C4" s="50">
        <v>1412324</v>
      </c>
      <c r="D4" s="50">
        <v>2132450</v>
      </c>
      <c r="E4" s="50">
        <v>1514064.5</v>
      </c>
      <c r="F4" s="50">
        <v>1081623.5</v>
      </c>
      <c r="G4" s="17">
        <f t="shared" si="0"/>
        <v>6140462</v>
      </c>
      <c r="H4" s="17">
        <f t="shared" si="1"/>
        <v>867585.7616041624</v>
      </c>
      <c r="I4" s="17">
        <f t="shared" si="2"/>
        <v>5272876.2383958381</v>
      </c>
    </row>
    <row r="5" spans="1:9" ht="15.75" customHeight="1" x14ac:dyDescent="0.25">
      <c r="A5" s="5">
        <f t="shared" si="3"/>
        <v>2027</v>
      </c>
      <c r="B5" s="49">
        <v>752646</v>
      </c>
      <c r="C5" s="50">
        <v>1451736.5</v>
      </c>
      <c r="D5" s="50">
        <v>2204199</v>
      </c>
      <c r="E5" s="50">
        <v>1554974</v>
      </c>
      <c r="F5" s="50">
        <v>1120670.5</v>
      </c>
      <c r="G5" s="17">
        <f t="shared" si="0"/>
        <v>6331580</v>
      </c>
      <c r="H5" s="17">
        <f t="shared" si="1"/>
        <v>873076.08388719859</v>
      </c>
      <c r="I5" s="17">
        <f t="shared" si="2"/>
        <v>5458503.9161128011</v>
      </c>
    </row>
    <row r="6" spans="1:9" ht="15.75" customHeight="1" x14ac:dyDescent="0.25">
      <c r="A6" s="5">
        <f t="shared" si="3"/>
        <v>2028</v>
      </c>
      <c r="B6" s="49">
        <v>759062</v>
      </c>
      <c r="C6" s="50">
        <v>1489560.5</v>
      </c>
      <c r="D6" s="50">
        <v>2278867</v>
      </c>
      <c r="E6" s="50">
        <v>1598086.5</v>
      </c>
      <c r="F6" s="50">
        <v>1157818</v>
      </c>
      <c r="G6" s="17">
        <f t="shared" si="0"/>
        <v>6524332</v>
      </c>
      <c r="H6" s="17">
        <f t="shared" si="1"/>
        <v>880518.70120559295</v>
      </c>
      <c r="I6" s="17">
        <f t="shared" si="2"/>
        <v>5643813.2987944074</v>
      </c>
    </row>
    <row r="7" spans="1:9" ht="15.75" customHeight="1" x14ac:dyDescent="0.25">
      <c r="A7" s="5">
        <f t="shared" si="3"/>
        <v>2029</v>
      </c>
      <c r="B7" s="49">
        <v>763842</v>
      </c>
      <c r="C7" s="50">
        <v>1524946</v>
      </c>
      <c r="D7" s="50">
        <v>2355872</v>
      </c>
      <c r="E7" s="50">
        <v>1643219</v>
      </c>
      <c r="F7" s="50">
        <v>1193257.5000000002</v>
      </c>
      <c r="G7" s="17">
        <f t="shared" si="0"/>
        <v>6717294.5</v>
      </c>
      <c r="H7" s="17">
        <f t="shared" si="1"/>
        <v>886063.54390851152</v>
      </c>
      <c r="I7" s="17">
        <f t="shared" si="2"/>
        <v>5831230.9560914887</v>
      </c>
    </row>
    <row r="8" spans="1:9" ht="15.75" customHeight="1" x14ac:dyDescent="0.25">
      <c r="A8" s="5">
        <f t="shared" si="3"/>
        <v>2030</v>
      </c>
      <c r="B8" s="49">
        <v>771656</v>
      </c>
      <c r="C8" s="50">
        <v>1556834.5</v>
      </c>
      <c r="D8" s="50">
        <v>2434408.9999999995</v>
      </c>
      <c r="E8" s="50">
        <v>1690864.5000000002</v>
      </c>
      <c r="F8" s="50">
        <v>1228067.5</v>
      </c>
      <c r="G8" s="17">
        <f t="shared" si="0"/>
        <v>6910175.5</v>
      </c>
      <c r="H8" s="17">
        <f t="shared" si="1"/>
        <v>895127.8537161696</v>
      </c>
      <c r="I8" s="17">
        <f t="shared" si="2"/>
        <v>6015047.6462838305</v>
      </c>
    </row>
    <row r="9" spans="1:9" ht="15.75" customHeight="1" x14ac:dyDescent="0.25">
      <c r="A9" s="5">
        <f t="shared" si="3"/>
        <v>2031</v>
      </c>
      <c r="B9" s="49">
        <v>778963</v>
      </c>
      <c r="C9" s="50">
        <v>1583824</v>
      </c>
      <c r="D9" s="50">
        <v>2514193</v>
      </c>
      <c r="E9" s="50">
        <v>1741024.5</v>
      </c>
      <c r="F9" s="50">
        <v>1262973</v>
      </c>
      <c r="G9" s="17">
        <f t="shared" si="0"/>
        <v>7102014.5</v>
      </c>
      <c r="H9" s="17">
        <f t="shared" si="1"/>
        <v>903604.03899445944</v>
      </c>
      <c r="I9" s="17">
        <f t="shared" si="2"/>
        <v>6198410.4610055406</v>
      </c>
    </row>
    <row r="10" spans="1:9" ht="15.75" customHeight="1" x14ac:dyDescent="0.25">
      <c r="A10" s="5">
        <f t="shared" si="3"/>
        <v>2032</v>
      </c>
      <c r="B10" s="49">
        <v>786184</v>
      </c>
      <c r="C10" s="50">
        <v>1604272</v>
      </c>
      <c r="D10" s="50">
        <v>2595273.5000000005</v>
      </c>
      <c r="E10" s="50">
        <v>1793239.5000000002</v>
      </c>
      <c r="F10" s="50">
        <v>1297938</v>
      </c>
      <c r="G10" s="17">
        <f t="shared" si="0"/>
        <v>7290723</v>
      </c>
      <c r="H10" s="17">
        <f t="shared" si="1"/>
        <v>911980.463504454</v>
      </c>
      <c r="I10" s="17">
        <f t="shared" si="2"/>
        <v>6378742.5364955459</v>
      </c>
    </row>
    <row r="11" spans="1:9" ht="15.75" customHeight="1" x14ac:dyDescent="0.25">
      <c r="A11" s="5">
        <f t="shared" si="3"/>
        <v>2033</v>
      </c>
      <c r="B11" s="49">
        <v>795934</v>
      </c>
      <c r="C11" s="50">
        <v>1615158</v>
      </c>
      <c r="D11" s="50">
        <v>2675948</v>
      </c>
      <c r="E11" s="50">
        <v>1848914.4999999998</v>
      </c>
      <c r="F11" s="50">
        <v>1332786.5</v>
      </c>
      <c r="G11" s="17">
        <f t="shared" si="0"/>
        <v>7472807</v>
      </c>
      <c r="H11" s="17">
        <f t="shared" si="1"/>
        <v>923290.55060768744</v>
      </c>
      <c r="I11" s="17">
        <f t="shared" si="2"/>
        <v>6549516.4493923122</v>
      </c>
    </row>
    <row r="12" spans="1:9" ht="15.75" customHeight="1" x14ac:dyDescent="0.25">
      <c r="A12" s="5">
        <f t="shared" si="3"/>
        <v>2034</v>
      </c>
      <c r="B12" s="49">
        <v>801327</v>
      </c>
      <c r="C12" s="50">
        <v>1614750.5</v>
      </c>
      <c r="D12" s="50">
        <v>2754488</v>
      </c>
      <c r="E12" s="50">
        <v>1907959.5</v>
      </c>
      <c r="F12" s="50">
        <v>1367803</v>
      </c>
      <c r="G12" s="17">
        <f t="shared" si="0"/>
        <v>7645001</v>
      </c>
      <c r="H12" s="17">
        <f t="shared" si="1"/>
        <v>929546.47878694255</v>
      </c>
      <c r="I12" s="17">
        <f t="shared" si="2"/>
        <v>6715454.5212130575</v>
      </c>
    </row>
    <row r="13" spans="1:9" ht="15.75" customHeight="1" x14ac:dyDescent="0.25">
      <c r="A13" s="5">
        <f t="shared" si="3"/>
        <v>2035</v>
      </c>
      <c r="B13" s="49">
        <v>803542</v>
      </c>
      <c r="C13" s="50">
        <v>1603609.5</v>
      </c>
      <c r="D13" s="50">
        <v>2829554</v>
      </c>
      <c r="E13" s="50">
        <v>1969445.5</v>
      </c>
      <c r="F13" s="50">
        <v>1403661.5</v>
      </c>
      <c r="G13" s="17">
        <f t="shared" si="0"/>
        <v>7806270.5</v>
      </c>
      <c r="H13" s="17">
        <f t="shared" si="1"/>
        <v>932115.89857501059</v>
      </c>
      <c r="I13" s="17">
        <f t="shared" si="2"/>
        <v>6874154.6014249893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vHZR2LVK+lhDDZfvOV0L3RKyOAIqBFxR7QYtAtpLAvyx6g7lLUc2dtKQizBKKB45BDhhU/I+pHwkJvDaj0Xrcw==" saltValue="97NdpsSG/BuE2onHyk3yk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2.0333900000000009E-2</v>
      </c>
    </row>
    <row r="4" spans="1:8" ht="15.75" customHeight="1" x14ac:dyDescent="0.25">
      <c r="B4" s="19" t="s">
        <v>97</v>
      </c>
      <c r="C4" s="99">
        <v>5.8515499999999963E-2</v>
      </c>
    </row>
    <row r="5" spans="1:8" ht="15.75" customHeight="1" x14ac:dyDescent="0.25">
      <c r="B5" s="19" t="s">
        <v>98</v>
      </c>
      <c r="C5" s="99">
        <v>8.584010000000003E-2</v>
      </c>
    </row>
    <row r="6" spans="1:8" ht="15.75" customHeight="1" x14ac:dyDescent="0.25">
      <c r="B6" s="19" t="s">
        <v>99</v>
      </c>
      <c r="C6" s="99">
        <v>0.24612210000000009</v>
      </c>
    </row>
    <row r="7" spans="1:8" ht="15.75" customHeight="1" x14ac:dyDescent="0.25">
      <c r="B7" s="19" t="s">
        <v>100</v>
      </c>
      <c r="C7" s="99">
        <v>0.40482630000000008</v>
      </c>
    </row>
    <row r="8" spans="1:8" ht="15.75" customHeight="1" x14ac:dyDescent="0.25">
      <c r="B8" s="19" t="s">
        <v>101</v>
      </c>
      <c r="C8" s="99">
        <v>2.627099999999999E-3</v>
      </c>
    </row>
    <row r="9" spans="1:8" ht="15.75" customHeight="1" x14ac:dyDescent="0.25">
      <c r="B9" s="19" t="s">
        <v>102</v>
      </c>
      <c r="C9" s="99">
        <v>7.09566999999999E-2</v>
      </c>
    </row>
    <row r="10" spans="1:8" ht="15.75" customHeight="1" x14ac:dyDescent="0.25">
      <c r="B10" s="19" t="s">
        <v>103</v>
      </c>
      <c r="C10" s="99">
        <v>0.1107782999999999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0.12640519562225519</v>
      </c>
      <c r="D14" s="55">
        <v>0.12640519562225519</v>
      </c>
      <c r="E14" s="55">
        <v>0.12640519562225519</v>
      </c>
      <c r="F14" s="55">
        <v>0.12640519562225519</v>
      </c>
    </row>
    <row r="15" spans="1:8" ht="15.75" customHeight="1" x14ac:dyDescent="0.25">
      <c r="B15" s="19" t="s">
        <v>106</v>
      </c>
      <c r="C15" s="99">
        <v>0.19098412290106179</v>
      </c>
      <c r="D15" s="99">
        <v>0.19098412290106179</v>
      </c>
      <c r="E15" s="99">
        <v>0.19098412290106179</v>
      </c>
      <c r="F15" s="99">
        <v>0.19098412290106179</v>
      </c>
    </row>
    <row r="16" spans="1:8" ht="15.75" customHeight="1" x14ac:dyDescent="0.25">
      <c r="B16" s="19" t="s">
        <v>107</v>
      </c>
      <c r="C16" s="99">
        <v>2.6058078020985261E-2</v>
      </c>
      <c r="D16" s="99">
        <v>2.6058078020985261E-2</v>
      </c>
      <c r="E16" s="99">
        <v>2.6058078020985261E-2</v>
      </c>
      <c r="F16" s="99">
        <v>2.6058078020985261E-2</v>
      </c>
    </row>
    <row r="17" spans="1:8" ht="15.75" customHeight="1" x14ac:dyDescent="0.25">
      <c r="B17" s="19" t="s">
        <v>108</v>
      </c>
      <c r="C17" s="99">
        <v>2.5256963390322511E-2</v>
      </c>
      <c r="D17" s="99">
        <v>2.5256963390322511E-2</v>
      </c>
      <c r="E17" s="99">
        <v>2.5256963390322511E-2</v>
      </c>
      <c r="F17" s="99">
        <v>2.5256963390322511E-2</v>
      </c>
    </row>
    <row r="18" spans="1:8" ht="15.75" customHeight="1" x14ac:dyDescent="0.25">
      <c r="B18" s="19" t="s">
        <v>109</v>
      </c>
      <c r="C18" s="99">
        <v>0.41568012984165698</v>
      </c>
      <c r="D18" s="99">
        <v>0.41568012984165698</v>
      </c>
      <c r="E18" s="99">
        <v>0.41568012984165698</v>
      </c>
      <c r="F18" s="99">
        <v>0.41568012984165698</v>
      </c>
    </row>
    <row r="19" spans="1:8" ht="15.75" customHeight="1" x14ac:dyDescent="0.25">
      <c r="B19" s="19" t="s">
        <v>110</v>
      </c>
      <c r="C19" s="99">
        <v>1.2538035018300199E-2</v>
      </c>
      <c r="D19" s="99">
        <v>1.2538035018300199E-2</v>
      </c>
      <c r="E19" s="99">
        <v>1.2538035018300199E-2</v>
      </c>
      <c r="F19" s="99">
        <v>1.2538035018300199E-2</v>
      </c>
    </row>
    <row r="20" spans="1:8" ht="15.75" customHeight="1" x14ac:dyDescent="0.25">
      <c r="B20" s="19" t="s">
        <v>111</v>
      </c>
      <c r="C20" s="99">
        <v>1.0855404083290819E-2</v>
      </c>
      <c r="D20" s="99">
        <v>1.0855404083290819E-2</v>
      </c>
      <c r="E20" s="99">
        <v>1.0855404083290819E-2</v>
      </c>
      <c r="F20" s="99">
        <v>1.0855404083290819E-2</v>
      </c>
    </row>
    <row r="21" spans="1:8" ht="15.75" customHeight="1" x14ac:dyDescent="0.25">
      <c r="B21" s="19" t="s">
        <v>112</v>
      </c>
      <c r="C21" s="99">
        <v>7.773013437261285E-2</v>
      </c>
      <c r="D21" s="99">
        <v>7.773013437261285E-2</v>
      </c>
      <c r="E21" s="99">
        <v>7.773013437261285E-2</v>
      </c>
      <c r="F21" s="99">
        <v>7.773013437261285E-2</v>
      </c>
    </row>
    <row r="22" spans="1:8" ht="15.75" customHeight="1" x14ac:dyDescent="0.25">
      <c r="B22" s="19" t="s">
        <v>113</v>
      </c>
      <c r="C22" s="99">
        <v>0.11449193674951449</v>
      </c>
      <c r="D22" s="99">
        <v>0.11449193674951449</v>
      </c>
      <c r="E22" s="99">
        <v>0.11449193674951449</v>
      </c>
      <c r="F22" s="99">
        <v>0.11449193674951449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8.7586460000000005E-2</v>
      </c>
    </row>
    <row r="27" spans="1:8" ht="15.75" customHeight="1" x14ac:dyDescent="0.25">
      <c r="B27" s="19" t="s">
        <v>120</v>
      </c>
      <c r="C27" s="99">
        <v>8.3866540000000003E-3</v>
      </c>
    </row>
    <row r="28" spans="1:8" ht="15.75" customHeight="1" x14ac:dyDescent="0.25">
      <c r="B28" s="19" t="s">
        <v>121</v>
      </c>
      <c r="C28" s="99">
        <v>0.15511656900000001</v>
      </c>
    </row>
    <row r="29" spans="1:8" ht="15.75" customHeight="1" x14ac:dyDescent="0.25">
      <c r="B29" s="19" t="s">
        <v>122</v>
      </c>
      <c r="C29" s="99">
        <v>0.16688481799999999</v>
      </c>
    </row>
    <row r="30" spans="1:8" ht="15.75" customHeight="1" x14ac:dyDescent="0.25">
      <c r="B30" s="19" t="s">
        <v>2</v>
      </c>
      <c r="C30" s="99">
        <v>0.10560810299999999</v>
      </c>
    </row>
    <row r="31" spans="1:8" ht="15.75" customHeight="1" x14ac:dyDescent="0.25">
      <c r="B31" s="19" t="s">
        <v>123</v>
      </c>
      <c r="C31" s="99">
        <v>0.107401392</v>
      </c>
    </row>
    <row r="32" spans="1:8" ht="15.75" customHeight="1" x14ac:dyDescent="0.25">
      <c r="B32" s="19" t="s">
        <v>124</v>
      </c>
      <c r="C32" s="99">
        <v>1.8908227E-2</v>
      </c>
    </row>
    <row r="33" spans="2:3" ht="15.75" customHeight="1" x14ac:dyDescent="0.25">
      <c r="B33" s="19" t="s">
        <v>125</v>
      </c>
      <c r="C33" s="99">
        <v>8.4811863000000015E-2</v>
      </c>
    </row>
    <row r="34" spans="2:3" ht="15.75" customHeight="1" x14ac:dyDescent="0.25">
      <c r="B34" s="19" t="s">
        <v>126</v>
      </c>
      <c r="C34" s="99">
        <v>0.26529591499999999</v>
      </c>
    </row>
    <row r="35" spans="2:3" ht="15.75" customHeight="1" x14ac:dyDescent="0.25">
      <c r="B35" s="27" t="s">
        <v>59</v>
      </c>
      <c r="C35" s="48">
        <f>SUM(C26:C34)</f>
        <v>1.0000000009999999</v>
      </c>
    </row>
  </sheetData>
  <sheetProtection algorithmName="SHA-512" hashValue="XnkHKtBqGHaSz5rZiIyun6nI1kvcuODO2LmDoDQU4wq6ZEFLm+IP1hfImsOjTRxeyOqGJEJIIVR+zO23I5vYIQ==" saltValue="ttTV4rBj3pVXAYtMpZyYw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0.56081525744999583</v>
      </c>
      <c r="D2" s="52">
        <f>IFERROR(1-_xlfn.NORM.DIST(_xlfn.NORM.INV(SUM(D4:D5), 0, 1) + 1, 0, 1, TRUE), "")</f>
        <v>0.56081525744999583</v>
      </c>
      <c r="E2" s="52">
        <f>IFERROR(1-_xlfn.NORM.DIST(_xlfn.NORM.INV(SUM(E4:E5), 0, 1) + 1, 0, 1, TRUE), "")</f>
        <v>0.44804499101871387</v>
      </c>
      <c r="F2" s="52">
        <f>IFERROR(1-_xlfn.NORM.DIST(_xlfn.NORM.INV(SUM(F4:F5), 0, 1) + 1, 0, 1, TRUE), "")</f>
        <v>0.25846119734364026</v>
      </c>
      <c r="G2" s="52">
        <f>IFERROR(1-_xlfn.NORM.DIST(_xlfn.NORM.INV(SUM(G4:G5), 0, 1) + 1, 0, 1, TRUE), "")</f>
        <v>0.22007551425281902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0.31473704255000412</v>
      </c>
      <c r="D3" s="52">
        <f>IFERROR(_xlfn.NORM.DIST(_xlfn.NORM.INV(SUM(D4:D5), 0, 1) + 1, 0, 1, TRUE) - SUM(D4:D5), "")</f>
        <v>0.31473704255000412</v>
      </c>
      <c r="E3" s="52">
        <f>IFERROR(_xlfn.NORM.DIST(_xlfn.NORM.INV(SUM(E4:E5), 0, 1) + 1, 0, 1, TRUE) - SUM(E4:E5), "")</f>
        <v>0.35964020898128612</v>
      </c>
      <c r="F3" s="52">
        <f>IFERROR(_xlfn.NORM.DIST(_xlfn.NORM.INV(SUM(F4:F5), 0, 1) + 1, 0, 1, TRUE) - SUM(F4:F5), "")</f>
        <v>0.37908340265635976</v>
      </c>
      <c r="G3" s="52">
        <f>IFERROR(_xlfn.NORM.DIST(_xlfn.NORM.INV(SUM(G4:G5), 0, 1) + 1, 0, 1, TRUE) - SUM(G4:G5), "")</f>
        <v>0.37012538574718101</v>
      </c>
    </row>
    <row r="4" spans="1:15" ht="15.75" customHeight="1" x14ac:dyDescent="0.25">
      <c r="B4" s="5" t="s">
        <v>132</v>
      </c>
      <c r="C4" s="45">
        <v>6.2856700000000001E-2</v>
      </c>
      <c r="D4" s="53">
        <v>6.2856700000000001E-2</v>
      </c>
      <c r="E4" s="53">
        <v>0.10433199999999999</v>
      </c>
      <c r="F4" s="53">
        <v>0.21864349999999999</v>
      </c>
      <c r="G4" s="53">
        <v>0.23300409999999999</v>
      </c>
    </row>
    <row r="5" spans="1:15" ht="15.75" customHeight="1" x14ac:dyDescent="0.25">
      <c r="B5" s="5" t="s">
        <v>133</v>
      </c>
      <c r="C5" s="45">
        <v>6.1590999999999993E-2</v>
      </c>
      <c r="D5" s="53">
        <v>6.1590999999999993E-2</v>
      </c>
      <c r="E5" s="53">
        <v>8.79828E-2</v>
      </c>
      <c r="F5" s="53">
        <v>0.14381189999999999</v>
      </c>
      <c r="G5" s="53">
        <v>0.17679500000000001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0.37371158739936605</v>
      </c>
      <c r="D8" s="52">
        <f>IFERROR(1-_xlfn.NORM.DIST(_xlfn.NORM.INV(SUM(D10:D11), 0, 1) + 1, 0, 1, TRUE), "")</f>
        <v>0.37371158739936605</v>
      </c>
      <c r="E8" s="52">
        <f>IFERROR(1-_xlfn.NORM.DIST(_xlfn.NORM.INV(SUM(E10:E11), 0, 1) + 1, 0, 1, TRUE), "")</f>
        <v>0.29152079254185748</v>
      </c>
      <c r="F8" s="52">
        <f>IFERROR(1-_xlfn.NORM.DIST(_xlfn.NORM.INV(SUM(F10:F11), 0, 1) + 1, 0, 1, TRUE), "")</f>
        <v>0.41646700484351018</v>
      </c>
      <c r="G8" s="52">
        <f>IFERROR(1-_xlfn.NORM.DIST(_xlfn.NORM.INV(SUM(G10:G11), 0, 1) + 1, 0, 1, TRUE), "")</f>
        <v>0.63092565917604604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0.37739021260063393</v>
      </c>
      <c r="D9" s="52">
        <f>IFERROR(_xlfn.NORM.DIST(_xlfn.NORM.INV(SUM(D10:D11), 0, 1) + 1, 0, 1, TRUE) - SUM(D10:D11), "")</f>
        <v>0.37739021260063393</v>
      </c>
      <c r="E9" s="52">
        <f>IFERROR(_xlfn.NORM.DIST(_xlfn.NORM.INV(SUM(E10:E11), 0, 1) + 1, 0, 1, TRUE) - SUM(E10:E11), "")</f>
        <v>0.38250340745814249</v>
      </c>
      <c r="F9" s="52">
        <f>IFERROR(_xlfn.NORM.DIST(_xlfn.NORM.INV(SUM(F10:F11), 0, 1) + 1, 0, 1, TRUE) - SUM(F10:F11), "")</f>
        <v>0.3684944951564898</v>
      </c>
      <c r="G9" s="52">
        <f>IFERROR(_xlfn.NORM.DIST(_xlfn.NORM.INV(SUM(G10:G11), 0, 1) + 1, 0, 1, TRUE) - SUM(G10:G11), "")</f>
        <v>0.27802254082395395</v>
      </c>
    </row>
    <row r="10" spans="1:15" ht="15.75" customHeight="1" x14ac:dyDescent="0.25">
      <c r="B10" s="5" t="s">
        <v>137</v>
      </c>
      <c r="C10" s="45">
        <v>0.1370034</v>
      </c>
      <c r="D10" s="53">
        <v>0.1370034</v>
      </c>
      <c r="E10" s="53">
        <v>0.1992322</v>
      </c>
      <c r="F10" s="53">
        <v>0.13461000000000001</v>
      </c>
      <c r="G10" s="53">
        <v>5.9339299999999998E-2</v>
      </c>
    </row>
    <row r="11" spans="1:15" ht="15.75" customHeight="1" x14ac:dyDescent="0.25">
      <c r="B11" s="5" t="s">
        <v>138</v>
      </c>
      <c r="C11" s="45">
        <v>0.1118948</v>
      </c>
      <c r="D11" s="53">
        <v>0.1118948</v>
      </c>
      <c r="E11" s="53">
        <v>0.12674360000000001</v>
      </c>
      <c r="F11" s="53">
        <v>8.04285E-2</v>
      </c>
      <c r="G11" s="53">
        <v>3.1712499999999998E-2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0.91193049400000004</v>
      </c>
      <c r="D14" s="54">
        <v>0.91065858191199989</v>
      </c>
      <c r="E14" s="54">
        <v>0.91065858191199989</v>
      </c>
      <c r="F14" s="54">
        <v>0.88906768971299999</v>
      </c>
      <c r="G14" s="54">
        <v>0.88906768971299999</v>
      </c>
      <c r="H14" s="45">
        <v>0.57499999999999996</v>
      </c>
      <c r="I14" s="55">
        <v>0.57499999999999996</v>
      </c>
      <c r="J14" s="55">
        <v>0.57499999999999996</v>
      </c>
      <c r="K14" s="55">
        <v>0.57499999999999996</v>
      </c>
      <c r="L14" s="45">
        <v>0.48699999999999999</v>
      </c>
      <c r="M14" s="55">
        <v>0.48699999999999999</v>
      </c>
      <c r="N14" s="55">
        <v>0.48699999999999999</v>
      </c>
      <c r="O14" s="55">
        <v>0.48699999999999999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0.37596158476138009</v>
      </c>
      <c r="D15" s="52">
        <f t="shared" si="0"/>
        <v>0.37543721356486026</v>
      </c>
      <c r="E15" s="52">
        <f t="shared" si="0"/>
        <v>0.37543721356486026</v>
      </c>
      <c r="F15" s="52">
        <f t="shared" si="0"/>
        <v>0.36653593643797855</v>
      </c>
      <c r="G15" s="52">
        <f t="shared" si="0"/>
        <v>0.36653593643797855</v>
      </c>
      <c r="H15" s="52">
        <f t="shared" si="0"/>
        <v>0.23705525000000002</v>
      </c>
      <c r="I15" s="52">
        <f t="shared" si="0"/>
        <v>0.23705525000000002</v>
      </c>
      <c r="J15" s="52">
        <f t="shared" si="0"/>
        <v>0.23705525000000002</v>
      </c>
      <c r="K15" s="52">
        <f t="shared" si="0"/>
        <v>0.23705525000000002</v>
      </c>
      <c r="L15" s="52">
        <f t="shared" si="0"/>
        <v>0.20077549000000003</v>
      </c>
      <c r="M15" s="52">
        <f t="shared" si="0"/>
        <v>0.20077549000000003</v>
      </c>
      <c r="N15" s="52">
        <f t="shared" si="0"/>
        <v>0.20077549000000003</v>
      </c>
      <c r="O15" s="52">
        <f t="shared" si="0"/>
        <v>0.20077549000000003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xtT6wWCWSFRjGKHwYWcj571U6E15qZVobSHyzYWlw+t3ji88DzE3LynWoWsuE23pA6efh1ErlhIU/oZzuKVo2g==" saltValue="YjP+XKh978PB/VBzjv1C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0.41070549999999989</v>
      </c>
      <c r="D2" s="53">
        <v>0.22145599999999999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0.5674129</v>
      </c>
      <c r="D3" s="53">
        <v>0.70792730000000004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9.9650999999999993E-3</v>
      </c>
      <c r="D4" s="53">
        <v>6.19496E-2</v>
      </c>
      <c r="E4" s="53">
        <v>0.98096860000000008</v>
      </c>
      <c r="F4" s="53">
        <v>0.90478809999999998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1.1916500000000219E-2</v>
      </c>
      <c r="D5" s="52">
        <f t="shared" si="0"/>
        <v>8.6670999999999276E-3</v>
      </c>
      <c r="E5" s="52">
        <f>1-SUM(E2:E4)</f>
        <v>1.9031399999999921E-2</v>
      </c>
      <c r="F5" s="52">
        <f>1-SUM(F2:F4)</f>
        <v>9.5211900000000016E-2</v>
      </c>
      <c r="G5" s="52">
        <f>1-SUM(G2:G4)</f>
        <v>1</v>
      </c>
    </row>
  </sheetData>
  <sheetProtection algorithmName="SHA-512" hashValue="NlkKIeGpbx/7UBasXQgwDPpFXQFF5DAXjnJCGHeMtKtGKyCwV6q3l42PWTNH/yN9xGKmeW1A8KmW46s2dWmUCQ==" saltValue="RbwJctdTZW7QkauN7dpPm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VWabIxs1dDTw68K0v0GSm4p4369e/8Mu/ho8vwBME+M8dL0NXmuWiWDv8vH4yFDUB0VMx/y87EVR26nEFiqBRg==" saltValue="eS9uSZiFAzNVbcgwx8nzx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830.03715033429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0.51395999999999997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0.59255000000000002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2.4548449236847222E-2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91208.566040000005</v>
      </c>
      <c r="C22" s="107">
        <v>90205.506309999997</v>
      </c>
      <c r="D22" s="107">
        <v>89610.637239999996</v>
      </c>
      <c r="E22" s="107">
        <v>88954.748380000005</v>
      </c>
      <c r="F22" s="107">
        <v>88082.552379999994</v>
      </c>
      <c r="G22" s="107">
        <v>87060.205589999998</v>
      </c>
      <c r="H22" s="107">
        <v>85820.711960000001</v>
      </c>
      <c r="I22" s="107">
        <v>84213.172189999997</v>
      </c>
      <c r="J22" s="107">
        <v>81973.968580000001</v>
      </c>
      <c r="K22" s="107">
        <v>78950.2451</v>
      </c>
      <c r="L22" s="107">
        <v>74595.863949999999</v>
      </c>
      <c r="M22" s="107">
        <v>68776.953930000003</v>
      </c>
      <c r="N22" s="107">
        <v>60827.702940000003</v>
      </c>
      <c r="O22" s="107">
        <v>50971.643470000003</v>
      </c>
    </row>
  </sheetData>
  <sheetProtection algorithmName="SHA-512" hashValue="rwLmc1uJ1MuzYS4SCNN9hr7+KGSE0oMW1QDB7ExROEpQj8ZiJZMjTrrwEkD246oHys4SHBRmGzfj0WbGAWGWpg==" saltValue="1jlKaCOfhPGIO7lWjVzv5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9ljlqaqgCfzVlkPwOX8tjAp0aQ9wJ3PJH6amrT7kIwtoTnHqDAYaGblIWyNz+omxTu9Pf2snTN2ozaRBaR4x6A==" saltValue="e5Xkb//RGrBP2KWh0Uwoo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hC/h8c7jFe9L3TBudnYJrVN+Rgipkv1+78EJtUMhe6QrBlqu/rPDWIk9yZCTe0Upua3QxrbXEOkQIDZEcdWCWA==" saltValue="+W7IjfLlnbb1dyzViqWZk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18.025735670419653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18.025735670419653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1.6754856361149111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0.12369357045143639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1.4655480619533601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0.91083447332421352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0.50202689999999994</v>
      </c>
      <c r="C10" s="96">
        <v>0.95</v>
      </c>
      <c r="D10" s="56">
        <v>14.1771259775989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14.1771259775989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14.1771259775989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14.1771259775989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0.50202689999999994</v>
      </c>
      <c r="C14" s="96">
        <v>0.95</v>
      </c>
      <c r="D14" s="56">
        <v>14.1771259775989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14.1771259775989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0.47599999999999998</v>
      </c>
      <c r="C16" s="96">
        <v>0.95</v>
      </c>
      <c r="D16" s="56">
        <v>2.8407188685968858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7.7161999999999994E-2</v>
      </c>
      <c r="C17" s="96">
        <v>0.95</v>
      </c>
      <c r="D17" s="56">
        <v>0.35500000000000004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0.36299999999999999</v>
      </c>
      <c r="C18" s="96">
        <v>0.95</v>
      </c>
      <c r="D18" s="56">
        <v>1.6754856361149111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0.22145599999999999</v>
      </c>
      <c r="C19" s="96">
        <v>0.95</v>
      </c>
      <c r="D19" s="56">
        <v>7.2861200073283072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4.194336525307798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1.6754856361149111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0.753</v>
      </c>
      <c r="C23" s="96">
        <v>0.95</v>
      </c>
      <c r="D23" s="56">
        <v>4.6510701337195632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0.1585419884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0.17</v>
      </c>
      <c r="C26" s="96">
        <v>0.95</v>
      </c>
      <c r="D26" s="56">
        <v>5.363803009575923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13.457928721749347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0.2117704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5.1927199999999993E-2</v>
      </c>
      <c r="C29" s="96">
        <v>0.95</v>
      </c>
      <c r="D29" s="56">
        <v>55.628302891743601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38.300027359781126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0.26090000000000002</v>
      </c>
      <c r="C31" s="96">
        <v>0.95</v>
      </c>
      <c r="D31" s="56">
        <v>97.279370725034212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0.99</v>
      </c>
      <c r="C32" s="96">
        <v>0.95</v>
      </c>
      <c r="D32" s="56">
        <v>0.16867305061559507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9.1563700000000012E-2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0.20785490000000001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3.8836000000000001E-3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0.31716830000000001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0.17199999999999999</v>
      </c>
      <c r="C38" s="96">
        <v>0.95</v>
      </c>
      <c r="D38" s="56">
        <v>3.5421340629274964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3.4125000000000001</v>
      </c>
      <c r="E39" s="56" t="s">
        <v>230</v>
      </c>
      <c r="F39" s="96">
        <v>1</v>
      </c>
      <c r="G39" s="96">
        <v>1</v>
      </c>
    </row>
  </sheetData>
  <sheetProtection algorithmName="SHA-512" hashValue="GRDnypl3eLMnVIfFip1fuTM4stSSyqE3aykxNHXJfkSZzyKYbUfcEYOnt7YJXre5NHmu55o/f94urZPTs+ih1A==" saltValue="G/JFPWZa4tpmnWyF3DPx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bSNnxZxc8uYYyoTuZ6iojrKgGC3ov23SfjV6CbR80uxGRNBz0JWgsITK2ZCzeM8Vexb+2yrrpCRPK2krQkmNJQ==" saltValue="XfMjU3dTb/Wdyd+7giyXT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mgTTHFu170Kfl4l7nDMNx5IWqRMGo8Ot7SIPtliyi8WIN+8TGcJQqCO41TBF9ViSEVXq84Mmr4304anjRLjW7A==" saltValue="+ES1fQ29mwCE15FWH6Vwu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3.1459999999999999</v>
      </c>
      <c r="C2" s="21">
        <f>'Données pop de l''année de ref'!C52</f>
        <v>3.1459999999999999</v>
      </c>
      <c r="D2" s="21">
        <f>'Données pop de l''année de ref'!C53</f>
        <v>7.6439999999999992</v>
      </c>
      <c r="E2" s="21">
        <f>'Données pop de l''année de ref'!C54</f>
        <v>6.1619999999999999</v>
      </c>
      <c r="F2" s="21">
        <f>'Données pop de l''année de ref'!C55</f>
        <v>3.0333333333333332</v>
      </c>
    </row>
    <row r="3" spans="1:6" ht="15.75" customHeight="1" x14ac:dyDescent="0.25">
      <c r="A3" s="3" t="s">
        <v>238</v>
      </c>
      <c r="B3" s="21">
        <f>frac_mam_1month * 2.6</f>
        <v>0.35620884000000003</v>
      </c>
      <c r="C3" s="21">
        <f>frac_mam_1_5months * 2.6</f>
        <v>0.35620884000000003</v>
      </c>
      <c r="D3" s="21">
        <f>frac_mam_6_11months * 2.6</f>
        <v>0.51800372000000006</v>
      </c>
      <c r="E3" s="21">
        <f>frac_mam_12_23months * 2.6</f>
        <v>0.34998600000000002</v>
      </c>
      <c r="F3" s="21">
        <f>frac_mam_24_59months * 2.6</f>
        <v>0.15428217999999999</v>
      </c>
    </row>
    <row r="4" spans="1:6" ht="15.75" customHeight="1" x14ac:dyDescent="0.25">
      <c r="A4" s="3" t="s">
        <v>237</v>
      </c>
      <c r="B4" s="21">
        <f>frac_sam_1month * 2.6</f>
        <v>0.29092648000000004</v>
      </c>
      <c r="C4" s="21">
        <f>frac_sam_1_5months * 2.6</f>
        <v>0.29092648000000004</v>
      </c>
      <c r="D4" s="21">
        <f>frac_sam_6_11months * 2.6</f>
        <v>0.32953336000000005</v>
      </c>
      <c r="E4" s="21">
        <f>frac_sam_12_23months * 2.6</f>
        <v>0.2091141</v>
      </c>
      <c r="F4" s="21">
        <f>frac_sam_24_59months * 2.6</f>
        <v>8.2452499999999998E-2</v>
      </c>
    </row>
  </sheetData>
  <sheetProtection algorithmName="SHA-512" hashValue="8r75qZYAmzbULCzj5xZ4W+x6J6fgnC6DEfq4k5zxVvYUmkLNduF1Z4oL6XMLf9FiYHfxw91NTEsG9xm9RebXHw==" saltValue="4WVf1l5jgsnox/aFFn4Dx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0.39900000000000002</v>
      </c>
      <c r="F2" s="60">
        <f>food_insecure</f>
        <v>0.39900000000000002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0.39900000000000002</v>
      </c>
      <c r="F5" s="60">
        <f>food_insecure</f>
        <v>0.39900000000000002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6.8640000000000007E-2</v>
      </c>
      <c r="D7" s="60">
        <f>diarrhoea_1_5mo*frac_diarrhea_severe</f>
        <v>6.8640000000000007E-2</v>
      </c>
      <c r="E7" s="60">
        <f>diarrhoea_6_11mo*frac_diarrhea_severe</f>
        <v>0.16677818181818183</v>
      </c>
      <c r="F7" s="60">
        <f>diarrhoea_12_23mo*frac_diarrhea_severe</f>
        <v>0.13444363636363638</v>
      </c>
      <c r="G7" s="60">
        <f>diarrhoea_24_59mo*frac_diarrhea_severe</f>
        <v>6.6181818181818189E-2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0.39900000000000002</v>
      </c>
      <c r="F8" s="60">
        <f>food_insecure</f>
        <v>0.39900000000000002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0.39900000000000002</v>
      </c>
      <c r="F9" s="60">
        <f>food_insecure</f>
        <v>0.39900000000000002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6.8640000000000007E-2</v>
      </c>
      <c r="D12" s="60">
        <f>diarrhoea_1_5mo*frac_diarrhea_severe</f>
        <v>6.8640000000000007E-2</v>
      </c>
      <c r="E12" s="60">
        <f>diarrhoea_6_11mo*frac_diarrhea_severe</f>
        <v>0.16677818181818183</v>
      </c>
      <c r="F12" s="60">
        <f>diarrhoea_12_23mo*frac_diarrhea_severe</f>
        <v>0.13444363636363638</v>
      </c>
      <c r="G12" s="60">
        <f>diarrhoea_24_59mo*frac_diarrhea_severe</f>
        <v>6.6181818181818189E-2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0.39900000000000002</v>
      </c>
      <c r="I15" s="60">
        <f t="shared" si="0"/>
        <v>0.39900000000000002</v>
      </c>
      <c r="J15" s="60">
        <f t="shared" si="0"/>
        <v>0.39900000000000002</v>
      </c>
      <c r="K15" s="60">
        <f t="shared" si="0"/>
        <v>0.39900000000000002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0.39900000000000002</v>
      </c>
      <c r="I16" s="60">
        <f t="shared" si="0"/>
        <v>0.39900000000000002</v>
      </c>
      <c r="J16" s="60">
        <f t="shared" si="0"/>
        <v>0.39900000000000002</v>
      </c>
      <c r="K16" s="60">
        <f t="shared" si="0"/>
        <v>0.39900000000000002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0.37782734425937498</v>
      </c>
      <c r="M24" s="60">
        <f>famplan_unmet_need</f>
        <v>0.37782734425937498</v>
      </c>
      <c r="N24" s="60">
        <f>famplan_unmet_need</f>
        <v>0.37782734425937498</v>
      </c>
      <c r="O24" s="60">
        <f>famplan_unmet_need</f>
        <v>0.37782734425937498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0.42507373070399995</v>
      </c>
      <c r="M25" s="60">
        <f>(1-food_insecure)*(0.49)+food_insecure*(0.7)</f>
        <v>0.57379000000000002</v>
      </c>
      <c r="N25" s="60">
        <f>(1-food_insecure)*(0.49)+food_insecure*(0.7)</f>
        <v>0.57379000000000002</v>
      </c>
      <c r="O25" s="60">
        <f>(1-food_insecure)*(0.49)+food_insecure*(0.7)</f>
        <v>0.57379000000000002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0.18217445601599996</v>
      </c>
      <c r="M26" s="60">
        <f>(1-food_insecure)*(0.21)+food_insecure*(0.3)</f>
        <v>0.24590999999999999</v>
      </c>
      <c r="N26" s="60">
        <f>(1-food_insecure)*(0.21)+food_insecure*(0.3)</f>
        <v>0.24590999999999999</v>
      </c>
      <c r="O26" s="60">
        <f>(1-food_insecure)*(0.21)+food_insecure*(0.3)</f>
        <v>0.24590999999999999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0.13356941327999999</v>
      </c>
      <c r="M27" s="60">
        <f>(1-food_insecure)*(0.3)</f>
        <v>0.18029999999999999</v>
      </c>
      <c r="N27" s="60">
        <f>(1-food_insecure)*(0.3)</f>
        <v>0.18029999999999999</v>
      </c>
      <c r="O27" s="60">
        <f>(1-food_insecure)*(0.3)</f>
        <v>0.18029999999999999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0.25918239999999998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9qi21jvYSN+YOkMKOsftOMVOqo0sg9yT4Oe6cTI0x3oDFsKrttE3hUnXgoBSJ6W3kMx39zKN5EKX0/I9w/8eg==" saltValue="FqdV8QHfKwRbxbspLIbXe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IFtq01wbL2k4GQ/NS1aFu4Bd5AYrrAAgeyPFUA7ZSf50VdXAtvbzUhnIkHyvc29HrnhKyKkbimeaSYre/0pi4Q==" saltValue="y7FaU1yOmsrzZVpNXPgsB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g7f+Nrg+IMtzR2Dn1Pahb+bshusTMBo8aQrTkTbbi0fd2Ftvota3OxdOdG6TPbzXUScDMEthtbSDVlPrQ+Z3xA==" saltValue="nltHhIhWNGAr0jFiWunJc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gerJfsAPvDug/w7QiJyMqrXjP70Qf0WJXKjNkof7nDNA7fFUPRXkmZUWNVAZeX8e6J1lll1Hz0+ukElDqhVRJw==" saltValue="XYCX3laU+u/8LleuqXbIc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QLQjmCp9Cf8Rh2k+16IWmInctSU+KkbkOwqBHNlGKXq2Z3meeYj/WIDaiOK4a1PUHU/EEBchJUPEl/XX08eYqQ==" saltValue="spQoA5ph4+Q2l8GnqP8ki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ch4xVnVKucLyYWevoba1EvOFTqLBzas5sfRFSxjYBL91M83DfurRrfybOuhCvskZ2MKZ+TdSlNW0nGdp1UxBDw==" saltValue="/sKTfTYy9sDYZB0obr11p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V0JpOotUSeEb8CGdlJs7CFg617ez/QE9lD3dobpiZVVJuge9Gfsq4wZLfOhYHX8Ojoij7QXlBq8/83a508YIjA==" saltValue="M8DIbZNqr1iC3T9oBkZ6j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EFEq+sOUiTftSeBPzphL2kCPYEt7n4tvHCTz0pjstxYu4s+wyQTwIV9IVLVJiky+8DiLX25xnRl4nYliiMK3uw==" saltValue="WQsvrkG79Ot158ga2zO0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nVOhWDqMwDmkVy3x/nQD3lqQve07NXNyEnKPc1dMTuIVgMBf+Dho9b9OqaT75OJC56LuHr/1yCIed5FgHLIi1g==" saltValue="/MQqP25Z+Z/3Wpp/aFtu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kXQmOAYxddAa1Bp9VZPFj9e9DzRqHaE8GXR0ggl9b1tlKIBR3WFXhbKouOFJUjz/JBrHIq72bnRp+rtXjBVJw==" saltValue="DQ1IMVE4mf69FRrKF0s9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YaHoPBNtvV9YNW81YrdGeFGPswKKjSeOZoDreQu8j82NZc1WF0/CXD1YI+ejpb/SEWL+QIJalMAOV3clXjHe8A==" saltValue="N6+ePxhtUk4nDXBSwX/k9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Gnl/AoKCJ3naSu7SpE2f887/asVT78sp0ddsFyml9qAX0cfnTkKaiTwRH2HDSueRIbgrLkugM2Mpd10cKyFOGg==" saltValue="gssH/zV7SVxqXD5gvvZ/3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rbRfWXWToWX5D54hHSb9hrFnWkAtsrmDyaZWNhG+jhAJiT9q7pZGRy2sBTRH+kCVrA+0lnTm80XbMjhIGg0WmA==" saltValue="itPZ+h0wSBl363hKoF1r/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wStPW4OekICgZ18jCYl7jcj/eAANdwH5kfv6Eull0hxiZtdb26SXSVnfyy0kK1twknDTIkbJNut7X2zF8yzsNg==" saltValue="+KH0CN3iNi311Wj2cuvH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ArgafR85M00jyCNUbe+w7MmOP5E/EeIBSY1Ai/VIqSDKmfcwjRgW1sGFxVWM59+gKcIe3w8KTS6lXQ9naqn5g==" saltValue="Z6G/9RNaQX1PrYLKlxj1Z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2026-04-29T04:49:02Z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