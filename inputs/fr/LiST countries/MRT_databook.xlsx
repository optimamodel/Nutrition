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Modelling projects\Nutrition\inputs\fr\LiST countries\"/>
    </mc:Choice>
  </mc:AlternateContent>
  <xr:revisionPtr revIDLastSave="0" documentId="8_{8114DA3B-7D2D-4DA7-B777-6B0F17C8801D}" xr6:coauthVersionLast="47" xr6:coauthVersionMax="47" xr10:uidLastSave="{00000000-0000-0000-0000-000000000000}"/>
  <bookViews>
    <workbookView xWindow="-110" yWindow="-110" windowWidth="19420" windowHeight="1030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M60" i="25"/>
  <c r="N60" i="25"/>
  <c r="O60" i="25"/>
  <c r="L60" i="25"/>
  <c r="L14" i="25"/>
  <c r="O37" i="25"/>
  <c r="N37" i="25"/>
  <c r="M37" i="25"/>
  <c r="L37" i="25"/>
  <c r="H159" i="27"/>
  <c r="G159" i="27"/>
  <c r="F159" i="27"/>
  <c r="E159" i="27"/>
  <c r="D159" i="27"/>
  <c r="G158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I11" i="2" s="1"/>
  <c r="H10" i="2"/>
  <c r="G10" i="2"/>
  <c r="H9" i="2"/>
  <c r="G9" i="2"/>
  <c r="H8" i="2"/>
  <c r="G8" i="2"/>
  <c r="I8" i="2" s="1"/>
  <c r="H7" i="2"/>
  <c r="G7" i="2"/>
  <c r="I7" i="2" s="1"/>
  <c r="H6" i="2"/>
  <c r="G6" i="2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I4" i="2" l="1"/>
  <c r="I39" i="2"/>
  <c r="A36" i="2"/>
  <c r="A37" i="2"/>
  <c r="A34" i="2"/>
  <c r="I6" i="2"/>
  <c r="I12" i="2"/>
  <c r="A35" i="2"/>
  <c r="A19" i="2"/>
  <c r="I3" i="2"/>
  <c r="I9" i="2"/>
  <c r="A23" i="2"/>
  <c r="A22" i="2"/>
  <c r="A24" i="2"/>
  <c r="A40" i="2"/>
  <c r="A25" i="2"/>
  <c r="A26" i="2"/>
  <c r="A31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37" authorId="1" shapeId="0" xr:uid="{B53E2CCE-449F-4B13-937B-3F8B887F6752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37" authorId="1" shapeId="0" xr:uid="{1148A5A1-251A-4064-B40F-0C873577904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37" authorId="1" shapeId="0" xr:uid="{15C867EE-F338-4C14-9C7D-F0E3CF1EF5F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37" authorId="1" shapeId="0" xr:uid="{8E4E4ECE-5F5C-4FD8-8945-6257CBFF139B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E6EBA730-3C9A-42F5-8372-C12E3D2BCF2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AF9DB01E-B712-4A66-A517-1C057B372D4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207C9149-2C56-40E5-890F-83153B938A2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39C4CB92-7EE0-4046-B67E-41191387FFA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E377B1E7-A333-4A74-97C3-029328512C0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200C4BAB-9EE2-447E-A6DD-80717CFE4A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9FC7E5D2-2D8B-4961-9B75-5691D4A68B0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D951D76C-28E5-48CE-899C-D128152950F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E9DCEC9B-12F6-42CF-8CD9-B1C5DD42DE7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9FD33C3F-D78F-4E9D-A67C-9D39AC73491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3400288E-DF03-41FF-B1F2-3EB20AA1B92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9C325214-076C-49F4-9A1C-FDD39C7EF1F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9B6733C4-FA93-4154-8674-5B85D19B611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607EB3C-B9C7-4D01-AE82-3B20B34591B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26DD0551-BD1F-450A-8953-951E786BA72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7B0F43C-E3A4-41A5-9220-14111D4DE5D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BF774CA2-E4B3-46E6-A04D-901C8156EE7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DDFF231A-B050-4E30-B877-4FB8473D71B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0214BC76-CC8A-414C-8D7A-C51B3E742D6B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408E5496-8B3D-4F1E-BD84-9A9255C25832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DF0EEE5A-AAEC-4832-9B3D-B069B0FD3D24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2A9C86D6-9952-4010-8EF5-ED482E1554FE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5A70274A-2FB2-4238-A065-120459AD1B1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385F9BE4-A3AC-4198-BAC3-722E7A52040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1E0B57C8-7A0A-48E3-A3E8-1E19A7175498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2AC9637A-4534-4154-9BD7-3AE7DD8CD9D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01A3CEF9-0D30-4FDB-AF26-2DC31C7D29F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E3448607-813B-4893-BFAF-1777B6724FB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CB33591A-EF28-41CE-A9F1-ECF332B1A0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652EDCEE-9F4F-4011-BE3F-87A81AEAB68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F2E7DF39-BD3C-4774-9BD5-66837E9E22B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84346A43-22E1-4209-86B7-5484553C9A3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6AA73D8B-E906-4C63-9A89-433F265EDADB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D0DB495D-46B4-4957-B9C2-D1B5214046C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E8F934AE-F36A-4978-A2B4-5231B12CD33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53D9CECE-9FA0-4330-B76A-C6EEC6C1D65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9DC905D6-8DE5-4FE7-BE6F-D3E934A7520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ACC4B3F7-E558-402F-BE57-0C3DDC8060F5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955FA18E-86F7-422C-8CA5-A38FE48813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33441C3A-E101-49E5-A4DB-504F222DBAB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9A6BDF27-568B-45B9-BE8D-362C80D286A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08FA6FC1-5E34-45F1-9F8B-4E7BAEF15D4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9730E75-4547-4DE1-A9F2-FCA6D5B0977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38945CFE-2923-4A7C-9E0E-820E103F12F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F76610CF-AE5A-4A2B-BD5A-C60057991BB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8EC67AD9-5004-458A-B78A-27343190877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8D6C5816-8BDB-4D07-A205-24F2394A459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B76A1BFB-64B6-4C17-9732-138D8EB4934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962C7931-87AA-452E-BF56-06BF5EBED30C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25F108DC-6C32-4B96-9492-1B12A3709CE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8B1376CD-B39F-49F6-BC5B-7A2858E0592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048CF327-553B-4B14-8A84-22CC73D47D4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1FFD936D-DA45-475C-9F30-391304B2787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3CED59C7-FFD8-4D8E-9210-1FB3B9F5724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BFC97A30-BB96-4307-90EA-5BE03611C63A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51ED88B2-1E5E-47FC-9698-0E5AB645D50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561CB528-6BAE-4817-8CC0-243735B76FA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E496632C-74C0-41C8-9AB4-0B4C878936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FBF69FC4-CD17-4513-AF48-E695A29BF82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900E651E-9020-4856-BB60-BF507FACE1C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49F9B2F7-6FD6-4FDF-921C-425B5CDD5155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4AC52846-7242-459E-9C8D-BF78F201C11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B7E52F08-0E63-474C-A17D-FB71B12C1A4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29CDC5B-FBD8-45AA-9D30-2F9915F0B0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74D24310-E8B6-4724-B08F-C246A0B86F1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026E01B-E53C-4032-904B-4C8C6143328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56E6B52D-1C74-48A6-AB95-D033A5B5881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A2996F6D-43C2-499B-8B4D-F7E66869236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1BA30CAA-FFAB-42ED-B857-7C2DBF6DD53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234E5DD0-50F5-435F-A2AD-FDCE2659B3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81B268C8-266C-41E0-8968-7FD59EF44415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D68CDFE1-6866-4AC0-B4D7-B34E1A995637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6447B983-C337-44DD-BE06-3BF10916980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42AC3582-1D7E-471B-A6C7-CD7E77F8588B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C499C901-0DF0-4641-8493-EE778DE73B9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080FF01F-34D3-44B7-835E-C7CC7A5B457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B263C3DB-9806-4F53-B7FE-F5AB30086A04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FF88E7CE-1D54-4693-9AC1-0680C2879226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F32BE7CD-2AAA-47AD-914F-4CAAC1FEDD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BCFCAE2C-B071-4EBD-916E-9CB34A3AE95A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E2890E16-5EE9-49DE-B974-B3ADDC0025F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FFC68E24-6D1B-4208-B66E-D8A12166F7E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AE98D75E-0886-4415-A5FC-355EDA6C4FF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F3FF4EFF-507E-406A-9019-C50AD187D27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DE5B9A2C-A2CF-41B4-A227-60CE716BCCA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34EEDC69-740F-43FD-A983-6FB9711FB12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1C7CF2A-6820-4496-B5B3-46A027800BF9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EBC10A23-30BF-4E42-8CA2-8EE10D6CA31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C4570B06-D8B9-4BF0-8899-481D28F107D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E10AAA50-CCAF-4DFB-8CEA-438EA669514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0D2DBAA3-0B85-4069-9696-DDECC83557DF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E6F4F3F2-6816-43AD-9558-8D77B03CE641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994813E0-DC6E-4867-8FA2-13765D152F5E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6D709644-E2DA-4998-B8D6-CCE8241FA06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E0BF8484-6C50-4B90-B5C7-81D81EF1805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98B23DB2-DC71-4976-B9E0-A2E971751C4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ED7AE56-914C-4919-99D9-9B4DD94D01A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C946989D-0B8C-452F-9FD8-02724BD0218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E509D43A-5096-49C2-BA18-0C199C6BF4A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7D8578B9-425B-43DC-B215-7EF10F08E80C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309E82E0-67AD-454E-9A05-4D9313B66A9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9EF8017-E5A0-4B1E-9AF7-1E695ECA49AB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26E77479-1563-4266-B2C1-17AF174C957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09D666FE-E28F-48AE-ADF8-2D96C595DB94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B9267817-21CE-42E6-A675-E3EF4A926E9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D5F41D35-9589-4734-9273-1246C82D90D3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68C36586-6425-44D5-AE71-7B83AC0B0D8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AF8C373-AE13-4606-898A-ED625C16452F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A99AB4B1-F894-4133-B7CD-69537AC87FC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66812343-2E7C-44E8-B27C-8CF88CE05138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384DF3D1-4AA8-4943-A530-5AAE715E42E7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1DE26347-7149-43FD-858E-465A040CC0F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B687D13E-D130-42E7-9D6A-3F80F0C7EF5D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9BC31D67-F810-46D7-B5A1-4288AAC1F5B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64D245B3-8DA5-40BE-BC14-2456737D9F8E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5798986F-DE4D-469D-8D38-C4A2549541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1683DE01-9F25-40E0-AE29-34410454063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6E399964-9FF6-4F4D-B47E-AC805C54B9BA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EFF89D0F-5E10-4447-B0BA-64F660AD6D14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E024415B-2F81-4A00-9886-75203AC76837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773BC8B9-C7FD-4E1D-BFAD-28167A2B024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E0893EE6-8215-43BF-B8DC-C2BA125EF501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B0106407-B25E-404E-AE98-C6E846DE743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B3781CC1-6735-4678-95E3-B6650A0CF979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550CF970-1632-472E-99A6-5157A6C70FB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0F529DF4-B0D9-4A77-880D-52378457049B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0A749486-D0DA-44DD-A158-4937B013D9E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65A87F96-9920-4AFF-9D42-432A9BC46A3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14AFEBEB-6E6D-485B-AD84-D77832449F6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C956521D-520C-46E0-BBF9-22BA4AB5823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889435D0-F1CE-49D5-B3FA-2C346C3DD8BB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21DCB560-D7D0-454D-9256-2EB6BA5D9FA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2CA48B3A-F458-496E-A12E-9EDFF9710F1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D5130B5B-6564-4541-AFF7-B31DC2A99F0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A87CEC0D-D5EC-411A-9E0A-45792CF26B1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F07A7990-2D7C-41E0-8069-25EED27A8B7D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B9A5DC53-F533-4CB3-94F1-5C0DF398AC61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F61BC170-6314-4BE8-BD27-ACBE21EC6D8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F2F9EF38-F3FC-4F8C-BAEA-4602406D7D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03156B19-EF6A-4B80-952F-EA4B39906AB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6C70B7FC-07DB-4AA6-AD5D-BA8D185F69A2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ECCF229F-BC05-441A-A8EC-996A647C989C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853363A1-995D-434E-99B9-CBFFCC587E17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D7049EC9-BADF-40DE-979A-0A74E0293BB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C916B5A2-27DC-436D-B575-9210A24C214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D9F9FF7F-8008-4D79-ABB3-028FF22CD55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D7D5CD6A-B8A4-4771-AAA0-5113E0A3BC1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06B708C5-CF4C-4BD9-A112-999F5C5817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52C7700-A4E9-41DE-B7A6-091614D4800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C648195E-E2CA-46F6-BED8-ABE76E4EB10D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876F0647-9D39-464F-9AEF-66CCB9E7BE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A2FD75B6-2FF3-4112-A257-87C89428A2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17B0E3BD-602F-47AD-8FDA-505C553A7C4F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<sst xmlns="http://schemas.openxmlformats.org/spreadsheetml/2006/main" count="2169" uniqueCount="369">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</sst>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814442</v>
      </c>
    </row>
    <row r="8" spans="1:3" ht="15" customHeight="1" x14ac:dyDescent="0.25">
      <c r="B8" s="5" t="s">
        <v>37</v>
      </c>
      <c r="C8" s="44">
        <v>0.26300000000000001</v>
      </c>
    </row>
    <row r="9" spans="1:3" ht="15" customHeight="1" x14ac:dyDescent="0.25">
      <c r="B9" s="5" t="s">
        <v>38</v>
      </c>
      <c r="C9" s="45">
        <v>0.41</v>
      </c>
    </row>
    <row r="10" spans="1:3" ht="15" customHeight="1" x14ac:dyDescent="0.25">
      <c r="B10" s="5" t="s">
        <v>39</v>
      </c>
      <c r="C10" s="45">
        <v>0.22715460000000001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0.69599999999999995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8.6800000000000002E-2</v>
      </c>
    </row>
    <row r="24" spans="1:3" ht="15" customHeight="1" x14ac:dyDescent="0.25">
      <c r="B24" s="15" t="s">
        <v>51</v>
      </c>
      <c r="C24" s="45">
        <v>0.40960000000000002</v>
      </c>
    </row>
    <row r="25" spans="1:3" ht="15" customHeight="1" x14ac:dyDescent="0.25">
      <c r="B25" s="15" t="s">
        <v>52</v>
      </c>
      <c r="C25" s="45">
        <v>0.3861</v>
      </c>
    </row>
    <row r="26" spans="1:3" ht="15" customHeight="1" x14ac:dyDescent="0.25">
      <c r="B26" s="15" t="s">
        <v>53</v>
      </c>
      <c r="C26" s="45">
        <v>0.11749999999999999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0.19753817858252901</v>
      </c>
    </row>
    <row r="30" spans="1:3" ht="14.25" customHeight="1" x14ac:dyDescent="0.25">
      <c r="B30" s="25" t="s">
        <v>56</v>
      </c>
      <c r="C30" s="97">
        <v>8.0206442932605593E-2</v>
      </c>
    </row>
    <row r="31" spans="1:3" ht="14.25" customHeight="1" x14ac:dyDescent="0.25">
      <c r="B31" s="25" t="s">
        <v>57</v>
      </c>
      <c r="C31" s="97">
        <v>0.11863998378949001</v>
      </c>
    </row>
    <row r="32" spans="1:3" ht="14.25" customHeight="1" x14ac:dyDescent="0.25">
      <c r="B32" s="25" t="s">
        <v>58</v>
      </c>
      <c r="C32" s="97">
        <v>0.60361539469537495</v>
      </c>
    </row>
    <row r="33" spans="1:5" ht="13.25" customHeight="1" x14ac:dyDescent="0.25">
      <c r="B33" s="27" t="s">
        <v>59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22.61336</v>
      </c>
    </row>
    <row r="38" spans="1:5" ht="15" customHeight="1" x14ac:dyDescent="0.25">
      <c r="B38" s="11" t="s">
        <v>63</v>
      </c>
      <c r="C38" s="43">
        <v>32.205010000000001</v>
      </c>
      <c r="D38" s="12"/>
      <c r="E38" s="13"/>
    </row>
    <row r="39" spans="1:5" ht="15" customHeight="1" x14ac:dyDescent="0.25">
      <c r="B39" s="11" t="s">
        <v>64</v>
      </c>
      <c r="C39" s="43">
        <v>40.498460000000001</v>
      </c>
      <c r="D39" s="12"/>
      <c r="E39" s="12"/>
    </row>
    <row r="40" spans="1:5" ht="15" customHeight="1" x14ac:dyDescent="0.25">
      <c r="B40" s="11" t="s">
        <v>65</v>
      </c>
      <c r="C40" s="98">
        <v>4.6399999999999997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16.71077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7.9477000000000003E-3</v>
      </c>
      <c r="D45" s="12"/>
    </row>
    <row r="46" spans="1:5" ht="15.75" customHeight="1" x14ac:dyDescent="0.25">
      <c r="B46" s="11" t="s">
        <v>70</v>
      </c>
      <c r="C46" s="45">
        <v>8.5397000000000001E-2</v>
      </c>
      <c r="D46" s="12"/>
    </row>
    <row r="47" spans="1:5" ht="15.75" customHeight="1" x14ac:dyDescent="0.25">
      <c r="B47" s="11" t="s">
        <v>71</v>
      </c>
      <c r="C47" s="45">
        <v>7.3442499999999994E-2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2.99</v>
      </c>
      <c r="D51" s="12"/>
    </row>
    <row r="52" spans="1:4" ht="15" customHeight="1" x14ac:dyDescent="0.25">
      <c r="B52" s="11" t="s">
        <v>75</v>
      </c>
      <c r="C52" s="98">
        <v>2.99</v>
      </c>
    </row>
    <row r="53" spans="1:4" ht="15.75" customHeight="1" x14ac:dyDescent="0.25">
      <c r="B53" s="11" t="s">
        <v>76</v>
      </c>
      <c r="C53" s="98">
        <v>4.68</v>
      </c>
    </row>
    <row r="54" spans="1:4" ht="15.75" customHeight="1" x14ac:dyDescent="0.25">
      <c r="B54" s="11" t="s">
        <v>77</v>
      </c>
      <c r="C54" s="98">
        <v>5.1219999999999999</v>
      </c>
    </row>
    <row r="55" spans="1:4" ht="15.75" customHeight="1" x14ac:dyDescent="0.25">
      <c r="B55" s="11" t="s">
        <v>78</v>
      </c>
      <c r="C55" s="98">
        <v>2.487333333333333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2.181818181818182E-2</v>
      </c>
    </row>
    <row r="59" spans="1:4" ht="15.75" customHeight="1" x14ac:dyDescent="0.25">
      <c r="B59" s="11" t="s">
        <v>81</v>
      </c>
      <c r="C59" s="45">
        <v>0.46489900000000001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iLFwEEDYJEZ7jVV//5uUDH9kL5Oe0dRO7SP5U/aCjFRfoW7wLrC8a2S8mCiOyPkBXe8uC+9xiDV4cI9MjR904w==" saltValue="D/q6MH2A1J2udDQM6a4CT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175914</v>
      </c>
      <c r="C2" s="49">
        <v>280335</v>
      </c>
      <c r="D2" s="49">
        <v>436760.5</v>
      </c>
      <c r="E2" s="49">
        <v>317543</v>
      </c>
      <c r="F2" s="49">
        <v>220515.5</v>
      </c>
      <c r="G2" s="17">
        <f t="shared" ref="G2:G13" si="0">C2+D2+E2+F2</f>
        <v>1255154</v>
      </c>
      <c r="H2" s="17">
        <f t="shared" ref="H2:H13" si="1">(B2 + stillbirth*B2/(1000-stillbirth))/(1-abortion)</f>
        <v>203299.56499907226</v>
      </c>
      <c r="I2" s="17">
        <f t="shared" ref="I2:I13" si="2">G2-H2</f>
        <v>1051854.4350009277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178900</v>
      </c>
      <c r="C3" s="50">
        <v>289067.5</v>
      </c>
      <c r="D3" s="50">
        <v>449861.99999999994</v>
      </c>
      <c r="E3" s="50">
        <v>327554</v>
      </c>
      <c r="F3" s="50">
        <v>228278.5</v>
      </c>
      <c r="G3" s="17">
        <f t="shared" si="0"/>
        <v>1294762</v>
      </c>
      <c r="H3" s="17">
        <f t="shared" si="1"/>
        <v>206750.41314695837</v>
      </c>
      <c r="I3" s="17">
        <f t="shared" si="2"/>
        <v>1088011.5868530415</v>
      </c>
    </row>
    <row r="4" spans="1:9" ht="15.75" customHeight="1" x14ac:dyDescent="0.25">
      <c r="A4" s="5">
        <f t="shared" si="3"/>
        <v>2026</v>
      </c>
      <c r="B4" s="49">
        <v>181311</v>
      </c>
      <c r="C4" s="50">
        <v>297839.5</v>
      </c>
      <c r="D4" s="50">
        <v>463305.50000000006</v>
      </c>
      <c r="E4" s="50">
        <v>337555</v>
      </c>
      <c r="F4" s="50">
        <v>236262</v>
      </c>
      <c r="G4" s="17">
        <f t="shared" si="0"/>
        <v>1334962</v>
      </c>
      <c r="H4" s="17">
        <f t="shared" si="1"/>
        <v>209536.74766958167</v>
      </c>
      <c r="I4" s="17">
        <f t="shared" si="2"/>
        <v>1125425.2523304182</v>
      </c>
    </row>
    <row r="5" spans="1:9" ht="15.75" customHeight="1" x14ac:dyDescent="0.25">
      <c r="A5" s="5">
        <f t="shared" si="3"/>
        <v>2027</v>
      </c>
      <c r="B5" s="49">
        <v>184292</v>
      </c>
      <c r="C5" s="50">
        <v>306678.5</v>
      </c>
      <c r="D5" s="50">
        <v>477264</v>
      </c>
      <c r="E5" s="50">
        <v>347562</v>
      </c>
      <c r="F5" s="50">
        <v>244449</v>
      </c>
      <c r="G5" s="17">
        <f t="shared" si="0"/>
        <v>1375953.5</v>
      </c>
      <c r="H5" s="17">
        <f t="shared" si="1"/>
        <v>212981.81743811764</v>
      </c>
      <c r="I5" s="17">
        <f t="shared" si="2"/>
        <v>1162971.6825618823</v>
      </c>
    </row>
    <row r="6" spans="1:9" ht="15.75" customHeight="1" x14ac:dyDescent="0.25">
      <c r="A6" s="5">
        <f t="shared" si="3"/>
        <v>2028</v>
      </c>
      <c r="B6" s="49">
        <v>187121</v>
      </c>
      <c r="C6" s="50">
        <v>315067.5</v>
      </c>
      <c r="D6" s="50">
        <v>491804.5</v>
      </c>
      <c r="E6" s="50">
        <v>357608</v>
      </c>
      <c r="F6" s="50">
        <v>252819.5</v>
      </c>
      <c r="G6" s="17">
        <f t="shared" si="0"/>
        <v>1417299.5</v>
      </c>
      <c r="H6" s="17">
        <f t="shared" si="1"/>
        <v>216251.22447441024</v>
      </c>
      <c r="I6" s="17">
        <f t="shared" si="2"/>
        <v>1201048.2755255897</v>
      </c>
    </row>
    <row r="7" spans="1:9" ht="15.75" customHeight="1" x14ac:dyDescent="0.25">
      <c r="A7" s="5">
        <f t="shared" si="3"/>
        <v>2029</v>
      </c>
      <c r="B7" s="49">
        <v>189472</v>
      </c>
      <c r="C7" s="50">
        <v>322828.5</v>
      </c>
      <c r="D7" s="50">
        <v>507018</v>
      </c>
      <c r="E7" s="50">
        <v>367798.5</v>
      </c>
      <c r="F7" s="50">
        <v>261385</v>
      </c>
      <c r="G7" s="17">
        <f t="shared" si="0"/>
        <v>1459030</v>
      </c>
      <c r="H7" s="17">
        <f t="shared" si="1"/>
        <v>218968.21844483225</v>
      </c>
      <c r="I7" s="17">
        <f t="shared" si="2"/>
        <v>1240061.7815551679</v>
      </c>
    </row>
    <row r="8" spans="1:9" ht="15.75" customHeight="1" x14ac:dyDescent="0.25">
      <c r="A8" s="5">
        <f t="shared" si="3"/>
        <v>2030</v>
      </c>
      <c r="B8" s="49">
        <v>192444</v>
      </c>
      <c r="C8" s="50">
        <v>330324</v>
      </c>
      <c r="D8" s="50">
        <v>522818.99999999994</v>
      </c>
      <c r="E8" s="50">
        <v>378206.5</v>
      </c>
      <c r="F8" s="50">
        <v>270121</v>
      </c>
      <c r="G8" s="17">
        <f t="shared" si="0"/>
        <v>1501470.5</v>
      </c>
      <c r="H8" s="17">
        <f t="shared" si="1"/>
        <v>222402.887130538</v>
      </c>
      <c r="I8" s="17">
        <f t="shared" si="2"/>
        <v>1279067.612869462</v>
      </c>
    </row>
    <row r="9" spans="1:9" ht="15.75" customHeight="1" x14ac:dyDescent="0.25">
      <c r="A9" s="5">
        <f t="shared" si="3"/>
        <v>2031</v>
      </c>
      <c r="B9" s="49">
        <v>195192</v>
      </c>
      <c r="C9" s="50">
        <v>337534.5</v>
      </c>
      <c r="D9" s="50">
        <v>539061.5</v>
      </c>
      <c r="E9" s="50">
        <v>388883.5</v>
      </c>
      <c r="F9" s="50">
        <v>278990</v>
      </c>
      <c r="G9" s="17">
        <f t="shared" si="0"/>
        <v>1544469.5</v>
      </c>
      <c r="H9" s="17">
        <f t="shared" si="1"/>
        <v>225578.6844213588</v>
      </c>
      <c r="I9" s="17">
        <f t="shared" si="2"/>
        <v>1318890.8155786411</v>
      </c>
    </row>
    <row r="10" spans="1:9" ht="15.75" customHeight="1" x14ac:dyDescent="0.25">
      <c r="A10" s="5">
        <f t="shared" si="3"/>
        <v>2032</v>
      </c>
      <c r="B10" s="49">
        <v>197382</v>
      </c>
      <c r="C10" s="50">
        <v>344457</v>
      </c>
      <c r="D10" s="50">
        <v>555703.5</v>
      </c>
      <c r="E10" s="50">
        <v>399899.5</v>
      </c>
      <c r="F10" s="50">
        <v>288002.5</v>
      </c>
      <c r="G10" s="17">
        <f t="shared" si="0"/>
        <v>1588062.5</v>
      </c>
      <c r="H10" s="17">
        <f t="shared" si="1"/>
        <v>228109.61457670727</v>
      </c>
      <c r="I10" s="17">
        <f t="shared" si="2"/>
        <v>1359952.8854232926</v>
      </c>
    </row>
    <row r="11" spans="1:9" ht="15.75" customHeight="1" x14ac:dyDescent="0.25">
      <c r="A11" s="5">
        <f t="shared" si="3"/>
        <v>2033</v>
      </c>
      <c r="B11" s="49">
        <v>198758</v>
      </c>
      <c r="C11" s="50">
        <v>351603.5</v>
      </c>
      <c r="D11" s="50">
        <v>572252</v>
      </c>
      <c r="E11" s="50">
        <v>411354.5</v>
      </c>
      <c r="F11" s="50">
        <v>297233.5</v>
      </c>
      <c r="G11" s="17">
        <f t="shared" si="0"/>
        <v>1632443.5</v>
      </c>
      <c r="H11" s="17">
        <f t="shared" si="1"/>
        <v>229699.82457385774</v>
      </c>
      <c r="I11" s="17">
        <f t="shared" si="2"/>
        <v>1402743.6754261423</v>
      </c>
    </row>
    <row r="12" spans="1:9" ht="15.75" customHeight="1" x14ac:dyDescent="0.25">
      <c r="A12" s="5">
        <f t="shared" si="3"/>
        <v>2034</v>
      </c>
      <c r="B12" s="49">
        <v>201535</v>
      </c>
      <c r="C12" s="50">
        <v>359070.5</v>
      </c>
      <c r="D12" s="50">
        <v>588339</v>
      </c>
      <c r="E12" s="50">
        <v>423267</v>
      </c>
      <c r="F12" s="50">
        <v>306669.99999999994</v>
      </c>
      <c r="G12" s="17">
        <f t="shared" si="0"/>
        <v>1677346.5</v>
      </c>
      <c r="H12" s="17">
        <f t="shared" si="1"/>
        <v>232909.13646490916</v>
      </c>
      <c r="I12" s="17">
        <f t="shared" si="2"/>
        <v>1444437.3635350908</v>
      </c>
    </row>
    <row r="13" spans="1:9" ht="15.75" customHeight="1" x14ac:dyDescent="0.25">
      <c r="A13" s="5">
        <f t="shared" si="3"/>
        <v>2035</v>
      </c>
      <c r="B13" s="49">
        <v>203552</v>
      </c>
      <c r="C13" s="50">
        <v>366398</v>
      </c>
      <c r="D13" s="50">
        <v>604203</v>
      </c>
      <c r="E13" s="50">
        <v>435663.5</v>
      </c>
      <c r="F13" s="50">
        <v>316246</v>
      </c>
      <c r="G13" s="17">
        <f t="shared" si="0"/>
        <v>1722510.5</v>
      </c>
      <c r="H13" s="17">
        <f t="shared" si="1"/>
        <v>235240.13469474379</v>
      </c>
      <c r="I13" s="17">
        <f t="shared" si="2"/>
        <v>1487270.3653052561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DNI3TJAKy8n+IidkOAVJ+E2U1XO1ovFJamlPzAuRvPKLf3PZGP9sUFFrHaFOHYXpAGqU94wKrKcquWRf20buA==" saltValue="+lGPKxcNVbM3IPOmQ5T9a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8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1.7122701712270191E-2</v>
      </c>
    </row>
    <row r="4" spans="1:8" ht="15.75" customHeight="1" x14ac:dyDescent="0.25">
      <c r="B4" s="19" t="s">
        <v>97</v>
      </c>
      <c r="C4" s="99">
        <v>6.227920622792063E-2</v>
      </c>
    </row>
    <row r="5" spans="1:8" ht="15.75" customHeight="1" x14ac:dyDescent="0.25">
      <c r="B5" s="19" t="s">
        <v>98</v>
      </c>
      <c r="C5" s="99">
        <v>8.6707408670740976E-2</v>
      </c>
    </row>
    <row r="6" spans="1:8" ht="15.75" customHeight="1" x14ac:dyDescent="0.25">
      <c r="B6" s="19" t="s">
        <v>99</v>
      </c>
      <c r="C6" s="99">
        <v>0.24658692465869211</v>
      </c>
    </row>
    <row r="7" spans="1:8" ht="15.75" customHeight="1" x14ac:dyDescent="0.25">
      <c r="B7" s="19" t="s">
        <v>100</v>
      </c>
      <c r="C7" s="99">
        <v>0.412030341203034</v>
      </c>
    </row>
    <row r="8" spans="1:8" ht="15.75" customHeight="1" x14ac:dyDescent="0.25">
      <c r="B8" s="19" t="s">
        <v>101</v>
      </c>
      <c r="C8" s="99">
        <v>3.2824003282400402E-3</v>
      </c>
    </row>
    <row r="9" spans="1:8" ht="15.75" customHeight="1" x14ac:dyDescent="0.25">
      <c r="B9" s="19" t="s">
        <v>102</v>
      </c>
      <c r="C9" s="99">
        <v>6.1357306135730677E-2</v>
      </c>
    </row>
    <row r="10" spans="1:8" ht="15.75" customHeight="1" x14ac:dyDescent="0.25">
      <c r="B10" s="19" t="s">
        <v>103</v>
      </c>
      <c r="C10" s="99">
        <v>0.1106337110633713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0.20674309031345461</v>
      </c>
      <c r="D14" s="55">
        <v>0.20674309031345461</v>
      </c>
      <c r="E14" s="55">
        <v>0.20674309031345461</v>
      </c>
      <c r="F14" s="55">
        <v>0.20674309031345461</v>
      </c>
    </row>
    <row r="15" spans="1:8" ht="15.75" customHeight="1" x14ac:dyDescent="0.25">
      <c r="B15" s="19" t="s">
        <v>106</v>
      </c>
      <c r="C15" s="99">
        <v>0.28678735683249079</v>
      </c>
      <c r="D15" s="99">
        <v>0.28678735683249079</v>
      </c>
      <c r="E15" s="99">
        <v>0.28678735683249079</v>
      </c>
      <c r="F15" s="99">
        <v>0.28678735683249079</v>
      </c>
    </row>
    <row r="16" spans="1:8" ht="15.75" customHeight="1" x14ac:dyDescent="0.25">
      <c r="B16" s="19" t="s">
        <v>107</v>
      </c>
      <c r="C16" s="99">
        <v>2.7265565756003932E-2</v>
      </c>
      <c r="D16" s="99">
        <v>2.7265565756003932E-2</v>
      </c>
      <c r="E16" s="99">
        <v>2.7265565756003932E-2</v>
      </c>
      <c r="F16" s="99">
        <v>2.7265565756003932E-2</v>
      </c>
    </row>
    <row r="17" spans="1:8" ht="15.75" customHeight="1" x14ac:dyDescent="0.25">
      <c r="B17" s="19" t="s">
        <v>108</v>
      </c>
      <c r="C17" s="99">
        <v>1.469761866134979E-3</v>
      </c>
      <c r="D17" s="99">
        <v>1.469761866134979E-3</v>
      </c>
      <c r="E17" s="99">
        <v>1.469761866134979E-3</v>
      </c>
      <c r="F17" s="99">
        <v>1.469761866134979E-3</v>
      </c>
    </row>
    <row r="18" spans="1:8" ht="15.75" customHeight="1" x14ac:dyDescent="0.25">
      <c r="B18" s="19" t="s">
        <v>109</v>
      </c>
      <c r="C18" s="99">
        <v>0.1181849068380063</v>
      </c>
      <c r="D18" s="99">
        <v>0.1181849068380063</v>
      </c>
      <c r="E18" s="99">
        <v>0.1181849068380063</v>
      </c>
      <c r="F18" s="99">
        <v>0.1181849068380063</v>
      </c>
    </row>
    <row r="19" spans="1:8" ht="15.75" customHeight="1" x14ac:dyDescent="0.25">
      <c r="B19" s="19" t="s">
        <v>110</v>
      </c>
      <c r="C19" s="99">
        <v>2.268923797004303E-2</v>
      </c>
      <c r="D19" s="99">
        <v>2.268923797004303E-2</v>
      </c>
      <c r="E19" s="99">
        <v>2.268923797004303E-2</v>
      </c>
      <c r="F19" s="99">
        <v>2.268923797004303E-2</v>
      </c>
    </row>
    <row r="20" spans="1:8" ht="15.75" customHeight="1" x14ac:dyDescent="0.25">
      <c r="B20" s="19" t="s">
        <v>111</v>
      </c>
      <c r="C20" s="99">
        <v>2.3678080438597891E-2</v>
      </c>
      <c r="D20" s="99">
        <v>2.3678080438597891E-2</v>
      </c>
      <c r="E20" s="99">
        <v>2.3678080438597891E-2</v>
      </c>
      <c r="F20" s="99">
        <v>2.3678080438597891E-2</v>
      </c>
    </row>
    <row r="21" spans="1:8" ht="15.75" customHeight="1" x14ac:dyDescent="0.25">
      <c r="B21" s="19" t="s">
        <v>112</v>
      </c>
      <c r="C21" s="99">
        <v>0.107555742570647</v>
      </c>
      <c r="D21" s="99">
        <v>0.107555742570647</v>
      </c>
      <c r="E21" s="99">
        <v>0.107555742570647</v>
      </c>
      <c r="F21" s="99">
        <v>0.107555742570647</v>
      </c>
    </row>
    <row r="22" spans="1:8" ht="15.75" customHeight="1" x14ac:dyDescent="0.25">
      <c r="B22" s="19" t="s">
        <v>113</v>
      </c>
      <c r="C22" s="99">
        <v>0.20562625741462129</v>
      </c>
      <c r="D22" s="99">
        <v>0.20562625741462129</v>
      </c>
      <c r="E22" s="99">
        <v>0.20562625741462129</v>
      </c>
      <c r="F22" s="99">
        <v>0.20562625741462129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8.8735101999999996E-2</v>
      </c>
    </row>
    <row r="27" spans="1:8" ht="15.75" customHeight="1" x14ac:dyDescent="0.25">
      <c r="B27" s="19" t="s">
        <v>120</v>
      </c>
      <c r="C27" s="99">
        <v>8.4480660000000006E-3</v>
      </c>
    </row>
    <row r="28" spans="1:8" ht="15.75" customHeight="1" x14ac:dyDescent="0.25">
      <c r="B28" s="19" t="s">
        <v>121</v>
      </c>
      <c r="C28" s="99">
        <v>0.157003631</v>
      </c>
    </row>
    <row r="29" spans="1:8" ht="15.75" customHeight="1" x14ac:dyDescent="0.25">
      <c r="B29" s="19" t="s">
        <v>122</v>
      </c>
      <c r="C29" s="99">
        <v>0.16959068199999999</v>
      </c>
    </row>
    <row r="30" spans="1:8" ht="15.75" customHeight="1" x14ac:dyDescent="0.25">
      <c r="B30" s="19" t="s">
        <v>2</v>
      </c>
      <c r="C30" s="99">
        <v>0.105430197</v>
      </c>
    </row>
    <row r="31" spans="1:8" ht="15.75" customHeight="1" x14ac:dyDescent="0.25">
      <c r="B31" s="19" t="s">
        <v>123</v>
      </c>
      <c r="C31" s="99">
        <v>0.109065357</v>
      </c>
    </row>
    <row r="32" spans="1:8" ht="15.75" customHeight="1" x14ac:dyDescent="0.25">
      <c r="B32" s="19" t="s">
        <v>124</v>
      </c>
      <c r="C32" s="99">
        <v>1.8742332E-2</v>
      </c>
    </row>
    <row r="33" spans="2:3" ht="15.75" customHeight="1" x14ac:dyDescent="0.25">
      <c r="B33" s="19" t="s">
        <v>125</v>
      </c>
      <c r="C33" s="99">
        <v>8.4799848999999997E-2</v>
      </c>
    </row>
    <row r="34" spans="2:3" ht="15.75" customHeight="1" x14ac:dyDescent="0.25">
      <c r="B34" s="19" t="s">
        <v>126</v>
      </c>
      <c r="C34" s="99">
        <v>0.25818478299999997</v>
      </c>
    </row>
    <row r="35" spans="2:3" ht="15.75" customHeight="1" x14ac:dyDescent="0.25">
      <c r="B35" s="27" t="s">
        <v>59</v>
      </c>
      <c r="C35" s="48">
        <f>SUM(C26:C34)</f>
        <v>0.99999999899999992</v>
      </c>
    </row>
  </sheetData>
  <sheetProtection algorithmName="SHA-512" hashValue="yI1ARF6nKWWMFpJJYlD3Th+f7tc2uYiJk5MHTB6tTFNRq2U1g1EOZnrlAGMzxxah29idXnqkT7BhYttLC4FyFA==" saltValue="BsTveE7WOhSeoqeyoPrYN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0.54280678597226562</v>
      </c>
      <c r="D2" s="52">
        <f>IFERROR(1-_xlfn.NORM.DIST(_xlfn.NORM.INV(SUM(D4:D5), 0, 1) + 1, 0, 1, TRUE), "")</f>
        <v>0.54280678597226562</v>
      </c>
      <c r="E2" s="52">
        <f>IFERROR(1-_xlfn.NORM.DIST(_xlfn.NORM.INV(SUM(E4:E5), 0, 1) + 1, 0, 1, TRUE), "")</f>
        <v>0.46358896576958464</v>
      </c>
      <c r="F2" s="52">
        <f>IFERROR(1-_xlfn.NORM.DIST(_xlfn.NORM.INV(SUM(F4:F5), 0, 1) + 1, 0, 1, TRUE), "")</f>
        <v>0.3486275588326081</v>
      </c>
      <c r="G2" s="52">
        <f>IFERROR(1-_xlfn.NORM.DIST(_xlfn.NORM.INV(SUM(G4:G5), 0, 1) + 1, 0, 1, TRUE), "")</f>
        <v>0.32539415545662653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0.32315591402773436</v>
      </c>
      <c r="D3" s="52">
        <f>IFERROR(_xlfn.NORM.DIST(_xlfn.NORM.INV(SUM(D4:D5), 0, 1) + 1, 0, 1, TRUE) - SUM(D4:D5), "")</f>
        <v>0.32315591402773436</v>
      </c>
      <c r="E3" s="52">
        <f>IFERROR(_xlfn.NORM.DIST(_xlfn.NORM.INV(SUM(E4:E5), 0, 1) + 1, 0, 1, TRUE) - SUM(E4:E5), "")</f>
        <v>0.35463143423041538</v>
      </c>
      <c r="F3" s="52">
        <f>IFERROR(_xlfn.NORM.DIST(_xlfn.NORM.INV(SUM(F4:F5), 0, 1) + 1, 0, 1, TRUE) - SUM(F4:F5), "")</f>
        <v>0.38076324116739191</v>
      </c>
      <c r="G3" s="52">
        <f>IFERROR(_xlfn.NORM.DIST(_xlfn.NORM.INV(SUM(G4:G5), 0, 1) + 1, 0, 1, TRUE) - SUM(G4:G5), "")</f>
        <v>0.38253074454337344</v>
      </c>
    </row>
    <row r="4" spans="1:15" ht="15.75" customHeight="1" x14ac:dyDescent="0.25">
      <c r="B4" s="5" t="s">
        <v>132</v>
      </c>
      <c r="C4" s="45">
        <v>0.10493</v>
      </c>
      <c r="D4" s="53">
        <v>0.10493</v>
      </c>
      <c r="E4" s="53">
        <v>0.14261699999999999</v>
      </c>
      <c r="F4" s="53">
        <v>0.1829336</v>
      </c>
      <c r="G4" s="53">
        <v>0.18611520000000001</v>
      </c>
    </row>
    <row r="5" spans="1:15" ht="15.75" customHeight="1" x14ac:dyDescent="0.25">
      <c r="B5" s="5" t="s">
        <v>133</v>
      </c>
      <c r="C5" s="45">
        <v>2.9107299999999999E-2</v>
      </c>
      <c r="D5" s="53">
        <v>2.9107299999999999E-2</v>
      </c>
      <c r="E5" s="53">
        <v>3.9162599999999999E-2</v>
      </c>
      <c r="F5" s="53">
        <v>8.7675599999999992E-2</v>
      </c>
      <c r="G5" s="53">
        <v>0.1059599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0.71746899892817184</v>
      </c>
      <c r="D8" s="52">
        <f>IFERROR(1-_xlfn.NORM.DIST(_xlfn.NORM.INV(SUM(D10:D11), 0, 1) + 1, 0, 1, TRUE), "")</f>
        <v>0.71746899892817184</v>
      </c>
      <c r="E8" s="52">
        <f>IFERROR(1-_xlfn.NORM.DIST(_xlfn.NORM.INV(SUM(E10:E11), 0, 1) + 1, 0, 1, TRUE), "")</f>
        <v>0.69191970475586373</v>
      </c>
      <c r="F8" s="52">
        <f>IFERROR(1-_xlfn.NORM.DIST(_xlfn.NORM.INV(SUM(F10:F11), 0, 1) + 1, 0, 1, TRUE), "")</f>
        <v>0.64241419491169161</v>
      </c>
      <c r="G8" s="52">
        <f>IFERROR(1-_xlfn.NORM.DIST(_xlfn.NORM.INV(SUM(G10:G11), 0, 1) + 1, 0, 1, TRUE), "")</f>
        <v>0.71501995293110177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0.22494190107182815</v>
      </c>
      <c r="D9" s="52">
        <f>IFERROR(_xlfn.NORM.DIST(_xlfn.NORM.INV(SUM(D10:D11), 0, 1) + 1, 0, 1, TRUE) - SUM(D10:D11), "")</f>
        <v>0.22494190107182815</v>
      </c>
      <c r="E9" s="52">
        <f>IFERROR(_xlfn.NORM.DIST(_xlfn.NORM.INV(SUM(E10:E11), 0, 1) + 1, 0, 1, TRUE) - SUM(E10:E11), "")</f>
        <v>0.24144119524413626</v>
      </c>
      <c r="F9" s="52">
        <f>IFERROR(_xlfn.NORM.DIST(_xlfn.NORM.INV(SUM(F10:F11), 0, 1) + 1, 0, 1, TRUE) - SUM(F10:F11), "")</f>
        <v>0.27144660508830842</v>
      </c>
      <c r="G9" s="52">
        <f>IFERROR(_xlfn.NORM.DIST(_xlfn.NORM.INV(SUM(G10:G11), 0, 1) + 1, 0, 1, TRUE) - SUM(G10:G11), "")</f>
        <v>0.22655234706889824</v>
      </c>
    </row>
    <row r="10" spans="1:15" ht="15.75" customHeight="1" x14ac:dyDescent="0.25">
      <c r="B10" s="5" t="s">
        <v>137</v>
      </c>
      <c r="C10" s="45">
        <v>4.6379700000000003E-2</v>
      </c>
      <c r="D10" s="53">
        <v>4.6379700000000003E-2</v>
      </c>
      <c r="E10" s="53">
        <v>5.8005599999999997E-2</v>
      </c>
      <c r="F10" s="53">
        <v>7.1402499999999994E-2</v>
      </c>
      <c r="G10" s="53">
        <v>5.0026300000000003E-2</v>
      </c>
    </row>
    <row r="11" spans="1:15" ht="15.75" customHeight="1" x14ac:dyDescent="0.25">
      <c r="B11" s="5" t="s">
        <v>138</v>
      </c>
      <c r="C11" s="45">
        <v>1.12094E-2</v>
      </c>
      <c r="D11" s="53">
        <v>1.12094E-2</v>
      </c>
      <c r="E11" s="53">
        <v>8.6334999999999988E-3</v>
      </c>
      <c r="F11" s="53">
        <v>1.47367E-2</v>
      </c>
      <c r="G11" s="53">
        <v>8.4013999999999998E-3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0.70639477425000008</v>
      </c>
      <c r="D14" s="54">
        <v>0.68218456074</v>
      </c>
      <c r="E14" s="54">
        <v>0.68218456074</v>
      </c>
      <c r="F14" s="54">
        <v>0.70673003779300003</v>
      </c>
      <c r="G14" s="54">
        <v>0.70673003779300003</v>
      </c>
      <c r="H14" s="45">
        <v>0.44600000000000001</v>
      </c>
      <c r="I14" s="55">
        <v>0.44600000000000001</v>
      </c>
      <c r="J14" s="55">
        <v>0.44600000000000001</v>
      </c>
      <c r="K14" s="55">
        <v>0.44600000000000001</v>
      </c>
      <c r="L14" s="45">
        <v>0.36499999999999999</v>
      </c>
      <c r="M14" s="55">
        <v>0.36499999999999999</v>
      </c>
      <c r="N14" s="55">
        <v>0.36499999999999999</v>
      </c>
      <c r="O14" s="55">
        <v>0.36499999999999999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0.32840222415405079</v>
      </c>
      <c r="D15" s="52">
        <f t="shared" si="0"/>
        <v>0.31714692010346529</v>
      </c>
      <c r="E15" s="52">
        <f t="shared" si="0"/>
        <v>0.31714692010346529</v>
      </c>
      <c r="F15" s="52">
        <f t="shared" si="0"/>
        <v>0.3285580878399279</v>
      </c>
      <c r="G15" s="52">
        <f t="shared" si="0"/>
        <v>0.3285580878399279</v>
      </c>
      <c r="H15" s="52">
        <f t="shared" si="0"/>
        <v>0.207344954</v>
      </c>
      <c r="I15" s="52">
        <f t="shared" si="0"/>
        <v>0.207344954</v>
      </c>
      <c r="J15" s="52">
        <f t="shared" si="0"/>
        <v>0.207344954</v>
      </c>
      <c r="K15" s="52">
        <f t="shared" si="0"/>
        <v>0.207344954</v>
      </c>
      <c r="L15" s="52">
        <f t="shared" si="0"/>
        <v>0.16968813499999999</v>
      </c>
      <c r="M15" s="52">
        <f t="shared" si="0"/>
        <v>0.16968813499999999</v>
      </c>
      <c r="N15" s="52">
        <f t="shared" si="0"/>
        <v>0.16968813499999999</v>
      </c>
      <c r="O15" s="52">
        <f t="shared" si="0"/>
        <v>0.16968813499999999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jqOyYzmC/Bfe4P798cGbwGyfBmVZ7UFpiw90jiA00wFpn34DvFKfmTasTokGpRfNR7xn1WVBqbYurR05YhfXA==" saltValue="LBGTOp1Lz+5MDJMxPPSG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0.59146719999999997</v>
      </c>
      <c r="D2" s="53">
        <v>0.36570609999999998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0.1192303</v>
      </c>
      <c r="D3" s="53">
        <v>0.21118480000000001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0.2151103</v>
      </c>
      <c r="D4" s="53">
        <v>0.35824779999999989</v>
      </c>
      <c r="E4" s="53">
        <v>0.92807269999999997</v>
      </c>
      <c r="F4" s="53">
        <v>0.67130619999999996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7.4192200000000041E-2</v>
      </c>
      <c r="D5" s="52">
        <f t="shared" si="0"/>
        <v>6.4861300000000122E-2</v>
      </c>
      <c r="E5" s="52">
        <f>1-SUM(E2:E4)</f>
        <v>7.1927300000000027E-2</v>
      </c>
      <c r="F5" s="52">
        <f>1-SUM(F2:F4)</f>
        <v>0.32869380000000004</v>
      </c>
      <c r="G5" s="52">
        <f>1-SUM(G2:G4)</f>
        <v>1</v>
      </c>
    </row>
  </sheetData>
  <sheetProtection algorithmName="SHA-512" hashValue="RnajsxFDq+sdm6ypYTDQH5XxlfdsYaDFZfeVj6qiRfZH0WXVWugPt3BtUHKW0ihDP9gg37gFX/WF+PmyRknRrg==" saltValue="UeO/pqTOv7+qqGSFwJarR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QxmlaoFX3z1tAsxHnr0bstB2AdIFggewyy14wrKnP7KDSckKZmmrDKGZyeMJYfOBws6TwCxR3iJBM/QFIwd4Q==" saltValue="fInFK9mgGJQR00NbCpcdM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2065.1555157010598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0.38267000000000001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0.27101999999999998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1.7350021408097435E-2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92693.010259999995</v>
      </c>
      <c r="C22" s="107">
        <v>92233.628660000002</v>
      </c>
      <c r="D22" s="107">
        <v>92014.647249999995</v>
      </c>
      <c r="E22" s="107">
        <v>91645.697560000001</v>
      </c>
      <c r="F22" s="107">
        <v>91101.702470000004</v>
      </c>
      <c r="G22" s="107">
        <v>90454.406130000003</v>
      </c>
      <c r="H22" s="107">
        <v>89659.362450000001</v>
      </c>
      <c r="I22" s="107">
        <v>88662.419909999997</v>
      </c>
      <c r="J22" s="107">
        <v>87262.19038</v>
      </c>
      <c r="K22" s="107">
        <v>85330.387520000004</v>
      </c>
      <c r="L22" s="107">
        <v>82447.313829999999</v>
      </c>
      <c r="M22" s="107">
        <v>78289.754029999996</v>
      </c>
      <c r="N22" s="107">
        <v>71929.955610000005</v>
      </c>
      <c r="O22" s="107">
        <v>63292.727919999998</v>
      </c>
    </row>
  </sheetData>
  <sheetProtection algorithmName="SHA-512" hashValue="T0HVMl6vYlCoPV6BnnMCrUhxyDZM8No0vaEHRJuIwR5MvxClRYzNTgOn3ZptbwxskTN0Usdg3s9GXIXqo7t0wg==" saltValue="VWeg3jTTIIKAwocPm261v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XmWgcAaSJxjGHEsBJ6DRTSwegA5Kxv0OGiQ5m2/rK0tYWer1tvOJQ0sQYBE0qdeGuLVGldVgdf84qp/nNacZLw==" saltValue="afYo3FVuk2S6mM308benX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HeNzFx2CxKeAT3dev/xAIFCPww5fPLyIVjqDZQyGbRrjkKBcRdMhUxRU/71zwx6Cju2zLq5bYGRn3/ZI9di0qg==" saltValue="noA6MtCZaxwdK1ASOhy2s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18.025735670419653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18.025735670419653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5.2668836507008754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0.56149571024496792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0.19283527130965261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1.812651550310735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0.23003335421429147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0.28576590000000002</v>
      </c>
      <c r="C10" s="96">
        <v>0.95</v>
      </c>
      <c r="D10" s="56">
        <v>13.555007547773389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13.555007547773389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13.555007547773389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13.555007547773389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0.28576590000000002</v>
      </c>
      <c r="C14" s="96">
        <v>0.95</v>
      </c>
      <c r="D14" s="56">
        <v>13.555007547773389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13.555007547773389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0.22889889999999999</v>
      </c>
      <c r="C16" s="96">
        <v>0.95</v>
      </c>
      <c r="D16" s="56">
        <v>2.8407188685968858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</v>
      </c>
      <c r="C17" s="96">
        <v>0.95</v>
      </c>
      <c r="D17" s="56">
        <v>0.35500000000000004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0.17599999999999999</v>
      </c>
      <c r="C18" s="96">
        <v>0.95</v>
      </c>
      <c r="D18" s="56">
        <v>5.2668836507008754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0.36570609999999998</v>
      </c>
      <c r="C19" s="96">
        <v>0.95</v>
      </c>
      <c r="D19" s="56">
        <v>7.2861200073283072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2.1939130069251829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5.2668836507008754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0.25781209999999999</v>
      </c>
      <c r="C23" s="96">
        <v>0.95</v>
      </c>
      <c r="D23" s="56">
        <v>4.4706017011529111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0.25720438775447002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0.12</v>
      </c>
      <c r="C26" s="96">
        <v>0.95</v>
      </c>
      <c r="D26" s="56">
        <v>3.8681355531509101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13.457928721749347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0.19483020000000001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0.1996319</v>
      </c>
      <c r="C29" s="96">
        <v>0.95</v>
      </c>
      <c r="D29" s="56">
        <v>88.005851455993124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44.783843336315748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0.22370000000000001</v>
      </c>
      <c r="C31" s="96">
        <v>0.95</v>
      </c>
      <c r="D31" s="56">
        <v>126.62714253872848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0.46210405728622134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0.41752408704084698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8.6300799999999997E-2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1.0247600000000001E-2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0.61272379999999993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7.0999999999999994E-2</v>
      </c>
      <c r="C38" s="96">
        <v>0.95</v>
      </c>
      <c r="D38" s="56">
        <v>4.0706758054007581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3.4125000000000001</v>
      </c>
      <c r="E39" s="56" t="s">
        <v>230</v>
      </c>
      <c r="F39" s="96">
        <v>1</v>
      </c>
      <c r="G39" s="96">
        <v>1</v>
      </c>
    </row>
  </sheetData>
  <sheetProtection algorithmName="SHA-512" hashValue="qX48GnVs1DVUVqmpXZjmGLUqLXXmhvJiAjbncrJW+x4rsFfC77clMUw95VMBfMiVKhhJrbK35le8jW6f5WdCEw==" saltValue="hq/DZ3Hj9xQDr/kH26597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7eOTVADvLFOdSmR34PZ89YJBZshvmTtdo06FPjtW/HuGkClqnbghSQy/CqQno/tz1qWr3QEAAB6nxG+RGJRWUQ==" saltValue="x19i+Q9Q0XEPvKniDBcf8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ceT+bKeUQ+i29o1a0bX+6SEUjCoEB74mhsUSv7BGwp5l2V88FvdEy0qGxAcIDW+bLOhAO88lq+ZNi183yl16Lg==" saltValue="v/Oig+Epoh4Gcc2lpGhQT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2.99</v>
      </c>
      <c r="C2" s="21">
        <f>'Données pop de l''année de ref'!C52</f>
        <v>2.99</v>
      </c>
      <c r="D2" s="21">
        <f>'Données pop de l''année de ref'!C53</f>
        <v>4.68</v>
      </c>
      <c r="E2" s="21">
        <f>'Données pop de l''année de ref'!C54</f>
        <v>5.1219999999999999</v>
      </c>
      <c r="F2" s="21">
        <f>'Données pop de l''année de ref'!C55</f>
        <v>2.487333333333333</v>
      </c>
    </row>
    <row r="3" spans="1:6" ht="15.75" customHeight="1" x14ac:dyDescent="0.25">
      <c r="A3" s="3" t="s">
        <v>238</v>
      </c>
      <c r="B3" s="21">
        <f>frac_mam_1month * 2.6</f>
        <v>0.12058722000000001</v>
      </c>
      <c r="C3" s="21">
        <f>frac_mam_1_5months * 2.6</f>
        <v>0.12058722000000001</v>
      </c>
      <c r="D3" s="21">
        <f>frac_mam_6_11months * 2.6</f>
        <v>0.15081455999999999</v>
      </c>
      <c r="E3" s="21">
        <f>frac_mam_12_23months * 2.6</f>
        <v>0.18564649999999999</v>
      </c>
      <c r="F3" s="21">
        <f>frac_mam_24_59months * 2.6</f>
        <v>0.13006838000000001</v>
      </c>
    </row>
    <row r="4" spans="1:6" ht="15.75" customHeight="1" x14ac:dyDescent="0.25">
      <c r="A4" s="3" t="s">
        <v>237</v>
      </c>
      <c r="B4" s="21">
        <f>frac_sam_1month * 2.6</f>
        <v>2.9144440000000001E-2</v>
      </c>
      <c r="C4" s="21">
        <f>frac_sam_1_5months * 2.6</f>
        <v>2.9144440000000001E-2</v>
      </c>
      <c r="D4" s="21">
        <f>frac_sam_6_11months * 2.6</f>
        <v>2.2447099999999998E-2</v>
      </c>
      <c r="E4" s="21">
        <f>frac_sam_12_23months * 2.6</f>
        <v>3.8315420000000003E-2</v>
      </c>
      <c r="F4" s="21">
        <f>frac_sam_24_59months * 2.6</f>
        <v>2.1843640000000001E-2</v>
      </c>
    </row>
  </sheetData>
  <sheetProtection algorithmName="SHA-512" hashValue="Mq9pxy2/jZP7zACrgAtRpawHl/X+54Hv62gbCNoPZyE9cp/n32K4/nGSj32WL5OA5Y+gedOJBgyrqONYIClGug==" saltValue="xIFGWxCU4C4y6MOtakKYb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K15" sqref="K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0.26300000000000001</v>
      </c>
      <c r="F2" s="60">
        <f>food_insecure</f>
        <v>0.26300000000000001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0.26300000000000001</v>
      </c>
      <c r="F5" s="60">
        <f>food_insecure</f>
        <v>0.26300000000000001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6.5236363636363648E-2</v>
      </c>
      <c r="D7" s="60">
        <f>diarrhoea_1_5mo*frac_diarrhea_severe</f>
        <v>6.5236363636363648E-2</v>
      </c>
      <c r="E7" s="60">
        <f>diarrhoea_6_11mo*frac_diarrhea_severe</f>
        <v>0.10210909090909091</v>
      </c>
      <c r="F7" s="60">
        <f>diarrhoea_12_23mo*frac_diarrhea_severe</f>
        <v>0.11175272727272728</v>
      </c>
      <c r="G7" s="60">
        <f>diarrhoea_24_59mo*frac_diarrhea_severe</f>
        <v>5.4269090909090906E-2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0.26300000000000001</v>
      </c>
      <c r="F8" s="60">
        <f>food_insecure</f>
        <v>0.26300000000000001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0.26300000000000001</v>
      </c>
      <c r="F9" s="60">
        <f>food_insecure</f>
        <v>0.26300000000000001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6.5236363636363648E-2</v>
      </c>
      <c r="D12" s="60">
        <f>diarrhoea_1_5mo*frac_diarrhea_severe</f>
        <v>6.5236363636363648E-2</v>
      </c>
      <c r="E12" s="60">
        <f>diarrhoea_6_11mo*frac_diarrhea_severe</f>
        <v>0.10210909090909091</v>
      </c>
      <c r="F12" s="60">
        <f>diarrhoea_12_23mo*frac_diarrhea_severe</f>
        <v>0.11175272727272728</v>
      </c>
      <c r="G12" s="60">
        <f>diarrhoea_24_59mo*frac_diarrhea_severe</f>
        <v>5.4269090909090906E-2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0.26300000000000001</v>
      </c>
      <c r="I15" s="60">
        <f t="shared" si="0"/>
        <v>0.26300000000000001</v>
      </c>
      <c r="J15" s="60">
        <f t="shared" si="0"/>
        <v>0.26300000000000001</v>
      </c>
      <c r="K15" s="60">
        <f t="shared" si="0"/>
        <v>0.26300000000000001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0.26300000000000001</v>
      </c>
      <c r="I16" s="60">
        <f t="shared" si="0"/>
        <v>0.26300000000000001</v>
      </c>
      <c r="J16" s="60">
        <f t="shared" si="0"/>
        <v>0.26300000000000001</v>
      </c>
      <c r="K16" s="60">
        <f t="shared" si="0"/>
        <v>0.26300000000000001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0.41</v>
      </c>
      <c r="I19" s="60">
        <f>frac_malaria_risk</f>
        <v>0.41</v>
      </c>
      <c r="J19" s="60">
        <f>frac_malaria_risk</f>
        <v>0.41</v>
      </c>
      <c r="K19" s="60">
        <f>frac_malaria_risk</f>
        <v>0.41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0.69599999999999995</v>
      </c>
      <c r="M24" s="60">
        <f>famplan_unmet_need</f>
        <v>0.69599999999999995</v>
      </c>
      <c r="N24" s="60">
        <f>famplan_unmet_need</f>
        <v>0.69599999999999995</v>
      </c>
      <c r="O24" s="60">
        <f>famplan_unmet_need</f>
        <v>0.69599999999999995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0.42137849744200007</v>
      </c>
      <c r="M25" s="60">
        <f>(1-food_insecure)*(0.49)+food_insecure*(0.7)</f>
        <v>0.54522999999999999</v>
      </c>
      <c r="N25" s="60">
        <f>(1-food_insecure)*(0.49)+food_insecure*(0.7)</f>
        <v>0.54522999999999999</v>
      </c>
      <c r="O25" s="60">
        <f>(1-food_insecure)*(0.49)+food_insecure*(0.7)</f>
        <v>0.54522999999999999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0.18059078461799999</v>
      </c>
      <c r="M26" s="60">
        <f>(1-food_insecure)*(0.21)+food_insecure*(0.3)</f>
        <v>0.23366999999999999</v>
      </c>
      <c r="N26" s="60">
        <f>(1-food_insecure)*(0.21)+food_insecure*(0.3)</f>
        <v>0.23366999999999999</v>
      </c>
      <c r="O26" s="60">
        <f>(1-food_insecure)*(0.21)+food_insecure*(0.3)</f>
        <v>0.23366999999999999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0.17087611793999999</v>
      </c>
      <c r="M27" s="60">
        <f>(1-food_insecure)*(0.3)</f>
        <v>0.22109999999999999</v>
      </c>
      <c r="N27" s="60">
        <f>(1-food_insecure)*(0.3)</f>
        <v>0.22109999999999999</v>
      </c>
      <c r="O27" s="60">
        <f>(1-food_insecure)*(0.3)</f>
        <v>0.22109999999999999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0.22715460000000001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0.41</v>
      </c>
      <c r="D34" s="60">
        <f t="shared" si="4"/>
        <v>0.41</v>
      </c>
      <c r="E34" s="60">
        <f t="shared" si="4"/>
        <v>0.41</v>
      </c>
      <c r="F34" s="60">
        <f t="shared" si="4"/>
        <v>0.41</v>
      </c>
      <c r="G34" s="60">
        <f t="shared" si="4"/>
        <v>0.41</v>
      </c>
      <c r="H34" s="60">
        <f t="shared" si="4"/>
        <v>0.41</v>
      </c>
      <c r="I34" s="60">
        <f t="shared" si="4"/>
        <v>0.41</v>
      </c>
      <c r="J34" s="60">
        <f t="shared" si="4"/>
        <v>0.41</v>
      </c>
      <c r="K34" s="60">
        <f t="shared" si="4"/>
        <v>0.41</v>
      </c>
      <c r="L34" s="60">
        <f t="shared" si="4"/>
        <v>0.41</v>
      </c>
      <c r="M34" s="60">
        <f t="shared" si="4"/>
        <v>0.41</v>
      </c>
      <c r="N34" s="60">
        <f t="shared" si="4"/>
        <v>0.41</v>
      </c>
      <c r="O34" s="60">
        <f t="shared" si="4"/>
        <v>0.41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4Ke/W2m/w5qSH2XzRUF1utgQIfKoPAtaIkONPHUnnOl7XjpTUQDhp7rj7Bwx723lbVdt7OOhtJaVWn/S1qRFw==" saltValue="yVHL21ECSNkjYUYvCf2HN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g2qFIp+c1zM7BvkXVX35q4FMyWIcehSQEslvj37vMXhNYqWVmri/Ay9w3B+d/LmU7Mts8kdJoMI+HETIQcUDvA==" saltValue="ANWk2L56sr0Q3Dd9gKiuH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V1S5JZnxJtqR6kD9s6Hmyjx9xrUjR9SgLJwKu/bE7N2irkEq5wCsQQTrXtAV7ymiJMK8XqO1iDDlP6mbIOTEJA==" saltValue="U9PQVfMor2WJCkecctrpB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2" sqref="H12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rhh2L4HtXzOWdqaB/j59eWlPgsS8pZHihHCAF060jmmQMD1QXtx91ukAwBIVZZ8xbLSUz7WaS6HgWxFS43UkrQ==" saltValue="pDbbLOvAH08zYVYAL9EFO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5" workbookViewId="0">
      <selection activeCell="J18" sqref="J18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qrbA/tQboRMko65InmX1/XM4nsK+a9CG+Ul2IND/ZtwZB3ToUICTQmfZEo/oH1YySylEx4x9nLyJKBhro1bAoQ==" saltValue="IIJW4pQ+yfksFnGV5vAu1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rnpvJ23WL+t6CoqYA/jYrGY+cL41OBqHjBtuKeQr56K6xZwR10g5qQZHhItOdoH4ZolBeotpsTHkG3T0gNsA6Q==" saltValue="dUhYxJfJXJN5VGTFs18La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i/G0WfgMwQD15WKotgkSHPHKdy9GMoTVr7Q9Gx5rTP2KqLpPpTQRIqEC4yrqwY9a8cxYfWF1dA6Td+HapN3eHA==" saltValue="gt2aifeBfgSF5IPivKcPu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dQNeSOyI0D2TNJhyl/rQWsZwssqPjwFLLZGib3fP7POF0l54wppmMHLQXsCJcODBKn1lsKhd2mvI/teei48rSg==" saltValue="X/6A9FNGssSRRaHK/Aiy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zoomScale="70" zoomScaleNormal="70" workbookViewId="0">
      <selection activeCell="C48" sqref="C48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ZLMX1Vz15YOynHTcnk2vpmf/6fXeO4TbepkLyYdlnDToLyzJnEk35VrxrPWrE5s7VfMLhjFXxRpvq3Q6A3Yw+Q==" saltValue="sDAZ5Erew11jjCT5P0aI1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4" sqref="C4:F7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q6npIwPzihLVkeNRO+Xhf1IBUCZQfwyW2NiklcLtTkHvIe/rZuOz2DqhlHGl2Vr91ymYBRmjinMJPV7BAgqZg==" saltValue="/4+yp9G5NXgWfgKiCgvu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kbRGFlb0zb6dqq79nUt6AhKRp0SQJK3fjGlAkRrgUYvC/n7ZsAa9L1090VwaqeBrmf6UdwDCAIqleaVH5Micwg==" saltValue="MEu5movmyIHq3jyfMawb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topLeftCell="E1" zoomScale="70" zoomScaleNormal="70" workbookViewId="0">
      <selection activeCell="N55" sqref="N5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0.84</v>
      </c>
      <c r="M33" s="90">
        <v>0.84</v>
      </c>
      <c r="N33" s="90">
        <v>0.84</v>
      </c>
      <c r="O33" s="90">
        <v>0.84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f>L31</f>
        <v>0.38</v>
      </c>
      <c r="M37" s="90">
        <f>M31</f>
        <v>0.38</v>
      </c>
      <c r="N37" s="90">
        <f>N31</f>
        <v>0.38</v>
      </c>
      <c r="O37" s="90">
        <f>O31</f>
        <v>0.38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f>L54</f>
        <v>0.7</v>
      </c>
      <c r="M60" s="90">
        <f t="shared" ref="M60:O60" si="16">M54</f>
        <v>0.7</v>
      </c>
      <c r="N60" s="90">
        <f t="shared" si="16"/>
        <v>0.7</v>
      </c>
      <c r="O60" s="90">
        <f t="shared" si="16"/>
        <v>0.7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7">IF(G15=1,1,G15*1.05)</f>
        <v>1</v>
      </c>
      <c r="H61" s="90">
        <f t="shared" si="17"/>
        <v>1</v>
      </c>
      <c r="I61" s="90">
        <f t="shared" si="17"/>
        <v>1</v>
      </c>
      <c r="J61" s="90">
        <f t="shared" si="17"/>
        <v>1</v>
      </c>
      <c r="K61" s="90">
        <f t="shared" si="17"/>
        <v>1</v>
      </c>
      <c r="L61" s="90">
        <f t="shared" si="17"/>
        <v>1</v>
      </c>
      <c r="M61" s="90">
        <f t="shared" si="17"/>
        <v>1</v>
      </c>
      <c r="N61" s="90">
        <f t="shared" si="17"/>
        <v>1</v>
      </c>
      <c r="O61" s="90">
        <f t="shared" si="17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8">IF(C18=1,1,C18*1.05)</f>
        <v>1</v>
      </c>
      <c r="D64" s="90">
        <f t="shared" si="18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8"/>
        <v>1</v>
      </c>
      <c r="D65" s="90">
        <f t="shared" si="18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8"/>
        <v>1</v>
      </c>
      <c r="D66" s="90">
        <f t="shared" si="18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8"/>
        <v>1</v>
      </c>
      <c r="D67" s="90">
        <f t="shared" si="18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d8h9/Mzk21KSIQ+gAS/x6mTRVrZEY9bIQBKFWyk6y1uQ3I/ekZB+vZB1FRgEGwFLZV0HkiMViTT6djJlN+R/g==" saltValue="tKaZcIcTvZLy5o9YqU1y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FK8/0nkn+jxRwXJGpH7ooRT/pmW0qvsrL6AZaxSu3Yxf8Qc4IkpE7jHTaJYs6aimULpIg/OlL/qOcPyXJe6hjQ==" saltValue="IadWSoSFbS9vMMU0EMwPn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19" sqref="D19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Qi9EUbVZ3f4eUhq1tygzhxri03Mod8HKxJzGqvbMK8MJ6zrj06zAWZSkxFgrvzXQmufVYdruYpxXzenAGbJsUg==" saltValue="OMzpYz1US/1n9W1tCXE7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2" sqref="D2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fpBmtDeh9IwHnClJujR5iVOPuJsf+/XQ8RH34O4vc4cXdS8BcJLEbgxJNkrdSSRQ87d5VQf5ap+pKzukRvx0XA==" saltValue="3rEybUmhVXWGoQ5ee3tgn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57ec1f31440e439775915f75cb7954ca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62245b0892ab2a20b5f44f74e1fbf663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1DB7E161-F495-494F-94F7-37757C7799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2026-04-29T06:48:54Z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