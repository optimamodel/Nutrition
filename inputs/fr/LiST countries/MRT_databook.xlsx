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A5215A4-0089-4ED7-9D77-E02313CEB2D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5" i="2"/>
  <c r="A24" i="2"/>
  <c r="A23" i="2"/>
  <c r="A19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26" i="2" l="1"/>
  <c r="A39" i="2"/>
  <c r="A27" i="2"/>
  <c r="A15" i="2"/>
  <c r="A31" i="2"/>
  <c r="A3" i="2"/>
  <c r="A16" i="2"/>
  <c r="A32" i="2"/>
  <c r="I3" i="2"/>
  <c r="I7" i="2"/>
  <c r="I11" i="2"/>
  <c r="A18" i="2"/>
  <c r="A34" i="2"/>
  <c r="A17" i="2"/>
  <c r="A25" i="2"/>
  <c r="A33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<sst xmlns="http://schemas.openxmlformats.org/spreadsheetml/2006/main" count="2101" uniqueCount="337">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</sst>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739303.15625</v>
      </c>
    </row>
    <row r="8" spans="1:3" ht="15" customHeight="1" x14ac:dyDescent="0.25">
      <c r="B8" s="5" t="s">
        <v>19</v>
      </c>
      <c r="C8" s="44">
        <v>0.06</v>
      </c>
    </row>
    <row r="9" spans="1:3" ht="15" customHeight="1" x14ac:dyDescent="0.25">
      <c r="B9" s="5" t="s">
        <v>20</v>
      </c>
      <c r="C9" s="45">
        <v>0.41</v>
      </c>
    </row>
    <row r="10" spans="1:3" ht="15" customHeight="1" x14ac:dyDescent="0.25">
      <c r="B10" s="5" t="s">
        <v>21</v>
      </c>
      <c r="C10" s="45">
        <v>0.248721008300781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8.6800000000000002E-2</v>
      </c>
    </row>
    <row r="24" spans="1:3" ht="15" customHeight="1" x14ac:dyDescent="0.25">
      <c r="B24" s="15" t="s">
        <v>33</v>
      </c>
      <c r="C24" s="45">
        <v>0.40960000000000002</v>
      </c>
    </row>
    <row r="25" spans="1:3" ht="15" customHeight="1" x14ac:dyDescent="0.25">
      <c r="B25" s="15" t="s">
        <v>34</v>
      </c>
      <c r="C25" s="45">
        <v>0.3861</v>
      </c>
    </row>
    <row r="26" spans="1:3" ht="15" customHeight="1" x14ac:dyDescent="0.25">
      <c r="B26" s="15" t="s">
        <v>35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0.19753817858252901</v>
      </c>
    </row>
    <row r="30" spans="1:3" ht="14.25" customHeight="1" x14ac:dyDescent="0.25">
      <c r="B30" s="25" t="s">
        <v>38</v>
      </c>
      <c r="C30" s="99">
        <v>8.0206442932605593E-2</v>
      </c>
    </row>
    <row r="31" spans="1:3" ht="14.25" customHeight="1" x14ac:dyDescent="0.25">
      <c r="B31" s="25" t="s">
        <v>39</v>
      </c>
      <c r="C31" s="99">
        <v>0.11863998378949001</v>
      </c>
    </row>
    <row r="32" spans="1:3" ht="14.25" customHeight="1" x14ac:dyDescent="0.25">
      <c r="B32" s="25" t="s">
        <v>40</v>
      </c>
      <c r="C32" s="99">
        <v>0.60361539469537495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22.61336</v>
      </c>
    </row>
    <row r="38" spans="1:5" ht="15" customHeight="1" x14ac:dyDescent="0.25">
      <c r="B38" s="11" t="s">
        <v>45</v>
      </c>
      <c r="C38" s="43">
        <v>32.205010000000001</v>
      </c>
      <c r="D38" s="12"/>
      <c r="E38" s="13"/>
    </row>
    <row r="39" spans="1:5" ht="15" customHeight="1" x14ac:dyDescent="0.25">
      <c r="B39" s="11" t="s">
        <v>46</v>
      </c>
      <c r="C39" s="43">
        <v>40.498460000000001</v>
      </c>
      <c r="D39" s="12"/>
      <c r="E39" s="12"/>
    </row>
    <row r="40" spans="1:5" ht="15" customHeight="1" x14ac:dyDescent="0.25">
      <c r="B40" s="11" t="s">
        <v>47</v>
      </c>
      <c r="C40" s="100">
        <v>4.6399999999999997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7.9477000000000003E-3</v>
      </c>
      <c r="D45" s="12"/>
    </row>
    <row r="46" spans="1:5" ht="15.75" customHeight="1" x14ac:dyDescent="0.25">
      <c r="B46" s="11" t="s">
        <v>52</v>
      </c>
      <c r="C46" s="45">
        <v>8.5397000000000001E-2</v>
      </c>
      <c r="D46" s="12"/>
    </row>
    <row r="47" spans="1:5" ht="15.75" customHeight="1" x14ac:dyDescent="0.25">
      <c r="B47" s="11" t="s">
        <v>53</v>
      </c>
      <c r="C47" s="45">
        <v>7.3442499999999994E-2</v>
      </c>
      <c r="D47" s="12"/>
      <c r="E47" s="13"/>
    </row>
    <row r="48" spans="1:5" ht="15" customHeight="1" x14ac:dyDescent="0.25">
      <c r="B48" s="11" t="s">
        <v>54</v>
      </c>
      <c r="C48" s="46">
        <v>0.83321279999999998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0.46489900000000001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wbUrqxuJjLbGMjpzB/kJO5PBpng58fo5kn2rEgmBZdA3/F0kJyQIchjidJFPyVsJpS9/UJ/9Jz4g43FpySLrw==" saltValue="i9HI4TVbfifzVyRnCORa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160963</v>
      </c>
      <c r="C2" s="49">
        <v>341751</v>
      </c>
      <c r="D2" s="49">
        <v>438274.5</v>
      </c>
      <c r="E2" s="49">
        <v>317962</v>
      </c>
      <c r="F2" s="49">
        <v>194751.5</v>
      </c>
      <c r="G2" s="17">
        <f t="shared" ref="G2:G13" si="0">C2+D2+E2+F2</f>
        <v>1292739</v>
      </c>
      <c r="H2" s="17">
        <f t="shared" ref="H2:H13" si="1">(B2 + stillbirth*B2/(1000-stillbirth))/(1-abortion)</f>
        <v>186021.05506637145</v>
      </c>
      <c r="I2" s="17">
        <f t="shared" ref="I2:I13" si="2">G2-H2</f>
        <v>1106717.9449336287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163590</v>
      </c>
      <c r="C3" s="50">
        <v>352148</v>
      </c>
      <c r="D3" s="50">
        <v>452815</v>
      </c>
      <c r="E3" s="50">
        <v>328481.5</v>
      </c>
      <c r="F3" s="50">
        <v>201807.5</v>
      </c>
      <c r="G3" s="17">
        <f t="shared" si="0"/>
        <v>1335252</v>
      </c>
      <c r="H3" s="17">
        <f t="shared" si="1"/>
        <v>189057.0155769196</v>
      </c>
      <c r="I3" s="17">
        <f t="shared" si="2"/>
        <v>1146194.9844230805</v>
      </c>
    </row>
    <row r="4" spans="1:9" ht="15.75" customHeight="1" x14ac:dyDescent="0.25">
      <c r="A4" s="5">
        <f t="shared" si="3"/>
        <v>2026</v>
      </c>
      <c r="B4" s="49">
        <v>166071</v>
      </c>
      <c r="C4" s="50">
        <v>362061.99999999988</v>
      </c>
      <c r="D4" s="50">
        <v>467980</v>
      </c>
      <c r="E4" s="50">
        <v>339228</v>
      </c>
      <c r="F4" s="50">
        <v>209186.5</v>
      </c>
      <c r="G4" s="17">
        <f t="shared" si="0"/>
        <v>1378456.5</v>
      </c>
      <c r="H4" s="17">
        <f t="shared" si="1"/>
        <v>191924.24741044448</v>
      </c>
      <c r="I4" s="17">
        <f t="shared" si="2"/>
        <v>1186532.2525895555</v>
      </c>
    </row>
    <row r="5" spans="1:9" ht="15.75" customHeight="1" x14ac:dyDescent="0.25">
      <c r="A5" s="5">
        <f t="shared" si="3"/>
        <v>2027</v>
      </c>
      <c r="B5" s="49">
        <v>169012</v>
      </c>
      <c r="C5" s="50">
        <v>368698.49999999988</v>
      </c>
      <c r="D5" s="50">
        <v>483762.99999999988</v>
      </c>
      <c r="E5" s="50">
        <v>350195.5</v>
      </c>
      <c r="F5" s="50">
        <v>216847</v>
      </c>
      <c r="G5" s="17">
        <f t="shared" si="0"/>
        <v>1419503.9999999998</v>
      </c>
      <c r="H5" s="17">
        <f t="shared" si="1"/>
        <v>195323.09014417956</v>
      </c>
      <c r="I5" s="17">
        <f t="shared" si="2"/>
        <v>1224180.9098558202</v>
      </c>
    </row>
    <row r="6" spans="1:9" ht="15.75" customHeight="1" x14ac:dyDescent="0.25">
      <c r="A6" s="5">
        <f t="shared" si="3"/>
        <v>2028</v>
      </c>
      <c r="B6" s="49">
        <v>171220</v>
      </c>
      <c r="C6" s="50">
        <v>372192.5</v>
      </c>
      <c r="D6" s="50">
        <v>500132</v>
      </c>
      <c r="E6" s="50">
        <v>361416</v>
      </c>
      <c r="F6" s="50">
        <v>224750.5</v>
      </c>
      <c r="G6" s="17">
        <f t="shared" si="0"/>
        <v>1458491</v>
      </c>
      <c r="H6" s="17">
        <f t="shared" si="1"/>
        <v>197874.82246518842</v>
      </c>
      <c r="I6" s="17">
        <f t="shared" si="2"/>
        <v>1260616.1775348117</v>
      </c>
    </row>
    <row r="7" spans="1:9" ht="15.75" customHeight="1" x14ac:dyDescent="0.25">
      <c r="A7" s="5">
        <f t="shared" si="3"/>
        <v>2029</v>
      </c>
      <c r="B7" s="49">
        <v>173250</v>
      </c>
      <c r="C7" s="50">
        <v>375223</v>
      </c>
      <c r="D7" s="50">
        <v>516995.5</v>
      </c>
      <c r="E7" s="50">
        <v>372929</v>
      </c>
      <c r="F7" s="50">
        <v>232853.5</v>
      </c>
      <c r="G7" s="17">
        <f t="shared" si="0"/>
        <v>1498001</v>
      </c>
      <c r="H7" s="17">
        <f t="shared" si="1"/>
        <v>200220.84448133333</v>
      </c>
      <c r="I7" s="17">
        <f t="shared" si="2"/>
        <v>1297780.1555186666</v>
      </c>
    </row>
    <row r="8" spans="1:9" ht="15.75" customHeight="1" x14ac:dyDescent="0.25">
      <c r="A8" s="5">
        <f t="shared" si="3"/>
        <v>2030</v>
      </c>
      <c r="B8" s="49">
        <v>175527</v>
      </c>
      <c r="C8" s="50">
        <v>377796.5</v>
      </c>
      <c r="D8" s="50">
        <v>534179</v>
      </c>
      <c r="E8" s="50">
        <v>384804</v>
      </c>
      <c r="F8" s="50">
        <v>241121</v>
      </c>
      <c r="G8" s="17">
        <f t="shared" si="0"/>
        <v>1537900.5</v>
      </c>
      <c r="H8" s="17">
        <f t="shared" si="1"/>
        <v>202852.3184373737</v>
      </c>
      <c r="I8" s="17">
        <f t="shared" si="2"/>
        <v>1335048.1815626263</v>
      </c>
    </row>
    <row r="9" spans="1:9" ht="15.75" customHeight="1" x14ac:dyDescent="0.25">
      <c r="A9" s="5">
        <f t="shared" si="3"/>
        <v>2031</v>
      </c>
      <c r="B9" s="49">
        <v>177527</v>
      </c>
      <c r="C9" s="50">
        <v>379931</v>
      </c>
      <c r="D9" s="50">
        <v>551483</v>
      </c>
      <c r="E9" s="50">
        <v>397112.5</v>
      </c>
      <c r="F9" s="50">
        <v>249530</v>
      </c>
      <c r="G9" s="17">
        <f t="shared" si="0"/>
        <v>1578056.5</v>
      </c>
      <c r="H9" s="17">
        <f t="shared" si="1"/>
        <v>205163.67017741795</v>
      </c>
      <c r="I9" s="17">
        <f t="shared" si="2"/>
        <v>1372892.829822582</v>
      </c>
    </row>
    <row r="10" spans="1:9" ht="15.75" customHeight="1" x14ac:dyDescent="0.25">
      <c r="A10" s="5">
        <f t="shared" si="3"/>
        <v>2032</v>
      </c>
      <c r="B10" s="49">
        <v>180183</v>
      </c>
      <c r="C10" s="50">
        <v>382019</v>
      </c>
      <c r="D10" s="50">
        <v>568514.5</v>
      </c>
      <c r="E10" s="50">
        <v>409900.50000000012</v>
      </c>
      <c r="F10" s="50">
        <v>258078.5</v>
      </c>
      <c r="G10" s="17">
        <f t="shared" si="0"/>
        <v>1618512.5</v>
      </c>
      <c r="H10" s="17">
        <f t="shared" si="1"/>
        <v>208233.14528819674</v>
      </c>
      <c r="I10" s="17">
        <f t="shared" si="2"/>
        <v>1410279.3547118031</v>
      </c>
    </row>
    <row r="11" spans="1:9" ht="15.75" customHeight="1" x14ac:dyDescent="0.25">
      <c r="A11" s="5">
        <f t="shared" si="3"/>
        <v>2033</v>
      </c>
      <c r="B11" s="49">
        <v>182199</v>
      </c>
      <c r="C11" s="50">
        <v>386824.50000000012</v>
      </c>
      <c r="D11" s="50">
        <v>582352</v>
      </c>
      <c r="E11" s="50">
        <v>423191</v>
      </c>
      <c r="F11" s="50">
        <v>266786</v>
      </c>
      <c r="G11" s="17">
        <f t="shared" si="0"/>
        <v>1659153.5</v>
      </c>
      <c r="H11" s="17">
        <f t="shared" si="1"/>
        <v>210562.98784216132</v>
      </c>
      <c r="I11" s="17">
        <f t="shared" si="2"/>
        <v>1448590.5121578388</v>
      </c>
    </row>
    <row r="12" spans="1:9" ht="15.75" customHeight="1" x14ac:dyDescent="0.25">
      <c r="A12" s="5">
        <f t="shared" si="3"/>
        <v>2034</v>
      </c>
      <c r="B12" s="49">
        <v>184776</v>
      </c>
      <c r="C12" s="50">
        <v>394179.00000000012</v>
      </c>
      <c r="D12" s="50">
        <v>593026</v>
      </c>
      <c r="E12" s="50">
        <v>437041.5</v>
      </c>
      <c r="F12" s="50">
        <v>275712.5</v>
      </c>
      <c r="G12" s="17">
        <f t="shared" si="0"/>
        <v>1699959</v>
      </c>
      <c r="H12" s="17">
        <f t="shared" si="1"/>
        <v>213541.16455920835</v>
      </c>
      <c r="I12" s="17">
        <f t="shared" si="2"/>
        <v>1486417.8354407917</v>
      </c>
    </row>
    <row r="13" spans="1:9" ht="15.75" customHeight="1" x14ac:dyDescent="0.25">
      <c r="A13" s="5">
        <f t="shared" si="3"/>
        <v>2035</v>
      </c>
      <c r="B13" s="49">
        <v>186305</v>
      </c>
      <c r="C13" s="50">
        <v>401658.5</v>
      </c>
      <c r="D13" s="50">
        <v>603160.5</v>
      </c>
      <c r="E13" s="50">
        <v>451498.5</v>
      </c>
      <c r="F13" s="50">
        <v>284892.5</v>
      </c>
      <c r="G13" s="17">
        <f t="shared" si="0"/>
        <v>1741210</v>
      </c>
      <c r="H13" s="17">
        <f t="shared" si="1"/>
        <v>215308.1929644722</v>
      </c>
      <c r="I13" s="17">
        <f t="shared" si="2"/>
        <v>1525901.8070355279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tH8PVv84aJRnSWKl7LfWwE0zG003hWA7eP93OxyUywFxVBEz2nSwMMCUl4B72Gpk7oK2wM4VTDxY6Emrw/mrQ==" saltValue="HNMvtZJ2xh9KyfVe4Znq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1.7122701712270191E-2</v>
      </c>
    </row>
    <row r="4" spans="1:8" ht="15.75" customHeight="1" x14ac:dyDescent="0.25">
      <c r="B4" s="19" t="s">
        <v>79</v>
      </c>
      <c r="C4" s="101">
        <v>6.227920622792063E-2</v>
      </c>
    </row>
    <row r="5" spans="1:8" ht="15.75" customHeight="1" x14ac:dyDescent="0.25">
      <c r="B5" s="19" t="s">
        <v>80</v>
      </c>
      <c r="C5" s="101">
        <v>8.6707408670740976E-2</v>
      </c>
    </row>
    <row r="6" spans="1:8" ht="15.75" customHeight="1" x14ac:dyDescent="0.25">
      <c r="B6" s="19" t="s">
        <v>81</v>
      </c>
      <c r="C6" s="101">
        <v>0.24658692465869211</v>
      </c>
    </row>
    <row r="7" spans="1:8" ht="15.75" customHeight="1" x14ac:dyDescent="0.25">
      <c r="B7" s="19" t="s">
        <v>82</v>
      </c>
      <c r="C7" s="101">
        <v>0.412030341203034</v>
      </c>
    </row>
    <row r="8" spans="1:8" ht="15.75" customHeight="1" x14ac:dyDescent="0.25">
      <c r="B8" s="19" t="s">
        <v>83</v>
      </c>
      <c r="C8" s="101">
        <v>3.2824003282400402E-3</v>
      </c>
    </row>
    <row r="9" spans="1:8" ht="15.75" customHeight="1" x14ac:dyDescent="0.25">
      <c r="B9" s="19" t="s">
        <v>84</v>
      </c>
      <c r="C9" s="101">
        <v>6.1357306135730677E-2</v>
      </c>
    </row>
    <row r="10" spans="1:8" ht="15.75" customHeight="1" x14ac:dyDescent="0.25">
      <c r="B10" s="19" t="s">
        <v>85</v>
      </c>
      <c r="C10" s="101">
        <v>0.1106337110633713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88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89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90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91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92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93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94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95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8.8735101999999996E-2</v>
      </c>
    </row>
    <row r="27" spans="1:8" ht="15.75" customHeight="1" x14ac:dyDescent="0.25">
      <c r="B27" s="19" t="s">
        <v>102</v>
      </c>
      <c r="C27" s="101">
        <v>8.4480660000000006E-3</v>
      </c>
    </row>
    <row r="28" spans="1:8" ht="15.75" customHeight="1" x14ac:dyDescent="0.25">
      <c r="B28" s="19" t="s">
        <v>103</v>
      </c>
      <c r="C28" s="101">
        <v>0.157003631</v>
      </c>
    </row>
    <row r="29" spans="1:8" ht="15.75" customHeight="1" x14ac:dyDescent="0.25">
      <c r="B29" s="19" t="s">
        <v>104</v>
      </c>
      <c r="C29" s="101">
        <v>0.16959068199999999</v>
      </c>
    </row>
    <row r="30" spans="1:8" ht="15.75" customHeight="1" x14ac:dyDescent="0.25">
      <c r="B30" s="19" t="s">
        <v>2</v>
      </c>
      <c r="C30" s="101">
        <v>0.105430197</v>
      </c>
    </row>
    <row r="31" spans="1:8" ht="15.75" customHeight="1" x14ac:dyDescent="0.25">
      <c r="B31" s="19" t="s">
        <v>105</v>
      </c>
      <c r="C31" s="101">
        <v>0.109065357</v>
      </c>
    </row>
    <row r="32" spans="1:8" ht="15.75" customHeight="1" x14ac:dyDescent="0.25">
      <c r="B32" s="19" t="s">
        <v>106</v>
      </c>
      <c r="C32" s="101">
        <v>1.8742332E-2</v>
      </c>
    </row>
    <row r="33" spans="2:3" ht="15.75" customHeight="1" x14ac:dyDescent="0.25">
      <c r="B33" s="19" t="s">
        <v>107</v>
      </c>
      <c r="C33" s="101">
        <v>8.4799848999999997E-2</v>
      </c>
    </row>
    <row r="34" spans="2:3" ht="15.75" customHeight="1" x14ac:dyDescent="0.25">
      <c r="B34" s="19" t="s">
        <v>108</v>
      </c>
      <c r="C34" s="101">
        <v>0.25818478299999997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joar+6fMexCOoPpP24o41FTY5plob5R38Z5xRQejbRsr7cwiMdowjkNVJBvba7nQw4y23DMsgQxlwrICsi6vBg==" saltValue="FZKeVake4yPPB2FrZhFr/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114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115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119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120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nz5jq3Ja66GZmzo7DNXxFMTHFfz/IRvDf99NAnWk3rAX20+jW/+tYKuBUUCtCirI6HitKYDWGfltQf2tepCgg==" saltValue="AJNHoTbZmR5a2+3GY/8V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132</v>
      </c>
      <c r="C5" s="52">
        <v>7.41922E-2</v>
      </c>
      <c r="D5" s="52">
        <v>6.4861299999999997E-2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c9CfAtK2b0NBj9PQ+M35oWr8/MWaKAedl6U324j4zRAZ19TQL3SbLNadBuUd9rZzjEUVrJzdvXHveYo6Tc+b6A==" saltValue="Q09eDbc7rWSZ4ZC0s/+B2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8yUkBcM5obpFk4rpVmqsKUfmaeExtST2lGj7y81fuoiwfgl/Fb1MzOcF5i2e0YHoEtkpGorIzbF71WA9EbVDQ==" saltValue="DKq9vX081P2+hLmhjqEU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zZBKA2ahRc7h6BColKGvq0bt/GgLDCYeed9URNQ5fH1UoeLgmPul/IGlWitz8O9ZxRIfVO4O0mifU90j6BSyiQ==" saltValue="Hfp0Q8+L19niXa6x5JM9M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0Gso9ldInTa85mElW7UHvmDs1bkFix46GtCHD/oZSFyWlAniZQ4Ak5NM3B9VXEKwc+m5V5ggghgCbkSUeX6U+Q==" saltValue="yKx1rKQWjqIT3B8uc8VJ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m22hoGm9oyBjkPruSPbDQSXDDS1QgdnUd5PmZ+AMtTewmKyx+hrA0etzn53+yU6mUKK1H/yCokjzLB7sqE/PIA==" saltValue="yWp1pJhd/7ajuKVL5ca3/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0.34300067992433347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1.812651550310735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0.73277403097668004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0.28576590000000002</v>
      </c>
      <c r="C10" s="98">
        <v>0.95</v>
      </c>
      <c r="D10" s="56">
        <v>13.555007547773389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13.555007547773389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13.555007547773389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13.555007547773389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0.28576590000000002</v>
      </c>
      <c r="C14" s="98">
        <v>0.95</v>
      </c>
      <c r="D14" s="56">
        <v>13.555007547773389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13.555007547773389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0.22889889999999999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0.17599999999999999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0.36570609999999998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23.139270869051948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0.25781209999999999</v>
      </c>
      <c r="C23" s="98">
        <v>0.95</v>
      </c>
      <c r="D23" s="56">
        <v>4.4706017011529111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0.25720438775447002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0.19483020000000001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0.1996319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0.22370000000000001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0.89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0.41752410000000001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8.6300799999999997E-2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1.0247600000000001E-2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0.61272379999999993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7.0999999999999994E-2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YG/zFLh/dXdRcbp7p83fKJuuIAPDLydsHFlmKLnWLHoWW4D6K9dVusjjDaK/qtU/bzsge26t71xz1tOs4ZLPGg==" saltValue="1hV8vT4vWFcm9yjMrScW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OKR0gny2IWRHhBF1rpVcKRu2mTxbYZEEWDQKU9gIkL26MV/S1IohGX+kHP6DEpKv1jlJwyry0ePV+sPlNO7BMg==" saltValue="4gWtCCdqQvMp2dAxh9+I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oLqCWfDV+xkoMsDMordCZov1ybEgWdMrE1W0Bzp3JtL+/tES5+V89yeJ2voA43yVbWETU44SFseEc3364AoLfA==" saltValue="pACgNLCVUc7dlPkBNS52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208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sheetProtection algorithmName="SHA-512" hashValue="YyZFfTRXKeMFgirJQRtiYQ88AAfE3F7qbOokpVUbcpY8/Ppv/lDtYHZFHR9oUaPYp5m/SiPx4qDX6GPCVP8AQQ==" saltValue="9T/nvozIr+3bzlJs6Yne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0.06</v>
      </c>
      <c r="E2" s="60">
        <f>food_insecure</f>
        <v>0.06</v>
      </c>
      <c r="F2" s="60">
        <f>food_insecure</f>
        <v>0.06</v>
      </c>
      <c r="G2" s="60">
        <f>food_insecure</f>
        <v>0.06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0.06</v>
      </c>
      <c r="F5" s="60">
        <f>food_insecure</f>
        <v>0.06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0.06</v>
      </c>
      <c r="F8" s="60">
        <f>food_insecure</f>
        <v>0.06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0.06</v>
      </c>
      <c r="F9" s="60">
        <f>food_insecure</f>
        <v>0.06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0.06</v>
      </c>
      <c r="I15" s="60">
        <f>food_insecure</f>
        <v>0.06</v>
      </c>
      <c r="J15" s="60">
        <f>food_insecure</f>
        <v>0.06</v>
      </c>
      <c r="K15" s="60">
        <f>food_insecure</f>
        <v>0.06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0.3775928212280274</v>
      </c>
      <c r="M25" s="60">
        <f>(1-food_insecure)*(0.49)+food_insecure*(0.7)</f>
        <v>0.50259999999999994</v>
      </c>
      <c r="N25" s="60">
        <f>(1-food_insecure)*(0.49)+food_insecure*(0.7)</f>
        <v>0.50259999999999994</v>
      </c>
      <c r="O25" s="60">
        <f>(1-food_insecure)*(0.49)+food_insecure*(0.7)</f>
        <v>0.50259999999999994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0.16182549481201175</v>
      </c>
      <c r="M26" s="60">
        <f>(1-food_insecure)*(0.21)+food_insecure*(0.3)</f>
        <v>0.21539999999999998</v>
      </c>
      <c r="N26" s="60">
        <f>(1-food_insecure)*(0.21)+food_insecure*(0.3)</f>
        <v>0.21539999999999998</v>
      </c>
      <c r="O26" s="60">
        <f>(1-food_insecure)*(0.21)+food_insecure*(0.3)</f>
        <v>0.21539999999999998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0.21186067565917974</v>
      </c>
      <c r="M27" s="60">
        <f>(1-food_insecure)*(0.3)</f>
        <v>0.28199999999999997</v>
      </c>
      <c r="N27" s="60">
        <f>(1-food_insecure)*(0.3)</f>
        <v>0.28199999999999997</v>
      </c>
      <c r="O27" s="60">
        <f>(1-food_insecure)*(0.3)</f>
        <v>0.28199999999999997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0.24872100830078098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0.41</v>
      </c>
      <c r="D34" s="60">
        <f t="shared" si="3"/>
        <v>0.41</v>
      </c>
      <c r="E34" s="60">
        <f t="shared" si="3"/>
        <v>0.41</v>
      </c>
      <c r="F34" s="60">
        <f t="shared" si="3"/>
        <v>0.41</v>
      </c>
      <c r="G34" s="60">
        <f t="shared" si="3"/>
        <v>0.41</v>
      </c>
      <c r="H34" s="60">
        <f t="shared" si="3"/>
        <v>0.41</v>
      </c>
      <c r="I34" s="60">
        <f t="shared" si="3"/>
        <v>0.41</v>
      </c>
      <c r="J34" s="60">
        <f t="shared" si="3"/>
        <v>0.41</v>
      </c>
      <c r="K34" s="60">
        <f t="shared" si="3"/>
        <v>0.41</v>
      </c>
      <c r="L34" s="60">
        <f t="shared" si="3"/>
        <v>0.41</v>
      </c>
      <c r="M34" s="60">
        <f t="shared" si="3"/>
        <v>0.41</v>
      </c>
      <c r="N34" s="60">
        <f t="shared" si="3"/>
        <v>0.41</v>
      </c>
      <c r="O34" s="60">
        <f t="shared" si="3"/>
        <v>0.41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YG7FyQW2DC+Gy4SfmVJsZQwpTLmmuhPqHexXZJSB/D5tDpa4MQkFS+s8pQ3N0KFwEfvNeAOv6aLdSS2i8ElhQ==" saltValue="WnjVUz1LAiHTaqRV80Uy0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vsyUSAQuau/yEdTUblvzIqECZN+vBy6d8W+vHWwLKPPhGt/iosP+3I+mlBX5JxmkHl+zYyUG3yNvJksMALe4pg==" saltValue="AcIvKjSKxsuB/6i7+LMVA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VNSY0ZUeGXM6wXe28AH86nVtS5SBpHabkyWDuD0biP+ZRTuOR7Rja5d/ySNcJyuJAKRkR0cCaahNSwCUWoBZw==" saltValue="9gkBrHCou371y9hLyIwA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Nq8E8Vyn0RCg5vLDUkW0WvhOJBs1qx80u1CQBpNEMhs/qmg3ID9vLgcWJ4gmSCwd3nlBWzIky6sOldlJuv/Ww==" saltValue="9mvIaU/SvNNXbhT390oS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5M2tCMWtpMY9WJlhgRLQQs7pLbIVhM12ziHEgBfcvdNZfkY9WYTod877w5VKwS8xfbNjkqdLembbQ06m78Ya+w==" saltValue="1d3hcIspvMPam31kfARW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WDWbjLYdP8Qwo+uDO5+MwNCgmr3RQwH2j+WdY8lJA+hjYamGYKfekwLD4wprIlBFneVvxaup7aWRWs5mgP9Ng==" saltValue="euUsKTIi6QnOLpoTiR54X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mZul4Y52t4SlCurUswQncAM0woSr8/hzeZX8Sj0uDYzN2fXfhlUKumIQ+ob8uuWQT7BenQu+rEVFvpGg/VbPw==" saltValue="yvpz98FT2t9bQqDzVkBRK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T4BatAZjbZAlUbKHUbaJu4cnWy4dKS/g6shbvwrFIGrCpY9z/azVTgP5ZVCzpypeYZXWYRj7VIr/BifmywkUA==" saltValue="YPrkmb1NTdGDx98CdUXM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z3re1MLfc8ZuR0qEvnLjzCVBYqNx3PEuEx/LRzM0TjSom7erpajZ7WX+yBH2Y31q3o62FVpNlN/ju8emT0oIQ==" saltValue="t4B8euVXoOHIkytqbeYk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6hICAlz58FXYN1NQCAx+c9TV4kfxw8QpWm8OHYn2N9h1OrQfXTPGmlFZOWXvNqmbX+HiQVZ85Jtlg5cGidkxZQ==" saltValue="wXTtSo1V6F918lwPS2c9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2i/x1jenRCbECcBv0pmoHZZw+t8IaYn2/OKUvSHvpXiy5eZyKxdLISlMaiFDck1nBOcY5BwoY6pFDdggu78nbg==" saltValue="tHbc+Mocy5yDqgLM8vVf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03L1J2srtH3A2iu7dtyWpFtsuclIC3IrKQg5TII2bRnONQDSnO4tLDlmh6/Z/m6Y9Kao/Zk1pgEb0GXL8SB9w==" saltValue="0G/AFBlM3RLLW+pJaTBb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RdJo4D9KFSUhKbzKV2/IqD/hSKzzAh9PQJmYKDGtSSqeYHMOJnxSaQP1/bmdeE0eNyKa3hEqHgCWeTBAKFogA==" saltValue="dk6q1sX8jdoL9DLjnZ+w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0.1091539768945472</v>
      </c>
      <c r="G18" s="90">
        <f>MIN(MAX(1-0.89/(1-frac_sam_12_23months+(frac_sam_12_23months*0.89)),0),1)</f>
        <v>0.10855493456546317</v>
      </c>
      <c r="H18" s="90">
        <f>MIN(MAX(1-0.89/(1-frac_sam_24_59months+(frac_sam_24_59months*0.89)),0),1)</f>
        <v>0.10917674212293982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0.10428478516880468</v>
      </c>
      <c r="G20" s="90">
        <f>MIN(MAX(1-0.89/(1-frac_mam_12_23months+(frac_mam_12_23months*0.89)),0),1)</f>
        <v>0.10295435683099874</v>
      </c>
      <c r="H20" s="90">
        <f>MIN(MAX(1-0.89/(1-frac_mam_24_59months+(frac_mam_24_59months*0.89)),0),1)</f>
        <v>0.10507532527191155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9.9145209701679837E-3</v>
      </c>
      <c r="G73" s="90">
        <f>MIN(MAX(1-0.99/(1-frac_sam_12_23months+(frac_sam_12_23months*0.99)),0),1)</f>
        <v>9.854085166968729E-3</v>
      </c>
      <c r="H73" s="90">
        <f>MIN(MAX(1-0.99/(1-frac_sam_24_59months+(frac_sam_24_59months*0.99)),0),1)</f>
        <v>9.9168191516442183E-3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9.4254112663575418E-3</v>
      </c>
      <c r="G75" s="90">
        <f>MIN(MAX(1-0.99/(1-frac_mam_12_23months+(frac_mam_12_23months*0.99)),0),1)</f>
        <v>9.2926101559666074E-3</v>
      </c>
      <c r="H75" s="90">
        <f>MIN(MAX(1-0.99/(1-frac_mam_24_59months+(frac_mam_24_59months*0.99)),0),1)</f>
        <v>9.5044917455541222E-3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0.19861625068004918</v>
      </c>
      <c r="G128" s="90">
        <f>MIN(MAX(1-0.8/(1-frac_sam_12_23months+(frac_sam_12_23months*0.8)),0),1)</f>
        <v>0.19763515800659903</v>
      </c>
      <c r="H128" s="90">
        <f>MIN(MAX(1-0.8/(1-frac_sam_24_59months+(frac_sam_24_59months*0.8)),0),1)</f>
        <v>0.19865351352570693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0.19061017147247272</v>
      </c>
      <c r="G130" s="90">
        <f>MIN(MAX(1-0.8/(1-frac_mam_12_23months+(frac_mam_12_23months*0.8)),0),1)</f>
        <v>0.18841009029444977</v>
      </c>
      <c r="H130" s="90">
        <f>MIN(MAX(1-0.8/(1-frac_mam_24_59months+(frac_mam_24_59months*0.8)),0),1)</f>
        <v>0.19191489845693521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9zi8A9G6nm6O2rAOx5kpzDkvqAotabO2vwSCrulvvh+SZXrZek4t8Pdh9mcm3MT/ZZieRy6SngqoOIVbtuvRQ==" saltValue="YpI5MxHTiLkGrsnPIL1k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TOTjW3LJbmYrm80FFqV3atW4zXL2AtUXsNdSEzt/ADTpzG5KfT0wHl790Sn6Ayv1SF5XNoRxwIFekG+I/CpUg==" saltValue="8vZwAu6jQpcK3b/GU4azc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2024-08-06T09:29:10Z</dcterms:modified>
</cp:coreProperties>
</file>