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E523A79-42BA-4502-8847-60DE0C5B89B9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<sst xmlns="http://schemas.openxmlformats.org/spreadsheetml/2006/main" count="2102" uniqueCount="337">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</sst>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160282.8125</v>
      </c>
    </row>
    <row r="8" spans="1:3" ht="15" customHeight="1" x14ac:dyDescent="0.25">
      <c r="B8" s="5" t="s">
        <v>19</v>
      </c>
      <c r="C8" s="44">
        <v>1.7000000000000001E-2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0.77384170532226604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0.13569999999999999</v>
      </c>
    </row>
    <row r="24" spans="1:3" ht="15" customHeight="1" x14ac:dyDescent="0.25">
      <c r="B24" s="15" t="s">
        <v>33</v>
      </c>
      <c r="C24" s="45">
        <v>0.52159999999999995</v>
      </c>
    </row>
    <row r="25" spans="1:3" ht="15" customHeight="1" x14ac:dyDescent="0.25">
      <c r="B25" s="15" t="s">
        <v>34</v>
      </c>
      <c r="C25" s="45">
        <v>0.31040000000000001</v>
      </c>
    </row>
    <row r="26" spans="1:3" ht="15" customHeight="1" x14ac:dyDescent="0.25">
      <c r="B26" s="15" t="s">
        <v>35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0.38027698235904311</v>
      </c>
    </row>
    <row r="30" spans="1:3" ht="14.25" customHeight="1" x14ac:dyDescent="0.25">
      <c r="B30" s="25" t="s">
        <v>38</v>
      </c>
      <c r="C30" s="99">
        <v>5.4660418264349912E-2</v>
      </c>
    </row>
    <row r="31" spans="1:3" ht="14.25" customHeight="1" x14ac:dyDescent="0.25">
      <c r="B31" s="25" t="s">
        <v>39</v>
      </c>
      <c r="C31" s="99">
        <v>6.1967733026657798E-2</v>
      </c>
    </row>
    <row r="32" spans="1:3" ht="14.25" customHeight="1" x14ac:dyDescent="0.25">
      <c r="B32" s="25" t="s">
        <v>40</v>
      </c>
      <c r="C32" s="99">
        <v>0.50309486634994893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10.305669999999999</v>
      </c>
    </row>
    <row r="38" spans="1:5" ht="15" customHeight="1" x14ac:dyDescent="0.25">
      <c r="B38" s="11" t="s">
        <v>45</v>
      </c>
      <c r="C38" s="43">
        <v>10.669549999999999</v>
      </c>
      <c r="D38" s="12"/>
      <c r="E38" s="13"/>
    </row>
    <row r="39" spans="1:5" ht="15" customHeight="1" x14ac:dyDescent="0.25">
      <c r="B39" s="11" t="s">
        <v>46</v>
      </c>
      <c r="C39" s="43">
        <v>12.398630000000001</v>
      </c>
      <c r="D39" s="12"/>
      <c r="E39" s="12"/>
    </row>
    <row r="40" spans="1:5" ht="15" customHeight="1" x14ac:dyDescent="0.25">
      <c r="B40" s="11" t="s">
        <v>47</v>
      </c>
      <c r="C40" s="100">
        <v>0.99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7.1923999999999998E-3</v>
      </c>
      <c r="D45" s="12"/>
    </row>
    <row r="46" spans="1:5" ht="15.75" customHeight="1" x14ac:dyDescent="0.25">
      <c r="B46" s="11" t="s">
        <v>52</v>
      </c>
      <c r="C46" s="45">
        <v>7.7281600000000006E-2</v>
      </c>
      <c r="D46" s="12"/>
    </row>
    <row r="47" spans="1:5" ht="15.75" customHeight="1" x14ac:dyDescent="0.25">
      <c r="B47" s="11" t="s">
        <v>53</v>
      </c>
      <c r="C47" s="45">
        <v>7.4161099999999994E-2</v>
      </c>
      <c r="D47" s="12"/>
      <c r="E47" s="13"/>
    </row>
    <row r="48" spans="1:5" ht="15" customHeight="1" x14ac:dyDescent="0.25">
      <c r="B48" s="11" t="s">
        <v>54</v>
      </c>
      <c r="C48" s="46">
        <v>0.84136489999999997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0.55565200000000003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y1sEHPVFCBS+qw8+iwXY9PTpbnmFh06KsUfUpLA3vSvFv8y94Q1+/V//YCAa2a4zTxm2KJQbnKJBBO7P/rAIdw==" saltValue="cBXRGPGthSwhNbZHQUjr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31863</v>
      </c>
      <c r="C2" s="49">
        <v>127765</v>
      </c>
      <c r="D2" s="49">
        <v>236714</v>
      </c>
      <c r="E2" s="49">
        <v>247166.5</v>
      </c>
      <c r="F2" s="49">
        <v>175535</v>
      </c>
      <c r="G2" s="17">
        <f t="shared" ref="G2:G13" si="0">C2+D2+E2+F2</f>
        <v>787180.5</v>
      </c>
      <c r="H2" s="17">
        <f t="shared" ref="H2:H13" si="1">(B2 + stillbirth*B2/(1000-stillbirth))/(1-abortion)</f>
        <v>36735.615746127994</v>
      </c>
      <c r="I2" s="17">
        <f t="shared" ref="I2:I13" si="2">G2-H2</f>
        <v>750444.88425387198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31494</v>
      </c>
      <c r="C3" s="50">
        <v>124538</v>
      </c>
      <c r="D3" s="50">
        <v>230125.5</v>
      </c>
      <c r="E3" s="50">
        <v>248717.5</v>
      </c>
      <c r="F3" s="50">
        <v>179905</v>
      </c>
      <c r="G3" s="17">
        <f t="shared" si="0"/>
        <v>783286</v>
      </c>
      <c r="H3" s="17">
        <f t="shared" si="1"/>
        <v>36310.186809420171</v>
      </c>
      <c r="I3" s="17">
        <f t="shared" si="2"/>
        <v>746975.81319057988</v>
      </c>
    </row>
    <row r="4" spans="1:9" ht="15.75" customHeight="1" x14ac:dyDescent="0.25">
      <c r="A4" s="5">
        <f t="shared" si="3"/>
        <v>2026</v>
      </c>
      <c r="B4" s="49">
        <v>31067</v>
      </c>
      <c r="C4" s="50">
        <v>121425.5</v>
      </c>
      <c r="D4" s="50">
        <v>224430</v>
      </c>
      <c r="E4" s="50">
        <v>248905</v>
      </c>
      <c r="F4" s="50">
        <v>184844.5</v>
      </c>
      <c r="G4" s="17">
        <f t="shared" si="0"/>
        <v>779605</v>
      </c>
      <c r="H4" s="17">
        <f t="shared" si="1"/>
        <v>35817.888283744731</v>
      </c>
      <c r="I4" s="17">
        <f t="shared" si="2"/>
        <v>743787.11171625531</v>
      </c>
    </row>
    <row r="5" spans="1:9" ht="15.75" customHeight="1" x14ac:dyDescent="0.25">
      <c r="A5" s="5">
        <f t="shared" si="3"/>
        <v>2027</v>
      </c>
      <c r="B5" s="49">
        <v>30866</v>
      </c>
      <c r="C5" s="50">
        <v>118713</v>
      </c>
      <c r="D5" s="50">
        <v>218849.5</v>
      </c>
      <c r="E5" s="50">
        <v>248014.5</v>
      </c>
      <c r="F5" s="50">
        <v>189791</v>
      </c>
      <c r="G5" s="17">
        <f t="shared" si="0"/>
        <v>775368</v>
      </c>
      <c r="H5" s="17">
        <f t="shared" si="1"/>
        <v>35586.150570253478</v>
      </c>
      <c r="I5" s="17">
        <f t="shared" si="2"/>
        <v>739781.84942974651</v>
      </c>
    </row>
    <row r="6" spans="1:9" ht="15.75" customHeight="1" x14ac:dyDescent="0.25">
      <c r="A6" s="5">
        <f t="shared" si="3"/>
        <v>2028</v>
      </c>
      <c r="B6" s="49">
        <v>30386</v>
      </c>
      <c r="C6" s="50">
        <v>116270</v>
      </c>
      <c r="D6" s="50">
        <v>212576</v>
      </c>
      <c r="E6" s="50">
        <v>246826.5</v>
      </c>
      <c r="F6" s="50">
        <v>194311</v>
      </c>
      <c r="G6" s="17">
        <f t="shared" si="0"/>
        <v>769983.5</v>
      </c>
      <c r="H6" s="17">
        <f t="shared" si="1"/>
        <v>35032.747075348998</v>
      </c>
      <c r="I6" s="17">
        <f t="shared" si="2"/>
        <v>734950.75292465102</v>
      </c>
    </row>
    <row r="7" spans="1:9" ht="15.75" customHeight="1" x14ac:dyDescent="0.25">
      <c r="A7" s="5">
        <f t="shared" si="3"/>
        <v>2029</v>
      </c>
      <c r="B7" s="49">
        <v>29993</v>
      </c>
      <c r="C7" s="50">
        <v>113733.5</v>
      </c>
      <c r="D7" s="50">
        <v>207100</v>
      </c>
      <c r="E7" s="50">
        <v>244726.5</v>
      </c>
      <c r="F7" s="50">
        <v>198429.5</v>
      </c>
      <c r="G7" s="17">
        <f t="shared" si="0"/>
        <v>763989.5</v>
      </c>
      <c r="H7" s="17">
        <f t="shared" si="1"/>
        <v>34579.647963895957</v>
      </c>
      <c r="I7" s="17">
        <f t="shared" si="2"/>
        <v>729409.85203610407</v>
      </c>
    </row>
    <row r="8" spans="1:9" ht="15.75" customHeight="1" x14ac:dyDescent="0.25">
      <c r="A8" s="5">
        <f t="shared" si="3"/>
        <v>2030</v>
      </c>
      <c r="B8" s="49">
        <v>29545</v>
      </c>
      <c r="C8" s="50">
        <v>111636.5</v>
      </c>
      <c r="D8" s="50">
        <v>202776</v>
      </c>
      <c r="E8" s="50">
        <v>241240</v>
      </c>
      <c r="F8" s="50">
        <v>201918</v>
      </c>
      <c r="G8" s="17">
        <f t="shared" si="0"/>
        <v>757570.5</v>
      </c>
      <c r="H8" s="17">
        <f t="shared" si="1"/>
        <v>34063.138035318443</v>
      </c>
      <c r="I8" s="17">
        <f t="shared" si="2"/>
        <v>723507.36196468154</v>
      </c>
    </row>
    <row r="9" spans="1:9" ht="15.75" customHeight="1" x14ac:dyDescent="0.25">
      <c r="A9" s="5">
        <f t="shared" si="3"/>
        <v>2031</v>
      </c>
      <c r="B9" s="49">
        <v>29150</v>
      </c>
      <c r="C9" s="50">
        <v>109273</v>
      </c>
      <c r="D9" s="50">
        <v>199149</v>
      </c>
      <c r="E9" s="50">
        <v>236481.5</v>
      </c>
      <c r="F9" s="50">
        <v>204273.5</v>
      </c>
      <c r="G9" s="17">
        <f t="shared" si="0"/>
        <v>749177</v>
      </c>
      <c r="H9" s="17">
        <f t="shared" si="1"/>
        <v>33607.733075969962</v>
      </c>
      <c r="I9" s="17">
        <f t="shared" si="2"/>
        <v>715569.26692403003</v>
      </c>
    </row>
    <row r="10" spans="1:9" ht="15.75" customHeight="1" x14ac:dyDescent="0.25">
      <c r="A10" s="5">
        <f t="shared" si="3"/>
        <v>2032</v>
      </c>
      <c r="B10" s="49">
        <v>28563</v>
      </c>
      <c r="C10" s="50">
        <v>106180</v>
      </c>
      <c r="D10" s="50">
        <v>195647.5</v>
      </c>
      <c r="E10" s="50">
        <v>230749.5</v>
      </c>
      <c r="F10" s="50">
        <v>206015</v>
      </c>
      <c r="G10" s="17">
        <f t="shared" si="0"/>
        <v>738592</v>
      </c>
      <c r="H10" s="17">
        <f t="shared" si="1"/>
        <v>32930.966718659693</v>
      </c>
      <c r="I10" s="17">
        <f t="shared" si="2"/>
        <v>705661.03328134026</v>
      </c>
    </row>
    <row r="11" spans="1:9" ht="15.75" customHeight="1" x14ac:dyDescent="0.25">
      <c r="A11" s="5">
        <f t="shared" si="3"/>
        <v>2033</v>
      </c>
      <c r="B11" s="49">
        <v>28063</v>
      </c>
      <c r="C11" s="50">
        <v>102982.5</v>
      </c>
      <c r="D11" s="50">
        <v>191853</v>
      </c>
      <c r="E11" s="50">
        <v>224427</v>
      </c>
      <c r="F11" s="50">
        <v>207960.5</v>
      </c>
      <c r="G11" s="17">
        <f t="shared" si="0"/>
        <v>727223</v>
      </c>
      <c r="H11" s="17">
        <f t="shared" si="1"/>
        <v>32354.504744800859</v>
      </c>
      <c r="I11" s="17">
        <f t="shared" si="2"/>
        <v>694868.49525519914</v>
      </c>
    </row>
    <row r="12" spans="1:9" ht="15.75" customHeight="1" x14ac:dyDescent="0.25">
      <c r="A12" s="5">
        <f t="shared" si="3"/>
        <v>2034</v>
      </c>
      <c r="B12" s="49">
        <v>27567</v>
      </c>
      <c r="C12" s="50">
        <v>100164</v>
      </c>
      <c r="D12" s="50">
        <v>187381.5</v>
      </c>
      <c r="E12" s="50">
        <v>217974.5</v>
      </c>
      <c r="F12" s="50">
        <v>209907.5</v>
      </c>
      <c r="G12" s="17">
        <f t="shared" si="0"/>
        <v>715427.5</v>
      </c>
      <c r="H12" s="17">
        <f t="shared" si="1"/>
        <v>31782.654466732896</v>
      </c>
      <c r="I12" s="17">
        <f t="shared" si="2"/>
        <v>683644.84553326713</v>
      </c>
    </row>
    <row r="13" spans="1:9" ht="15.75" customHeight="1" x14ac:dyDescent="0.25">
      <c r="A13" s="5">
        <f t="shared" si="3"/>
        <v>2035</v>
      </c>
      <c r="B13" s="49">
        <v>26881</v>
      </c>
      <c r="C13" s="50">
        <v>97352</v>
      </c>
      <c r="D13" s="50">
        <v>182937</v>
      </c>
      <c r="E13" s="50">
        <v>211461</v>
      </c>
      <c r="F13" s="50">
        <v>211633.5</v>
      </c>
      <c r="G13" s="17">
        <f t="shared" si="0"/>
        <v>703383.5</v>
      </c>
      <c r="H13" s="17">
        <f t="shared" si="1"/>
        <v>30991.748638598579</v>
      </c>
      <c r="I13" s="17">
        <f t="shared" si="2"/>
        <v>672391.7513614014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8rhcHrAZUIVoz5gx9rURGOJy4tL/15HJxByzaxsoUpvH+DAa9wQKe6dIJKcLX3fc4exxRCFtde/YD/fs+Lxxw==" saltValue="KpBafDpGnxVVKXhB1Vhz2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0.13613760000000011</v>
      </c>
    </row>
    <row r="5" spans="1:8" ht="15.75" customHeight="1" x14ac:dyDescent="0.25">
      <c r="B5" s="19" t="s">
        <v>80</v>
      </c>
      <c r="C5" s="101">
        <v>2.9634100000000021E-2</v>
      </c>
    </row>
    <row r="6" spans="1:8" ht="15.75" customHeight="1" x14ac:dyDescent="0.25">
      <c r="B6" s="19" t="s">
        <v>81</v>
      </c>
      <c r="C6" s="101">
        <v>0.18144859999999971</v>
      </c>
    </row>
    <row r="7" spans="1:8" ht="15.75" customHeight="1" x14ac:dyDescent="0.25">
      <c r="B7" s="19" t="s">
        <v>82</v>
      </c>
      <c r="C7" s="101">
        <v>0.45895330000000018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0.1178047999999999</v>
      </c>
    </row>
    <row r="10" spans="1:8" ht="15.75" customHeight="1" x14ac:dyDescent="0.25">
      <c r="B10" s="19" t="s">
        <v>85</v>
      </c>
      <c r="C10" s="101">
        <v>7.6021599999999911E-2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88</v>
      </c>
      <c r="C15" s="101">
        <v>0.34734263374847879</v>
      </c>
      <c r="D15" s="101">
        <v>0.34734263374847879</v>
      </c>
      <c r="E15" s="101">
        <v>0.34734263374847879</v>
      </c>
      <c r="F15" s="101">
        <v>0.34734263374847879</v>
      </c>
    </row>
    <row r="16" spans="1:8" ht="15.75" customHeight="1" x14ac:dyDescent="0.25">
      <c r="B16" s="19" t="s">
        <v>89</v>
      </c>
      <c r="C16" s="101">
        <v>3.7147698052948298E-2</v>
      </c>
      <c r="D16" s="101">
        <v>3.7147698052948298E-2</v>
      </c>
      <c r="E16" s="101">
        <v>3.7147698052948298E-2</v>
      </c>
      <c r="F16" s="101">
        <v>3.7147698052948298E-2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0.17484696646779091</v>
      </c>
      <c r="D19" s="101">
        <v>0.17484696646779091</v>
      </c>
      <c r="E19" s="101">
        <v>0.17484696646779091</v>
      </c>
      <c r="F19" s="101">
        <v>0.17484696646779091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0.12466024564999149</v>
      </c>
      <c r="D21" s="101">
        <v>0.12466024564999149</v>
      </c>
      <c r="E21" s="101">
        <v>0.12466024564999149</v>
      </c>
      <c r="F21" s="101">
        <v>0.12466024564999149</v>
      </c>
    </row>
    <row r="22" spans="1:8" ht="15.75" customHeight="1" x14ac:dyDescent="0.25">
      <c r="B22" s="19" t="s">
        <v>95</v>
      </c>
      <c r="C22" s="101">
        <v>0.1330480130264487</v>
      </c>
      <c r="D22" s="101">
        <v>0.1330480130264487</v>
      </c>
      <c r="E22" s="101">
        <v>0.1330480130264487</v>
      </c>
      <c r="F22" s="101">
        <v>0.1330480130264487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2.9141097000000001E-2</v>
      </c>
    </row>
    <row r="27" spans="1:8" ht="15.75" customHeight="1" x14ac:dyDescent="0.25">
      <c r="B27" s="19" t="s">
        <v>102</v>
      </c>
      <c r="C27" s="101">
        <v>1.0659604E-2</v>
      </c>
    </row>
    <row r="28" spans="1:8" ht="15.75" customHeight="1" x14ac:dyDescent="0.25">
      <c r="B28" s="19" t="s">
        <v>103</v>
      </c>
      <c r="C28" s="101">
        <v>5.3942014000000003E-2</v>
      </c>
    </row>
    <row r="29" spans="1:8" ht="15.75" customHeight="1" x14ac:dyDescent="0.25">
      <c r="B29" s="19" t="s">
        <v>104</v>
      </c>
      <c r="C29" s="101">
        <v>0.132460157</v>
      </c>
    </row>
    <row r="30" spans="1:8" ht="15.75" customHeight="1" x14ac:dyDescent="0.25">
      <c r="B30" s="19" t="s">
        <v>2</v>
      </c>
      <c r="C30" s="101">
        <v>4.2099428000000001E-2</v>
      </c>
    </row>
    <row r="31" spans="1:8" ht="15.75" customHeight="1" x14ac:dyDescent="0.25">
      <c r="B31" s="19" t="s">
        <v>105</v>
      </c>
      <c r="C31" s="101">
        <v>9.6696056000000002E-2</v>
      </c>
    </row>
    <row r="32" spans="1:8" ht="15.75" customHeight="1" x14ac:dyDescent="0.25">
      <c r="B32" s="19" t="s">
        <v>106</v>
      </c>
      <c r="C32" s="101">
        <v>6.3757143000000002E-2</v>
      </c>
    </row>
    <row r="33" spans="2:3" ht="15.75" customHeight="1" x14ac:dyDescent="0.25">
      <c r="B33" s="19" t="s">
        <v>107</v>
      </c>
      <c r="C33" s="101">
        <v>0.12090500699999999</v>
      </c>
    </row>
    <row r="34" spans="2:3" ht="15.75" customHeight="1" x14ac:dyDescent="0.25">
      <c r="B34" s="19" t="s">
        <v>108</v>
      </c>
      <c r="C34" s="101">
        <v>0.45033949200000001</v>
      </c>
    </row>
    <row r="35" spans="2:3" ht="15.75" customHeight="1" x14ac:dyDescent="0.25">
      <c r="B35" s="27" t="s">
        <v>41</v>
      </c>
      <c r="C35" s="48">
        <f>SUM(C26:C34)</f>
        <v>0.99999999799999995</v>
      </c>
    </row>
  </sheetData>
  <sheetProtection algorithmName="SHA-512" hashValue="JPOvZ9zeE+zDIC48uvI1NlxVetgTZEvuw+cFbezv5uLKJ64TanfVMPK6uZtjxbXJG19AMolseo4a7tIyEi+JgQ==" saltValue="9mWFmqQNm7Dc0zFgF+t1X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2" zoomScaleNormal="100" workbookViewId="0">
      <selection activeCell="C10" sqref="C10:G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115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119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120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S6Z+ttpsJcGqzE5s28Y1TRglMVhSilsyAs8vLj8Sl+sUYbbLny9kWfOE+PZa460x5VXeC/yR1PMfU7tWn/ciA==" saltValue="K0X6Gt/c3B3x97Bmn3Gb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132</v>
      </c>
      <c r="C5" s="52">
        <v>8.5871799999999998E-2</v>
      </c>
      <c r="D5" s="52">
        <v>9.0010800000000002E-2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Zxw2ks6R1JUuOP2dMxX3cs6RklQ7ici8487Su016I00ZNNytxovqVBn70c54q4ublmUekKe8kuhyO6obPOHUAg==" saltValue="6nWqKQKDvpm3zGgNYS9p9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YP16eOfbEK3jkrmXsJWkPnw1xLJXKLLiMqTC82tO+vnI4SQpui9fWj1ftoKr0c+34PUIjnMzF4x1/jUMR8kEw==" saltValue="BgM+rHybYZOibcRXFaztY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DNFPspCAU1ZRkNsJwrWo6nLc3fI3DHCspmKOosYHQKHw3CLivhWdyDg9S55TbDCPCC9wTnzJ4v8b7PA95ab6Zg==" saltValue="TBrdWwUgUi7DXDfvPUlek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lkNn4xj9g2cx9ayzU6InlBrGHLzK/sSDwpMIs53u4wEDjJi01rm5R5hSHbZSTHWXS2wM6jknCLTc1YX9JDQSew==" saltValue="mDKMvFaXPZ8QTSt7BBq1E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hFR2OU971Uz9NglAbcsvDhGWV+61ZRd4rdcum09yNhBeo2sIOOj4C70xATA/lLI4wbalNYHISGodz7WLieHqGg==" saltValue="Kyp/3cyzRae3CV6CMEgdN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62.714780124614677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0.51947830035999998</v>
      </c>
      <c r="C3" s="98">
        <v>0.95</v>
      </c>
      <c r="D3" s="56">
        <v>39.985147042964151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487.85757913726337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1.737860170244969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13.117446486760061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13.117446486760061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13.117446486760061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13.117446486760061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13.117446486760061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13.117446486760061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0.93</v>
      </c>
      <c r="C16" s="98">
        <v>0.95</v>
      </c>
      <c r="D16" s="56">
        <v>0.82421228665541357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0.35908333333333298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0.21100871715</v>
      </c>
      <c r="C18" s="98">
        <v>0.95</v>
      </c>
      <c r="D18" s="56">
        <v>11.224756739744929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0.86552600000000002</v>
      </c>
      <c r="C19" s="98">
        <v>0.95</v>
      </c>
      <c r="D19" s="56">
        <v>11.224756739744929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0.83723100000000006</v>
      </c>
      <c r="C21" s="98">
        <v>0.95</v>
      </c>
      <c r="D21" s="56">
        <v>16.982553632802741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22.691717425670902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4.3451295640787793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0.95757159282245996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18.676662605887799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0.78155029906684503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124.34168065842491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0.50502277771952597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1.780535588985835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0.64137739999999999</v>
      </c>
      <c r="C38" s="98">
        <v>0.95</v>
      </c>
      <c r="D38" s="56">
        <v>1.723279552412311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4rtzXZSlfkmyLKCo8/EmF76ciO/EhQmHP9Th9jk9dYeeXdjbstmtOOzBmQonFQSHucejlcghtHpaYFSvPhu5mQ==" saltValue="YVEZFjmzwvpWMCQ0vMED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NN8tkJAEZ4eficd6UxnP4UTd1KGCdIgiiRSdYJdnZSYlx0D6naRKHrkS5BOu6LgSSQqvOx/yey47TX59oYorA==" saltValue="T75QPSYHGHDaQhTZQxHv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myA8Nwk+/jBJDXf0/jAVUvLIA2FAOD6QZaiLGiUsZVti8qlv8QTX+bqjsdZSR5u9VacM8J8+ahhip7nwJEjZw==" saltValue="iFNu90jArF5fgla4bwRqi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ULV2OM70tHH4BzEM18bZPRKK9Q0vmVtBnuiLXH2M/iqSvzodJgW7hh6doV+p1lGy2cD+e1YAeQBZH755TjWdVA==" saltValue="7S+MzbExfUnN3C5Nm78Gf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4/0F0zOZoEABtDH53dj43jtL3XOKYK8zkNNAKAfe2N9AHLaiVe35jSUJ01LOfNILNWW/NtBOi+di87qfVoKkTQ==" saltValue="0XuZoTbkYVYZwgQCdlGL5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Iv1EiOpn+44fOamX5cUIVTIqHqWTfirjJwnbkvmq7NozZ9Q+r7L9DTJWLlhFy60eh3dR77UmVNJlHZ5o64LzGw==" saltValue="jvgIM++Q3W6MIGthX3r1O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S2C/u/YNkPaud5jnqFaY0Q8/s2gLLnBJlR7cwj+04uiQ8D2byPD+8PWrTd0sQjvsv2xcb32dvcyN2+IW2jthQ==" saltValue="28VowysnNR8yshKjElPv+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4gaXpuadVigTwwOrdIk0oGlfYzA4unT4CWK6S6znrEyO1MIH/Pn8RjejqyuZFMzePXXUr/n1Pe6rRykIKB6xw==" saltValue="jKM5tvU9DZakOrqoCe8iW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pWnXt7xrSSrLwSKcZ74y8Z6jfMTquBLMAELigc5AMSxgJjY6b8eeK1DHszebjEh0/sCfJMibXPZoXzwrFqMGA==" saltValue="SrknvhKi1pmWm+x9UbIDk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AA4WlRIPF5RWneFAOAuCbpW2PuL/nk0mp0nti3X8cMXHlFG3ghE9kaY7B+WLwKfiafxBpnan1H6YkKNHNiZcaQ==" saltValue="UcWKpbqdvjHmO4fbEGe86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W8msrbvCOnQg9pm/mO2/1Mae7rw0UCetdHO52mXzv6eOd9h27N5MwtrwprI6l/++9dYfVM9VEgCSO8BlXlSS6A==" saltValue="P9TAdZiIfQyYuyCpP7L3K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9fheziB0UbikrIXyBWYHRnViiFuKuliHjQ1bDvilyDtjWln5PRry9/F9dsRBEI5ht8r/LKW0s9eTlJcZjGopA==" saltValue="tDWw3/RYwM5WLQa4prQc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D0gFWnqqiod6D6CK4R7E3hLtE7J4nPckp9Ysu6Iw1xE8A2YS/wyebPVa+B5lwG0i7T7SNAEni6K0AeIW1h+4g==" saltValue="qdDtcSwcOB3TPsS9+xxe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TstsSsZdNM8ugMWxuIj9LVu9Cb86ic+tyx03BswSPVoeRlUscUC2QuaCWND/j0HCvYcJDYJAQLxkgpUko+bAbQ==" saltValue="0y4XMc6SS3mO0/ukWMCS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0XW9VmJ3R0YNVqR1Q7i+ZfRsoCD2k8+6munawMMe7ZNAFbwVJjk4/mZ8BfoG4/jgQNjnngMFl+2FIfHK+qICw==" saltValue="aCJEskNbyczZHgBbcK6A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78JbcTxkxbkZg5ebuNJGwUeAKXRC8vmlNYCkBGfsJQ3RQPxVqi5e229DYmIvpA1bnmCRrw6cenF5pYYp8pl5g==" saltValue="KgV2PvU49CGaR0Q0DdZL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zHEgcoSRjjKJzz/cUQTTUoqrXsrHY0jmSIjwrV/9JVWHrimflbcWQYoPo4KXViYwStEm+IqoHjRxKK25IoYCw==" saltValue="KNP6yvf2S8gIMgzR37l8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TB8DM/uzP8qNy8QwQvW7cI57Kcf6bqkNMRaC1yHCLv4LDjnprPBwf68JkeL6y+64IBgUUYF2RJxOG97HCbDHQ==" saltValue="lNZ/ddrR9z3nBhES5ApK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5gphQrK36fmv2WVYZgoLzyS9LwxYkSOOJ2MteqZIEw+qvrH4hLk9xyZtHhMdLJtU3p4rROvmr7Qr4mdHqEINA==" saltValue="hAAo5wJu4oI/+KZ5pYa0E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2024-05-17T00:32:34Z</dcterms:modified>
</cp:coreProperties>
</file>