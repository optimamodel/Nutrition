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C72E223D-CEB1-457F-A894-08F26484D978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I38" i="2" s="1"/>
  <c r="A34" i="2"/>
  <c r="A31" i="2"/>
  <c r="A25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4" i="2" l="1"/>
  <c r="I6" i="2"/>
  <c r="I12" i="2"/>
  <c r="A35" i="2"/>
  <c r="A36" i="2"/>
  <c r="A37" i="2"/>
  <c r="I7" i="2"/>
  <c r="I2" i="2"/>
  <c r="I8" i="2"/>
  <c r="A19" i="2"/>
  <c r="A22" i="2"/>
  <c r="I39" i="2"/>
  <c r="I3" i="2"/>
  <c r="I9" i="2"/>
  <c r="A23" i="2"/>
  <c r="A2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<sst xmlns="http://schemas.openxmlformats.org/spreadsheetml/2006/main" count="2169" uniqueCount="369">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</sst>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160697.5</v>
      </c>
    </row>
    <row r="8" spans="1:3" ht="15" customHeight="1" x14ac:dyDescent="0.25">
      <c r="B8" s="5" t="s">
        <v>37</v>
      </c>
      <c r="C8" s="44">
        <v>1.7000000000000001E-2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0.77384170532226604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0.17100000000000001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0.13569999999999999</v>
      </c>
    </row>
    <row r="24" spans="1:3" ht="15" customHeight="1" x14ac:dyDescent="0.25">
      <c r="B24" s="15" t="s">
        <v>51</v>
      </c>
      <c r="C24" s="45">
        <v>0.52159999999999995</v>
      </c>
    </row>
    <row r="25" spans="1:3" ht="15" customHeight="1" x14ac:dyDescent="0.25">
      <c r="B25" s="15" t="s">
        <v>52</v>
      </c>
      <c r="C25" s="45">
        <v>0.31040000000000001</v>
      </c>
    </row>
    <row r="26" spans="1:3" ht="15" customHeight="1" x14ac:dyDescent="0.25">
      <c r="B26" s="15" t="s">
        <v>53</v>
      </c>
      <c r="C26" s="45">
        <v>3.2300000000000002E-2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0.38027698235904311</v>
      </c>
    </row>
    <row r="30" spans="1:3" ht="14.25" customHeight="1" x14ac:dyDescent="0.25">
      <c r="B30" s="25" t="s">
        <v>56</v>
      </c>
      <c r="C30" s="97">
        <v>5.4660418264349912E-2</v>
      </c>
    </row>
    <row r="31" spans="1:3" ht="14.25" customHeight="1" x14ac:dyDescent="0.25">
      <c r="B31" s="25" t="s">
        <v>57</v>
      </c>
      <c r="C31" s="97">
        <v>6.1967733026657798E-2</v>
      </c>
    </row>
    <row r="32" spans="1:3" ht="14.25" customHeight="1" x14ac:dyDescent="0.25">
      <c r="B32" s="25" t="s">
        <v>58</v>
      </c>
      <c r="C32" s="97">
        <v>0.50309486634994893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10.305669999999999</v>
      </c>
    </row>
    <row r="38" spans="1:5" ht="15" customHeight="1" x14ac:dyDescent="0.25">
      <c r="B38" s="11" t="s">
        <v>63</v>
      </c>
      <c r="C38" s="43">
        <v>10.669549999999999</v>
      </c>
      <c r="D38" s="12"/>
      <c r="E38" s="13"/>
    </row>
    <row r="39" spans="1:5" ht="15" customHeight="1" x14ac:dyDescent="0.25">
      <c r="B39" s="11" t="s">
        <v>64</v>
      </c>
      <c r="C39" s="43">
        <v>12.398630000000001</v>
      </c>
      <c r="D39" s="12"/>
      <c r="E39" s="12"/>
    </row>
    <row r="40" spans="1:5" ht="15" customHeight="1" x14ac:dyDescent="0.25">
      <c r="B40" s="11" t="s">
        <v>65</v>
      </c>
      <c r="C40" s="98">
        <v>0.99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14.36375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7.1923999999999998E-3</v>
      </c>
      <c r="D45" s="12"/>
    </row>
    <row r="46" spans="1:5" ht="15.75" customHeight="1" x14ac:dyDescent="0.25">
      <c r="B46" s="11" t="s">
        <v>70</v>
      </c>
      <c r="C46" s="45">
        <v>7.7281600000000006E-2</v>
      </c>
      <c r="D46" s="12"/>
    </row>
    <row r="47" spans="1:5" ht="15.75" customHeight="1" x14ac:dyDescent="0.25">
      <c r="B47" s="11" t="s">
        <v>71</v>
      </c>
      <c r="C47" s="45">
        <v>7.4161099999999994E-2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0.55565200000000003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0.14582914999999999</v>
      </c>
    </row>
    <row r="63" spans="1:4" ht="15.75" customHeight="1" x14ac:dyDescent="0.3">
      <c r="A63" s="4"/>
    </row>
  </sheetData>
  <sheetProtection algorithmName="SHA-512" hashValue="mcSkV7lPQVUiN1JPE4M1M1fgzH2Sj0DtsicRQ0k7JeMyX6wsvD+M07/MhLlQITQdn9vNPrlRsLifoACTL0QMLA==" saltValue="iM2yKxaK/ok2bijliiwW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32508.000000000004</v>
      </c>
      <c r="C2" s="49">
        <v>109368</v>
      </c>
      <c r="D2" s="49">
        <v>242756</v>
      </c>
      <c r="E2" s="49">
        <v>245743.5</v>
      </c>
      <c r="F2" s="49">
        <v>200208</v>
      </c>
      <c r="G2" s="17">
        <f t="shared" ref="G2:G13" si="0">C2+D2+E2+F2</f>
        <v>798075.5</v>
      </c>
      <c r="H2" s="17">
        <f t="shared" ref="H2:H13" si="1">(B2 + stillbirth*B2/(1000-stillbirth))/(1-abortion)</f>
        <v>37479.251692405887</v>
      </c>
      <c r="I2" s="17">
        <f t="shared" ref="I2:I13" si="2">G2-H2</f>
        <v>760596.2483075941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31837</v>
      </c>
      <c r="C3" s="50">
        <v>106525.5</v>
      </c>
      <c r="D3" s="50">
        <v>236862.5</v>
      </c>
      <c r="E3" s="50">
        <v>247743.49999999997</v>
      </c>
      <c r="F3" s="50">
        <v>204089</v>
      </c>
      <c r="G3" s="17">
        <f t="shared" si="0"/>
        <v>795220.5</v>
      </c>
      <c r="H3" s="17">
        <f t="shared" si="1"/>
        <v>36705.639723487329</v>
      </c>
      <c r="I3" s="17">
        <f t="shared" si="2"/>
        <v>758514.86027651269</v>
      </c>
    </row>
    <row r="4" spans="1:9" ht="15.75" customHeight="1" x14ac:dyDescent="0.25">
      <c r="A4" s="5">
        <f t="shared" si="3"/>
        <v>2026</v>
      </c>
      <c r="B4" s="49">
        <v>31322</v>
      </c>
      <c r="C4" s="50">
        <v>103421.5</v>
      </c>
      <c r="D4" s="50">
        <v>230973.5</v>
      </c>
      <c r="E4" s="50">
        <v>249231</v>
      </c>
      <c r="F4" s="50">
        <v>207766.00000000003</v>
      </c>
      <c r="G4" s="17">
        <f t="shared" si="0"/>
        <v>791392</v>
      </c>
      <c r="H4" s="17">
        <f t="shared" si="1"/>
        <v>36111.883890412733</v>
      </c>
      <c r="I4" s="17">
        <f t="shared" si="2"/>
        <v>755280.11610958725</v>
      </c>
    </row>
    <row r="5" spans="1:9" ht="15.75" customHeight="1" x14ac:dyDescent="0.25">
      <c r="A5" s="5">
        <f t="shared" si="3"/>
        <v>2027</v>
      </c>
      <c r="B5" s="49">
        <v>30826</v>
      </c>
      <c r="C5" s="50">
        <v>100170</v>
      </c>
      <c r="D5" s="50">
        <v>225185</v>
      </c>
      <c r="E5" s="50">
        <v>250091</v>
      </c>
      <c r="F5" s="50">
        <v>211270.5</v>
      </c>
      <c r="G5" s="17">
        <f t="shared" si="0"/>
        <v>786716.5</v>
      </c>
      <c r="H5" s="17">
        <f t="shared" si="1"/>
        <v>35540.033612344771</v>
      </c>
      <c r="I5" s="17">
        <f t="shared" si="2"/>
        <v>751176.46638765524</v>
      </c>
    </row>
    <row r="6" spans="1:9" ht="15.75" customHeight="1" x14ac:dyDescent="0.25">
      <c r="A6" s="5">
        <f t="shared" si="3"/>
        <v>2028</v>
      </c>
      <c r="B6" s="49">
        <v>30324</v>
      </c>
      <c r="C6" s="50">
        <v>96933.5</v>
      </c>
      <c r="D6" s="50">
        <v>219683</v>
      </c>
      <c r="E6" s="50">
        <v>250012.5</v>
      </c>
      <c r="F6" s="50">
        <v>214718.5</v>
      </c>
      <c r="G6" s="17">
        <f t="shared" si="0"/>
        <v>781347.5</v>
      </c>
      <c r="H6" s="17">
        <f t="shared" si="1"/>
        <v>34961.265790590507</v>
      </c>
      <c r="I6" s="17">
        <f t="shared" si="2"/>
        <v>746386.23420940945</v>
      </c>
    </row>
    <row r="7" spans="1:9" ht="15.75" customHeight="1" x14ac:dyDescent="0.25">
      <c r="A7" s="5">
        <f t="shared" si="3"/>
        <v>2029</v>
      </c>
      <c r="B7" s="49">
        <v>29804</v>
      </c>
      <c r="C7" s="50">
        <v>93829</v>
      </c>
      <c r="D7" s="50">
        <v>214538</v>
      </c>
      <c r="E7" s="50">
        <v>248843.5</v>
      </c>
      <c r="F7" s="50">
        <v>217966.5</v>
      </c>
      <c r="G7" s="17">
        <f t="shared" si="0"/>
        <v>775177</v>
      </c>
      <c r="H7" s="17">
        <f t="shared" si="1"/>
        <v>34361.74533777732</v>
      </c>
      <c r="I7" s="17">
        <f t="shared" si="2"/>
        <v>740815.25466222269</v>
      </c>
    </row>
    <row r="8" spans="1:9" ht="15.75" customHeight="1" x14ac:dyDescent="0.25">
      <c r="A8" s="5">
        <f t="shared" si="3"/>
        <v>2030</v>
      </c>
      <c r="B8" s="49">
        <v>29264</v>
      </c>
      <c r="C8" s="50">
        <v>90961</v>
      </c>
      <c r="D8" s="50">
        <v>209798</v>
      </c>
      <c r="E8" s="50">
        <v>246187</v>
      </c>
      <c r="F8" s="50">
        <v>221216.99999999997</v>
      </c>
      <c r="G8" s="17">
        <f t="shared" si="0"/>
        <v>768163</v>
      </c>
      <c r="H8" s="17">
        <f t="shared" si="1"/>
        <v>33739.166406009776</v>
      </c>
      <c r="I8" s="17">
        <f t="shared" si="2"/>
        <v>734423.83359399019</v>
      </c>
    </row>
    <row r="9" spans="1:9" ht="15.75" customHeight="1" x14ac:dyDescent="0.25">
      <c r="A9" s="5">
        <f t="shared" si="3"/>
        <v>2031</v>
      </c>
      <c r="B9" s="49">
        <v>28690</v>
      </c>
      <c r="C9" s="50">
        <v>88362</v>
      </c>
      <c r="D9" s="50">
        <v>205140</v>
      </c>
      <c r="E9" s="50">
        <v>241942</v>
      </c>
      <c r="F9" s="50">
        <v>224774</v>
      </c>
      <c r="G9" s="17">
        <f t="shared" si="0"/>
        <v>760218</v>
      </c>
      <c r="H9" s="17">
        <f t="shared" si="1"/>
        <v>33077.388060019839</v>
      </c>
      <c r="I9" s="17">
        <f t="shared" si="2"/>
        <v>727140.61193998018</v>
      </c>
    </row>
    <row r="10" spans="1:9" ht="15.75" customHeight="1" x14ac:dyDescent="0.25">
      <c r="A10" s="5">
        <f t="shared" si="3"/>
        <v>2032</v>
      </c>
      <c r="B10" s="49">
        <v>28132</v>
      </c>
      <c r="C10" s="50">
        <v>85949.5</v>
      </c>
      <c r="D10" s="50">
        <v>200083</v>
      </c>
      <c r="E10" s="50">
        <v>236589</v>
      </c>
      <c r="F10" s="50">
        <v>228418</v>
      </c>
      <c r="G10" s="17">
        <f t="shared" si="0"/>
        <v>751039.5</v>
      </c>
      <c r="H10" s="17">
        <f t="shared" si="1"/>
        <v>32434.056497193378</v>
      </c>
      <c r="I10" s="17">
        <f t="shared" si="2"/>
        <v>718605.44350280659</v>
      </c>
    </row>
    <row r="11" spans="1:9" ht="15.75" customHeight="1" x14ac:dyDescent="0.25">
      <c r="A11" s="5">
        <f t="shared" si="3"/>
        <v>2033</v>
      </c>
      <c r="B11" s="49">
        <v>27564</v>
      </c>
      <c r="C11" s="50">
        <v>83665.5</v>
      </c>
      <c r="D11" s="50">
        <v>194593.5</v>
      </c>
      <c r="E11" s="50">
        <v>230727</v>
      </c>
      <c r="F11" s="50">
        <v>231625</v>
      </c>
      <c r="G11" s="17">
        <f t="shared" si="0"/>
        <v>740611</v>
      </c>
      <c r="H11" s="17">
        <f t="shared" si="1"/>
        <v>31779.195694889746</v>
      </c>
      <c r="I11" s="17">
        <f t="shared" si="2"/>
        <v>708831.80430511024</v>
      </c>
    </row>
    <row r="12" spans="1:9" ht="15.75" customHeight="1" x14ac:dyDescent="0.25">
      <c r="A12" s="5">
        <f t="shared" si="3"/>
        <v>2034</v>
      </c>
      <c r="B12" s="49">
        <v>26952</v>
      </c>
      <c r="C12" s="50">
        <v>81562.5</v>
      </c>
      <c r="D12" s="50">
        <v>188872</v>
      </c>
      <c r="E12" s="50">
        <v>224759</v>
      </c>
      <c r="F12" s="50">
        <v>234117</v>
      </c>
      <c r="G12" s="17">
        <f t="shared" si="0"/>
        <v>729310.5</v>
      </c>
      <c r="H12" s="17">
        <f t="shared" si="1"/>
        <v>31073.606238886532</v>
      </c>
      <c r="I12" s="17">
        <f t="shared" si="2"/>
        <v>698236.89376111352</v>
      </c>
    </row>
    <row r="13" spans="1:9" ht="15.75" customHeight="1" x14ac:dyDescent="0.25">
      <c r="A13" s="5">
        <f t="shared" si="3"/>
        <v>2035</v>
      </c>
      <c r="B13" s="49">
        <v>26324</v>
      </c>
      <c r="C13" s="50">
        <v>79677.5</v>
      </c>
      <c r="D13" s="50">
        <v>183130.49999999997</v>
      </c>
      <c r="E13" s="50">
        <v>218801.5</v>
      </c>
      <c r="F13" s="50">
        <v>236071.5</v>
      </c>
      <c r="G13" s="17">
        <f t="shared" si="0"/>
        <v>717681</v>
      </c>
      <c r="H13" s="17">
        <f t="shared" si="1"/>
        <v>30349.569999719843</v>
      </c>
      <c r="I13" s="17">
        <f t="shared" si="2"/>
        <v>687331.43000028015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/1evOhFdMpsLaZ7qh7tHxj3w1WLBDfDK5GPKITHLRvtxdZWiCxs7QPbUnZMIPf1liq7BsW6cgZqrZii0uH2z4A==" saltValue="ConDZChIX4jZ7c6uMssba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0.13613760000000011</v>
      </c>
    </row>
    <row r="5" spans="1:8" ht="15.75" customHeight="1" x14ac:dyDescent="0.25">
      <c r="B5" s="19" t="s">
        <v>98</v>
      </c>
      <c r="C5" s="99">
        <v>2.9634100000000021E-2</v>
      </c>
    </row>
    <row r="6" spans="1:8" ht="15.75" customHeight="1" x14ac:dyDescent="0.25">
      <c r="B6" s="19" t="s">
        <v>99</v>
      </c>
      <c r="C6" s="99">
        <v>0.18144859999999971</v>
      </c>
    </row>
    <row r="7" spans="1:8" ht="15.75" customHeight="1" x14ac:dyDescent="0.25">
      <c r="B7" s="19" t="s">
        <v>100</v>
      </c>
      <c r="C7" s="99">
        <v>0.45895330000000018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0.1178047999999999</v>
      </c>
    </row>
    <row r="10" spans="1:8" ht="15.75" customHeight="1" x14ac:dyDescent="0.25">
      <c r="B10" s="19" t="s">
        <v>103</v>
      </c>
      <c r="C10" s="99">
        <v>7.6021599999999911E-2</v>
      </c>
    </row>
    <row r="11" spans="1:8" ht="15.75" customHeight="1" x14ac:dyDescent="0.25">
      <c r="B11" s="27" t="s">
        <v>59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0.18295444305434169</v>
      </c>
      <c r="D14" s="55">
        <v>0.18295444305434169</v>
      </c>
      <c r="E14" s="55">
        <v>0.18295444305434169</v>
      </c>
      <c r="F14" s="55">
        <v>0.18295444305434169</v>
      </c>
    </row>
    <row r="15" spans="1:8" ht="15.75" customHeight="1" x14ac:dyDescent="0.25">
      <c r="B15" s="19" t="s">
        <v>106</v>
      </c>
      <c r="C15" s="99">
        <v>0.34734263374847879</v>
      </c>
      <c r="D15" s="99">
        <v>0.34734263374847879</v>
      </c>
      <c r="E15" s="99">
        <v>0.34734263374847879</v>
      </c>
      <c r="F15" s="99">
        <v>0.34734263374847879</v>
      </c>
    </row>
    <row r="16" spans="1:8" ht="15.75" customHeight="1" x14ac:dyDescent="0.25">
      <c r="B16" s="19" t="s">
        <v>107</v>
      </c>
      <c r="C16" s="99">
        <v>3.7147698052948298E-2</v>
      </c>
      <c r="D16" s="99">
        <v>3.7147698052948298E-2</v>
      </c>
      <c r="E16" s="99">
        <v>3.7147698052948298E-2</v>
      </c>
      <c r="F16" s="99">
        <v>3.7147698052948298E-2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0.17484696646779091</v>
      </c>
      <c r="D19" s="99">
        <v>0.17484696646779091</v>
      </c>
      <c r="E19" s="99">
        <v>0.17484696646779091</v>
      </c>
      <c r="F19" s="99">
        <v>0.17484696646779091</v>
      </c>
    </row>
    <row r="20" spans="1:8" ht="15.75" customHeight="1" x14ac:dyDescent="0.25">
      <c r="B20" s="19" t="s">
        <v>111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112</v>
      </c>
      <c r="C21" s="99">
        <v>0.12466024564999149</v>
      </c>
      <c r="D21" s="99">
        <v>0.12466024564999149</v>
      </c>
      <c r="E21" s="99">
        <v>0.12466024564999149</v>
      </c>
      <c r="F21" s="99">
        <v>0.12466024564999149</v>
      </c>
    </row>
    <row r="22" spans="1:8" ht="15.75" customHeight="1" x14ac:dyDescent="0.25">
      <c r="B22" s="19" t="s">
        <v>113</v>
      </c>
      <c r="C22" s="99">
        <v>0.1330480130264487</v>
      </c>
      <c r="D22" s="99">
        <v>0.1330480130264487</v>
      </c>
      <c r="E22" s="99">
        <v>0.1330480130264487</v>
      </c>
      <c r="F22" s="99">
        <v>0.1330480130264487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2.9141097000000001E-2</v>
      </c>
    </row>
    <row r="27" spans="1:8" ht="15.75" customHeight="1" x14ac:dyDescent="0.25">
      <c r="B27" s="19" t="s">
        <v>120</v>
      </c>
      <c r="C27" s="99">
        <v>1.0659604E-2</v>
      </c>
    </row>
    <row r="28" spans="1:8" ht="15.75" customHeight="1" x14ac:dyDescent="0.25">
      <c r="B28" s="19" t="s">
        <v>121</v>
      </c>
      <c r="C28" s="99">
        <v>5.3942014000000003E-2</v>
      </c>
    </row>
    <row r="29" spans="1:8" ht="15.75" customHeight="1" x14ac:dyDescent="0.25">
      <c r="B29" s="19" t="s">
        <v>122</v>
      </c>
      <c r="C29" s="99">
        <v>0.132460157</v>
      </c>
    </row>
    <row r="30" spans="1:8" ht="15.75" customHeight="1" x14ac:dyDescent="0.25">
      <c r="B30" s="19" t="s">
        <v>2</v>
      </c>
      <c r="C30" s="99">
        <v>4.2099428000000001E-2</v>
      </c>
    </row>
    <row r="31" spans="1:8" ht="15.75" customHeight="1" x14ac:dyDescent="0.25">
      <c r="B31" s="19" t="s">
        <v>123</v>
      </c>
      <c r="C31" s="99">
        <v>9.6696056000000002E-2</v>
      </c>
    </row>
    <row r="32" spans="1:8" ht="15.75" customHeight="1" x14ac:dyDescent="0.25">
      <c r="B32" s="19" t="s">
        <v>124</v>
      </c>
      <c r="C32" s="99">
        <v>6.3757143000000002E-2</v>
      </c>
    </row>
    <row r="33" spans="2:3" ht="15.75" customHeight="1" x14ac:dyDescent="0.25">
      <c r="B33" s="19" t="s">
        <v>125</v>
      </c>
      <c r="C33" s="99">
        <v>0.12090500699999999</v>
      </c>
    </row>
    <row r="34" spans="2:3" ht="15.75" customHeight="1" x14ac:dyDescent="0.25">
      <c r="B34" s="19" t="s">
        <v>126</v>
      </c>
      <c r="C34" s="99">
        <v>0.45033949200000001</v>
      </c>
    </row>
    <row r="35" spans="2:3" ht="15.75" customHeight="1" x14ac:dyDescent="0.25">
      <c r="B35" s="27" t="s">
        <v>59</v>
      </c>
      <c r="C35" s="48">
        <f>SUM(C26:C34)</f>
        <v>0.99999999799999995</v>
      </c>
    </row>
  </sheetData>
  <sheetProtection algorithmName="SHA-512" hashValue="LlvVy85wj131MwcxgK1VX2/gqgK+SFp1guDJxRusMjlrxLZayR+kkH5O9yL6h94EAUPxw1Eygo+nUk7XHNCArQ==" saltValue="h8OCD+TA5Fwpmiki/NqL0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132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133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137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138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0.45710734074999998</v>
      </c>
      <c r="D14" s="54">
        <v>0.43038927098300001</v>
      </c>
      <c r="E14" s="54">
        <v>0.43038927098300001</v>
      </c>
      <c r="F14" s="54">
        <v>0.31946844869300001</v>
      </c>
      <c r="G14" s="54">
        <v>0.31946844869300001</v>
      </c>
      <c r="H14" s="45">
        <v>0.27</v>
      </c>
      <c r="I14" s="55">
        <v>0.27</v>
      </c>
      <c r="J14" s="55">
        <v>0.27</v>
      </c>
      <c r="K14" s="55">
        <v>0.27</v>
      </c>
      <c r="L14" s="45">
        <v>0.224</v>
      </c>
      <c r="M14" s="55">
        <v>0.224</v>
      </c>
      <c r="N14" s="55">
        <v>0.224</v>
      </c>
      <c r="O14" s="55">
        <v>0.224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0.25399260810241903</v>
      </c>
      <c r="D15" s="52">
        <f t="shared" si="0"/>
        <v>0.23914665920024594</v>
      </c>
      <c r="E15" s="52">
        <f t="shared" si="0"/>
        <v>0.23914665920024594</v>
      </c>
      <c r="F15" s="52">
        <f t="shared" si="0"/>
        <v>0.17751328245316286</v>
      </c>
      <c r="G15" s="52">
        <f t="shared" si="0"/>
        <v>0.17751328245316286</v>
      </c>
      <c r="H15" s="52">
        <f t="shared" si="0"/>
        <v>0.15002604000000003</v>
      </c>
      <c r="I15" s="52">
        <f t="shared" si="0"/>
        <v>0.15002604000000003</v>
      </c>
      <c r="J15" s="52">
        <f t="shared" si="0"/>
        <v>0.15002604000000003</v>
      </c>
      <c r="K15" s="52">
        <f t="shared" si="0"/>
        <v>0.15002604000000003</v>
      </c>
      <c r="L15" s="52">
        <f t="shared" si="0"/>
        <v>0.12446604800000001</v>
      </c>
      <c r="M15" s="52">
        <f t="shared" si="0"/>
        <v>0.12446604800000001</v>
      </c>
      <c r="N15" s="52">
        <f t="shared" si="0"/>
        <v>0.12446604800000001</v>
      </c>
      <c r="O15" s="52">
        <f t="shared" si="0"/>
        <v>0.12446604800000001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zqC3itbC0LVKf0c+UP1lpDgLaazku1CsaklwWDYAdduE55VeZyWA6gijktrg+in7F3FSkImhca1KXsKidXGHQ==" saltValue="dAUtUbJkPS6HAjoEAfGt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0.4584897</v>
      </c>
      <c r="D2" s="53">
        <v>0.17920549999999999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0.1811017</v>
      </c>
      <c r="D3" s="53">
        <v>0.18662980000000001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0.27453680000000003</v>
      </c>
      <c r="D4" s="53">
        <v>0.54415389999999997</v>
      </c>
      <c r="E4" s="53">
        <v>0.69400049999999991</v>
      </c>
      <c r="F4" s="53">
        <v>0.37669950000000002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8.5871799999999943E-2</v>
      </c>
      <c r="D5" s="52">
        <f t="shared" si="0"/>
        <v>9.0010800000000057E-2</v>
      </c>
      <c r="E5" s="52">
        <f>1-SUM(E2:E4)</f>
        <v>0.30599950000000009</v>
      </c>
      <c r="F5" s="52">
        <f>1-SUM(F2:F4)</f>
        <v>0.62330050000000004</v>
      </c>
      <c r="G5" s="52">
        <f>1-SUM(G2:G4)</f>
        <v>1</v>
      </c>
    </row>
  </sheetData>
  <sheetProtection algorithmName="SHA-512" hashValue="nrzjjS2KAfcAkbEcrZZ1GcIJ+LgXd2yMuyb0kY5i4zclWaYKpAH8ajqx7q/E5TMufY6B04if1CvWZxBM0oQbIw==" saltValue="lC5hueKhC1aqpb6hAZne2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a3XDdoax4itBrb35P22qW5oHMVlo+uf7EKZ6OJl288oNtl7nK0EuTtXiUJdgkSy0Jmg4wAvuBGK1tiRB+mnRA==" saltValue="/DMqfkRIiEwo6PFeLxbq9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6047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0.53713999999999995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0.64080000000000004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1.6430340149821501E-2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98601.419959999999</v>
      </c>
      <c r="C22" s="107">
        <v>98478.629799999995</v>
      </c>
      <c r="D22" s="107">
        <v>98329.648759999996</v>
      </c>
      <c r="E22" s="107">
        <v>98143.708140000002</v>
      </c>
      <c r="F22" s="107">
        <v>97800.862129999994</v>
      </c>
      <c r="G22" s="107">
        <v>97316.469769999996</v>
      </c>
      <c r="H22" s="107">
        <v>96617.720279999994</v>
      </c>
      <c r="I22" s="107">
        <v>95702.277889999998</v>
      </c>
      <c r="J22" s="107">
        <v>94457.786600000007</v>
      </c>
      <c r="K22" s="107">
        <v>92656.658559999996</v>
      </c>
      <c r="L22" s="107">
        <v>90142.07415</v>
      </c>
      <c r="M22" s="107">
        <v>86453.709839999996</v>
      </c>
      <c r="N22" s="107">
        <v>81071.1342</v>
      </c>
      <c r="O22" s="107">
        <v>73457.133719999998</v>
      </c>
    </row>
  </sheetData>
  <sheetProtection algorithmName="SHA-512" hashValue="s0OOfgAwX7PDUlLU5JhtL1p8MMWa5Sw2BNf6Sa1ph8hTnt0oBRZndRsm812I4sMnHN5VzeLnJgmXDkk/3Oq4ag==" saltValue="CG+z6ORXhGZhgjMSc6WiK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b8hwRK23jFm1CRbJ/I3sSckkCl8ihHBttSanTK4YBvY0SKoqcogy0vuVK6SRgbnSscwF7eGQb3+dLyF/1JaGSw==" saltValue="A75c+Yf57ugjZsdLG3sY6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KLkPXY87queNpei7tSlqiwVUoe/m0K5JIZ16Tk5s733sSUPXb8wYtWdAb9E9DeuscY0fRMI5L4PqDqPviVCvrQ==" saltValue="y+6g9LJUwp/VjC7y8A0Dv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0.32855565777368906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13.117446486760061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13.117446486760061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13.117446486760061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13.117446486760061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13.117446486760061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13.117446486760061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0.35908333333333298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0.17920549999999999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0.17920549999999999</v>
      </c>
      <c r="C19" s="96">
        <v>0.95</v>
      </c>
      <c r="D19" s="56">
        <v>11.224756739744929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4.3451295640787793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0.90661800413877003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0.64137739999999999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</v>
      </c>
      <c r="C29" s="96">
        <v>0.95</v>
      </c>
      <c r="D29" s="56">
        <v>124.34168065842491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0.66647509999999999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0.28231899999999999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3.5551399999999997E-2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0.83723100000000006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gDgM6cFOefQzZMZgSpO+3Cm0vYzSGY+RO9D39p+M9MByTUYzGn5SVrfgFVLSQ5l/O0xtGQ6jPoPMwVvffpz+XQ==" saltValue="JrVo8vxL8a2u8kPRv/Xe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JwmVKRRV3RPxKs08EVvOkCUZC5QRE9cxMYSl9H+1COhJUsNEJ4Mk49VnRbQ5b2dcjQjtTVrY+b55hLDLBsNEaQ==" saltValue="QMT2kIqq+B6yypcJ8Giw/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5X+KMbuUwTWcVidBvzP/wkA4SgHfASFm5L4FT5/ruv82GOtOB6vcolePGe2r5mWfO/2ZvG+7XeIZBbUU4nY1pQ==" saltValue="sdB0/U+rWaa7ePQnG+MYN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237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IW9efmW2umUuzG22g2O9uVeWZlumxiGTvt53ji6gqCFxRufEZVSHzMaPaJ19X8wT3nYEQv9/Kb3oYyIwUmqbXw==" saltValue="BXfp9MrnZL/d7nAFAvdXL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1.7000000000000001E-2</v>
      </c>
      <c r="F2" s="60">
        <f>food_insecure</f>
        <v>1.7000000000000001E-2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1.7000000000000001E-2</v>
      </c>
      <c r="I15" s="60">
        <f t="shared" si="0"/>
        <v>1.7000000000000001E-2</v>
      </c>
      <c r="J15" s="60">
        <f t="shared" si="0"/>
        <v>1.7000000000000001E-2</v>
      </c>
      <c r="K15" s="60">
        <f t="shared" si="0"/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1.7000000000000001E-2</v>
      </c>
      <c r="I16" s="60">
        <f t="shared" si="0"/>
        <v>1.7000000000000001E-2</v>
      </c>
      <c r="J16" s="60">
        <f t="shared" si="0"/>
        <v>1.7000000000000001E-2</v>
      </c>
      <c r="K16" s="60">
        <f t="shared" si="0"/>
        <v>1.7000000000000001E-2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0.17100000000000001</v>
      </c>
      <c r="M24" s="60">
        <f>famplan_unmet_need</f>
        <v>0.17100000000000001</v>
      </c>
      <c r="N24" s="60">
        <f>famplan_unmet_need</f>
        <v>0.17100000000000001</v>
      </c>
      <c r="O24" s="60">
        <f>famplan_unmet_need</f>
        <v>0.17100000000000001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0.11162494950408915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4.7839264073181065E-2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6.6694081100463751E-2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0.77384170532226604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36v7krEA71ZKLtk7qDgi8IwrO044AcX5HZRUsa58oZjedITNhxjXlcNH8Dzi2JiKlEVDuh2nZVHS7lcGc4bEw==" saltValue="x4Fv1+l7GiX8nf6Z2E4T2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Rq4lEE4Jbv2tkdlvPpt+2xeQOGPKpiO/zQ4JV9aKyt7arpujUP+Mlwq1m1O0vVvDuT8WVWYasEduJnKL3CidHA==" saltValue="HPXx5uiwec4I3qHn3xAQN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dJpC7h/8p7imT4LxkxhAvV2xmU681c1xgH0totck53+oDDBeoNhzqfKV4y05ddop7lFbj0xKyR6KBDJcioO2w==" saltValue="xZZ0s1IgiWykLkvWHL0NB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dWO14E3BOzxjO1pZtZNataYafG2V5JUj3mTNl7zqXvM4SG1NhmAtFFDadSwVjE4t5MmelpKIXoOdjjzqU7xJA==" saltValue="Hln7lgVcFlJ69td458fgY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nXon/n2qQIfHrfATH8wnCRfPIxCzuXRVN3vs9Vj5/zWN7Pg89mM3Mzd5wL0i1Fw1JZGHoWQ7iXYwTAgxE9RkGg==" saltValue="10Du3XFS3mIdh0GVvnKB6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chkIULD0x3V0wsIE/5PxZyyNfw/8PKGFF9Hno05ssHbC4/Uzv2AdndePYhcCi6eA8Ax6sk2Xj0YW5OYRx8gj2g==" saltValue="u/I/mKmSkiO1T4wT91k8e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Egt5qptzuyVA64eqta7M+u0TfNIPQumpAkUrxctFk8FRZ8xRM1bLRc/ZibdjOlnW5MVa0/TweieW6YktZmhvkg==" saltValue="scDZqn9A5aWUTelNnSzHS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Wmnhvsae+EKTJixgBtqKaUc55Zgt78o6z9E081qBTOFY9VgwNRw90771uwh1mG8cYzMiHkFIwv7wWeA77Wykqw==" saltValue="VGkxaN5NsSdi+48NI5dg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VoIO56gboWvVqDljDf6n3Xz13gSIP+9CGRFLDMccv58meBji4mdxeALNZ+2uVPxzvlEFpA4oxQjXNSKdGidt3g==" saltValue="o/nlyYjbgmK95d6wu9uA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Rygtpa7Hz8rhWOqojkzu1qCU4B1jK0J3TSF7ycif/XTpQgpJmxH0xOTCLvpQMTaWL+6ooFHM3G0FAvolnqnIQ==" saltValue="AmHxHun1MfUNLqAwmQTA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SXZxB79sGjHmEMfuA0T7kYPxAcsqm9sZqCIt1VWwH2xUuASxzOuJhxj3mDGelHCFWQT21sOmljUvN1JdfqjnA==" saltValue="zi+l7SnL0nNF1/TPsTCa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oQ+HwDarJM4OUs2jhhMfEWd/ujncgHg3Wl2Cu+SO2M13uvTa9RX9+Qo5Bw5F7YTZaO6xm6tS2dm9Hhje794AQ==" saltValue="7EwLGpFsU3FI+WIAykTf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DV/PKNgmXb0nuEEsLsrwKiGinDykPI3/N5hLeXMW1bHBBP9pjnyIoiSz1yVUPD6L7OeuuYIrE79B9GoDEdzvg==" saltValue="kBYG/5frOkmuWcNc4Ltpy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+xokg98yZIAVGHEN7VpYrvj0SE3a6iWQa9+9kEhcOSEvysTqJB2Wf2Zhs9+7E88PZI+Dm5DZlApTRDfCn4tj/g==" saltValue="1UzD/goeAwe6wEkOypE4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jSRHxob8DtyLO9jUCYH+SLN182dv70Ia9GJM7G3K34gBWpE7J5S0nqfqGNBW+xkV1JcOPZGJvAPCpgGPVU9ghA==" saltValue="46+fzQDmCJizeTMvRzZqm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2026-04-29T05:57:17Z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