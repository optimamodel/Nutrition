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F3FCC0B4-89D1-4EB8-AB92-A3FBF068371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A29" i="2"/>
  <c r="A20" i="2"/>
  <c r="H13" i="2"/>
  <c r="G13" i="2"/>
  <c r="I13" i="2" s="1"/>
  <c r="H12" i="2"/>
  <c r="G12" i="2"/>
  <c r="H11" i="2"/>
  <c r="G11" i="2"/>
  <c r="I11" i="2" s="1"/>
  <c r="H10" i="2"/>
  <c r="G10" i="2"/>
  <c r="I10" i="2" s="1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I5" i="2" s="1"/>
  <c r="H4" i="2"/>
  <c r="G4" i="2"/>
  <c r="H3" i="2"/>
  <c r="G3" i="2"/>
  <c r="I3" i="2" s="1"/>
  <c r="H2" i="2"/>
  <c r="G2" i="2"/>
  <c r="I2" i="2" s="1"/>
  <c r="A2" i="2"/>
  <c r="A40" i="2" s="1"/>
  <c r="C33" i="1"/>
  <c r="C20" i="1"/>
  <c r="A39" i="2" l="1"/>
  <c r="A15" i="2"/>
  <c r="A24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6" i="2"/>
  <c r="A25" i="2"/>
  <c r="A34" i="2"/>
  <c r="A21" i="2"/>
  <c r="A31" i="2"/>
  <c r="A23" i="2"/>
  <c r="A32" i="2"/>
  <c r="A17" i="2"/>
  <c r="A26" i="2"/>
  <c r="A35" i="2"/>
  <c r="A18" i="2"/>
  <c r="A27" i="2"/>
  <c r="A36" i="2"/>
  <c r="I4" i="2"/>
  <c r="I8" i="2"/>
  <c r="I12" i="2"/>
  <c r="A19" i="2"/>
  <c r="A28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<sst xmlns="http://schemas.openxmlformats.org/spreadsheetml/2006/main" count="2101" uniqueCount="337">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</sst>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160282.8125</v>
      </c>
    </row>
    <row r="8" spans="1:3" ht="15" customHeight="1" x14ac:dyDescent="0.25">
      <c r="B8" s="5" t="s">
        <v>19</v>
      </c>
      <c r="C8" s="44">
        <v>1.7000000000000001E-2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0.77384170532226604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0.17100000000000001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0.13569999999999999</v>
      </c>
    </row>
    <row r="24" spans="1:3" ht="15" customHeight="1" x14ac:dyDescent="0.25">
      <c r="B24" s="15" t="s">
        <v>33</v>
      </c>
      <c r="C24" s="45">
        <v>0.52159999999999995</v>
      </c>
    </row>
    <row r="25" spans="1:3" ht="15" customHeight="1" x14ac:dyDescent="0.25">
      <c r="B25" s="15" t="s">
        <v>34</v>
      </c>
      <c r="C25" s="45">
        <v>0.31040000000000001</v>
      </c>
    </row>
    <row r="26" spans="1:3" ht="15" customHeight="1" x14ac:dyDescent="0.25">
      <c r="B26" s="15" t="s">
        <v>35</v>
      </c>
      <c r="C26" s="45">
        <v>3.2300000000000002E-2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0.38027698235904311</v>
      </c>
    </row>
    <row r="30" spans="1:3" ht="14.25" customHeight="1" x14ac:dyDescent="0.25">
      <c r="B30" s="25" t="s">
        <v>38</v>
      </c>
      <c r="C30" s="99">
        <v>5.4660418264349912E-2</v>
      </c>
    </row>
    <row r="31" spans="1:3" ht="14.25" customHeight="1" x14ac:dyDescent="0.25">
      <c r="B31" s="25" t="s">
        <v>39</v>
      </c>
      <c r="C31" s="99">
        <v>6.1967733026657798E-2</v>
      </c>
    </row>
    <row r="32" spans="1:3" ht="14.25" customHeight="1" x14ac:dyDescent="0.25">
      <c r="B32" s="25" t="s">
        <v>40</v>
      </c>
      <c r="C32" s="99">
        <v>0.50309486634994893</v>
      </c>
    </row>
    <row r="33" spans="1:5" ht="13" customHeight="1" x14ac:dyDescent="0.25">
      <c r="B33" s="27" t="s">
        <v>41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10.305669999999999</v>
      </c>
    </row>
    <row r="38" spans="1:5" ht="15" customHeight="1" x14ac:dyDescent="0.25">
      <c r="B38" s="11" t="s">
        <v>45</v>
      </c>
      <c r="C38" s="43">
        <v>10.669549999999999</v>
      </c>
      <c r="D38" s="12"/>
      <c r="E38" s="13"/>
    </row>
    <row r="39" spans="1:5" ht="15" customHeight="1" x14ac:dyDescent="0.25">
      <c r="B39" s="11" t="s">
        <v>46</v>
      </c>
      <c r="C39" s="43">
        <v>12.398630000000001</v>
      </c>
      <c r="D39" s="12"/>
      <c r="E39" s="12"/>
    </row>
    <row r="40" spans="1:5" ht="15" customHeight="1" x14ac:dyDescent="0.25">
      <c r="B40" s="11" t="s">
        <v>47</v>
      </c>
      <c r="C40" s="100">
        <v>0.99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14.36375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7.1923999999999998E-3</v>
      </c>
      <c r="D45" s="12"/>
    </row>
    <row r="46" spans="1:5" ht="15.75" customHeight="1" x14ac:dyDescent="0.25">
      <c r="B46" s="11" t="s">
        <v>52</v>
      </c>
      <c r="C46" s="45">
        <v>7.7281600000000006E-2</v>
      </c>
      <c r="D46" s="12"/>
    </row>
    <row r="47" spans="1:5" ht="15.75" customHeight="1" x14ac:dyDescent="0.25">
      <c r="B47" s="11" t="s">
        <v>53</v>
      </c>
      <c r="C47" s="45">
        <v>7.4161099999999994E-2</v>
      </c>
      <c r="D47" s="12"/>
      <c r="E47" s="13"/>
    </row>
    <row r="48" spans="1:5" ht="15" customHeight="1" x14ac:dyDescent="0.25">
      <c r="B48" s="11" t="s">
        <v>54</v>
      </c>
      <c r="C48" s="46">
        <v>0.84136489999999997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0.55565200000000003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0.14582914999999999</v>
      </c>
    </row>
    <row r="63" spans="1:4" ht="15.75" customHeight="1" x14ac:dyDescent="0.3">
      <c r="A63" s="4"/>
    </row>
  </sheetData>
  <sheetProtection algorithmName="SHA-512" hashValue="KYmlAiTvvhPo2Eiv/m0Nqe2MHqKHirjfe7ZP0UmBKKKjsoYwaRn21snHLiWycibcpd7/pdUJATDAxDiUkZzN1g==" saltValue="wQQc4PrH0palIvs0yb2V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31863</v>
      </c>
      <c r="C2" s="49">
        <v>127765</v>
      </c>
      <c r="D2" s="49">
        <v>236714</v>
      </c>
      <c r="E2" s="49">
        <v>247166.5</v>
      </c>
      <c r="F2" s="49">
        <v>175535</v>
      </c>
      <c r="G2" s="17">
        <f t="shared" ref="G2:G13" si="0">C2+D2+E2+F2</f>
        <v>787180.5</v>
      </c>
      <c r="H2" s="17">
        <f t="shared" ref="H2:H13" si="1">(B2 + stillbirth*B2/(1000-stillbirth))/(1-abortion)</f>
        <v>36735.615746127994</v>
      </c>
      <c r="I2" s="17">
        <f t="shared" ref="I2:I13" si="2">G2-H2</f>
        <v>750444.88425387198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31494</v>
      </c>
      <c r="C3" s="50">
        <v>124538</v>
      </c>
      <c r="D3" s="50">
        <v>230125.5</v>
      </c>
      <c r="E3" s="50">
        <v>248717.5</v>
      </c>
      <c r="F3" s="50">
        <v>179905</v>
      </c>
      <c r="G3" s="17">
        <f t="shared" si="0"/>
        <v>783286</v>
      </c>
      <c r="H3" s="17">
        <f t="shared" si="1"/>
        <v>36310.186809420171</v>
      </c>
      <c r="I3" s="17">
        <f t="shared" si="2"/>
        <v>746975.81319057988</v>
      </c>
    </row>
    <row r="4" spans="1:9" ht="15.75" customHeight="1" x14ac:dyDescent="0.25">
      <c r="A4" s="5">
        <f t="shared" si="3"/>
        <v>2026</v>
      </c>
      <c r="B4" s="49">
        <v>31067</v>
      </c>
      <c r="C4" s="50">
        <v>121425.5</v>
      </c>
      <c r="D4" s="50">
        <v>224430</v>
      </c>
      <c r="E4" s="50">
        <v>248905</v>
      </c>
      <c r="F4" s="50">
        <v>184844.5</v>
      </c>
      <c r="G4" s="17">
        <f t="shared" si="0"/>
        <v>779605</v>
      </c>
      <c r="H4" s="17">
        <f t="shared" si="1"/>
        <v>35817.888283744731</v>
      </c>
      <c r="I4" s="17">
        <f t="shared" si="2"/>
        <v>743787.11171625531</v>
      </c>
    </row>
    <row r="5" spans="1:9" ht="15.75" customHeight="1" x14ac:dyDescent="0.25">
      <c r="A5" s="5">
        <f t="shared" si="3"/>
        <v>2027</v>
      </c>
      <c r="B5" s="49">
        <v>30866</v>
      </c>
      <c r="C5" s="50">
        <v>118713</v>
      </c>
      <c r="D5" s="50">
        <v>218849.5</v>
      </c>
      <c r="E5" s="50">
        <v>248014.5</v>
      </c>
      <c r="F5" s="50">
        <v>189791</v>
      </c>
      <c r="G5" s="17">
        <f t="shared" si="0"/>
        <v>775368</v>
      </c>
      <c r="H5" s="17">
        <f t="shared" si="1"/>
        <v>35586.150570253478</v>
      </c>
      <c r="I5" s="17">
        <f t="shared" si="2"/>
        <v>739781.84942974651</v>
      </c>
    </row>
    <row r="6" spans="1:9" ht="15.75" customHeight="1" x14ac:dyDescent="0.25">
      <c r="A6" s="5">
        <f t="shared" si="3"/>
        <v>2028</v>
      </c>
      <c r="B6" s="49">
        <v>30386</v>
      </c>
      <c r="C6" s="50">
        <v>116270</v>
      </c>
      <c r="D6" s="50">
        <v>212576</v>
      </c>
      <c r="E6" s="50">
        <v>246826.5</v>
      </c>
      <c r="F6" s="50">
        <v>194311</v>
      </c>
      <c r="G6" s="17">
        <f t="shared" si="0"/>
        <v>769983.5</v>
      </c>
      <c r="H6" s="17">
        <f t="shared" si="1"/>
        <v>35032.747075348998</v>
      </c>
      <c r="I6" s="17">
        <f t="shared" si="2"/>
        <v>734950.75292465102</v>
      </c>
    </row>
    <row r="7" spans="1:9" ht="15.75" customHeight="1" x14ac:dyDescent="0.25">
      <c r="A7" s="5">
        <f t="shared" si="3"/>
        <v>2029</v>
      </c>
      <c r="B7" s="49">
        <v>29993</v>
      </c>
      <c r="C7" s="50">
        <v>113733.5</v>
      </c>
      <c r="D7" s="50">
        <v>207100</v>
      </c>
      <c r="E7" s="50">
        <v>244726.5</v>
      </c>
      <c r="F7" s="50">
        <v>198429.5</v>
      </c>
      <c r="G7" s="17">
        <f t="shared" si="0"/>
        <v>763989.5</v>
      </c>
      <c r="H7" s="17">
        <f t="shared" si="1"/>
        <v>34579.647963895957</v>
      </c>
      <c r="I7" s="17">
        <f t="shared" si="2"/>
        <v>729409.85203610407</v>
      </c>
    </row>
    <row r="8" spans="1:9" ht="15.75" customHeight="1" x14ac:dyDescent="0.25">
      <c r="A8" s="5">
        <f t="shared" si="3"/>
        <v>2030</v>
      </c>
      <c r="B8" s="49">
        <v>29545</v>
      </c>
      <c r="C8" s="50">
        <v>111636.5</v>
      </c>
      <c r="D8" s="50">
        <v>202776</v>
      </c>
      <c r="E8" s="50">
        <v>241240</v>
      </c>
      <c r="F8" s="50">
        <v>201918</v>
      </c>
      <c r="G8" s="17">
        <f t="shared" si="0"/>
        <v>757570.5</v>
      </c>
      <c r="H8" s="17">
        <f t="shared" si="1"/>
        <v>34063.138035318443</v>
      </c>
      <c r="I8" s="17">
        <f t="shared" si="2"/>
        <v>723507.36196468154</v>
      </c>
    </row>
    <row r="9" spans="1:9" ht="15.75" customHeight="1" x14ac:dyDescent="0.25">
      <c r="A9" s="5">
        <f t="shared" si="3"/>
        <v>2031</v>
      </c>
      <c r="B9" s="49">
        <v>29150</v>
      </c>
      <c r="C9" s="50">
        <v>109273</v>
      </c>
      <c r="D9" s="50">
        <v>199149</v>
      </c>
      <c r="E9" s="50">
        <v>236481.5</v>
      </c>
      <c r="F9" s="50">
        <v>204273.5</v>
      </c>
      <c r="G9" s="17">
        <f t="shared" si="0"/>
        <v>749177</v>
      </c>
      <c r="H9" s="17">
        <f t="shared" si="1"/>
        <v>33607.733075969962</v>
      </c>
      <c r="I9" s="17">
        <f t="shared" si="2"/>
        <v>715569.26692403003</v>
      </c>
    </row>
    <row r="10" spans="1:9" ht="15.75" customHeight="1" x14ac:dyDescent="0.25">
      <c r="A10" s="5">
        <f t="shared" si="3"/>
        <v>2032</v>
      </c>
      <c r="B10" s="49">
        <v>28563</v>
      </c>
      <c r="C10" s="50">
        <v>106180</v>
      </c>
      <c r="D10" s="50">
        <v>195647.5</v>
      </c>
      <c r="E10" s="50">
        <v>230749.5</v>
      </c>
      <c r="F10" s="50">
        <v>206015</v>
      </c>
      <c r="G10" s="17">
        <f t="shared" si="0"/>
        <v>738592</v>
      </c>
      <c r="H10" s="17">
        <f t="shared" si="1"/>
        <v>32930.966718659693</v>
      </c>
      <c r="I10" s="17">
        <f t="shared" si="2"/>
        <v>705661.03328134026</v>
      </c>
    </row>
    <row r="11" spans="1:9" ht="15.75" customHeight="1" x14ac:dyDescent="0.25">
      <c r="A11" s="5">
        <f t="shared" si="3"/>
        <v>2033</v>
      </c>
      <c r="B11" s="49">
        <v>28063</v>
      </c>
      <c r="C11" s="50">
        <v>102982.5</v>
      </c>
      <c r="D11" s="50">
        <v>191853</v>
      </c>
      <c r="E11" s="50">
        <v>224427</v>
      </c>
      <c r="F11" s="50">
        <v>207960.5</v>
      </c>
      <c r="G11" s="17">
        <f t="shared" si="0"/>
        <v>727223</v>
      </c>
      <c r="H11" s="17">
        <f t="shared" si="1"/>
        <v>32354.504744800859</v>
      </c>
      <c r="I11" s="17">
        <f t="shared" si="2"/>
        <v>694868.49525519914</v>
      </c>
    </row>
    <row r="12" spans="1:9" ht="15.75" customHeight="1" x14ac:dyDescent="0.25">
      <c r="A12" s="5">
        <f t="shared" si="3"/>
        <v>2034</v>
      </c>
      <c r="B12" s="49">
        <v>27567</v>
      </c>
      <c r="C12" s="50">
        <v>100164</v>
      </c>
      <c r="D12" s="50">
        <v>187381.5</v>
      </c>
      <c r="E12" s="50">
        <v>217974.5</v>
      </c>
      <c r="F12" s="50">
        <v>209907.5</v>
      </c>
      <c r="G12" s="17">
        <f t="shared" si="0"/>
        <v>715427.5</v>
      </c>
      <c r="H12" s="17">
        <f t="shared" si="1"/>
        <v>31782.654466732896</v>
      </c>
      <c r="I12" s="17">
        <f t="shared" si="2"/>
        <v>683644.84553326713</v>
      </c>
    </row>
    <row r="13" spans="1:9" ht="15.75" customHeight="1" x14ac:dyDescent="0.25">
      <c r="A13" s="5">
        <f t="shared" si="3"/>
        <v>2035</v>
      </c>
      <c r="B13" s="49">
        <v>26881</v>
      </c>
      <c r="C13" s="50">
        <v>97352</v>
      </c>
      <c r="D13" s="50">
        <v>182937</v>
      </c>
      <c r="E13" s="50">
        <v>211461</v>
      </c>
      <c r="F13" s="50">
        <v>211633.5</v>
      </c>
      <c r="G13" s="17">
        <f t="shared" si="0"/>
        <v>703383.5</v>
      </c>
      <c r="H13" s="17">
        <f t="shared" si="1"/>
        <v>30991.748638598579</v>
      </c>
      <c r="I13" s="17">
        <f t="shared" si="2"/>
        <v>672391.7513614014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Dfu+b5i2HPUPfWuPJQJWjgxmBEgluU0Q8WdNclieQaqaZ6iI8iAYO7RWQkgUvklakFU1MJYyiUTkhhFrc67Pg==" saltValue="m1iyipFRDFslRo0/D1JTp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0.13613760000000011</v>
      </c>
    </row>
    <row r="5" spans="1:8" ht="15.75" customHeight="1" x14ac:dyDescent="0.25">
      <c r="B5" s="19" t="s">
        <v>80</v>
      </c>
      <c r="C5" s="101">
        <v>2.9634100000000021E-2</v>
      </c>
    </row>
    <row r="6" spans="1:8" ht="15.75" customHeight="1" x14ac:dyDescent="0.25">
      <c r="B6" s="19" t="s">
        <v>81</v>
      </c>
      <c r="C6" s="101">
        <v>0.18144859999999971</v>
      </c>
    </row>
    <row r="7" spans="1:8" ht="15.75" customHeight="1" x14ac:dyDescent="0.25">
      <c r="B7" s="19" t="s">
        <v>82</v>
      </c>
      <c r="C7" s="101">
        <v>0.45895330000000018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0.1178047999999999</v>
      </c>
    </row>
    <row r="10" spans="1:8" ht="15.75" customHeight="1" x14ac:dyDescent="0.25">
      <c r="B10" s="19" t="s">
        <v>85</v>
      </c>
      <c r="C10" s="101">
        <v>7.6021599999999911E-2</v>
      </c>
    </row>
    <row r="11" spans="1:8" ht="15.75" customHeight="1" x14ac:dyDescent="0.25">
      <c r="B11" s="27" t="s">
        <v>41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0.18295444305434169</v>
      </c>
      <c r="D14" s="55">
        <v>0.18295444305434169</v>
      </c>
      <c r="E14" s="55">
        <v>0.18295444305434169</v>
      </c>
      <c r="F14" s="55">
        <v>0.18295444305434169</v>
      </c>
    </row>
    <row r="15" spans="1:8" ht="15.75" customHeight="1" x14ac:dyDescent="0.25">
      <c r="B15" s="19" t="s">
        <v>88</v>
      </c>
      <c r="C15" s="101">
        <v>0.34734263374847879</v>
      </c>
      <c r="D15" s="101">
        <v>0.34734263374847879</v>
      </c>
      <c r="E15" s="101">
        <v>0.34734263374847879</v>
      </c>
      <c r="F15" s="101">
        <v>0.34734263374847879</v>
      </c>
    </row>
    <row r="16" spans="1:8" ht="15.75" customHeight="1" x14ac:dyDescent="0.25">
      <c r="B16" s="19" t="s">
        <v>89</v>
      </c>
      <c r="C16" s="101">
        <v>3.7147698052948298E-2</v>
      </c>
      <c r="D16" s="101">
        <v>3.7147698052948298E-2</v>
      </c>
      <c r="E16" s="101">
        <v>3.7147698052948298E-2</v>
      </c>
      <c r="F16" s="101">
        <v>3.7147698052948298E-2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0.17484696646779091</v>
      </c>
      <c r="D19" s="101">
        <v>0.17484696646779091</v>
      </c>
      <c r="E19" s="101">
        <v>0.17484696646779091</v>
      </c>
      <c r="F19" s="101">
        <v>0.17484696646779091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0.12466024564999149</v>
      </c>
      <c r="D21" s="101">
        <v>0.12466024564999149</v>
      </c>
      <c r="E21" s="101">
        <v>0.12466024564999149</v>
      </c>
      <c r="F21" s="101">
        <v>0.12466024564999149</v>
      </c>
    </row>
    <row r="22" spans="1:8" ht="15.75" customHeight="1" x14ac:dyDescent="0.25">
      <c r="B22" s="19" t="s">
        <v>95</v>
      </c>
      <c r="C22" s="101">
        <v>0.1330480130264487</v>
      </c>
      <c r="D22" s="101">
        <v>0.1330480130264487</v>
      </c>
      <c r="E22" s="101">
        <v>0.1330480130264487</v>
      </c>
      <c r="F22" s="101">
        <v>0.1330480130264487</v>
      </c>
    </row>
    <row r="23" spans="1:8" ht="15.75" customHeight="1" x14ac:dyDescent="0.25">
      <c r="B23" s="27" t="s">
        <v>41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2.9141097000000001E-2</v>
      </c>
    </row>
    <row r="27" spans="1:8" ht="15.75" customHeight="1" x14ac:dyDescent="0.25">
      <c r="B27" s="19" t="s">
        <v>102</v>
      </c>
      <c r="C27" s="101">
        <v>1.0659604E-2</v>
      </c>
    </row>
    <row r="28" spans="1:8" ht="15.75" customHeight="1" x14ac:dyDescent="0.25">
      <c r="B28" s="19" t="s">
        <v>103</v>
      </c>
      <c r="C28" s="101">
        <v>5.3942014000000003E-2</v>
      </c>
    </row>
    <row r="29" spans="1:8" ht="15.75" customHeight="1" x14ac:dyDescent="0.25">
      <c r="B29" s="19" t="s">
        <v>104</v>
      </c>
      <c r="C29" s="101">
        <v>0.132460157</v>
      </c>
    </row>
    <row r="30" spans="1:8" ht="15.75" customHeight="1" x14ac:dyDescent="0.25">
      <c r="B30" s="19" t="s">
        <v>2</v>
      </c>
      <c r="C30" s="101">
        <v>4.2099428000000001E-2</v>
      </c>
    </row>
    <row r="31" spans="1:8" ht="15.75" customHeight="1" x14ac:dyDescent="0.25">
      <c r="B31" s="19" t="s">
        <v>105</v>
      </c>
      <c r="C31" s="101">
        <v>9.6696056000000002E-2</v>
      </c>
    </row>
    <row r="32" spans="1:8" ht="15.75" customHeight="1" x14ac:dyDescent="0.25">
      <c r="B32" s="19" t="s">
        <v>106</v>
      </c>
      <c r="C32" s="101">
        <v>6.3757143000000002E-2</v>
      </c>
    </row>
    <row r="33" spans="2:3" ht="15.75" customHeight="1" x14ac:dyDescent="0.25">
      <c r="B33" s="19" t="s">
        <v>107</v>
      </c>
      <c r="C33" s="101">
        <v>0.12090500699999999</v>
      </c>
    </row>
    <row r="34" spans="2:3" ht="15.75" customHeight="1" x14ac:dyDescent="0.25">
      <c r="B34" s="19" t="s">
        <v>108</v>
      </c>
      <c r="C34" s="101">
        <v>0.45033949200000001</v>
      </c>
    </row>
    <row r="35" spans="2:3" ht="15.75" customHeight="1" x14ac:dyDescent="0.25">
      <c r="B35" s="27" t="s">
        <v>41</v>
      </c>
      <c r="C35" s="48">
        <f>SUM(C26:C34)</f>
        <v>0.99999999799999995</v>
      </c>
    </row>
  </sheetData>
  <sheetProtection algorithmName="SHA-512" hashValue="UK1AwdEsOCE9aGRlumqIos/uRRTlJUKmMN85NXau6CT6MOhGmtdyA90EO3jcNePet3A8zMYd2z/6YnFZ1TQd+A==" saltValue="othn412EasTFR/5M1pY3e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114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115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119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120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0.45710734074999998</v>
      </c>
      <c r="D14" s="54">
        <v>0.43038927098300001</v>
      </c>
      <c r="E14" s="54">
        <v>0.43038927098300001</v>
      </c>
      <c r="F14" s="54">
        <v>0.31946844869300001</v>
      </c>
      <c r="G14" s="54">
        <v>0.31946844869300001</v>
      </c>
      <c r="H14" s="45">
        <v>0.27</v>
      </c>
      <c r="I14" s="55">
        <v>0.27</v>
      </c>
      <c r="J14" s="55">
        <v>0.27</v>
      </c>
      <c r="K14" s="55">
        <v>0.27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0.25399260810241903</v>
      </c>
      <c r="D15" s="52">
        <f t="shared" si="0"/>
        <v>0.23914665920024594</v>
      </c>
      <c r="E15" s="52">
        <f t="shared" si="0"/>
        <v>0.23914665920024594</v>
      </c>
      <c r="F15" s="52">
        <f t="shared" si="0"/>
        <v>0.17751328245316286</v>
      </c>
      <c r="G15" s="52">
        <f t="shared" si="0"/>
        <v>0.17751328245316286</v>
      </c>
      <c r="H15" s="52">
        <f t="shared" si="0"/>
        <v>0.15002604000000003</v>
      </c>
      <c r="I15" s="52">
        <f t="shared" si="0"/>
        <v>0.15002604000000003</v>
      </c>
      <c r="J15" s="52">
        <f t="shared" si="0"/>
        <v>0.15002604000000003</v>
      </c>
      <c r="K15" s="52">
        <f t="shared" si="0"/>
        <v>0.15002604000000003</v>
      </c>
      <c r="L15" s="52">
        <f t="shared" si="0"/>
        <v>0.12446604800000001</v>
      </c>
      <c r="M15" s="52">
        <f t="shared" si="0"/>
        <v>0.12446604800000001</v>
      </c>
      <c r="N15" s="52">
        <f t="shared" si="0"/>
        <v>0.12446604800000001</v>
      </c>
      <c r="O15" s="52">
        <f t="shared" si="0"/>
        <v>0.12446604800000001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OZcisjou4FRUCtqNWD1asf4BXytVzT6ABk7Q9tM5PZeerOk/McqbNY+ETidd+RLD608URAO6xmZOpM3MCOmRw==" saltValue="j9gzyZo1iktnTeo/iR6R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0.4584897</v>
      </c>
      <c r="D2" s="53">
        <v>0.17920549999999999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0.1811017</v>
      </c>
      <c r="D3" s="53">
        <v>0.18662980000000001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0.27453680000000003</v>
      </c>
      <c r="D4" s="53">
        <v>0.54415389999999997</v>
      </c>
      <c r="E4" s="53">
        <v>0.69400049999999991</v>
      </c>
      <c r="F4" s="53">
        <v>0.37669950000000002</v>
      </c>
      <c r="G4" s="53">
        <v>0</v>
      </c>
    </row>
    <row r="5" spans="1:7" x14ac:dyDescent="0.25">
      <c r="B5" s="3" t="s">
        <v>132</v>
      </c>
      <c r="C5" s="52">
        <v>8.5871799999999998E-2</v>
      </c>
      <c r="D5" s="52">
        <v>9.0010800000000002E-2</v>
      </c>
      <c r="E5" s="52">
        <f>1-SUM(E2:E4)</f>
        <v>0.30599950000000009</v>
      </c>
      <c r="F5" s="52">
        <f>1-SUM(F2:F4)</f>
        <v>0.62330050000000004</v>
      </c>
      <c r="G5" s="52">
        <f>1-SUM(G2:G4)</f>
        <v>1</v>
      </c>
    </row>
  </sheetData>
  <sheetProtection algorithmName="SHA-512" hashValue="RCeiCRUdWUQwKpUr8swFTCxcNWbGfIs07lY0ciV4L6v12CnLc1h2wGEvTKPrW2kLSyXmW6zL9O8DrxY7x6UW0A==" saltValue="C4whiH3y6wJAB2OmyeppK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bPkocXEhocCdLNEX6FgvUHx+4TdG1dkATcCCns/XADZt5OjrzElhnJupTyUub6vqs8vxzVMZDhsiRbMH6orWA==" saltValue="6qplzD5P1/o4J25fZX81S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AuWVJl0ORzr/3t7tX+Ngm3b0dQY1fJgDclF0HD+zohKdp6PXuh51fLZNdp1S/3cWiBGZafX1acrN4gVhl6Ts3w==" saltValue="FRbfzLSHgJHF98K5dvcJY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N26wuqPiGX6aX9rDOmv7xcLAjZSOGMs/Q4Ew9F7r6of1EdQbbwVhXuRCGo+SO3TQW5bceJ+Qf/BX7AjYV16RSg==" saltValue="O1LxD9T/Cv4cH45GLGB+J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rVV8jUUnKptDvI+VE2r4w3hnMQSqSuGRea1hKQt/DlTfDZr+fsfZebBxz7s1LGOdCVPmt0BAL5NDP2Sk/deNVA==" saltValue="yrnabJMOT+BfDNHsoN0pS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62.714780124614677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39.985147042964151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487.85757913726337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1.737860170244969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13.117446486760061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13.117446486760061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13.117446486760061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13.117446486760061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13.117446486760061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13.117446486760061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0.82421228665541357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0.35908333333333298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0.17920549999999999</v>
      </c>
      <c r="C18" s="98">
        <v>0.95</v>
      </c>
      <c r="D18" s="56">
        <v>11.224756739744929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0.17920549999999999</v>
      </c>
      <c r="C19" s="98">
        <v>0.95</v>
      </c>
      <c r="D19" s="56">
        <v>11.224756739744929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16.982553632802741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22.691717425670902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4.3451295640787793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0.90661800413877003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18.676662605887799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0.64137739999999999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124.34168065842491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0.50502277771952597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1.780535588985835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0.66647509999999999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0.28231899999999999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3.5551399999999997E-2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0.83723100000000006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1.723279552412311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6RqnSAXDskp83RQ3rC48VMORQHM+X7kk1jPUdGcALOyPOkZ8IUtahENDVAwLfXqEMiJIKATgPt2Wj4RzZC9Lhg==" saltValue="6rVyxQlsxXZ/uYd+gdyj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oRBs1//qGmN+IM2DGl0TngdrloSefGGwxCn8UqnxO6GT6xR5ibOOu+/bHiRr2qSb24Z89+RkRQUeJp18OZ1ibQ==" saltValue="QsJXBT6BIVAho70UxfRn2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Q+X2Xs3gkdXgnrHTsv7rjURCCd4fx6UH903SWpjD7Ynl/tFsFHTGnhqDAll5dkWvZMC9c755WFQziy5k4T5Svg==" saltValue="p0nkeT9e+nfgyTpCgJhd0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GWjjzUt9AYDiBr/ZVZCrGW9R0x5kFl2sUu/6qY9O2pLFyJJVoG/z7Sy7+gxkCSMZJxg5ZA2N9bsVyVCqenYTRQ==" saltValue="BnMiKTGODegCnC54RQ0KS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0.17100000000000001</v>
      </c>
      <c r="M24" s="60">
        <f>famplan_unmet_need</f>
        <v>0.17100000000000001</v>
      </c>
      <c r="N24" s="60">
        <f>famplan_unmet_need</f>
        <v>0.17100000000000001</v>
      </c>
      <c r="O24" s="60">
        <f>famplan_unmet_need</f>
        <v>0.17100000000000001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0.11162494950408915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4.7839264073181065E-2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6.6694081100463751E-2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0.77384170532226604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Qbn5yvHV4ih4DgnIXaRqn3Lr1BBW4PJ5fAgaXghghfW/KjE3BniQ67IKGf26xRtJ9ozHWdQA+5R7troVdyuKw==" saltValue="1shyBVUukxci4USrYgunD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2Ve4/diB9mIoonM7rsvBp65m0Jhm9ZUcIu2R8qY8JrugMUkAS6ukb31icTTS4QX0WVFeuF/gemv7wnwT6X1Avw==" saltValue="ln7V/T5LvMhRSX5KuBduJ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eI7fyHWABdoUDnQmdeRE15PwjU5U6J5UDZH2YJmC6/qCI43nmMAAAQmGX7WiudifVIs1BteygpeHs4RB/sK6w==" saltValue="I0hSkMaYKvtFp6gh/WF/g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T7av/aP0ShVUbepUqdFhEy7biQ8v91JbNFO9+fpU/IbP8hJfPPvRjVmDW/7+9B0M6xaXdqs2bpD6uKV6+7UhQ==" saltValue="0rJqXxn7rXep/VMVaTzT7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RprOrs9q/GH+8igtwIoIa+E4jnWBvZLF4xQ5jTQMQlsMWlTqk6MwPYaESVyBu43ooMkNjjl21FhBFihbQX0V6Q==" saltValue="d1cd5PAYSg2d0QEfIvcq0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5igf55H0eRJr/o8H2v51BiGy68MyHF/HUmfFXaopDIGo6IpBIxZOuD88Ufa+DkEVz1UBdhR248DxWCblSlbZGA==" saltValue="fw9z3IgYHRzPi66Wf5IHY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ZA6m11BgsNQi+w7yV0rgjoAMk2stJ26+HoiAm9z85+1AQebcZBXtuwiJp7lhT5THQAKaLczXtS6WK4ci2M9Gpg==" saltValue="+sIHZ9Y7sR5HhgNl/9sff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qhNxnvXKAMAP5Sztzp10oUfHhdEq8ufYec9JZ+dcoNkl3mBj2KjdTVAhQahMtcEFRpvEoMS3ecSviROgEercA==" saltValue="oOT1/lWqPBz9yX60ZkRY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Knb1iwaVDyeMo2HRtA5PqXtvKUaBNgYXINXQl1pjF9QbRJ69nUDB1YKITNVU/62avZN0xevAGwway/IFnOgg==" saltValue="ALeK7qBrbrLxTlZ2ECz9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Wmp2WBRG92/sAEQA957ar8X+annUs1xJGpO92zfiJR4xXekqlRqP4cIpLeAfFaemDh8XBJ93QIi2lhESl3nYNg==" saltValue="ODY6XMEAuK7xzkDeV79s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8wwdZkQzhKNHGuJa8PsQiQlC0GACY09Jzrzp+wNR0fTpiG/q+j9eVgVraVWw0dUi7pmotr9Ajan0iAcB4T1UDQ==" saltValue="pJChRu4pZzYWs3pNjlNV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5JWLCTazpu/1M2KtjJrxY3cS9zGvr6iDP1K6d24aVVYGd7aejQO7wW4fMEoTf8DSrqHN6f/1V1/ECA4gE/wpw==" saltValue="nX6qnbgudHC7zSRPVBD6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jv3j0NQAObYHkvJ+2AKiYpp28x3RnDbRQSH13dvffHNejVpqPtJkbGri8Bfua1RVj8eJdkA7w8XTd1LDWqgoA==" saltValue="vWZjbcTejqyGOMx0e5kSh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0.10893279523983856</v>
      </c>
      <c r="G18" s="90">
        <f>MIN(MAX(1-0.89/(1-frac_sam_12_23months+(frac_sam_12_23months*0.89)),0),1)</f>
        <v>0.1092706246891999</v>
      </c>
      <c r="H18" s="90">
        <f>MIN(MAX(1-0.89/(1-frac_sam_24_59months+(frac_sam_24_59months*0.89)),0),1)</f>
        <v>0.10955189959787226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0.10744200236657098</v>
      </c>
      <c r="G20" s="90">
        <f>MIN(MAX(1-0.89/(1-frac_mam_12_23months+(frac_mam_12_23months*0.89)),0),1)</f>
        <v>0.10830952041594089</v>
      </c>
      <c r="H20" s="90">
        <f>MIN(MAX(1-0.89/(1-frac_mam_24_59months+(frac_mam_24_59months*0.89)),0),1)</f>
        <v>0.10870344317217706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9.8921979322001974E-3</v>
      </c>
      <c r="G73" s="90">
        <f>MIN(MAX(1-0.99/(1-frac_sam_12_23months+(frac_sam_12_23months*0.99)),0),1)</f>
        <v>9.9262978557254078E-3</v>
      </c>
      <c r="H73" s="90">
        <f>MIN(MAX(1-0.99/(1-frac_sam_24_59months+(frac_sam_24_59months*0.99)),0),1)</f>
        <v>9.9547072072605491E-3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9.742000201394041E-3</v>
      </c>
      <c r="G75" s="90">
        <f>MIN(MAX(1-0.99/(1-frac_mam_12_23months+(frac_mam_12_23months*0.99)),0),1)</f>
        <v>9.8293472993712383E-3</v>
      </c>
      <c r="H75" s="90">
        <f>MIN(MAX(1-0.99/(1-frac_mam_24_59months+(frac_mam_24_59months*0.99)),0),1)</f>
        <v>9.8690609233905713E-3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0.19825413228318445</v>
      </c>
      <c r="G128" s="90">
        <f>MIN(MAX(1-0.8/(1-frac_sam_12_23months+(frac_sam_12_23months*0.8)),0),1)</f>
        <v>0.19880716698883183</v>
      </c>
      <c r="H128" s="90">
        <f>MIN(MAX(1-0.8/(1-frac_sam_24_59months+(frac_sam_24_59months*0.8)),0),1)</f>
        <v>0.19926735841604293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0.19580955726063765</v>
      </c>
      <c r="G130" s="90">
        <f>MIN(MAX(1-0.8/(1-frac_mam_12_23months+(frac_mam_12_23months*0.8)),0),1)</f>
        <v>0.19723291392568032</v>
      </c>
      <c r="H130" s="90">
        <f>MIN(MAX(1-0.8/(1-frac_mam_24_59months+(frac_mam_24_59months*0.8)),0),1)</f>
        <v>0.19787848158653454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r2uZ51PB+1I7OSzovhD+b6uqqGsWapDsrjJYuvODCavHOItj+/qvNB2icJrCOCK6M/DFlMxwA1I+w5JTrw2f7Q==" saltValue="hEP2CG09+SVpdqjIU8jT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E4QgjQ80OCSQgA9S7v/RDi1EjJVGgAeBYEY2B/r9wwyNueMeSnIkX+HtACMcWcGfl2np2QGh+zlNEASk4+hVQA==" saltValue="O531CZ2eyIijR0lKuFFvk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2024-08-06T09:13:18Z</dcterms:modified>
</cp:coreProperties>
</file>