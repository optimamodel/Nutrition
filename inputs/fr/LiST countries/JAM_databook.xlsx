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4DBD77E-9860-46E1-A9E1-838BD6673E3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<sst xmlns="http://schemas.openxmlformats.org/spreadsheetml/2006/main" count="2159" uniqueCount="368">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</sst>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160697.5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0.77384170532226604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0.13569999999999999</v>
      </c>
    </row>
    <row r="24" spans="1:3" ht="15" customHeight="1" x14ac:dyDescent="0.25">
      <c r="B24" s="15" t="s">
        <v>51</v>
      </c>
      <c r="C24" s="45">
        <v>0.52159999999999995</v>
      </c>
    </row>
    <row r="25" spans="1:3" ht="15" customHeight="1" x14ac:dyDescent="0.25">
      <c r="B25" s="15" t="s">
        <v>52</v>
      </c>
      <c r="C25" s="45">
        <v>0.31040000000000001</v>
      </c>
    </row>
    <row r="26" spans="1:3" ht="15" customHeight="1" x14ac:dyDescent="0.25">
      <c r="B26" s="15" t="s">
        <v>53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9">
        <v>5.4660418264349912E-2</v>
      </c>
    </row>
    <row r="31" spans="1:3" ht="14.25" customHeight="1" x14ac:dyDescent="0.25">
      <c r="B31" s="25" t="s">
        <v>57</v>
      </c>
      <c r="C31" s="99">
        <v>6.1967733026657798E-2</v>
      </c>
    </row>
    <row r="32" spans="1:3" ht="14.25" customHeight="1" x14ac:dyDescent="0.25">
      <c r="B32" s="25" t="s">
        <v>58</v>
      </c>
      <c r="C32" s="99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10.305669999999999</v>
      </c>
    </row>
    <row r="38" spans="1:5" ht="15" customHeight="1" x14ac:dyDescent="0.25">
      <c r="B38" s="11" t="s">
        <v>63</v>
      </c>
      <c r="C38" s="43">
        <v>10.669549999999999</v>
      </c>
      <c r="D38" s="12"/>
      <c r="E38" s="13"/>
    </row>
    <row r="39" spans="1:5" ht="15" customHeight="1" x14ac:dyDescent="0.25">
      <c r="B39" s="11" t="s">
        <v>64</v>
      </c>
      <c r="C39" s="43">
        <v>12.398630000000001</v>
      </c>
      <c r="D39" s="12"/>
      <c r="E39" s="12"/>
    </row>
    <row r="40" spans="1:5" ht="15" customHeight="1" x14ac:dyDescent="0.25">
      <c r="B40" s="11" t="s">
        <v>65</v>
      </c>
      <c r="C40" s="100">
        <v>0.99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71</v>
      </c>
      <c r="C47" s="45">
        <v>7.4161099999999994E-2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0.55565200000000003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LdMcIvZrcahTP0nLTs8W5T2eGT5obaWtRfgp2j0w/B7vAb3ZmHOCqY0bhcsFKj5HHDjpGvWwpZRVNBM2zwtyFQ==" saltValue="q9EwyfVCqsi4kMjZhkou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32508.000000000004</v>
      </c>
      <c r="C2" s="49">
        <v>109368</v>
      </c>
      <c r="D2" s="49">
        <v>242756</v>
      </c>
      <c r="E2" s="49">
        <v>245743.5</v>
      </c>
      <c r="F2" s="49">
        <v>200208</v>
      </c>
      <c r="G2" s="17">
        <f t="shared" ref="G2:G13" si="0">C2+D2+E2+F2</f>
        <v>798075.5</v>
      </c>
      <c r="H2" s="17">
        <f t="shared" ref="H2:H13" si="1">(B2 + stillbirth*B2/(1000-stillbirth))/(1-abortion)</f>
        <v>37479.251692405887</v>
      </c>
      <c r="I2" s="17">
        <f t="shared" ref="I2:I13" si="2">G2-H2</f>
        <v>760596.2483075941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31837</v>
      </c>
      <c r="C3" s="50">
        <v>106525.5</v>
      </c>
      <c r="D3" s="50">
        <v>236862.5</v>
      </c>
      <c r="E3" s="50">
        <v>247743.49999999997</v>
      </c>
      <c r="F3" s="50">
        <v>204089</v>
      </c>
      <c r="G3" s="17">
        <f t="shared" si="0"/>
        <v>795220.5</v>
      </c>
      <c r="H3" s="17">
        <f t="shared" si="1"/>
        <v>36705.639723487329</v>
      </c>
      <c r="I3" s="17">
        <f t="shared" si="2"/>
        <v>758514.86027651269</v>
      </c>
    </row>
    <row r="4" spans="1:9" ht="15.75" customHeight="1" x14ac:dyDescent="0.25">
      <c r="A4" s="5">
        <f t="shared" si="3"/>
        <v>2026</v>
      </c>
      <c r="B4" s="49">
        <v>31322</v>
      </c>
      <c r="C4" s="50">
        <v>103421.5</v>
      </c>
      <c r="D4" s="50">
        <v>230973.5</v>
      </c>
      <c r="E4" s="50">
        <v>249231</v>
      </c>
      <c r="F4" s="50">
        <v>207766.00000000003</v>
      </c>
      <c r="G4" s="17">
        <f t="shared" si="0"/>
        <v>791392</v>
      </c>
      <c r="H4" s="17">
        <f t="shared" si="1"/>
        <v>36111.883890412733</v>
      </c>
      <c r="I4" s="17">
        <f t="shared" si="2"/>
        <v>755280.11610958725</v>
      </c>
    </row>
    <row r="5" spans="1:9" ht="15.75" customHeight="1" x14ac:dyDescent="0.25">
      <c r="A5" s="5">
        <f t="shared" si="3"/>
        <v>2027</v>
      </c>
      <c r="B5" s="49">
        <v>30826</v>
      </c>
      <c r="C5" s="50">
        <v>100170</v>
      </c>
      <c r="D5" s="50">
        <v>225185</v>
      </c>
      <c r="E5" s="50">
        <v>250091</v>
      </c>
      <c r="F5" s="50">
        <v>211270.5</v>
      </c>
      <c r="G5" s="17">
        <f t="shared" si="0"/>
        <v>786716.5</v>
      </c>
      <c r="H5" s="17">
        <f t="shared" si="1"/>
        <v>35540.033612344771</v>
      </c>
      <c r="I5" s="17">
        <f t="shared" si="2"/>
        <v>751176.46638765524</v>
      </c>
    </row>
    <row r="6" spans="1:9" ht="15.75" customHeight="1" x14ac:dyDescent="0.25">
      <c r="A6" s="5">
        <f t="shared" si="3"/>
        <v>2028</v>
      </c>
      <c r="B6" s="49">
        <v>30324</v>
      </c>
      <c r="C6" s="50">
        <v>96933.5</v>
      </c>
      <c r="D6" s="50">
        <v>219683</v>
      </c>
      <c r="E6" s="50">
        <v>250012.5</v>
      </c>
      <c r="F6" s="50">
        <v>214718.5</v>
      </c>
      <c r="G6" s="17">
        <f t="shared" si="0"/>
        <v>781347.5</v>
      </c>
      <c r="H6" s="17">
        <f t="shared" si="1"/>
        <v>34961.265790590507</v>
      </c>
      <c r="I6" s="17">
        <f t="shared" si="2"/>
        <v>746386.23420940945</v>
      </c>
    </row>
    <row r="7" spans="1:9" ht="15.75" customHeight="1" x14ac:dyDescent="0.25">
      <c r="A7" s="5">
        <f t="shared" si="3"/>
        <v>2029</v>
      </c>
      <c r="B7" s="49">
        <v>29804</v>
      </c>
      <c r="C7" s="50">
        <v>93829</v>
      </c>
      <c r="D7" s="50">
        <v>214538</v>
      </c>
      <c r="E7" s="50">
        <v>248843.5</v>
      </c>
      <c r="F7" s="50">
        <v>217966.5</v>
      </c>
      <c r="G7" s="17">
        <f t="shared" si="0"/>
        <v>775177</v>
      </c>
      <c r="H7" s="17">
        <f t="shared" si="1"/>
        <v>34361.74533777732</v>
      </c>
      <c r="I7" s="17">
        <f t="shared" si="2"/>
        <v>740815.25466222269</v>
      </c>
    </row>
    <row r="8" spans="1:9" ht="15.75" customHeight="1" x14ac:dyDescent="0.25">
      <c r="A8" s="5">
        <f t="shared" si="3"/>
        <v>2030</v>
      </c>
      <c r="B8" s="49">
        <v>29264</v>
      </c>
      <c r="C8" s="50">
        <v>90961</v>
      </c>
      <c r="D8" s="50">
        <v>209798</v>
      </c>
      <c r="E8" s="50">
        <v>246187</v>
      </c>
      <c r="F8" s="50">
        <v>221216.99999999997</v>
      </c>
      <c r="G8" s="17">
        <f t="shared" si="0"/>
        <v>768163</v>
      </c>
      <c r="H8" s="17">
        <f t="shared" si="1"/>
        <v>33739.166406009776</v>
      </c>
      <c r="I8" s="17">
        <f t="shared" si="2"/>
        <v>734423.83359399019</v>
      </c>
    </row>
    <row r="9" spans="1:9" ht="15.75" customHeight="1" x14ac:dyDescent="0.25">
      <c r="A9" s="5">
        <f t="shared" si="3"/>
        <v>2031</v>
      </c>
      <c r="B9" s="49">
        <v>28690</v>
      </c>
      <c r="C9" s="50">
        <v>88362</v>
      </c>
      <c r="D9" s="50">
        <v>205140</v>
      </c>
      <c r="E9" s="50">
        <v>241942</v>
      </c>
      <c r="F9" s="50">
        <v>224774</v>
      </c>
      <c r="G9" s="17">
        <f t="shared" si="0"/>
        <v>760218</v>
      </c>
      <c r="H9" s="17">
        <f t="shared" si="1"/>
        <v>33077.388060019839</v>
      </c>
      <c r="I9" s="17">
        <f t="shared" si="2"/>
        <v>727140.61193998018</v>
      </c>
    </row>
    <row r="10" spans="1:9" ht="15.75" customHeight="1" x14ac:dyDescent="0.25">
      <c r="A10" s="5">
        <f t="shared" si="3"/>
        <v>2032</v>
      </c>
      <c r="B10" s="49">
        <v>28132</v>
      </c>
      <c r="C10" s="50">
        <v>85949.5</v>
      </c>
      <c r="D10" s="50">
        <v>200083</v>
      </c>
      <c r="E10" s="50">
        <v>236589</v>
      </c>
      <c r="F10" s="50">
        <v>228418</v>
      </c>
      <c r="G10" s="17">
        <f t="shared" si="0"/>
        <v>751039.5</v>
      </c>
      <c r="H10" s="17">
        <f t="shared" si="1"/>
        <v>32434.056497193378</v>
      </c>
      <c r="I10" s="17">
        <f t="shared" si="2"/>
        <v>718605.44350280659</v>
      </c>
    </row>
    <row r="11" spans="1:9" ht="15.75" customHeight="1" x14ac:dyDescent="0.25">
      <c r="A11" s="5">
        <f t="shared" si="3"/>
        <v>2033</v>
      </c>
      <c r="B11" s="49">
        <v>27564</v>
      </c>
      <c r="C11" s="50">
        <v>83665.5</v>
      </c>
      <c r="D11" s="50">
        <v>194593.5</v>
      </c>
      <c r="E11" s="50">
        <v>230727</v>
      </c>
      <c r="F11" s="50">
        <v>231625</v>
      </c>
      <c r="G11" s="17">
        <f t="shared" si="0"/>
        <v>740611</v>
      </c>
      <c r="H11" s="17">
        <f t="shared" si="1"/>
        <v>31779.195694889746</v>
      </c>
      <c r="I11" s="17">
        <f t="shared" si="2"/>
        <v>708831.80430511024</v>
      </c>
    </row>
    <row r="12" spans="1:9" ht="15.75" customHeight="1" x14ac:dyDescent="0.25">
      <c r="A12" s="5">
        <f t="shared" si="3"/>
        <v>2034</v>
      </c>
      <c r="B12" s="49">
        <v>26952</v>
      </c>
      <c r="C12" s="50">
        <v>81562.5</v>
      </c>
      <c r="D12" s="50">
        <v>188872</v>
      </c>
      <c r="E12" s="50">
        <v>224759</v>
      </c>
      <c r="F12" s="50">
        <v>234117</v>
      </c>
      <c r="G12" s="17">
        <f t="shared" si="0"/>
        <v>729310.5</v>
      </c>
      <c r="H12" s="17">
        <f t="shared" si="1"/>
        <v>31073.606238886532</v>
      </c>
      <c r="I12" s="17">
        <f t="shared" si="2"/>
        <v>698236.89376111352</v>
      </c>
    </row>
    <row r="13" spans="1:9" ht="15.75" customHeight="1" x14ac:dyDescent="0.25">
      <c r="A13" s="5">
        <f t="shared" si="3"/>
        <v>2035</v>
      </c>
      <c r="B13" s="49">
        <v>26324</v>
      </c>
      <c r="C13" s="50">
        <v>79677.5</v>
      </c>
      <c r="D13" s="50">
        <v>183130.49999999997</v>
      </c>
      <c r="E13" s="50">
        <v>218801.5</v>
      </c>
      <c r="F13" s="50">
        <v>236071.5</v>
      </c>
      <c r="G13" s="17">
        <f t="shared" si="0"/>
        <v>717681</v>
      </c>
      <c r="H13" s="17">
        <f t="shared" si="1"/>
        <v>30349.569999719843</v>
      </c>
      <c r="I13" s="17">
        <f t="shared" si="2"/>
        <v>687331.43000028015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9ToDGok8gwMWsmgdEH9ehKr0FymYyh6nZwXeAacyKPtjw0/Fttj0t7FAFRlIlJO4IsN6BPha7ZCKs3L2Qtnvg==" saltValue="0ClB3zIXY3IOO56fojCV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0.13613760000000011</v>
      </c>
    </row>
    <row r="5" spans="1:8" ht="15.75" customHeight="1" x14ac:dyDescent="0.25">
      <c r="B5" s="19" t="s">
        <v>98</v>
      </c>
      <c r="C5" s="101">
        <v>2.9634100000000021E-2</v>
      </c>
    </row>
    <row r="6" spans="1:8" ht="15.75" customHeight="1" x14ac:dyDescent="0.25">
      <c r="B6" s="19" t="s">
        <v>99</v>
      </c>
      <c r="C6" s="101">
        <v>0.18144859999999971</v>
      </c>
    </row>
    <row r="7" spans="1:8" ht="15.75" customHeight="1" x14ac:dyDescent="0.25">
      <c r="B7" s="19" t="s">
        <v>100</v>
      </c>
      <c r="C7" s="101">
        <v>0.45895330000000018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0.1178047999999999</v>
      </c>
    </row>
    <row r="10" spans="1:8" ht="15.75" customHeight="1" x14ac:dyDescent="0.25">
      <c r="B10" s="19" t="s">
        <v>103</v>
      </c>
      <c r="C10" s="101">
        <v>7.6021599999999911E-2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106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107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113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2.9141097000000001E-2</v>
      </c>
    </row>
    <row r="27" spans="1:8" ht="15.75" customHeight="1" x14ac:dyDescent="0.25">
      <c r="B27" s="19" t="s">
        <v>120</v>
      </c>
      <c r="C27" s="101">
        <v>1.0659604E-2</v>
      </c>
    </row>
    <row r="28" spans="1:8" ht="15.75" customHeight="1" x14ac:dyDescent="0.25">
      <c r="B28" s="19" t="s">
        <v>121</v>
      </c>
      <c r="C28" s="101">
        <v>5.3942014000000003E-2</v>
      </c>
    </row>
    <row r="29" spans="1:8" ht="15.75" customHeight="1" x14ac:dyDescent="0.25">
      <c r="B29" s="19" t="s">
        <v>122</v>
      </c>
      <c r="C29" s="101">
        <v>0.132460157</v>
      </c>
    </row>
    <row r="30" spans="1:8" ht="15.75" customHeight="1" x14ac:dyDescent="0.25">
      <c r="B30" s="19" t="s">
        <v>2</v>
      </c>
      <c r="C30" s="101">
        <v>4.2099428000000001E-2</v>
      </c>
    </row>
    <row r="31" spans="1:8" ht="15.75" customHeight="1" x14ac:dyDescent="0.25">
      <c r="B31" s="19" t="s">
        <v>123</v>
      </c>
      <c r="C31" s="101">
        <v>9.6696056000000002E-2</v>
      </c>
    </row>
    <row r="32" spans="1:8" ht="15.75" customHeight="1" x14ac:dyDescent="0.25">
      <c r="B32" s="19" t="s">
        <v>124</v>
      </c>
      <c r="C32" s="101">
        <v>6.3757143000000002E-2</v>
      </c>
    </row>
    <row r="33" spans="2:3" ht="15.75" customHeight="1" x14ac:dyDescent="0.25">
      <c r="B33" s="19" t="s">
        <v>125</v>
      </c>
      <c r="C33" s="101">
        <v>0.12090500699999999</v>
      </c>
    </row>
    <row r="34" spans="2:3" ht="15.75" customHeight="1" x14ac:dyDescent="0.25">
      <c r="B34" s="19" t="s">
        <v>126</v>
      </c>
      <c r="C34" s="101">
        <v>0.45033949200000001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uftkt13X9gJMy0TPEEOKpkjB02YbW7I4YGSXmkmtjXAiQcQ4J0kMhCrahU0CYp0FgumaFTOLth86u5wScHHNwQ==" saltValue="QnrDgvRYdC8366+cWOcRb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xojLvBxpYdtXNITm7Mg96PGdDRhqxzfZ/bmyQt/CN4IeH4M3XkfGk9nnniGaxpPb8nfpdTCKFHi6uaztq2A1A==" saltValue="tWABlunU0dIzCe81Zwnu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8.5871799999999943E-2</v>
      </c>
      <c r="D5" s="52">
        <f t="shared" si="0"/>
        <v>9.0010800000000057E-2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p3bJEsuaREJz1gUXMEQBpGAUY0cEr1trCiCag+o1wXlcDpj1h588JF0RCsdZI4DnCN0taRtC1K3eCaEsmkM9Hw==" saltValue="z0NonJaPGKxa5ZmH76v1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0Cc3BvijYP6G6D6Y5Z8HB72IzZv5lrJRw/MWUwOnDlPm084VvskUwz4SmpfPGX3/7lOv7xSiGG/jSXvOcFxBQ==" saltValue="z7E4+PeYxqObtIrwp/NYO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6047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0.53713999999999995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0.64080000000000004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1.6430340149821501E-2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98601.419959999999</v>
      </c>
      <c r="C22" s="109">
        <v>98478.629799999995</v>
      </c>
      <c r="D22" s="109">
        <v>98329.648759999996</v>
      </c>
      <c r="E22" s="109">
        <v>98143.708140000002</v>
      </c>
      <c r="F22" s="109">
        <v>97800.862129999994</v>
      </c>
      <c r="G22" s="109">
        <v>97316.469769999996</v>
      </c>
      <c r="H22" s="109">
        <v>96617.720279999994</v>
      </c>
      <c r="I22" s="109">
        <v>95702.277889999998</v>
      </c>
      <c r="J22" s="109">
        <v>94457.786600000007</v>
      </c>
      <c r="K22" s="109">
        <v>92656.658559999996</v>
      </c>
      <c r="L22" s="109">
        <v>90142.07415</v>
      </c>
      <c r="M22" s="109">
        <v>86453.709839999996</v>
      </c>
      <c r="N22" s="109">
        <v>81071.1342</v>
      </c>
      <c r="O22" s="109">
        <v>73457.133719999998</v>
      </c>
    </row>
  </sheetData>
  <sheetProtection algorithmName="SHA-512" hashValue="zvBLrUg3DzIaVFvYGpGujB2IBueJ05mGbcWs/7wan7ny5mKzMh2/fSapqmiUEcJs5J4QmNRAM22FdJjcHYjwKw==" saltValue="xdBVeotXj4LaaupBiRIfs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3RcEO2CyD9jdWCddWXBefjmTdPc8eXFNlHe+UwrZVMT8gRVPPv9uc019oqnz+p4h+t+3k3P3PDTVuRKIvVU4Q==" saltValue="M2uLDvAK5S2+7n8osSCA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OCMSCwlitaCq0MK+j5nGVp3zLbN5QasoBU0XAdsWuleri2UDMq0PJKerOh3Yy8VxrXrNSgNGQ9EIv2A2TlkxA==" saltValue="EsUJFS9U2yDHayCKsp4d3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13.117446486760061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13.117446486760061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13.117446486760061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13.117446486760061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13.117446486760061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13.117446486760061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0.35908333333333298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0.17920549999999999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0.17920549999999999</v>
      </c>
      <c r="C19" s="98">
        <v>0.95</v>
      </c>
      <c r="D19" s="56">
        <v>11.224756739744929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4.3451295640787793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0.90661800413877003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0.64137739999999999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124.34168065842491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0.66647509999999999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0.28231899999999999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3.5551399999999997E-2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0.83723100000000006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CO0X4n8uNjRjJf+rwlbXdgpK3Mhdxj8iCDJn7G2MHE4lxsCg8fOa7IzxiEAA0uXwNrQ7EHZAUh30T2LeXeg7hg==" saltValue="xY2JTjeXuGV5+eycsUkX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ZULCz+k7OjYKHaTpOZJe8ShbQU6ckO2K35bv8v2zJsbIuifAVmvQTlIEamCuJzSIWvA4q4Zmk2ncULiI+rLoA==" saltValue="QMEGgoAWKKBNmNl1Qjtl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oFAuT+dRFZKXZl9STz1TLAMMLxdng1Sce2Cw4OpnIBAyuhkNhyHlvMZN6aXiTNjONpHCN2s9Gtu6WJaCNIglA==" saltValue="sZyLuB5SRyDbelkdqhHR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XshR4Oz+Scp16zrRCy4uPs/yr5DmQd5Ddujl29qrRmSwFlc1QNMUx82aRnv4zDXSyaJSFzlvLBKBtz65n6Lv8Q==" saltValue="yjpDiBgfoNc8aFt72pQ5u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mS6WUsfdRikCuuFMmdO10+eJ+R5ct3MmSeRhL5mJB78jSNXrzo8zmuUQrNYAzjyRsS4kD1geMs3JqNrnKmEHg==" saltValue="lOzkIAYn8FkuLdCiFyr7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F1N2pOJx6k5CST6b+mTx2NN+aaIXuFJUdi7pAM6VXg9RzJqVlHd5BXGgb0+usM0tOZqPU/13S4t7V+RPFzRbA==" saltValue="DKH64DIT1VY5PmqWn1+aB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LeIBuk6DWwaHu8GqnABniqVpTbI6x+fA//rvTGBVgPMQQGM1wdHbqjB45UHUCWDJ49U0QxDJ731oCXiNr3eJg==" saltValue="vnFGpexQbfVPqNFiyamx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gWih4BS22eyD5XAFb1wTIg0nnF0MiN7ikyvsAhMcBaoD2BnuzpdzBYsE5aG5pcca5tpR+roKSr3cYxXPmSjzA==" saltValue="vv5m1iXTVI1LKUi0aE10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sXTfSxcQffvORpmxB7pOXvSEKW97gwmjFUT1Ak+OBox0Aw8SEE/+iZJMAiNnOF65DsF8H4tiO41E84xzWyMoRQ==" saltValue="gBho2C9sg0isLDVfzjdz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5k0/5/fKLcmgCTyR5aFaWkYr8W4T/rBw3XK0beTcCVSw67K26GvKhgHO9DDJdng/cowcQVWwxresgShhTAOzPw==" saltValue="cthAuT5jcT++MVrpIkXB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q5m9ub+AKEbkeglkhn1U77ZtKQEozJH1guMXAw+weSvdQCJgzyI29Yu+TvyCrmRW6EvA0dyfREjOoNWEYL3Mw==" saltValue="YmCpprEAerJdJGIg+CHly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/KvU3K4ta3KoplyM0AOn39qzVrC72qo0yhebSUeeDZT8/Kh0i2T+VwnNfy9SnF927jS8E3ah89638AniYoM0jg==" saltValue="GEwcdZXs4p0NJpHU+s/D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VQWabwiQ3LzZM5LBcZ2sFkBLO9OP23ho/Yf/bJGicr0JLXKVgdbd4S0jLc5ZDfv/bfd1Cn81HhYsbQeBKBGniw==" saltValue="MO67IxbUwnxszTWDfrMT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Z86zWaHtCXjf70XPmDaYzI5Wwx1tL2RDdQLFctvQK6r3qjuypGvm1bXV8ubk05JEUX09Pc2cRgdbS5l6vwjOQ==" saltValue="7Uy5eZp6QzitKU2UCm56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9KjLGW+hhfLGSe5+s8RkzbPlIOpIS+duJoEjiJrfgZmBviPD2msRsJjnrq2QFPyoG8IPXeIgADEDMNT3mkpQ==" saltValue="rylsE2MTatHzqy3mZEC3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J7UUt34DQ0VxGh9GqrrHLFAG0B2zZOcL3DWeZrFa2QPHL3b0C05rt5/sW3X18ivcUq6g2J65ovX8Y0iaxU/Ug==" saltValue="gE3JLVCWPHqkTkHmIwyu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XUQSgTuq9EbhSQME3ho8SYGMb6YT4iSYXthLWXNPXEZ7K9ceA5TrZTfOMYcsUu3oHJt/MXQRsCsCpwoMLSoXA==" saltValue="LDs7DAPjVZkkBzb/bC8A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jnyr2DeKHOnp1YPLvqpwnCiuB3rajtPsV2lITkk+J8J6KSY3oCRVYK5sI/z5lWmeiMeLot9W8vk+Rgq4Q9hlg==" saltValue="5HoNH99WdHQj73NtsprM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FeAKF7Yq9M8nZa6ipz1cV5/KZu6TJMzsVmeh1lisTj69Fqx/JvW4B2O9iu7hNdmxEJ5MkhcVglHS7R0bL3B+Q==" saltValue="9Kwuv/5uC65WkvULnDwLl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