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70F42C9-F188-40AD-86A4-F5E4689D1E6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2" i="2"/>
  <c r="A23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24" i="2" l="1"/>
  <c r="A33" i="2"/>
  <c r="A16" i="2"/>
  <c r="A17" i="2"/>
  <c r="A26" i="2"/>
  <c r="A35" i="2"/>
  <c r="A36" i="2"/>
  <c r="A19" i="2"/>
  <c r="A28" i="2"/>
  <c r="A37" i="2"/>
  <c r="A15" i="2"/>
  <c r="A25" i="2"/>
  <c r="A34" i="2"/>
  <c r="A3" i="2"/>
  <c r="A27" i="2"/>
  <c r="A20" i="2"/>
  <c r="A29" i="2"/>
  <c r="I38" i="2"/>
  <c r="A18" i="2"/>
  <c r="I10" i="2"/>
  <c r="A21" i="2"/>
  <c r="A31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<sst xmlns="http://schemas.openxmlformats.org/spreadsheetml/2006/main" count="2101" uniqueCount="337">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</sst>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9281396.6875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0.777842483520508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9.9900000000000003E-2</v>
      </c>
    </row>
    <row r="24" spans="1:3" ht="15" customHeight="1" x14ac:dyDescent="0.25">
      <c r="B24" s="15" t="s">
        <v>33</v>
      </c>
      <c r="C24" s="45">
        <v>0.6048</v>
      </c>
    </row>
    <row r="25" spans="1:3" ht="15" customHeight="1" x14ac:dyDescent="0.25">
      <c r="B25" s="15" t="s">
        <v>34</v>
      </c>
      <c r="C25" s="45">
        <v>0.27869999999999989</v>
      </c>
    </row>
    <row r="26" spans="1:3" ht="15" customHeight="1" x14ac:dyDescent="0.25">
      <c r="B26" s="15" t="s">
        <v>35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</v>
      </c>
    </row>
    <row r="30" spans="1:3" ht="14.25" customHeight="1" x14ac:dyDescent="0.25">
      <c r="B30" s="25" t="s">
        <v>38</v>
      </c>
      <c r="C30" s="99">
        <v>0</v>
      </c>
    </row>
    <row r="31" spans="1:3" ht="14.25" customHeight="1" x14ac:dyDescent="0.25">
      <c r="B31" s="25" t="s">
        <v>39</v>
      </c>
      <c r="C31" s="99">
        <v>0</v>
      </c>
    </row>
    <row r="32" spans="1:3" ht="14.25" customHeight="1" x14ac:dyDescent="0.25">
      <c r="B32" s="25" t="s">
        <v>40</v>
      </c>
      <c r="C32" s="99">
        <v>0</v>
      </c>
    </row>
    <row r="33" spans="1:5" ht="13" customHeight="1" x14ac:dyDescent="0.25">
      <c r="B33" s="27" t="s">
        <v>41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8.1054700000000004</v>
      </c>
    </row>
    <row r="38" spans="1:5" ht="15" customHeight="1" x14ac:dyDescent="0.25">
      <c r="B38" s="11" t="s">
        <v>45</v>
      </c>
      <c r="C38" s="43">
        <v>11.39776</v>
      </c>
      <c r="D38" s="12"/>
      <c r="E38" s="13"/>
    </row>
    <row r="39" spans="1:5" ht="15" customHeight="1" x14ac:dyDescent="0.25">
      <c r="B39" s="11" t="s">
        <v>46</v>
      </c>
      <c r="C39" s="43">
        <v>13.240740000000001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6.1101999999999997E-3</v>
      </c>
      <c r="D45" s="12"/>
    </row>
    <row r="46" spans="1:5" ht="15.75" customHeight="1" x14ac:dyDescent="0.25">
      <c r="B46" s="11" t="s">
        <v>52</v>
      </c>
      <c r="C46" s="45">
        <v>6.4331199999999991E-2</v>
      </c>
      <c r="D46" s="12"/>
    </row>
    <row r="47" spans="1:5" ht="15.75" customHeight="1" x14ac:dyDescent="0.25">
      <c r="B47" s="11" t="s">
        <v>53</v>
      </c>
      <c r="C47" s="45">
        <v>6.5170800000000001E-2</v>
      </c>
      <c r="D47" s="12"/>
      <c r="E47" s="13"/>
    </row>
    <row r="48" spans="1:5" ht="15" customHeight="1" x14ac:dyDescent="0.25">
      <c r="B48" s="11" t="s">
        <v>54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0.61096899999999998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7+gyoHkvPMRwgJONBxDJChaa6Ytye7Vee2GwWwhHGPwWpvCHmBt904CE+lCJplstoOa2K28c35e5thKO2wjg7A==" saltValue="2CwBsEoryKnacIzXVRoy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45320</v>
      </c>
      <c r="C2" s="49">
        <v>118228.5</v>
      </c>
      <c r="D2" s="49">
        <v>225221.5</v>
      </c>
      <c r="E2" s="49">
        <v>286900</v>
      </c>
      <c r="F2" s="49">
        <v>205064</v>
      </c>
      <c r="G2" s="17">
        <f t="shared" ref="G2:G13" si="0">C2+D2+E2+F2</f>
        <v>835414</v>
      </c>
      <c r="H2" s="17">
        <f t="shared" ref="H2:H13" si="1">(B2 + stillbirth*B2/(1000-stillbirth))/(1-abortion)</f>
        <v>51842.831982042364</v>
      </c>
      <c r="I2" s="17">
        <f t="shared" ref="I2:I13" si="2">G2-H2</f>
        <v>783571.16801795759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41838</v>
      </c>
      <c r="C3" s="50">
        <v>112628</v>
      </c>
      <c r="D3" s="50">
        <v>204046.5</v>
      </c>
      <c r="E3" s="50">
        <v>275457</v>
      </c>
      <c r="F3" s="50">
        <v>207864</v>
      </c>
      <c r="G3" s="17">
        <f t="shared" si="0"/>
        <v>799995.5</v>
      </c>
      <c r="H3" s="17">
        <f t="shared" si="1"/>
        <v>47859.67353187751</v>
      </c>
      <c r="I3" s="17">
        <f t="shared" si="2"/>
        <v>752135.82646812254</v>
      </c>
    </row>
    <row r="4" spans="1:9" ht="15.75" customHeight="1" x14ac:dyDescent="0.25">
      <c r="A4" s="5">
        <f t="shared" si="3"/>
        <v>2026</v>
      </c>
      <c r="B4" s="49">
        <v>39217</v>
      </c>
      <c r="C4" s="50">
        <v>110978.5</v>
      </c>
      <c r="D4" s="50">
        <v>190415</v>
      </c>
      <c r="E4" s="50">
        <v>264913</v>
      </c>
      <c r="F4" s="50">
        <v>212541</v>
      </c>
      <c r="G4" s="17">
        <f t="shared" si="0"/>
        <v>778847.5</v>
      </c>
      <c r="H4" s="17">
        <f t="shared" si="1"/>
        <v>44861.437375104935</v>
      </c>
      <c r="I4" s="17">
        <f t="shared" si="2"/>
        <v>733986.06262489501</v>
      </c>
    </row>
    <row r="5" spans="1:9" ht="15.75" customHeight="1" x14ac:dyDescent="0.25">
      <c r="A5" s="5">
        <f t="shared" si="3"/>
        <v>2027</v>
      </c>
      <c r="B5" s="49">
        <v>37832</v>
      </c>
      <c r="C5" s="50">
        <v>112656</v>
      </c>
      <c r="D5" s="50">
        <v>183119.5</v>
      </c>
      <c r="E5" s="50">
        <v>255388.5</v>
      </c>
      <c r="F5" s="50">
        <v>219148.5</v>
      </c>
      <c r="G5" s="17">
        <f t="shared" si="0"/>
        <v>770312.5</v>
      </c>
      <c r="H5" s="17">
        <f t="shared" si="1"/>
        <v>43277.09663602442</v>
      </c>
      <c r="I5" s="17">
        <f t="shared" si="2"/>
        <v>727035.40336397558</v>
      </c>
    </row>
    <row r="6" spans="1:9" ht="15.75" customHeight="1" x14ac:dyDescent="0.25">
      <c r="A6" s="5">
        <f t="shared" si="3"/>
        <v>2028</v>
      </c>
      <c r="B6" s="49">
        <v>36799</v>
      </c>
      <c r="C6" s="50">
        <v>116454.5</v>
      </c>
      <c r="D6" s="50">
        <v>179468.5</v>
      </c>
      <c r="E6" s="50">
        <v>246253.5</v>
      </c>
      <c r="F6" s="50">
        <v>226386.5</v>
      </c>
      <c r="G6" s="17">
        <f t="shared" si="0"/>
        <v>768563</v>
      </c>
      <c r="H6" s="17">
        <f t="shared" si="1"/>
        <v>42095.418669619969</v>
      </c>
      <c r="I6" s="17">
        <f t="shared" si="2"/>
        <v>726467.58133038005</v>
      </c>
    </row>
    <row r="7" spans="1:9" ht="15.75" customHeight="1" x14ac:dyDescent="0.25">
      <c r="A7" s="5">
        <f t="shared" si="3"/>
        <v>2029</v>
      </c>
      <c r="B7" s="49">
        <v>36154</v>
      </c>
      <c r="C7" s="50">
        <v>121068.5</v>
      </c>
      <c r="D7" s="50">
        <v>177752.5</v>
      </c>
      <c r="E7" s="50">
        <v>237513.49999999991</v>
      </c>
      <c r="F7" s="50">
        <v>232763.5</v>
      </c>
      <c r="G7" s="17">
        <f t="shared" si="0"/>
        <v>769097.99999999988</v>
      </c>
      <c r="H7" s="17">
        <f t="shared" si="1"/>
        <v>41357.584895824351</v>
      </c>
      <c r="I7" s="17">
        <f t="shared" si="2"/>
        <v>727740.41510417557</v>
      </c>
    </row>
    <row r="8" spans="1:9" ht="15.75" customHeight="1" x14ac:dyDescent="0.25">
      <c r="A8" s="5">
        <f t="shared" si="3"/>
        <v>2030</v>
      </c>
      <c r="B8" s="49">
        <v>35521</v>
      </c>
      <c r="C8" s="50">
        <v>125411</v>
      </c>
      <c r="D8" s="50">
        <v>176892</v>
      </c>
      <c r="E8" s="50">
        <v>229172.5</v>
      </c>
      <c r="F8" s="50">
        <v>237768</v>
      </c>
      <c r="G8" s="17">
        <f t="shared" si="0"/>
        <v>769243.5</v>
      </c>
      <c r="H8" s="17">
        <f t="shared" si="1"/>
        <v>40633.478262006327</v>
      </c>
      <c r="I8" s="17">
        <f t="shared" si="2"/>
        <v>728610.02173799369</v>
      </c>
    </row>
    <row r="9" spans="1:9" ht="15.75" customHeight="1" x14ac:dyDescent="0.25">
      <c r="A9" s="5">
        <f t="shared" si="3"/>
        <v>2031</v>
      </c>
      <c r="B9" s="49">
        <v>34925</v>
      </c>
      <c r="C9" s="50">
        <v>128716</v>
      </c>
      <c r="D9" s="50">
        <v>176869</v>
      </c>
      <c r="E9" s="50">
        <v>221068</v>
      </c>
      <c r="F9" s="50">
        <v>241454.5</v>
      </c>
      <c r="G9" s="17">
        <f t="shared" si="0"/>
        <v>768107.5</v>
      </c>
      <c r="H9" s="17">
        <f t="shared" si="1"/>
        <v>39951.696976452557</v>
      </c>
      <c r="I9" s="17">
        <f t="shared" si="2"/>
        <v>728155.8030235474</v>
      </c>
    </row>
    <row r="10" spans="1:9" ht="15.75" customHeight="1" x14ac:dyDescent="0.25">
      <c r="A10" s="5">
        <f t="shared" si="3"/>
        <v>2032</v>
      </c>
      <c r="B10" s="49">
        <v>34337</v>
      </c>
      <c r="C10" s="50">
        <v>130513</v>
      </c>
      <c r="D10" s="50">
        <v>177947</v>
      </c>
      <c r="E10" s="50">
        <v>212737.5</v>
      </c>
      <c r="F10" s="50">
        <v>243622.5</v>
      </c>
      <c r="G10" s="17">
        <f t="shared" si="0"/>
        <v>764820</v>
      </c>
      <c r="H10" s="17">
        <f t="shared" si="1"/>
        <v>39279.067117550505</v>
      </c>
      <c r="I10" s="17">
        <f t="shared" si="2"/>
        <v>725540.93288244947</v>
      </c>
    </row>
    <row r="11" spans="1:9" ht="15.75" customHeight="1" x14ac:dyDescent="0.25">
      <c r="A11" s="5">
        <f t="shared" si="3"/>
        <v>2033</v>
      </c>
      <c r="B11" s="49">
        <v>33874</v>
      </c>
      <c r="C11" s="50">
        <v>130692.5</v>
      </c>
      <c r="D11" s="50">
        <v>180379</v>
      </c>
      <c r="E11" s="50">
        <v>204126</v>
      </c>
      <c r="F11" s="50">
        <v>244194</v>
      </c>
      <c r="G11" s="17">
        <f t="shared" si="0"/>
        <v>759391.5</v>
      </c>
      <c r="H11" s="17">
        <f t="shared" si="1"/>
        <v>38749.428300081716</v>
      </c>
      <c r="I11" s="17">
        <f t="shared" si="2"/>
        <v>720642.07169991825</v>
      </c>
    </row>
    <row r="12" spans="1:9" ht="15.75" customHeight="1" x14ac:dyDescent="0.25">
      <c r="A12" s="5">
        <f t="shared" si="3"/>
        <v>2034</v>
      </c>
      <c r="B12" s="49">
        <v>33569</v>
      </c>
      <c r="C12" s="50">
        <v>128804</v>
      </c>
      <c r="D12" s="50">
        <v>184382</v>
      </c>
      <c r="E12" s="50">
        <v>196142.5</v>
      </c>
      <c r="F12" s="50">
        <v>243478</v>
      </c>
      <c r="G12" s="17">
        <f t="shared" si="0"/>
        <v>752806.5</v>
      </c>
      <c r="H12" s="17">
        <f t="shared" si="1"/>
        <v>38400.530158984555</v>
      </c>
      <c r="I12" s="17">
        <f t="shared" si="2"/>
        <v>714405.96984101541</v>
      </c>
    </row>
    <row r="13" spans="1:9" ht="15.75" customHeight="1" x14ac:dyDescent="0.25">
      <c r="A13" s="5">
        <f t="shared" si="3"/>
        <v>2035</v>
      </c>
      <c r="B13" s="49">
        <v>33288</v>
      </c>
      <c r="C13" s="50">
        <v>125787</v>
      </c>
      <c r="D13" s="50">
        <v>189444</v>
      </c>
      <c r="E13" s="50">
        <v>189407</v>
      </c>
      <c r="F13" s="50">
        <v>241057</v>
      </c>
      <c r="G13" s="17">
        <f t="shared" si="0"/>
        <v>745695</v>
      </c>
      <c r="H13" s="17">
        <f t="shared" si="1"/>
        <v>38079.086297842594</v>
      </c>
      <c r="I13" s="17">
        <f t="shared" si="2"/>
        <v>707615.91370215744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7gP8INpKnCJ3gCqiprHjXTccP7uYUEiy82MtaoZIiiZZp8p7kAsOedJK6foh2toSmo0Sg0g9iSUiyFRMxI2kA==" saltValue="0z6CeBNcmO3xRgYvIsNK1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0.1540929999999999</v>
      </c>
    </row>
    <row r="5" spans="1:8" ht="15.75" customHeight="1" x14ac:dyDescent="0.25">
      <c r="B5" s="19" t="s">
        <v>80</v>
      </c>
      <c r="C5" s="101">
        <v>4.3544600000000051E-2</v>
      </c>
    </row>
    <row r="6" spans="1:8" ht="15.75" customHeight="1" x14ac:dyDescent="0.25">
      <c r="B6" s="19" t="s">
        <v>81</v>
      </c>
      <c r="C6" s="101">
        <v>0.13350659999999989</v>
      </c>
    </row>
    <row r="7" spans="1:8" ht="15.75" customHeight="1" x14ac:dyDescent="0.25">
      <c r="B7" s="19" t="s">
        <v>82</v>
      </c>
      <c r="C7" s="101">
        <v>0.34353199999999989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0.24229560000000019</v>
      </c>
    </row>
    <row r="10" spans="1:8" ht="15.75" customHeight="1" x14ac:dyDescent="0.25">
      <c r="B10" s="19" t="s">
        <v>85</v>
      </c>
      <c r="C10" s="101">
        <v>8.3028199999999941E-2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88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89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93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94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95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5.3514945000000001E-2</v>
      </c>
    </row>
    <row r="27" spans="1:8" ht="15.75" customHeight="1" x14ac:dyDescent="0.25">
      <c r="B27" s="19" t="s">
        <v>102</v>
      </c>
      <c r="C27" s="101">
        <v>2.8541006000000001E-2</v>
      </c>
    </row>
    <row r="28" spans="1:8" ht="15.75" customHeight="1" x14ac:dyDescent="0.25">
      <c r="B28" s="19" t="s">
        <v>103</v>
      </c>
      <c r="C28" s="101">
        <v>0.187630466</v>
      </c>
    </row>
    <row r="29" spans="1:8" ht="15.75" customHeight="1" x14ac:dyDescent="0.25">
      <c r="B29" s="19" t="s">
        <v>104</v>
      </c>
      <c r="C29" s="101">
        <v>0.27936675700000002</v>
      </c>
    </row>
    <row r="30" spans="1:8" ht="15.75" customHeight="1" x14ac:dyDescent="0.25">
      <c r="B30" s="19" t="s">
        <v>2</v>
      </c>
      <c r="C30" s="101">
        <v>9.2226500000000002E-4</v>
      </c>
    </row>
    <row r="31" spans="1:8" ht="15.75" customHeight="1" x14ac:dyDescent="0.25">
      <c r="B31" s="19" t="s">
        <v>105</v>
      </c>
      <c r="C31" s="101">
        <v>7.2676198999999997E-2</v>
      </c>
    </row>
    <row r="32" spans="1:8" ht="15.75" customHeight="1" x14ac:dyDescent="0.25">
      <c r="B32" s="19" t="s">
        <v>106</v>
      </c>
      <c r="C32" s="101">
        <v>4.4662927999999998E-2</v>
      </c>
    </row>
    <row r="33" spans="2:3" ht="15.75" customHeight="1" x14ac:dyDescent="0.25">
      <c r="B33" s="19" t="s">
        <v>107</v>
      </c>
      <c r="C33" s="101">
        <v>0.14648158999999999</v>
      </c>
    </row>
    <row r="34" spans="2:3" ht="15.75" customHeight="1" x14ac:dyDescent="0.25">
      <c r="B34" s="19" t="s">
        <v>108</v>
      </c>
      <c r="C34" s="101">
        <v>0.18620384500000001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jpphI27OCy7nfT5Gx0a6GAnQRCP2awfQ3h0zcN0lKu0+itbS3sBhi2ydgajQzoCgivhXY9HppyVkmS9DgNP2KA==" saltValue="JXbZ0P3Ei1IPuvN+eW/b7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114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115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119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120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gqEQrdnXQ/qZ81dLlolV8vQdVD31wvlBGAS8VD6z6vY0xtQl283XSK4pdotiDDkMdAt4MqVQLDb2n4bX714UA==" saltValue="obN3vV/Wl6fVrA0sAkDj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132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Rb8asLosDpl2szdkJ9adlJF9sSizeD8Yku5V5tnOs5uzAb43eAXiTstjfdZkUK5wJeSDubjFsG8JZXC4yiPz4w==" saltValue="zPSOF7aIXgXa6fPxOpt//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Du39USjYVQeFZ/vImzHllC2Xu2gfJChxxsI8yjQNygcAb+I/UMLvNDhrjgys4T+/ttyTdqdlLW2X/fuYksE4w==" saltValue="vy+IPeDDOY8G0uLfxmI9p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GEMooBQsQFG6fl2lebtUcL+CjrK1CVDUV1O7nPi6Rlkm56Ja/Qq9BGAuowmTSuTSB5YWKXJYzkRI7niaWE472A==" saltValue="ttxVJyKwuMj3VtaddHkl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0pzU+HIckIIgJ76fjMWp29iqPyf73r+Q5PHeiIx616v55h8YIUQTSIbspGNRkmL7gx6DKbkvHIZtQO1l08sp1w==" saltValue="F09DzRuOpDawxG4srJKB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fS2vbG2I/J2o+NiOR2h6ORO3u1xW9+V8c/nDHT5FrdSEbF+gmLEMQxH5d7B+PDhxxnXiBOy9Ibobo22K3rbg0Q==" saltValue="VKjxNQqJSHMc6trRv53Cg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43.717396986078107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44.834077734861673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190.0226088131827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5.7339673442063903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14.35913960398203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14.35913960398203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14.35913960398203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14.35913960398203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14.35913960398203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14.35913960398203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0.41542488627073471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2.3937511111111101E-2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0.23591980000000001</v>
      </c>
      <c r="C18" s="98">
        <v>0.95</v>
      </c>
      <c r="D18" s="56">
        <v>4.4482358424844612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0.23591980000000001</v>
      </c>
      <c r="C19" s="98">
        <v>0.95</v>
      </c>
      <c r="D19" s="56">
        <v>4.4482358424844612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56.625848696237107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24.569538152769219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4.7648286502090178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0.69322219271638008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20.68706504341953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0.52424380000000004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0.5944374</v>
      </c>
      <c r="C29" s="98">
        <v>0.95</v>
      </c>
      <c r="D29" s="56">
        <v>80.983006519796163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0.43586457689828911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0.85083653245513768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0.93940820000000003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0.13994980000000001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2.1327200000000001E-2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0.97755639999999999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8.7485800000000002E-2</v>
      </c>
      <c r="C38" s="98">
        <v>0.95</v>
      </c>
      <c r="D38" s="56">
        <v>2.6133364444192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ljqXdpBXcwORW2QZSN9Hr74XaA2goJy1Lx451GT2dWFIjCxTwueZc9d8c8KOik2WDDBuv6CAXoXh4Vzl4cnZSg==" saltValue="rkFUS45qgXPBokWrxA3P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BizbxkkIM6QhasfJj/ZDvC/Qdu6ps1puGYs6vMxnHGpDHl2TOQVi2W3aHPKlknImHpxwvDTO4maUJqmkYCW8g==" saltValue="Bu4/M3ud5+m/ixYcjxxB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EP/414oLH66sjm8kZCtspEgwQNMlfJihhnSo11jBROUUm96YO1BwK8W4A/L3JXALvqQme34B+QiOR+ldlVMmng==" saltValue="rMdhezO89BU2MoV8zMK+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6JmzN/VxElghyiE2OqaMNK1GM9hoOslAQ2u8EteS+pJuqUs1pCP3jcZBtRZx+eCn2dMvH4WmX1W8TGG4x+eS+g==" saltValue="eLamzDjXQhuST6go4HHM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50N6Us7W2zy2o/BMllYvEjMkFp/BCXOIFpa50/9MDL9tvs89xSEIsnrDAb0zDxoviMgPq5mGfAqaIP74XRqgg==" saltValue="jrNdrOZyqLnEUtOqfX+A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27c9GAw/I2UoMbwgPkwQwbABthCw5v8/IjX6bIpq1YmiLyG2OFyXPMRgcCA125li4nmXfdM6+mdl59LbHuPISQ==" saltValue="YaY1djq0IU/UzjodLNUV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yar/oEZYE9yUnVIewKdWu4Nvc5DcyrVugO1AsKIcF0AtlhOxRU+bGdu7c5ql5PiIadFW6Qq05MjOEoPnBnUew==" saltValue="yQfZaCSZxAvDakowI4c1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2ieDuHHTKzcklhYhnEiU+Ni9KU5WKYjORJVbD+7dMX5LF/LDNvEtFXcsaNvgGyPcrWOgaqu7Wo8xs6L40LDpg==" saltValue="9pJsnlOjXu8FfHEs9swo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sz+McnPRcfdqXVnUbNkIyOLx2leie/tRD7rJYGbJfnncgHKtZbnEzRvKV68Xwu61+IzoX/UWHQbZVvhZO8akA==" saltValue="DJNre72Y9Vvk279HseG0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ZotmXcAdM8lWNwpmHLPOa9daTu/hIz4tPNEKqcpq/yx2PzcOMKlXWU73xeJ3xsUPaEyJW7IZCLBrTyHojN7Ew==" saltValue="yJezBQ2Fx6W/IMOr+EGbT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iy0etFdrHheCICxUsHZjoHpOGHLdkB5+T+gzOL/djIQbv3b3REban2KzjMJq8Huev8WaZHgSoxalcs1SW9cNQ==" saltValue="LF07yh1tXTxD+2Fsi4sid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8SYS5fbc+X/iRHeoJazob8/6etmaWoRv70jG+isdSF8IUI97eQCHw+qeAlWndPEgapPAFnx7gnMlXIAiV+93w==" saltValue="GHZeepFMypEsbQy0kjsa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otA9Vdvn+CqNCIMpwF84Fq8ooyYxgT/DotrDXxUI0huuJ5y9FeMT22NuatWG+6A2F1C6mWveGhLeYV9Sdfjgg==" saltValue="FI5oYaq4T7cT8sLdYqG0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U8teuS2tufJCN8cgRaWVXyxgqK4GpmyNCNXAsg8C/oSWpAablB3evDBXnRHb5twySueZ9ZWWydC7rsfDOGhmw==" saltValue="/hRNf+WAddOi1bVc3xZC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HosimHamqiNs8Yw/X0dDDAluTwk14UuxpeoCCK+iCS8dpZiUjnN6WvVxpFT1QH/k4Q+IwRfzKhoqESM//StVw==" saltValue="JdJFsRHcn+D12tlk96KA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qK1FC652VwO+IHQrqzBcoF7hFLNQtP/rTJ0gjjlK+BD0BzVmdgkd5Hvn4j07FI2+hYVVOLIV8JvcPNbq5Bayg==" saltValue="XxzZuPY5BeVfWEv7MnXy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MFJaFq7zOnFtPvFbLu11JLPPLWTG+IvheAVyEsQ/IKlzNTdo8/8Dao2p9DUNU8H33RCM12LXhT+fv9rjdU+Cw==" saltValue="FlnDiUvENTrPhB67v5rN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0.10806018073899692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0.10970287223658026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0.10895181457602832</v>
      </c>
      <c r="G20" s="90">
        <f>MIN(MAX(1-0.89/(1-frac_mam_12_23months+(frac_mam_12_23months*0.89)),0),1)</f>
        <v>0.10927067439110871</v>
      </c>
      <c r="H20" s="90">
        <f>MIN(MAX(1-0.89/(1-frac_mam_24_59months+(frac_mam_24_59months*0.89)),0),1)</f>
        <v>0.1092979932133511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9.8042264132126578E-3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9.9699624886618876E-3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9.8941170867753447E-3</v>
      </c>
      <c r="G75" s="90">
        <f>MIN(MAX(1-0.99/(1-frac_mam_12_23months+(frac_mam_12_23months*0.99)),0),1)</f>
        <v>9.9263028742807569E-3</v>
      </c>
      <c r="H75" s="90">
        <f>MIN(MAX(1-0.99/(1-frac_mam_24_59months+(frac_mam_24_59months*0.99)),0),1)</f>
        <v>9.9290614172505842E-3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0.19682404952961197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0.19951426525615734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0.19828527651511607</v>
      </c>
      <c r="G130" s="90">
        <f>MIN(MAX(1-0.8/(1-frac_mam_12_23months+(frac_mam_12_23months*0.8)),0),1)</f>
        <v>0.19880724832672891</v>
      </c>
      <c r="H130" s="90">
        <f>MIN(MAX(1-0.8/(1-frac_mam_24_59months+(frac_mam_24_59months*0.8)),0),1)</f>
        <v>0.1988519548513018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lc/JCkiD/4ZtiEJxqhnRMnNvwHG2xqA556JOx/K3yHr3XHOexjn61tUqWf9Iee2p11lTmU2JlVEJq5sYwaaiQ==" saltValue="puIqkN06DGOT65I5Av4B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1IUbX/+citr4uD2SIq6OZp/WpOtNSoBXoAxz/pEqMqB/25+2L3kk5/cVzS6dZvzSDVzYa0qbWJATzWNOVjKcw==" saltValue="n1lpVVLc8KzeWQdhE8g+X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2024-08-06T09:22:01Z</dcterms:modified>
</cp:coreProperties>
</file>