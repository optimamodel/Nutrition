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fr\LiST countries\"/>
    </mc:Choice>
  </mc:AlternateContent>
  <xr:revisionPtr revIDLastSave="0" documentId="8_{42A41A5F-8FF9-4A9C-ACBA-AE7CF912E9AD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Données économiques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apports des cotes" sheetId="23" state="hidden" r:id="rId21"/>
    <sheet name="Programmes-rés. des naissances" sheetId="24" state="hidden" r:id="rId22"/>
    <sheet name="Risques des rés. des naissances" sheetId="21" state="hidden" r:id="rId23"/>
    <sheet name="Risques relatifs" sheetId="22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G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E112" i="27"/>
  <c r="D112" i="27"/>
  <c r="H97" i="27"/>
  <c r="H152" i="27" s="1"/>
  <c r="G97" i="27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G112" i="27" s="1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H12" i="2"/>
  <c r="G12" i="2"/>
  <c r="H11" i="2"/>
  <c r="G11" i="2"/>
  <c r="I11" i="2" s="1"/>
  <c r="H10" i="2"/>
  <c r="G10" i="2"/>
  <c r="H9" i="2"/>
  <c r="G9" i="2"/>
  <c r="H8" i="2"/>
  <c r="G8" i="2"/>
  <c r="H7" i="2"/>
  <c r="G7" i="2"/>
  <c r="I7" i="2" s="1"/>
  <c r="H6" i="2"/>
  <c r="G6" i="2"/>
  <c r="I6" i="2" s="1"/>
  <c r="H5" i="2"/>
  <c r="G5" i="2"/>
  <c r="H4" i="2"/>
  <c r="G4" i="2"/>
  <c r="H3" i="2"/>
  <c r="G3" i="2"/>
  <c r="I3" i="2" s="1"/>
  <c r="H2" i="2"/>
  <c r="G2" i="2"/>
  <c r="I2" i="2" s="1"/>
  <c r="A2" i="2"/>
  <c r="A39" i="2" s="1"/>
  <c r="C33" i="1"/>
  <c r="C20" i="1"/>
  <c r="A22" i="2" l="1"/>
  <c r="I12" i="2"/>
  <c r="A35" i="2"/>
  <c r="A24" i="2"/>
  <c r="A36" i="2"/>
  <c r="A19" i="2"/>
  <c r="A23" i="2"/>
  <c r="A37" i="2"/>
  <c r="I4" i="2"/>
  <c r="I8" i="2"/>
  <c r="A25" i="2"/>
  <c r="A26" i="2"/>
  <c r="I39" i="2"/>
  <c r="I9" i="2"/>
  <c r="I13" i="2"/>
  <c r="A31" i="2"/>
  <c r="A34" i="2"/>
  <c r="A40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<sst xmlns="http://schemas.openxmlformats.org/spreadsheetml/2006/main" count="2159" uniqueCount="368">
  <si>
    <t>Field</t>
  </si>
  <si>
    <t>Causes</t>
  </si>
  <si>
    <t>Sepsis</t>
  </si>
  <si>
    <t>Population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</si>
  <si>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</si>
  <si>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</si>
  <si>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</si>
  <si>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</si>
  <si>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</si>
  <si>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</si>
  <si>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</si>
  <si>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</si>
  <si>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</si>
  <si>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</si>
  <si>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</si>
  <si>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</si>
  <si>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</si>
  <si>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</si>
  <si>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</si>
  <si>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</si>
  <si>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</si>
  <si>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</si>
  <si>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</si>
  <si>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</si>
  <si>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</si>
  <si>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</si>
  <si>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</si>
  <si>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</si>
  <si>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</si>
  <si>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</si>
  <si>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</si>
  <si>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</si>
  <si>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</si>
  <si>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</si>
  <si>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</si>
  <si>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</si>
  <si>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</si>
  <si>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</si>
  <si>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</si>
  <si>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</si>
  <si>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</si>
  <si>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</si>
  <si>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</si>
  <si>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</si>
  <si>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</si>
  <si>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</si>
  <si>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</si>
  <si>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</si>
  <si>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</si>
  <si>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</si>
  <si>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</si>
  <si>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</si>
  <si>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</si>
  <si>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</si>
  <si>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</si>
  <si>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</si>
  <si>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</si>
  <si>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</si>
  <si>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</si>
  <si>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</si>
  <si>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</si>
  <si>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</si>
  <si>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</si>
  <si>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</si>
  <si>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</si>
  <si>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</si>
  <si>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</si>
  <si>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</si>
  <si>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</si>
  <si>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</si>
  <si>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</si>
  <si>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</si>
  <si>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</si>
  <si>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</si>
  <si>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</si>
  <si>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</si>
  <si>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</si>
  <si>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</si>
  <si>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</si>
  <si>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</si>
  <si>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</si>
  <si>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</si>
  <si>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</si>
  <si>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</si>
  <si>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</si>
  <si>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</si>
  <si>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</si>
  <si>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</si>
  <si>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</si>
  <si>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</si>
  <si>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</si>
  <si>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</si>
  <si>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</si>
  <si>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</si>
  <si>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</si>
  <si>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</si>
  <si>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</si>
  <si>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</si>
  <si>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</si>
  <si>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</si>
  <si>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</si>
  <si>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</si>
  <si>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</si>
  <si>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</si>
  <si>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</si>
  <si>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</si>
  <si>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</si>
  <si>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</si>
  <si>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</si>
  <si>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</si>
  <si>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</si>
  <si>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</si>
  <si>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</si>
  <si>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</si>
  <si>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</si>
  <si>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</si>
  <si>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</si>
  <si>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</si>
  <si>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</si>
  <si>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</si>
  <si>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</si>
  <si>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</si>
  <si>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</si>
  <si>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</si>
  <si>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</si>
  <si>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</si>
  <si>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</si>
  <si>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</si>
  <si>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</si>
  <si>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</si>
  <si>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</si>
  <si>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</si>
  <si>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</si>
  <si>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</si>
  <si>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</si>
  <si>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</si>
  <si>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</si>
  <si>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</si>
  <si>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</si>
  <si>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</si>
  <si>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</si>
  <si>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</si>
  <si>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</si>
  <si>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</si>
  <si>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</si>
  <si>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</si>
  <si>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</si>
  <si>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</si>
  <si>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</si>
  <si>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</si>
  <si>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</si>
  <si>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</si>
  <si>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</si>
  <si>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</si>
  <si>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</si>
  <si>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</si>
  <si>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</si>
  <si>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</si>
  <si>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</si>
  <si>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</si>
  <si>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</si>
  <si>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</si>
  <si>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Taux de croissance du PIB</t>
  </si>
  <si>
    <t>PIB par habitant</t>
  </si>
  <si>
    <t>Actualisation (coûts)</t>
  </si>
  <si>
    <t>Actualisation (avantages)</t>
  </si>
  <si>
    <t>Pourcentage des gains à vie réellement réalisés</t>
  </si>
  <si>
    <t>Âge de départ de la population active</t>
  </si>
  <si>
    <t>Âge d’entrée dans la population active</t>
  </si>
  <si>
    <t>Participation des femmes à la population active</t>
  </si>
  <si>
    <t>Pourcentage de la grossesse auquel attribuer la perte de productivité imputée à l’anémie maternelle</t>
  </si>
  <si>
    <t>Augmentation des points QI grâce à l’allaitement maternel</t>
  </si>
  <si>
    <t>Augmentation de gains grâce à une augmentation d’un point du QI</t>
  </si>
  <si>
    <t>Part du travail du PIB</t>
  </si>
  <si>
    <t>Pourcentage de réduction des gains à vie pour un individu avec un retard de croissance</t>
  </si>
  <si>
    <t>Pourcentage de la perte de productivité imputable à l’anémie infantile</t>
  </si>
  <si>
    <t>Pourcentage de la perte de productivité imputable à l’insuffisance pondérale à la naissance</t>
  </si>
  <si>
    <t>Pourcentage de la perte de productivité imputable à l’anémie maternelle</t>
  </si>
  <si>
    <t>Pourcentage des mortinaissances à inclure pour la perte de productivité</t>
  </si>
  <si>
    <t>Nombre de personnes qui restent en vie (Avec un point de départ de 100.000 naissances)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</si>
  <si>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</si>
  <si>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</si>
  <si>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</si>
  <si>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</si>
  <si>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</si>
  <si>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</si>
  <si>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</si>
  <si>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</si>
  <si>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</si>
  <si>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</si>
  <si>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</si>
  <si>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</si>
  <si>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</si>
  <si>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</si>
  <si>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</si>
  <si>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</si>
  <si>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</si>
  <si>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</si>
  <si>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</si>
  <si>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</si>
  <si>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</si>
  <si>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</si>
  <si>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</si>
  <si>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</si>
  <si>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</si>
  <si>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</si>
  <si>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</si>
  <si>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</si>
  <si>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</si>
  <si>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</si>
  <si>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</si>
  <si>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</si>
  <si>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</si>
  <si>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</si>
  <si>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</si>
  <si>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</si>
  <si>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</si>
  <si>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</si>
  <si>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</si>
  <si>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</si>
  <si>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</si>
  <si>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</si>
  <si>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</si>
  <si>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</si>
  <si>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</si>
  <si>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</si>
  <si>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</si>
  <si>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</si>
  <si>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</si>
  <si>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</si>
  <si>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</si>
  <si>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</si>
  <si>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</si>
  <si>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</si>
  <si>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</si>
  <si>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</si>
  <si>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</si>
  <si>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</si>
  <si>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</si>
  <si>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</si>
  <si>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</si>
  <si>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</si>
  <si>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</si>
  <si>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</si>
  <si>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</si>
  <si>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</si>
  <si>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</si>
  <si>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</si>
  <si>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</si>
  <si>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</si>
  <si>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</si>
  <si>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</si>
  <si>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</si>
  <si>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</si>
  <si>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</si>
  <si>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</si>
  <si>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</si>
  <si>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</si>
  <si>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</si>
  <si>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</si>
  <si>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Mortinaissances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</si>
  <si>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</si>
  <si>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</si>
  <si>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</si>
  <si>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</si>
  <si>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</si>
  <si>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</si>
  <si>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</si>
  <si>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</si>
  <si>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</si>
  <si>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</si>
  <si>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</si>
  <si>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</si>
  <si>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</si>
  <si>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</si>
  <si>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</si>
  <si>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</si>
  <si>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</si>
  <si>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</si>
  <si>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</si>
  <si>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</si>
  <si>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</si>
  <si>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</si>
  <si>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Émaciation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</si>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</sst>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31</v>
      </c>
      <c r="B1" s="29" t="s">
        <v>0</v>
      </c>
      <c r="C1" s="29" t="s">
        <v>84</v>
      </c>
    </row>
    <row r="2" spans="1:3" ht="15.9" customHeight="1" x14ac:dyDescent="0.3">
      <c r="A2" s="8" t="s">
        <v>32</v>
      </c>
      <c r="B2" s="29"/>
      <c r="C2" s="29"/>
    </row>
    <row r="3" spans="1:3" ht="15.9" customHeight="1" x14ac:dyDescent="0.3">
      <c r="A3" s="1"/>
      <c r="B3" s="5" t="s">
        <v>33</v>
      </c>
      <c r="C3" s="41">
        <v>2024</v>
      </c>
    </row>
    <row r="4" spans="1:3" ht="15.9" customHeight="1" x14ac:dyDescent="0.3">
      <c r="A4" s="1"/>
      <c r="B4" s="5" t="s">
        <v>34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35</v>
      </c>
    </row>
    <row r="7" spans="1:3" ht="15" customHeight="1" x14ac:dyDescent="0.25">
      <c r="B7" s="11" t="s">
        <v>36</v>
      </c>
      <c r="C7" s="43">
        <v>160781</v>
      </c>
    </row>
    <row r="8" spans="1:3" ht="15" customHeight="1" x14ac:dyDescent="0.25">
      <c r="B8" s="5" t="s">
        <v>37</v>
      </c>
      <c r="C8" s="44">
        <v>1.7000000000000001E-2</v>
      </c>
    </row>
    <row r="9" spans="1:3" ht="15" customHeight="1" x14ac:dyDescent="0.25">
      <c r="B9" s="5" t="s">
        <v>38</v>
      </c>
      <c r="C9" s="45">
        <v>0.01</v>
      </c>
    </row>
    <row r="10" spans="1:3" ht="15" customHeight="1" x14ac:dyDescent="0.25">
      <c r="B10" s="5" t="s">
        <v>39</v>
      </c>
      <c r="C10" s="45">
        <v>0.777842483520508</v>
      </c>
    </row>
    <row r="11" spans="1:3" ht="15" customHeight="1" x14ac:dyDescent="0.25">
      <c r="B11" s="5" t="s">
        <v>40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42</v>
      </c>
      <c r="C13" s="45">
        <v>0.39600000000000002</v>
      </c>
    </row>
    <row r="14" spans="1:3" ht="15" customHeight="1" x14ac:dyDescent="0.25">
      <c r="B14" s="8"/>
    </row>
    <row r="15" spans="1:3" ht="15" customHeight="1" x14ac:dyDescent="0.3">
      <c r="A15" s="8" t="s">
        <v>43</v>
      </c>
      <c r="B15" s="14"/>
      <c r="C15" s="3"/>
    </row>
    <row r="16" spans="1:3" ht="15" customHeight="1" x14ac:dyDescent="0.25">
      <c r="B16" s="5" t="s">
        <v>44</v>
      </c>
      <c r="C16" s="45">
        <v>0.1</v>
      </c>
    </row>
    <row r="17" spans="1:3" ht="15" customHeight="1" x14ac:dyDescent="0.25">
      <c r="B17" s="5" t="s">
        <v>45</v>
      </c>
      <c r="C17" s="45">
        <v>0.01</v>
      </c>
    </row>
    <row r="18" spans="1:3" ht="15" customHeight="1" x14ac:dyDescent="0.25">
      <c r="B18" s="5" t="s">
        <v>46</v>
      </c>
      <c r="C18" s="45">
        <v>0.98</v>
      </c>
    </row>
    <row r="19" spans="1:3" ht="15" customHeight="1" x14ac:dyDescent="0.25">
      <c r="B19" s="5" t="s">
        <v>47</v>
      </c>
      <c r="C19" s="45">
        <v>0.01</v>
      </c>
    </row>
    <row r="20" spans="1:3" ht="15" customHeight="1" x14ac:dyDescent="0.25">
      <c r="B20" s="5" t="s">
        <v>48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49</v>
      </c>
    </row>
    <row r="23" spans="1:3" ht="15" customHeight="1" x14ac:dyDescent="0.25">
      <c r="B23" s="15" t="s">
        <v>50</v>
      </c>
      <c r="C23" s="45">
        <v>9.9900000000000003E-2</v>
      </c>
    </row>
    <row r="24" spans="1:3" ht="15" customHeight="1" x14ac:dyDescent="0.25">
      <c r="B24" s="15" t="s">
        <v>51</v>
      </c>
      <c r="C24" s="45">
        <v>0.6048</v>
      </c>
    </row>
    <row r="25" spans="1:3" ht="15" customHeight="1" x14ac:dyDescent="0.25">
      <c r="B25" s="15" t="s">
        <v>52</v>
      </c>
      <c r="C25" s="45">
        <v>0.27869999999999989</v>
      </c>
    </row>
    <row r="26" spans="1:3" ht="15" customHeight="1" x14ac:dyDescent="0.25">
      <c r="B26" s="15" t="s">
        <v>53</v>
      </c>
      <c r="C26" s="45">
        <v>1.66E-2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54</v>
      </c>
      <c r="B28" s="15"/>
      <c r="C28" s="15"/>
    </row>
    <row r="29" spans="1:3" ht="14.25" customHeight="1" x14ac:dyDescent="0.25">
      <c r="B29" s="25" t="s">
        <v>55</v>
      </c>
      <c r="C29" s="45">
        <v>0.51101988116637098</v>
      </c>
    </row>
    <row r="30" spans="1:3" ht="14.25" customHeight="1" x14ac:dyDescent="0.25">
      <c r="B30" s="25" t="s">
        <v>56</v>
      </c>
      <c r="C30" s="99">
        <v>3.6928466503456402E-2</v>
      </c>
    </row>
    <row r="31" spans="1:3" ht="14.25" customHeight="1" x14ac:dyDescent="0.25">
      <c r="B31" s="25" t="s">
        <v>57</v>
      </c>
      <c r="C31" s="99">
        <v>4.0966963582223501E-2</v>
      </c>
    </row>
    <row r="32" spans="1:3" ht="14.25" customHeight="1" x14ac:dyDescent="0.25">
      <c r="B32" s="25" t="s">
        <v>58</v>
      </c>
      <c r="C32" s="99">
        <v>0.41108468874794901</v>
      </c>
    </row>
    <row r="33" spans="1:5" ht="13.25" customHeight="1" x14ac:dyDescent="0.25">
      <c r="B33" s="27" t="s">
        <v>59</v>
      </c>
      <c r="C33" s="48">
        <f>SUM(C29:C32)</f>
        <v>0.99999999999999989</v>
      </c>
    </row>
    <row r="34" spans="1:5" ht="15" customHeight="1" x14ac:dyDescent="0.25"/>
    <row r="35" spans="1:5" ht="15" customHeight="1" x14ac:dyDescent="0.3">
      <c r="A35" s="4" t="s">
        <v>60</v>
      </c>
    </row>
    <row r="36" spans="1:5" ht="15" customHeight="1" x14ac:dyDescent="0.25">
      <c r="A36" s="8" t="s">
        <v>61</v>
      </c>
      <c r="B36" s="5"/>
    </row>
    <row r="37" spans="1:5" ht="15" customHeight="1" x14ac:dyDescent="0.25">
      <c r="B37" s="11" t="s">
        <v>62</v>
      </c>
      <c r="C37" s="43">
        <v>8.1054700000000004</v>
      </c>
    </row>
    <row r="38" spans="1:5" ht="15" customHeight="1" x14ac:dyDescent="0.25">
      <c r="B38" s="11" t="s">
        <v>63</v>
      </c>
      <c r="C38" s="43">
        <v>11.39776</v>
      </c>
      <c r="D38" s="12"/>
      <c r="E38" s="13"/>
    </row>
    <row r="39" spans="1:5" ht="15" customHeight="1" x14ac:dyDescent="0.25">
      <c r="B39" s="11" t="s">
        <v>64</v>
      </c>
      <c r="C39" s="43">
        <v>13.240740000000001</v>
      </c>
      <c r="D39" s="12"/>
      <c r="E39" s="12"/>
    </row>
    <row r="40" spans="1:5" ht="15" customHeight="1" x14ac:dyDescent="0.25">
      <c r="B40" s="11" t="s">
        <v>65</v>
      </c>
      <c r="C40" s="100">
        <v>0.59</v>
      </c>
    </row>
    <row r="41" spans="1:5" ht="15" customHeight="1" x14ac:dyDescent="0.25">
      <c r="B41" s="11" t="s">
        <v>66</v>
      </c>
      <c r="C41" s="45">
        <v>0.12</v>
      </c>
    </row>
    <row r="42" spans="1:5" ht="15" customHeight="1" x14ac:dyDescent="0.25">
      <c r="B42" s="11" t="s">
        <v>67</v>
      </c>
      <c r="C42" s="43">
        <v>6.6129100000000003</v>
      </c>
    </row>
    <row r="43" spans="1:5" ht="15.75" customHeight="1" x14ac:dyDescent="0.25">
      <c r="D43" s="12"/>
    </row>
    <row r="44" spans="1:5" ht="15.75" customHeight="1" x14ac:dyDescent="0.25">
      <c r="A44" s="8" t="s">
        <v>68</v>
      </c>
      <c r="D44" s="12"/>
    </row>
    <row r="45" spans="1:5" ht="15.75" customHeight="1" x14ac:dyDescent="0.25">
      <c r="B45" s="11" t="s">
        <v>69</v>
      </c>
      <c r="C45" s="45">
        <v>6.1101999999999997E-3</v>
      </c>
      <c r="D45" s="12"/>
    </row>
    <row r="46" spans="1:5" ht="15.75" customHeight="1" x14ac:dyDescent="0.25">
      <c r="B46" s="11" t="s">
        <v>70</v>
      </c>
      <c r="C46" s="45">
        <v>6.4331199999999991E-2</v>
      </c>
      <c r="D46" s="12"/>
    </row>
    <row r="47" spans="1:5" ht="15.75" customHeight="1" x14ac:dyDescent="0.25">
      <c r="B47" s="11" t="s">
        <v>71</v>
      </c>
      <c r="C47" s="45">
        <v>6.5170800000000001E-2</v>
      </c>
      <c r="D47" s="12"/>
      <c r="E47" s="13"/>
    </row>
    <row r="48" spans="1:5" ht="15" customHeight="1" x14ac:dyDescent="0.25">
      <c r="B48" s="11" t="s">
        <v>72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73</v>
      </c>
      <c r="D50" s="12"/>
    </row>
    <row r="51" spans="1:4" ht="15.75" customHeight="1" x14ac:dyDescent="0.25">
      <c r="B51" s="11" t="s">
        <v>74</v>
      </c>
      <c r="C51" s="100">
        <v>3.2</v>
      </c>
      <c r="D51" s="12"/>
    </row>
    <row r="52" spans="1:4" ht="15" customHeight="1" x14ac:dyDescent="0.25">
      <c r="B52" s="11" t="s">
        <v>75</v>
      </c>
      <c r="C52" s="100">
        <v>3.2</v>
      </c>
    </row>
    <row r="53" spans="1:4" ht="15.75" customHeight="1" x14ac:dyDescent="0.25">
      <c r="B53" s="11" t="s">
        <v>76</v>
      </c>
      <c r="C53" s="100">
        <v>3.2</v>
      </c>
    </row>
    <row r="54" spans="1:4" ht="15.75" customHeight="1" x14ac:dyDescent="0.25">
      <c r="B54" s="11" t="s">
        <v>77</v>
      </c>
      <c r="C54" s="100">
        <v>3.2</v>
      </c>
    </row>
    <row r="55" spans="1:4" ht="15.75" customHeight="1" x14ac:dyDescent="0.25">
      <c r="B55" s="11" t="s">
        <v>78</v>
      </c>
      <c r="C55" s="100">
        <v>3.2</v>
      </c>
    </row>
    <row r="57" spans="1:4" ht="15.75" customHeight="1" x14ac:dyDescent="0.25">
      <c r="A57" s="8" t="s">
        <v>79</v>
      </c>
    </row>
    <row r="58" spans="1:4" ht="15.75" customHeight="1" x14ac:dyDescent="0.25">
      <c r="B58" s="5" t="s">
        <v>80</v>
      </c>
      <c r="C58" s="45">
        <v>1.9375E-2</v>
      </c>
    </row>
    <row r="59" spans="1:4" ht="15.75" customHeight="1" x14ac:dyDescent="0.25">
      <c r="B59" s="11" t="s">
        <v>81</v>
      </c>
      <c r="C59" s="45">
        <v>0.61096899999999998</v>
      </c>
    </row>
    <row r="60" spans="1:4" ht="15.75" customHeight="1" x14ac:dyDescent="0.25">
      <c r="B60" s="11" t="s">
        <v>82</v>
      </c>
      <c r="C60" s="45">
        <v>4.5999999999999999E-2</v>
      </c>
    </row>
    <row r="61" spans="1:4" ht="15.75" customHeight="1" x14ac:dyDescent="0.25">
      <c r="B61" s="11" t="s">
        <v>83</v>
      </c>
      <c r="C61" s="45">
        <v>1.4E-2</v>
      </c>
    </row>
    <row r="62" spans="1:4" ht="15.75" customHeight="1" x14ac:dyDescent="0.25">
      <c r="B62" s="11" t="s">
        <v>85</v>
      </c>
      <c r="C62" s="44">
        <v>5.0010632999999999E-2</v>
      </c>
    </row>
    <row r="63" spans="1:4" ht="15.75" customHeight="1" x14ac:dyDescent="0.3">
      <c r="A63" s="4"/>
    </row>
  </sheetData>
  <sheetProtection algorithmName="SHA-512" hashValue="g0Z2/x3KqmUM7LE0xJcdyG1683fEDU/Up9rgxUBApGaVSD4Kd0iW1Wg6WWAbdxHr3YxTFP5EbIe0L2qVJe/QKg==" saltValue="Y1cx76X09rtfi0pU3jgWx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94</v>
      </c>
      <c r="B1" s="20" t="s">
        <v>86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91</v>
      </c>
      <c r="H1" s="18" t="s">
        <v>92</v>
      </c>
      <c r="I1" s="18" t="s">
        <v>93</v>
      </c>
    </row>
    <row r="2" spans="1:9" ht="15.75" customHeight="1" x14ac:dyDescent="0.25">
      <c r="A2" s="5">
        <f>start_year</f>
        <v>2024</v>
      </c>
      <c r="B2" s="49">
        <v>32140</v>
      </c>
      <c r="C2" s="49">
        <v>94083.5</v>
      </c>
      <c r="D2" s="49">
        <v>156248</v>
      </c>
      <c r="E2" s="49">
        <v>237129.5</v>
      </c>
      <c r="F2" s="49">
        <v>219204.99999999997</v>
      </c>
      <c r="G2" s="17">
        <f t="shared" ref="G2:G13" si="0">C2+D2+E2+F2</f>
        <v>706666</v>
      </c>
      <c r="H2" s="17">
        <f t="shared" ref="H2:H13" si="1">(B2 + stillbirth*B2/(1000-stillbirth))/(1-abortion)</f>
        <v>36765.856573319543</v>
      </c>
      <c r="I2" s="17">
        <f t="shared" ref="I2:I13" si="2">G2-H2</f>
        <v>669900.14342668047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31009</v>
      </c>
      <c r="C3" s="50">
        <v>95870</v>
      </c>
      <c r="D3" s="50">
        <v>150238.5</v>
      </c>
      <c r="E3" s="50">
        <v>227194.5</v>
      </c>
      <c r="F3" s="50">
        <v>221692.5</v>
      </c>
      <c r="G3" s="17">
        <f t="shared" si="0"/>
        <v>694995.5</v>
      </c>
      <c r="H3" s="17">
        <f t="shared" si="1"/>
        <v>35472.07363043142</v>
      </c>
      <c r="I3" s="17">
        <f t="shared" si="2"/>
        <v>659523.42636956857</v>
      </c>
    </row>
    <row r="4" spans="1:9" ht="15.75" customHeight="1" x14ac:dyDescent="0.25">
      <c r="A4" s="5">
        <f t="shared" si="3"/>
        <v>2026</v>
      </c>
      <c r="B4" s="49">
        <v>29962</v>
      </c>
      <c r="C4" s="50">
        <v>97409</v>
      </c>
      <c r="D4" s="50">
        <v>147507.99999999997</v>
      </c>
      <c r="E4" s="50">
        <v>215224.5</v>
      </c>
      <c r="F4" s="50">
        <v>225046.5</v>
      </c>
      <c r="G4" s="17">
        <f t="shared" si="0"/>
        <v>685188</v>
      </c>
      <c r="H4" s="17">
        <f t="shared" si="1"/>
        <v>34274.380667386438</v>
      </c>
      <c r="I4" s="17">
        <f t="shared" si="2"/>
        <v>650913.61933261354</v>
      </c>
    </row>
    <row r="5" spans="1:9" ht="15.75" customHeight="1" x14ac:dyDescent="0.25">
      <c r="A5" s="5">
        <f t="shared" si="3"/>
        <v>2027</v>
      </c>
      <c r="B5" s="49">
        <v>29290</v>
      </c>
      <c r="C5" s="50">
        <v>98955</v>
      </c>
      <c r="D5" s="50">
        <v>148112.5</v>
      </c>
      <c r="E5" s="50">
        <v>202361</v>
      </c>
      <c r="F5" s="50">
        <v>228930.5</v>
      </c>
      <c r="G5" s="17">
        <f t="shared" si="0"/>
        <v>678359</v>
      </c>
      <c r="H5" s="17">
        <f t="shared" si="1"/>
        <v>33505.660828641237</v>
      </c>
      <c r="I5" s="17">
        <f t="shared" si="2"/>
        <v>644853.33917135873</v>
      </c>
    </row>
    <row r="6" spans="1:9" ht="15.75" customHeight="1" x14ac:dyDescent="0.25">
      <c r="A6" s="5">
        <f t="shared" si="3"/>
        <v>2028</v>
      </c>
      <c r="B6" s="49">
        <v>28743</v>
      </c>
      <c r="C6" s="50">
        <v>100568.5</v>
      </c>
      <c r="D6" s="50">
        <v>150773</v>
      </c>
      <c r="E6" s="50">
        <v>189086.5</v>
      </c>
      <c r="F6" s="50">
        <v>232184</v>
      </c>
      <c r="G6" s="17">
        <f t="shared" si="0"/>
        <v>672612</v>
      </c>
      <c r="H6" s="17">
        <f t="shared" si="1"/>
        <v>32879.932031329299</v>
      </c>
      <c r="I6" s="17">
        <f t="shared" si="2"/>
        <v>639732.06796867074</v>
      </c>
    </row>
    <row r="7" spans="1:9" ht="15.75" customHeight="1" x14ac:dyDescent="0.25">
      <c r="A7" s="5">
        <f t="shared" si="3"/>
        <v>2029</v>
      </c>
      <c r="B7" s="49">
        <v>28295</v>
      </c>
      <c r="C7" s="50">
        <v>102568.5</v>
      </c>
      <c r="D7" s="50">
        <v>154713.5</v>
      </c>
      <c r="E7" s="50">
        <v>176327</v>
      </c>
      <c r="F7" s="50">
        <v>233993.49999999997</v>
      </c>
      <c r="G7" s="17">
        <f t="shared" si="0"/>
        <v>667602.5</v>
      </c>
      <c r="H7" s="17">
        <f t="shared" si="1"/>
        <v>32367.452138832497</v>
      </c>
      <c r="I7" s="17">
        <f t="shared" si="2"/>
        <v>635235.04786116746</v>
      </c>
    </row>
    <row r="8" spans="1:9" ht="15.75" customHeight="1" x14ac:dyDescent="0.25">
      <c r="A8" s="5">
        <f t="shared" si="3"/>
        <v>2030</v>
      </c>
      <c r="B8" s="49">
        <v>27903</v>
      </c>
      <c r="C8" s="50">
        <v>104696.5</v>
      </c>
      <c r="D8" s="50">
        <v>159156</v>
      </c>
      <c r="E8" s="50">
        <v>164728</v>
      </c>
      <c r="F8" s="50">
        <v>234145.50000000003</v>
      </c>
      <c r="G8" s="17">
        <f t="shared" si="0"/>
        <v>662726</v>
      </c>
      <c r="H8" s="17">
        <f t="shared" si="1"/>
        <v>31919.032232897796</v>
      </c>
      <c r="I8" s="17">
        <f t="shared" si="2"/>
        <v>630806.96776710218</v>
      </c>
    </row>
    <row r="9" spans="1:9" ht="15.75" customHeight="1" x14ac:dyDescent="0.25">
      <c r="A9" s="5">
        <f t="shared" si="3"/>
        <v>2031</v>
      </c>
      <c r="B9" s="49">
        <v>27588</v>
      </c>
      <c r="C9" s="50">
        <v>106300</v>
      </c>
      <c r="D9" s="50">
        <v>163815.5</v>
      </c>
      <c r="E9" s="50">
        <v>154441</v>
      </c>
      <c r="F9" s="50">
        <v>233016</v>
      </c>
      <c r="G9" s="17">
        <f t="shared" si="0"/>
        <v>657572.5</v>
      </c>
      <c r="H9" s="17">
        <f t="shared" si="1"/>
        <v>31558.694808485987</v>
      </c>
      <c r="I9" s="17">
        <f t="shared" si="2"/>
        <v>626013.80519151397</v>
      </c>
    </row>
    <row r="10" spans="1:9" ht="15.75" customHeight="1" x14ac:dyDescent="0.25">
      <c r="A10" s="5">
        <f t="shared" si="3"/>
        <v>2032</v>
      </c>
      <c r="B10" s="49">
        <v>27376</v>
      </c>
      <c r="C10" s="50">
        <v>106331</v>
      </c>
      <c r="D10" s="50">
        <v>168720.50000000003</v>
      </c>
      <c r="E10" s="50">
        <v>145202</v>
      </c>
      <c r="F10" s="50">
        <v>230821.5</v>
      </c>
      <c r="G10" s="17">
        <f t="shared" si="0"/>
        <v>651075</v>
      </c>
      <c r="H10" s="17">
        <f t="shared" si="1"/>
        <v>31316.182002215181</v>
      </c>
      <c r="I10" s="17">
        <f t="shared" si="2"/>
        <v>619758.81799778482</v>
      </c>
    </row>
    <row r="11" spans="1:9" ht="15.75" customHeight="1" x14ac:dyDescent="0.25">
      <c r="A11" s="5">
        <f t="shared" si="3"/>
        <v>2033</v>
      </c>
      <c r="B11" s="49">
        <v>27253</v>
      </c>
      <c r="C11" s="50">
        <v>104272</v>
      </c>
      <c r="D11" s="50">
        <v>173856</v>
      </c>
      <c r="E11" s="50">
        <v>137022.5</v>
      </c>
      <c r="F11" s="50">
        <v>227187</v>
      </c>
      <c r="G11" s="17">
        <f t="shared" si="0"/>
        <v>642337.5</v>
      </c>
      <c r="H11" s="17">
        <f t="shared" si="1"/>
        <v>31175.478817444851</v>
      </c>
      <c r="I11" s="17">
        <f t="shared" si="2"/>
        <v>611162.02118255512</v>
      </c>
    </row>
    <row r="12" spans="1:9" ht="15.75" customHeight="1" x14ac:dyDescent="0.25">
      <c r="A12" s="5">
        <f t="shared" si="3"/>
        <v>2034</v>
      </c>
      <c r="B12" s="49">
        <v>27182</v>
      </c>
      <c r="C12" s="50">
        <v>100289.5</v>
      </c>
      <c r="D12" s="50">
        <v>179124.5</v>
      </c>
      <c r="E12" s="50">
        <v>130922</v>
      </c>
      <c r="F12" s="50">
        <v>221362.5</v>
      </c>
      <c r="G12" s="17">
        <f t="shared" si="0"/>
        <v>631698.5</v>
      </c>
      <c r="H12" s="17">
        <f t="shared" si="1"/>
        <v>31094.259905910763</v>
      </c>
      <c r="I12" s="17">
        <f t="shared" si="2"/>
        <v>600604.24009408918</v>
      </c>
    </row>
    <row r="13" spans="1:9" ht="15.75" customHeight="1" x14ac:dyDescent="0.25">
      <c r="A13" s="5">
        <f t="shared" si="3"/>
        <v>2035</v>
      </c>
      <c r="B13" s="49">
        <v>27195</v>
      </c>
      <c r="C13" s="50">
        <v>94932</v>
      </c>
      <c r="D13" s="50">
        <v>183966.5</v>
      </c>
      <c r="E13" s="50">
        <v>127558</v>
      </c>
      <c r="F13" s="50">
        <v>212990.5</v>
      </c>
      <c r="G13" s="17">
        <f t="shared" si="0"/>
        <v>619447</v>
      </c>
      <c r="H13" s="17">
        <f t="shared" si="1"/>
        <v>31109.130974219817</v>
      </c>
      <c r="I13" s="17">
        <f t="shared" si="2"/>
        <v>588337.86902578024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MA7jOYKB9qWd9nJi5sKynKUes5xZiwhrXcfDIHu83blOVXxlIqwOCBu++sTkkqSZwWBWTAFLVl0FGmvmLUZgcw==" saltValue="P88D3PfcnOih543xLMTGE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95</v>
      </c>
      <c r="B2" s="29" t="s">
        <v>1</v>
      </c>
      <c r="C2" s="29" t="s">
        <v>127</v>
      </c>
      <c r="D2" s="29"/>
      <c r="E2" s="29"/>
      <c r="F2" s="29"/>
      <c r="G2" s="29"/>
    </row>
    <row r="3" spans="1:8" ht="15.75" customHeight="1" x14ac:dyDescent="0.25">
      <c r="B3" s="19" t="s">
        <v>96</v>
      </c>
      <c r="C3" s="55">
        <v>0</v>
      </c>
    </row>
    <row r="4" spans="1:8" ht="15.75" customHeight="1" x14ac:dyDescent="0.25">
      <c r="B4" s="19" t="s">
        <v>97</v>
      </c>
      <c r="C4" s="101">
        <v>0.1540929999999999</v>
      </c>
    </row>
    <row r="5" spans="1:8" ht="15.75" customHeight="1" x14ac:dyDescent="0.25">
      <c r="B5" s="19" t="s">
        <v>98</v>
      </c>
      <c r="C5" s="101">
        <v>4.3544600000000051E-2</v>
      </c>
    </row>
    <row r="6" spans="1:8" ht="15.75" customHeight="1" x14ac:dyDescent="0.25">
      <c r="B6" s="19" t="s">
        <v>99</v>
      </c>
      <c r="C6" s="101">
        <v>0.13350659999999989</v>
      </c>
    </row>
    <row r="7" spans="1:8" ht="15.75" customHeight="1" x14ac:dyDescent="0.25">
      <c r="B7" s="19" t="s">
        <v>100</v>
      </c>
      <c r="C7" s="101">
        <v>0.34353199999999989</v>
      </c>
    </row>
    <row r="8" spans="1:8" ht="15.75" customHeight="1" x14ac:dyDescent="0.25">
      <c r="B8" s="19" t="s">
        <v>101</v>
      </c>
      <c r="C8" s="101">
        <v>0</v>
      </c>
    </row>
    <row r="9" spans="1:8" ht="15.75" customHeight="1" x14ac:dyDescent="0.25">
      <c r="B9" s="19" t="s">
        <v>102</v>
      </c>
      <c r="C9" s="101">
        <v>0.24229560000000019</v>
      </c>
    </row>
    <row r="10" spans="1:8" ht="15.75" customHeight="1" x14ac:dyDescent="0.25">
      <c r="B10" s="19" t="s">
        <v>103</v>
      </c>
      <c r="C10" s="101">
        <v>8.3028199999999941E-2</v>
      </c>
    </row>
    <row r="11" spans="1:8" ht="15.75" customHeight="1" x14ac:dyDescent="0.25">
      <c r="B11" s="27" t="s">
        <v>59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104</v>
      </c>
      <c r="B13" s="29" t="s">
        <v>1</v>
      </c>
      <c r="C13" s="102" t="s">
        <v>114</v>
      </c>
      <c r="D13" s="102" t="s">
        <v>115</v>
      </c>
      <c r="E13" s="102" t="s">
        <v>116</v>
      </c>
      <c r="F13" s="102" t="s">
        <v>117</v>
      </c>
      <c r="G13" s="19"/>
    </row>
    <row r="14" spans="1:8" ht="15.75" customHeight="1" x14ac:dyDescent="0.25">
      <c r="B14" s="19" t="s">
        <v>105</v>
      </c>
      <c r="C14" s="55">
        <v>0.1310706655975018</v>
      </c>
      <c r="D14" s="55">
        <v>0.1310706655975018</v>
      </c>
      <c r="E14" s="55">
        <v>0.1310706655975018</v>
      </c>
      <c r="F14" s="55">
        <v>0.1310706655975018</v>
      </c>
    </row>
    <row r="15" spans="1:8" ht="15.75" customHeight="1" x14ac:dyDescent="0.25">
      <c r="B15" s="19" t="s">
        <v>106</v>
      </c>
      <c r="C15" s="101">
        <v>0.32579698637507032</v>
      </c>
      <c r="D15" s="101">
        <v>0.32579698637507032</v>
      </c>
      <c r="E15" s="101">
        <v>0.32579698637507032</v>
      </c>
      <c r="F15" s="101">
        <v>0.32579698637507032</v>
      </c>
    </row>
    <row r="16" spans="1:8" ht="15.75" customHeight="1" x14ac:dyDescent="0.25">
      <c r="B16" s="19" t="s">
        <v>107</v>
      </c>
      <c r="C16" s="101">
        <v>3.0352653282682381E-2</v>
      </c>
      <c r="D16" s="101">
        <v>3.0352653282682381E-2</v>
      </c>
      <c r="E16" s="101">
        <v>3.0352653282682381E-2</v>
      </c>
      <c r="F16" s="101">
        <v>3.0352653282682381E-2</v>
      </c>
    </row>
    <row r="17" spans="1:8" ht="15.75" customHeight="1" x14ac:dyDescent="0.25">
      <c r="B17" s="19" t="s">
        <v>108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109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110</v>
      </c>
      <c r="C19" s="101">
        <v>7.463023990219639E-3</v>
      </c>
      <c r="D19" s="101">
        <v>7.463023990219639E-3</v>
      </c>
      <c r="E19" s="101">
        <v>7.463023990219639E-3</v>
      </c>
      <c r="F19" s="101">
        <v>7.463023990219639E-3</v>
      </c>
    </row>
    <row r="20" spans="1:8" ht="15.75" customHeight="1" x14ac:dyDescent="0.25">
      <c r="B20" s="19" t="s">
        <v>111</v>
      </c>
      <c r="C20" s="101">
        <v>2.4205317759995671E-2</v>
      </c>
      <c r="D20" s="101">
        <v>2.4205317759995671E-2</v>
      </c>
      <c r="E20" s="101">
        <v>2.4205317759995671E-2</v>
      </c>
      <c r="F20" s="101">
        <v>2.4205317759995671E-2</v>
      </c>
    </row>
    <row r="21" spans="1:8" ht="15.75" customHeight="1" x14ac:dyDescent="0.25">
      <c r="B21" s="19" t="s">
        <v>112</v>
      </c>
      <c r="C21" s="101">
        <v>0.33452651561541241</v>
      </c>
      <c r="D21" s="101">
        <v>0.33452651561541241</v>
      </c>
      <c r="E21" s="101">
        <v>0.33452651561541241</v>
      </c>
      <c r="F21" s="101">
        <v>0.33452651561541241</v>
      </c>
    </row>
    <row r="22" spans="1:8" ht="15.75" customHeight="1" x14ac:dyDescent="0.25">
      <c r="B22" s="19" t="s">
        <v>113</v>
      </c>
      <c r="C22" s="101">
        <v>0.14658483737911779</v>
      </c>
      <c r="D22" s="101">
        <v>0.14658483737911779</v>
      </c>
      <c r="E22" s="101">
        <v>0.14658483737911779</v>
      </c>
      <c r="F22" s="101">
        <v>0.14658483737911779</v>
      </c>
    </row>
    <row r="23" spans="1:8" ht="15.75" customHeight="1" x14ac:dyDescent="0.25">
      <c r="B23" s="27" t="s">
        <v>59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118</v>
      </c>
      <c r="B25" s="29" t="s">
        <v>1</v>
      </c>
      <c r="C25" s="29" t="s">
        <v>118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119</v>
      </c>
      <c r="C26" s="55">
        <v>5.3514945000000001E-2</v>
      </c>
    </row>
    <row r="27" spans="1:8" ht="15.75" customHeight="1" x14ac:dyDescent="0.25">
      <c r="B27" s="19" t="s">
        <v>120</v>
      </c>
      <c r="C27" s="101">
        <v>2.8541006000000001E-2</v>
      </c>
    </row>
    <row r="28" spans="1:8" ht="15.75" customHeight="1" x14ac:dyDescent="0.25">
      <c r="B28" s="19" t="s">
        <v>121</v>
      </c>
      <c r="C28" s="101">
        <v>0.187630466</v>
      </c>
    </row>
    <row r="29" spans="1:8" ht="15.75" customHeight="1" x14ac:dyDescent="0.25">
      <c r="B29" s="19" t="s">
        <v>122</v>
      </c>
      <c r="C29" s="101">
        <v>0.27936675700000002</v>
      </c>
    </row>
    <row r="30" spans="1:8" ht="15.75" customHeight="1" x14ac:dyDescent="0.25">
      <c r="B30" s="19" t="s">
        <v>2</v>
      </c>
      <c r="C30" s="101">
        <v>9.2226500000000002E-4</v>
      </c>
    </row>
    <row r="31" spans="1:8" ht="15.75" customHeight="1" x14ac:dyDescent="0.25">
      <c r="B31" s="19" t="s">
        <v>123</v>
      </c>
      <c r="C31" s="101">
        <v>7.2676198999999997E-2</v>
      </c>
    </row>
    <row r="32" spans="1:8" ht="15.75" customHeight="1" x14ac:dyDescent="0.25">
      <c r="B32" s="19" t="s">
        <v>124</v>
      </c>
      <c r="C32" s="101">
        <v>4.4662927999999998E-2</v>
      </c>
    </row>
    <row r="33" spans="2:3" ht="15.75" customHeight="1" x14ac:dyDescent="0.25">
      <c r="B33" s="19" t="s">
        <v>125</v>
      </c>
      <c r="C33" s="101">
        <v>0.14648158999999999</v>
      </c>
    </row>
    <row r="34" spans="2:3" ht="15.75" customHeight="1" x14ac:dyDescent="0.25">
      <c r="B34" s="19" t="s">
        <v>126</v>
      </c>
      <c r="C34" s="101">
        <v>0.18620384500000001</v>
      </c>
    </row>
    <row r="35" spans="2:3" ht="15.75" customHeight="1" x14ac:dyDescent="0.25">
      <c r="B35" s="27" t="s">
        <v>59</v>
      </c>
      <c r="C35" s="48">
        <f>SUM(C26:C34)</f>
        <v>1.0000000010000001</v>
      </c>
    </row>
  </sheetData>
  <sheetProtection algorithmName="SHA-512" hashValue="yFg5U8um0d7CblGlX2J/G9/RzIhWO4C4y1tCLakW3tESpKjjuHLFwEKiYww7Xe+2JhK78iymlcMV0A3Z393wRA==" saltValue="U+GZBAZicfXNsAg1wOheI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128</v>
      </c>
      <c r="C1" s="11" t="s">
        <v>127</v>
      </c>
      <c r="D1" s="11" t="s">
        <v>114</v>
      </c>
      <c r="E1" s="11" t="s">
        <v>115</v>
      </c>
      <c r="F1" s="11" t="s">
        <v>116</v>
      </c>
      <c r="G1" s="11" t="s">
        <v>117</v>
      </c>
    </row>
    <row r="2" spans="1:15" ht="15.75" customHeight="1" x14ac:dyDescent="0.25">
      <c r="A2" s="3" t="s">
        <v>129</v>
      </c>
      <c r="B2" s="5" t="s">
        <v>130</v>
      </c>
      <c r="C2" s="52">
        <f>IFERROR(1-_xlfn.NORM.DIST(_xlfn.NORM.INV(SUM(C4:C5), 0, 1) + 1, 0, 1, TRUE), "")</f>
        <v>0.58386943192158447</v>
      </c>
      <c r="D2" s="52">
        <f>IFERROR(1-_xlfn.NORM.DIST(_xlfn.NORM.INV(SUM(D4:D5), 0, 1) + 1, 0, 1, TRUE), "")</f>
        <v>0.58386943192158447</v>
      </c>
      <c r="E2" s="52">
        <f>IFERROR(1-_xlfn.NORM.DIST(_xlfn.NORM.INV(SUM(E4:E5), 0, 1) + 1, 0, 1, TRUE), "")</f>
        <v>0.59904026500765561</v>
      </c>
      <c r="F2" s="52">
        <f>IFERROR(1-_xlfn.NORM.DIST(_xlfn.NORM.INV(SUM(F4:F5), 0, 1) + 1, 0, 1, TRUE), "")</f>
        <v>0.4178738712092348</v>
      </c>
      <c r="G2" s="52">
        <f>IFERROR(1-_xlfn.NORM.DIST(_xlfn.NORM.INV(SUM(G4:G5), 0, 1) + 1, 0, 1, TRUE), "")</f>
        <v>0.55338444676169551</v>
      </c>
    </row>
    <row r="3" spans="1:15" ht="15.75" customHeight="1" x14ac:dyDescent="0.25">
      <c r="B3" s="5" t="s">
        <v>131</v>
      </c>
      <c r="C3" s="52">
        <f>IFERROR(_xlfn.NORM.DIST(_xlfn.NORM.INV(SUM(C4:C5), 0, 1) + 1, 0, 1, TRUE) - SUM(C4:C5), "")</f>
        <v>0.30333656807841547</v>
      </c>
      <c r="D3" s="52">
        <f>IFERROR(_xlfn.NORM.DIST(_xlfn.NORM.INV(SUM(D4:D5), 0, 1) + 1, 0, 1, TRUE) - SUM(D4:D5), "")</f>
        <v>0.30333656807841547</v>
      </c>
      <c r="E3" s="52">
        <f>IFERROR(_xlfn.NORM.DIST(_xlfn.NORM.INV(SUM(E4:E5), 0, 1) + 1, 0, 1, TRUE) - SUM(E4:E5), "")</f>
        <v>0.29546763499234441</v>
      </c>
      <c r="F3" s="52">
        <f>IFERROR(_xlfn.NORM.DIST(_xlfn.NORM.INV(SUM(F4:F5), 0, 1) + 1, 0, 1, TRUE) - SUM(F4:F5), "")</f>
        <v>0.36813942879076522</v>
      </c>
      <c r="G3" s="52">
        <f>IFERROR(_xlfn.NORM.DIST(_xlfn.NORM.INV(SUM(G4:G5), 0, 1) + 1, 0, 1, TRUE) - SUM(G4:G5), "")</f>
        <v>0.31826375323830458</v>
      </c>
    </row>
    <row r="4" spans="1:15" ht="15.75" customHeight="1" x14ac:dyDescent="0.25">
      <c r="B4" s="5" t="s">
        <v>132</v>
      </c>
      <c r="C4" s="45">
        <v>9.6012400000000012E-2</v>
      </c>
      <c r="D4" s="53">
        <v>9.6012400000000012E-2</v>
      </c>
      <c r="E4" s="53">
        <v>8.0807699999999996E-2</v>
      </c>
      <c r="F4" s="53">
        <v>0.15705279999999999</v>
      </c>
      <c r="G4" s="53">
        <v>0.1019114</v>
      </c>
    </row>
    <row r="5" spans="1:15" ht="15.75" customHeight="1" x14ac:dyDescent="0.25">
      <c r="B5" s="5" t="s">
        <v>133</v>
      </c>
      <c r="C5" s="45">
        <v>1.6781600000000001E-2</v>
      </c>
      <c r="D5" s="53">
        <v>1.6781600000000001E-2</v>
      </c>
      <c r="E5" s="53">
        <v>2.4684399999999999E-2</v>
      </c>
      <c r="F5" s="53">
        <v>5.6933900000000003E-2</v>
      </c>
      <c r="G5" s="53">
        <v>2.6440399999999999E-2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134</v>
      </c>
      <c r="B8" s="5" t="s">
        <v>135</v>
      </c>
      <c r="C8" s="52">
        <f>IFERROR(1-_xlfn.NORM.DIST(_xlfn.NORM.INV(SUM(C10:C11), 0, 1) + 1, 0, 1, TRUE), "")</f>
        <v>0.77685468030084026</v>
      </c>
      <c r="D8" s="52">
        <f>IFERROR(1-_xlfn.NORM.DIST(_xlfn.NORM.INV(SUM(D10:D11), 0, 1) + 1, 0, 1, TRUE), "")</f>
        <v>0.77685468030084026</v>
      </c>
      <c r="E8" s="52">
        <f>IFERROR(1-_xlfn.NORM.DIST(_xlfn.NORM.INV(SUM(E10:E11), 0, 1) + 1, 0, 1, TRUE), "")</f>
        <v>0.80894052763806945</v>
      </c>
      <c r="F8" s="52">
        <f>IFERROR(1-_xlfn.NORM.DIST(_xlfn.NORM.INV(SUM(F10:F11), 0, 1) + 1, 0, 1, TRUE), "")</f>
        <v>0.92437234173385519</v>
      </c>
      <c r="G8" s="52">
        <f>IFERROR(1-_xlfn.NORM.DIST(_xlfn.NORM.INV(SUM(G10:G11), 0, 1) + 1, 0, 1, TRUE), "")</f>
        <v>0.90640630747336237</v>
      </c>
    </row>
    <row r="9" spans="1:15" ht="15.75" customHeight="1" x14ac:dyDescent="0.25">
      <c r="B9" s="5" t="s">
        <v>136</v>
      </c>
      <c r="C9" s="52">
        <f>IFERROR(_xlfn.NORM.DIST(_xlfn.NORM.INV(SUM(C10:C11), 0, 1) + 1, 0, 1, TRUE) - SUM(C10:C11), "")</f>
        <v>0.18407801969915977</v>
      </c>
      <c r="D9" s="52">
        <f>IFERROR(_xlfn.NORM.DIST(_xlfn.NORM.INV(SUM(D10:D11), 0, 1) + 1, 0, 1, TRUE) - SUM(D10:D11), "")</f>
        <v>0.18407801969915977</v>
      </c>
      <c r="E9" s="52">
        <f>IFERROR(_xlfn.NORM.DIST(_xlfn.NORM.INV(SUM(E10:E11), 0, 1) + 1, 0, 1, TRUE) - SUM(E10:E11), "")</f>
        <v>0.16059417236193055</v>
      </c>
      <c r="F9" s="52">
        <f>IFERROR(_xlfn.NORM.DIST(_xlfn.NORM.INV(SUM(F10:F11), 0, 1) + 1, 0, 1, TRUE) - SUM(F10:F11), "")</f>
        <v>6.8184058266144792E-2</v>
      </c>
      <c r="G9" s="52">
        <f>IFERROR(_xlfn.NORM.DIST(_xlfn.NORM.INV(SUM(G10:G11), 0, 1) + 1, 0, 1, TRUE) - SUM(G10:G11), "")</f>
        <v>8.3394692526637629E-2</v>
      </c>
    </row>
    <row r="10" spans="1:15" ht="15.75" customHeight="1" x14ac:dyDescent="0.25">
      <c r="B10" s="5" t="s">
        <v>137</v>
      </c>
      <c r="C10" s="45">
        <v>3.3972000000000002E-2</v>
      </c>
      <c r="D10" s="53">
        <v>3.3972000000000002E-2</v>
      </c>
      <c r="E10" s="53">
        <v>1.06941E-2</v>
      </c>
      <c r="F10" s="53">
        <v>7.4435999999999999E-3</v>
      </c>
      <c r="G10" s="53">
        <v>7.1650000000000004E-3</v>
      </c>
    </row>
    <row r="11" spans="1:15" ht="15.75" customHeight="1" x14ac:dyDescent="0.25">
      <c r="B11" s="5" t="s">
        <v>138</v>
      </c>
      <c r="C11" s="45">
        <v>5.0953000000000014E-3</v>
      </c>
      <c r="D11" s="53">
        <v>5.0953000000000014E-3</v>
      </c>
      <c r="E11" s="53">
        <v>1.9771199999999999E-2</v>
      </c>
      <c r="F11" s="53">
        <v>0</v>
      </c>
      <c r="G11" s="53">
        <v>3.0339999999999998E-3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139</v>
      </c>
      <c r="C13" s="11" t="s">
        <v>127</v>
      </c>
      <c r="D13" s="11" t="s">
        <v>114</v>
      </c>
      <c r="E13" s="11" t="s">
        <v>115</v>
      </c>
      <c r="F13" s="11" t="s">
        <v>116</v>
      </c>
      <c r="G13" s="11" t="s">
        <v>117</v>
      </c>
      <c r="H13" s="18" t="s">
        <v>140</v>
      </c>
      <c r="I13" s="18" t="s">
        <v>141</v>
      </c>
      <c r="J13" s="18" t="s">
        <v>142</v>
      </c>
      <c r="K13" s="18" t="s">
        <v>143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144</v>
      </c>
      <c r="C14" s="51">
        <v>0.49655583125000002</v>
      </c>
      <c r="D14" s="54">
        <v>0.47001446794099999</v>
      </c>
      <c r="E14" s="54">
        <v>0.47001446794099999</v>
      </c>
      <c r="F14" s="54">
        <v>0.21084454282599999</v>
      </c>
      <c r="G14" s="54">
        <v>0.21084454282599999</v>
      </c>
      <c r="H14" s="45">
        <v>0.19600000000000001</v>
      </c>
      <c r="I14" s="55">
        <v>0.19600000000000001</v>
      </c>
      <c r="J14" s="55">
        <v>0.19600000000000001</v>
      </c>
      <c r="K14" s="55">
        <v>0.19600000000000001</v>
      </c>
      <c r="L14" s="45">
        <v>0.14399999999999999</v>
      </c>
      <c r="M14" s="55">
        <v>0.14399999999999999</v>
      </c>
      <c r="N14" s="55">
        <v>0.14399999999999999</v>
      </c>
      <c r="O14" s="55">
        <v>0.14399999999999999</v>
      </c>
    </row>
    <row r="15" spans="1:15" ht="15.75" customHeight="1" x14ac:dyDescent="0.25">
      <c r="B15" s="11" t="s">
        <v>145</v>
      </c>
      <c r="C15" s="52">
        <f t="shared" ref="C15:O15" si="0">iron_deficiency_anaemia*C14</f>
        <v>0.30338021966298123</v>
      </c>
      <c r="D15" s="52">
        <f t="shared" si="0"/>
        <v>0.28716426946344481</v>
      </c>
      <c r="E15" s="52">
        <f t="shared" si="0"/>
        <v>0.28716426946344481</v>
      </c>
      <c r="F15" s="52">
        <f t="shared" si="0"/>
        <v>0.1288194794858584</v>
      </c>
      <c r="G15" s="52">
        <f t="shared" si="0"/>
        <v>0.1288194794858584</v>
      </c>
      <c r="H15" s="52">
        <f t="shared" si="0"/>
        <v>0.11974992400000001</v>
      </c>
      <c r="I15" s="52">
        <f t="shared" si="0"/>
        <v>0.11974992400000001</v>
      </c>
      <c r="J15" s="52">
        <f t="shared" si="0"/>
        <v>0.11974992400000001</v>
      </c>
      <c r="K15" s="52">
        <f t="shared" si="0"/>
        <v>0.11974992400000001</v>
      </c>
      <c r="L15" s="52">
        <f t="shared" si="0"/>
        <v>8.7979535999999997E-2</v>
      </c>
      <c r="M15" s="52">
        <f t="shared" si="0"/>
        <v>8.7979535999999997E-2</v>
      </c>
      <c r="N15" s="52">
        <f t="shared" si="0"/>
        <v>8.7979535999999997E-2</v>
      </c>
      <c r="O15" s="52">
        <f t="shared" si="0"/>
        <v>8.7979535999999997E-2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w37s31VhEqqYgr/MI5hepywgpXHPnVPq0aoqMchdKKGIXauFbnOXXVkEYb0cHASkdwKDtypSbNe6vX6XnUhnvg==" saltValue="DU7CwYR9BV9hOWR7Q39Of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128</v>
      </c>
      <c r="C1" s="8" t="s">
        <v>127</v>
      </c>
      <c r="D1" s="8" t="s">
        <v>114</v>
      </c>
      <c r="E1" s="8" t="s">
        <v>115</v>
      </c>
      <c r="F1" s="8" t="s">
        <v>116</v>
      </c>
      <c r="G1" s="8" t="s">
        <v>117</v>
      </c>
    </row>
    <row r="2" spans="1:7" x14ac:dyDescent="0.25">
      <c r="A2" s="3" t="s">
        <v>146</v>
      </c>
      <c r="B2" s="3" t="s">
        <v>147</v>
      </c>
      <c r="C2" s="45">
        <v>0.37103969999999997</v>
      </c>
      <c r="D2" s="53">
        <v>0.23591980000000001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148</v>
      </c>
      <c r="C3" s="53">
        <v>0.18044669999999999</v>
      </c>
      <c r="D3" s="53">
        <v>9.0277700000000002E-2</v>
      </c>
      <c r="E3" s="53">
        <v>0</v>
      </c>
      <c r="F3" s="53">
        <v>0</v>
      </c>
      <c r="G3" s="53">
        <v>0</v>
      </c>
    </row>
    <row r="4" spans="1:7" x14ac:dyDescent="0.25">
      <c r="B4" s="3" t="s">
        <v>149</v>
      </c>
      <c r="C4" s="53">
        <v>0.28596440000000001</v>
      </c>
      <c r="D4" s="53">
        <v>0.42006130000000003</v>
      </c>
      <c r="E4" s="53">
        <v>0.56871260000000001</v>
      </c>
      <c r="F4" s="53">
        <v>0.35001369999999998</v>
      </c>
      <c r="G4" s="53">
        <v>0</v>
      </c>
    </row>
    <row r="5" spans="1:7" x14ac:dyDescent="0.25">
      <c r="B5" s="3" t="s">
        <v>150</v>
      </c>
      <c r="C5" s="52">
        <f t="shared" ref="C5:D5" si="0">1-SUM(C2:C4)</f>
        <v>0.16254920000000006</v>
      </c>
      <c r="D5" s="52">
        <f t="shared" si="0"/>
        <v>0.25374119999999989</v>
      </c>
      <c r="E5" s="52">
        <f>1-SUM(E2:E4)</f>
        <v>0.43128739999999999</v>
      </c>
      <c r="F5" s="52">
        <f>1-SUM(F2:F4)</f>
        <v>0.64998630000000002</v>
      </c>
      <c r="G5" s="52">
        <f>1-SUM(G2:G4)</f>
        <v>1</v>
      </c>
    </row>
  </sheetData>
  <sheetProtection algorithmName="SHA-512" hashValue="36kN4ilAYG0BaTSwD+zW+SNN05gn/7Izz5baDT45oHj6c6MOoi6pVeGhZtDmWHhbimBp958kp7CNl9hf/r8tHw==" saltValue="nLjvczAh60xeD3KFxfJDl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151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152</v>
      </c>
      <c r="B2" s="9" t="s">
        <v>161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153</v>
      </c>
      <c r="B4" s="9" t="s">
        <v>161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154</v>
      </c>
      <c r="B6" s="9" t="s">
        <v>161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118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155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156</v>
      </c>
      <c r="B10" s="11" t="s">
        <v>157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158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61</v>
      </c>
      <c r="B13" s="11" t="s">
        <v>159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160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jP+XPQFrGbLQh6sbgCH5x+2HfdcaX6przjNCJpCYMv7Ju21ezO2p36MKOpjkaXu/9hIs2z8Bqe5kG9X7kRWh8g==" saltValue="xWaEpjC1PiQeIn1RurHKEQ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12</v>
      </c>
      <c r="B1" s="105" t="s">
        <v>13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163</v>
      </c>
      <c r="B2" s="109">
        <v>5714.4304884029398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162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173</v>
      </c>
      <c r="B4" s="110">
        <v>0.58991000000000005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164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165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168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167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169</v>
      </c>
      <c r="B9" s="110">
        <v>0.73199999999999998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166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174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175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176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177</v>
      </c>
      <c r="B14" s="112">
        <v>1.812342190176422E-2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170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171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172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178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14</v>
      </c>
      <c r="B21" s="108" t="s">
        <v>15</v>
      </c>
      <c r="C21" s="108" t="s">
        <v>16</v>
      </c>
      <c r="D21" s="108" t="s">
        <v>17</v>
      </c>
      <c r="E21" s="108" t="s">
        <v>18</v>
      </c>
      <c r="F21" s="108" t="s">
        <v>19</v>
      </c>
      <c r="G21" s="108" t="s">
        <v>20</v>
      </c>
      <c r="H21" s="108" t="s">
        <v>21</v>
      </c>
      <c r="I21" s="108" t="s">
        <v>22</v>
      </c>
      <c r="J21" s="108" t="s">
        <v>23</v>
      </c>
      <c r="K21" s="108" t="s">
        <v>24</v>
      </c>
      <c r="L21" s="108" t="s">
        <v>25</v>
      </c>
      <c r="M21" s="108" t="s">
        <v>26</v>
      </c>
      <c r="N21" s="108" t="s">
        <v>27</v>
      </c>
      <c r="O21" s="108" t="s">
        <v>28</v>
      </c>
    </row>
    <row r="22" spans="1:15" x14ac:dyDescent="0.25">
      <c r="A22" s="108" t="s">
        <v>179</v>
      </c>
      <c r="B22" s="109">
        <v>98490.743119999999</v>
      </c>
      <c r="C22" s="109">
        <v>98372.833450000006</v>
      </c>
      <c r="D22" s="109">
        <v>98225.841650000002</v>
      </c>
      <c r="E22" s="109">
        <v>98019.409790000005</v>
      </c>
      <c r="F22" s="109">
        <v>97757.886029999994</v>
      </c>
      <c r="G22" s="109">
        <v>97404.782040000006</v>
      </c>
      <c r="H22" s="109">
        <v>96848.728700000007</v>
      </c>
      <c r="I22" s="109">
        <v>95941.304990000004</v>
      </c>
      <c r="J22" s="109">
        <v>94313.526740000001</v>
      </c>
      <c r="K22" s="109">
        <v>91939.300380000001</v>
      </c>
      <c r="L22" s="109">
        <v>88620.793609999993</v>
      </c>
      <c r="M22" s="109">
        <v>83627.800470000002</v>
      </c>
      <c r="N22" s="109">
        <v>76538.746270000003</v>
      </c>
      <c r="O22" s="109">
        <v>65091.719239999999</v>
      </c>
    </row>
  </sheetData>
  <sheetProtection algorithmName="SHA-512" hashValue="eg21IQZmo+Dl0FGMo7biE+um2I6e/M75f4xcOxeEIDN6EK51f/HLIWVNcSzRb+xxD9qFrqUtXGJPK6q57jl8Lg==" saltValue="C1wofjXHnSzbK12pC0Dfig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180</v>
      </c>
      <c r="B1" s="36" t="s">
        <v>181</v>
      </c>
      <c r="C1" s="36" t="s">
        <v>182</v>
      </c>
      <c r="D1" s="36" t="s">
        <v>183</v>
      </c>
      <c r="E1" s="36" t="s">
        <v>184</v>
      </c>
    </row>
    <row r="2" spans="1:5" ht="13" x14ac:dyDescent="0.3">
      <c r="A2" s="34" t="s">
        <v>186</v>
      </c>
      <c r="B2" s="32" t="s">
        <v>118</v>
      </c>
      <c r="C2" s="47"/>
      <c r="D2" s="47"/>
      <c r="E2" s="38" t="str">
        <f>IF(E$7="","",E$7)</f>
        <v/>
      </c>
    </row>
    <row r="3" spans="1:5" x14ac:dyDescent="0.25">
      <c r="B3" s="32" t="s">
        <v>127</v>
      </c>
      <c r="C3" s="47"/>
      <c r="D3" s="47" t="s">
        <v>4</v>
      </c>
      <c r="E3" s="38" t="str">
        <f>IF(E$7="","",E$7)</f>
        <v/>
      </c>
    </row>
    <row r="4" spans="1:5" x14ac:dyDescent="0.25">
      <c r="B4" s="32" t="s">
        <v>114</v>
      </c>
      <c r="C4" s="47"/>
      <c r="D4" s="47" t="s">
        <v>4</v>
      </c>
      <c r="E4" s="38" t="str">
        <f>IF(E$7="","",E$7)</f>
        <v/>
      </c>
    </row>
    <row r="5" spans="1:5" x14ac:dyDescent="0.25">
      <c r="B5" s="32" t="s">
        <v>115</v>
      </c>
      <c r="C5" s="47"/>
      <c r="D5" s="47" t="s">
        <v>4</v>
      </c>
      <c r="E5" s="38" t="str">
        <f>IF(E$7="","",E$7)</f>
        <v/>
      </c>
    </row>
    <row r="6" spans="1:5" x14ac:dyDescent="0.25">
      <c r="B6" s="32" t="s">
        <v>116</v>
      </c>
      <c r="C6" s="47"/>
      <c r="D6" s="47" t="s">
        <v>4</v>
      </c>
      <c r="E6" s="38" t="str">
        <f>IF(E$7="","",E$7)</f>
        <v/>
      </c>
    </row>
    <row r="7" spans="1:5" x14ac:dyDescent="0.25">
      <c r="B7" s="32" t="s">
        <v>185</v>
      </c>
      <c r="C7" s="31"/>
      <c r="D7" s="30"/>
      <c r="E7" s="47"/>
    </row>
    <row r="9" spans="1:5" ht="13" x14ac:dyDescent="0.3">
      <c r="A9" s="34" t="s">
        <v>187</v>
      </c>
      <c r="B9" s="32" t="s">
        <v>118</v>
      </c>
      <c r="C9" s="47"/>
      <c r="D9" s="47"/>
      <c r="E9" s="38" t="str">
        <f>IF(E$7="","",E$7)</f>
        <v/>
      </c>
    </row>
    <row r="10" spans="1:5" x14ac:dyDescent="0.25">
      <c r="B10" s="32" t="s">
        <v>127</v>
      </c>
      <c r="C10" s="47"/>
      <c r="D10" s="47"/>
      <c r="E10" s="38" t="str">
        <f>IF(E$7="","",E$7)</f>
        <v/>
      </c>
    </row>
    <row r="11" spans="1:5" x14ac:dyDescent="0.25">
      <c r="B11" s="32" t="s">
        <v>114</v>
      </c>
      <c r="C11" s="47"/>
      <c r="D11" s="47"/>
      <c r="E11" s="38" t="str">
        <f>IF(E$7="","",E$7)</f>
        <v/>
      </c>
    </row>
    <row r="12" spans="1:5" x14ac:dyDescent="0.25">
      <c r="B12" s="32" t="s">
        <v>115</v>
      </c>
      <c r="C12" s="47"/>
      <c r="D12" s="47" t="s">
        <v>4</v>
      </c>
      <c r="E12" s="38" t="str">
        <f>IF(E$7="","",E$7)</f>
        <v/>
      </c>
    </row>
    <row r="13" spans="1:5" x14ac:dyDescent="0.25">
      <c r="B13" s="32" t="s">
        <v>116</v>
      </c>
      <c r="C13" s="47"/>
      <c r="D13" s="47" t="s">
        <v>4</v>
      </c>
      <c r="E13" s="38" t="str">
        <f>IF(E$7="","",E$7)</f>
        <v/>
      </c>
    </row>
    <row r="14" spans="1:5" x14ac:dyDescent="0.25">
      <c r="B14" s="32" t="s">
        <v>185</v>
      </c>
      <c r="C14" s="31"/>
      <c r="D14" s="30"/>
      <c r="E14" s="47"/>
    </row>
    <row r="16" spans="1:5" ht="13" x14ac:dyDescent="0.3">
      <c r="A16" s="34" t="s">
        <v>188</v>
      </c>
      <c r="B16" s="32" t="s">
        <v>118</v>
      </c>
      <c r="C16" s="47"/>
      <c r="D16" s="47" t="s">
        <v>4</v>
      </c>
      <c r="E16" s="38" t="str">
        <f>IF(E$7="","",E$7)</f>
        <v/>
      </c>
    </row>
    <row r="17" spans="2:5" x14ac:dyDescent="0.25">
      <c r="B17" s="32" t="s">
        <v>127</v>
      </c>
      <c r="C17" s="47"/>
      <c r="D17" s="47" t="s">
        <v>4</v>
      </c>
      <c r="E17" s="38" t="str">
        <f>IF(E$7="","",E$7)</f>
        <v/>
      </c>
    </row>
    <row r="18" spans="2:5" x14ac:dyDescent="0.25">
      <c r="B18" s="32" t="s">
        <v>114</v>
      </c>
      <c r="C18" s="47"/>
      <c r="D18" s="47" t="s">
        <v>4</v>
      </c>
      <c r="E18" s="38" t="str">
        <f>IF(E$7="","",E$7)</f>
        <v/>
      </c>
    </row>
    <row r="19" spans="2:5" x14ac:dyDescent="0.25">
      <c r="B19" s="32" t="s">
        <v>115</v>
      </c>
      <c r="C19" s="47"/>
      <c r="D19" s="47" t="s">
        <v>4</v>
      </c>
      <c r="E19" s="38" t="str">
        <f>IF(E$7="","",E$7)</f>
        <v/>
      </c>
    </row>
    <row r="20" spans="2:5" x14ac:dyDescent="0.25">
      <c r="B20" s="32" t="s">
        <v>116</v>
      </c>
      <c r="C20" s="47"/>
      <c r="D20" s="47" t="s">
        <v>4</v>
      </c>
      <c r="E20" s="38" t="str">
        <f>IF(E$7="","",E$7)</f>
        <v/>
      </c>
    </row>
    <row r="21" spans="2:5" x14ac:dyDescent="0.25">
      <c r="B21" s="32" t="s">
        <v>185</v>
      </c>
      <c r="C21" s="31"/>
      <c r="D21" s="30"/>
      <c r="E21" s="47"/>
    </row>
  </sheetData>
  <sheetProtection algorithmName="SHA-512" hashValue="afwrLR8irKTzmrS0BOfrTxZBt4WQ4NwQH1CE9zrbrGf324fwSWVu8WdvnhuBk1Jl5xO3K7wb1Ks7qwwmvaFYhA==" saltValue="ba5lgK0ju+gUkzhYXz0wE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191</v>
      </c>
      <c r="C1" s="40" t="s">
        <v>5</v>
      </c>
      <c r="D1" s="40" t="s">
        <v>192</v>
      </c>
    </row>
    <row r="2" spans="1:4" ht="13" x14ac:dyDescent="0.3">
      <c r="A2" s="40" t="s">
        <v>189</v>
      </c>
      <c r="B2" s="32" t="s">
        <v>190</v>
      </c>
      <c r="C2" s="32" t="s">
        <v>194</v>
      </c>
      <c r="D2" s="47"/>
    </row>
    <row r="3" spans="1:4" ht="13" x14ac:dyDescent="0.3">
      <c r="A3" s="40" t="s">
        <v>193</v>
      </c>
      <c r="B3" s="32" t="s">
        <v>182</v>
      </c>
      <c r="C3" s="32" t="s">
        <v>183</v>
      </c>
      <c r="D3" s="47"/>
    </row>
  </sheetData>
  <sheetProtection algorithmName="SHA-512" hashValue="3KpU6AJtpXVP7JOIG5oEKD5C3m4gSzuTbYCohbXJKqpz89k/enbBetg10tWDOUnHSgzOFvoCLHUjB4iDDs5fKw==" saltValue="FBOK7L9P70MAGsG+8asEPQ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189</v>
      </c>
      <c r="B1" s="22" t="str">
        <f>"Couverture de l'année de référence ("&amp;start_year&amp;")"</f>
        <v>Couverture de l'année de référence (2024)</v>
      </c>
      <c r="C1" s="22" t="s">
        <v>195</v>
      </c>
      <c r="D1" s="22" t="s">
        <v>231</v>
      </c>
      <c r="E1" s="22" t="s">
        <v>196</v>
      </c>
      <c r="F1" s="22" t="s">
        <v>232</v>
      </c>
      <c r="G1" s="22" t="s">
        <v>233</v>
      </c>
    </row>
    <row r="2" spans="1:7" ht="15.75" customHeight="1" x14ac:dyDescent="0.25">
      <c r="A2" s="5" t="s">
        <v>197</v>
      </c>
      <c r="B2" s="45">
        <v>0</v>
      </c>
      <c r="C2" s="98">
        <v>0.95</v>
      </c>
      <c r="D2" s="56">
        <v>12.008526100307062</v>
      </c>
      <c r="E2" s="56" t="s">
        <v>230</v>
      </c>
      <c r="F2" s="98">
        <v>1</v>
      </c>
      <c r="G2" s="98">
        <v>1</v>
      </c>
    </row>
    <row r="3" spans="1:7" ht="15.75" customHeight="1" x14ac:dyDescent="0.25">
      <c r="A3" s="5" t="s">
        <v>198</v>
      </c>
      <c r="B3" s="45">
        <v>0</v>
      </c>
      <c r="C3" s="98">
        <v>0.95</v>
      </c>
      <c r="D3" s="56">
        <v>12.008526100307062</v>
      </c>
      <c r="E3" s="56" t="s">
        <v>230</v>
      </c>
      <c r="F3" s="98">
        <v>1</v>
      </c>
      <c r="G3" s="98">
        <v>1</v>
      </c>
    </row>
    <row r="4" spans="1:7" ht="15.75" customHeight="1" x14ac:dyDescent="0.25">
      <c r="A4" s="5" t="s">
        <v>199</v>
      </c>
      <c r="B4" s="98">
        <v>0</v>
      </c>
      <c r="C4" s="98">
        <v>0.95</v>
      </c>
      <c r="D4" s="56">
        <v>8.8894216990788131</v>
      </c>
      <c r="E4" s="56" t="s">
        <v>230</v>
      </c>
      <c r="F4" s="98">
        <v>1</v>
      </c>
      <c r="G4" s="98">
        <v>1</v>
      </c>
    </row>
    <row r="5" spans="1:7" ht="15.75" customHeight="1" x14ac:dyDescent="0.25">
      <c r="A5" s="5" t="s">
        <v>200</v>
      </c>
      <c r="B5" s="98">
        <v>0</v>
      </c>
      <c r="C5" s="98">
        <v>0.95</v>
      </c>
      <c r="D5" s="56">
        <v>0.48</v>
      </c>
      <c r="E5" s="56" t="s">
        <v>230</v>
      </c>
      <c r="F5" s="98">
        <v>1</v>
      </c>
      <c r="G5" s="98">
        <v>1</v>
      </c>
    </row>
    <row r="6" spans="1:7" ht="15.75" customHeight="1" x14ac:dyDescent="0.25">
      <c r="A6" s="5" t="s">
        <v>201</v>
      </c>
      <c r="B6" s="98">
        <v>0</v>
      </c>
      <c r="C6" s="98">
        <v>0.95</v>
      </c>
      <c r="D6" s="56">
        <v>99.99</v>
      </c>
      <c r="E6" s="56" t="s">
        <v>230</v>
      </c>
      <c r="F6" s="98">
        <v>1</v>
      </c>
      <c r="G6" s="98">
        <v>1</v>
      </c>
    </row>
    <row r="7" spans="1:7" ht="15.75" customHeight="1" x14ac:dyDescent="0.25">
      <c r="A7" s="5" t="s">
        <v>202</v>
      </c>
      <c r="B7" s="98">
        <v>0</v>
      </c>
      <c r="C7" s="98">
        <v>0.95</v>
      </c>
      <c r="D7" s="56">
        <v>0.19</v>
      </c>
      <c r="E7" s="56" t="s">
        <v>230</v>
      </c>
      <c r="F7" s="98">
        <v>1</v>
      </c>
      <c r="G7" s="98">
        <v>1</v>
      </c>
    </row>
    <row r="8" spans="1:7" ht="15.75" customHeight="1" x14ac:dyDescent="0.25">
      <c r="A8" s="5" t="s">
        <v>203</v>
      </c>
      <c r="B8" s="98">
        <v>0</v>
      </c>
      <c r="C8" s="98">
        <v>0.95</v>
      </c>
      <c r="D8" s="56">
        <v>0.79</v>
      </c>
      <c r="E8" s="56" t="s">
        <v>230</v>
      </c>
      <c r="F8" s="98">
        <v>1</v>
      </c>
      <c r="G8" s="98">
        <v>1</v>
      </c>
    </row>
    <row r="9" spans="1:7" ht="15.75" customHeight="1" x14ac:dyDescent="0.25">
      <c r="A9" s="5" t="s">
        <v>204</v>
      </c>
      <c r="B9" s="98">
        <v>0.5</v>
      </c>
      <c r="C9" s="98">
        <v>0.95</v>
      </c>
      <c r="D9" s="56">
        <v>0.40262538382804508</v>
      </c>
      <c r="E9" s="56" t="s">
        <v>230</v>
      </c>
      <c r="F9" s="98">
        <v>1</v>
      </c>
      <c r="G9" s="98">
        <v>1</v>
      </c>
    </row>
    <row r="10" spans="1:7" ht="15.75" customHeight="1" x14ac:dyDescent="0.25">
      <c r="A10" s="11" t="s">
        <v>205</v>
      </c>
      <c r="B10" s="45">
        <v>0</v>
      </c>
      <c r="C10" s="98">
        <v>0.95</v>
      </c>
      <c r="D10" s="56">
        <v>14.35913960398203</v>
      </c>
      <c r="E10" s="56" t="s">
        <v>230</v>
      </c>
      <c r="F10" s="98">
        <v>1</v>
      </c>
      <c r="G10" s="98">
        <v>1</v>
      </c>
    </row>
    <row r="11" spans="1:7" ht="15.75" customHeight="1" x14ac:dyDescent="0.25">
      <c r="A11" s="11" t="s">
        <v>206</v>
      </c>
      <c r="B11" s="98">
        <v>0</v>
      </c>
      <c r="C11" s="98">
        <v>0.95</v>
      </c>
      <c r="D11" s="56">
        <v>14.35913960398203</v>
      </c>
      <c r="E11" s="56" t="s">
        <v>230</v>
      </c>
      <c r="F11" s="98">
        <v>1</v>
      </c>
      <c r="G11" s="98">
        <v>1</v>
      </c>
    </row>
    <row r="12" spans="1:7" ht="15.75" customHeight="1" x14ac:dyDescent="0.25">
      <c r="A12" s="11" t="s">
        <v>207</v>
      </c>
      <c r="B12" s="98">
        <v>0</v>
      </c>
      <c r="C12" s="98">
        <v>0.95</v>
      </c>
      <c r="D12" s="56">
        <v>14.35913960398203</v>
      </c>
      <c r="E12" s="56" t="s">
        <v>230</v>
      </c>
      <c r="F12" s="98">
        <v>1</v>
      </c>
      <c r="G12" s="98">
        <v>1</v>
      </c>
    </row>
    <row r="13" spans="1:7" ht="15.75" customHeight="1" x14ac:dyDescent="0.25">
      <c r="A13" s="11" t="s">
        <v>208</v>
      </c>
      <c r="B13" s="98">
        <v>0</v>
      </c>
      <c r="C13" s="98">
        <v>0.95</v>
      </c>
      <c r="D13" s="56">
        <v>14.35913960398203</v>
      </c>
      <c r="E13" s="56" t="s">
        <v>230</v>
      </c>
      <c r="F13" s="98">
        <v>1</v>
      </c>
      <c r="G13" s="98">
        <v>1</v>
      </c>
    </row>
    <row r="14" spans="1:7" ht="15.75" customHeight="1" x14ac:dyDescent="0.25">
      <c r="A14" s="5" t="s">
        <v>209</v>
      </c>
      <c r="B14" s="45">
        <v>0</v>
      </c>
      <c r="C14" s="98">
        <v>0.95</v>
      </c>
      <c r="D14" s="56">
        <v>14.35913960398203</v>
      </c>
      <c r="E14" s="56" t="s">
        <v>230</v>
      </c>
      <c r="F14" s="98">
        <v>1</v>
      </c>
      <c r="G14" s="98">
        <v>1</v>
      </c>
    </row>
    <row r="15" spans="1:7" ht="15.75" customHeight="1" x14ac:dyDescent="0.25">
      <c r="A15" s="5" t="s">
        <v>210</v>
      </c>
      <c r="B15" s="98">
        <v>0</v>
      </c>
      <c r="C15" s="98">
        <v>0.95</v>
      </c>
      <c r="D15" s="56">
        <v>14.35913960398203</v>
      </c>
      <c r="E15" s="56" t="s">
        <v>230</v>
      </c>
      <c r="F15" s="98">
        <v>1</v>
      </c>
      <c r="G15" s="98">
        <v>1</v>
      </c>
    </row>
    <row r="16" spans="1:7" ht="15.75" customHeight="1" x14ac:dyDescent="0.25">
      <c r="A16" s="5" t="s">
        <v>211</v>
      </c>
      <c r="B16" s="45">
        <v>0</v>
      </c>
      <c r="C16" s="98">
        <v>0.95</v>
      </c>
      <c r="D16" s="56">
        <v>2.5</v>
      </c>
      <c r="E16" s="56" t="s">
        <v>230</v>
      </c>
      <c r="F16" s="98">
        <v>1</v>
      </c>
      <c r="G16" s="98">
        <v>1</v>
      </c>
    </row>
    <row r="17" spans="1:7" ht="15.75" customHeight="1" x14ac:dyDescent="0.25">
      <c r="A17" s="5" t="s">
        <v>212</v>
      </c>
      <c r="B17" s="98">
        <v>2.3937511111111101E-2</v>
      </c>
      <c r="C17" s="98">
        <v>0.95</v>
      </c>
      <c r="D17" s="56">
        <v>0.14000000000000001</v>
      </c>
      <c r="E17" s="56" t="s">
        <v>230</v>
      </c>
      <c r="F17" s="98">
        <v>1</v>
      </c>
      <c r="G17" s="98">
        <v>1</v>
      </c>
    </row>
    <row r="18" spans="1:7" ht="15.9" customHeight="1" x14ac:dyDescent="0.25">
      <c r="A18" s="5" t="s">
        <v>186</v>
      </c>
      <c r="B18" s="98">
        <v>0.23591980000000001</v>
      </c>
      <c r="C18" s="98">
        <v>0.95</v>
      </c>
      <c r="D18" s="56">
        <v>8.8894216990788131</v>
      </c>
      <c r="E18" s="56" t="s">
        <v>230</v>
      </c>
      <c r="F18" s="98">
        <v>1</v>
      </c>
      <c r="G18" s="98">
        <v>1</v>
      </c>
    </row>
    <row r="19" spans="1:7" ht="15.75" customHeight="1" x14ac:dyDescent="0.25">
      <c r="A19" s="5" t="s">
        <v>187</v>
      </c>
      <c r="B19" s="98">
        <v>0.23591980000000001</v>
      </c>
      <c r="C19" s="98">
        <v>0.95</v>
      </c>
      <c r="D19" s="56">
        <v>4.4482358424844612</v>
      </c>
      <c r="E19" s="56" t="s">
        <v>230</v>
      </c>
      <c r="F19" s="98">
        <v>1</v>
      </c>
      <c r="G19" s="98">
        <v>1</v>
      </c>
    </row>
    <row r="20" spans="1:7" ht="15.75" customHeight="1" x14ac:dyDescent="0.25">
      <c r="A20" s="5" t="s">
        <v>188</v>
      </c>
      <c r="B20" s="98">
        <v>0</v>
      </c>
      <c r="C20" s="98">
        <v>0.95</v>
      </c>
      <c r="D20" s="56">
        <v>99.99</v>
      </c>
      <c r="E20" s="56" t="s">
        <v>230</v>
      </c>
      <c r="F20" s="98">
        <v>1</v>
      </c>
      <c r="G20" s="98">
        <v>1</v>
      </c>
    </row>
    <row r="21" spans="1:7" ht="15.75" customHeight="1" x14ac:dyDescent="0.25">
      <c r="A21" s="5" t="s">
        <v>213</v>
      </c>
      <c r="B21" s="45">
        <v>0</v>
      </c>
      <c r="C21" s="98">
        <v>0.95</v>
      </c>
      <c r="D21" s="56">
        <v>7.48</v>
      </c>
      <c r="E21" s="56" t="s">
        <v>230</v>
      </c>
      <c r="F21" s="98">
        <v>1</v>
      </c>
      <c r="G21" s="98">
        <v>1</v>
      </c>
    </row>
    <row r="22" spans="1:7" ht="15.75" customHeight="1" x14ac:dyDescent="0.25">
      <c r="A22" s="5" t="s">
        <v>214</v>
      </c>
      <c r="B22" s="98">
        <v>0</v>
      </c>
      <c r="C22" s="98">
        <v>0.95</v>
      </c>
      <c r="D22" s="56">
        <v>8.8894216990788131</v>
      </c>
      <c r="E22" s="56" t="s">
        <v>230</v>
      </c>
      <c r="F22" s="98">
        <v>1</v>
      </c>
      <c r="G22" s="98">
        <v>1</v>
      </c>
    </row>
    <row r="23" spans="1:7" ht="15.75" customHeight="1" x14ac:dyDescent="0.25">
      <c r="A23" s="5" t="s">
        <v>215</v>
      </c>
      <c r="B23" s="98">
        <v>0</v>
      </c>
      <c r="C23" s="98">
        <v>0.95</v>
      </c>
      <c r="D23" s="56">
        <v>4.7648286502090178</v>
      </c>
      <c r="E23" s="56" t="s">
        <v>230</v>
      </c>
      <c r="F23" s="98">
        <v>1</v>
      </c>
      <c r="G23" s="98">
        <v>1</v>
      </c>
    </row>
    <row r="24" spans="1:7" ht="15.75" customHeight="1" x14ac:dyDescent="0.25">
      <c r="A24" s="5" t="s">
        <v>216</v>
      </c>
      <c r="B24" s="45">
        <v>0.69322219271638008</v>
      </c>
      <c r="C24" s="98">
        <v>0.95</v>
      </c>
      <c r="D24" s="56">
        <v>99.99</v>
      </c>
      <c r="E24" s="56" t="s">
        <v>230</v>
      </c>
      <c r="F24" s="98">
        <v>1</v>
      </c>
      <c r="G24" s="98">
        <v>1</v>
      </c>
    </row>
    <row r="25" spans="1:7" ht="15.75" customHeight="1" x14ac:dyDescent="0.25">
      <c r="A25" s="5" t="s">
        <v>217</v>
      </c>
      <c r="B25" s="98">
        <v>0</v>
      </c>
      <c r="C25" s="98">
        <v>0.95</v>
      </c>
      <c r="D25" s="56">
        <v>99.99</v>
      </c>
      <c r="E25" s="56" t="s">
        <v>230</v>
      </c>
      <c r="F25" s="98">
        <v>1</v>
      </c>
      <c r="G25" s="98">
        <v>1</v>
      </c>
    </row>
    <row r="26" spans="1:7" ht="15.75" customHeight="1" x14ac:dyDescent="0.25">
      <c r="A26" s="5" t="s">
        <v>218</v>
      </c>
      <c r="B26" s="45">
        <v>0</v>
      </c>
      <c r="C26" s="98">
        <v>0.95</v>
      </c>
      <c r="D26" s="56">
        <v>5.1498336745138182</v>
      </c>
      <c r="E26" s="56" t="s">
        <v>230</v>
      </c>
      <c r="F26" s="98">
        <v>1</v>
      </c>
      <c r="G26" s="98">
        <v>1</v>
      </c>
    </row>
    <row r="27" spans="1:7" ht="15.75" customHeight="1" x14ac:dyDescent="0.25">
      <c r="A27" s="5" t="s">
        <v>219</v>
      </c>
      <c r="B27" s="45">
        <v>0</v>
      </c>
      <c r="C27" s="98">
        <v>0.95</v>
      </c>
      <c r="D27" s="56">
        <v>11.470990276356194</v>
      </c>
      <c r="E27" s="56" t="s">
        <v>230</v>
      </c>
      <c r="F27" s="98">
        <v>1</v>
      </c>
      <c r="G27" s="98">
        <v>1</v>
      </c>
    </row>
    <row r="28" spans="1:7" ht="15.75" customHeight="1" x14ac:dyDescent="0.25">
      <c r="A28" s="5" t="s">
        <v>220</v>
      </c>
      <c r="B28" s="45">
        <v>0.52424380000000004</v>
      </c>
      <c r="C28" s="98">
        <v>0.95</v>
      </c>
      <c r="D28" s="56">
        <v>99.99</v>
      </c>
      <c r="E28" s="56" t="s">
        <v>230</v>
      </c>
      <c r="F28" s="98">
        <v>1</v>
      </c>
      <c r="G28" s="98">
        <v>1</v>
      </c>
    </row>
    <row r="29" spans="1:7" ht="15.75" customHeight="1" x14ac:dyDescent="0.25">
      <c r="A29" s="5" t="s">
        <v>221</v>
      </c>
      <c r="B29" s="45">
        <v>0.5944374</v>
      </c>
      <c r="C29" s="98">
        <v>0.95</v>
      </c>
      <c r="D29" s="56">
        <v>80.983006519796163</v>
      </c>
      <c r="E29" s="56" t="s">
        <v>230</v>
      </c>
      <c r="F29" s="98">
        <v>1</v>
      </c>
      <c r="G29" s="98">
        <v>1</v>
      </c>
    </row>
    <row r="30" spans="1:7" ht="15.75" customHeight="1" x14ac:dyDescent="0.25">
      <c r="A30" s="5" t="s">
        <v>234</v>
      </c>
      <c r="B30" s="98">
        <v>0</v>
      </c>
      <c r="C30" s="98">
        <v>0.95</v>
      </c>
      <c r="D30" s="56">
        <v>53.05</v>
      </c>
      <c r="E30" s="56" t="s">
        <v>230</v>
      </c>
      <c r="F30" s="98">
        <v>1</v>
      </c>
      <c r="G30" s="98">
        <v>1</v>
      </c>
    </row>
    <row r="31" spans="1:7" ht="15.75" customHeight="1" x14ac:dyDescent="0.25">
      <c r="A31" s="5" t="s">
        <v>190</v>
      </c>
      <c r="B31" s="45">
        <v>0</v>
      </c>
      <c r="C31" s="98">
        <v>0.95</v>
      </c>
      <c r="D31" s="56">
        <v>170.92419651995908</v>
      </c>
      <c r="E31" s="56" t="s">
        <v>230</v>
      </c>
      <c r="F31" s="98">
        <v>1</v>
      </c>
      <c r="G31" s="98">
        <v>1</v>
      </c>
    </row>
    <row r="32" spans="1:7" ht="15.75" customHeight="1" x14ac:dyDescent="0.25">
      <c r="A32" s="5" t="s">
        <v>222</v>
      </c>
      <c r="B32" s="45">
        <v>0</v>
      </c>
      <c r="C32" s="98">
        <v>0.95</v>
      </c>
      <c r="D32" s="56">
        <v>1.1057036847492325</v>
      </c>
      <c r="E32" s="56" t="s">
        <v>230</v>
      </c>
      <c r="F32" s="98">
        <v>1</v>
      </c>
      <c r="G32" s="98">
        <v>1</v>
      </c>
    </row>
    <row r="33" spans="1:7" ht="15.75" customHeight="1" x14ac:dyDescent="0.25">
      <c r="A33" s="5" t="s">
        <v>223</v>
      </c>
      <c r="B33" s="45">
        <v>0.93940820000000003</v>
      </c>
      <c r="C33" s="98">
        <v>0.95</v>
      </c>
      <c r="D33" s="56">
        <v>99.99</v>
      </c>
      <c r="E33" s="56" t="s">
        <v>230</v>
      </c>
      <c r="F33" s="98">
        <v>1</v>
      </c>
      <c r="G33" s="98">
        <v>1</v>
      </c>
    </row>
    <row r="34" spans="1:7" ht="15.75" customHeight="1" x14ac:dyDescent="0.25">
      <c r="A34" s="5" t="s">
        <v>224</v>
      </c>
      <c r="B34" s="45">
        <v>0.13994980000000001</v>
      </c>
      <c r="C34" s="98">
        <v>0.95</v>
      </c>
      <c r="D34" s="56">
        <v>99.99</v>
      </c>
      <c r="E34" s="56" t="s">
        <v>230</v>
      </c>
      <c r="F34" s="98">
        <v>1</v>
      </c>
      <c r="G34" s="98">
        <v>1</v>
      </c>
    </row>
    <row r="35" spans="1:7" ht="15.75" customHeight="1" x14ac:dyDescent="0.25">
      <c r="A35" s="5" t="s">
        <v>225</v>
      </c>
      <c r="B35" s="98">
        <v>0</v>
      </c>
      <c r="C35" s="98">
        <v>0.95</v>
      </c>
      <c r="D35" s="56">
        <v>99.99</v>
      </c>
      <c r="E35" s="56" t="s">
        <v>230</v>
      </c>
      <c r="F35" s="98">
        <v>1</v>
      </c>
      <c r="G35" s="98">
        <v>1</v>
      </c>
    </row>
    <row r="36" spans="1:7" ht="15.75" customHeight="1" x14ac:dyDescent="0.25">
      <c r="A36" s="5" t="s">
        <v>226</v>
      </c>
      <c r="B36" s="45">
        <v>2.1327200000000001E-2</v>
      </c>
      <c r="C36" s="98">
        <v>0.95</v>
      </c>
      <c r="D36" s="56">
        <v>99.99</v>
      </c>
      <c r="E36" s="56" t="s">
        <v>230</v>
      </c>
      <c r="F36" s="98">
        <v>1</v>
      </c>
      <c r="G36" s="98">
        <v>1</v>
      </c>
    </row>
    <row r="37" spans="1:7" ht="15.75" customHeight="1" x14ac:dyDescent="0.25">
      <c r="A37" s="5" t="s">
        <v>227</v>
      </c>
      <c r="B37" s="45">
        <v>0.97755639999999999</v>
      </c>
      <c r="C37" s="98">
        <v>0.95</v>
      </c>
      <c r="D37" s="56">
        <v>99.99</v>
      </c>
      <c r="E37" s="56" t="s">
        <v>230</v>
      </c>
      <c r="F37" s="98">
        <v>1</v>
      </c>
      <c r="G37" s="98">
        <v>1</v>
      </c>
    </row>
    <row r="38" spans="1:7" ht="15.75" customHeight="1" x14ac:dyDescent="0.25">
      <c r="A38" s="5" t="s">
        <v>228</v>
      </c>
      <c r="B38" s="45">
        <v>8.7485800000000002E-2</v>
      </c>
      <c r="C38" s="98">
        <v>0.95</v>
      </c>
      <c r="D38" s="56">
        <v>2.6374181166837261</v>
      </c>
      <c r="E38" s="56" t="s">
        <v>230</v>
      </c>
      <c r="F38" s="98">
        <v>1</v>
      </c>
      <c r="G38" s="98">
        <v>1</v>
      </c>
    </row>
    <row r="39" spans="1:7" ht="15.75" customHeight="1" x14ac:dyDescent="0.25">
      <c r="A39" s="5" t="s">
        <v>229</v>
      </c>
      <c r="B39" s="45">
        <v>0</v>
      </c>
      <c r="C39" s="98">
        <v>0.95</v>
      </c>
      <c r="D39" s="56">
        <v>3.43</v>
      </c>
      <c r="E39" s="56" t="s">
        <v>230</v>
      </c>
      <c r="F39" s="98">
        <v>1</v>
      </c>
      <c r="G39" s="98">
        <v>1</v>
      </c>
    </row>
  </sheetData>
  <sheetProtection algorithmName="SHA-512" hashValue="DlJyMcSrMEsMLcbsiBRijt6DEpnQuHxQGQ0wjTpzKnEsGB9TJLug89+9QcPJruSjbYpeW1lK9zfLyKbIV19t3w==" saltValue="vAXmEeKyeL8+tfzBIRpu0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189</v>
      </c>
      <c r="B1" s="4" t="s">
        <v>235</v>
      </c>
      <c r="C1" s="4" t="s">
        <v>236</v>
      </c>
    </row>
    <row r="2" spans="1:3" x14ac:dyDescent="0.25">
      <c r="A2" s="57" t="s">
        <v>209</v>
      </c>
      <c r="B2" s="47" t="s">
        <v>219</v>
      </c>
      <c r="C2" s="47"/>
    </row>
    <row r="3" spans="1:3" x14ac:dyDescent="0.25">
      <c r="A3" s="57" t="s">
        <v>210</v>
      </c>
      <c r="B3" s="47" t="s">
        <v>219</v>
      </c>
      <c r="C3" s="47"/>
    </row>
    <row r="4" spans="1:3" x14ac:dyDescent="0.25">
      <c r="A4" s="57" t="s">
        <v>221</v>
      </c>
      <c r="B4" s="47" t="s">
        <v>214</v>
      </c>
      <c r="C4" s="47"/>
    </row>
    <row r="5" spans="1:3" x14ac:dyDescent="0.25">
      <c r="A5" s="57" t="s">
        <v>221</v>
      </c>
      <c r="B5" s="47" t="s">
        <v>234</v>
      </c>
      <c r="C5" s="47"/>
    </row>
    <row r="6" spans="1:3" x14ac:dyDescent="0.25">
      <c r="A6" s="57" t="s">
        <v>218</v>
      </c>
      <c r="B6" s="58" t="s">
        <v>234</v>
      </c>
      <c r="C6" s="58"/>
    </row>
    <row r="7" spans="1:3" x14ac:dyDescent="0.25">
      <c r="A7" s="57" t="s">
        <v>229</v>
      </c>
      <c r="B7" s="58" t="s">
        <v>234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gQzebG6UJyl79qxx3g/v2EcN85HufIf18+UB9kMtl4nT6PWRgyLJq7usP0Otes9Mi/JVmWlIQ58RNUSLL0WAYQ==" saltValue="/qIODWtMzWR1zcsFGdX1a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189</v>
      </c>
    </row>
    <row r="2" spans="1:1" x14ac:dyDescent="0.25">
      <c r="A2" s="33" t="s">
        <v>201</v>
      </c>
    </row>
    <row r="3" spans="1:1" x14ac:dyDescent="0.25">
      <c r="A3" s="33" t="s">
        <v>211</v>
      </c>
    </row>
    <row r="4" spans="1:1" x14ac:dyDescent="0.25">
      <c r="A4" s="33" t="s">
        <v>215</v>
      </c>
    </row>
    <row r="5" spans="1:1" x14ac:dyDescent="0.25">
      <c r="A5" s="33" t="s">
        <v>223</v>
      </c>
    </row>
    <row r="6" spans="1:1" x14ac:dyDescent="0.25">
      <c r="A6" s="33" t="s">
        <v>224</v>
      </c>
    </row>
    <row r="7" spans="1:1" x14ac:dyDescent="0.25">
      <c r="A7" s="33" t="s">
        <v>225</v>
      </c>
    </row>
    <row r="8" spans="1:1" x14ac:dyDescent="0.25">
      <c r="A8" s="33" t="s">
        <v>226</v>
      </c>
    </row>
    <row r="9" spans="1:1" x14ac:dyDescent="0.25">
      <c r="A9" s="33" t="s">
        <v>227</v>
      </c>
    </row>
    <row r="10" spans="1:1" x14ac:dyDescent="0.25">
      <c r="A10" s="33" t="s">
        <v>190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xrAWdCadpEHiR7Cf/Ezwc61Gf47vj9vlT3KQusedBVbm/Og6cW24s5sE/o1m8RoDD6jPnawcMPokoRKAz2T3zA==" saltValue="mZG7jF/ikrI6Jz6EDJSbH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6</v>
      </c>
      <c r="B1" t="s">
        <v>127</v>
      </c>
      <c r="C1" t="s">
        <v>114</v>
      </c>
      <c r="D1" t="s">
        <v>115</v>
      </c>
      <c r="E1" t="s">
        <v>116</v>
      </c>
      <c r="F1" t="s">
        <v>117</v>
      </c>
    </row>
    <row r="2" spans="1:6" ht="15.75" customHeight="1" x14ac:dyDescent="0.25">
      <c r="A2" s="3" t="s">
        <v>105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238</v>
      </c>
      <c r="B3" s="21">
        <f>frac_mam_1month * 2.6</f>
        <v>8.8327200000000008E-2</v>
      </c>
      <c r="C3" s="21">
        <f>frac_mam_1_5months * 2.6</f>
        <v>8.8327200000000008E-2</v>
      </c>
      <c r="D3" s="21">
        <f>frac_mam_6_11months * 2.6</f>
        <v>2.7804660000000002E-2</v>
      </c>
      <c r="E3" s="21">
        <f>frac_mam_12_23months * 2.6</f>
        <v>1.935336E-2</v>
      </c>
      <c r="F3" s="21">
        <f>frac_mam_24_59months * 2.6</f>
        <v>1.8629000000000003E-2</v>
      </c>
    </row>
    <row r="4" spans="1:6" ht="15.75" customHeight="1" x14ac:dyDescent="0.25">
      <c r="A4" s="3" t="s">
        <v>237</v>
      </c>
      <c r="B4" s="21">
        <f>frac_sam_1month * 2.6</f>
        <v>1.3247780000000004E-2</v>
      </c>
      <c r="C4" s="21">
        <f>frac_sam_1_5months * 2.6</f>
        <v>1.3247780000000004E-2</v>
      </c>
      <c r="D4" s="21">
        <f>frac_sam_6_11months * 2.6</f>
        <v>5.1405119999999999E-2</v>
      </c>
      <c r="E4" s="21">
        <f>frac_sam_12_23months * 2.6</f>
        <v>0</v>
      </c>
      <c r="F4" s="21">
        <f>frac_sam_24_59months * 2.6</f>
        <v>7.8884000000000003E-3</v>
      </c>
    </row>
  </sheetData>
  <sheetProtection algorithmName="SHA-512" hashValue="KPlgVNl+MgSUaV+oQGR/Rvf1M+eET5m0bpB+pAdMmpK+gE9UATWFZyAhygeQEdkbkB9iLy6XyCAUL9fgjcVaaQ==" saltValue="MyKzJ+T4XuFFx7ZWncuGR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104</v>
      </c>
      <c r="B2" s="5" t="s">
        <v>199</v>
      </c>
      <c r="C2" s="60">
        <v>0</v>
      </c>
      <c r="D2" s="60">
        <v>0</v>
      </c>
      <c r="E2" s="60">
        <f>food_insecure</f>
        <v>1.7000000000000001E-2</v>
      </c>
      <c r="F2" s="60">
        <f>food_insecure</f>
        <v>1.7000000000000001E-2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200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213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214</v>
      </c>
      <c r="C5" s="60">
        <v>0</v>
      </c>
      <c r="D5" s="60">
        <v>0</v>
      </c>
      <c r="E5" s="60">
        <f>food_insecure</f>
        <v>1.7000000000000001E-2</v>
      </c>
      <c r="F5" s="60">
        <f>food_insecure</f>
        <v>1.7000000000000001E-2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218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220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221</v>
      </c>
      <c r="C8" s="60">
        <v>0</v>
      </c>
      <c r="D8" s="60">
        <v>0</v>
      </c>
      <c r="E8" s="60">
        <f>food_insecure</f>
        <v>1.7000000000000001E-2</v>
      </c>
      <c r="F8" s="60">
        <f>food_insecure</f>
        <v>1.7000000000000001E-2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234</v>
      </c>
      <c r="C9" s="60">
        <v>0</v>
      </c>
      <c r="D9" s="60">
        <v>0</v>
      </c>
      <c r="E9" s="60">
        <f>food_insecure</f>
        <v>1.7000000000000001E-2</v>
      </c>
      <c r="F9" s="60">
        <f>food_insecure</f>
        <v>1.7000000000000001E-2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190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222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228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229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118</v>
      </c>
      <c r="B15" s="9" t="s">
        <v>197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1.7000000000000001E-2</v>
      </c>
      <c r="I15" s="60">
        <f t="shared" si="0"/>
        <v>1.7000000000000001E-2</v>
      </c>
      <c r="J15" s="60">
        <f t="shared" si="0"/>
        <v>1.7000000000000001E-2</v>
      </c>
      <c r="K15" s="60">
        <f t="shared" si="0"/>
        <v>1.7000000000000001E-2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198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1.7000000000000001E-2</v>
      </c>
      <c r="I16" s="60">
        <f t="shared" si="0"/>
        <v>1.7000000000000001E-2</v>
      </c>
      <c r="J16" s="60">
        <f t="shared" si="0"/>
        <v>1.7000000000000001E-2</v>
      </c>
      <c r="K16" s="60">
        <f t="shared" si="0"/>
        <v>1.7000000000000001E-2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209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210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211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216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217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219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93</v>
      </c>
      <c r="B24" s="11" t="s">
        <v>201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0.39600000000000002</v>
      </c>
      <c r="M24" s="60">
        <f>famplan_unmet_need</f>
        <v>0.39600000000000002</v>
      </c>
      <c r="N24" s="60">
        <f>famplan_unmet_need</f>
        <v>0.39600000000000002</v>
      </c>
      <c r="O24" s="60">
        <f>famplan_unmet_need</f>
        <v>0.39600000000000002</v>
      </c>
    </row>
    <row r="25" spans="1:15" ht="15.75" customHeight="1" x14ac:dyDescent="0.25">
      <c r="B25" s="11" t="s">
        <v>205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0.10965028540878287</v>
      </c>
      <c r="M25" s="60">
        <f>(1-food_insecure)*(0.49)+food_insecure*(0.7)</f>
        <v>0.49357000000000001</v>
      </c>
      <c r="N25" s="60">
        <f>(1-food_insecure)*(0.49)+food_insecure*(0.7)</f>
        <v>0.49357000000000001</v>
      </c>
      <c r="O25" s="60">
        <f>(1-food_insecure)*(0.49)+food_insecure*(0.7)</f>
        <v>0.49357000000000001</v>
      </c>
    </row>
    <row r="26" spans="1:15" ht="15.75" customHeight="1" x14ac:dyDescent="0.25">
      <c r="B26" s="11" t="s">
        <v>206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4.6992979460906942E-2</v>
      </c>
      <c r="M26" s="60">
        <f>(1-food_insecure)*(0.21)+food_insecure*(0.3)</f>
        <v>0.21153</v>
      </c>
      <c r="N26" s="60">
        <f>(1-food_insecure)*(0.21)+food_insecure*(0.3)</f>
        <v>0.21153</v>
      </c>
      <c r="O26" s="60">
        <f>(1-food_insecure)*(0.21)+food_insecure*(0.3)</f>
        <v>0.21153</v>
      </c>
    </row>
    <row r="27" spans="1:15" ht="15.75" customHeight="1" x14ac:dyDescent="0.25">
      <c r="B27" s="11" t="s">
        <v>207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6.551425160980219E-2</v>
      </c>
      <c r="M27" s="60">
        <f>(1-food_insecure)*(0.3)</f>
        <v>0.2949</v>
      </c>
      <c r="N27" s="60">
        <f>(1-food_insecure)*(0.3)</f>
        <v>0.2949</v>
      </c>
      <c r="O27" s="60">
        <f>(1-food_insecure)*(0.3)</f>
        <v>0.2949</v>
      </c>
    </row>
    <row r="28" spans="1:15" ht="15.75" customHeight="1" x14ac:dyDescent="0.25">
      <c r="B28" s="11" t="s">
        <v>208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0.777842483520508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202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203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204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212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215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223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224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225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226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227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4DoKgyInoBg1UqO+h3nLivwCdI7qJB4bvMisGdspTgg60XMvTeb12H2pE0GCbdPuZGX73vN1yeZoUShzDwXewg==" saltValue="nW27JStAbZiZcE80PF1uPQ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230</v>
      </c>
    </row>
    <row r="2" spans="1:1" x14ac:dyDescent="0.25">
      <c r="A2" s="8" t="s">
        <v>241</v>
      </c>
    </row>
    <row r="3" spans="1:1" x14ac:dyDescent="0.25">
      <c r="A3" s="8" t="s">
        <v>242</v>
      </c>
    </row>
    <row r="4" spans="1:1" x14ac:dyDescent="0.25">
      <c r="A4" s="8" t="s">
        <v>243</v>
      </c>
    </row>
  </sheetData>
  <sheetProtection algorithmName="SHA-512" hashValue="Akv+KwTXCBpFYSxx1TLAFDJthP/HeAV+ThsBO9ffrIER15Hmu1hCtOn8ESZu0dEDkjF60qFvkDg8nUuqBpDMyg==" saltValue="fR008r7PX7wdzdkQMVEiS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245</v>
      </c>
      <c r="B1" s="4" t="s">
        <v>244</v>
      </c>
      <c r="C1" s="4" t="s">
        <v>7</v>
      </c>
      <c r="D1" s="4" t="s">
        <v>254</v>
      </c>
      <c r="E1" s="4" t="s">
        <v>255</v>
      </c>
    </row>
    <row r="2" spans="1:5" ht="14" customHeight="1" x14ac:dyDescent="0.3">
      <c r="A2" s="28" t="s">
        <v>246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247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248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249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8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250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251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252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253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OcAhy9xQFI2GV3SREbtPtVCOQVSOqLvRKBIIoUCsgtSpLWv3m2RDWG05IQeESvzw4GbyU8KG0myoepNFHpzIUg==" saltValue="o49GSQo3BHLYO3pNKN2fd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240</v>
      </c>
      <c r="B1" s="1" t="s">
        <v>189</v>
      </c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  <c r="H1" s="4" t="s">
        <v>140</v>
      </c>
      <c r="I1" s="4" t="s">
        <v>141</v>
      </c>
      <c r="J1" s="4" t="s">
        <v>142</v>
      </c>
      <c r="K1" s="4" t="s">
        <v>143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104</v>
      </c>
      <c r="B2" s="5" t="s">
        <v>199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200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186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187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188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213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218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220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221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190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222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228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229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118</v>
      </c>
      <c r="B18" s="5" t="s">
        <v>197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198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209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210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211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216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217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219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93</v>
      </c>
      <c r="B27" s="5" t="s">
        <v>201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205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206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207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208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202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203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204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212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223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224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225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226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227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uUXyBv6C1FJKvlsPa+zFw3+R+gN+Eer3EFm2foSf19U8bzTiOsIFEf6wFGN4GhGIpzQrSjDnN/7rt8Ye4OT+8Q==" saltValue="pLeLUWz4pcxjxk5KyCALW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189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15" t="s">
        <v>197</v>
      </c>
      <c r="B2" s="116"/>
      <c r="C2" s="116"/>
      <c r="D2" s="116"/>
      <c r="E2" s="116"/>
      <c r="F2" s="116"/>
      <c r="G2" s="116"/>
      <c r="H2" s="116"/>
      <c r="I2" s="116" t="s">
        <v>4</v>
      </c>
      <c r="J2" s="116"/>
      <c r="K2" s="116"/>
      <c r="L2" s="116"/>
    </row>
    <row r="3" spans="1:12" x14ac:dyDescent="0.25">
      <c r="A3" s="115" t="s">
        <v>198</v>
      </c>
      <c r="B3" s="116"/>
      <c r="C3" s="116"/>
      <c r="D3" s="116"/>
      <c r="E3" s="116"/>
      <c r="F3" s="116"/>
      <c r="G3" s="116"/>
      <c r="H3" s="116" t="s">
        <v>4</v>
      </c>
      <c r="I3" s="116" t="s">
        <v>4</v>
      </c>
      <c r="J3" s="116"/>
      <c r="K3" s="116"/>
      <c r="L3" s="116"/>
    </row>
    <row r="4" spans="1:12" x14ac:dyDescent="0.25">
      <c r="A4" s="115" t="s">
        <v>199</v>
      </c>
      <c r="B4" s="116" t="s">
        <v>4</v>
      </c>
      <c r="C4" s="116"/>
      <c r="D4" s="116" t="s">
        <v>4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200</v>
      </c>
      <c r="B5" s="116"/>
      <c r="C5" s="116" t="s">
        <v>4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201</v>
      </c>
      <c r="B6" s="116"/>
      <c r="C6" s="116"/>
      <c r="D6" s="116"/>
      <c r="E6" s="116"/>
      <c r="F6" s="116"/>
      <c r="G6" s="116"/>
      <c r="H6" s="116"/>
      <c r="I6" s="116"/>
      <c r="J6" s="116" t="s">
        <v>4</v>
      </c>
      <c r="K6" s="116" t="s">
        <v>4</v>
      </c>
      <c r="L6" s="116"/>
    </row>
    <row r="7" spans="1:12" x14ac:dyDescent="0.25">
      <c r="A7" s="115" t="s">
        <v>202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/>
      <c r="J7" s="116"/>
      <c r="K7" s="116"/>
      <c r="L7" s="116"/>
    </row>
    <row r="8" spans="1:12" x14ac:dyDescent="0.25">
      <c r="A8" s="115" t="s">
        <v>203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/>
      <c r="J8" s="116"/>
      <c r="K8" s="116"/>
      <c r="L8" s="116"/>
    </row>
    <row r="9" spans="1:12" x14ac:dyDescent="0.25">
      <c r="A9" s="115" t="s">
        <v>204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/>
      <c r="J9" s="116"/>
      <c r="K9" s="116"/>
      <c r="L9" s="116"/>
    </row>
    <row r="10" spans="1:12" x14ac:dyDescent="0.25">
      <c r="A10" s="115" t="s">
        <v>205</v>
      </c>
      <c r="B10" s="116"/>
      <c r="C10" s="116" t="s">
        <v>4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206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207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208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209</v>
      </c>
      <c r="B14" s="116"/>
      <c r="C14" s="116" t="s">
        <v>4</v>
      </c>
      <c r="D14" s="116"/>
      <c r="E14" s="116"/>
      <c r="F14" s="116"/>
      <c r="G14" s="116"/>
      <c r="H14" s="116"/>
      <c r="I14" s="116" t="s">
        <v>4</v>
      </c>
      <c r="J14" s="116"/>
      <c r="K14" s="116"/>
      <c r="L14" s="116"/>
    </row>
    <row r="15" spans="1:12" x14ac:dyDescent="0.25">
      <c r="A15" s="117" t="s">
        <v>210</v>
      </c>
      <c r="B15" s="116"/>
      <c r="C15" s="116" t="s">
        <v>4</v>
      </c>
      <c r="D15" s="116"/>
      <c r="E15" s="116"/>
      <c r="F15" s="116"/>
      <c r="G15" s="116"/>
      <c r="H15" s="116"/>
      <c r="I15" s="116" t="s">
        <v>4</v>
      </c>
      <c r="J15" s="116"/>
      <c r="K15" s="116"/>
      <c r="L15" s="116"/>
    </row>
    <row r="16" spans="1:12" x14ac:dyDescent="0.25">
      <c r="A16" s="115" t="s">
        <v>211</v>
      </c>
      <c r="B16" s="116"/>
      <c r="C16" s="116" t="s">
        <v>4</v>
      </c>
      <c r="D16" s="116"/>
      <c r="E16" s="116"/>
      <c r="F16" s="116"/>
      <c r="G16" s="116"/>
      <c r="H16" s="116" t="s">
        <v>4</v>
      </c>
      <c r="I16" s="116" t="s">
        <v>4</v>
      </c>
      <c r="J16" s="116"/>
      <c r="K16" s="116"/>
      <c r="L16" s="116"/>
    </row>
    <row r="17" spans="1:12" x14ac:dyDescent="0.25">
      <c r="A17" s="115" t="s">
        <v>212</v>
      </c>
      <c r="B17" s="116"/>
      <c r="C17" s="116" t="s">
        <v>4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186</v>
      </c>
      <c r="B18" s="116" t="s">
        <v>4</v>
      </c>
      <c r="C18" s="116"/>
      <c r="D18" s="116"/>
      <c r="E18" s="116"/>
      <c r="F18" s="116" t="s">
        <v>4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187</v>
      </c>
      <c r="B19" s="116" t="s">
        <v>4</v>
      </c>
      <c r="C19" s="116"/>
      <c r="D19" s="116"/>
      <c r="E19" s="116"/>
      <c r="F19" s="116" t="s">
        <v>4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188</v>
      </c>
      <c r="B20" s="116" t="s">
        <v>4</v>
      </c>
      <c r="C20" s="116"/>
      <c r="D20" s="116"/>
      <c r="E20" s="116"/>
      <c r="F20" s="116" t="s">
        <v>4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213</v>
      </c>
      <c r="B21" s="116"/>
      <c r="C21" s="116"/>
      <c r="D21" s="116"/>
      <c r="E21" s="116"/>
      <c r="F21" s="116"/>
      <c r="G21" s="116"/>
      <c r="H21" s="116" t="s">
        <v>4</v>
      </c>
      <c r="I21" s="116" t="s">
        <v>4</v>
      </c>
      <c r="J21" s="116"/>
      <c r="K21" s="116"/>
      <c r="L21" s="116"/>
    </row>
    <row r="22" spans="1:12" x14ac:dyDescent="0.25">
      <c r="A22" s="115" t="s">
        <v>214</v>
      </c>
      <c r="B22" s="116" t="s">
        <v>4</v>
      </c>
      <c r="C22" s="116" t="s">
        <v>4</v>
      </c>
      <c r="D22" s="116" t="s">
        <v>4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215</v>
      </c>
      <c r="B23" s="116"/>
      <c r="C23" s="116" t="s">
        <v>4</v>
      </c>
      <c r="D23" s="116"/>
      <c r="E23" s="116"/>
      <c r="F23" s="116"/>
      <c r="G23" s="116"/>
      <c r="H23" s="116"/>
      <c r="I23" s="116" t="s">
        <v>4</v>
      </c>
      <c r="J23" s="116"/>
      <c r="K23" s="116"/>
      <c r="L23" s="116"/>
    </row>
    <row r="24" spans="1:12" x14ac:dyDescent="0.25">
      <c r="A24" s="115" t="s">
        <v>216</v>
      </c>
      <c r="B24" s="116"/>
      <c r="C24" s="116"/>
      <c r="D24" s="116"/>
      <c r="E24" s="116"/>
      <c r="F24" s="116"/>
      <c r="G24" s="116"/>
      <c r="H24" s="116" t="s">
        <v>4</v>
      </c>
      <c r="I24" s="116"/>
      <c r="J24" s="116"/>
      <c r="K24" s="116"/>
      <c r="L24" s="116"/>
    </row>
    <row r="25" spans="1:12" x14ac:dyDescent="0.25">
      <c r="A25" s="115" t="s">
        <v>217</v>
      </c>
      <c r="B25" s="116"/>
      <c r="C25" s="116"/>
      <c r="D25" s="116"/>
      <c r="E25" s="116"/>
      <c r="F25" s="116"/>
      <c r="G25" s="116"/>
      <c r="H25" s="116" t="s">
        <v>4</v>
      </c>
      <c r="I25" s="116"/>
      <c r="J25" s="116"/>
      <c r="K25" s="116"/>
      <c r="L25" s="116"/>
    </row>
    <row r="26" spans="1:12" x14ac:dyDescent="0.25">
      <c r="A26" s="115" t="s">
        <v>218</v>
      </c>
      <c r="B26" s="116"/>
      <c r="C26" s="116" t="s">
        <v>4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219</v>
      </c>
      <c r="B27" s="116"/>
      <c r="C27" s="116" t="s">
        <v>4</v>
      </c>
      <c r="D27" s="116"/>
      <c r="E27" s="116"/>
      <c r="F27" s="116"/>
      <c r="G27" s="116"/>
      <c r="H27" s="116"/>
      <c r="I27" s="116" t="s">
        <v>4</v>
      </c>
      <c r="J27" s="116"/>
      <c r="K27" s="116"/>
      <c r="L27" s="116" t="s">
        <v>4</v>
      </c>
    </row>
    <row r="28" spans="1:12" x14ac:dyDescent="0.25">
      <c r="A28" s="115" t="s">
        <v>220</v>
      </c>
      <c r="B28" s="116"/>
      <c r="C28" s="116"/>
      <c r="D28" s="116"/>
      <c r="E28" s="116"/>
      <c r="F28" s="116"/>
      <c r="G28" s="116"/>
      <c r="H28" s="116" t="s">
        <v>4</v>
      </c>
      <c r="I28" s="116"/>
      <c r="J28" s="116"/>
      <c r="K28" s="116"/>
      <c r="L28" s="116"/>
    </row>
    <row r="29" spans="1:12" x14ac:dyDescent="0.25">
      <c r="A29" s="115" t="s">
        <v>221</v>
      </c>
      <c r="B29" s="116" t="s">
        <v>4</v>
      </c>
      <c r="C29" s="116"/>
      <c r="D29" s="116" t="s">
        <v>4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234</v>
      </c>
      <c r="B30" s="116" t="s">
        <v>4</v>
      </c>
      <c r="C30" s="116" t="s">
        <v>4</v>
      </c>
      <c r="D30" s="116" t="s">
        <v>4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190</v>
      </c>
      <c r="B31" s="116"/>
      <c r="C31" s="116"/>
      <c r="D31" s="116"/>
      <c r="E31" s="116" t="s">
        <v>4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222</v>
      </c>
      <c r="B32" s="116"/>
      <c r="C32" s="116"/>
      <c r="D32" s="116"/>
      <c r="E32" s="116"/>
      <c r="F32" s="116"/>
      <c r="G32" s="116" t="s">
        <v>4</v>
      </c>
      <c r="H32" s="116" t="s">
        <v>4</v>
      </c>
      <c r="I32" s="116"/>
      <c r="J32" s="116"/>
      <c r="K32" s="116"/>
      <c r="L32" s="116"/>
    </row>
    <row r="33" spans="1:12" x14ac:dyDescent="0.25">
      <c r="A33" s="115" t="s">
        <v>223</v>
      </c>
      <c r="B33" s="116"/>
      <c r="C33" s="116"/>
      <c r="D33" s="116"/>
      <c r="E33" s="116"/>
      <c r="F33" s="116"/>
      <c r="G33" s="116" t="s">
        <v>4</v>
      </c>
      <c r="H33" s="116" t="s">
        <v>4</v>
      </c>
      <c r="I33" s="116"/>
      <c r="J33" s="116"/>
      <c r="K33" s="116"/>
      <c r="L33" s="116"/>
    </row>
    <row r="34" spans="1:12" x14ac:dyDescent="0.25">
      <c r="A34" s="115" t="s">
        <v>224</v>
      </c>
      <c r="B34" s="116"/>
      <c r="C34" s="116"/>
      <c r="D34" s="116"/>
      <c r="E34" s="116"/>
      <c r="F34" s="116"/>
      <c r="G34" s="116" t="s">
        <v>4</v>
      </c>
      <c r="H34" s="116" t="s">
        <v>4</v>
      </c>
      <c r="I34" s="116"/>
      <c r="J34" s="116"/>
      <c r="K34" s="116"/>
      <c r="L34" s="116"/>
    </row>
    <row r="35" spans="1:12" x14ac:dyDescent="0.25">
      <c r="A35" s="115" t="s">
        <v>225</v>
      </c>
      <c r="B35" s="116"/>
      <c r="C35" s="116"/>
      <c r="D35" s="116"/>
      <c r="E35" s="116"/>
      <c r="F35" s="116"/>
      <c r="G35" s="116" t="s">
        <v>4</v>
      </c>
      <c r="H35" s="116" t="s">
        <v>4</v>
      </c>
      <c r="I35" s="116"/>
      <c r="J35" s="116"/>
      <c r="K35" s="116"/>
      <c r="L35" s="116"/>
    </row>
    <row r="36" spans="1:12" x14ac:dyDescent="0.25">
      <c r="A36" s="115" t="s">
        <v>226</v>
      </c>
      <c r="B36" s="116"/>
      <c r="C36" s="116"/>
      <c r="D36" s="116"/>
      <c r="E36" s="116"/>
      <c r="F36" s="116"/>
      <c r="G36" s="116" t="s">
        <v>4</v>
      </c>
      <c r="H36" s="116" t="s">
        <v>4</v>
      </c>
      <c r="I36" s="116"/>
      <c r="J36" s="116"/>
      <c r="K36" s="116"/>
      <c r="L36" s="116"/>
    </row>
    <row r="37" spans="1:12" x14ac:dyDescent="0.25">
      <c r="A37" s="115" t="s">
        <v>227</v>
      </c>
      <c r="B37" s="116"/>
      <c r="C37" s="116"/>
      <c r="D37" s="116"/>
      <c r="E37" s="116"/>
      <c r="F37" s="116"/>
      <c r="G37" s="116" t="s">
        <v>4</v>
      </c>
      <c r="H37" s="116" t="s">
        <v>4</v>
      </c>
      <c r="I37" s="116"/>
      <c r="J37" s="116"/>
      <c r="K37" s="116"/>
      <c r="L37" s="116"/>
    </row>
    <row r="38" spans="1:12" x14ac:dyDescent="0.25">
      <c r="A38" s="115" t="s">
        <v>228</v>
      </c>
      <c r="B38" s="116"/>
      <c r="C38" s="116"/>
      <c r="D38" s="116"/>
      <c r="E38" s="116"/>
      <c r="F38" s="116"/>
      <c r="G38" s="116"/>
      <c r="H38" s="116" t="s">
        <v>4</v>
      </c>
      <c r="I38" s="116"/>
      <c r="J38" s="116"/>
      <c r="K38" s="116"/>
      <c r="L38" s="116"/>
    </row>
    <row r="39" spans="1:12" x14ac:dyDescent="0.25">
      <c r="A39" s="115" t="s">
        <v>229</v>
      </c>
      <c r="B39" s="116" t="s">
        <v>4</v>
      </c>
      <c r="C39" s="116"/>
      <c r="D39" s="116"/>
      <c r="E39" s="116"/>
      <c r="F39" s="116"/>
      <c r="G39" s="116" t="s">
        <v>4</v>
      </c>
      <c r="H39" s="116" t="s">
        <v>4</v>
      </c>
      <c r="I39" s="116"/>
      <c r="J39" s="116"/>
      <c r="K39" s="116"/>
      <c r="L39" s="116"/>
    </row>
  </sheetData>
  <sheetProtection algorithmName="SHA-512" hashValue="RBtNwkS9/IIeHoMmrkV9tLvVhD8/pLds5/tJ0g45rZVOl660n3ZXk+J0OQUuN8sgjvlCnvAxF45MyMGP3nMEYg==" saltValue="vSXUMSL3fNPPFiSie11s6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261</v>
      </c>
      <c r="B1" s="108" t="s">
        <v>256</v>
      </c>
      <c r="C1" s="108" t="s">
        <v>139</v>
      </c>
      <c r="D1" s="108" t="s">
        <v>257</v>
      </c>
      <c r="E1" s="108" t="s">
        <v>258</v>
      </c>
      <c r="F1" s="108" t="s">
        <v>146</v>
      </c>
      <c r="G1" s="108" t="s">
        <v>105</v>
      </c>
      <c r="H1" s="108" t="s">
        <v>61</v>
      </c>
      <c r="I1" s="108" t="s">
        <v>259</v>
      </c>
      <c r="J1" s="108" t="s">
        <v>54</v>
      </c>
      <c r="K1" s="108" t="s">
        <v>86</v>
      </c>
      <c r="L1" s="108" t="s">
        <v>260</v>
      </c>
    </row>
    <row r="2" spans="1:12" x14ac:dyDescent="0.25">
      <c r="A2" s="108" t="s">
        <v>127</v>
      </c>
      <c r="B2" s="116" t="s">
        <v>4</v>
      </c>
      <c r="C2" s="116" t="s">
        <v>4</v>
      </c>
      <c r="D2" s="116" t="s">
        <v>4</v>
      </c>
      <c r="E2" s="116" t="s">
        <v>4</v>
      </c>
      <c r="F2" s="116" t="s">
        <v>4</v>
      </c>
      <c r="G2" s="116" t="s">
        <v>4</v>
      </c>
      <c r="H2" s="116" t="s">
        <v>4</v>
      </c>
      <c r="I2" s="116"/>
      <c r="J2" s="116"/>
      <c r="K2" s="116"/>
      <c r="L2" s="116"/>
    </row>
    <row r="3" spans="1:12" x14ac:dyDescent="0.25">
      <c r="A3" s="108" t="s">
        <v>114</v>
      </c>
      <c r="B3" s="116" t="s">
        <v>4</v>
      </c>
      <c r="C3" s="116" t="s">
        <v>4</v>
      </c>
      <c r="D3" s="116" t="s">
        <v>4</v>
      </c>
      <c r="E3" s="116" t="s">
        <v>4</v>
      </c>
      <c r="F3" s="116" t="s">
        <v>4</v>
      </c>
      <c r="G3" s="116" t="s">
        <v>4</v>
      </c>
      <c r="H3" s="116" t="s">
        <v>4</v>
      </c>
      <c r="I3" s="116"/>
      <c r="J3" s="116"/>
      <c r="K3" s="116"/>
      <c r="L3" s="116"/>
    </row>
    <row r="4" spans="1:12" x14ac:dyDescent="0.25">
      <c r="A4" s="108" t="s">
        <v>115</v>
      </c>
      <c r="B4" s="116" t="s">
        <v>4</v>
      </c>
      <c r="C4" s="116" t="s">
        <v>4</v>
      </c>
      <c r="D4" s="116" t="s">
        <v>4</v>
      </c>
      <c r="E4" s="116" t="s">
        <v>4</v>
      </c>
      <c r="F4" s="116" t="s">
        <v>4</v>
      </c>
      <c r="G4" s="116" t="s">
        <v>4</v>
      </c>
      <c r="H4" s="116" t="s">
        <v>4</v>
      </c>
      <c r="I4" s="116"/>
      <c r="J4" s="116"/>
      <c r="K4" s="116"/>
      <c r="L4" s="116"/>
    </row>
    <row r="5" spans="1:12" x14ac:dyDescent="0.25">
      <c r="A5" s="108" t="s">
        <v>116</v>
      </c>
      <c r="B5" s="116" t="s">
        <v>4</v>
      </c>
      <c r="C5" s="116" t="s">
        <v>4</v>
      </c>
      <c r="D5" s="116" t="s">
        <v>4</v>
      </c>
      <c r="E5" s="116" t="s">
        <v>4</v>
      </c>
      <c r="F5" s="116" t="s">
        <v>4</v>
      </c>
      <c r="G5" s="116" t="s">
        <v>4</v>
      </c>
      <c r="H5" s="116" t="s">
        <v>4</v>
      </c>
      <c r="I5" s="116"/>
      <c r="J5" s="116"/>
      <c r="K5" s="116"/>
      <c r="L5" s="116"/>
    </row>
    <row r="6" spans="1:12" x14ac:dyDescent="0.25">
      <c r="A6" s="108" t="s">
        <v>117</v>
      </c>
      <c r="B6" s="116" t="s">
        <v>4</v>
      </c>
      <c r="C6" s="116" t="s">
        <v>4</v>
      </c>
      <c r="D6" s="116" t="s">
        <v>4</v>
      </c>
      <c r="E6" s="116" t="s">
        <v>4</v>
      </c>
      <c r="F6" s="116" t="s">
        <v>4</v>
      </c>
      <c r="G6" s="116" t="s">
        <v>4</v>
      </c>
      <c r="H6" s="116" t="s">
        <v>4</v>
      </c>
      <c r="I6" s="116"/>
      <c r="J6" s="116"/>
      <c r="K6" s="116"/>
      <c r="L6" s="116"/>
    </row>
    <row r="7" spans="1:12" x14ac:dyDescent="0.25">
      <c r="A7" s="108" t="s">
        <v>140</v>
      </c>
      <c r="B7" s="116"/>
      <c r="C7" s="116" t="s">
        <v>4</v>
      </c>
      <c r="D7" s="116"/>
      <c r="E7" s="116"/>
      <c r="F7" s="116"/>
      <c r="G7" s="116"/>
      <c r="H7" s="116" t="s">
        <v>4</v>
      </c>
      <c r="I7" s="116" t="s">
        <v>4</v>
      </c>
      <c r="J7" s="116"/>
      <c r="K7" s="116"/>
      <c r="L7" s="116" t="s">
        <v>4</v>
      </c>
    </row>
    <row r="8" spans="1:12" x14ac:dyDescent="0.25">
      <c r="A8" s="108" t="s">
        <v>141</v>
      </c>
      <c r="B8" s="116"/>
      <c r="C8" s="116" t="s">
        <v>4</v>
      </c>
      <c r="D8" s="116"/>
      <c r="E8" s="116"/>
      <c r="F8" s="116"/>
      <c r="G8" s="116"/>
      <c r="H8" s="116" t="s">
        <v>4</v>
      </c>
      <c r="I8" s="116" t="s">
        <v>4</v>
      </c>
      <c r="J8" s="116"/>
      <c r="K8" s="116"/>
      <c r="L8" s="116" t="s">
        <v>4</v>
      </c>
    </row>
    <row r="9" spans="1:12" x14ac:dyDescent="0.25">
      <c r="A9" s="108" t="s">
        <v>142</v>
      </c>
      <c r="B9" s="116"/>
      <c r="C9" s="116" t="s">
        <v>4</v>
      </c>
      <c r="D9" s="116"/>
      <c r="E9" s="116"/>
      <c r="F9" s="116"/>
      <c r="G9" s="116"/>
      <c r="H9" s="116" t="s">
        <v>4</v>
      </c>
      <c r="I9" s="116" t="s">
        <v>4</v>
      </c>
      <c r="J9" s="116"/>
      <c r="K9" s="116"/>
      <c r="L9" s="116" t="s">
        <v>4</v>
      </c>
    </row>
    <row r="10" spans="1:12" x14ac:dyDescent="0.25">
      <c r="A10" s="108" t="s">
        <v>143</v>
      </c>
      <c r="B10" s="116"/>
      <c r="C10" s="116" t="s">
        <v>4</v>
      </c>
      <c r="D10" s="116"/>
      <c r="E10" s="116"/>
      <c r="F10" s="116"/>
      <c r="G10" s="116"/>
      <c r="H10" s="116" t="s">
        <v>4</v>
      </c>
      <c r="I10" s="116" t="s">
        <v>4</v>
      </c>
      <c r="J10" s="116"/>
      <c r="K10" s="116"/>
      <c r="L10" s="116" t="s">
        <v>4</v>
      </c>
    </row>
    <row r="11" spans="1:12" x14ac:dyDescent="0.25">
      <c r="A11" s="108" t="s">
        <v>87</v>
      </c>
      <c r="B11" s="116"/>
      <c r="C11" s="116" t="s">
        <v>4</v>
      </c>
      <c r="D11" s="116"/>
      <c r="E11" s="116"/>
      <c r="F11" s="116"/>
      <c r="G11" s="116"/>
      <c r="H11" s="116"/>
      <c r="I11" s="116"/>
      <c r="J11" s="116" t="s">
        <v>4</v>
      </c>
      <c r="K11" s="116" t="s">
        <v>4</v>
      </c>
      <c r="L11" s="116"/>
    </row>
    <row r="12" spans="1:12" x14ac:dyDescent="0.25">
      <c r="A12" s="108" t="s">
        <v>88</v>
      </c>
      <c r="B12" s="116"/>
      <c r="C12" s="116" t="s">
        <v>4</v>
      </c>
      <c r="D12" s="116"/>
      <c r="E12" s="116"/>
      <c r="F12" s="116"/>
      <c r="G12" s="116"/>
      <c r="H12" s="116"/>
      <c r="I12" s="116"/>
      <c r="J12" s="116"/>
      <c r="K12" s="116" t="s">
        <v>4</v>
      </c>
      <c r="L12" s="116"/>
    </row>
    <row r="13" spans="1:12" x14ac:dyDescent="0.25">
      <c r="A13" s="108" t="s">
        <v>89</v>
      </c>
      <c r="B13" s="116"/>
      <c r="C13" s="116" t="s">
        <v>4</v>
      </c>
      <c r="D13" s="116"/>
      <c r="E13" s="116"/>
      <c r="F13" s="116"/>
      <c r="G13" s="116"/>
      <c r="H13" s="116"/>
      <c r="I13" s="116"/>
      <c r="J13" s="116"/>
      <c r="K13" s="116" t="s">
        <v>4</v>
      </c>
      <c r="L13" s="116"/>
    </row>
    <row r="14" spans="1:12" x14ac:dyDescent="0.25">
      <c r="A14" s="108" t="s">
        <v>90</v>
      </c>
      <c r="B14" s="116"/>
      <c r="C14" s="116" t="s">
        <v>4</v>
      </c>
      <c r="D14" s="116"/>
      <c r="E14" s="116"/>
      <c r="F14" s="116"/>
      <c r="G14" s="116"/>
      <c r="H14" s="116"/>
      <c r="I14" s="116"/>
      <c r="J14" s="116"/>
      <c r="K14" s="116" t="s">
        <v>4</v>
      </c>
      <c r="L14" s="116"/>
    </row>
  </sheetData>
  <sheetProtection algorithmName="SHA-512" hashValue="kpq3RJqeJg/sLnGwRWDQa3HmmLCfqEkUblPcuyzqNWGMJCkjIFBgzTuZsxHAvzBEr+w6yRGhXENzDy2ryJZmCA==" saltValue="f+AfInTCo6TO5UY5WChjq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262</v>
      </c>
      <c r="B1" s="4" t="s">
        <v>181</v>
      </c>
      <c r="C1" s="4" t="s">
        <v>193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10" ht="13" x14ac:dyDescent="0.3">
      <c r="A2" s="4" t="s">
        <v>263</v>
      </c>
      <c r="B2" s="125" t="s">
        <v>118</v>
      </c>
      <c r="C2" s="8" t="s">
        <v>182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183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127</v>
      </c>
      <c r="C5" s="8" t="s">
        <v>182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183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114</v>
      </c>
      <c r="C8" s="8" t="s">
        <v>182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183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115</v>
      </c>
      <c r="C11" s="8" t="s">
        <v>182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183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116</v>
      </c>
      <c r="C14" s="8" t="s">
        <v>182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183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185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264</v>
      </c>
      <c r="B19" s="125" t="s">
        <v>118</v>
      </c>
      <c r="C19" s="8" t="s">
        <v>182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183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127</v>
      </c>
      <c r="C22" s="8" t="s">
        <v>182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183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114</v>
      </c>
      <c r="C25" s="8" t="s">
        <v>182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183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115</v>
      </c>
      <c r="C28" s="8" t="s">
        <v>182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183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116</v>
      </c>
      <c r="C31" s="8" t="s">
        <v>182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183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185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265</v>
      </c>
      <c r="B36" s="125" t="s">
        <v>118</v>
      </c>
      <c r="C36" s="8" t="s">
        <v>182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183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127</v>
      </c>
      <c r="C39" s="8" t="s">
        <v>182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183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114</v>
      </c>
      <c r="C42" s="8" t="s">
        <v>182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183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115</v>
      </c>
      <c r="C45" s="8" t="s">
        <v>182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183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116</v>
      </c>
      <c r="C48" s="8" t="s">
        <v>182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183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185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262</v>
      </c>
      <c r="B54" s="4" t="s">
        <v>181</v>
      </c>
      <c r="C54" s="4" t="s">
        <v>193</v>
      </c>
      <c r="D54" s="4" t="s">
        <v>127</v>
      </c>
      <c r="E54" s="4" t="s">
        <v>114</v>
      </c>
      <c r="F54" s="4" t="s">
        <v>115</v>
      </c>
      <c r="G54" s="4" t="s">
        <v>116</v>
      </c>
      <c r="H54" s="4" t="s">
        <v>117</v>
      </c>
    </row>
    <row r="55" spans="1:8" ht="13" x14ac:dyDescent="0.3">
      <c r="A55" s="4" t="s">
        <v>267</v>
      </c>
      <c r="B55" s="125" t="s">
        <v>118</v>
      </c>
      <c r="C55" s="8" t="s">
        <v>182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183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127</v>
      </c>
      <c r="C58" s="8" t="s">
        <v>182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183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114</v>
      </c>
      <c r="C61" s="8" t="s">
        <v>182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183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115</v>
      </c>
      <c r="C64" s="8" t="s">
        <v>182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183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116</v>
      </c>
      <c r="C67" s="8" t="s">
        <v>182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183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185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268</v>
      </c>
      <c r="B72" s="125" t="s">
        <v>118</v>
      </c>
      <c r="C72" s="8" t="s">
        <v>182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183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127</v>
      </c>
      <c r="C75" s="8" t="s">
        <v>182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183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114</v>
      </c>
      <c r="C78" s="8" t="s">
        <v>182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183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115</v>
      </c>
      <c r="C81" s="8" t="s">
        <v>182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183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116</v>
      </c>
      <c r="C84" s="8" t="s">
        <v>182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183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185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269</v>
      </c>
      <c r="B89" s="125" t="s">
        <v>118</v>
      </c>
      <c r="C89" s="8" t="s">
        <v>182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183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127</v>
      </c>
      <c r="C92" s="8" t="s">
        <v>182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183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114</v>
      </c>
      <c r="C95" s="8" t="s">
        <v>182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183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115</v>
      </c>
      <c r="C98" s="8" t="s">
        <v>182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183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116</v>
      </c>
      <c r="C101" s="8" t="s">
        <v>182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183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185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270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262</v>
      </c>
      <c r="B107" s="4" t="s">
        <v>181</v>
      </c>
      <c r="C107" s="4" t="s">
        <v>193</v>
      </c>
      <c r="D107" s="4" t="s">
        <v>127</v>
      </c>
      <c r="E107" s="4" t="s">
        <v>114</v>
      </c>
      <c r="F107" s="4" t="s">
        <v>115</v>
      </c>
      <c r="G107" s="4" t="s">
        <v>116</v>
      </c>
      <c r="H107" s="4" t="s">
        <v>117</v>
      </c>
    </row>
    <row r="108" spans="1:8" ht="13" x14ac:dyDescent="0.3">
      <c r="A108" s="4" t="s">
        <v>271</v>
      </c>
      <c r="B108" s="125" t="s">
        <v>118</v>
      </c>
      <c r="C108" s="8" t="s">
        <v>182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183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127</v>
      </c>
      <c r="C111" s="8" t="s">
        <v>182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183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114</v>
      </c>
      <c r="C114" s="8" t="s">
        <v>182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183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115</v>
      </c>
      <c r="C117" s="8" t="s">
        <v>182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183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116</v>
      </c>
      <c r="C120" s="8" t="s">
        <v>182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183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185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272</v>
      </c>
      <c r="B125" s="125" t="s">
        <v>118</v>
      </c>
      <c r="C125" s="8" t="s">
        <v>182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183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127</v>
      </c>
      <c r="C128" s="8" t="s">
        <v>182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183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114</v>
      </c>
      <c r="C131" s="8" t="s">
        <v>182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183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115</v>
      </c>
      <c r="C134" s="8" t="s">
        <v>182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183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116</v>
      </c>
      <c r="C137" s="8" t="s">
        <v>182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183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185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273</v>
      </c>
      <c r="B142" s="125" t="s">
        <v>118</v>
      </c>
      <c r="C142" s="8" t="s">
        <v>182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183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127</v>
      </c>
      <c r="C145" s="8" t="s">
        <v>182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183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114</v>
      </c>
      <c r="C148" s="8" t="s">
        <v>182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183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115</v>
      </c>
      <c r="C151" s="8" t="s">
        <v>182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183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116</v>
      </c>
      <c r="C154" s="8" t="s">
        <v>182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183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185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29vJ+GnquAHye2mzePrEwJKaUh0S6AdXrDjtmC4TrcvIIe8g7k/ixxeFwZe0G3KACeOa1rEKcI0zfTFXw0+dyw==" saltValue="H7x4mEI/g4PvoF+bURKJFQ==" spinCount="100000" sheet="1" objects="1" scenarios="1" selectLockedCells="1"/>
  <mergeCells count="45"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264</v>
      </c>
    </row>
    <row r="2" spans="1:7" ht="14.25" customHeight="1" x14ac:dyDescent="0.3">
      <c r="A2" s="122" t="s">
        <v>6</v>
      </c>
      <c r="B2" s="107"/>
      <c r="C2" s="105" t="s">
        <v>127</v>
      </c>
      <c r="D2" s="105" t="s">
        <v>114</v>
      </c>
      <c r="E2" s="105" t="s">
        <v>115</v>
      </c>
      <c r="F2" s="105" t="s">
        <v>116</v>
      </c>
      <c r="G2" s="105" t="s">
        <v>117</v>
      </c>
    </row>
    <row r="3" spans="1:7" ht="14.25" customHeight="1" x14ac:dyDescent="0.25">
      <c r="B3" s="117" t="s">
        <v>274</v>
      </c>
      <c r="C3" s="118" t="s">
        <v>10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275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276</v>
      </c>
    </row>
    <row r="6" spans="1:7" ht="14.25" customHeight="1" x14ac:dyDescent="0.25">
      <c r="B6" s="117" t="s">
        <v>221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214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199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234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229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280</v>
      </c>
    </row>
    <row r="13" spans="1:7" ht="14.25" customHeight="1" x14ac:dyDescent="0.3">
      <c r="A13" s="123"/>
      <c r="B13" s="117" t="s">
        <v>213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277</v>
      </c>
    </row>
    <row r="16" spans="1:7" ht="14.25" customHeight="1" x14ac:dyDescent="0.3">
      <c r="A16" s="122" t="s">
        <v>283</v>
      </c>
      <c r="B16" s="117" t="s">
        <v>278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281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139</v>
      </c>
      <c r="B18" s="117" t="s">
        <v>279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282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201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264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6</v>
      </c>
      <c r="B26" s="107"/>
      <c r="C26" s="105" t="s">
        <v>127</v>
      </c>
      <c r="D26" s="105" t="s">
        <v>114</v>
      </c>
      <c r="E26" s="105" t="s">
        <v>115</v>
      </c>
      <c r="F26" s="105" t="s">
        <v>116</v>
      </c>
      <c r="G26" s="105" t="s">
        <v>117</v>
      </c>
    </row>
    <row r="27" spans="1:7" x14ac:dyDescent="0.25">
      <c r="B27" s="117" t="s">
        <v>284</v>
      </c>
      <c r="C27" s="118" t="s">
        <v>10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285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286</v>
      </c>
    </row>
    <row r="30" spans="1:7" x14ac:dyDescent="0.25">
      <c r="B30" s="117" t="s">
        <v>287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288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29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310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289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290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291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277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283</v>
      </c>
      <c r="B40" s="117" t="s">
        <v>292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293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139</v>
      </c>
      <c r="B42" s="117" t="s">
        <v>294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295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296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270</v>
      </c>
    </row>
    <row r="49" spans="1:7" ht="13" x14ac:dyDescent="0.3">
      <c r="A49" s="120" t="s">
        <v>264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6</v>
      </c>
      <c r="B50" s="107"/>
      <c r="C50" s="105" t="s">
        <v>127</v>
      </c>
      <c r="D50" s="105" t="s">
        <v>114</v>
      </c>
      <c r="E50" s="105" t="s">
        <v>115</v>
      </c>
      <c r="F50" s="105" t="s">
        <v>116</v>
      </c>
      <c r="G50" s="105" t="s">
        <v>117</v>
      </c>
    </row>
    <row r="51" spans="1:7" x14ac:dyDescent="0.25">
      <c r="B51" s="117" t="s">
        <v>297</v>
      </c>
      <c r="C51" s="118" t="s">
        <v>10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298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299</v>
      </c>
    </row>
    <row r="54" spans="1:7" x14ac:dyDescent="0.25">
      <c r="B54" s="117" t="s">
        <v>300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301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30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311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302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304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277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283</v>
      </c>
      <c r="B64" s="117" t="s">
        <v>305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306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139</v>
      </c>
      <c r="B66" s="117" t="s">
        <v>307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308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309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6AsgDEkhHcFKacmiahYeWkmGrVHT5939dMtJvJfebjGZJwB8VSpgPLWh7c9Uarw9A1eHPoXVOzPa+T27x8avZA==" saltValue="ppzlAPd61OAsHArCkkwX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189</v>
      </c>
      <c r="B1" s="105"/>
      <c r="C1" s="105" t="s">
        <v>69</v>
      </c>
      <c r="D1" s="105" t="s">
        <v>71</v>
      </c>
      <c r="E1" s="105" t="s">
        <v>70</v>
      </c>
      <c r="F1" s="107" t="s">
        <v>72</v>
      </c>
    </row>
    <row r="2" spans="1:6" ht="15.75" customHeight="1" x14ac:dyDescent="0.25">
      <c r="A2" s="117" t="s">
        <v>197</v>
      </c>
      <c r="B2" s="117" t="s">
        <v>312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313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198</v>
      </c>
      <c r="B4" s="117" t="s">
        <v>312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313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209</v>
      </c>
      <c r="B6" s="117" t="s">
        <v>312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313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210</v>
      </c>
      <c r="B8" s="117" t="s">
        <v>312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313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211</v>
      </c>
      <c r="B10" s="117" t="s">
        <v>312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313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215</v>
      </c>
      <c r="B12" s="117" t="s">
        <v>312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313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219</v>
      </c>
      <c r="B14" s="117" t="s">
        <v>312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313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189</v>
      </c>
      <c r="B18" s="105"/>
      <c r="C18" s="105" t="s">
        <v>69</v>
      </c>
      <c r="D18" s="105" t="s">
        <v>71</v>
      </c>
      <c r="E18" s="105" t="s">
        <v>70</v>
      </c>
      <c r="F18" s="107" t="s">
        <v>72</v>
      </c>
    </row>
    <row r="19" spans="1:6" ht="15.75" customHeight="1" x14ac:dyDescent="0.25">
      <c r="A19" s="117" t="s">
        <v>197</v>
      </c>
      <c r="B19" s="117" t="s">
        <v>312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313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198</v>
      </c>
      <c r="B21" s="117" t="s">
        <v>312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313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209</v>
      </c>
      <c r="B23" s="117" t="s">
        <v>312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313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210</v>
      </c>
      <c r="B25" s="117" t="s">
        <v>312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313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211</v>
      </c>
      <c r="B27" s="117" t="s">
        <v>312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313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215</v>
      </c>
      <c r="B29" s="117" t="s">
        <v>312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313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219</v>
      </c>
      <c r="B31" s="117" t="s">
        <v>312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313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270</v>
      </c>
    </row>
    <row r="35" spans="1:6" ht="15.75" customHeight="1" x14ac:dyDescent="0.3">
      <c r="A35" s="107" t="s">
        <v>189</v>
      </c>
      <c r="B35" s="105"/>
      <c r="C35" s="105" t="s">
        <v>69</v>
      </c>
      <c r="D35" s="105" t="s">
        <v>71</v>
      </c>
      <c r="E35" s="105" t="s">
        <v>70</v>
      </c>
      <c r="F35" s="107" t="s">
        <v>72</v>
      </c>
    </row>
    <row r="36" spans="1:6" ht="15.75" customHeight="1" x14ac:dyDescent="0.25">
      <c r="A36" s="117" t="s">
        <v>197</v>
      </c>
      <c r="B36" s="117" t="s">
        <v>312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313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198</v>
      </c>
      <c r="B38" s="117" t="s">
        <v>312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313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209</v>
      </c>
      <c r="B40" s="117" t="s">
        <v>312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313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210</v>
      </c>
      <c r="B42" s="117" t="s">
        <v>312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313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211</v>
      </c>
      <c r="B44" s="117" t="s">
        <v>312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313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215</v>
      </c>
      <c r="B46" s="117" t="s">
        <v>312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313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219</v>
      </c>
      <c r="B48" s="117" t="s">
        <v>312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313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Ux/6RSbMX9LglTjJHIZIz8K8CsqjD2KfXhBgyu/+2G571qBJIHeG/jRZE7z38vvFEB+UxrMoy4S6+xkuccnrWw==" saltValue="cEWDJz7FypPj9j1nc+EN7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314</v>
      </c>
    </row>
    <row r="2" spans="1:6" ht="15.75" customHeight="1" x14ac:dyDescent="0.3">
      <c r="B2" s="69"/>
      <c r="C2" s="26" t="s">
        <v>72</v>
      </c>
      <c r="D2" s="70" t="s">
        <v>71</v>
      </c>
      <c r="E2" s="70" t="s">
        <v>70</v>
      </c>
      <c r="F2" s="70" t="s">
        <v>69</v>
      </c>
    </row>
    <row r="3" spans="1:6" ht="15.75" customHeight="1" x14ac:dyDescent="0.3">
      <c r="A3" s="4" t="s">
        <v>315</v>
      </c>
      <c r="B3" s="14"/>
      <c r="C3" s="71"/>
      <c r="D3" s="72"/>
      <c r="E3" s="72"/>
      <c r="F3" s="72"/>
    </row>
    <row r="4" spans="1:6" ht="15.75" customHeight="1" x14ac:dyDescent="0.25">
      <c r="B4" s="5" t="s">
        <v>55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56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57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58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320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316</v>
      </c>
      <c r="C11" s="74"/>
      <c r="D11" s="75"/>
      <c r="E11" s="75"/>
      <c r="F11" s="75"/>
    </row>
    <row r="12" spans="1:6" ht="15.75" customHeight="1" x14ac:dyDescent="0.3">
      <c r="A12" s="4" t="s">
        <v>317</v>
      </c>
      <c r="C12" s="73"/>
      <c r="D12" s="64"/>
      <c r="E12" s="64"/>
      <c r="F12" s="64"/>
    </row>
    <row r="13" spans="1:6" ht="15.75" customHeight="1" x14ac:dyDescent="0.25">
      <c r="B13" s="11" t="s">
        <v>318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137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319</v>
      </c>
      <c r="B17" s="14"/>
      <c r="C17" s="77"/>
      <c r="D17" s="78"/>
      <c r="E17" s="78"/>
      <c r="F17" s="78"/>
    </row>
    <row r="18" spans="1:6" ht="15.75" customHeight="1" x14ac:dyDescent="0.25">
      <c r="B18" s="5" t="s">
        <v>96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98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99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100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101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102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103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314</v>
      </c>
    </row>
    <row r="29" spans="1:6" ht="15.75" customHeight="1" x14ac:dyDescent="0.3">
      <c r="B29" s="69"/>
      <c r="C29" s="26" t="s">
        <v>72</v>
      </c>
      <c r="D29" s="70" t="s">
        <v>71</v>
      </c>
      <c r="E29" s="70" t="s">
        <v>70</v>
      </c>
      <c r="F29" s="70" t="s">
        <v>69</v>
      </c>
    </row>
    <row r="30" spans="1:6" ht="15.75" customHeight="1" x14ac:dyDescent="0.3">
      <c r="A30" s="4" t="s">
        <v>321</v>
      </c>
      <c r="B30" s="14"/>
      <c r="C30" s="71"/>
      <c r="D30" s="72"/>
      <c r="E30" s="72"/>
      <c r="F30" s="72"/>
    </row>
    <row r="31" spans="1:6" ht="15.75" customHeight="1" x14ac:dyDescent="0.25">
      <c r="B31" s="5" t="s">
        <v>55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56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57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58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333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316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327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328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329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323</v>
      </c>
      <c r="B44" s="14"/>
      <c r="C44" s="77"/>
      <c r="D44" s="78"/>
      <c r="E44" s="78"/>
      <c r="F44" s="78"/>
    </row>
    <row r="45" spans="1:6" ht="15.75" customHeight="1" x14ac:dyDescent="0.25">
      <c r="B45" s="5" t="s">
        <v>96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98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99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100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101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102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103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270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314</v>
      </c>
    </row>
    <row r="56" spans="1:6" ht="15.75" customHeight="1" x14ac:dyDescent="0.3">
      <c r="B56" s="69"/>
      <c r="C56" s="26" t="s">
        <v>72</v>
      </c>
      <c r="D56" s="70" t="s">
        <v>71</v>
      </c>
      <c r="E56" s="70" t="s">
        <v>70</v>
      </c>
      <c r="F56" s="70" t="s">
        <v>69</v>
      </c>
    </row>
    <row r="57" spans="1:6" ht="15.75" customHeight="1" x14ac:dyDescent="0.3">
      <c r="A57" s="4" t="s">
        <v>324</v>
      </c>
      <c r="B57" s="14"/>
      <c r="C57" s="71"/>
      <c r="D57" s="72"/>
      <c r="E57" s="72"/>
      <c r="F57" s="72"/>
    </row>
    <row r="58" spans="1:6" ht="15.75" customHeight="1" x14ac:dyDescent="0.25">
      <c r="B58" s="5" t="s">
        <v>55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56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57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58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334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316</v>
      </c>
      <c r="B65" s="68"/>
      <c r="C65" s="74"/>
      <c r="D65" s="75"/>
      <c r="E65" s="75"/>
      <c r="F65" s="75"/>
    </row>
    <row r="66" spans="1:6" ht="15.75" customHeight="1" x14ac:dyDescent="0.3">
      <c r="A66" s="4" t="s">
        <v>325</v>
      </c>
      <c r="C66" s="73"/>
      <c r="D66" s="64"/>
      <c r="E66" s="64"/>
      <c r="F66" s="64"/>
    </row>
    <row r="67" spans="1:6" ht="15.75" customHeight="1" x14ac:dyDescent="0.25">
      <c r="B67" s="11" t="s">
        <v>330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331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332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326</v>
      </c>
      <c r="B71" s="14"/>
      <c r="C71" s="77"/>
      <c r="D71" s="78"/>
      <c r="E71" s="78"/>
      <c r="F71" s="78"/>
    </row>
    <row r="72" spans="1:6" ht="15.75" customHeight="1" x14ac:dyDescent="0.25">
      <c r="B72" s="5" t="s">
        <v>96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98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99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100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101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102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103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VZhNwqtGoRZUaawqnCltQKnfryX2ivjhOXvJsIGto2IZ1zmgX/xx8dOqj6W7C/q1+A4Mq78/TPx8qpORo2cnNg==" saltValue="QmVHaIN+NHpFJF0Ao2Aq3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335</v>
      </c>
    </row>
    <row r="2" spans="1:16" ht="13" x14ac:dyDescent="0.3">
      <c r="A2" s="39" t="s">
        <v>256</v>
      </c>
      <c r="B2" s="1" t="s">
        <v>336</v>
      </c>
      <c r="C2" s="1" t="s">
        <v>337</v>
      </c>
      <c r="D2" s="70" t="s">
        <v>127</v>
      </c>
      <c r="E2" s="70" t="s">
        <v>114</v>
      </c>
      <c r="F2" s="70" t="s">
        <v>115</v>
      </c>
      <c r="G2" s="70" t="s">
        <v>116</v>
      </c>
      <c r="H2" s="70" t="s">
        <v>117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105</v>
      </c>
      <c r="C3" s="3" t="s">
        <v>9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338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339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340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106</v>
      </c>
      <c r="C7" s="3" t="s">
        <v>9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338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339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340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108</v>
      </c>
      <c r="C11" s="3" t="s">
        <v>9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338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339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340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109</v>
      </c>
      <c r="C15" s="3" t="s">
        <v>9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338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339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340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107</v>
      </c>
      <c r="C19" s="3" t="s">
        <v>9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338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339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340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113</v>
      </c>
      <c r="C23" s="3" t="s">
        <v>9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338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339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340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349</v>
      </c>
    </row>
    <row r="29" spans="1:16" ht="13" x14ac:dyDescent="0.3">
      <c r="A29" s="39" t="s">
        <v>283</v>
      </c>
      <c r="B29" s="4" t="s">
        <v>336</v>
      </c>
      <c r="C29" s="4" t="s">
        <v>341</v>
      </c>
      <c r="D29" s="70" t="s">
        <v>127</v>
      </c>
      <c r="E29" s="70" t="s">
        <v>114</v>
      </c>
      <c r="F29" s="70" t="s">
        <v>115</v>
      </c>
      <c r="G29" s="70" t="s">
        <v>116</v>
      </c>
      <c r="H29" s="70" t="s">
        <v>117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105</v>
      </c>
      <c r="C30" s="3" t="s">
        <v>9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338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238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106</v>
      </c>
      <c r="C34" s="3" t="s">
        <v>9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338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238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108</v>
      </c>
      <c r="C38" s="3" t="s">
        <v>9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338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238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109</v>
      </c>
      <c r="C42" s="3" t="s">
        <v>9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338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238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107</v>
      </c>
      <c r="C46" s="3" t="s">
        <v>9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338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238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113</v>
      </c>
      <c r="C50" s="3" t="s">
        <v>9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338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238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342</v>
      </c>
    </row>
    <row r="56" spans="1:16" ht="26.4" customHeight="1" x14ac:dyDescent="0.3">
      <c r="A56" s="39" t="s">
        <v>139</v>
      </c>
      <c r="B56" s="4" t="s">
        <v>336</v>
      </c>
      <c r="C56" s="69" t="s">
        <v>343</v>
      </c>
      <c r="D56" s="70" t="s">
        <v>140</v>
      </c>
      <c r="E56" s="70" t="s">
        <v>141</v>
      </c>
      <c r="F56" s="70" t="s">
        <v>142</v>
      </c>
      <c r="G56" s="70" t="s">
        <v>143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119</v>
      </c>
      <c r="C57" s="3" t="s">
        <v>344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345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120</v>
      </c>
      <c r="C59" s="3" t="s">
        <v>344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345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121</v>
      </c>
      <c r="C61" s="3" t="s">
        <v>344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345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346</v>
      </c>
    </row>
    <row r="65" spans="1:16" ht="26.4" customHeight="1" x14ac:dyDescent="0.3">
      <c r="A65" s="39" t="s">
        <v>146</v>
      </c>
      <c r="B65" s="4" t="s">
        <v>336</v>
      </c>
      <c r="C65" s="69" t="s">
        <v>347</v>
      </c>
      <c r="D65" s="70" t="s">
        <v>127</v>
      </c>
      <c r="E65" s="70" t="s">
        <v>114</v>
      </c>
      <c r="F65" s="70" t="s">
        <v>115</v>
      </c>
      <c r="G65" s="70" t="s">
        <v>116</v>
      </c>
      <c r="H65" s="81" t="s">
        <v>117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96</v>
      </c>
      <c r="C66" s="3" t="s">
        <v>147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148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149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150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147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148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149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150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98</v>
      </c>
      <c r="C74" s="3" t="s">
        <v>147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148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149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150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100</v>
      </c>
      <c r="C78" s="3" t="s">
        <v>147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148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149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150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105</v>
      </c>
      <c r="C82" s="3" t="s">
        <v>147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148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149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150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106</v>
      </c>
      <c r="C86" s="3" t="s">
        <v>147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148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149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150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108</v>
      </c>
      <c r="C90" s="3" t="s">
        <v>147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148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149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150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107</v>
      </c>
      <c r="C94" s="3" t="s">
        <v>147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148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149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150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110</v>
      </c>
      <c r="C98" s="3" t="s">
        <v>147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148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149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150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348</v>
      </c>
    </row>
    <row r="104" spans="1:16" ht="26.4" customHeight="1" x14ac:dyDescent="0.3">
      <c r="A104" s="39" t="s">
        <v>105</v>
      </c>
      <c r="B104" s="82" t="s">
        <v>150</v>
      </c>
      <c r="C104" s="69" t="s">
        <v>347</v>
      </c>
      <c r="D104" s="70" t="s">
        <v>127</v>
      </c>
      <c r="E104" s="70" t="s">
        <v>114</v>
      </c>
      <c r="F104" s="70" t="s">
        <v>115</v>
      </c>
      <c r="G104" s="70" t="s">
        <v>116</v>
      </c>
      <c r="H104" s="81" t="s">
        <v>117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147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148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149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150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335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256</v>
      </c>
      <c r="B112" s="1" t="s">
        <v>336</v>
      </c>
      <c r="C112" s="1" t="s">
        <v>337</v>
      </c>
      <c r="D112" s="70" t="s">
        <v>127</v>
      </c>
      <c r="E112" s="70" t="s">
        <v>114</v>
      </c>
      <c r="F112" s="70" t="s">
        <v>115</v>
      </c>
      <c r="G112" s="70" t="s">
        <v>116</v>
      </c>
      <c r="H112" s="70" t="s">
        <v>117</v>
      </c>
    </row>
    <row r="113" spans="1:8" ht="13" x14ac:dyDescent="0.3">
      <c r="A113" s="4"/>
      <c r="B113" s="8" t="s">
        <v>105</v>
      </c>
      <c r="C113" s="3" t="s">
        <v>9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338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339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340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106</v>
      </c>
      <c r="C117" s="3" t="s">
        <v>9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338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339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340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108</v>
      </c>
      <c r="C121" s="3" t="s">
        <v>9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338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339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340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109</v>
      </c>
      <c r="C125" s="3" t="s">
        <v>9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338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339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340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107</v>
      </c>
      <c r="C129" s="3" t="s">
        <v>9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338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339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340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113</v>
      </c>
      <c r="C133" s="3" t="s">
        <v>9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338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339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340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349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283</v>
      </c>
      <c r="B139" s="4" t="s">
        <v>336</v>
      </c>
      <c r="C139" s="4" t="s">
        <v>341</v>
      </c>
      <c r="D139" s="70" t="s">
        <v>127</v>
      </c>
      <c r="E139" s="70" t="s">
        <v>114</v>
      </c>
      <c r="F139" s="70" t="s">
        <v>115</v>
      </c>
      <c r="G139" s="70" t="s">
        <v>116</v>
      </c>
      <c r="H139" s="70" t="s">
        <v>117</v>
      </c>
    </row>
    <row r="140" spans="1:8" ht="13" x14ac:dyDescent="0.3">
      <c r="A140" s="4"/>
      <c r="B140" s="8" t="s">
        <v>105</v>
      </c>
      <c r="C140" s="3" t="s">
        <v>9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338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238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106</v>
      </c>
      <c r="C144" s="3" t="s">
        <v>9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338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238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108</v>
      </c>
      <c r="C148" s="3" t="s">
        <v>9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338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238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109</v>
      </c>
      <c r="C152" s="3" t="s">
        <v>9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338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238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107</v>
      </c>
      <c r="C156" s="3" t="s">
        <v>9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338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238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113</v>
      </c>
      <c r="C160" s="3" t="s">
        <v>9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338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238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342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139</v>
      </c>
      <c r="B166" s="4" t="s">
        <v>336</v>
      </c>
      <c r="C166" s="69" t="s">
        <v>343</v>
      </c>
      <c r="D166" s="70" t="s">
        <v>140</v>
      </c>
      <c r="E166" s="70" t="s">
        <v>141</v>
      </c>
      <c r="F166" s="70" t="s">
        <v>142</v>
      </c>
      <c r="G166" s="70" t="s">
        <v>143</v>
      </c>
      <c r="H166" s="79"/>
    </row>
    <row r="167" spans="1:8" ht="13" x14ac:dyDescent="0.3">
      <c r="A167" s="4"/>
      <c r="B167" s="8" t="s">
        <v>119</v>
      </c>
      <c r="C167" s="3" t="s">
        <v>344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345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120</v>
      </c>
      <c r="C169" s="3" t="s">
        <v>344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345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121</v>
      </c>
      <c r="C171" s="3" t="s">
        <v>344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345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346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146</v>
      </c>
      <c r="B175" s="4" t="s">
        <v>336</v>
      </c>
      <c r="C175" s="69" t="s">
        <v>347</v>
      </c>
      <c r="D175" s="70" t="s">
        <v>127</v>
      </c>
      <c r="E175" s="70" t="s">
        <v>114</v>
      </c>
      <c r="F175" s="70" t="s">
        <v>115</v>
      </c>
      <c r="G175" s="70" t="s">
        <v>116</v>
      </c>
      <c r="H175" s="81" t="s">
        <v>117</v>
      </c>
    </row>
    <row r="176" spans="1:8" ht="13" x14ac:dyDescent="0.3">
      <c r="A176" s="82"/>
      <c r="B176" s="8" t="s">
        <v>96</v>
      </c>
      <c r="C176" s="3" t="s">
        <v>147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148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149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150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147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148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149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150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98</v>
      </c>
      <c r="C184" s="3" t="s">
        <v>147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148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149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150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100</v>
      </c>
      <c r="C188" s="3" t="s">
        <v>147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148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149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150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105</v>
      </c>
      <c r="C192" s="3" t="s">
        <v>147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148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149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150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106</v>
      </c>
      <c r="C196" s="3" t="s">
        <v>147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148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149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150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108</v>
      </c>
      <c r="C200" s="3" t="s">
        <v>147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148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149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150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107</v>
      </c>
      <c r="C204" s="3" t="s">
        <v>147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148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149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150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110</v>
      </c>
      <c r="C208" s="3" t="s">
        <v>147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148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149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150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348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105</v>
      </c>
      <c r="B214" s="82" t="s">
        <v>150</v>
      </c>
      <c r="C214" s="69" t="s">
        <v>347</v>
      </c>
      <c r="D214" s="70" t="s">
        <v>127</v>
      </c>
      <c r="E214" s="70" t="s">
        <v>114</v>
      </c>
      <c r="F214" s="70" t="s">
        <v>115</v>
      </c>
      <c r="G214" s="70" t="s">
        <v>116</v>
      </c>
      <c r="H214" s="81" t="s">
        <v>117</v>
      </c>
    </row>
    <row r="215" spans="1:9" ht="13" x14ac:dyDescent="0.3">
      <c r="A215" s="4"/>
      <c r="C215" s="3" t="s">
        <v>147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148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149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150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270</v>
      </c>
      <c r="H220" s="92"/>
    </row>
    <row r="221" spans="1:9" ht="13" x14ac:dyDescent="0.3">
      <c r="A221" s="67" t="s">
        <v>335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256</v>
      </c>
      <c r="B222" s="1" t="s">
        <v>336</v>
      </c>
      <c r="C222" s="1" t="s">
        <v>337</v>
      </c>
      <c r="D222" s="70" t="s">
        <v>127</v>
      </c>
      <c r="E222" s="70" t="s">
        <v>114</v>
      </c>
      <c r="F222" s="70" t="s">
        <v>115</v>
      </c>
      <c r="G222" s="70" t="s">
        <v>116</v>
      </c>
      <c r="H222" s="70" t="s">
        <v>117</v>
      </c>
      <c r="I222" s="79"/>
    </row>
    <row r="223" spans="1:9" ht="13" x14ac:dyDescent="0.3">
      <c r="A223" s="4"/>
      <c r="B223" s="8" t="s">
        <v>105</v>
      </c>
      <c r="C223" s="3" t="s">
        <v>9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338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339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340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106</v>
      </c>
      <c r="C227" s="3" t="s">
        <v>9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338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339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340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108</v>
      </c>
      <c r="C231" s="3" t="s">
        <v>9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338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339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340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109</v>
      </c>
      <c r="C235" s="3" t="s">
        <v>9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338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339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340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107</v>
      </c>
      <c r="C239" s="3" t="s">
        <v>9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338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339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340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113</v>
      </c>
      <c r="C243" s="3" t="s">
        <v>9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338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339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340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349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283</v>
      </c>
      <c r="B249" s="4" t="s">
        <v>336</v>
      </c>
      <c r="C249" s="4" t="s">
        <v>341</v>
      </c>
      <c r="D249" s="70" t="s">
        <v>127</v>
      </c>
      <c r="E249" s="70" t="s">
        <v>114</v>
      </c>
      <c r="F249" s="70" t="s">
        <v>115</v>
      </c>
      <c r="G249" s="70" t="s">
        <v>116</v>
      </c>
      <c r="H249" s="70" t="s">
        <v>117</v>
      </c>
      <c r="I249" s="79"/>
    </row>
    <row r="250" spans="1:9" ht="13" x14ac:dyDescent="0.3">
      <c r="A250" s="4"/>
      <c r="B250" s="8" t="s">
        <v>105</v>
      </c>
      <c r="C250" s="3" t="s">
        <v>9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338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238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106</v>
      </c>
      <c r="C254" s="3" t="s">
        <v>9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338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238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108</v>
      </c>
      <c r="C258" s="3" t="s">
        <v>9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338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238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109</v>
      </c>
      <c r="C262" s="3" t="s">
        <v>9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338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238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107</v>
      </c>
      <c r="C266" s="3" t="s">
        <v>9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338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238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113</v>
      </c>
      <c r="C270" s="3" t="s">
        <v>9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338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238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342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139</v>
      </c>
      <c r="B276" s="4" t="s">
        <v>336</v>
      </c>
      <c r="C276" s="69" t="s">
        <v>343</v>
      </c>
      <c r="D276" s="70" t="s">
        <v>140</v>
      </c>
      <c r="E276" s="70" t="s">
        <v>141</v>
      </c>
      <c r="F276" s="70" t="s">
        <v>142</v>
      </c>
      <c r="G276" s="70" t="s">
        <v>143</v>
      </c>
      <c r="H276" s="79"/>
    </row>
    <row r="277" spans="1:9" ht="13" x14ac:dyDescent="0.3">
      <c r="A277" s="4"/>
      <c r="B277" s="8" t="s">
        <v>119</v>
      </c>
      <c r="C277" s="3" t="s">
        <v>344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345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120</v>
      </c>
      <c r="C279" s="3" t="s">
        <v>344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345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121</v>
      </c>
      <c r="C281" s="3" t="s">
        <v>344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345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346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146</v>
      </c>
      <c r="B285" s="4" t="s">
        <v>336</v>
      </c>
      <c r="C285" s="69" t="s">
        <v>347</v>
      </c>
      <c r="D285" s="70" t="s">
        <v>127</v>
      </c>
      <c r="E285" s="70" t="s">
        <v>114</v>
      </c>
      <c r="F285" s="70" t="s">
        <v>115</v>
      </c>
      <c r="G285" s="70" t="s">
        <v>116</v>
      </c>
      <c r="H285" s="81" t="s">
        <v>117</v>
      </c>
      <c r="I285" s="79"/>
    </row>
    <row r="286" spans="1:9" ht="13" x14ac:dyDescent="0.3">
      <c r="A286" s="82"/>
      <c r="B286" s="8" t="s">
        <v>96</v>
      </c>
      <c r="C286" s="3" t="s">
        <v>147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148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149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150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147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148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149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150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98</v>
      </c>
      <c r="C294" s="3" t="s">
        <v>147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148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149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150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100</v>
      </c>
      <c r="C298" s="3" t="s">
        <v>147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148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149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150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105</v>
      </c>
      <c r="C302" s="3" t="s">
        <v>147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148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149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150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106</v>
      </c>
      <c r="C306" s="3" t="s">
        <v>147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148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149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150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108</v>
      </c>
      <c r="C310" s="3" t="s">
        <v>147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148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149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150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107</v>
      </c>
      <c r="C314" s="3" t="s">
        <v>147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148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149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150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110</v>
      </c>
      <c r="C318" s="3" t="s">
        <v>147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148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149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150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348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105</v>
      </c>
      <c r="B324" s="82" t="s">
        <v>150</v>
      </c>
      <c r="C324" s="69" t="s">
        <v>347</v>
      </c>
      <c r="D324" s="70" t="s">
        <v>127</v>
      </c>
      <c r="E324" s="70" t="s">
        <v>114</v>
      </c>
      <c r="F324" s="70" t="s">
        <v>115</v>
      </c>
      <c r="G324" s="70" t="s">
        <v>116</v>
      </c>
      <c r="H324" s="81" t="s">
        <v>117</v>
      </c>
      <c r="I324" s="79"/>
    </row>
    <row r="325" spans="1:9" ht="13" x14ac:dyDescent="0.3">
      <c r="A325" s="4"/>
      <c r="C325" s="3" t="s">
        <v>147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148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149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150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WRcslu7haOdnfVxzTIQtL62PmJCH/HrkuNdZdGCfWzi/PnZ0YhWLvJqHPVTiRyi6kiIc//F6jKUxrEwN+VX4bg==" saltValue="amcODFd8HRwjNFVrwml0r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127</v>
      </c>
      <c r="D1" s="70" t="s">
        <v>114</v>
      </c>
      <c r="E1" s="70" t="s">
        <v>115</v>
      </c>
      <c r="F1" s="70" t="s">
        <v>116</v>
      </c>
      <c r="G1" s="70" t="s">
        <v>117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140</v>
      </c>
      <c r="M1" s="70" t="s">
        <v>141</v>
      </c>
      <c r="N1" s="70" t="s">
        <v>142</v>
      </c>
      <c r="O1" s="70" t="s">
        <v>143</v>
      </c>
    </row>
    <row r="2" spans="1:15" ht="13" x14ac:dyDescent="0.3">
      <c r="A2" s="4" t="s">
        <v>350</v>
      </c>
    </row>
    <row r="3" spans="1:15" x14ac:dyDescent="0.25">
      <c r="B3" s="11" t="s">
        <v>200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205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206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207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208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209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210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211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214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218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219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351</v>
      </c>
      <c r="B17" s="11"/>
    </row>
    <row r="18" spans="1:15" x14ac:dyDescent="0.25">
      <c r="B18" s="5" t="s">
        <v>202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203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204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212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127</v>
      </c>
      <c r="D24" s="70" t="s">
        <v>114</v>
      </c>
      <c r="E24" s="70" t="s">
        <v>115</v>
      </c>
      <c r="F24" s="70" t="s">
        <v>116</v>
      </c>
      <c r="G24" s="70" t="s">
        <v>117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140</v>
      </c>
      <c r="M24" s="70" t="s">
        <v>141</v>
      </c>
      <c r="N24" s="70" t="s">
        <v>142</v>
      </c>
      <c r="O24" s="70" t="s">
        <v>143</v>
      </c>
    </row>
    <row r="25" spans="1:15" ht="13" x14ac:dyDescent="0.3">
      <c r="A25" s="4" t="s">
        <v>352</v>
      </c>
    </row>
    <row r="26" spans="1:15" x14ac:dyDescent="0.25">
      <c r="B26" s="11" t="s">
        <v>200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205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206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207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208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209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210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211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214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218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219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234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354</v>
      </c>
      <c r="B40" s="11"/>
    </row>
    <row r="41" spans="1:15" x14ac:dyDescent="0.25">
      <c r="B41" s="5" t="s">
        <v>202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203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204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212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270</v>
      </c>
    </row>
    <row r="47" spans="1:15" ht="26.4" customHeight="1" x14ac:dyDescent="0.3">
      <c r="A47" s="4"/>
      <c r="B47" s="4"/>
      <c r="C47" s="70" t="s">
        <v>127</v>
      </c>
      <c r="D47" s="70" t="s">
        <v>114</v>
      </c>
      <c r="E47" s="70" t="s">
        <v>115</v>
      </c>
      <c r="F47" s="70" t="s">
        <v>116</v>
      </c>
      <c r="G47" s="70" t="s">
        <v>117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140</v>
      </c>
      <c r="M47" s="70" t="s">
        <v>141</v>
      </c>
      <c r="N47" s="70" t="s">
        <v>142</v>
      </c>
      <c r="O47" s="70" t="s">
        <v>143</v>
      </c>
    </row>
    <row r="48" spans="1:15" ht="13" x14ac:dyDescent="0.3">
      <c r="A48" s="4" t="s">
        <v>353</v>
      </c>
    </row>
    <row r="49" spans="1:15" x14ac:dyDescent="0.25">
      <c r="B49" s="11" t="s">
        <v>200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205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206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207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208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209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210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211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214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218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219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234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355</v>
      </c>
      <c r="B63" s="11"/>
    </row>
    <row r="64" spans="1:15" x14ac:dyDescent="0.25">
      <c r="B64" s="5" t="s">
        <v>202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203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204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212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YNtkvpte3HzlrC6wLS3sJNA2w5wgWAaiptahv02aUBICAywRPC++QyPQIJPuee69VQce/Hj1B1pjoIwwx8v8tw==" saltValue="KHtp3SruoGh8PiVe+Xbc0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127</v>
      </c>
      <c r="D1" s="4" t="s">
        <v>114</v>
      </c>
      <c r="E1" s="4" t="s">
        <v>115</v>
      </c>
      <c r="F1" s="4" t="s">
        <v>116</v>
      </c>
      <c r="G1" s="4" t="s">
        <v>117</v>
      </c>
    </row>
    <row r="2" spans="1:7" ht="13" x14ac:dyDescent="0.3">
      <c r="A2" s="4" t="s">
        <v>356</v>
      </c>
    </row>
    <row r="3" spans="1:7" x14ac:dyDescent="0.25">
      <c r="B3" s="11" t="s">
        <v>190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357</v>
      </c>
      <c r="B4" s="11"/>
      <c r="C4" s="83"/>
      <c r="D4" s="83"/>
      <c r="E4" s="83"/>
      <c r="F4" s="83"/>
      <c r="G4" s="83"/>
    </row>
    <row r="5" spans="1:7" x14ac:dyDescent="0.25">
      <c r="B5" s="5" t="s">
        <v>194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362</v>
      </c>
    </row>
    <row r="8" spans="1:7" ht="13" x14ac:dyDescent="0.3">
      <c r="A8" s="4"/>
      <c r="B8" s="1"/>
      <c r="C8" s="4" t="s">
        <v>127</v>
      </c>
      <c r="D8" s="4" t="s">
        <v>114</v>
      </c>
      <c r="E8" s="4" t="s">
        <v>115</v>
      </c>
      <c r="F8" s="4" t="s">
        <v>116</v>
      </c>
      <c r="G8" s="4" t="s">
        <v>117</v>
      </c>
    </row>
    <row r="9" spans="1:7" ht="13" x14ac:dyDescent="0.3">
      <c r="A9" s="4" t="s">
        <v>358</v>
      </c>
    </row>
    <row r="10" spans="1:7" x14ac:dyDescent="0.25">
      <c r="B10" s="11" t="s">
        <v>190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359</v>
      </c>
      <c r="B11" s="11"/>
      <c r="C11" s="83"/>
      <c r="D11" s="83"/>
      <c r="E11" s="83"/>
      <c r="F11" s="83"/>
      <c r="G11" s="83"/>
    </row>
    <row r="12" spans="1:7" x14ac:dyDescent="0.25">
      <c r="B12" s="5" t="s">
        <v>194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363</v>
      </c>
    </row>
    <row r="15" spans="1:7" ht="13" x14ac:dyDescent="0.3">
      <c r="A15" s="4"/>
      <c r="B15" s="1"/>
      <c r="C15" s="4" t="s">
        <v>127</v>
      </c>
      <c r="D15" s="4" t="s">
        <v>114</v>
      </c>
      <c r="E15" s="4" t="s">
        <v>115</v>
      </c>
      <c r="F15" s="4" t="s">
        <v>116</v>
      </c>
      <c r="G15" s="4" t="s">
        <v>117</v>
      </c>
    </row>
    <row r="16" spans="1:7" ht="13" x14ac:dyDescent="0.3">
      <c r="A16" s="4" t="s">
        <v>360</v>
      </c>
    </row>
    <row r="17" spans="1:7" x14ac:dyDescent="0.25">
      <c r="B17" s="11" t="s">
        <v>190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361</v>
      </c>
      <c r="B18" s="11"/>
      <c r="C18" s="83"/>
      <c r="D18" s="83"/>
      <c r="E18" s="83"/>
      <c r="F18" s="83"/>
      <c r="G18" s="83"/>
    </row>
    <row r="19" spans="1:7" x14ac:dyDescent="0.25">
      <c r="B19" s="5" t="s">
        <v>194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poeVsGK+DxuqWWq7UHcZkTMaBSIidW/Czkd+/DmxGTHhzIn6MXdXofghclk3uuaPcaOXDVHaH51rC3Uqb0LEhg==" saltValue="cVaaJlVvBitQnGNC4e1bL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189</v>
      </c>
      <c r="B1" s="4" t="s">
        <v>364</v>
      </c>
      <c r="C1" s="82" t="s">
        <v>11</v>
      </c>
      <c r="D1" s="4" t="s">
        <v>127</v>
      </c>
      <c r="E1" s="4" t="s">
        <v>114</v>
      </c>
      <c r="F1" s="4" t="s">
        <v>115</v>
      </c>
      <c r="G1" s="4" t="s">
        <v>116</v>
      </c>
      <c r="H1" s="4" t="s">
        <v>117</v>
      </c>
    </row>
    <row r="2" spans="1:8" x14ac:dyDescent="0.25">
      <c r="A2" s="5" t="s">
        <v>222</v>
      </c>
      <c r="B2" s="5" t="s">
        <v>105</v>
      </c>
      <c r="C2" s="5" t="s">
        <v>365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366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367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221</v>
      </c>
      <c r="B5" s="5" t="s">
        <v>237</v>
      </c>
      <c r="C5" s="5" t="s">
        <v>365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367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238</v>
      </c>
      <c r="C7" s="5" t="s">
        <v>365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367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214</v>
      </c>
      <c r="B9" s="5" t="s">
        <v>237</v>
      </c>
      <c r="C9" s="5" t="s">
        <v>365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367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238</v>
      </c>
      <c r="C11" s="5" t="s">
        <v>365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367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234</v>
      </c>
      <c r="B13" s="5" t="s">
        <v>237</v>
      </c>
      <c r="C13" s="5" t="s">
        <v>365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367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238</v>
      </c>
      <c r="C15" s="5" t="s">
        <v>365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367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199</v>
      </c>
      <c r="B17" s="5" t="s">
        <v>237</v>
      </c>
      <c r="C17" s="5" t="s">
        <v>365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367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238</v>
      </c>
      <c r="C19" s="5" t="s">
        <v>365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367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204</v>
      </c>
      <c r="B21" s="5" t="s">
        <v>102</v>
      </c>
      <c r="C21" s="5" t="s">
        <v>365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366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202</v>
      </c>
      <c r="B23" s="5" t="s">
        <v>102</v>
      </c>
      <c r="C23" s="5" t="s">
        <v>365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366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203</v>
      </c>
      <c r="B25" s="5" t="s">
        <v>102</v>
      </c>
      <c r="C25" s="5" t="s">
        <v>365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366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226</v>
      </c>
      <c r="B27" s="5" t="s">
        <v>105</v>
      </c>
      <c r="C27" s="5" t="s">
        <v>365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366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367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227</v>
      </c>
      <c r="B30" s="5" t="s">
        <v>105</v>
      </c>
      <c r="C30" s="5" t="s">
        <v>365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366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367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225</v>
      </c>
      <c r="B33" s="5" t="s">
        <v>105</v>
      </c>
      <c r="C33" s="5" t="s">
        <v>365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366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367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224</v>
      </c>
      <c r="B36" s="5" t="s">
        <v>105</v>
      </c>
      <c r="C36" s="5" t="s">
        <v>365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366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367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223</v>
      </c>
      <c r="B39" s="5" t="s">
        <v>105</v>
      </c>
      <c r="C39" s="5" t="s">
        <v>365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366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367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229</v>
      </c>
      <c r="B42" s="5" t="s">
        <v>105</v>
      </c>
      <c r="C42" s="5" t="s">
        <v>365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366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367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106</v>
      </c>
      <c r="C45" s="5" t="s">
        <v>365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366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367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220</v>
      </c>
      <c r="B48" s="5" t="s">
        <v>105</v>
      </c>
      <c r="C48" s="5" t="s">
        <v>365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366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228</v>
      </c>
      <c r="B50" s="5" t="s">
        <v>105</v>
      </c>
      <c r="C50" s="5" t="s">
        <v>365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366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213</v>
      </c>
      <c r="B52" s="5" t="s">
        <v>100</v>
      </c>
      <c r="C52" s="5" t="s">
        <v>365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366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362</v>
      </c>
      <c r="B55" s="97"/>
      <c r="C55" s="97"/>
    </row>
    <row r="56" spans="1:8" ht="13" x14ac:dyDescent="0.3">
      <c r="A56" s="4" t="s">
        <v>189</v>
      </c>
      <c r="B56" s="4" t="s">
        <v>364</v>
      </c>
      <c r="C56" s="82" t="s">
        <v>11</v>
      </c>
      <c r="D56" s="4" t="s">
        <v>127</v>
      </c>
      <c r="E56" s="4" t="s">
        <v>114</v>
      </c>
      <c r="F56" s="4" t="s">
        <v>115</v>
      </c>
      <c r="G56" s="4" t="s">
        <v>116</v>
      </c>
      <c r="H56" s="4" t="s">
        <v>117</v>
      </c>
    </row>
    <row r="57" spans="1:8" x14ac:dyDescent="0.25">
      <c r="A57" s="5" t="s">
        <v>222</v>
      </c>
      <c r="B57" s="5" t="s">
        <v>105</v>
      </c>
      <c r="C57" s="5" t="s">
        <v>365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366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367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221</v>
      </c>
      <c r="B60" s="5" t="s">
        <v>237</v>
      </c>
      <c r="C60" s="5" t="s">
        <v>365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367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238</v>
      </c>
      <c r="C62" s="5" t="s">
        <v>365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367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214</v>
      </c>
      <c r="B64" s="5" t="s">
        <v>237</v>
      </c>
      <c r="C64" s="5" t="s">
        <v>365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367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238</v>
      </c>
      <c r="C66" s="5" t="s">
        <v>365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367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234</v>
      </c>
      <c r="B68" s="5" t="s">
        <v>237</v>
      </c>
      <c r="C68" s="5" t="s">
        <v>365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367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238</v>
      </c>
      <c r="C70" s="5" t="s">
        <v>365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367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199</v>
      </c>
      <c r="B72" s="5" t="s">
        <v>237</v>
      </c>
      <c r="C72" s="5" t="s">
        <v>365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367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238</v>
      </c>
      <c r="C74" s="5" t="s">
        <v>365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367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204</v>
      </c>
      <c r="B76" s="5" t="s">
        <v>102</v>
      </c>
      <c r="C76" s="5" t="s">
        <v>365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366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202</v>
      </c>
      <c r="B78" s="5" t="s">
        <v>102</v>
      </c>
      <c r="C78" s="5" t="s">
        <v>365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366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203</v>
      </c>
      <c r="B80" s="5" t="s">
        <v>102</v>
      </c>
      <c r="C80" s="5" t="s">
        <v>365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366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226</v>
      </c>
      <c r="B82" s="5" t="s">
        <v>105</v>
      </c>
      <c r="C82" s="5" t="s">
        <v>365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366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367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227</v>
      </c>
      <c r="B85" s="5" t="s">
        <v>105</v>
      </c>
      <c r="C85" s="5" t="s">
        <v>365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366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367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225</v>
      </c>
      <c r="B88" s="5" t="s">
        <v>105</v>
      </c>
      <c r="C88" s="5" t="s">
        <v>365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366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367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224</v>
      </c>
      <c r="B91" s="5" t="s">
        <v>105</v>
      </c>
      <c r="C91" s="5" t="s">
        <v>365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366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367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223</v>
      </c>
      <c r="B94" s="5" t="s">
        <v>105</v>
      </c>
      <c r="C94" s="5" t="s">
        <v>365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366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367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229</v>
      </c>
      <c r="B97" s="5" t="s">
        <v>105</v>
      </c>
      <c r="C97" s="5" t="s">
        <v>365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366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367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106</v>
      </c>
      <c r="C100" s="5" t="s">
        <v>365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366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367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220</v>
      </c>
      <c r="B103" s="5" t="s">
        <v>105</v>
      </c>
      <c r="C103" s="5" t="s">
        <v>365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366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228</v>
      </c>
      <c r="B105" s="5" t="s">
        <v>105</v>
      </c>
      <c r="C105" s="5" t="s">
        <v>365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366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213</v>
      </c>
      <c r="B107" s="5" t="s">
        <v>100</v>
      </c>
      <c r="C107" s="5" t="s">
        <v>365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366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363</v>
      </c>
      <c r="B110" s="97"/>
      <c r="C110" s="97"/>
    </row>
    <row r="111" spans="1:8" ht="13" x14ac:dyDescent="0.3">
      <c r="A111" s="4" t="s">
        <v>189</v>
      </c>
      <c r="B111" s="4" t="s">
        <v>364</v>
      </c>
      <c r="C111" s="82" t="s">
        <v>11</v>
      </c>
      <c r="D111" s="4" t="s">
        <v>127</v>
      </c>
      <c r="E111" s="4" t="s">
        <v>114</v>
      </c>
      <c r="F111" s="4" t="s">
        <v>115</v>
      </c>
      <c r="G111" s="4" t="s">
        <v>116</v>
      </c>
      <c r="H111" s="4" t="s">
        <v>117</v>
      </c>
    </row>
    <row r="112" spans="1:8" x14ac:dyDescent="0.25">
      <c r="A112" s="5" t="s">
        <v>222</v>
      </c>
      <c r="B112" s="5" t="s">
        <v>105</v>
      </c>
      <c r="C112" s="5" t="s">
        <v>365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366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367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221</v>
      </c>
      <c r="B115" s="5" t="s">
        <v>237</v>
      </c>
      <c r="C115" s="5" t="s">
        <v>365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367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238</v>
      </c>
      <c r="C117" s="5" t="s">
        <v>365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367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214</v>
      </c>
      <c r="B119" s="5" t="s">
        <v>237</v>
      </c>
      <c r="C119" s="5" t="s">
        <v>365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367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238</v>
      </c>
      <c r="C121" s="5" t="s">
        <v>365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367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234</v>
      </c>
      <c r="B123" s="5" t="s">
        <v>237</v>
      </c>
      <c r="C123" s="5" t="s">
        <v>365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367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238</v>
      </c>
      <c r="C125" s="5" t="s">
        <v>365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367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199</v>
      </c>
      <c r="B127" s="5" t="s">
        <v>237</v>
      </c>
      <c r="C127" s="5" t="s">
        <v>365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367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238</v>
      </c>
      <c r="C129" s="5" t="s">
        <v>365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367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204</v>
      </c>
      <c r="B131" s="5" t="s">
        <v>102</v>
      </c>
      <c r="C131" s="5" t="s">
        <v>365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366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202</v>
      </c>
      <c r="B133" s="5" t="s">
        <v>102</v>
      </c>
      <c r="C133" s="5" t="s">
        <v>365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366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203</v>
      </c>
      <c r="B135" s="5" t="s">
        <v>102</v>
      </c>
      <c r="C135" s="5" t="s">
        <v>365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366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226</v>
      </c>
      <c r="B137" s="5" t="s">
        <v>105</v>
      </c>
      <c r="C137" s="5" t="s">
        <v>365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366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367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227</v>
      </c>
      <c r="B140" s="5" t="s">
        <v>105</v>
      </c>
      <c r="C140" s="5" t="s">
        <v>365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366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367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225</v>
      </c>
      <c r="B143" s="5" t="s">
        <v>105</v>
      </c>
      <c r="C143" s="5" t="s">
        <v>365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366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367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224</v>
      </c>
      <c r="B146" s="5" t="s">
        <v>105</v>
      </c>
      <c r="C146" s="5" t="s">
        <v>365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366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367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223</v>
      </c>
      <c r="B149" s="5" t="s">
        <v>105</v>
      </c>
      <c r="C149" s="5" t="s">
        <v>365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366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367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229</v>
      </c>
      <c r="B152" s="5" t="s">
        <v>105</v>
      </c>
      <c r="C152" s="5" t="s">
        <v>365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366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367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106</v>
      </c>
      <c r="C155" s="5" t="s">
        <v>365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366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367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220</v>
      </c>
      <c r="B158" s="5" t="s">
        <v>105</v>
      </c>
      <c r="C158" s="5" t="s">
        <v>365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366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228</v>
      </c>
      <c r="B160" s="5" t="s">
        <v>105</v>
      </c>
      <c r="C160" s="5" t="s">
        <v>365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366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213</v>
      </c>
      <c r="B162" s="5" t="s">
        <v>100</v>
      </c>
      <c r="C162" s="5" t="s">
        <v>365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366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RrJs0N++uldpSO3IL8pKcBhB7B3Y/01N7al3ZjginKgO0QMD4pAxUGROj+qyrODMv2tJgSlvePvSU7gv3Sh6dA==" saltValue="MXFweMZNy9sLu2KyMBpuW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189</v>
      </c>
      <c r="B1" s="1" t="s">
        <v>364</v>
      </c>
      <c r="C1" s="1"/>
      <c r="D1" s="4" t="s">
        <v>140</v>
      </c>
      <c r="E1" s="4" t="s">
        <v>141</v>
      </c>
      <c r="F1" s="4" t="s">
        <v>142</v>
      </c>
      <c r="G1" s="4" t="s">
        <v>143</v>
      </c>
      <c r="H1" s="4"/>
    </row>
    <row r="2" spans="1:8" x14ac:dyDescent="0.25">
      <c r="A2" s="3" t="s">
        <v>198</v>
      </c>
      <c r="B2" s="8" t="s">
        <v>122</v>
      </c>
      <c r="C2" s="3" t="s">
        <v>365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366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217</v>
      </c>
      <c r="B4" s="8" t="s">
        <v>122</v>
      </c>
      <c r="C4" s="3" t="s">
        <v>365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366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216</v>
      </c>
      <c r="B6" s="8" t="s">
        <v>122</v>
      </c>
      <c r="C6" s="3" t="s">
        <v>365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366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219</v>
      </c>
      <c r="B8" s="3" t="s">
        <v>260</v>
      </c>
      <c r="C8" s="3" t="s">
        <v>365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244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362</v>
      </c>
    </row>
    <row r="12" spans="1:8" ht="13" x14ac:dyDescent="0.3">
      <c r="A12" s="1" t="s">
        <v>189</v>
      </c>
      <c r="B12" s="1" t="s">
        <v>364</v>
      </c>
      <c r="C12" s="1"/>
      <c r="D12" s="4" t="s">
        <v>140</v>
      </c>
      <c r="E12" s="4" t="s">
        <v>141</v>
      </c>
      <c r="F12" s="4" t="s">
        <v>142</v>
      </c>
      <c r="G12" s="4" t="s">
        <v>143</v>
      </c>
    </row>
    <row r="13" spans="1:8" x14ac:dyDescent="0.25">
      <c r="A13" s="3" t="s">
        <v>198</v>
      </c>
      <c r="B13" s="8" t="s">
        <v>122</v>
      </c>
      <c r="C13" s="3" t="s">
        <v>365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366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217</v>
      </c>
      <c r="B15" s="8" t="s">
        <v>122</v>
      </c>
      <c r="C15" s="3" t="s">
        <v>365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366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216</v>
      </c>
      <c r="B17" s="8" t="s">
        <v>122</v>
      </c>
      <c r="C17" s="3" t="s">
        <v>365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366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219</v>
      </c>
      <c r="B19" s="3" t="s">
        <v>260</v>
      </c>
      <c r="C19" s="3" t="s">
        <v>365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244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363</v>
      </c>
    </row>
    <row r="23" spans="1:7" ht="13" x14ac:dyDescent="0.3">
      <c r="A23" s="1" t="s">
        <v>189</v>
      </c>
      <c r="B23" s="1" t="s">
        <v>364</v>
      </c>
      <c r="C23" s="1"/>
      <c r="D23" s="4" t="s">
        <v>140</v>
      </c>
      <c r="E23" s="4" t="s">
        <v>141</v>
      </c>
      <c r="F23" s="4" t="s">
        <v>142</v>
      </c>
      <c r="G23" s="4" t="s">
        <v>143</v>
      </c>
    </row>
    <row r="24" spans="1:7" x14ac:dyDescent="0.25">
      <c r="A24" s="3" t="s">
        <v>198</v>
      </c>
      <c r="B24" s="8" t="s">
        <v>122</v>
      </c>
      <c r="C24" s="3" t="s">
        <v>365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366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217</v>
      </c>
      <c r="B26" s="8" t="s">
        <v>122</v>
      </c>
      <c r="C26" s="3" t="s">
        <v>365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366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216</v>
      </c>
      <c r="B28" s="8" t="s">
        <v>122</v>
      </c>
      <c r="C28" s="3" t="s">
        <v>365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366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219</v>
      </c>
      <c r="B30" s="3" t="s">
        <v>260</v>
      </c>
      <c r="C30" s="3" t="s">
        <v>365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244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jnek/lYMzyX/L/f/xtDibK586GMh1raCtEFjnOc1oIdKvkofb8Q+KL64hZ81nStijdJ+LokmQBaIxzz6w3iGaw==" saltValue="FgRGBWWpIdqB6+XJx4CKxw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Données économiques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Rapports des cotes</vt:lpstr>
      <vt:lpstr>Programmes-rés. des naissances</vt:lpstr>
      <vt:lpstr>Risques des rés. des naissances</vt:lpstr>
      <vt:lpstr>Risques relatifs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lang=fr</cp:keywords>
  <dc:description/>
  <cp:lastModifiedBy>Tharindu Wickramaarachchi</cp:lastModifiedBy>
  <cp:revision/>
  <dcterms:created xsi:type="dcterms:W3CDTF">2017-08-01T10:42:13Z</dcterms:created>
  <dcterms:modified xsi:type="dcterms:W3CDTF">2025-07-04T04:21:52Z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