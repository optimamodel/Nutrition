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D7659C1F-39F3-465D-B19F-30A851708E26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E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G152" i="27" s="1"/>
  <c r="F97" i="27"/>
  <c r="F152" i="27" s="1"/>
  <c r="E97" i="27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I39" i="2" s="1"/>
  <c r="G39" i="2"/>
  <c r="H38" i="2"/>
  <c r="G38" i="2"/>
  <c r="I38" i="2" s="1"/>
  <c r="A28" i="2"/>
  <c r="A25" i="2"/>
  <c r="A15" i="2"/>
  <c r="I13" i="2"/>
  <c r="H13" i="2"/>
  <c r="G13" i="2"/>
  <c r="H12" i="2"/>
  <c r="G12" i="2"/>
  <c r="I12" i="2" s="1"/>
  <c r="H11" i="2"/>
  <c r="I11" i="2" s="1"/>
  <c r="G11" i="2"/>
  <c r="H10" i="2"/>
  <c r="G10" i="2"/>
  <c r="I9" i="2"/>
  <c r="H9" i="2"/>
  <c r="G9" i="2"/>
  <c r="H8" i="2"/>
  <c r="G8" i="2"/>
  <c r="I8" i="2" s="1"/>
  <c r="H7" i="2"/>
  <c r="I7" i="2" s="1"/>
  <c r="G7" i="2"/>
  <c r="H6" i="2"/>
  <c r="G6" i="2"/>
  <c r="H5" i="2"/>
  <c r="I5" i="2" s="1"/>
  <c r="G5" i="2"/>
  <c r="H4" i="2"/>
  <c r="G4" i="2"/>
  <c r="I4" i="2" s="1"/>
  <c r="H3" i="2"/>
  <c r="I3" i="2" s="1"/>
  <c r="G3" i="2"/>
  <c r="H2" i="2"/>
  <c r="G2" i="2"/>
  <c r="I2" i="2" s="1"/>
  <c r="A2" i="2"/>
  <c r="A40" i="2" s="1"/>
  <c r="C33" i="1"/>
  <c r="C20" i="1"/>
  <c r="A16" i="2" l="1"/>
  <c r="I6" i="2"/>
  <c r="A21" i="2"/>
  <c r="A33" i="2"/>
  <c r="I40" i="2"/>
  <c r="A17" i="2"/>
  <c r="A31" i="2"/>
  <c r="A32" i="2"/>
  <c r="A23" i="2"/>
  <c r="A36" i="2"/>
  <c r="A29" i="2"/>
  <c r="A20" i="2"/>
  <c r="I10" i="2"/>
  <c r="A24" i="2"/>
  <c r="A37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26" i="2"/>
  <c r="A34" i="2"/>
  <c r="A39" i="2"/>
  <c r="A19" i="2"/>
  <c r="A27" i="2"/>
  <c r="A35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<sst xmlns="http://schemas.openxmlformats.org/spreadsheetml/2006/main" count="2101" uniqueCount="337">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</sst>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18886935.875</v>
      </c>
    </row>
    <row r="8" spans="1:3" ht="15" customHeight="1" x14ac:dyDescent="0.25">
      <c r="B8" s="5" t="s">
        <v>19</v>
      </c>
      <c r="C8" s="44">
        <v>0.308</v>
      </c>
    </row>
    <row r="9" spans="1:3" ht="15" customHeight="1" x14ac:dyDescent="0.25">
      <c r="B9" s="5" t="s">
        <v>20</v>
      </c>
      <c r="C9" s="45">
        <v>0.14000000000000001</v>
      </c>
    </row>
    <row r="10" spans="1:3" ht="15" customHeight="1" x14ac:dyDescent="0.25">
      <c r="B10" s="5" t="s">
        <v>21</v>
      </c>
      <c r="C10" s="45">
        <v>0.30406169891357399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0.40600000000000003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8.4900000000000003E-2</v>
      </c>
    </row>
    <row r="24" spans="1:3" ht="15" customHeight="1" x14ac:dyDescent="0.25">
      <c r="B24" s="15" t="s">
        <v>33</v>
      </c>
      <c r="C24" s="45">
        <v>0.46400000000000002</v>
      </c>
    </row>
    <row r="25" spans="1:3" ht="15" customHeight="1" x14ac:dyDescent="0.25">
      <c r="B25" s="15" t="s">
        <v>34</v>
      </c>
      <c r="C25" s="45">
        <v>0.35129999999999989</v>
      </c>
    </row>
    <row r="26" spans="1:3" ht="15" customHeight="1" x14ac:dyDescent="0.25">
      <c r="B26" s="15" t="s">
        <v>35</v>
      </c>
      <c r="C26" s="45">
        <v>9.98E-2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0.18812535867607999</v>
      </c>
    </row>
    <row r="30" spans="1:3" ht="14.25" customHeight="1" x14ac:dyDescent="0.25">
      <c r="B30" s="25" t="s">
        <v>38</v>
      </c>
      <c r="C30" s="99">
        <v>7.529214782846369E-2</v>
      </c>
    </row>
    <row r="31" spans="1:3" ht="14.25" customHeight="1" x14ac:dyDescent="0.25">
      <c r="B31" s="25" t="s">
        <v>39</v>
      </c>
      <c r="C31" s="99">
        <v>0.10030682254742999</v>
      </c>
    </row>
    <row r="32" spans="1:3" ht="14.25" customHeight="1" x14ac:dyDescent="0.25">
      <c r="B32" s="25" t="s">
        <v>40</v>
      </c>
      <c r="C32" s="99">
        <v>0.63627567094802595</v>
      </c>
    </row>
    <row r="33" spans="1:5" ht="13" customHeight="1" x14ac:dyDescent="0.25">
      <c r="B33" s="27" t="s">
        <v>41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26.188870000000001</v>
      </c>
    </row>
    <row r="38" spans="1:5" ht="15" customHeight="1" x14ac:dyDescent="0.25">
      <c r="B38" s="11" t="s">
        <v>45</v>
      </c>
      <c r="C38" s="43">
        <v>34.274819999999998</v>
      </c>
      <c r="D38" s="12"/>
      <c r="E38" s="13"/>
    </row>
    <row r="39" spans="1:5" ht="15" customHeight="1" x14ac:dyDescent="0.25">
      <c r="B39" s="11" t="s">
        <v>46</v>
      </c>
      <c r="C39" s="43">
        <v>46.81147</v>
      </c>
      <c r="D39" s="12"/>
      <c r="E39" s="12"/>
    </row>
    <row r="40" spans="1:5" ht="15" customHeight="1" x14ac:dyDescent="0.25">
      <c r="B40" s="11" t="s">
        <v>47</v>
      </c>
      <c r="C40" s="100">
        <v>2.67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20.564900000000002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1.10796E-2</v>
      </c>
      <c r="D45" s="12"/>
    </row>
    <row r="46" spans="1:5" ht="15.75" customHeight="1" x14ac:dyDescent="0.25">
      <c r="B46" s="11" t="s">
        <v>52</v>
      </c>
      <c r="C46" s="45">
        <v>0.1180031</v>
      </c>
      <c r="D46" s="12"/>
    </row>
    <row r="47" spans="1:5" ht="15.75" customHeight="1" x14ac:dyDescent="0.25">
      <c r="B47" s="11" t="s">
        <v>53</v>
      </c>
      <c r="C47" s="45">
        <v>0.15551380000000001</v>
      </c>
      <c r="D47" s="12"/>
      <c r="E47" s="13"/>
    </row>
    <row r="48" spans="1:5" ht="15" customHeight="1" x14ac:dyDescent="0.25">
      <c r="B48" s="11" t="s">
        <v>54</v>
      </c>
      <c r="C48" s="46">
        <v>0.71540350000000008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0.56030799999999992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kmOmUWyPQdiKe+7pGSu6hv91vbfQPKb7LyBnnb2BBuKkf9rWcXzkMKQNurgMc4GYhxdOtP1Cdr7vK33bv06m3w==" saltValue="tFB8db7p8LNolaGYuEeV2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3982205</v>
      </c>
      <c r="C2" s="49">
        <v>8438456</v>
      </c>
      <c r="D2" s="49">
        <v>11808460</v>
      </c>
      <c r="E2" s="49">
        <v>8422976.5</v>
      </c>
      <c r="F2" s="49">
        <v>4749458</v>
      </c>
      <c r="G2" s="17">
        <f t="shared" ref="G2:G13" si="0">C2+D2+E2+F2</f>
        <v>33419350.5</v>
      </c>
      <c r="H2" s="17">
        <f t="shared" ref="H2:H13" si="1">(B2 + stillbirth*B2/(1000-stillbirth))/(1-abortion)</f>
        <v>4620247.8903864631</v>
      </c>
      <c r="I2" s="17">
        <f t="shared" ref="I2:I13" si="2">G2-H2</f>
        <v>28799102.609613538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4019968</v>
      </c>
      <c r="C3" s="50">
        <v>8547258</v>
      </c>
      <c r="D3" s="50">
        <v>12104674</v>
      </c>
      <c r="E3" s="50">
        <v>8762299</v>
      </c>
      <c r="F3" s="50">
        <v>4913400.5</v>
      </c>
      <c r="G3" s="17">
        <f t="shared" si="0"/>
        <v>34327631.5</v>
      </c>
      <c r="H3" s="17">
        <f t="shared" si="1"/>
        <v>4664061.4110577153</v>
      </c>
      <c r="I3" s="17">
        <f t="shared" si="2"/>
        <v>29663570.088942286</v>
      </c>
    </row>
    <row r="4" spans="1:9" ht="15.75" customHeight="1" x14ac:dyDescent="0.25">
      <c r="A4" s="5">
        <f t="shared" si="3"/>
        <v>2026</v>
      </c>
      <c r="B4" s="49">
        <v>4049037</v>
      </c>
      <c r="C4" s="50">
        <v>8644526</v>
      </c>
      <c r="D4" s="50">
        <v>12391174.5</v>
      </c>
      <c r="E4" s="50">
        <v>9091376</v>
      </c>
      <c r="F4" s="50">
        <v>5096535.5</v>
      </c>
      <c r="G4" s="17">
        <f t="shared" si="0"/>
        <v>35223612</v>
      </c>
      <c r="H4" s="17">
        <f t="shared" si="1"/>
        <v>4697787.9484724505</v>
      </c>
      <c r="I4" s="17">
        <f t="shared" si="2"/>
        <v>30525824.051527549</v>
      </c>
    </row>
    <row r="5" spans="1:9" ht="15.75" customHeight="1" x14ac:dyDescent="0.25">
      <c r="A5" s="5">
        <f t="shared" si="3"/>
        <v>2027</v>
      </c>
      <c r="B5" s="49">
        <v>4076229</v>
      </c>
      <c r="C5" s="50">
        <v>8723942</v>
      </c>
      <c r="D5" s="50">
        <v>12670026</v>
      </c>
      <c r="E5" s="50">
        <v>9408983</v>
      </c>
      <c r="F5" s="50">
        <v>5303428</v>
      </c>
      <c r="G5" s="17">
        <f t="shared" si="0"/>
        <v>36106379</v>
      </c>
      <c r="H5" s="17">
        <f t="shared" si="1"/>
        <v>4729336.7463458367</v>
      </c>
      <c r="I5" s="17">
        <f t="shared" si="2"/>
        <v>31377042.253654163</v>
      </c>
    </row>
    <row r="6" spans="1:9" ht="15.75" customHeight="1" x14ac:dyDescent="0.25">
      <c r="A6" s="5">
        <f t="shared" si="3"/>
        <v>2028</v>
      </c>
      <c r="B6" s="49">
        <v>4102815</v>
      </c>
      <c r="C6" s="50">
        <v>8803536.4999999981</v>
      </c>
      <c r="D6" s="50">
        <v>12940801</v>
      </c>
      <c r="E6" s="50">
        <v>9718829.5</v>
      </c>
      <c r="F6" s="50">
        <v>5535462.5</v>
      </c>
      <c r="G6" s="17">
        <f t="shared" si="0"/>
        <v>36998629.5</v>
      </c>
      <c r="H6" s="17">
        <f t="shared" si="1"/>
        <v>4760182.4487679405</v>
      </c>
      <c r="I6" s="17">
        <f t="shared" si="2"/>
        <v>32238447.051232059</v>
      </c>
    </row>
    <row r="7" spans="1:9" ht="15.75" customHeight="1" x14ac:dyDescent="0.25">
      <c r="A7" s="5">
        <f t="shared" si="3"/>
        <v>2029</v>
      </c>
      <c r="B7" s="49">
        <v>4121600</v>
      </c>
      <c r="C7" s="50">
        <v>8911397.5</v>
      </c>
      <c r="D7" s="50">
        <v>13190026.5</v>
      </c>
      <c r="E7" s="50">
        <v>10032538.5</v>
      </c>
      <c r="F7" s="50">
        <v>5782428.5</v>
      </c>
      <c r="G7" s="17">
        <f t="shared" si="0"/>
        <v>37916391</v>
      </c>
      <c r="H7" s="17">
        <f t="shared" si="1"/>
        <v>4781977.2475341791</v>
      </c>
      <c r="I7" s="17">
        <f t="shared" si="2"/>
        <v>33134413.752465822</v>
      </c>
    </row>
    <row r="8" spans="1:9" ht="15.75" customHeight="1" x14ac:dyDescent="0.25">
      <c r="A8" s="5">
        <f t="shared" si="3"/>
        <v>2030</v>
      </c>
      <c r="B8" s="49">
        <v>4134130</v>
      </c>
      <c r="C8" s="50">
        <v>9050178.5</v>
      </c>
      <c r="D8" s="50">
        <v>13421061.5</v>
      </c>
      <c r="E8" s="50">
        <v>10345755.5</v>
      </c>
      <c r="F8" s="50">
        <v>6035092</v>
      </c>
      <c r="G8" s="17">
        <f t="shared" si="0"/>
        <v>38852087.5</v>
      </c>
      <c r="H8" s="17">
        <f t="shared" si="1"/>
        <v>4796514.8482017852</v>
      </c>
      <c r="I8" s="17">
        <f t="shared" si="2"/>
        <v>34055572.651798218</v>
      </c>
    </row>
    <row r="9" spans="1:9" ht="15.75" customHeight="1" x14ac:dyDescent="0.25">
      <c r="A9" s="5">
        <f t="shared" si="3"/>
        <v>2031</v>
      </c>
      <c r="B9" s="49">
        <v>4137054</v>
      </c>
      <c r="C9" s="50">
        <v>9208181.5</v>
      </c>
      <c r="D9" s="50">
        <v>13640969.5</v>
      </c>
      <c r="E9" s="50">
        <v>10651948</v>
      </c>
      <c r="F9" s="50">
        <v>6300734</v>
      </c>
      <c r="G9" s="17">
        <f t="shared" si="0"/>
        <v>39801833</v>
      </c>
      <c r="H9" s="17">
        <f t="shared" si="1"/>
        <v>4799907.3417653982</v>
      </c>
      <c r="I9" s="17">
        <f t="shared" si="2"/>
        <v>35001925.658234604</v>
      </c>
    </row>
    <row r="10" spans="1:9" ht="15.75" customHeight="1" x14ac:dyDescent="0.25">
      <c r="A10" s="5">
        <f t="shared" si="3"/>
        <v>2032</v>
      </c>
      <c r="B10" s="49">
        <v>4160099</v>
      </c>
      <c r="C10" s="50">
        <v>9392752.5</v>
      </c>
      <c r="D10" s="50">
        <v>13840156.5</v>
      </c>
      <c r="E10" s="50">
        <v>10963243.5</v>
      </c>
      <c r="F10" s="50">
        <v>6591483</v>
      </c>
      <c r="G10" s="17">
        <f t="shared" si="0"/>
        <v>40787635.5</v>
      </c>
      <c r="H10" s="17">
        <f t="shared" si="1"/>
        <v>4826644.69271392</v>
      </c>
      <c r="I10" s="17">
        <f t="shared" si="2"/>
        <v>35960990.807286084</v>
      </c>
    </row>
    <row r="11" spans="1:9" ht="15.75" customHeight="1" x14ac:dyDescent="0.25">
      <c r="A11" s="5">
        <f t="shared" si="3"/>
        <v>2033</v>
      </c>
      <c r="B11" s="49">
        <v>4154330</v>
      </c>
      <c r="C11" s="50">
        <v>9620612.0000000019</v>
      </c>
      <c r="D11" s="50">
        <v>14022249.5</v>
      </c>
      <c r="E11" s="50">
        <v>11273277</v>
      </c>
      <c r="F11" s="50">
        <v>6899573.5</v>
      </c>
      <c r="G11" s="17">
        <f t="shared" si="0"/>
        <v>41815712</v>
      </c>
      <c r="H11" s="17">
        <f t="shared" si="1"/>
        <v>4819951.3632445335</v>
      </c>
      <c r="I11" s="17">
        <f t="shared" si="2"/>
        <v>36995760.636755466</v>
      </c>
    </row>
    <row r="12" spans="1:9" ht="15.75" customHeight="1" x14ac:dyDescent="0.25">
      <c r="A12" s="5">
        <f t="shared" si="3"/>
        <v>2034</v>
      </c>
      <c r="B12" s="49">
        <v>4173106</v>
      </c>
      <c r="C12" s="50">
        <v>9872985.5</v>
      </c>
      <c r="D12" s="50">
        <v>14200763</v>
      </c>
      <c r="E12" s="50">
        <v>11573801.5</v>
      </c>
      <c r="F12" s="50">
        <v>7208717.5</v>
      </c>
      <c r="G12" s="17">
        <f t="shared" si="0"/>
        <v>42856267.5</v>
      </c>
      <c r="H12" s="17">
        <f t="shared" si="1"/>
        <v>4841735.7199991187</v>
      </c>
      <c r="I12" s="17">
        <f t="shared" si="2"/>
        <v>38014531.78000088</v>
      </c>
    </row>
    <row r="13" spans="1:9" ht="15.75" customHeight="1" x14ac:dyDescent="0.25">
      <c r="A13" s="5">
        <f t="shared" si="3"/>
        <v>2035</v>
      </c>
      <c r="B13" s="49">
        <v>4179365</v>
      </c>
      <c r="C13" s="50">
        <v>10118976.5</v>
      </c>
      <c r="D13" s="50">
        <v>14388346</v>
      </c>
      <c r="E13" s="50">
        <v>11869884</v>
      </c>
      <c r="F13" s="50">
        <v>7510893.5</v>
      </c>
      <c r="G13" s="17">
        <f t="shared" si="0"/>
        <v>43888100</v>
      </c>
      <c r="H13" s="17">
        <f t="shared" si="1"/>
        <v>4848997.5589918196</v>
      </c>
      <c r="I13" s="17">
        <f t="shared" si="2"/>
        <v>39039102.44100818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3/zopwTn4zGL49pb6O2z94W2xEyG7JHN0RqGjUcsCAjJZUMqjWgobtdQlNMnZnMxzv5mook7RIQKzrKufK7YyA==" saltValue="RS8iZ67/vhVq0BpacvBV0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1.9891899999999921E-2</v>
      </c>
    </row>
    <row r="4" spans="1:8" ht="15.75" customHeight="1" x14ac:dyDescent="0.25">
      <c r="B4" s="19" t="s">
        <v>79</v>
      </c>
      <c r="C4" s="101">
        <v>7.4515400000000037E-2</v>
      </c>
    </row>
    <row r="5" spans="1:8" ht="15.75" customHeight="1" x14ac:dyDescent="0.25">
      <c r="B5" s="19" t="s">
        <v>80</v>
      </c>
      <c r="C5" s="101">
        <v>0.11823790000000001</v>
      </c>
    </row>
    <row r="6" spans="1:8" ht="15.75" customHeight="1" x14ac:dyDescent="0.25">
      <c r="B6" s="19" t="s">
        <v>81</v>
      </c>
      <c r="C6" s="101">
        <v>0.25948660000000018</v>
      </c>
    </row>
    <row r="7" spans="1:8" ht="15.75" customHeight="1" x14ac:dyDescent="0.25">
      <c r="B7" s="19" t="s">
        <v>82</v>
      </c>
      <c r="C7" s="101">
        <v>0.36006529999999981</v>
      </c>
    </row>
    <row r="8" spans="1:8" ht="15.75" customHeight="1" x14ac:dyDescent="0.25">
      <c r="B8" s="19" t="s">
        <v>83</v>
      </c>
      <c r="C8" s="101">
        <v>4.5411999999999961E-3</v>
      </c>
    </row>
    <row r="9" spans="1:8" ht="15.75" customHeight="1" x14ac:dyDescent="0.25">
      <c r="B9" s="19" t="s">
        <v>84</v>
      </c>
      <c r="C9" s="101">
        <v>4.8583099999999983E-2</v>
      </c>
    </row>
    <row r="10" spans="1:8" ht="15.75" customHeight="1" x14ac:dyDescent="0.25">
      <c r="B10" s="19" t="s">
        <v>85</v>
      </c>
      <c r="C10" s="101">
        <v>0.11467859999999989</v>
      </c>
    </row>
    <row r="11" spans="1:8" ht="15.75" customHeight="1" x14ac:dyDescent="0.25">
      <c r="B11" s="27" t="s">
        <v>41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0.19474125172663101</v>
      </c>
      <c r="D14" s="55">
        <v>0.19474125172663101</v>
      </c>
      <c r="E14" s="55">
        <v>0.19474125172663101</v>
      </c>
      <c r="F14" s="55">
        <v>0.19474125172663101</v>
      </c>
    </row>
    <row r="15" spans="1:8" ht="15.75" customHeight="1" x14ac:dyDescent="0.25">
      <c r="B15" s="19" t="s">
        <v>88</v>
      </c>
      <c r="C15" s="101">
        <v>0.2728039497558219</v>
      </c>
      <c r="D15" s="101">
        <v>0.2728039497558219</v>
      </c>
      <c r="E15" s="101">
        <v>0.2728039497558219</v>
      </c>
      <c r="F15" s="101">
        <v>0.2728039497558219</v>
      </c>
    </row>
    <row r="16" spans="1:8" ht="15.75" customHeight="1" x14ac:dyDescent="0.25">
      <c r="B16" s="19" t="s">
        <v>89</v>
      </c>
      <c r="C16" s="101">
        <v>3.9761713379282131E-2</v>
      </c>
      <c r="D16" s="101">
        <v>3.9761713379282131E-2</v>
      </c>
      <c r="E16" s="101">
        <v>3.9761713379282131E-2</v>
      </c>
      <c r="F16" s="101">
        <v>3.9761713379282131E-2</v>
      </c>
    </row>
    <row r="17" spans="1:8" ht="15.75" customHeight="1" x14ac:dyDescent="0.25">
      <c r="B17" s="19" t="s">
        <v>90</v>
      </c>
      <c r="C17" s="101">
        <v>8.5734847111629542E-2</v>
      </c>
      <c r="D17" s="101">
        <v>8.5734847111629542E-2</v>
      </c>
      <c r="E17" s="101">
        <v>8.5734847111629542E-2</v>
      </c>
      <c r="F17" s="101">
        <v>8.5734847111629542E-2</v>
      </c>
    </row>
    <row r="18" spans="1:8" ht="15.75" customHeight="1" x14ac:dyDescent="0.25">
      <c r="B18" s="19" t="s">
        <v>91</v>
      </c>
      <c r="C18" s="101">
        <v>2.34600871035626E-2</v>
      </c>
      <c r="D18" s="101">
        <v>2.34600871035626E-2</v>
      </c>
      <c r="E18" s="101">
        <v>2.34600871035626E-2</v>
      </c>
      <c r="F18" s="101">
        <v>2.34600871035626E-2</v>
      </c>
    </row>
    <row r="19" spans="1:8" ht="15.75" customHeight="1" x14ac:dyDescent="0.25">
      <c r="B19" s="19" t="s">
        <v>92</v>
      </c>
      <c r="C19" s="101">
        <v>5.4515108223392533E-2</v>
      </c>
      <c r="D19" s="101">
        <v>5.4515108223392533E-2</v>
      </c>
      <c r="E19" s="101">
        <v>5.4515108223392533E-2</v>
      </c>
      <c r="F19" s="101">
        <v>5.4515108223392533E-2</v>
      </c>
    </row>
    <row r="20" spans="1:8" ht="15.75" customHeight="1" x14ac:dyDescent="0.25">
      <c r="B20" s="19" t="s">
        <v>93</v>
      </c>
      <c r="C20" s="101">
        <v>3.5370094976026271E-2</v>
      </c>
      <c r="D20" s="101">
        <v>3.5370094976026271E-2</v>
      </c>
      <c r="E20" s="101">
        <v>3.5370094976026271E-2</v>
      </c>
      <c r="F20" s="101">
        <v>3.5370094976026271E-2</v>
      </c>
    </row>
    <row r="21" spans="1:8" ht="15.75" customHeight="1" x14ac:dyDescent="0.25">
      <c r="B21" s="19" t="s">
        <v>94</v>
      </c>
      <c r="C21" s="101">
        <v>9.0345210755778893E-2</v>
      </c>
      <c r="D21" s="101">
        <v>9.0345210755778893E-2</v>
      </c>
      <c r="E21" s="101">
        <v>9.0345210755778893E-2</v>
      </c>
      <c r="F21" s="101">
        <v>9.0345210755778893E-2</v>
      </c>
    </row>
    <row r="22" spans="1:8" ht="15.75" customHeight="1" x14ac:dyDescent="0.25">
      <c r="B22" s="19" t="s">
        <v>95</v>
      </c>
      <c r="C22" s="101">
        <v>0.20326773696787509</v>
      </c>
      <c r="D22" s="101">
        <v>0.20326773696787509</v>
      </c>
      <c r="E22" s="101">
        <v>0.20326773696787509</v>
      </c>
      <c r="F22" s="101">
        <v>0.20326773696787509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8.7529259999999998E-2</v>
      </c>
    </row>
    <row r="27" spans="1:8" ht="15.75" customHeight="1" x14ac:dyDescent="0.25">
      <c r="B27" s="19" t="s">
        <v>102</v>
      </c>
      <c r="C27" s="101">
        <v>8.5087389999999995E-3</v>
      </c>
    </row>
    <row r="28" spans="1:8" ht="15.75" customHeight="1" x14ac:dyDescent="0.25">
      <c r="B28" s="19" t="s">
        <v>103</v>
      </c>
      <c r="C28" s="101">
        <v>0.15587014399999999</v>
      </c>
    </row>
    <row r="29" spans="1:8" ht="15.75" customHeight="1" x14ac:dyDescent="0.25">
      <c r="B29" s="19" t="s">
        <v>104</v>
      </c>
      <c r="C29" s="101">
        <v>0.16769983199999999</v>
      </c>
    </row>
    <row r="30" spans="1:8" ht="15.75" customHeight="1" x14ac:dyDescent="0.25">
      <c r="B30" s="19" t="s">
        <v>2</v>
      </c>
      <c r="C30" s="101">
        <v>0.106388358</v>
      </c>
    </row>
    <row r="31" spans="1:8" ht="15.75" customHeight="1" x14ac:dyDescent="0.25">
      <c r="B31" s="19" t="s">
        <v>105</v>
      </c>
      <c r="C31" s="101">
        <v>0.108993619</v>
      </c>
    </row>
    <row r="32" spans="1:8" ht="15.75" customHeight="1" x14ac:dyDescent="0.25">
      <c r="B32" s="19" t="s">
        <v>106</v>
      </c>
      <c r="C32" s="101">
        <v>1.8349142999999998E-2</v>
      </c>
    </row>
    <row r="33" spans="2:3" ht="15.75" customHeight="1" x14ac:dyDescent="0.25">
      <c r="B33" s="19" t="s">
        <v>107</v>
      </c>
      <c r="C33" s="101">
        <v>8.4419259999999982E-2</v>
      </c>
    </row>
    <row r="34" spans="2:3" ht="15.75" customHeight="1" x14ac:dyDescent="0.25">
      <c r="B34" s="19" t="s">
        <v>108</v>
      </c>
      <c r="C34" s="101">
        <v>0.26224164300000002</v>
      </c>
    </row>
    <row r="35" spans="2:3" ht="15.75" customHeight="1" x14ac:dyDescent="0.25">
      <c r="B35" s="27" t="s">
        <v>41</v>
      </c>
      <c r="C35" s="48">
        <f>SUM(C26:C34)</f>
        <v>0.99999999800000006</v>
      </c>
    </row>
  </sheetData>
  <sheetProtection algorithmName="SHA-512" hashValue="4yavw/XEJOv4z7aXMrGshxV/gRqaBcMngWFAgxXy8/4gB9T3tRsRipfECnPlyKsYFKiHCnzbcSZcsTaL0g4zQw==" saltValue="6/n2OzygGaXxd64LQdHc6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0.47914592269961154</v>
      </c>
      <c r="D2" s="52">
        <f>IFERROR(1-_xlfn.NORM.DIST(_xlfn.NORM.INV(SUM(D4:D5), 0, 1) + 1, 0, 1, TRUE), "")</f>
        <v>0.47914592269961154</v>
      </c>
      <c r="E2" s="52">
        <f>IFERROR(1-_xlfn.NORM.DIST(_xlfn.NORM.INV(SUM(E4:E5), 0, 1) + 1, 0, 1, TRUE), "")</f>
        <v>0.3522229761152027</v>
      </c>
      <c r="F2" s="52">
        <f>IFERROR(1-_xlfn.NORM.DIST(_xlfn.NORM.INV(SUM(F4:F5), 0, 1) + 1, 0, 1, TRUE), "")</f>
        <v>0.29072013946907083</v>
      </c>
      <c r="G2" s="52">
        <f>IFERROR(1-_xlfn.NORM.DIST(_xlfn.NORM.INV(SUM(G4:G5), 0, 1) + 1, 0, 1, TRUE), "")</f>
        <v>0.2067584686377506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0.34921367730038844</v>
      </c>
      <c r="D3" s="52">
        <f>IFERROR(_xlfn.NORM.DIST(_xlfn.NORM.INV(SUM(D4:D5), 0, 1) + 1, 0, 1, TRUE) - SUM(D4:D5), "")</f>
        <v>0.34921367730038844</v>
      </c>
      <c r="E3" s="52">
        <f>IFERROR(_xlfn.NORM.DIST(_xlfn.NORM.INV(SUM(E4:E5), 0, 1) + 1, 0, 1, TRUE) - SUM(E4:E5), "")</f>
        <v>0.38037002388479729</v>
      </c>
      <c r="F3" s="52">
        <f>IFERROR(_xlfn.NORM.DIST(_xlfn.NORM.INV(SUM(F4:F5), 0, 1) + 1, 0, 1, TRUE) - SUM(F4:F5), "")</f>
        <v>0.38246226053092913</v>
      </c>
      <c r="G3" s="52">
        <f>IFERROR(_xlfn.NORM.DIST(_xlfn.NORM.INV(SUM(G4:G5), 0, 1) + 1, 0, 1, TRUE) - SUM(G4:G5), "")</f>
        <v>0.3655599313622494</v>
      </c>
    </row>
    <row r="4" spans="1:15" ht="15.75" customHeight="1" x14ac:dyDescent="0.25">
      <c r="B4" s="5" t="s">
        <v>114</v>
      </c>
      <c r="C4" s="45">
        <v>0.13184029999999999</v>
      </c>
      <c r="D4" s="53">
        <v>0.13184029999999999</v>
      </c>
      <c r="E4" s="53">
        <v>0.181427</v>
      </c>
      <c r="F4" s="53">
        <v>0.2362543</v>
      </c>
      <c r="G4" s="53">
        <v>0.27492490000000003</v>
      </c>
    </row>
    <row r="5" spans="1:15" ht="15.75" customHeight="1" x14ac:dyDescent="0.25">
      <c r="B5" s="5" t="s">
        <v>115</v>
      </c>
      <c r="C5" s="45">
        <v>3.9800099999999998E-2</v>
      </c>
      <c r="D5" s="53">
        <v>3.9800099999999998E-2</v>
      </c>
      <c r="E5" s="53">
        <v>8.5980000000000001E-2</v>
      </c>
      <c r="F5" s="53">
        <v>9.0563300000000013E-2</v>
      </c>
      <c r="G5" s="53">
        <v>0.1527567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0.62354203285300214</v>
      </c>
      <c r="D8" s="52">
        <f>IFERROR(1-_xlfn.NORM.DIST(_xlfn.NORM.INV(SUM(D10:D11), 0, 1) + 1, 0, 1, TRUE), "")</f>
        <v>0.62354203285300214</v>
      </c>
      <c r="E8" s="52">
        <f>IFERROR(1-_xlfn.NORM.DIST(_xlfn.NORM.INV(SUM(E10:E11), 0, 1) + 1, 0, 1, TRUE), "")</f>
        <v>0.70334224397497291</v>
      </c>
      <c r="F8" s="52">
        <f>IFERROR(1-_xlfn.NORM.DIST(_xlfn.NORM.INV(SUM(F10:F11), 0, 1) + 1, 0, 1, TRUE), "")</f>
        <v>0.66275009797296724</v>
      </c>
      <c r="G8" s="52">
        <f>IFERROR(1-_xlfn.NORM.DIST(_xlfn.NORM.INV(SUM(G10:G11), 0, 1) + 1, 0, 1, TRUE), "")</f>
        <v>0.69595062527720364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0.28216886714699779</v>
      </c>
      <c r="D9" s="52">
        <f>IFERROR(_xlfn.NORM.DIST(_xlfn.NORM.INV(SUM(D10:D11), 0, 1) + 1, 0, 1, TRUE) - SUM(D10:D11), "")</f>
        <v>0.28216886714699779</v>
      </c>
      <c r="E9" s="52">
        <f>IFERROR(_xlfn.NORM.DIST(_xlfn.NORM.INV(SUM(E10:E11), 0, 1) + 1, 0, 1, TRUE) - SUM(E10:E11), "")</f>
        <v>0.23414755602502707</v>
      </c>
      <c r="F9" s="52">
        <f>IFERROR(_xlfn.NORM.DIST(_xlfn.NORM.INV(SUM(F10:F11), 0, 1) + 1, 0, 1, TRUE) - SUM(F10:F11), "")</f>
        <v>0.25944320202703269</v>
      </c>
      <c r="G9" s="52">
        <f>IFERROR(_xlfn.NORM.DIST(_xlfn.NORM.INV(SUM(G10:G11), 0, 1) + 1, 0, 1, TRUE) - SUM(G10:G11), "")</f>
        <v>0.23888277472279631</v>
      </c>
    </row>
    <row r="10" spans="1:15" ht="15.75" customHeight="1" x14ac:dyDescent="0.25">
      <c r="B10" s="5" t="s">
        <v>119</v>
      </c>
      <c r="C10" s="45">
        <v>8.2523899999999997E-2</v>
      </c>
      <c r="D10" s="53">
        <v>8.2523899999999997E-2</v>
      </c>
      <c r="E10" s="53">
        <v>5.2588700000000002E-2</v>
      </c>
      <c r="F10" s="53">
        <v>6.4587400000000003E-2</v>
      </c>
      <c r="G10" s="53">
        <v>5.2879199999999987E-2</v>
      </c>
    </row>
    <row r="11" spans="1:15" ht="15.75" customHeight="1" x14ac:dyDescent="0.25">
      <c r="B11" s="5" t="s">
        <v>120</v>
      </c>
      <c r="C11" s="45">
        <v>1.17652E-2</v>
      </c>
      <c r="D11" s="53">
        <v>1.17652E-2</v>
      </c>
      <c r="E11" s="53">
        <v>9.9214999999999998E-3</v>
      </c>
      <c r="F11" s="53">
        <v>1.32193E-2</v>
      </c>
      <c r="G11" s="53">
        <v>1.22874E-2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0.90827927350000015</v>
      </c>
      <c r="D14" s="54">
        <v>0.900232278725</v>
      </c>
      <c r="E14" s="54">
        <v>0.900232278725</v>
      </c>
      <c r="F14" s="54">
        <v>0.62486000702099997</v>
      </c>
      <c r="G14" s="54">
        <v>0.62486000702099997</v>
      </c>
      <c r="H14" s="45">
        <v>0.24299999999999999</v>
      </c>
      <c r="I14" s="55">
        <v>0.24299999999999999</v>
      </c>
      <c r="J14" s="55">
        <v>0.24299999999999999</v>
      </c>
      <c r="K14" s="55">
        <v>0.24299999999999999</v>
      </c>
      <c r="L14" s="45">
        <v>0.23300000000000001</v>
      </c>
      <c r="M14" s="55">
        <v>0.23300000000000001</v>
      </c>
      <c r="N14" s="55">
        <v>0.23300000000000001</v>
      </c>
      <c r="O14" s="55">
        <v>0.23300000000000001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0.50891614317623801</v>
      </c>
      <c r="D15" s="52">
        <f t="shared" si="0"/>
        <v>0.50440734762784722</v>
      </c>
      <c r="E15" s="52">
        <f t="shared" si="0"/>
        <v>0.50440734762784722</v>
      </c>
      <c r="F15" s="52">
        <f t="shared" si="0"/>
        <v>0.35011406081392238</v>
      </c>
      <c r="G15" s="52">
        <f t="shared" si="0"/>
        <v>0.35011406081392238</v>
      </c>
      <c r="H15" s="52">
        <f t="shared" si="0"/>
        <v>0.13615484399999997</v>
      </c>
      <c r="I15" s="52">
        <f t="shared" si="0"/>
        <v>0.13615484399999997</v>
      </c>
      <c r="J15" s="52">
        <f t="shared" si="0"/>
        <v>0.13615484399999997</v>
      </c>
      <c r="K15" s="52">
        <f t="shared" si="0"/>
        <v>0.13615484399999997</v>
      </c>
      <c r="L15" s="52">
        <f t="shared" si="0"/>
        <v>0.13055176399999999</v>
      </c>
      <c r="M15" s="52">
        <f t="shared" si="0"/>
        <v>0.13055176399999999</v>
      </c>
      <c r="N15" s="52">
        <f t="shared" si="0"/>
        <v>0.13055176399999999</v>
      </c>
      <c r="O15" s="52">
        <f t="shared" si="0"/>
        <v>0.13055176399999999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gQusUMCxWcWtB+Amnd6lrYpWxCZef1mj5sEwg1DgqqQwj+9qMFt+UXtQpjFajY4aMgiqKUV03DVOuiOqKKPM7A==" saltValue="7+3gd9sj9xGZT/+Rsz9ZU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0.73135050000000001</v>
      </c>
      <c r="D2" s="53">
        <v>0.56024590000000007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0.1068197</v>
      </c>
      <c r="D3" s="53">
        <v>0.15972819999999999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8.53849E-2</v>
      </c>
      <c r="D4" s="53">
        <v>0.22809889999999999</v>
      </c>
      <c r="E4" s="53">
        <v>0.93737269999999995</v>
      </c>
      <c r="F4" s="53">
        <v>0.81075520000000001</v>
      </c>
      <c r="G4" s="53">
        <v>0</v>
      </c>
    </row>
    <row r="5" spans="1:7" x14ac:dyDescent="0.25">
      <c r="B5" s="3" t="s">
        <v>132</v>
      </c>
      <c r="C5" s="52">
        <v>7.6444999999999999E-2</v>
      </c>
      <c r="D5" s="52">
        <v>5.1927000000000001E-2</v>
      </c>
      <c r="E5" s="52">
        <f>1-SUM(E2:E4)</f>
        <v>6.2627300000000052E-2</v>
      </c>
      <c r="F5" s="52">
        <f>1-SUM(F2:F4)</f>
        <v>0.18924479999999999</v>
      </c>
      <c r="G5" s="52">
        <f>1-SUM(G2:G4)</f>
        <v>1</v>
      </c>
    </row>
  </sheetData>
  <sheetProtection algorithmName="SHA-512" hashValue="iDWJl3h16K8W/ZOLCheKhU2h/Yfi/EZTYJ+EBlXioOo7pTQLmXjz7556Xrp2QWTbK+e1t0fq74dEf6QAldtwVw==" saltValue="3DcgAeurBt9ovlGQH//Tz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Q75QhZSHo7xdCMInJcpFjEkMAWU1bZ8LRNB63YRjmXpj7gg+KXJck7zDDgu15+C6KVxRZB1Vn/bJQL3fwn5/iw==" saltValue="soiSdgj3h2JGm8JUvpzN6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11ONT66NZsVHJEXuTTCgRPWhh5GvEDlcPycc8g1/WibP1dl1YnWjT+rYX8KDq+PpcBOEuH6MEIr0OEIxQRpawA==" saltValue="nmqANFXPaGlyVugv5dipp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+zbCbX3PG/wkh+rYL+3Wyry8Mvmm2hvoz1s8M5+NHiRIRFCGU3PAraImjjcM3OtvmW5B0BUh9g3WBIOSWoaguw==" saltValue="+jquqOaZzgab/n7x8oKfe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rIynkunVIfSruOqMApYnYKogaGpAHLD2Qy/hoEerYEanIg8sZEgktTIEQ78PE0yBPKGiKDuQqZX9EDX7bwmplg==" saltValue="uMSOXFwJOj0KCi04UVMwc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65.60734264525216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38.18160636252572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7.2861200073283072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0.1622916426232176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0.19283527130965261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0.78848199824391296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0.5</v>
      </c>
      <c r="C9" s="98">
        <v>0.95</v>
      </c>
      <c r="D9" s="56">
        <v>0.41709554979569308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0.1060524</v>
      </c>
      <c r="C10" s="98">
        <v>0.95</v>
      </c>
      <c r="D10" s="56">
        <v>15.05101211717766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15.05101211717766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15.05101211717766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15.05101211717766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0.1060524</v>
      </c>
      <c r="C14" s="98">
        <v>0.95</v>
      </c>
      <c r="D14" s="56">
        <v>15.05101211717766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15.05101211717766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7.4868999999999986E-3</v>
      </c>
      <c r="C16" s="98">
        <v>0.95</v>
      </c>
      <c r="D16" s="56">
        <v>2.503642449664842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0.182</v>
      </c>
      <c r="C18" s="98">
        <v>0.95</v>
      </c>
      <c r="D18" s="56">
        <v>7.2861200073283072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0.56024590000000007</v>
      </c>
      <c r="C19" s="98">
        <v>0.95</v>
      </c>
      <c r="D19" s="56">
        <v>7.2861200073283072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7.4846345450640612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25.652464004019169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0.70499999999999996</v>
      </c>
      <c r="C23" s="98">
        <v>0.95</v>
      </c>
      <c r="D23" s="56">
        <v>4.9325180741630454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0.34613380963715201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0.1060524</v>
      </c>
      <c r="C26" s="98">
        <v>0.95</v>
      </c>
      <c r="D26" s="56">
        <v>3.4665816434934871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13.803307962555669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0.29529529999999998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0.13494429999999999</v>
      </c>
      <c r="C29" s="98">
        <v>0.95</v>
      </c>
      <c r="D29" s="56">
        <v>88.005851455993124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0.1201</v>
      </c>
      <c r="C31" s="98">
        <v>0.95</v>
      </c>
      <c r="D31" s="56">
        <v>180.94215297303569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0.73</v>
      </c>
      <c r="C32" s="98">
        <v>0.95</v>
      </c>
      <c r="D32" s="56">
        <v>0.65266805708153031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8.32175E-2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0.36904579999999998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1.1650499999999999E-2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0.44068459999999998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0.33287060000000002</v>
      </c>
      <c r="C38" s="98">
        <v>0.95</v>
      </c>
      <c r="D38" s="56">
        <v>2.4488574538288082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3.4277904548683669</v>
      </c>
      <c r="E39" s="56" t="s">
        <v>201</v>
      </c>
      <c r="F39" s="98">
        <v>1</v>
      </c>
      <c r="G39" s="98">
        <v>1</v>
      </c>
    </row>
  </sheetData>
  <sheetProtection algorithmName="SHA-512" hashValue="lP3qcrkT5Nhu5MeM10nlxVjLboz2pB40RIICXE63BH6JZ/HNpdIeId4Nzef0SZ7F+9e64oE9CVmNSSmGFeTHYA==" saltValue="MBwhl2L9BoX0hAP15lIS8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I8dgLr8GssGCZu99vdxl6IZOq1A4WyRXMDzroDl6AbKzsky5zMSd0hMuwqIvXaWmRFoJaGwtWN8sL1vZbAGfVQ==" saltValue="wn1jwTi4XtzX/4iQf2yL2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oaMyY0/t2n9c59a2OwFqJC4rIZyOcVs45Two6dbBe8q7Esi/+fQrdwDmfsgNcQYnlVxGs1deBu7vsU+3Hq/znQ==" saltValue="+8iV1FSti99Tx4FrBGl96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0.21456214000000001</v>
      </c>
      <c r="C3" s="21">
        <f>frac_mam_1_5months * 2.6</f>
        <v>0.21456214000000001</v>
      </c>
      <c r="D3" s="21">
        <f>frac_mam_6_11months * 2.6</f>
        <v>0.13673062</v>
      </c>
      <c r="E3" s="21">
        <f>frac_mam_12_23months * 2.6</f>
        <v>0.16792724000000001</v>
      </c>
      <c r="F3" s="21">
        <f>frac_mam_24_59months * 2.6</f>
        <v>0.13748591999999998</v>
      </c>
    </row>
    <row r="4" spans="1:6" ht="15.75" customHeight="1" x14ac:dyDescent="0.25">
      <c r="A4" s="3" t="s">
        <v>208</v>
      </c>
      <c r="B4" s="21">
        <f>frac_sam_1month * 2.6</f>
        <v>3.0589520000000002E-2</v>
      </c>
      <c r="C4" s="21">
        <f>frac_sam_1_5months * 2.6</f>
        <v>3.0589520000000002E-2</v>
      </c>
      <c r="D4" s="21">
        <f>frac_sam_6_11months * 2.6</f>
        <v>2.57959E-2</v>
      </c>
      <c r="E4" s="21">
        <f>frac_sam_12_23months * 2.6</f>
        <v>3.437018E-2</v>
      </c>
      <c r="F4" s="21">
        <f>frac_sam_24_59months * 2.6</f>
        <v>3.1947240000000002E-2</v>
      </c>
    </row>
  </sheetData>
  <sheetProtection algorithmName="SHA-512" hashValue="Yk8g/ftbvadviZAo7cQVhtWN6vDkYE8CY/zQrqV5Hitjl+5AOCVFKU/DdSt40HqZMb2TbztM1eQrX6LF+rIf7w==" saltValue="2phAFdCWDlwSEZE0P3TIA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0.308</v>
      </c>
      <c r="E2" s="60">
        <f>food_insecure</f>
        <v>0.308</v>
      </c>
      <c r="F2" s="60">
        <f>food_insecure</f>
        <v>0.308</v>
      </c>
      <c r="G2" s="60">
        <f>food_insecure</f>
        <v>0.308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0.308</v>
      </c>
      <c r="F5" s="60">
        <f>food_insecure</f>
        <v>0.308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0.308</v>
      </c>
      <c r="F8" s="60">
        <f>food_insecure</f>
        <v>0.308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0.308</v>
      </c>
      <c r="F9" s="60">
        <f>food_insecure</f>
        <v>0.308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0.308</v>
      </c>
      <c r="I15" s="60">
        <f>food_insecure</f>
        <v>0.308</v>
      </c>
      <c r="J15" s="60">
        <f>food_insecure</f>
        <v>0.308</v>
      </c>
      <c r="K15" s="60">
        <f>food_insecure</f>
        <v>0.308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0.14000000000000001</v>
      </c>
      <c r="I19" s="60">
        <f>frac_malaria_risk</f>
        <v>0.14000000000000001</v>
      </c>
      <c r="J19" s="60">
        <f>frac_malaria_risk</f>
        <v>0.14000000000000001</v>
      </c>
      <c r="K19" s="60">
        <f>frac_malaria_risk</f>
        <v>0.14000000000000001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0.40600000000000003</v>
      </c>
      <c r="M24" s="60">
        <f>famplan_unmet_need</f>
        <v>0.40600000000000003</v>
      </c>
      <c r="N24" s="60">
        <f>famplan_unmet_need</f>
        <v>0.40600000000000003</v>
      </c>
      <c r="O24" s="60">
        <f>famplan_unmet_need</f>
        <v>0.40600000000000003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0.38602305684661875</v>
      </c>
      <c r="M25" s="60">
        <f>(1-food_insecure)*(0.49)+food_insecure*(0.7)</f>
        <v>0.55467999999999995</v>
      </c>
      <c r="N25" s="60">
        <f>(1-food_insecure)*(0.49)+food_insecure*(0.7)</f>
        <v>0.55467999999999995</v>
      </c>
      <c r="O25" s="60">
        <f>(1-food_insecure)*(0.49)+food_insecure*(0.7)</f>
        <v>0.55467999999999995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0.16543845293426518</v>
      </c>
      <c r="M26" s="60">
        <f>(1-food_insecure)*(0.21)+food_insecure*(0.3)</f>
        <v>0.23771999999999999</v>
      </c>
      <c r="N26" s="60">
        <f>(1-food_insecure)*(0.21)+food_insecure*(0.3)</f>
        <v>0.23771999999999999</v>
      </c>
      <c r="O26" s="60">
        <f>(1-food_insecure)*(0.21)+food_insecure*(0.3)</f>
        <v>0.23771999999999999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0.144476791305542</v>
      </c>
      <c r="M27" s="60">
        <f>(1-food_insecure)*(0.3)</f>
        <v>0.20759999999999998</v>
      </c>
      <c r="N27" s="60">
        <f>(1-food_insecure)*(0.3)</f>
        <v>0.20759999999999998</v>
      </c>
      <c r="O27" s="60">
        <f>(1-food_insecure)*(0.3)</f>
        <v>0.20759999999999998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0.30406169891357393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0.14000000000000001</v>
      </c>
      <c r="D34" s="60">
        <f t="shared" si="3"/>
        <v>0.14000000000000001</v>
      </c>
      <c r="E34" s="60">
        <f t="shared" si="3"/>
        <v>0.14000000000000001</v>
      </c>
      <c r="F34" s="60">
        <f t="shared" si="3"/>
        <v>0.14000000000000001</v>
      </c>
      <c r="G34" s="60">
        <f t="shared" si="3"/>
        <v>0.14000000000000001</v>
      </c>
      <c r="H34" s="60">
        <f t="shared" si="3"/>
        <v>0.14000000000000001</v>
      </c>
      <c r="I34" s="60">
        <f t="shared" si="3"/>
        <v>0.14000000000000001</v>
      </c>
      <c r="J34" s="60">
        <f t="shared" si="3"/>
        <v>0.14000000000000001</v>
      </c>
      <c r="K34" s="60">
        <f t="shared" si="3"/>
        <v>0.14000000000000001</v>
      </c>
      <c r="L34" s="60">
        <f t="shared" si="3"/>
        <v>0.14000000000000001</v>
      </c>
      <c r="M34" s="60">
        <f t="shared" si="3"/>
        <v>0.14000000000000001</v>
      </c>
      <c r="N34" s="60">
        <f t="shared" si="3"/>
        <v>0.14000000000000001</v>
      </c>
      <c r="O34" s="60">
        <f t="shared" si="3"/>
        <v>0.14000000000000001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zFb7Ixf4X7fVQ+vQC7vEkYsPmU5Sm6kWNfVYORapPr5E3phAbUfJLCLE2lt9VhyongDhyZllmrz1wh76OInZ/Q==" saltValue="ProOiAeVr+o7WEJFm+Q5Y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gjaEf2mWT4G1qYyBWa7xR4pw4rkAU0/GROgJEAWjCSCu675vd/rT8uOvxwA58ZCYYPUNJ2+mgr56LOObMfpu3g==" saltValue="XMFXPp84YWFQn/zD1EOml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hFw7EIYcTlZYl9omhZEWQb50hTZInYnYeIvcB+xajEqmn2d0TOfqryxfD5OxHvhTitml3ASb3VyfrS6K+poXJA==" saltValue="6xfRYCV4mMaTP12SNcZiI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SK9MBSxpqtcl+sG5wbya1/6q1BWpSE5fRU+5oRUTnmszv3hxoYpl+JM5PT6IZxISJ3xX9fDRUv1NQMQHAAqA2w==" saltValue="dulyLfDxiSnWQ3B0Ba+s9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o/PIop7LEu3OtWVnZ4YjY7FJeuYvadrwb9OG/W+92rnJ1wTMTTx+wUP92jK60tq+wPmafzoEm/3zjNhmkENNqw==" saltValue="H4hXKJFIDjF1/6dUJDJJ2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e4J4DBo9FmlT2yaNx2IoFvw51+hgudvvuLCtVJS655MvgEKVusE8Rrad2k+YJztfaadqt4SzMjvthGvGPYKTtA==" saltValue="KuCOXve7DBL46mYIPO2Ts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OJI2bp4g2a69/teTlpkpRNPKoGw7pq/xFc3SvapwmB7vZJq0gYXZf5cq2/QQ50SdOG2v22CLISFHZr4g5N1ZmA==" saltValue="vxgBSxI862JJR1spRtkR4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hGaJm9B5Fe5ZzRTxHOEMHG7cm8xCeXFFm7s8QqVmaRW8cZWyHZ38gK4uvLN0T4jj75L7vXAcED9efJ018IRulQ==" saltValue="Nv2zP1z5vJnLUEMLfvfYK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U4HxcnVhJpf5sJmkkEThRFZQSBUknKY+kGr+NF8Ij/gSceGUo8bfgJIQoXuut2XExO7CHB8KhIlLdm/uWsvQJw==" saltValue="ljX1ibPkEcptvq1xZr9dc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qO2C8cyloTOQAFGhFqtujq0LcD/9am/mtIbX7XHcPHf35KX2tI4tunlsb8nz4VGhYcchOI6leUlLXtffIe8TMA==" saltValue="XZZnirSUiq9d635qKEQAi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O7AltolviznloFZyV0hXujlZ8kyYnHzP6QxsA+8uDLrd7bkrp687wpSkN7L9lyfa88u164UVlhJ/5Wsu6whhsw==" saltValue="mbAVFqpLt6QwXIJCXqAJ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GLDuO9YRpVYsp7K4cHaTTIGoRxo8LTxM6/rU7VG4+4ytUMHvNwnmprkWPpTgUPMrrZsKQqc5KNmCFnOWkM1Rhg==" saltValue="kn7HDJLkTYDdgca/6CFl9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eArrBzCsoThJ7D+ByZ+Lc9rFLtbOfooYvW9dO0LZTKIoA2KgK94LS6Q5A1G0sk6ARa5wxhuRq0IxAQgCCDO2g==" saltValue="DUR1JqNM8FOtOiQLYr8Yr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0.1090276239327933</v>
      </c>
      <c r="G18" s="90">
        <f>MIN(MAX(1-0.89/(1-frac_sam_12_23months+(frac_sam_12_23months*0.89)),0),1)</f>
        <v>0.10870394590793542</v>
      </c>
      <c r="H18" s="90">
        <f>MIN(MAX(1-0.89/(1-frac_sam_24_59months+(frac_sam_24_59months*0.89)),0),1)</f>
        <v>0.10879543543366832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0.10482161054535344</v>
      </c>
      <c r="G20" s="90">
        <f>MIN(MAX(1-0.89/(1-frac_mam_12_23months+(frac_mam_12_23months*0.89)),0),1)</f>
        <v>0.10363164886335774</v>
      </c>
      <c r="H20" s="90">
        <f>MIN(MAX(1-0.89/(1-frac_mam_24_59months+(frac_mam_24_59months*0.89)),0),1)</f>
        <v>0.10479283775689452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9.9017674038529568E-3</v>
      </c>
      <c r="G73" s="90">
        <f>MIN(MAX(1-0.99/(1-frac_sam_12_23months+(frac_sam_12_23months*0.99)),0),1)</f>
        <v>9.8691116274733925E-3</v>
      </c>
      <c r="H73" s="90">
        <f>MIN(MAX(1-0.99/(1-frac_sam_24_59months+(frac_sam_24_59months*0.99)),0),1)</f>
        <v>9.8783397911235138E-3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9.4790979343754023E-3</v>
      </c>
      <c r="G75" s="90">
        <f>MIN(MAX(1-0.99/(1-frac_mam_12_23months+(frac_mam_12_23months*0.99)),0),1)</f>
        <v>9.3601714914018919E-3</v>
      </c>
      <c r="H75" s="90">
        <f>MIN(MAX(1-0.99/(1-frac_mam_24_59months+(frac_mam_24_59months*0.99)),0),1)</f>
        <v>9.4762189487703763E-3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0.19840940377992045</v>
      </c>
      <c r="G128" s="90">
        <f>MIN(MAX(1-0.8/(1-frac_sam_12_23months+(frac_sam_12_23months*0.8)),0),1)</f>
        <v>0.19787930517979258</v>
      </c>
      <c r="H128" s="90">
        <f>MIN(MAX(1-0.8/(1-frac_sam_24_59months+(frac_sam_24_59months*0.8)),0),1)</f>
        <v>0.19802917273140397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0.19149636902029943</v>
      </c>
      <c r="G130" s="90">
        <f>MIN(MAX(1-0.8/(1-frac_mam_12_23months+(frac_mam_12_23months*0.8)),0),1)</f>
        <v>0.18953078006082003</v>
      </c>
      <c r="H130" s="90">
        <f>MIN(MAX(1-0.8/(1-frac_mam_24_59months+(frac_mam_24_59months*0.8)),0),1)</f>
        <v>0.19144889285905442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nzp2kDihuBd95AwKkSvH2rzK/dkhujI5nJhI22kU15C0ZOE+/l8+ZgBh7Z1yiijNniK8LqiiBQYk3/yznv4e6g==" saltValue="zj5kd0oTBzwzwhZj3OdWQ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W698OUwsB/ge15duEQYL4+N3V803k7je4l88avYJWNPKytryJnD8+2dFvPh8sUSOEKLuAEOyz0SdoZH17U5grg==" saltValue="5Lefi0n7+1qx5NwDg1CD5g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2024-08-06T09:01:37Z</dcterms:modified>
</cp:coreProperties>
</file>