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A546C60C-4F27-4FC7-BD24-29842A1F039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A22" i="2"/>
  <c r="A24" i="2"/>
  <c r="A36" i="2"/>
  <c r="A37" i="2"/>
  <c r="I38" i="2"/>
  <c r="A26" i="2"/>
  <c r="I39" i="2"/>
  <c r="A31" i="2"/>
  <c r="A34" i="2"/>
  <c r="A40" i="2"/>
  <c r="I2" i="2"/>
  <c r="I6" i="2"/>
  <c r="A19" i="2"/>
  <c r="A35" i="2"/>
  <c r="I3" i="2"/>
  <c r="I7" i="2"/>
  <c r="I11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<sst xmlns="http://schemas.openxmlformats.org/spreadsheetml/2006/main" count="2169" uniqueCount="369">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</sst>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1236334</v>
      </c>
    </row>
    <row r="8" spans="1:3" ht="15" customHeight="1" x14ac:dyDescent="0.25">
      <c r="B8" s="5" t="s">
        <v>37</v>
      </c>
      <c r="C8" s="44">
        <v>0.38</v>
      </c>
    </row>
    <row r="9" spans="1:3" ht="15" customHeight="1" x14ac:dyDescent="0.25">
      <c r="B9" s="5" t="s">
        <v>38</v>
      </c>
      <c r="C9" s="45">
        <v>0.3362</v>
      </c>
    </row>
    <row r="10" spans="1:3" ht="15" customHeight="1" x14ac:dyDescent="0.25">
      <c r="B10" s="5" t="s">
        <v>39</v>
      </c>
      <c r="C10" s="45">
        <v>0.2918538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8.43E-2</v>
      </c>
    </row>
    <row r="24" spans="1:3" ht="15" customHeight="1" x14ac:dyDescent="0.25">
      <c r="B24" s="15" t="s">
        <v>51</v>
      </c>
      <c r="C24" s="45">
        <v>0.46639999999999998</v>
      </c>
    </row>
    <row r="25" spans="1:3" ht="15" customHeight="1" x14ac:dyDescent="0.25">
      <c r="B25" s="15" t="s">
        <v>52</v>
      </c>
      <c r="C25" s="45">
        <v>0.34599999999999992</v>
      </c>
    </row>
    <row r="26" spans="1:3" ht="15" customHeight="1" x14ac:dyDescent="0.25">
      <c r="B26" s="15" t="s">
        <v>53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0.24817471964062299</v>
      </c>
    </row>
    <row r="30" spans="1:3" ht="14.25" customHeight="1" x14ac:dyDescent="0.25">
      <c r="B30" s="25" t="s">
        <v>56</v>
      </c>
      <c r="C30" s="97">
        <v>6.3573506524813E-2</v>
      </c>
    </row>
    <row r="31" spans="1:3" ht="14.25" customHeight="1" x14ac:dyDescent="0.25">
      <c r="B31" s="25" t="s">
        <v>57</v>
      </c>
      <c r="C31" s="97">
        <v>0.116568636609094</v>
      </c>
    </row>
    <row r="32" spans="1:3" ht="14.25" customHeight="1" x14ac:dyDescent="0.25">
      <c r="B32" s="25" t="s">
        <v>58</v>
      </c>
      <c r="C32" s="97">
        <v>0.57168313722546993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21.217020000000002</v>
      </c>
    </row>
    <row r="38" spans="1:5" ht="15" customHeight="1" x14ac:dyDescent="0.25">
      <c r="B38" s="11" t="s">
        <v>63</v>
      </c>
      <c r="C38" s="43">
        <v>34.436309999999999</v>
      </c>
      <c r="D38" s="12"/>
      <c r="E38" s="13"/>
    </row>
    <row r="39" spans="1:5" ht="15" customHeight="1" x14ac:dyDescent="0.25">
      <c r="B39" s="11" t="s">
        <v>64</v>
      </c>
      <c r="C39" s="43">
        <v>42.811900000000001</v>
      </c>
      <c r="D39" s="12"/>
      <c r="E39" s="12"/>
    </row>
    <row r="40" spans="1:5" ht="15" customHeight="1" x14ac:dyDescent="0.25">
      <c r="B40" s="11" t="s">
        <v>65</v>
      </c>
      <c r="C40" s="98">
        <v>1.92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7.7334000000000014E-3</v>
      </c>
      <c r="D45" s="12"/>
    </row>
    <row r="46" spans="1:5" ht="15.75" customHeight="1" x14ac:dyDescent="0.25">
      <c r="B46" s="11" t="s">
        <v>70</v>
      </c>
      <c r="C46" s="45">
        <v>8.2766599999999996E-2</v>
      </c>
      <c r="D46" s="12"/>
    </row>
    <row r="47" spans="1:5" ht="15.75" customHeight="1" x14ac:dyDescent="0.25">
      <c r="B47" s="11" t="s">
        <v>71</v>
      </c>
      <c r="C47" s="45">
        <v>0.1917741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1.976</v>
      </c>
      <c r="D51" s="12"/>
    </row>
    <row r="52" spans="1:4" ht="15" customHeight="1" x14ac:dyDescent="0.25">
      <c r="B52" s="11" t="s">
        <v>75</v>
      </c>
      <c r="C52" s="98">
        <v>1.976</v>
      </c>
    </row>
    <row r="53" spans="1:4" ht="15.75" customHeight="1" x14ac:dyDescent="0.25">
      <c r="B53" s="11" t="s">
        <v>76</v>
      </c>
      <c r="C53" s="98">
        <v>5.2</v>
      </c>
    </row>
    <row r="54" spans="1:4" ht="15.75" customHeight="1" x14ac:dyDescent="0.25">
      <c r="B54" s="11" t="s">
        <v>77</v>
      </c>
      <c r="C54" s="98">
        <v>5.7720000000000002</v>
      </c>
    </row>
    <row r="55" spans="1:4" ht="15.75" customHeight="1" x14ac:dyDescent="0.25">
      <c r="B55" s="11" t="s">
        <v>78</v>
      </c>
      <c r="C55" s="98">
        <v>3.007333333333333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0.51547399999999999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0.19380283079999999</v>
      </c>
    </row>
    <row r="63" spans="1:4" ht="15.75" customHeight="1" x14ac:dyDescent="0.3">
      <c r="A63" s="4"/>
    </row>
  </sheetData>
  <sheetProtection algorithmName="SHA-512" hashValue="13VsVz2JX0LvrWihOdJjd7YCwwkyz9fkLV3chAYwZe+/uKBwi00Jrr/NiYlXJH+T393uNPcUTGv2JT3m6XCG/g==" saltValue="3GwVf4s01BDV4NI0fLwO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254548</v>
      </c>
      <c r="C2" s="49">
        <v>606405.5</v>
      </c>
      <c r="D2" s="49">
        <v>893904</v>
      </c>
      <c r="E2" s="49">
        <v>758580.5</v>
      </c>
      <c r="F2" s="49">
        <v>501054</v>
      </c>
      <c r="G2" s="17">
        <f t="shared" ref="G2:G13" si="0">C2+D2+E2+F2</f>
        <v>2759944</v>
      </c>
      <c r="H2" s="17">
        <f t="shared" ref="H2:H13" si="1">(B2 + stillbirth*B2/(1000-stillbirth))/(1-abortion)</f>
        <v>293604.23094008479</v>
      </c>
      <c r="I2" s="17">
        <f t="shared" ref="I2:I13" si="2">G2-H2</f>
        <v>2466339.7690599151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255773</v>
      </c>
      <c r="C3" s="50">
        <v>614840.5</v>
      </c>
      <c r="D3" s="50">
        <v>906991.49999999988</v>
      </c>
      <c r="E3" s="50">
        <v>771691</v>
      </c>
      <c r="F3" s="50">
        <v>516396.5</v>
      </c>
      <c r="G3" s="17">
        <f t="shared" si="0"/>
        <v>2809919.5</v>
      </c>
      <c r="H3" s="17">
        <f t="shared" si="1"/>
        <v>295017.18717192166</v>
      </c>
      <c r="I3" s="17">
        <f t="shared" si="2"/>
        <v>2514902.3128280784</v>
      </c>
    </row>
    <row r="4" spans="1:9" ht="15.75" customHeight="1" x14ac:dyDescent="0.25">
      <c r="A4" s="5">
        <f t="shared" si="3"/>
        <v>2026</v>
      </c>
      <c r="B4" s="49">
        <v>256874</v>
      </c>
      <c r="C4" s="50">
        <v>623404.5</v>
      </c>
      <c r="D4" s="50">
        <v>920386</v>
      </c>
      <c r="E4" s="50">
        <v>783793</v>
      </c>
      <c r="F4" s="50">
        <v>532165.5</v>
      </c>
      <c r="G4" s="17">
        <f t="shared" si="0"/>
        <v>2859749</v>
      </c>
      <c r="H4" s="17">
        <f t="shared" si="1"/>
        <v>296287.11763008684</v>
      </c>
      <c r="I4" s="17">
        <f t="shared" si="2"/>
        <v>2563461.8823699132</v>
      </c>
    </row>
    <row r="5" spans="1:9" ht="15.75" customHeight="1" x14ac:dyDescent="0.25">
      <c r="A5" s="5">
        <f t="shared" si="3"/>
        <v>2027</v>
      </c>
      <c r="B5" s="49">
        <v>256625</v>
      </c>
      <c r="C5" s="50">
        <v>632039.50000000012</v>
      </c>
      <c r="D5" s="50">
        <v>933785.5</v>
      </c>
      <c r="E5" s="50">
        <v>795279</v>
      </c>
      <c r="F5" s="50">
        <v>548266</v>
      </c>
      <c r="G5" s="17">
        <f t="shared" si="0"/>
        <v>2909370</v>
      </c>
      <c r="H5" s="17">
        <f t="shared" si="1"/>
        <v>295999.91264908493</v>
      </c>
      <c r="I5" s="17">
        <f t="shared" si="2"/>
        <v>2613370.0873509152</v>
      </c>
    </row>
    <row r="6" spans="1:9" ht="15.75" customHeight="1" x14ac:dyDescent="0.25">
      <c r="A6" s="5">
        <f t="shared" si="3"/>
        <v>2028</v>
      </c>
      <c r="B6" s="49">
        <v>257725</v>
      </c>
      <c r="C6" s="50">
        <v>640597</v>
      </c>
      <c r="D6" s="50">
        <v>947257.5</v>
      </c>
      <c r="E6" s="50">
        <v>806374.5</v>
      </c>
      <c r="F6" s="50">
        <v>564623.5</v>
      </c>
      <c r="G6" s="17">
        <f t="shared" si="0"/>
        <v>2958852.5</v>
      </c>
      <c r="H6" s="17">
        <f t="shared" si="1"/>
        <v>297268.68967359146</v>
      </c>
      <c r="I6" s="17">
        <f t="shared" si="2"/>
        <v>2661583.8103264086</v>
      </c>
    </row>
    <row r="7" spans="1:9" ht="15.75" customHeight="1" x14ac:dyDescent="0.25">
      <c r="A7" s="5">
        <f t="shared" si="3"/>
        <v>2029</v>
      </c>
      <c r="B7" s="49">
        <v>258618</v>
      </c>
      <c r="C7" s="50">
        <v>648845</v>
      </c>
      <c r="D7" s="50">
        <v>960698.5</v>
      </c>
      <c r="E7" s="50">
        <v>817412.5</v>
      </c>
      <c r="F7" s="50">
        <v>581163</v>
      </c>
      <c r="G7" s="17">
        <f t="shared" si="0"/>
        <v>3008119</v>
      </c>
      <c r="H7" s="17">
        <f t="shared" si="1"/>
        <v>298298.70593075902</v>
      </c>
      <c r="I7" s="17">
        <f t="shared" si="2"/>
        <v>2709820.2940692408</v>
      </c>
    </row>
    <row r="8" spans="1:9" ht="15.75" customHeight="1" x14ac:dyDescent="0.25">
      <c r="A8" s="5">
        <f t="shared" si="3"/>
        <v>2030</v>
      </c>
      <c r="B8" s="49">
        <v>259488</v>
      </c>
      <c r="C8" s="50">
        <v>656501.5</v>
      </c>
      <c r="D8" s="50">
        <v>974278.5</v>
      </c>
      <c r="E8" s="50">
        <v>828706</v>
      </c>
      <c r="F8" s="50">
        <v>597669.5</v>
      </c>
      <c r="G8" s="17">
        <f t="shared" si="0"/>
        <v>3057155.5</v>
      </c>
      <c r="H8" s="17">
        <f t="shared" si="1"/>
        <v>299302.19321377791</v>
      </c>
      <c r="I8" s="17">
        <f t="shared" si="2"/>
        <v>2757853.3067862219</v>
      </c>
    </row>
    <row r="9" spans="1:9" ht="15.75" customHeight="1" x14ac:dyDescent="0.25">
      <c r="A9" s="5">
        <f t="shared" si="3"/>
        <v>2031</v>
      </c>
      <c r="B9" s="49">
        <v>261151</v>
      </c>
      <c r="C9" s="50">
        <v>663375</v>
      </c>
      <c r="D9" s="50">
        <v>988172</v>
      </c>
      <c r="E9" s="50">
        <v>840508</v>
      </c>
      <c r="F9" s="50">
        <v>613686.5</v>
      </c>
      <c r="G9" s="17">
        <f t="shared" si="0"/>
        <v>3105741.5</v>
      </c>
      <c r="H9" s="17">
        <f t="shared" si="1"/>
        <v>301220.35338810005</v>
      </c>
      <c r="I9" s="17">
        <f t="shared" si="2"/>
        <v>2804521.1466119001</v>
      </c>
    </row>
    <row r="10" spans="1:9" ht="15.75" customHeight="1" x14ac:dyDescent="0.25">
      <c r="A10" s="5">
        <f t="shared" si="3"/>
        <v>2032</v>
      </c>
      <c r="B10" s="49">
        <v>262362</v>
      </c>
      <c r="C10" s="50">
        <v>669828.5</v>
      </c>
      <c r="D10" s="50">
        <v>1001971.5</v>
      </c>
      <c r="E10" s="50">
        <v>852871.5</v>
      </c>
      <c r="F10" s="50">
        <v>628764</v>
      </c>
      <c r="G10" s="17">
        <f t="shared" si="0"/>
        <v>3153435.5</v>
      </c>
      <c r="H10" s="17">
        <f t="shared" si="1"/>
        <v>302617.1615487159</v>
      </c>
      <c r="I10" s="17">
        <f t="shared" si="2"/>
        <v>2850818.338451284</v>
      </c>
    </row>
    <row r="11" spans="1:9" ht="15.75" customHeight="1" x14ac:dyDescent="0.25">
      <c r="A11" s="5">
        <f t="shared" si="3"/>
        <v>2033</v>
      </c>
      <c r="B11" s="49">
        <v>262524</v>
      </c>
      <c r="C11" s="50">
        <v>675892.5</v>
      </c>
      <c r="D11" s="50">
        <v>1015542.5</v>
      </c>
      <c r="E11" s="50">
        <v>865563.5</v>
      </c>
      <c r="F11" s="50">
        <v>642754.5</v>
      </c>
      <c r="G11" s="17">
        <f t="shared" si="0"/>
        <v>3199753</v>
      </c>
      <c r="H11" s="17">
        <f t="shared" si="1"/>
        <v>302804.01780141593</v>
      </c>
      <c r="I11" s="17">
        <f t="shared" si="2"/>
        <v>2896948.9821985839</v>
      </c>
    </row>
    <row r="12" spans="1:9" ht="15.75" customHeight="1" x14ac:dyDescent="0.25">
      <c r="A12" s="5">
        <f t="shared" si="3"/>
        <v>2034</v>
      </c>
      <c r="B12" s="49">
        <v>262913</v>
      </c>
      <c r="C12" s="50">
        <v>681469.99999999988</v>
      </c>
      <c r="D12" s="50">
        <v>1029171</v>
      </c>
      <c r="E12" s="50">
        <v>878405.5</v>
      </c>
      <c r="F12" s="50">
        <v>655852.5</v>
      </c>
      <c r="G12" s="17">
        <f t="shared" si="0"/>
        <v>3244899</v>
      </c>
      <c r="H12" s="17">
        <f t="shared" si="1"/>
        <v>303252.70349462779</v>
      </c>
      <c r="I12" s="17">
        <f t="shared" si="2"/>
        <v>2941646.296505372</v>
      </c>
    </row>
    <row r="13" spans="1:9" ht="15.75" customHeight="1" x14ac:dyDescent="0.25">
      <c r="A13" s="5">
        <f t="shared" si="3"/>
        <v>2035</v>
      </c>
      <c r="B13" s="49">
        <v>263683</v>
      </c>
      <c r="C13" s="50">
        <v>686556.5</v>
      </c>
      <c r="D13" s="50">
        <v>1042756.5</v>
      </c>
      <c r="E13" s="50">
        <v>891574.5</v>
      </c>
      <c r="F13" s="50">
        <v>668049.00000000012</v>
      </c>
      <c r="G13" s="17">
        <f t="shared" si="0"/>
        <v>3288936.5</v>
      </c>
      <c r="H13" s="17">
        <f t="shared" si="1"/>
        <v>304140.84741178236</v>
      </c>
      <c r="I13" s="17">
        <f t="shared" si="2"/>
        <v>2984795.6525882175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l0bbM2YLJXtCrTeteRZzWYIpbCBPpRHrS/6GO0QA70x0kX9UlHwPUYIJEiTFTH2PX2FZbP789URkD37t3EbIQ==" saltValue="0ZRTgJa2uIgTOcIED8+Fy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1.273287936014751E-2</v>
      </c>
    </row>
    <row r="4" spans="1:8" ht="15.75" customHeight="1" x14ac:dyDescent="0.25">
      <c r="B4" s="19" t="s">
        <v>97</v>
      </c>
      <c r="C4" s="99">
        <v>5.1037667288558748E-2</v>
      </c>
    </row>
    <row r="5" spans="1:8" ht="15.75" customHeight="1" x14ac:dyDescent="0.25">
      <c r="B5" s="19" t="s">
        <v>98</v>
      </c>
      <c r="C5" s="99">
        <v>7.8308673753194405E-2</v>
      </c>
    </row>
    <row r="6" spans="1:8" ht="15.75" customHeight="1" x14ac:dyDescent="0.25">
      <c r="B6" s="19" t="s">
        <v>99</v>
      </c>
      <c r="C6" s="99">
        <v>0.2326897711165167</v>
      </c>
    </row>
    <row r="7" spans="1:8" ht="15.75" customHeight="1" x14ac:dyDescent="0.25">
      <c r="B7" s="19" t="s">
        <v>100</v>
      </c>
      <c r="C7" s="99">
        <v>0.4111986989090074</v>
      </c>
    </row>
    <row r="8" spans="1:8" ht="15.75" customHeight="1" x14ac:dyDescent="0.25">
      <c r="B8" s="19" t="s">
        <v>101</v>
      </c>
      <c r="C8" s="99">
        <v>4.2850122417487308E-3</v>
      </c>
    </row>
    <row r="9" spans="1:8" ht="15.75" customHeight="1" x14ac:dyDescent="0.25">
      <c r="B9" s="19" t="s">
        <v>102</v>
      </c>
      <c r="C9" s="99">
        <v>8.8446834633543872E-2</v>
      </c>
    </row>
    <row r="10" spans="1:8" ht="15.75" customHeight="1" x14ac:dyDescent="0.25">
      <c r="B10" s="19" t="s">
        <v>103</v>
      </c>
      <c r="C10" s="99">
        <v>0.1213004626972827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106</v>
      </c>
      <c r="C15" s="99">
        <v>0.12616701678312611</v>
      </c>
      <c r="D15" s="99">
        <v>0.12616701678312611</v>
      </c>
      <c r="E15" s="99">
        <v>0.12616701678312611</v>
      </c>
      <c r="F15" s="99">
        <v>0.12616701678312611</v>
      </c>
    </row>
    <row r="16" spans="1:8" ht="15.75" customHeight="1" x14ac:dyDescent="0.25">
      <c r="B16" s="19" t="s">
        <v>107</v>
      </c>
      <c r="C16" s="99">
        <v>3.0911997294886868E-2</v>
      </c>
      <c r="D16" s="99">
        <v>3.0911997294886868E-2</v>
      </c>
      <c r="E16" s="99">
        <v>3.0911997294886868E-2</v>
      </c>
      <c r="F16" s="99">
        <v>3.0911997294886868E-2</v>
      </c>
    </row>
    <row r="17" spans="1:8" ht="15.75" customHeight="1" x14ac:dyDescent="0.25">
      <c r="B17" s="19" t="s">
        <v>108</v>
      </c>
      <c r="C17" s="99">
        <v>4.3466035154231718E-2</v>
      </c>
      <c r="D17" s="99">
        <v>4.3466035154231718E-2</v>
      </c>
      <c r="E17" s="99">
        <v>4.3466035154231718E-2</v>
      </c>
      <c r="F17" s="99">
        <v>4.3466035154231718E-2</v>
      </c>
    </row>
    <row r="18" spans="1:8" ht="15.75" customHeight="1" x14ac:dyDescent="0.25">
      <c r="B18" s="19" t="s">
        <v>109</v>
      </c>
      <c r="C18" s="99">
        <v>0.26117847581464998</v>
      </c>
      <c r="D18" s="99">
        <v>0.26117847581464998</v>
      </c>
      <c r="E18" s="99">
        <v>0.26117847581464998</v>
      </c>
      <c r="F18" s="99">
        <v>0.26117847581464998</v>
      </c>
    </row>
    <row r="19" spans="1:8" ht="15.75" customHeight="1" x14ac:dyDescent="0.25">
      <c r="B19" s="19" t="s">
        <v>110</v>
      </c>
      <c r="C19" s="99">
        <v>5.8093570443193618E-2</v>
      </c>
      <c r="D19" s="99">
        <v>5.8093570443193618E-2</v>
      </c>
      <c r="E19" s="99">
        <v>5.8093570443193618E-2</v>
      </c>
      <c r="F19" s="99">
        <v>5.8093570443193618E-2</v>
      </c>
    </row>
    <row r="20" spans="1:8" ht="15.75" customHeight="1" x14ac:dyDescent="0.25">
      <c r="B20" s="19" t="s">
        <v>111</v>
      </c>
      <c r="C20" s="99">
        <v>5.1926603688117058E-2</v>
      </c>
      <c r="D20" s="99">
        <v>5.1926603688117058E-2</v>
      </c>
      <c r="E20" s="99">
        <v>5.1926603688117058E-2</v>
      </c>
      <c r="F20" s="99">
        <v>5.1926603688117058E-2</v>
      </c>
    </row>
    <row r="21" spans="1:8" ht="15.75" customHeight="1" x14ac:dyDescent="0.25">
      <c r="B21" s="19" t="s">
        <v>112</v>
      </c>
      <c r="C21" s="99">
        <v>6.7984117540053082E-2</v>
      </c>
      <c r="D21" s="99">
        <v>6.7984117540053082E-2</v>
      </c>
      <c r="E21" s="99">
        <v>6.7984117540053082E-2</v>
      </c>
      <c r="F21" s="99">
        <v>6.7984117540053082E-2</v>
      </c>
    </row>
    <row r="22" spans="1:8" ht="15.75" customHeight="1" x14ac:dyDescent="0.25">
      <c r="B22" s="19" t="s">
        <v>113</v>
      </c>
      <c r="C22" s="99">
        <v>0.1997532307305715</v>
      </c>
      <c r="D22" s="99">
        <v>0.1997532307305715</v>
      </c>
      <c r="E22" s="99">
        <v>0.1997532307305715</v>
      </c>
      <c r="F22" s="99">
        <v>0.1997532307305715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4.7892169999999998E-2</v>
      </c>
    </row>
    <row r="27" spans="1:8" ht="15.75" customHeight="1" x14ac:dyDescent="0.25">
      <c r="B27" s="19" t="s">
        <v>120</v>
      </c>
      <c r="C27" s="99">
        <v>1.8253354999999999E-2</v>
      </c>
    </row>
    <row r="28" spans="1:8" ht="15.75" customHeight="1" x14ac:dyDescent="0.25">
      <c r="B28" s="19" t="s">
        <v>121</v>
      </c>
      <c r="C28" s="99">
        <v>0.22970390299999999</v>
      </c>
    </row>
    <row r="29" spans="1:8" ht="15.75" customHeight="1" x14ac:dyDescent="0.25">
      <c r="B29" s="19" t="s">
        <v>122</v>
      </c>
      <c r="C29" s="99">
        <v>0.13801279299999999</v>
      </c>
    </row>
    <row r="30" spans="1:8" ht="15.75" customHeight="1" x14ac:dyDescent="0.25">
      <c r="B30" s="19" t="s">
        <v>2</v>
      </c>
      <c r="C30" s="99">
        <v>4.9951097000000007E-2</v>
      </c>
    </row>
    <row r="31" spans="1:8" ht="15.75" customHeight="1" x14ac:dyDescent="0.25">
      <c r="B31" s="19" t="s">
        <v>123</v>
      </c>
      <c r="C31" s="99">
        <v>7.037699800000001E-2</v>
      </c>
    </row>
    <row r="32" spans="1:8" ht="15.75" customHeight="1" x14ac:dyDescent="0.25">
      <c r="B32" s="19" t="s">
        <v>124</v>
      </c>
      <c r="C32" s="99">
        <v>0.14732740899999999</v>
      </c>
    </row>
    <row r="33" spans="2:3" ht="15.75" customHeight="1" x14ac:dyDescent="0.25">
      <c r="B33" s="19" t="s">
        <v>125</v>
      </c>
      <c r="C33" s="99">
        <v>0.124050595</v>
      </c>
    </row>
    <row r="34" spans="2:3" ht="15.75" customHeight="1" x14ac:dyDescent="0.25">
      <c r="B34" s="19" t="s">
        <v>126</v>
      </c>
      <c r="C34" s="99">
        <v>0.17443167800000001</v>
      </c>
    </row>
    <row r="35" spans="2:3" ht="15.75" customHeight="1" x14ac:dyDescent="0.25">
      <c r="B35" s="27" t="s">
        <v>59</v>
      </c>
      <c r="C35" s="48">
        <f>SUM(C26:C34)</f>
        <v>0.99999999799999995</v>
      </c>
    </row>
  </sheetData>
  <sheetProtection algorithmName="SHA-512" hashValue="TaMFdGmovyVh512qr3HqHWuxOIda4bNThjgfeB9ADofD1AX9+zeDa3naHHqgdr9fSqbKqPXQL4O4Rpuce4EW8w==" saltValue="akjoEjvoTeVvvoXK87kn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132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133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137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138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uz0d40ti+c9sDpgdI/YJ2MY884uMdR5GWL8QeGOfdgZWo+Sibh220etVxI0IkoIyF3zrEd6ZbaQMYaEIeCWVA==" saltValue="Py1PwNJFPDyORVS44i78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7.4436000000000058E-2</v>
      </c>
      <c r="D5" s="52">
        <f t="shared" si="0"/>
        <v>5.0070099999999895E-2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x0q5FlSsa+qQZTCljCra3xKzdaJL4nYFhvJ6G/pVzkJN1P2ShqI0YBKY4EJbA8e31N+dVK0yEZKAAYKOHjclUQ==" saltValue="mSG6WYQiGVHA2TMpAElQ5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lLpZD/ooF2mU0R9x9Fajkeuf1zrx2EHCi3k+yoQWCxE893A/F48cIdhLslWNOErJWUGX58YB2R8a2mQZ+r+zA==" saltValue="PA7d7f0cCKqc5MMN3kyrN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3115.92292304288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0.32693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0.47908000000000001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1.3627438130950071E-2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95505.803839999993</v>
      </c>
      <c r="C22" s="107">
        <v>95038.069820000004</v>
      </c>
      <c r="D22" s="107">
        <v>94698.666249999995</v>
      </c>
      <c r="E22" s="107">
        <v>94102.186990000002</v>
      </c>
      <c r="F22" s="107">
        <v>93244.490139999994</v>
      </c>
      <c r="G22" s="107">
        <v>92171.747919999994</v>
      </c>
      <c r="H22" s="107">
        <v>90737.867499999993</v>
      </c>
      <c r="I22" s="107">
        <v>88744.573239999998</v>
      </c>
      <c r="J22" s="107">
        <v>85944.047649999993</v>
      </c>
      <c r="K22" s="107">
        <v>82222.648910000004</v>
      </c>
      <c r="L22" s="107">
        <v>77214.110709999994</v>
      </c>
      <c r="M22" s="107">
        <v>70621.972410000002</v>
      </c>
      <c r="N22" s="107">
        <v>61918.49338</v>
      </c>
      <c r="O22" s="107">
        <v>51384.845679999999</v>
      </c>
    </row>
  </sheetData>
  <sheetProtection algorithmName="SHA-512" hashValue="5SauYOjS3lKbM6s5PJ+XuDWlL+XEhtsf8ASARFvb2K29y6Z4d/68dcf4trpoTMgEd0yubNuHLgJSDz/vNphPFA==" saltValue="lys86pFtsKEszRYH6EVW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BBvS60XI5Nqst+ZtS1w0QjNzNhRpDhP+DCVphU6pGNviafe4wrLblgdCV/yjxzMbdp/IAqJ0JoIINixEkb8RBg==" saltValue="8a6T3Ybz9SPzXGeTY5QGm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lQcYnsaK5o4IcucWirMBB3weZVs6XaPRx3f7M2bICwR/yGY1b8xMQ09RnCTWSgDKh2BhFpTY1KUJoBGKpMKcqQ==" saltValue="IEc3T4CjzDf2nCClZgOD6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0.48511197719653398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1.899427422400078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8.0286799999999992E-2</v>
      </c>
      <c r="C10" s="96">
        <v>0.95</v>
      </c>
      <c r="D10" s="56">
        <v>14.44490005937495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14.44490005937495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14.44490005937495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14.44490005937495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8.0286799999999992E-2</v>
      </c>
      <c r="C14" s="96">
        <v>0.95</v>
      </c>
      <c r="D14" s="56">
        <v>14.44490005937495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14.44490005937495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0.35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0.20200000000000001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0.57684040000000003</v>
      </c>
      <c r="C19" s="96">
        <v>0.95</v>
      </c>
      <c r="D19" s="56">
        <v>5.8130849373349918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0.67048689999999989</v>
      </c>
      <c r="C23" s="96">
        <v>0.95</v>
      </c>
      <c r="D23" s="56">
        <v>4.8184289348295932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0.40415301668664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0.29989329999999997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0.32183600000000001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1.6899999999999998E-2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0.307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0.29855500000000001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0.244063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0.15965090000000001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0.05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JnaIJK0PU1i80E5ypZnhDSknXy1tHJMEUIeNJvKyMMhANXIP+vbmgSi6mwYlU+7hWiFhNmSX1bxLqTqIViLO6w==" saltValue="g8ayNzKQMaRH/VMdhr11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ut0SfDvAPwQ0bjB/sP0MIOk/z7KZoKdMLbmybwAwXksMEM2chubv5SPz+6HuZgAxYznRrAA0fsPszZtR7kyZg==" saltValue="6f080us+CVN34ouT6QL80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LVvcY2SHgZIrif6hLbByaFU66Py93h29V3SsggbZZ7xULLQSQQ7pb3rz82bbGPGWtQzKfPHsYx6s5ppLEpw7A==" saltValue="H0qdw85XBZaRHsK2gn0DR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1.976</v>
      </c>
      <c r="C2" s="21">
        <f>'Données pop de l''année de ref'!C52</f>
        <v>1.976</v>
      </c>
      <c r="D2" s="21">
        <f>'Données pop de l''année de ref'!C53</f>
        <v>5.2</v>
      </c>
      <c r="E2" s="21">
        <f>'Données pop de l''année de ref'!C54</f>
        <v>5.7720000000000002</v>
      </c>
      <c r="F2" s="21">
        <f>'Données pop de l''année de ref'!C55</f>
        <v>3.007333333333333</v>
      </c>
    </row>
    <row r="3" spans="1:6" ht="15.75" customHeight="1" x14ac:dyDescent="0.25">
      <c r="A3" s="3" t="s">
        <v>238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237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sheetProtection algorithmName="SHA-512" hashValue="RWcWOKkeMs6MYW7khtCXLbVeVIZBHcOph8IUH5Glq+1vhG7AQoSC7xF4ha4j663FJu2xZOGRbkwKywkiiXr8Ng==" saltValue="lyj7nBvHWBFfUO1S9lZ3x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0.38</v>
      </c>
      <c r="F2" s="60">
        <f>food_insecure</f>
        <v>0.38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4.2214545454545442E-2</v>
      </c>
      <c r="D7" s="60">
        <f>diarrhoea_1_5mo*frac_diarrhea_severe</f>
        <v>4.2214545454545442E-2</v>
      </c>
      <c r="E7" s="60">
        <f>diarrhoea_6_11mo*frac_diarrhea_severe</f>
        <v>0.11109090909090907</v>
      </c>
      <c r="F7" s="60">
        <f>diarrhoea_12_23mo*frac_diarrhea_severe</f>
        <v>0.12331090909090907</v>
      </c>
      <c r="G7" s="60">
        <f>diarrhoea_24_59mo*frac_diarrhea_severe</f>
        <v>6.4247575757575739E-2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4.2214545454545442E-2</v>
      </c>
      <c r="D12" s="60">
        <f>diarrhoea_1_5mo*frac_diarrhea_severe</f>
        <v>4.2214545454545442E-2</v>
      </c>
      <c r="E12" s="60">
        <f>diarrhoea_6_11mo*frac_diarrhea_severe</f>
        <v>0.11109090909090907</v>
      </c>
      <c r="F12" s="60">
        <f>diarrhoea_12_23mo*frac_diarrhea_severe</f>
        <v>0.12331090909090907</v>
      </c>
      <c r="G12" s="60">
        <f>diarrhoea_24_59mo*frac_diarrhea_severe</f>
        <v>6.4247575757575739E-2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</v>
      </c>
      <c r="I15" s="60">
        <f t="shared" si="0"/>
        <v>0.38</v>
      </c>
      <c r="J15" s="60">
        <f t="shared" si="0"/>
        <v>0.38</v>
      </c>
      <c r="K15" s="60">
        <f t="shared" si="0"/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</v>
      </c>
      <c r="I16" s="60">
        <f t="shared" si="0"/>
        <v>0.38</v>
      </c>
      <c r="J16" s="60">
        <f t="shared" si="0"/>
        <v>0.38</v>
      </c>
      <c r="K16" s="60">
        <f t="shared" si="0"/>
        <v>0.38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0.40350170476000002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0.17292930204000001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0.1317151932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0.2918538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0.3362</v>
      </c>
      <c r="D34" s="60">
        <f t="shared" si="4"/>
        <v>0.3362</v>
      </c>
      <c r="E34" s="60">
        <f t="shared" si="4"/>
        <v>0.3362</v>
      </c>
      <c r="F34" s="60">
        <f t="shared" si="4"/>
        <v>0.3362</v>
      </c>
      <c r="G34" s="60">
        <f t="shared" si="4"/>
        <v>0.3362</v>
      </c>
      <c r="H34" s="60">
        <f t="shared" si="4"/>
        <v>0.3362</v>
      </c>
      <c r="I34" s="60">
        <f t="shared" si="4"/>
        <v>0.3362</v>
      </c>
      <c r="J34" s="60">
        <f t="shared" si="4"/>
        <v>0.3362</v>
      </c>
      <c r="K34" s="60">
        <f t="shared" si="4"/>
        <v>0.3362</v>
      </c>
      <c r="L34" s="60">
        <f t="shared" si="4"/>
        <v>0.3362</v>
      </c>
      <c r="M34" s="60">
        <f t="shared" si="4"/>
        <v>0.3362</v>
      </c>
      <c r="N34" s="60">
        <f t="shared" si="4"/>
        <v>0.3362</v>
      </c>
      <c r="O34" s="60">
        <f t="shared" si="4"/>
        <v>0.3362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0j9vnxUr8PQbAEDmaJdu8ZiOSxbJ2VLY6s0Y+9+2RxX7Qif5uMG4ErARn/TQCrfoDMAYMCLfRcXSaBMDQiIFw==" saltValue="btzIe6DsKURvLQr4pO3/A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j+W+4hYR0NDP05binRcgB/Ve1xoI6LNhUlfatno22zqYytd5tOY5w03lqVZzBg/l8tfhqHn+g19U/hCy42kaFw==" saltValue="lnYsWnx5VRDr+YM9HPAY+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zL8IDum2C63ppS3Y2FBxHAlFDvNjBzcr+a2E2OY2QvdXiFedTH7/x8+8PbDrkSUQ9sjXsNhGnmpKnetzmeWxA==" saltValue="sLjfdtqiWjsM7Q9WP6oic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PwEYBPFGILZFCkC/0AYeCwM4z8GPcflvUcKcHPqJd/P6sctP3rxugahxp2FOLU2ellS9ovsQcdlWe+BWcScSA==" saltValue="q3YAUn4bdiq/b4/Y8lZqe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jUPlNtIHxaKrPgtXVEiiAZhH8EejU9KyWI1lRX/n6H8neTImSW4mZy+NWJa+N/FX1PH8ZADzx5vGOsSTf1T6Wg==" saltValue="Ft7EiF/hlx+/nCqT6Ya4b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SdGSTIFtZMyOXEHmb2raRiD2E9n5DSzT91koQSkDVTF32Tu1LbvdOIaiNDXKeTGUyfmYUW+ZQWAu0lwGeMNmuQ==" saltValue="r/XdyRxEWjQUpAFEGWjI3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gVj++G6gdBVR1IjBZdKcsVMu7UBu+BPFquJL/J1aUd7bDzvFCIC0ysdjZP/e4MFyrF98VTn5RLNXFITzkdZFwQ==" saltValue="ndFHZOA03cB6iYOysSuTv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E6VMzcyVTJg5bkxLG+y9JYnFEpzyksUvgJigN6sSrzL0RhZw1oC96FrGmw/+yPAl03Y4AqH0bpKK8K0gfVUhQ==" saltValue="XRnGnQ3KKr0vW+XAt7Wt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5F5rypPOjYfElXPuNSxLaEE/1lVeKI3yI8mBi32QHx/9cMknsd+/r4mVdPmvCqZp47SOQHBU73XcB8G8zso8NQ==" saltValue="6wjWZGH0aVKwOX4iqGgN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688fBySoYgY5lB6KHZUU/ise5nLMCSozMH64jJeGq111agTaT2xM2/v9PZz3/KIut1zp+hjC5KBSUegU2jsLQ==" saltValue="v3+BsecanPdykLYGB8bq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N6mrA7xQ7DKhoGpVOhdAwsi1qcSnDdQ6pOdwf6waQygfRFaIY1POzYhaH5PGJC9tCA+0GDQxK4TmXKQXF4Nrg==" saltValue="ACyILorQ3QkZZvnrzScZ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uiiletVKtrvfOHrypZrFJEQ77DDORoxn2QKUGXuWxbnYJejwROV9+6JFxtwbZVKA/Z+GUppbAlFOqk/e6TJCg==" saltValue="eNTGh6xnzJSmztueUSao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HWxRn1qc3WhPh8nrhAJB78DBHEQh5hmuJoEuLkbzLZxHwdNPROS7s+0lUdZNcPtSWznalTE1r21JGnF3pumGQ==" saltValue="eOQejv7Y2jw2pieX3NlX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4EFzqdvtQDMfdhf2If0uHmmFIA+BBEg1NBgtfgXQq8NwPcReZzT6oIUI01Su5gyfNNG9fWNAlbsgFtFHWo9Wfg==" saltValue="0FoMjhqb7cQV1GlPOyDa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AQ1/lD61Xc96l/XZzw1nyo/t7Jz3e9MTMLMZLIzXbw/YZ5WbugKORadbV7TstyXE7djcUZXcUviYs1/g2OzRA==" saltValue="2qYcWhT7pbPJwzGhkRlFQ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2025-07-30T03:14:50Z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