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4CBED913-950E-4B75-B183-88C208CADAF1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A39" i="2"/>
  <c r="H38" i="2"/>
  <c r="G38" i="2"/>
  <c r="I38" i="2" s="1"/>
  <c r="A29" i="2"/>
  <c r="A26" i="2"/>
  <c r="H13" i="2"/>
  <c r="I13" i="2" s="1"/>
  <c r="G13" i="2"/>
  <c r="H12" i="2"/>
  <c r="G12" i="2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I3" i="2"/>
  <c r="H3" i="2"/>
  <c r="G3" i="2"/>
  <c r="H2" i="2"/>
  <c r="G2" i="2"/>
  <c r="I2" i="2" s="1"/>
  <c r="A2" i="2"/>
  <c r="A40" i="2" s="1"/>
  <c r="C33" i="1"/>
  <c r="C20" i="1"/>
  <c r="A31" i="2" l="1"/>
  <c r="A18" i="2"/>
  <c r="A3" i="2"/>
  <c r="I12" i="2"/>
  <c r="A21" i="2"/>
  <c r="A37" i="2"/>
  <c r="A16" i="2"/>
  <c r="A32" i="2"/>
  <c r="A34" i="2"/>
  <c r="A23" i="2"/>
  <c r="A15" i="2"/>
  <c r="A24" i="2"/>
  <c r="A17" i="2"/>
  <c r="A25" i="2"/>
  <c r="A33" i="2"/>
  <c r="A19" i="2"/>
  <c r="A27" i="2"/>
  <c r="A35" i="2"/>
  <c r="A20" i="2"/>
  <c r="A28" i="2"/>
  <c r="A36" i="2"/>
  <c r="A4" i="2"/>
  <c r="A5" i="2" s="1"/>
  <c r="A6" i="2"/>
  <c r="A7" i="2" s="1"/>
  <c r="A8" i="2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<sst xmlns="http://schemas.openxmlformats.org/spreadsheetml/2006/main" count="2101" uniqueCount="337">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</sst>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1221123.140625</v>
      </c>
    </row>
    <row r="8" spans="1:3" ht="15" customHeight="1" x14ac:dyDescent="0.25">
      <c r="B8" s="5" t="s">
        <v>19</v>
      </c>
      <c r="C8" s="44">
        <v>0.38</v>
      </c>
    </row>
    <row r="9" spans="1:3" ht="15" customHeight="1" x14ac:dyDescent="0.25">
      <c r="B9" s="5" t="s">
        <v>20</v>
      </c>
      <c r="C9" s="45">
        <v>0.3362</v>
      </c>
    </row>
    <row r="10" spans="1:3" ht="15" customHeight="1" x14ac:dyDescent="0.25">
      <c r="B10" s="5" t="s">
        <v>21</v>
      </c>
      <c r="C10" s="45">
        <v>0.299615001678467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0.59399999999999997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8.43E-2</v>
      </c>
    </row>
    <row r="24" spans="1:3" ht="15" customHeight="1" x14ac:dyDescent="0.25">
      <c r="B24" s="15" t="s">
        <v>33</v>
      </c>
      <c r="C24" s="45">
        <v>0.46639999999999998</v>
      </c>
    </row>
    <row r="25" spans="1:3" ht="15" customHeight="1" x14ac:dyDescent="0.25">
      <c r="B25" s="15" t="s">
        <v>34</v>
      </c>
      <c r="C25" s="45">
        <v>0.34599999999999992</v>
      </c>
    </row>
    <row r="26" spans="1:3" ht="15" customHeight="1" x14ac:dyDescent="0.25">
      <c r="B26" s="15" t="s">
        <v>35</v>
      </c>
      <c r="C26" s="45">
        <v>0.1033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0.24817471964062299</v>
      </c>
    </row>
    <row r="30" spans="1:3" ht="14.25" customHeight="1" x14ac:dyDescent="0.25">
      <c r="B30" s="25" t="s">
        <v>38</v>
      </c>
      <c r="C30" s="99">
        <v>6.3573506524813E-2</v>
      </c>
    </row>
    <row r="31" spans="1:3" ht="14.25" customHeight="1" x14ac:dyDescent="0.25">
      <c r="B31" s="25" t="s">
        <v>39</v>
      </c>
      <c r="C31" s="99">
        <v>0.116568636609094</v>
      </c>
    </row>
    <row r="32" spans="1:3" ht="14.25" customHeight="1" x14ac:dyDescent="0.25">
      <c r="B32" s="25" t="s">
        <v>40</v>
      </c>
      <c r="C32" s="99">
        <v>0.57168313722546993</v>
      </c>
    </row>
    <row r="33" spans="1:5" ht="13" customHeight="1" x14ac:dyDescent="0.25">
      <c r="B33" s="27" t="s">
        <v>41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21.217020000000002</v>
      </c>
    </row>
    <row r="38" spans="1:5" ht="15" customHeight="1" x14ac:dyDescent="0.25">
      <c r="B38" s="11" t="s">
        <v>45</v>
      </c>
      <c r="C38" s="43">
        <v>34.436309999999999</v>
      </c>
      <c r="D38" s="12"/>
      <c r="E38" s="13"/>
    </row>
    <row r="39" spans="1:5" ht="15" customHeight="1" x14ac:dyDescent="0.25">
      <c r="B39" s="11" t="s">
        <v>46</v>
      </c>
      <c r="C39" s="43">
        <v>42.811900000000001</v>
      </c>
      <c r="D39" s="12"/>
      <c r="E39" s="12"/>
    </row>
    <row r="40" spans="1:5" ht="15" customHeight="1" x14ac:dyDescent="0.25">
      <c r="B40" s="11" t="s">
        <v>47</v>
      </c>
      <c r="C40" s="100">
        <v>1.92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14.79931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7.7334000000000014E-3</v>
      </c>
      <c r="D45" s="12"/>
    </row>
    <row r="46" spans="1:5" ht="15.75" customHeight="1" x14ac:dyDescent="0.25">
      <c r="B46" s="11" t="s">
        <v>52</v>
      </c>
      <c r="C46" s="45">
        <v>8.2766599999999996E-2</v>
      </c>
      <c r="D46" s="12"/>
    </row>
    <row r="47" spans="1:5" ht="15.75" customHeight="1" x14ac:dyDescent="0.25">
      <c r="B47" s="11" t="s">
        <v>53</v>
      </c>
      <c r="C47" s="45">
        <v>0.1917741</v>
      </c>
      <c r="D47" s="12"/>
      <c r="E47" s="13"/>
    </row>
    <row r="48" spans="1:5" ht="15" customHeight="1" x14ac:dyDescent="0.25">
      <c r="B48" s="11" t="s">
        <v>54</v>
      </c>
      <c r="C48" s="46">
        <v>0.71772589999999992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2.2000000000000002</v>
      </c>
      <c r="D51" s="12"/>
    </row>
    <row r="52" spans="1:4" ht="15" customHeight="1" x14ac:dyDescent="0.25">
      <c r="B52" s="11" t="s">
        <v>57</v>
      </c>
      <c r="C52" s="100">
        <v>2.2000000000000002</v>
      </c>
    </row>
    <row r="53" spans="1:4" ht="15.75" customHeight="1" x14ac:dyDescent="0.25">
      <c r="B53" s="11" t="s">
        <v>58</v>
      </c>
      <c r="C53" s="100">
        <v>2.2000000000000002</v>
      </c>
    </row>
    <row r="54" spans="1:4" ht="15.75" customHeight="1" x14ac:dyDescent="0.25">
      <c r="B54" s="11" t="s">
        <v>59</v>
      </c>
      <c r="C54" s="100">
        <v>2.2000000000000002</v>
      </c>
    </row>
    <row r="55" spans="1:4" ht="15.75" customHeight="1" x14ac:dyDescent="0.25">
      <c r="B55" s="11" t="s">
        <v>60</v>
      </c>
      <c r="C55" s="100">
        <v>2.2000000000000002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2.1363636363636359E-2</v>
      </c>
    </row>
    <row r="59" spans="1:4" ht="15.75" customHeight="1" x14ac:dyDescent="0.25">
      <c r="B59" s="11" t="s">
        <v>63</v>
      </c>
      <c r="C59" s="45">
        <v>0.51547399999999999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XV74XnKAgECxwQMJbc0wpYIqnofhkFf0CXt0Iccurx3N3TovbpSX+HIjpnj7jkwJXoS42sX8foQr76Il0CwIJA==" saltValue="gadvDNJ0A1MmiCvzK25l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254548</v>
      </c>
      <c r="C2" s="49">
        <v>606405.5</v>
      </c>
      <c r="D2" s="49">
        <v>893904</v>
      </c>
      <c r="E2" s="49">
        <v>758580.5</v>
      </c>
      <c r="F2" s="49">
        <v>501054</v>
      </c>
      <c r="G2" s="17">
        <f t="shared" ref="G2:G13" si="0">C2+D2+E2+F2</f>
        <v>2759944</v>
      </c>
      <c r="H2" s="17">
        <f t="shared" ref="H2:H13" si="1">(B2 + stillbirth*B2/(1000-stillbirth))/(1-abortion)</f>
        <v>293604.23094008479</v>
      </c>
      <c r="I2" s="17">
        <f t="shared" ref="I2:I13" si="2">G2-H2</f>
        <v>2466339.7690599151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255773</v>
      </c>
      <c r="C3" s="50">
        <v>614840.5</v>
      </c>
      <c r="D3" s="50">
        <v>906991.49999999988</v>
      </c>
      <c r="E3" s="50">
        <v>771691</v>
      </c>
      <c r="F3" s="50">
        <v>516396.5</v>
      </c>
      <c r="G3" s="17">
        <f t="shared" si="0"/>
        <v>2809919.5</v>
      </c>
      <c r="H3" s="17">
        <f t="shared" si="1"/>
        <v>295017.18717192166</v>
      </c>
      <c r="I3" s="17">
        <f t="shared" si="2"/>
        <v>2514902.3128280784</v>
      </c>
    </row>
    <row r="4" spans="1:9" ht="15.75" customHeight="1" x14ac:dyDescent="0.25">
      <c r="A4" s="5">
        <f t="shared" si="3"/>
        <v>2026</v>
      </c>
      <c r="B4" s="49">
        <v>256874</v>
      </c>
      <c r="C4" s="50">
        <v>623404.5</v>
      </c>
      <c r="D4" s="50">
        <v>920386</v>
      </c>
      <c r="E4" s="50">
        <v>783793</v>
      </c>
      <c r="F4" s="50">
        <v>532165.5</v>
      </c>
      <c r="G4" s="17">
        <f t="shared" si="0"/>
        <v>2859749</v>
      </c>
      <c r="H4" s="17">
        <f t="shared" si="1"/>
        <v>296287.11763008684</v>
      </c>
      <c r="I4" s="17">
        <f t="shared" si="2"/>
        <v>2563461.8823699132</v>
      </c>
    </row>
    <row r="5" spans="1:9" ht="15.75" customHeight="1" x14ac:dyDescent="0.25">
      <c r="A5" s="5">
        <f t="shared" si="3"/>
        <v>2027</v>
      </c>
      <c r="B5" s="49">
        <v>256625</v>
      </c>
      <c r="C5" s="50">
        <v>632039.50000000012</v>
      </c>
      <c r="D5" s="50">
        <v>933785.5</v>
      </c>
      <c r="E5" s="50">
        <v>795279</v>
      </c>
      <c r="F5" s="50">
        <v>548266</v>
      </c>
      <c r="G5" s="17">
        <f t="shared" si="0"/>
        <v>2909370</v>
      </c>
      <c r="H5" s="17">
        <f t="shared" si="1"/>
        <v>295999.91264908493</v>
      </c>
      <c r="I5" s="17">
        <f t="shared" si="2"/>
        <v>2613370.0873509152</v>
      </c>
    </row>
    <row r="6" spans="1:9" ht="15.75" customHeight="1" x14ac:dyDescent="0.25">
      <c r="A6" s="5">
        <f t="shared" si="3"/>
        <v>2028</v>
      </c>
      <c r="B6" s="49">
        <v>257725</v>
      </c>
      <c r="C6" s="50">
        <v>640597</v>
      </c>
      <c r="D6" s="50">
        <v>947257.5</v>
      </c>
      <c r="E6" s="50">
        <v>806374.5</v>
      </c>
      <c r="F6" s="50">
        <v>564623.5</v>
      </c>
      <c r="G6" s="17">
        <f t="shared" si="0"/>
        <v>2958852.5</v>
      </c>
      <c r="H6" s="17">
        <f t="shared" si="1"/>
        <v>297268.68967359146</v>
      </c>
      <c r="I6" s="17">
        <f t="shared" si="2"/>
        <v>2661583.8103264086</v>
      </c>
    </row>
    <row r="7" spans="1:9" ht="15.75" customHeight="1" x14ac:dyDescent="0.25">
      <c r="A7" s="5">
        <f t="shared" si="3"/>
        <v>2029</v>
      </c>
      <c r="B7" s="49">
        <v>258618</v>
      </c>
      <c r="C7" s="50">
        <v>648845</v>
      </c>
      <c r="D7" s="50">
        <v>960698.5</v>
      </c>
      <c r="E7" s="50">
        <v>817412.5</v>
      </c>
      <c r="F7" s="50">
        <v>581163</v>
      </c>
      <c r="G7" s="17">
        <f t="shared" si="0"/>
        <v>3008119</v>
      </c>
      <c r="H7" s="17">
        <f t="shared" si="1"/>
        <v>298298.70593075902</v>
      </c>
      <c r="I7" s="17">
        <f t="shared" si="2"/>
        <v>2709820.2940692408</v>
      </c>
    </row>
    <row r="8" spans="1:9" ht="15.75" customHeight="1" x14ac:dyDescent="0.25">
      <c r="A8" s="5">
        <f t="shared" si="3"/>
        <v>2030</v>
      </c>
      <c r="B8" s="49">
        <v>259488</v>
      </c>
      <c r="C8" s="50">
        <v>656501.5</v>
      </c>
      <c r="D8" s="50">
        <v>974278.5</v>
      </c>
      <c r="E8" s="50">
        <v>828706</v>
      </c>
      <c r="F8" s="50">
        <v>597669.5</v>
      </c>
      <c r="G8" s="17">
        <f t="shared" si="0"/>
        <v>3057155.5</v>
      </c>
      <c r="H8" s="17">
        <f t="shared" si="1"/>
        <v>299302.19321377791</v>
      </c>
      <c r="I8" s="17">
        <f t="shared" si="2"/>
        <v>2757853.3067862219</v>
      </c>
    </row>
    <row r="9" spans="1:9" ht="15.75" customHeight="1" x14ac:dyDescent="0.25">
      <c r="A9" s="5">
        <f t="shared" si="3"/>
        <v>2031</v>
      </c>
      <c r="B9" s="49">
        <v>261151</v>
      </c>
      <c r="C9" s="50">
        <v>663375</v>
      </c>
      <c r="D9" s="50">
        <v>988172</v>
      </c>
      <c r="E9" s="50">
        <v>840508</v>
      </c>
      <c r="F9" s="50">
        <v>613686.5</v>
      </c>
      <c r="G9" s="17">
        <f t="shared" si="0"/>
        <v>3105741.5</v>
      </c>
      <c r="H9" s="17">
        <f t="shared" si="1"/>
        <v>301220.35338810005</v>
      </c>
      <c r="I9" s="17">
        <f t="shared" si="2"/>
        <v>2804521.1466119001</v>
      </c>
    </row>
    <row r="10" spans="1:9" ht="15.75" customHeight="1" x14ac:dyDescent="0.25">
      <c r="A10" s="5">
        <f t="shared" si="3"/>
        <v>2032</v>
      </c>
      <c r="B10" s="49">
        <v>262362</v>
      </c>
      <c r="C10" s="50">
        <v>669828.5</v>
      </c>
      <c r="D10" s="50">
        <v>1001971.5</v>
      </c>
      <c r="E10" s="50">
        <v>852871.5</v>
      </c>
      <c r="F10" s="50">
        <v>628764</v>
      </c>
      <c r="G10" s="17">
        <f t="shared" si="0"/>
        <v>3153435.5</v>
      </c>
      <c r="H10" s="17">
        <f t="shared" si="1"/>
        <v>302617.1615487159</v>
      </c>
      <c r="I10" s="17">
        <f t="shared" si="2"/>
        <v>2850818.338451284</v>
      </c>
    </row>
    <row r="11" spans="1:9" ht="15.75" customHeight="1" x14ac:dyDescent="0.25">
      <c r="A11" s="5">
        <f t="shared" si="3"/>
        <v>2033</v>
      </c>
      <c r="B11" s="49">
        <v>262524</v>
      </c>
      <c r="C11" s="50">
        <v>675892.5</v>
      </c>
      <c r="D11" s="50">
        <v>1015542.5</v>
      </c>
      <c r="E11" s="50">
        <v>865563.5</v>
      </c>
      <c r="F11" s="50">
        <v>642754.5</v>
      </c>
      <c r="G11" s="17">
        <f t="shared" si="0"/>
        <v>3199753</v>
      </c>
      <c r="H11" s="17">
        <f t="shared" si="1"/>
        <v>302804.01780141593</v>
      </c>
      <c r="I11" s="17">
        <f t="shared" si="2"/>
        <v>2896948.9821985839</v>
      </c>
    </row>
    <row r="12" spans="1:9" ht="15.75" customHeight="1" x14ac:dyDescent="0.25">
      <c r="A12" s="5">
        <f t="shared" si="3"/>
        <v>2034</v>
      </c>
      <c r="B12" s="49">
        <v>262913</v>
      </c>
      <c r="C12" s="50">
        <v>681469.99999999988</v>
      </c>
      <c r="D12" s="50">
        <v>1029171</v>
      </c>
      <c r="E12" s="50">
        <v>878405.5</v>
      </c>
      <c r="F12" s="50">
        <v>655852.5</v>
      </c>
      <c r="G12" s="17">
        <f t="shared" si="0"/>
        <v>3244899</v>
      </c>
      <c r="H12" s="17">
        <f t="shared" si="1"/>
        <v>303252.70349462779</v>
      </c>
      <c r="I12" s="17">
        <f t="shared" si="2"/>
        <v>2941646.296505372</v>
      </c>
    </row>
    <row r="13" spans="1:9" ht="15.75" customHeight="1" x14ac:dyDescent="0.25">
      <c r="A13" s="5">
        <f t="shared" si="3"/>
        <v>2035</v>
      </c>
      <c r="B13" s="49">
        <v>263683</v>
      </c>
      <c r="C13" s="50">
        <v>686556.5</v>
      </c>
      <c r="D13" s="50">
        <v>1042756.5</v>
      </c>
      <c r="E13" s="50">
        <v>891574.5</v>
      </c>
      <c r="F13" s="50">
        <v>668049.00000000012</v>
      </c>
      <c r="G13" s="17">
        <f t="shared" si="0"/>
        <v>3288936.5</v>
      </c>
      <c r="H13" s="17">
        <f t="shared" si="1"/>
        <v>304140.84741178236</v>
      </c>
      <c r="I13" s="17">
        <f t="shared" si="2"/>
        <v>2984795.6525882175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L25jBGx1wzb0Fo7qz7SV+qv5LAfDnZy32XJ6lGcQwE1pukys3dHgr3muOvhqlMz0eRx2icN/0VIyTGAnlGHS5Q==" saltValue="yWpmH8mHqv6EQE7VFXrDy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1.273287936014751E-2</v>
      </c>
    </row>
    <row r="4" spans="1:8" ht="15.75" customHeight="1" x14ac:dyDescent="0.25">
      <c r="B4" s="19" t="s">
        <v>79</v>
      </c>
      <c r="C4" s="101">
        <v>5.1037667288558748E-2</v>
      </c>
    </row>
    <row r="5" spans="1:8" ht="15.75" customHeight="1" x14ac:dyDescent="0.25">
      <c r="B5" s="19" t="s">
        <v>80</v>
      </c>
      <c r="C5" s="101">
        <v>7.8308673753194405E-2</v>
      </c>
    </row>
    <row r="6" spans="1:8" ht="15.75" customHeight="1" x14ac:dyDescent="0.25">
      <c r="B6" s="19" t="s">
        <v>81</v>
      </c>
      <c r="C6" s="101">
        <v>0.2326897711165167</v>
      </c>
    </row>
    <row r="7" spans="1:8" ht="15.75" customHeight="1" x14ac:dyDescent="0.25">
      <c r="B7" s="19" t="s">
        <v>82</v>
      </c>
      <c r="C7" s="101">
        <v>0.4111986989090074</v>
      </c>
    </row>
    <row r="8" spans="1:8" ht="15.75" customHeight="1" x14ac:dyDescent="0.25">
      <c r="B8" s="19" t="s">
        <v>83</v>
      </c>
      <c r="C8" s="101">
        <v>4.2850122417487308E-3</v>
      </c>
    </row>
    <row r="9" spans="1:8" ht="15.75" customHeight="1" x14ac:dyDescent="0.25">
      <c r="B9" s="19" t="s">
        <v>84</v>
      </c>
      <c r="C9" s="101">
        <v>8.8446834633543872E-2</v>
      </c>
    </row>
    <row r="10" spans="1:8" ht="15.75" customHeight="1" x14ac:dyDescent="0.25">
      <c r="B10" s="19" t="s">
        <v>85</v>
      </c>
      <c r="C10" s="101">
        <v>0.1213004626972827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0.16051895255116991</v>
      </c>
      <c r="D14" s="55">
        <v>0.16051895255116991</v>
      </c>
      <c r="E14" s="55">
        <v>0.16051895255116991</v>
      </c>
      <c r="F14" s="55">
        <v>0.16051895255116991</v>
      </c>
    </row>
    <row r="15" spans="1:8" ht="15.75" customHeight="1" x14ac:dyDescent="0.25">
      <c r="B15" s="19" t="s">
        <v>88</v>
      </c>
      <c r="C15" s="101">
        <v>0.12616701678312611</v>
      </c>
      <c r="D15" s="101">
        <v>0.12616701678312611</v>
      </c>
      <c r="E15" s="101">
        <v>0.12616701678312611</v>
      </c>
      <c r="F15" s="101">
        <v>0.12616701678312611</v>
      </c>
    </row>
    <row r="16" spans="1:8" ht="15.75" customHeight="1" x14ac:dyDescent="0.25">
      <c r="B16" s="19" t="s">
        <v>89</v>
      </c>
      <c r="C16" s="101">
        <v>3.0911997294886868E-2</v>
      </c>
      <c r="D16" s="101">
        <v>3.0911997294886868E-2</v>
      </c>
      <c r="E16" s="101">
        <v>3.0911997294886868E-2</v>
      </c>
      <c r="F16" s="101">
        <v>3.0911997294886868E-2</v>
      </c>
    </row>
    <row r="17" spans="1:8" ht="15.75" customHeight="1" x14ac:dyDescent="0.25">
      <c r="B17" s="19" t="s">
        <v>90</v>
      </c>
      <c r="C17" s="101">
        <v>4.3466035154231718E-2</v>
      </c>
      <c r="D17" s="101">
        <v>4.3466035154231718E-2</v>
      </c>
      <c r="E17" s="101">
        <v>4.3466035154231718E-2</v>
      </c>
      <c r="F17" s="101">
        <v>4.3466035154231718E-2</v>
      </c>
    </row>
    <row r="18" spans="1:8" ht="15.75" customHeight="1" x14ac:dyDescent="0.25">
      <c r="B18" s="19" t="s">
        <v>91</v>
      </c>
      <c r="C18" s="101">
        <v>0.26117847581464998</v>
      </c>
      <c r="D18" s="101">
        <v>0.26117847581464998</v>
      </c>
      <c r="E18" s="101">
        <v>0.26117847581464998</v>
      </c>
      <c r="F18" s="101">
        <v>0.26117847581464998</v>
      </c>
    </row>
    <row r="19" spans="1:8" ht="15.75" customHeight="1" x14ac:dyDescent="0.25">
      <c r="B19" s="19" t="s">
        <v>92</v>
      </c>
      <c r="C19" s="101">
        <v>5.8093570443193618E-2</v>
      </c>
      <c r="D19" s="101">
        <v>5.8093570443193618E-2</v>
      </c>
      <c r="E19" s="101">
        <v>5.8093570443193618E-2</v>
      </c>
      <c r="F19" s="101">
        <v>5.8093570443193618E-2</v>
      </c>
    </row>
    <row r="20" spans="1:8" ht="15.75" customHeight="1" x14ac:dyDescent="0.25">
      <c r="B20" s="19" t="s">
        <v>93</v>
      </c>
      <c r="C20" s="101">
        <v>5.1926603688117058E-2</v>
      </c>
      <c r="D20" s="101">
        <v>5.1926603688117058E-2</v>
      </c>
      <c r="E20" s="101">
        <v>5.1926603688117058E-2</v>
      </c>
      <c r="F20" s="101">
        <v>5.1926603688117058E-2</v>
      </c>
    </row>
    <row r="21" spans="1:8" ht="15.75" customHeight="1" x14ac:dyDescent="0.25">
      <c r="B21" s="19" t="s">
        <v>94</v>
      </c>
      <c r="C21" s="101">
        <v>6.7984117540053082E-2</v>
      </c>
      <c r="D21" s="101">
        <v>6.7984117540053082E-2</v>
      </c>
      <c r="E21" s="101">
        <v>6.7984117540053082E-2</v>
      </c>
      <c r="F21" s="101">
        <v>6.7984117540053082E-2</v>
      </c>
    </row>
    <row r="22" spans="1:8" ht="15.75" customHeight="1" x14ac:dyDescent="0.25">
      <c r="B22" s="19" t="s">
        <v>95</v>
      </c>
      <c r="C22" s="101">
        <v>0.1997532307305715</v>
      </c>
      <c r="D22" s="101">
        <v>0.1997532307305715</v>
      </c>
      <c r="E22" s="101">
        <v>0.1997532307305715</v>
      </c>
      <c r="F22" s="101">
        <v>0.1997532307305715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4.7892169999999998E-2</v>
      </c>
    </row>
    <row r="27" spans="1:8" ht="15.75" customHeight="1" x14ac:dyDescent="0.25">
      <c r="B27" s="19" t="s">
        <v>102</v>
      </c>
      <c r="C27" s="101">
        <v>1.8253354999999999E-2</v>
      </c>
    </row>
    <row r="28" spans="1:8" ht="15.75" customHeight="1" x14ac:dyDescent="0.25">
      <c r="B28" s="19" t="s">
        <v>103</v>
      </c>
      <c r="C28" s="101">
        <v>0.22970390299999999</v>
      </c>
    </row>
    <row r="29" spans="1:8" ht="15.75" customHeight="1" x14ac:dyDescent="0.25">
      <c r="B29" s="19" t="s">
        <v>104</v>
      </c>
      <c r="C29" s="101">
        <v>0.13801279299999999</v>
      </c>
    </row>
    <row r="30" spans="1:8" ht="15.75" customHeight="1" x14ac:dyDescent="0.25">
      <c r="B30" s="19" t="s">
        <v>2</v>
      </c>
      <c r="C30" s="101">
        <v>4.9951097000000007E-2</v>
      </c>
    </row>
    <row r="31" spans="1:8" ht="15.75" customHeight="1" x14ac:dyDescent="0.25">
      <c r="B31" s="19" t="s">
        <v>105</v>
      </c>
      <c r="C31" s="101">
        <v>7.037699800000001E-2</v>
      </c>
    </row>
    <row r="32" spans="1:8" ht="15.75" customHeight="1" x14ac:dyDescent="0.25">
      <c r="B32" s="19" t="s">
        <v>106</v>
      </c>
      <c r="C32" s="101">
        <v>0.14732740899999999</v>
      </c>
    </row>
    <row r="33" spans="2:3" ht="15.75" customHeight="1" x14ac:dyDescent="0.25">
      <c r="B33" s="19" t="s">
        <v>107</v>
      </c>
      <c r="C33" s="101">
        <v>0.124050595</v>
      </c>
    </row>
    <row r="34" spans="2:3" ht="15.75" customHeight="1" x14ac:dyDescent="0.25">
      <c r="B34" s="19" t="s">
        <v>108</v>
      </c>
      <c r="C34" s="101">
        <v>0.17443167800000001</v>
      </c>
    </row>
    <row r="35" spans="2:3" ht="15.75" customHeight="1" x14ac:dyDescent="0.25">
      <c r="B35" s="27" t="s">
        <v>41</v>
      </c>
      <c r="C35" s="48">
        <f>SUM(C26:C34)</f>
        <v>0.99999999799999995</v>
      </c>
    </row>
  </sheetData>
  <sheetProtection algorithmName="SHA-512" hashValue="6I3GpWiltHdGcx5/nftcd/U2Fe2QzGTYxqfYpRCpmf6mqS8YfM7qUAO+Uj9LSEij26mwDuqbPQVKxbbGWcn77g==" saltValue="JIouH5eGfnT8q74rDHgvm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0.38425163564133302</v>
      </c>
      <c r="D2" s="52">
        <f>IFERROR(1-_xlfn.NORM.DIST(_xlfn.NORM.INV(SUM(D4:D5), 0, 1) + 1, 0, 1, TRUE), "")</f>
        <v>0.38425163564133302</v>
      </c>
      <c r="E2" s="52">
        <f>IFERROR(1-_xlfn.NORM.DIST(_xlfn.NORM.INV(SUM(E4:E5), 0, 1) + 1, 0, 1, TRUE), "")</f>
        <v>0.33554118134693767</v>
      </c>
      <c r="F2" s="52">
        <f>IFERROR(1-_xlfn.NORM.DIST(_xlfn.NORM.INV(SUM(F4:F5), 0, 1) + 1, 0, 1, TRUE), "")</f>
        <v>0.18455982337931354</v>
      </c>
      <c r="G2" s="52">
        <f>IFERROR(1-_xlfn.NORM.DIST(_xlfn.NORM.INV(SUM(G4:G5), 0, 1) + 1, 0, 1, TRUE), "")</f>
        <v>0.17927536933085952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0.37555066435866702</v>
      </c>
      <c r="D3" s="52">
        <f>IFERROR(_xlfn.NORM.DIST(_xlfn.NORM.INV(SUM(D4:D5), 0, 1) + 1, 0, 1, TRUE) - SUM(D4:D5), "")</f>
        <v>0.37555066435866702</v>
      </c>
      <c r="E3" s="52">
        <f>IFERROR(_xlfn.NORM.DIST(_xlfn.NORM.INV(SUM(E4:E5), 0, 1) + 1, 0, 1, TRUE) - SUM(E4:E5), "")</f>
        <v>0.38192711865306234</v>
      </c>
      <c r="F3" s="52">
        <f>IFERROR(_xlfn.NORM.DIST(_xlfn.NORM.INV(SUM(F4:F5), 0, 1) + 1, 0, 1, TRUE) - SUM(F4:F5), "")</f>
        <v>0.35601277662068648</v>
      </c>
      <c r="G3" s="52">
        <f>IFERROR(_xlfn.NORM.DIST(_xlfn.NORM.INV(SUM(G4:G5), 0, 1) + 1, 0, 1, TRUE) - SUM(G4:G5), "")</f>
        <v>0.35334953066914043</v>
      </c>
    </row>
    <row r="4" spans="1:15" ht="15.75" customHeight="1" x14ac:dyDescent="0.25">
      <c r="B4" s="5" t="s">
        <v>114</v>
      </c>
      <c r="C4" s="45">
        <v>0.1081442</v>
      </c>
      <c r="D4" s="53">
        <v>0.1081442</v>
      </c>
      <c r="E4" s="53">
        <v>0.1076636</v>
      </c>
      <c r="F4" s="53">
        <v>0.2294967</v>
      </c>
      <c r="G4" s="53">
        <v>0.25755660000000002</v>
      </c>
    </row>
    <row r="5" spans="1:15" ht="15.75" customHeight="1" x14ac:dyDescent="0.25">
      <c r="B5" s="5" t="s">
        <v>115</v>
      </c>
      <c r="C5" s="45">
        <v>0.13205349999999999</v>
      </c>
      <c r="D5" s="53">
        <v>0.13205349999999999</v>
      </c>
      <c r="E5" s="53">
        <v>0.1748681</v>
      </c>
      <c r="F5" s="53">
        <v>0.22993069999999999</v>
      </c>
      <c r="G5" s="53">
        <v>0.20981849999999999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0.6237939633369638</v>
      </c>
      <c r="D8" s="52">
        <f>IFERROR(1-_xlfn.NORM.DIST(_xlfn.NORM.INV(SUM(D10:D11), 0, 1) + 1, 0, 1, TRUE), "")</f>
        <v>0.6237939633369638</v>
      </c>
      <c r="E8" s="52">
        <f>IFERROR(1-_xlfn.NORM.DIST(_xlfn.NORM.INV(SUM(E10:E11), 0, 1) + 1, 0, 1, TRUE), "")</f>
        <v>0.5260449185127567</v>
      </c>
      <c r="F8" s="52">
        <f>IFERROR(1-_xlfn.NORM.DIST(_xlfn.NORM.INV(SUM(F10:F11), 0, 1) + 1, 0, 1, TRUE), "")</f>
        <v>0.57419614178844336</v>
      </c>
      <c r="G8" s="52">
        <f>IFERROR(1-_xlfn.NORM.DIST(_xlfn.NORM.INV(SUM(G10:G11), 0, 1) + 1, 0, 1, TRUE), "")</f>
        <v>0.66895120905570526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0.28202843666303617</v>
      </c>
      <c r="D9" s="52">
        <f>IFERROR(_xlfn.NORM.DIST(_xlfn.NORM.INV(SUM(D10:D11), 0, 1) + 1, 0, 1, TRUE) - SUM(D10:D11), "")</f>
        <v>0.28202843666303617</v>
      </c>
      <c r="E9" s="52">
        <f>IFERROR(_xlfn.NORM.DIST(_xlfn.NORM.INV(SUM(E10:E11), 0, 1) + 1, 0, 1, TRUE) - SUM(E10:E11), "")</f>
        <v>0.33059208148724323</v>
      </c>
      <c r="F9" s="52">
        <f>IFERROR(_xlfn.NORM.DIST(_xlfn.NORM.INV(SUM(F10:F11), 0, 1) + 1, 0, 1, TRUE) - SUM(F10:F11), "")</f>
        <v>0.30820335821155664</v>
      </c>
      <c r="G9" s="52">
        <f>IFERROR(_xlfn.NORM.DIST(_xlfn.NORM.INV(SUM(G10:G11), 0, 1) + 1, 0, 1, TRUE) - SUM(G10:G11), "")</f>
        <v>0.25569249094429469</v>
      </c>
    </row>
    <row r="10" spans="1:15" ht="15.75" customHeight="1" x14ac:dyDescent="0.25">
      <c r="B10" s="5" t="s">
        <v>119</v>
      </c>
      <c r="C10" s="45">
        <v>7.3134499999999991E-2</v>
      </c>
      <c r="D10" s="53">
        <v>7.3134499999999991E-2</v>
      </c>
      <c r="E10" s="53">
        <v>0.100315</v>
      </c>
      <c r="F10" s="53">
        <v>6.7363999999999993E-2</v>
      </c>
      <c r="G10" s="53">
        <v>4.8152399999999998E-2</v>
      </c>
    </row>
    <row r="11" spans="1:15" ht="15.75" customHeight="1" x14ac:dyDescent="0.25">
      <c r="B11" s="5" t="s">
        <v>120</v>
      </c>
      <c r="C11" s="45">
        <v>2.1043099999999999E-2</v>
      </c>
      <c r="D11" s="53">
        <v>2.1043099999999999E-2</v>
      </c>
      <c r="E11" s="53">
        <v>4.3048000000000003E-2</v>
      </c>
      <c r="F11" s="53">
        <v>5.0236500000000003E-2</v>
      </c>
      <c r="G11" s="53">
        <v>2.72039E-2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0.77228757749999999</v>
      </c>
      <c r="D14" s="54">
        <v>0.74513917951399999</v>
      </c>
      <c r="E14" s="54">
        <v>0.74513917951399999</v>
      </c>
      <c r="F14" s="54">
        <v>0.494011782678</v>
      </c>
      <c r="G14" s="54">
        <v>0.494011782678</v>
      </c>
      <c r="H14" s="45">
        <v>0.44800000000000001</v>
      </c>
      <c r="I14" s="55">
        <v>0.44800000000000001</v>
      </c>
      <c r="J14" s="55">
        <v>0.44800000000000001</v>
      </c>
      <c r="K14" s="55">
        <v>0.44800000000000001</v>
      </c>
      <c r="L14" s="45">
        <v>0.36</v>
      </c>
      <c r="M14" s="55">
        <v>0.36</v>
      </c>
      <c r="N14" s="55">
        <v>0.36</v>
      </c>
      <c r="O14" s="55">
        <v>0.36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0.39809416672423498</v>
      </c>
      <c r="D15" s="52">
        <f t="shared" si="0"/>
        <v>0.3840998734207996</v>
      </c>
      <c r="E15" s="52">
        <f t="shared" si="0"/>
        <v>0.3840998734207996</v>
      </c>
      <c r="F15" s="52">
        <f t="shared" si="0"/>
        <v>0.25465022966415934</v>
      </c>
      <c r="G15" s="52">
        <f t="shared" si="0"/>
        <v>0.25465022966415934</v>
      </c>
      <c r="H15" s="52">
        <f t="shared" si="0"/>
        <v>0.23093235200000001</v>
      </c>
      <c r="I15" s="52">
        <f t="shared" si="0"/>
        <v>0.23093235200000001</v>
      </c>
      <c r="J15" s="52">
        <f t="shared" si="0"/>
        <v>0.23093235200000001</v>
      </c>
      <c r="K15" s="52">
        <f t="shared" si="0"/>
        <v>0.23093235200000001</v>
      </c>
      <c r="L15" s="52">
        <f t="shared" si="0"/>
        <v>0.18557063999999998</v>
      </c>
      <c r="M15" s="52">
        <f t="shared" si="0"/>
        <v>0.18557063999999998</v>
      </c>
      <c r="N15" s="52">
        <f t="shared" si="0"/>
        <v>0.18557063999999998</v>
      </c>
      <c r="O15" s="52">
        <f t="shared" si="0"/>
        <v>0.18557063999999998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XorKi7kMtf1TU7ljPVEi9SOEr8Oia8tsEA0J+9ah6w4MbUD3tNXUv3GxPCXKR/u1/D8CU/QBDOh4wiLyRd8ww==" saltValue="xblAI59kQqIYMez/hnlF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0.81596919999999995</v>
      </c>
      <c r="D2" s="53">
        <v>0.57684040000000003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3.2133600000000012E-2</v>
      </c>
      <c r="D3" s="53">
        <v>7.5453999999999993E-2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7.7461200000000008E-2</v>
      </c>
      <c r="D4" s="53">
        <v>0.2976355</v>
      </c>
      <c r="E4" s="53">
        <v>0.89500409999999997</v>
      </c>
      <c r="F4" s="53">
        <v>0.78634769999999998</v>
      </c>
      <c r="G4" s="53">
        <v>0</v>
      </c>
    </row>
    <row r="5" spans="1:7" x14ac:dyDescent="0.25">
      <c r="B5" s="3" t="s">
        <v>132</v>
      </c>
      <c r="C5" s="52">
        <v>7.4436000000000002E-2</v>
      </c>
      <c r="D5" s="52">
        <v>5.0070099999999999E-2</v>
      </c>
      <c r="E5" s="52">
        <f>1-SUM(E2:E4)</f>
        <v>0.10499590000000003</v>
      </c>
      <c r="F5" s="52">
        <f>1-SUM(F2:F4)</f>
        <v>0.21365230000000002</v>
      </c>
      <c r="G5" s="52">
        <f>1-SUM(G2:G4)</f>
        <v>1</v>
      </c>
    </row>
  </sheetData>
  <sheetProtection algorithmName="SHA-512" hashValue="8w053IVl3tu6FU7OYegUGNhYfiTV8Tb/gf0YmpfISYny230cMBD5Xms4mbQJIVvi3hUQktqdA3lVXQJ/A/hWMw==" saltValue="JvvJDEx3wEVQgrRGXdlIn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5n8vRpgbxqXFtWXLW3aX3IVLmTbZxfSaWyfhvpnLONkOOsb58voBdZ2PtDf7i9zH3IAHZSzEX393jVLIPauxeg==" saltValue="6M4u83/qML7pwMhtmPUVq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KYXZ7d4Qe50Lnh5TNYIYSvr5US7VG+naidszdDAYIGeIzr5/eC5C5q351DIzjxbL7O5M0C5fA/6ras59VlJWZg==" saltValue="AMJV7mFulAWCkdUB84f31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lkokjgnqayNZu0C28WJgWGl0VRyDjglGIkm/nA5yHeFFIAhUhFcHdUzRL/yr4UTiTiUbpE9L3zluSPokaameMw==" saltValue="dD1hyl6YxB1a+5lOTABqu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YyDAg6TV4MMfWFt1YoSO4b9wvfjDGiDWmLUaR1VgTYEXgPvN2kYizeopEW9q+S/ocQayHKmT/MT8nvIJWJZWRA==" saltValue="eNuaN1zFPrZYTOiaxssj1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70.346306973761287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17.72724931419414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3.110690637764288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0.48511197719653398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1.899427422400078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0.76169932167312793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8.0286799999999992E-2</v>
      </c>
      <c r="C10" s="98">
        <v>0.95</v>
      </c>
      <c r="D10" s="56">
        <v>14.44490005937495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14.44490005937495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14.44490005937495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14.44490005937495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8.0286799999999992E-2</v>
      </c>
      <c r="C14" s="98">
        <v>0.95</v>
      </c>
      <c r="D14" s="56">
        <v>14.44490005937495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14.44490005937495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0.4751919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0.20200000000000001</v>
      </c>
      <c r="C18" s="98">
        <v>0.95</v>
      </c>
      <c r="D18" s="56">
        <v>3.110690637764288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0.57684040000000003</v>
      </c>
      <c r="C19" s="98">
        <v>0.95</v>
      </c>
      <c r="D19" s="56">
        <v>3.110690637764288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10.726757057587051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24.762499177403289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0.67048689999999989</v>
      </c>
      <c r="C23" s="98">
        <v>0.95</v>
      </c>
      <c r="D23" s="56">
        <v>4.8184289348295932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0.40415301668664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8.0286799999999992E-2</v>
      </c>
      <c r="C26" s="98">
        <v>0.95</v>
      </c>
      <c r="D26" s="56">
        <v>13.467741075377949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13.765699948727031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0.29989329999999997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0.32183600000000001</v>
      </c>
      <c r="C29" s="98">
        <v>0.95</v>
      </c>
      <c r="D29" s="56">
        <v>33.321934882307978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1.6899999999999998E-2</v>
      </c>
      <c r="C31" s="98">
        <v>0.95</v>
      </c>
      <c r="D31" s="56">
        <v>56.731369485662889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0.34</v>
      </c>
      <c r="C32" s="98">
        <v>0.95</v>
      </c>
      <c r="D32" s="56">
        <v>3.1633023129352069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0.29855500000000001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0.244063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2E-3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0.15965090000000001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0.05</v>
      </c>
      <c r="C38" s="98">
        <v>0.95</v>
      </c>
      <c r="D38" s="56">
        <v>2.4488574538288082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2.717384924943516</v>
      </c>
      <c r="E39" s="56" t="s">
        <v>201</v>
      </c>
      <c r="F39" s="98">
        <v>1</v>
      </c>
      <c r="G39" s="98">
        <v>1</v>
      </c>
    </row>
  </sheetData>
  <sheetProtection algorithmName="SHA-512" hashValue="qCVYKM1lTeOGL/QfRe3bAhq7Gx6MU5B1VneVvREc4+qbFbqQSW0CJ4l2bGx90jMumLqEU5B5hg2Pv8w/1lVQbw==" saltValue="jOVjHBHcuyTc2eHbkJZw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UHSZb+mBIekKmjNh7QSy2Z28PXiG41fEMo0YI0l1x9ILVLB+3BJrawSzAssUO0D4fJmropWnlpzET1yRQT4q1w==" saltValue="krL25NOm+FO2vypNSHOHK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mcImw4ukel82Sx7bl6793yfxU4ZZPcbrTy1+VNPnn8V4Qduc2UJpIWcYXmd4QNPaV5zvUeEC1J5V+K2dNPvKaQ==" saltValue="tvCZbh96wgOggMFUTeG8j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209</v>
      </c>
      <c r="B3" s="21">
        <f>frac_mam_1month * 2.6</f>
        <v>0.19014969999999998</v>
      </c>
      <c r="C3" s="21">
        <f>frac_mam_1_5months * 2.6</f>
        <v>0.19014969999999998</v>
      </c>
      <c r="D3" s="21">
        <f>frac_mam_6_11months * 2.6</f>
        <v>0.26081900000000002</v>
      </c>
      <c r="E3" s="21">
        <f>frac_mam_12_23months * 2.6</f>
        <v>0.17514639999999998</v>
      </c>
      <c r="F3" s="21">
        <f>frac_mam_24_59months * 2.6</f>
        <v>0.12519623999999999</v>
      </c>
    </row>
    <row r="4" spans="1:6" ht="15.75" customHeight="1" x14ac:dyDescent="0.25">
      <c r="A4" s="3" t="s">
        <v>208</v>
      </c>
      <c r="B4" s="21">
        <f>frac_sam_1month * 2.6</f>
        <v>5.471206E-2</v>
      </c>
      <c r="C4" s="21">
        <f>frac_sam_1_5months * 2.6</f>
        <v>5.471206E-2</v>
      </c>
      <c r="D4" s="21">
        <f>frac_sam_6_11months * 2.6</f>
        <v>0.1119248</v>
      </c>
      <c r="E4" s="21">
        <f>frac_sam_12_23months * 2.6</f>
        <v>0.13061490000000001</v>
      </c>
      <c r="F4" s="21">
        <f>frac_sam_24_59months * 2.6</f>
        <v>7.0730139999999997E-2</v>
      </c>
    </row>
  </sheetData>
  <sheetProtection algorithmName="SHA-512" hashValue="aibTWsRe731PHh1UqVRpoch0NDB4TEFHqczqWYjuK5cgOR0LZogmV/gblzns6ckfBH+OjffK/A63zg8gaDTXJg==" saltValue="KSSw4mFsHs8bSrO96BI67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0.38</v>
      </c>
      <c r="E2" s="60">
        <f>food_insecure</f>
        <v>0.38</v>
      </c>
      <c r="F2" s="60">
        <f>food_insecure</f>
        <v>0.38</v>
      </c>
      <c r="G2" s="60">
        <f>food_insecure</f>
        <v>0.38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0.38</v>
      </c>
      <c r="F5" s="60">
        <f>food_insecure</f>
        <v>0.38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0.38</v>
      </c>
      <c r="F8" s="60">
        <f>food_insecure</f>
        <v>0.38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0.38</v>
      </c>
      <c r="F9" s="60">
        <f>food_insecure</f>
        <v>0.38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0.38</v>
      </c>
      <c r="I15" s="60">
        <f>food_insecure</f>
        <v>0.38</v>
      </c>
      <c r="J15" s="60">
        <f>food_insecure</f>
        <v>0.38</v>
      </c>
      <c r="K15" s="60">
        <f>food_insecure</f>
        <v>0.38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0.3362</v>
      </c>
      <c r="I19" s="60">
        <f>frac_malaria_risk</f>
        <v>0.3362</v>
      </c>
      <c r="J19" s="60">
        <f>frac_malaria_risk</f>
        <v>0.3362</v>
      </c>
      <c r="K19" s="60">
        <f>frac_malaria_risk</f>
        <v>0.3362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0.59399999999999997</v>
      </c>
      <c r="M24" s="60">
        <f>famplan_unmet_need</f>
        <v>0.59399999999999997</v>
      </c>
      <c r="N24" s="60">
        <f>famplan_unmet_need</f>
        <v>0.59399999999999997</v>
      </c>
      <c r="O24" s="60">
        <f>famplan_unmet_need</f>
        <v>0.59399999999999997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0.39907937204360949</v>
      </c>
      <c r="M25" s="60">
        <f>(1-food_insecure)*(0.49)+food_insecure*(0.7)</f>
        <v>0.56979999999999997</v>
      </c>
      <c r="N25" s="60">
        <f>(1-food_insecure)*(0.49)+food_insecure*(0.7)</f>
        <v>0.56979999999999997</v>
      </c>
      <c r="O25" s="60">
        <f>(1-food_insecure)*(0.49)+food_insecure*(0.7)</f>
        <v>0.56979999999999997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0.17103401659011835</v>
      </c>
      <c r="M26" s="60">
        <f>(1-food_insecure)*(0.21)+food_insecure*(0.3)</f>
        <v>0.24419999999999997</v>
      </c>
      <c r="N26" s="60">
        <f>(1-food_insecure)*(0.21)+food_insecure*(0.3)</f>
        <v>0.24419999999999997</v>
      </c>
      <c r="O26" s="60">
        <f>(1-food_insecure)*(0.21)+food_insecure*(0.3)</f>
        <v>0.24419999999999997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0.13027160968780513</v>
      </c>
      <c r="M27" s="60">
        <f>(1-food_insecure)*(0.3)</f>
        <v>0.186</v>
      </c>
      <c r="N27" s="60">
        <f>(1-food_insecure)*(0.3)</f>
        <v>0.186</v>
      </c>
      <c r="O27" s="60">
        <f>(1-food_insecure)*(0.3)</f>
        <v>0.186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0.299615001678467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0.3362</v>
      </c>
      <c r="D34" s="60">
        <f t="shared" si="3"/>
        <v>0.3362</v>
      </c>
      <c r="E34" s="60">
        <f t="shared" si="3"/>
        <v>0.3362</v>
      </c>
      <c r="F34" s="60">
        <f t="shared" si="3"/>
        <v>0.3362</v>
      </c>
      <c r="G34" s="60">
        <f t="shared" si="3"/>
        <v>0.3362</v>
      </c>
      <c r="H34" s="60">
        <f t="shared" si="3"/>
        <v>0.3362</v>
      </c>
      <c r="I34" s="60">
        <f t="shared" si="3"/>
        <v>0.3362</v>
      </c>
      <c r="J34" s="60">
        <f t="shared" si="3"/>
        <v>0.3362</v>
      </c>
      <c r="K34" s="60">
        <f t="shared" si="3"/>
        <v>0.3362</v>
      </c>
      <c r="L34" s="60">
        <f t="shared" si="3"/>
        <v>0.3362</v>
      </c>
      <c r="M34" s="60">
        <f t="shared" si="3"/>
        <v>0.3362</v>
      </c>
      <c r="N34" s="60">
        <f t="shared" si="3"/>
        <v>0.3362</v>
      </c>
      <c r="O34" s="60">
        <f t="shared" si="3"/>
        <v>0.3362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41ynpzMSFFdUzaP610l37AGfMgzwIl1xz0quExglV+e61CbvsB976ap8qu2FY7rpkr1eQYA8eeuyGFfrln0UA==" saltValue="lv3djpuI/sXnIYUAh2oJz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j0BKwBx7Q9liYcVXPiJGOtQ+j4pdCSzOuNn8g5oOuGHRf9HanSg3mIsXKbIQoxyZe5Sz8tk33e/oftvytbI2PQ==" saltValue="qOaiaSr6TqeUFfWdYFo2F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cfYOcP5X3N9dqKSrChWVq12UmdQHz28XMEJfp07e7gcogYKsBvJAiVvZst+8hdzNvaQzW3EtAaRB1SdcYAVxA==" saltValue="Rodvgmgll5xFki56HTxms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TPr0nscM8HGtMOBflUUdczofAHqgIu3y2vd+lhNzmqMdw2iulN0G97g7eWyxiq1Bt8bcBapt6GjFdJIGmkZsw==" saltValue="cS7L8+h4pmTl49jPehhRO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oBKvq4TnUmOyUb8TpAUXleX9Ba6NeirXj4XzEgljQM209AkmOcrlrWfjbHe+qAqcaby5LPP2V+2GsWP8pc42UA==" saltValue="T+2nYY0RkW7NqaTNiDoe6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s6nBajIENoyYf38f8YGMC8CEN+nBV9DCuz6cwujrtar4QuqK1MCIycPewyAS3zcX/e85LBprrdp2wyxvzCp+MA==" saltValue="WmQLDOmhOBKHkDOlHTD83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6MrWyUTXt6o74kd1h4tK05U5B1fXRVjcVKQvdf/2slmoU0In4wnlYhB8jU9B+wBafqp5IXgMoQDVPNPwm1cV2w==" saltValue="JMYh8E6MARN3qtBg0+pq8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xLbaQmuO1dZJkiJZvKnKB6yUa0f2N0mLDWOYmmyKPzhRNQ7Uq8j9iHuWoIXcbYGlmGVuE7e3s46akgGwV/lLzA==" saltValue="Qd2tHLZ3aWPuno3x/t1N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WISAl2zwZybx58HgW1kSsOSgU7oltSh/pd8hmGgGN2wmzJ0l8EXXt2q7ZfuBg7O2evxNxZ5VRVtpRFJyo95GQ==" saltValue="j1C8ySUkQkjALPIQiB3E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k29jisQc9ruMxiwLDdSJpeMoKroUTvJdMzbLyllzNnyvETfkSZ7m6ipggGP/dL/k0TWa65O02xYt+xvCxFihRg==" saltValue="DlhmRIn8RkUzqmxSCoqw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k9qSfPaovgJjFaqFNBdR2Jd0W7hZZjDAiHj5aZ5ZPSzjx0v3YLSeJaR43iblyXpGpzN8LfojiZDk/SWfr+Rktg==" saltValue="/EJjwLhUXiJZ7tD/EvT0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Ynz3XsFfxe8u03FlgfXZGNYLMtLgyiXOjbncw1WTqGowuc2zYXF7g2jHNuDI9zXO2on0dovFdUBuJg1OqWGz7w==" saltValue="vF7PSf2d8kPYN+HXhWsG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e1pLvJG1Bw9gHykb1oSWCuqnlMhMjZjVudnsz+in6k3dcxuGosO9oNDZT69CIrjsKGGlYov4PTkFgfyKV2E+7A==" saltValue="w6wXjlRTf/fA3stMJMdCo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0.10576554949119465</v>
      </c>
      <c r="G18" s="90">
        <f>MIN(MAX(1-0.89/(1-frac_sam_12_23months+(frac_sam_12_23months*0.89)),0),1)</f>
        <v>0.10505451784140929</v>
      </c>
      <c r="H18" s="90">
        <f>MIN(MAX(1-0.89/(1-frac_sam_24_59months+(frac_sam_24_59months*0.89)),0),1)</f>
        <v>0.10732874464801834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0.10006958282208767</v>
      </c>
      <c r="G20" s="90">
        <f>MIN(MAX(1-0.89/(1-frac_mam_12_23months+(frac_mam_12_23months*0.89)),0),1)</f>
        <v>0.10335583084076327</v>
      </c>
      <c r="H20" s="90">
        <f>MIN(MAX(1-0.89/(1-frac_mam_24_59months+(frac_mam_24_59months*0.89)),0),1)</f>
        <v>0.10526077749685736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9.5736412610900601E-3</v>
      </c>
      <c r="G73" s="90">
        <f>MIN(MAX(1-0.99/(1-frac_sam_12_23months+(frac_sam_12_23months*0.99)),0),1)</f>
        <v>9.5024086775352679E-3</v>
      </c>
      <c r="H73" s="90">
        <f>MIN(MAX(1-0.99/(1-frac_sam_24_59months+(frac_sam_24_59months*0.99)),0),1)</f>
        <v>9.7306081048983417E-3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9.0058842527881433E-3</v>
      </c>
      <c r="G75" s="90">
        <f>MIN(MAX(1-0.99/(1-frac_mam_12_23months+(frac_mam_12_23months*0.99)),0),1)</f>
        <v>9.3326468442200827E-3</v>
      </c>
      <c r="H75" s="90">
        <f>MIN(MAX(1-0.99/(1-frac_mam_24_59months+(frac_mam_24_59months*0.99)),0),1)</f>
        <v>9.5230615827055498E-3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0.19305250484571967</v>
      </c>
      <c r="G128" s="90">
        <f>MIN(MAX(1-0.8/(1-frac_sam_12_23months+(frac_sam_12_23months*0.8)),0),1)</f>
        <v>0.19188058176920975</v>
      </c>
      <c r="H128" s="90">
        <f>MIN(MAX(1-0.8/(1-frac_sam_24_59months+(frac_sam_24_59months*0.8)),0),1)</f>
        <v>0.19562356477877707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0.18362098787983305</v>
      </c>
      <c r="G130" s="90">
        <f>MIN(MAX(1-0.8/(1-frac_mam_12_23months+(frac_mam_12_23months*0.8)),0),1)</f>
        <v>0.18907456378293475</v>
      </c>
      <c r="H130" s="90">
        <f>MIN(MAX(1-0.8/(1-frac_mam_24_59months+(frac_mam_24_59months*0.8)),0),1)</f>
        <v>0.19222069758366545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nUnq+iftW9AuB/rg8201d4rP0H03LizoDXEKEX/jiddhBRpUaiKWt7AwK0jqBiwAxS1jO8kTYB/lM54xHnyTxA==" saltValue="AvMa+KfBYhkF2XszmMtH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cUBX6oVJX+JhklMnEZI52QIso6TwzGPHfvD0YOjA6Fly8W6+C0Xpr+xYZNhDNTxQAhHNzubKlzYV/8WPdBI/yg==" saltValue="u5uGp8wo/Rw7+ClI3AEwE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2024-08-06T09:36:58Z</dcterms:modified>
</cp:coreProperties>
</file>