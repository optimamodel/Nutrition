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AE8DE0E9-2347-4888-8A30-2607E6B49C58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H38" i="2"/>
  <c r="G38" i="2"/>
  <c r="I38" i="2" s="1"/>
  <c r="A28" i="2"/>
  <c r="A26" i="2"/>
  <c r="A23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15" i="2" l="1"/>
  <c r="A31" i="2"/>
  <c r="A3" i="2"/>
  <c r="A18" i="2"/>
  <c r="A34" i="2"/>
  <c r="I40" i="2"/>
  <c r="A20" i="2"/>
  <c r="A36" i="2"/>
  <c r="A39" i="2"/>
  <c r="A29" i="2"/>
  <c r="A21" i="2"/>
  <c r="A37" i="2"/>
  <c r="A16" i="2"/>
  <c r="A24" i="2"/>
  <c r="A32" i="2"/>
  <c r="A17" i="2"/>
  <c r="A25" i="2"/>
  <c r="A33" i="2"/>
  <c r="A19" i="2"/>
  <c r="A27" i="2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<sst xmlns="http://schemas.openxmlformats.org/spreadsheetml/2006/main" count="2101" uniqueCount="337">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</sst>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115144.3310546875</v>
      </c>
    </row>
    <row r="8" spans="1:3" ht="15" customHeight="1" x14ac:dyDescent="0.25">
      <c r="B8" s="5" t="s">
        <v>19</v>
      </c>
      <c r="C8" s="44">
        <v>0.17899999999999999</v>
      </c>
    </row>
    <row r="9" spans="1:3" ht="15" customHeight="1" x14ac:dyDescent="0.25">
      <c r="B9" s="5" t="s">
        <v>20</v>
      </c>
      <c r="C9" s="45">
        <v>0.5</v>
      </c>
    </row>
    <row r="10" spans="1:3" ht="15" customHeight="1" x14ac:dyDescent="0.25">
      <c r="B10" s="5" t="s">
        <v>21</v>
      </c>
      <c r="C10" s="45">
        <v>0.44813041687011701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0.72199999999999998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8.2599999999999993E-2</v>
      </c>
    </row>
    <row r="24" spans="1:3" ht="15" customHeight="1" x14ac:dyDescent="0.25">
      <c r="B24" s="15" t="s">
        <v>33</v>
      </c>
      <c r="C24" s="45">
        <v>0.42909999999999998</v>
      </c>
    </row>
    <row r="25" spans="1:3" ht="15" customHeight="1" x14ac:dyDescent="0.25">
      <c r="B25" s="15" t="s">
        <v>34</v>
      </c>
      <c r="C25" s="45">
        <v>0.38800000000000001</v>
      </c>
    </row>
    <row r="26" spans="1:3" ht="15" customHeight="1" x14ac:dyDescent="0.25">
      <c r="B26" s="15" t="s">
        <v>35</v>
      </c>
      <c r="C26" s="45">
        <v>0.1003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0.22550533803534301</v>
      </c>
    </row>
    <row r="30" spans="1:3" ht="14.25" customHeight="1" x14ac:dyDescent="0.25">
      <c r="B30" s="25" t="s">
        <v>38</v>
      </c>
      <c r="C30" s="99">
        <v>9.9346175298700296E-2</v>
      </c>
    </row>
    <row r="31" spans="1:3" ht="14.25" customHeight="1" x14ac:dyDescent="0.25">
      <c r="B31" s="25" t="s">
        <v>39</v>
      </c>
      <c r="C31" s="99">
        <v>0.13120678480199499</v>
      </c>
    </row>
    <row r="32" spans="1:3" ht="14.25" customHeight="1" x14ac:dyDescent="0.25">
      <c r="B32" s="25" t="s">
        <v>40</v>
      </c>
      <c r="C32" s="99">
        <v>0.54394170186396207</v>
      </c>
    </row>
    <row r="33" spans="1:5" ht="13" customHeight="1" x14ac:dyDescent="0.25">
      <c r="B33" s="27" t="s">
        <v>41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25.751989999999999</v>
      </c>
    </row>
    <row r="38" spans="1:5" ht="15" customHeight="1" x14ac:dyDescent="0.25">
      <c r="B38" s="11" t="s">
        <v>45</v>
      </c>
      <c r="C38" s="43">
        <v>39.297609999999999</v>
      </c>
      <c r="D38" s="12"/>
      <c r="E38" s="13"/>
    </row>
    <row r="39" spans="1:5" ht="15" customHeight="1" x14ac:dyDescent="0.25">
      <c r="B39" s="11" t="s">
        <v>46</v>
      </c>
      <c r="C39" s="43">
        <v>49.716740000000001</v>
      </c>
      <c r="D39" s="12"/>
      <c r="E39" s="12"/>
    </row>
    <row r="40" spans="1:5" ht="15" customHeight="1" x14ac:dyDescent="0.25">
      <c r="B40" s="11" t="s">
        <v>47</v>
      </c>
      <c r="C40" s="100">
        <v>2.17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24.232230000000001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7.8993999999999991E-3</v>
      </c>
      <c r="D45" s="12"/>
    </row>
    <row r="46" spans="1:5" ht="15.75" customHeight="1" x14ac:dyDescent="0.25">
      <c r="B46" s="11" t="s">
        <v>52</v>
      </c>
      <c r="C46" s="45">
        <v>8.4877900000000006E-2</v>
      </c>
      <c r="D46" s="12"/>
    </row>
    <row r="47" spans="1:5" ht="15.75" customHeight="1" x14ac:dyDescent="0.25">
      <c r="B47" s="11" t="s">
        <v>53</v>
      </c>
      <c r="C47" s="45">
        <v>7.3488499999999998E-2</v>
      </c>
      <c r="D47" s="12"/>
      <c r="E47" s="13"/>
    </row>
    <row r="48" spans="1:5" ht="15" customHeight="1" x14ac:dyDescent="0.25">
      <c r="B48" s="11" t="s">
        <v>54</v>
      </c>
      <c r="C48" s="46">
        <v>0.83373419999999998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0.50987099999999996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0.23696138</v>
      </c>
    </row>
    <row r="63" spans="1:4" ht="15.75" customHeight="1" x14ac:dyDescent="0.3">
      <c r="A63" s="4"/>
    </row>
  </sheetData>
  <sheetProtection algorithmName="SHA-512" hashValue="2OUnvaKJr4mm2VPNslIkSUn9At5Pnp3LwVlxUn5AWtiiT4x93yUaC4Ma7W5xPEYRnH2qMj33iY8v43Zlz3bkjg==" saltValue="OesKyuHTzwiTRBOipePS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24214</v>
      </c>
      <c r="C2" s="49">
        <v>51417.500000000007</v>
      </c>
      <c r="D2" s="49">
        <v>71583.5</v>
      </c>
      <c r="E2" s="49">
        <v>58207.5</v>
      </c>
      <c r="F2" s="49">
        <v>36050.5</v>
      </c>
      <c r="G2" s="17">
        <f t="shared" ref="G2:G13" si="0">C2+D2+E2+F2</f>
        <v>217259</v>
      </c>
      <c r="H2" s="17">
        <f t="shared" ref="H2:H13" si="1">(B2 + stillbirth*B2/(1000-stillbirth))/(1-abortion)</f>
        <v>28199.239549497612</v>
      </c>
      <c r="I2" s="17">
        <f t="shared" ref="I2:I13" si="2">G2-H2</f>
        <v>189059.76045050239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24216</v>
      </c>
      <c r="C3" s="50">
        <v>52597.5</v>
      </c>
      <c r="D3" s="50">
        <v>72090</v>
      </c>
      <c r="E3" s="50">
        <v>59374.5</v>
      </c>
      <c r="F3" s="50">
        <v>37633</v>
      </c>
      <c r="G3" s="17">
        <f t="shared" si="0"/>
        <v>221695</v>
      </c>
      <c r="H3" s="17">
        <f t="shared" si="1"/>
        <v>28201.568717710175</v>
      </c>
      <c r="I3" s="17">
        <f t="shared" si="2"/>
        <v>193493.43128228982</v>
      </c>
    </row>
    <row r="4" spans="1:9" ht="15.75" customHeight="1" x14ac:dyDescent="0.25">
      <c r="A4" s="5">
        <f t="shared" si="3"/>
        <v>2026</v>
      </c>
      <c r="B4" s="49">
        <v>24226</v>
      </c>
      <c r="C4" s="50">
        <v>53774</v>
      </c>
      <c r="D4" s="50">
        <v>72616</v>
      </c>
      <c r="E4" s="50">
        <v>60534</v>
      </c>
      <c r="F4" s="50">
        <v>39316</v>
      </c>
      <c r="G4" s="17">
        <f t="shared" si="0"/>
        <v>226240</v>
      </c>
      <c r="H4" s="17">
        <f t="shared" si="1"/>
        <v>28213.21455877299</v>
      </c>
      <c r="I4" s="17">
        <f t="shared" si="2"/>
        <v>198026.78544122702</v>
      </c>
    </row>
    <row r="5" spans="1:9" ht="15.75" customHeight="1" x14ac:dyDescent="0.25">
      <c r="A5" s="5">
        <f t="shared" si="3"/>
        <v>2027</v>
      </c>
      <c r="B5" s="49">
        <v>24245</v>
      </c>
      <c r="C5" s="50">
        <v>54920</v>
      </c>
      <c r="D5" s="50">
        <v>73183</v>
      </c>
      <c r="E5" s="50">
        <v>61699.5</v>
      </c>
      <c r="F5" s="50">
        <v>41046</v>
      </c>
      <c r="G5" s="17">
        <f t="shared" si="0"/>
        <v>230848.5</v>
      </c>
      <c r="H5" s="17">
        <f t="shared" si="1"/>
        <v>28235.341656792334</v>
      </c>
      <c r="I5" s="17">
        <f t="shared" si="2"/>
        <v>202613.15834320767</v>
      </c>
    </row>
    <row r="6" spans="1:9" ht="15.75" customHeight="1" x14ac:dyDescent="0.25">
      <c r="A6" s="5">
        <f t="shared" si="3"/>
        <v>2028</v>
      </c>
      <c r="B6" s="49">
        <v>24245</v>
      </c>
      <c r="C6" s="50">
        <v>56022.5</v>
      </c>
      <c r="D6" s="50">
        <v>73851.5</v>
      </c>
      <c r="E6" s="50">
        <v>62881</v>
      </c>
      <c r="F6" s="50">
        <v>42766</v>
      </c>
      <c r="G6" s="17">
        <f t="shared" si="0"/>
        <v>235521</v>
      </c>
      <c r="H6" s="17">
        <f t="shared" si="1"/>
        <v>28235.341656792334</v>
      </c>
      <c r="I6" s="17">
        <f t="shared" si="2"/>
        <v>207285.65834320767</v>
      </c>
    </row>
    <row r="7" spans="1:9" ht="15.75" customHeight="1" x14ac:dyDescent="0.25">
      <c r="A7" s="5">
        <f t="shared" si="3"/>
        <v>2029</v>
      </c>
      <c r="B7" s="49">
        <v>24308</v>
      </c>
      <c r="C7" s="50">
        <v>57033</v>
      </c>
      <c r="D7" s="50">
        <v>74694.5</v>
      </c>
      <c r="E7" s="50">
        <v>64078.5</v>
      </c>
      <c r="F7" s="50">
        <v>44406</v>
      </c>
      <c r="G7" s="17">
        <f t="shared" si="0"/>
        <v>240212</v>
      </c>
      <c r="H7" s="17">
        <f t="shared" si="1"/>
        <v>28308.710455488061</v>
      </c>
      <c r="I7" s="17">
        <f t="shared" si="2"/>
        <v>211903.28954451194</v>
      </c>
    </row>
    <row r="8" spans="1:9" ht="15.75" customHeight="1" x14ac:dyDescent="0.25">
      <c r="A8" s="5">
        <f t="shared" si="3"/>
        <v>2030</v>
      </c>
      <c r="B8" s="49">
        <v>24308</v>
      </c>
      <c r="C8" s="50">
        <v>57925.5</v>
      </c>
      <c r="D8" s="50">
        <v>75767.5</v>
      </c>
      <c r="E8" s="50">
        <v>65244</v>
      </c>
      <c r="F8" s="50">
        <v>45913</v>
      </c>
      <c r="G8" s="17">
        <f t="shared" si="0"/>
        <v>244850</v>
      </c>
      <c r="H8" s="17">
        <f t="shared" si="1"/>
        <v>28308.710455488061</v>
      </c>
      <c r="I8" s="17">
        <f t="shared" si="2"/>
        <v>216541.28954451194</v>
      </c>
    </row>
    <row r="9" spans="1:9" ht="15.75" customHeight="1" x14ac:dyDescent="0.25">
      <c r="A9" s="5">
        <f t="shared" si="3"/>
        <v>2031</v>
      </c>
      <c r="B9" s="49">
        <v>24305</v>
      </c>
      <c r="C9" s="50">
        <v>58708.5</v>
      </c>
      <c r="D9" s="50">
        <v>77085</v>
      </c>
      <c r="E9" s="50">
        <v>66315.5</v>
      </c>
      <c r="F9" s="50">
        <v>47270</v>
      </c>
      <c r="G9" s="17">
        <f t="shared" si="0"/>
        <v>249379</v>
      </c>
      <c r="H9" s="17">
        <f t="shared" si="1"/>
        <v>28305.216703169219</v>
      </c>
      <c r="I9" s="17">
        <f t="shared" si="2"/>
        <v>221073.78329683078</v>
      </c>
    </row>
    <row r="10" spans="1:9" ht="15.75" customHeight="1" x14ac:dyDescent="0.25">
      <c r="A10" s="5">
        <f t="shared" si="3"/>
        <v>2032</v>
      </c>
      <c r="B10" s="49">
        <v>24435</v>
      </c>
      <c r="C10" s="50">
        <v>59409.000000000007</v>
      </c>
      <c r="D10" s="50">
        <v>78655</v>
      </c>
      <c r="E10" s="50">
        <v>67184.5</v>
      </c>
      <c r="F10" s="50">
        <v>48485</v>
      </c>
      <c r="G10" s="17">
        <f t="shared" si="0"/>
        <v>253733.5</v>
      </c>
      <c r="H10" s="17">
        <f t="shared" si="1"/>
        <v>28456.612636985799</v>
      </c>
      <c r="I10" s="17">
        <f t="shared" si="2"/>
        <v>225276.88736301419</v>
      </c>
    </row>
    <row r="11" spans="1:9" ht="15.75" customHeight="1" x14ac:dyDescent="0.25">
      <c r="A11" s="5">
        <f t="shared" si="3"/>
        <v>2033</v>
      </c>
      <c r="B11" s="49">
        <v>24520</v>
      </c>
      <c r="C11" s="50">
        <v>60049.5</v>
      </c>
      <c r="D11" s="50">
        <v>80437.5</v>
      </c>
      <c r="E11" s="50">
        <v>67796</v>
      </c>
      <c r="F11" s="50">
        <v>49581</v>
      </c>
      <c r="G11" s="17">
        <f t="shared" si="0"/>
        <v>257864</v>
      </c>
      <c r="H11" s="17">
        <f t="shared" si="1"/>
        <v>28555.602286019719</v>
      </c>
      <c r="I11" s="17">
        <f t="shared" si="2"/>
        <v>229308.39771398029</v>
      </c>
    </row>
    <row r="12" spans="1:9" ht="15.75" customHeight="1" x14ac:dyDescent="0.25">
      <c r="A12" s="5">
        <f t="shared" si="3"/>
        <v>2034</v>
      </c>
      <c r="B12" s="49">
        <v>24580</v>
      </c>
      <c r="C12" s="50">
        <v>60615</v>
      </c>
      <c r="D12" s="50">
        <v>82257</v>
      </c>
      <c r="E12" s="50">
        <v>68304.5</v>
      </c>
      <c r="F12" s="50">
        <v>50593</v>
      </c>
      <c r="G12" s="17">
        <f t="shared" si="0"/>
        <v>261769.5</v>
      </c>
      <c r="H12" s="17">
        <f t="shared" si="1"/>
        <v>28625.4773323966</v>
      </c>
      <c r="I12" s="17">
        <f t="shared" si="2"/>
        <v>233144.02266760339</v>
      </c>
    </row>
    <row r="13" spans="1:9" ht="15.75" customHeight="1" x14ac:dyDescent="0.25">
      <c r="A13" s="5">
        <f t="shared" si="3"/>
        <v>2035</v>
      </c>
      <c r="B13" s="49">
        <v>24649</v>
      </c>
      <c r="C13" s="50">
        <v>61103</v>
      </c>
      <c r="D13" s="50">
        <v>83989</v>
      </c>
      <c r="E13" s="50">
        <v>68834.5</v>
      </c>
      <c r="F13" s="50">
        <v>51574.000000000007</v>
      </c>
      <c r="G13" s="17">
        <f t="shared" si="0"/>
        <v>265500.5</v>
      </c>
      <c r="H13" s="17">
        <f t="shared" si="1"/>
        <v>28705.833635730018</v>
      </c>
      <c r="I13" s="17">
        <f t="shared" si="2"/>
        <v>236794.66636426997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58cPKgmXNLUIXqZqqPb32pWdN6H54HBJwfIp6PHEdXK0RviVBKflydKIp1A8YGAVIbgDCqV/fmdNovyKh+wnsg==" saltValue="4EtO7SYGfD4oMHJGZYdfu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1.379560137956014E-2</v>
      </c>
    </row>
    <row r="4" spans="1:8" ht="15.75" customHeight="1" x14ac:dyDescent="0.25">
      <c r="B4" s="19" t="s">
        <v>79</v>
      </c>
      <c r="C4" s="101">
        <v>5.6293305629330617E-2</v>
      </c>
    </row>
    <row r="5" spans="1:8" ht="15.75" customHeight="1" x14ac:dyDescent="0.25">
      <c r="B5" s="19" t="s">
        <v>80</v>
      </c>
      <c r="C5" s="101">
        <v>7.5123207512320808E-2</v>
      </c>
    </row>
    <row r="6" spans="1:8" ht="15.75" customHeight="1" x14ac:dyDescent="0.25">
      <c r="B6" s="19" t="s">
        <v>81</v>
      </c>
      <c r="C6" s="101">
        <v>0.24197382419738189</v>
      </c>
    </row>
    <row r="7" spans="1:8" ht="15.75" customHeight="1" x14ac:dyDescent="0.25">
      <c r="B7" s="19" t="s">
        <v>82</v>
      </c>
      <c r="C7" s="101">
        <v>0.42879114287911452</v>
      </c>
    </row>
    <row r="8" spans="1:8" ht="15.75" customHeight="1" x14ac:dyDescent="0.25">
      <c r="B8" s="19" t="s">
        <v>83</v>
      </c>
      <c r="C8" s="101">
        <v>1.9423001942300211E-3</v>
      </c>
    </row>
    <row r="9" spans="1:8" ht="15.75" customHeight="1" x14ac:dyDescent="0.25">
      <c r="B9" s="19" t="s">
        <v>84</v>
      </c>
      <c r="C9" s="101">
        <v>7.2365807236580704E-2</v>
      </c>
    </row>
    <row r="10" spans="1:8" ht="15.75" customHeight="1" x14ac:dyDescent="0.25">
      <c r="B10" s="19" t="s">
        <v>85</v>
      </c>
      <c r="C10" s="101">
        <v>0.1097148109714812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0.2176685792070821</v>
      </c>
      <c r="D14" s="55">
        <v>0.2176685792070821</v>
      </c>
      <c r="E14" s="55">
        <v>0.2176685792070821</v>
      </c>
      <c r="F14" s="55">
        <v>0.2176685792070821</v>
      </c>
    </row>
    <row r="15" spans="1:8" ht="15.75" customHeight="1" x14ac:dyDescent="0.25">
      <c r="B15" s="19" t="s">
        <v>88</v>
      </c>
      <c r="C15" s="101">
        <v>0.37530106932612661</v>
      </c>
      <c r="D15" s="101">
        <v>0.37530106932612661</v>
      </c>
      <c r="E15" s="101">
        <v>0.37530106932612661</v>
      </c>
      <c r="F15" s="101">
        <v>0.37530106932612661</v>
      </c>
    </row>
    <row r="16" spans="1:8" ht="15.75" customHeight="1" x14ac:dyDescent="0.25">
      <c r="B16" s="19" t="s">
        <v>89</v>
      </c>
      <c r="C16" s="101">
        <v>3.5821246778556692E-2</v>
      </c>
      <c r="D16" s="101">
        <v>3.5821246778556692E-2</v>
      </c>
      <c r="E16" s="101">
        <v>3.5821246778556692E-2</v>
      </c>
      <c r="F16" s="101">
        <v>3.5821246778556692E-2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1.432879411494694E-2</v>
      </c>
      <c r="D18" s="101">
        <v>1.432879411494694E-2</v>
      </c>
      <c r="E18" s="101">
        <v>1.432879411494694E-2</v>
      </c>
      <c r="F18" s="101">
        <v>1.432879411494694E-2</v>
      </c>
    </row>
    <row r="19" spans="1:8" ht="15.75" customHeight="1" x14ac:dyDescent="0.25">
      <c r="B19" s="19" t="s">
        <v>92</v>
      </c>
      <c r="C19" s="101">
        <v>3.5525720169471892E-2</v>
      </c>
      <c r="D19" s="101">
        <v>3.5525720169471892E-2</v>
      </c>
      <c r="E19" s="101">
        <v>3.5525720169471892E-2</v>
      </c>
      <c r="F19" s="101">
        <v>3.5525720169471892E-2</v>
      </c>
    </row>
    <row r="20" spans="1:8" ht="15.75" customHeight="1" x14ac:dyDescent="0.25">
      <c r="B20" s="19" t="s">
        <v>93</v>
      </c>
      <c r="C20" s="101">
        <v>1.150709409319264E-3</v>
      </c>
      <c r="D20" s="101">
        <v>1.150709409319264E-3</v>
      </c>
      <c r="E20" s="101">
        <v>1.150709409319264E-3</v>
      </c>
      <c r="F20" s="101">
        <v>1.150709409319264E-3</v>
      </c>
    </row>
    <row r="21" spans="1:8" ht="15.75" customHeight="1" x14ac:dyDescent="0.25">
      <c r="B21" s="19" t="s">
        <v>94</v>
      </c>
      <c r="C21" s="101">
        <v>0.12968903990910491</v>
      </c>
      <c r="D21" s="101">
        <v>0.12968903990910491</v>
      </c>
      <c r="E21" s="101">
        <v>0.12968903990910491</v>
      </c>
      <c r="F21" s="101">
        <v>0.12968903990910491</v>
      </c>
    </row>
    <row r="22" spans="1:8" ht="15.75" customHeight="1" x14ac:dyDescent="0.25">
      <c r="B22" s="19" t="s">
        <v>95</v>
      </c>
      <c r="C22" s="101">
        <v>0.19051484108539171</v>
      </c>
      <c r="D22" s="101">
        <v>0.19051484108539171</v>
      </c>
      <c r="E22" s="101">
        <v>0.19051484108539171</v>
      </c>
      <c r="F22" s="101">
        <v>0.19051484108539171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8.8581871999999992E-2</v>
      </c>
    </row>
    <row r="27" spans="1:8" ht="15.75" customHeight="1" x14ac:dyDescent="0.25">
      <c r="B27" s="19" t="s">
        <v>102</v>
      </c>
      <c r="C27" s="101">
        <v>8.8641740000000007E-3</v>
      </c>
    </row>
    <row r="28" spans="1:8" ht="15.75" customHeight="1" x14ac:dyDescent="0.25">
      <c r="B28" s="19" t="s">
        <v>103</v>
      </c>
      <c r="C28" s="101">
        <v>0.15728592299999999</v>
      </c>
    </row>
    <row r="29" spans="1:8" ht="15.75" customHeight="1" x14ac:dyDescent="0.25">
      <c r="B29" s="19" t="s">
        <v>104</v>
      </c>
      <c r="C29" s="101">
        <v>0.170055973</v>
      </c>
    </row>
    <row r="30" spans="1:8" ht="15.75" customHeight="1" x14ac:dyDescent="0.25">
      <c r="B30" s="19" t="s">
        <v>2</v>
      </c>
      <c r="C30" s="101">
        <v>0.105793744</v>
      </c>
    </row>
    <row r="31" spans="1:8" ht="15.75" customHeight="1" x14ac:dyDescent="0.25">
      <c r="B31" s="19" t="s">
        <v>105</v>
      </c>
      <c r="C31" s="101">
        <v>0.111206134</v>
      </c>
    </row>
    <row r="32" spans="1:8" ht="15.75" customHeight="1" x14ac:dyDescent="0.25">
      <c r="B32" s="19" t="s">
        <v>106</v>
      </c>
      <c r="C32" s="101">
        <v>1.8849359E-2</v>
      </c>
    </row>
    <row r="33" spans="2:3" ht="15.75" customHeight="1" x14ac:dyDescent="0.25">
      <c r="B33" s="19" t="s">
        <v>107</v>
      </c>
      <c r="C33" s="101">
        <v>8.5214494999999987E-2</v>
      </c>
    </row>
    <row r="34" spans="2:3" ht="15.75" customHeight="1" x14ac:dyDescent="0.25">
      <c r="B34" s="19" t="s">
        <v>108</v>
      </c>
      <c r="C34" s="101">
        <v>0.25414832700000001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8TsicRnbo/aRA5pizWNTwiDLbIBzfgXJY8+qVxfYz1UmOdYiAuTfbqh6gWGq4uW/X1JoiOelWq5CRVrlQH9cQw==" saltValue="setzAnzz0GzlJi+enAdJT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0.43950720799143184</v>
      </c>
      <c r="D2" s="52">
        <f>IFERROR(1-_xlfn.NORM.DIST(_xlfn.NORM.INV(SUM(D4:D5), 0, 1) + 1, 0, 1, TRUE), "")</f>
        <v>0.43950720799143184</v>
      </c>
      <c r="E2" s="52">
        <f>IFERROR(1-_xlfn.NORM.DIST(_xlfn.NORM.INV(SUM(E4:E5), 0, 1) + 1, 0, 1, TRUE), "")</f>
        <v>0.36279218724907158</v>
      </c>
      <c r="F2" s="52">
        <f>IFERROR(1-_xlfn.NORM.DIST(_xlfn.NORM.INV(SUM(F4:F5), 0, 1) + 1, 0, 1, TRUE), "")</f>
        <v>0.24646900939015914</v>
      </c>
      <c r="G2" s="52">
        <f>IFERROR(1-_xlfn.NORM.DIST(_xlfn.NORM.INV(SUM(G4:G5), 0, 1) + 1, 0, 1, TRUE), "")</f>
        <v>0.30134324492440423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0.36221289200856815</v>
      </c>
      <c r="D3" s="52">
        <f>IFERROR(_xlfn.NORM.DIST(_xlfn.NORM.INV(SUM(D4:D5), 0, 1) + 1, 0, 1, TRUE) - SUM(D4:D5), "")</f>
        <v>0.36221289200856815</v>
      </c>
      <c r="E3" s="52">
        <f>IFERROR(_xlfn.NORM.DIST(_xlfn.NORM.INV(SUM(E4:E5), 0, 1) + 1, 0, 1, TRUE) - SUM(E4:E5), "")</f>
        <v>0.37903691275092843</v>
      </c>
      <c r="F3" s="52">
        <f>IFERROR(_xlfn.NORM.DIST(_xlfn.NORM.INV(SUM(F4:F5), 0, 1) + 1, 0, 1, TRUE) - SUM(F4:F5), "")</f>
        <v>0.37690589060984081</v>
      </c>
      <c r="G3" s="52">
        <f>IFERROR(_xlfn.NORM.DIST(_xlfn.NORM.INV(SUM(G4:G5), 0, 1) + 1, 0, 1, TRUE) - SUM(G4:G5), "")</f>
        <v>0.38285065507559579</v>
      </c>
    </row>
    <row r="4" spans="1:15" ht="15.75" customHeight="1" x14ac:dyDescent="0.25">
      <c r="B4" s="5" t="s">
        <v>114</v>
      </c>
      <c r="C4" s="45">
        <v>0.12910369999999999</v>
      </c>
      <c r="D4" s="53">
        <v>0.12910369999999999</v>
      </c>
      <c r="E4" s="53">
        <v>0.13079950000000001</v>
      </c>
      <c r="F4" s="53">
        <v>0.16891010000000001</v>
      </c>
      <c r="G4" s="53">
        <v>0.1503497</v>
      </c>
    </row>
    <row r="5" spans="1:15" ht="15.75" customHeight="1" x14ac:dyDescent="0.25">
      <c r="B5" s="5" t="s">
        <v>115</v>
      </c>
      <c r="C5" s="45">
        <v>6.9176200000000007E-2</v>
      </c>
      <c r="D5" s="53">
        <v>6.9176200000000007E-2</v>
      </c>
      <c r="E5" s="53">
        <v>0.1273714</v>
      </c>
      <c r="F5" s="53">
        <v>0.20771500000000001</v>
      </c>
      <c r="G5" s="53">
        <v>0.1654564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0.46382904044899265</v>
      </c>
      <c r="D8" s="52">
        <f>IFERROR(1-_xlfn.NORM.DIST(_xlfn.NORM.INV(SUM(D10:D11), 0, 1) + 1, 0, 1, TRUE), "")</f>
        <v>0.46382904044899265</v>
      </c>
      <c r="E8" s="52">
        <f>IFERROR(1-_xlfn.NORM.DIST(_xlfn.NORM.INV(SUM(E10:E11), 0, 1) + 1, 0, 1, TRUE), "")</f>
        <v>0.45825878111230722</v>
      </c>
      <c r="F8" s="52">
        <f>IFERROR(1-_xlfn.NORM.DIST(_xlfn.NORM.INV(SUM(F10:F11), 0, 1) + 1, 0, 1, TRUE), "")</f>
        <v>0.56236268471227269</v>
      </c>
      <c r="G8" s="52">
        <f>IFERROR(1-_xlfn.NORM.DIST(_xlfn.NORM.INV(SUM(G10:G11), 0, 1) + 1, 0, 1, TRUE), "")</f>
        <v>0.64757413294160016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0.35455085955100735</v>
      </c>
      <c r="D9" s="52">
        <f>IFERROR(_xlfn.NORM.DIST(_xlfn.NORM.INV(SUM(D10:D11), 0, 1) + 1, 0, 1, TRUE) - SUM(D10:D11), "")</f>
        <v>0.35455085955100735</v>
      </c>
      <c r="E9" s="52">
        <f>IFERROR(_xlfn.NORM.DIST(_xlfn.NORM.INV(SUM(E10:E11), 0, 1) + 1, 0, 1, TRUE) - SUM(E10:E11), "")</f>
        <v>0.35639541888769277</v>
      </c>
      <c r="F9" s="52">
        <f>IFERROR(_xlfn.NORM.DIST(_xlfn.NORM.INV(SUM(F10:F11), 0, 1) + 1, 0, 1, TRUE) - SUM(F10:F11), "")</f>
        <v>0.3139934152877274</v>
      </c>
      <c r="G9" s="52">
        <f>IFERROR(_xlfn.NORM.DIST(_xlfn.NORM.INV(SUM(G10:G11), 0, 1) + 1, 0, 1, TRUE) - SUM(G10:G11), "")</f>
        <v>0.26844446705839986</v>
      </c>
    </row>
    <row r="10" spans="1:15" ht="15.75" customHeight="1" x14ac:dyDescent="0.25">
      <c r="B10" s="5" t="s">
        <v>119</v>
      </c>
      <c r="C10" s="45">
        <v>8.3225900000000005E-2</v>
      </c>
      <c r="D10" s="53">
        <v>8.3225900000000005E-2</v>
      </c>
      <c r="E10" s="53">
        <v>0.12705050000000001</v>
      </c>
      <c r="F10" s="53">
        <v>8.5907600000000001E-2</v>
      </c>
      <c r="G10" s="53">
        <v>4.8662900000000002E-2</v>
      </c>
    </row>
    <row r="11" spans="1:15" ht="15.75" customHeight="1" x14ac:dyDescent="0.25">
      <c r="B11" s="5" t="s">
        <v>120</v>
      </c>
      <c r="C11" s="45">
        <v>9.8394200000000001E-2</v>
      </c>
      <c r="D11" s="53">
        <v>9.8394200000000001E-2</v>
      </c>
      <c r="E11" s="53">
        <v>5.8295300000000001E-2</v>
      </c>
      <c r="F11" s="53">
        <v>3.77363E-2</v>
      </c>
      <c r="G11" s="53">
        <v>3.5318500000000003E-2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0.63803419224999991</v>
      </c>
      <c r="D14" s="54">
        <v>0.63816869495700002</v>
      </c>
      <c r="E14" s="54">
        <v>0.63816869495700002</v>
      </c>
      <c r="F14" s="54">
        <v>0.43302120201400002</v>
      </c>
      <c r="G14" s="54">
        <v>0.43302120201400002</v>
      </c>
      <c r="H14" s="45">
        <v>0.34200000000000003</v>
      </c>
      <c r="I14" s="55">
        <v>0.34200000000000003</v>
      </c>
      <c r="J14" s="55">
        <v>0.34200000000000003</v>
      </c>
      <c r="K14" s="55">
        <v>0.34200000000000003</v>
      </c>
      <c r="L14" s="45">
        <v>0.28799999999999998</v>
      </c>
      <c r="M14" s="55">
        <v>0.28799999999999998</v>
      </c>
      <c r="N14" s="55">
        <v>0.28799999999999998</v>
      </c>
      <c r="O14" s="55">
        <v>0.28799999999999998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0.32531513163669967</v>
      </c>
      <c r="D15" s="52">
        <f t="shared" si="0"/>
        <v>0.32538371066642052</v>
      </c>
      <c r="E15" s="52">
        <f t="shared" si="0"/>
        <v>0.32538371066642052</v>
      </c>
      <c r="F15" s="52">
        <f t="shared" si="0"/>
        <v>0.2207849532920802</v>
      </c>
      <c r="G15" s="52">
        <f t="shared" si="0"/>
        <v>0.2207849532920802</v>
      </c>
      <c r="H15" s="52">
        <f t="shared" si="0"/>
        <v>0.17437588200000001</v>
      </c>
      <c r="I15" s="52">
        <f t="shared" si="0"/>
        <v>0.17437588200000001</v>
      </c>
      <c r="J15" s="52">
        <f t="shared" si="0"/>
        <v>0.17437588200000001</v>
      </c>
      <c r="K15" s="52">
        <f t="shared" si="0"/>
        <v>0.17437588200000001</v>
      </c>
      <c r="L15" s="52">
        <f t="shared" si="0"/>
        <v>0.14684284799999997</v>
      </c>
      <c r="M15" s="52">
        <f t="shared" si="0"/>
        <v>0.14684284799999997</v>
      </c>
      <c r="N15" s="52">
        <f t="shared" si="0"/>
        <v>0.14684284799999997</v>
      </c>
      <c r="O15" s="52">
        <f t="shared" si="0"/>
        <v>0.14684284799999997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nDOGvL95xqyAhU8y1vlJmIiKbxAGn4ubW1LQTHv18laRCsEgyXFElSfOIGTc2KrqnwYM97iEtVANGobCkEuig==" saltValue="ZipwQlEePEjwnOkUpYEC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0.21005280000000001</v>
      </c>
      <c r="D2" s="53">
        <v>0.10688060000000001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0.49141610000000002</v>
      </c>
      <c r="D3" s="53">
        <v>0.3412442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0.23050219999999999</v>
      </c>
      <c r="D4" s="53">
        <v>0.4981411</v>
      </c>
      <c r="E4" s="53">
        <v>0.87793460000000001</v>
      </c>
      <c r="F4" s="53">
        <v>0.65165729999999999</v>
      </c>
      <c r="G4" s="53">
        <v>0</v>
      </c>
    </row>
    <row r="5" spans="1:7" x14ac:dyDescent="0.25">
      <c r="B5" s="3" t="s">
        <v>132</v>
      </c>
      <c r="C5" s="52">
        <v>6.8028900000000003E-2</v>
      </c>
      <c r="D5" s="52">
        <v>5.3733999999999997E-2</v>
      </c>
      <c r="E5" s="52">
        <f>1-SUM(E2:E4)</f>
        <v>0.12206539999999999</v>
      </c>
      <c r="F5" s="52">
        <f>1-SUM(F2:F4)</f>
        <v>0.34834270000000001</v>
      </c>
      <c r="G5" s="52">
        <f>1-SUM(G2:G4)</f>
        <v>1</v>
      </c>
    </row>
  </sheetData>
  <sheetProtection algorithmName="SHA-512" hashValue="okNhSljCJxLeKNpxtbQMVDnUIiGUB2yMe8GYmfFgFkhCGSSFTVarP20IEnZ1jWDNNvYtc5KGGBRAAvtVV0K18A==" saltValue="k7RkIPcpt+hv6H05JqElo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VTmAbQSGkmpYV/yfDx1JuKz7iidzIPWonsUmWGZxxskNKqFcy0uOSfffXx3SzSROI1k/8xoKSscoJnosokyQw==" saltValue="jIR7/X85BmsM+PnDV1axd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CK0WvG/itaNHkObc7NkTHikVTCdI3uTV8iZwsBYucm5LullID7duUhF64WxrGqmyLqUGh+kdGcHk+WF8m10f/A==" saltValue="doSHBHHIGa/IGjP2Q1RQN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kYex3xjLhq3BGWA0WNHpzqokMGJ/vx2tBNVAmSBe8lba7osL0sA5jSb6zjSHyNK6nHhzjLv1m1UT3fbkQrmuqw==" saltValue="8M/UCcAYedOdzxsBEwnbW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kO6mPnMVTa5QHuZrUdOgOJS02XMHcFkrRt9B9wLaSPp8JLpg8AntgV9Fyhedy/gGKFHwwBlFhdBd3SUInkS8hw==" saltValue="7PWuYEunShiy7RdARajOU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65.60734264525216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7.2861200073283072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0.44811748245549438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0.2139553248340432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0.78848199824391296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0.36842760036992361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0.125552</v>
      </c>
      <c r="C10" s="98">
        <v>0.95</v>
      </c>
      <c r="D10" s="56">
        <v>15.06077994466111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15.06077994466111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15.06077994466111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15.06077994466111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0.125552</v>
      </c>
      <c r="C14" s="98">
        <v>0.95</v>
      </c>
      <c r="D14" s="56">
        <v>15.06077994466111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15.06077994466111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0.41392640000000003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0.60599999999999998</v>
      </c>
      <c r="C18" s="98">
        <v>0.95</v>
      </c>
      <c r="D18" s="56">
        <v>7.2861200073283072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0.10688060000000001</v>
      </c>
      <c r="C19" s="98">
        <v>0.95</v>
      </c>
      <c r="D19" s="56">
        <v>7.2861200073283072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25.674441615856921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0.56810229999999995</v>
      </c>
      <c r="C23" s="98">
        <v>0.95</v>
      </c>
      <c r="D23" s="56">
        <v>4.9386229663401986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0.42426401169421402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0.125552</v>
      </c>
      <c r="C26" s="98">
        <v>0.95</v>
      </c>
      <c r="D26" s="56">
        <v>3.4665816434934871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0.37546259999999998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0.21526239999999999</v>
      </c>
      <c r="C29" s="98">
        <v>0.95</v>
      </c>
      <c r="D29" s="56">
        <v>88.005851455993124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0.25009999999999999</v>
      </c>
      <c r="C31" s="98">
        <v>0.95</v>
      </c>
      <c r="D31" s="56">
        <v>180.94215297303569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0.23</v>
      </c>
      <c r="C32" s="98">
        <v>0.95</v>
      </c>
      <c r="D32" s="56">
        <v>1.2084343668738231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0.15573529999999999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0.6041609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8.7560000000000003E-4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0.59496380000000004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2E-3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2in2FRWe7M/QzelmAZ84lnGpIukRUzemfKilQtZbXO+cOPvuh/QHWgthfCkBzOiS+SHXxIliC1ymaQSTDtzy4w==" saltValue="goOpbyQYov+yiNs0CwcA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94IWdo5m2qhnBkhK2tguGXAhTzH3Ne46thM33/Y8IMSlaCMyC5IgCcUo+oNSrGsqLDSGOp7nT/SM1zV0BFFkTw==" saltValue="NNYukvJMpA1CULvPqb4F2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r0+qDg8/meWG3epHVtDgGKNRYko9sGrP+j39ApoAf8UTK9VfXdaxmC6PM/YbsUMfTP2LQmBWBr6pnp/RrpCpBQ==" saltValue="zU1QaC7daV6hIp88w5xDs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0.21638734000000001</v>
      </c>
      <c r="C3" s="21">
        <f>frac_mam_1_5months * 2.6</f>
        <v>0.21638734000000001</v>
      </c>
      <c r="D3" s="21">
        <f>frac_mam_6_11months * 2.6</f>
        <v>0.33033130000000005</v>
      </c>
      <c r="E3" s="21">
        <f>frac_mam_12_23months * 2.6</f>
        <v>0.22335976000000002</v>
      </c>
      <c r="F3" s="21">
        <f>frac_mam_24_59months * 2.6</f>
        <v>0.12652354000000002</v>
      </c>
    </row>
    <row r="4" spans="1:6" ht="15.75" customHeight="1" x14ac:dyDescent="0.25">
      <c r="A4" s="3" t="s">
        <v>208</v>
      </c>
      <c r="B4" s="21">
        <f>frac_sam_1month * 2.6</f>
        <v>0.25582492000000001</v>
      </c>
      <c r="C4" s="21">
        <f>frac_sam_1_5months * 2.6</f>
        <v>0.25582492000000001</v>
      </c>
      <c r="D4" s="21">
        <f>frac_sam_6_11months * 2.6</f>
        <v>0.15156778000000001</v>
      </c>
      <c r="E4" s="21">
        <f>frac_sam_12_23months * 2.6</f>
        <v>9.8114380000000001E-2</v>
      </c>
      <c r="F4" s="21">
        <f>frac_sam_24_59months * 2.6</f>
        <v>9.182810000000001E-2</v>
      </c>
    </row>
  </sheetData>
  <sheetProtection algorithmName="SHA-512" hashValue="9CmOfwk6bNgXyl3H7Ia4r3UCB9yYwdNiayx69nM2KSO4pG15plTQhyxCUHJCvIIXs1MzVAVNGvDRx9LDwBbXNg==" saltValue="V2YtXZm4KX2Mqx2Tt1dfH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0.17899999999999999</v>
      </c>
      <c r="E2" s="60">
        <f>food_insecure</f>
        <v>0.17899999999999999</v>
      </c>
      <c r="F2" s="60">
        <f>food_insecure</f>
        <v>0.17899999999999999</v>
      </c>
      <c r="G2" s="60">
        <f>food_insecure</f>
        <v>0.17899999999999999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0.17899999999999999</v>
      </c>
      <c r="F5" s="60">
        <f>food_insecure</f>
        <v>0.17899999999999999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0.17899999999999999</v>
      </c>
      <c r="F8" s="60">
        <f>food_insecure</f>
        <v>0.17899999999999999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0.17899999999999999</v>
      </c>
      <c r="F9" s="60">
        <f>food_insecure</f>
        <v>0.17899999999999999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0.17899999999999999</v>
      </c>
      <c r="I15" s="60">
        <f>food_insecure</f>
        <v>0.17899999999999999</v>
      </c>
      <c r="J15" s="60">
        <f>food_insecure</f>
        <v>0.17899999999999999</v>
      </c>
      <c r="K15" s="60">
        <f>food_insecure</f>
        <v>0.17899999999999999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</v>
      </c>
      <c r="I19" s="60">
        <f>frac_malaria_risk</f>
        <v>0.5</v>
      </c>
      <c r="J19" s="60">
        <f>frac_malaria_risk</f>
        <v>0.5</v>
      </c>
      <c r="K19" s="60">
        <f>frac_malaria_risk</f>
        <v>0.5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0.72199999999999998</v>
      </c>
      <c r="M24" s="60">
        <f>famplan_unmet_need</f>
        <v>0.72199999999999998</v>
      </c>
      <c r="N24" s="60">
        <f>famplan_unmet_need</f>
        <v>0.72199999999999998</v>
      </c>
      <c r="O24" s="60">
        <f>famplan_unmet_need</f>
        <v>0.72199999999999998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0.29116087336349494</v>
      </c>
      <c r="M25" s="60">
        <f>(1-food_insecure)*(0.49)+food_insecure*(0.7)</f>
        <v>0.52759</v>
      </c>
      <c r="N25" s="60">
        <f>(1-food_insecure)*(0.49)+food_insecure*(0.7)</f>
        <v>0.52759</v>
      </c>
      <c r="O25" s="60">
        <f>(1-food_insecure)*(0.49)+food_insecure*(0.7)</f>
        <v>0.52759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0.12478323144149783</v>
      </c>
      <c r="M26" s="60">
        <f>(1-food_insecure)*(0.21)+food_insecure*(0.3)</f>
        <v>0.22610999999999998</v>
      </c>
      <c r="N26" s="60">
        <f>(1-food_insecure)*(0.21)+food_insecure*(0.3)</f>
        <v>0.22610999999999998</v>
      </c>
      <c r="O26" s="60">
        <f>(1-food_insecure)*(0.21)+food_insecure*(0.3)</f>
        <v>0.22610999999999998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0.13592547832489016</v>
      </c>
      <c r="M27" s="60">
        <f>(1-food_insecure)*(0.3)</f>
        <v>0.24629999999999996</v>
      </c>
      <c r="N27" s="60">
        <f>(1-food_insecure)*(0.3)</f>
        <v>0.24629999999999996</v>
      </c>
      <c r="O27" s="60">
        <f>(1-food_insecure)*(0.3)</f>
        <v>0.24629999999999996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0.44813041687011701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0.5</v>
      </c>
      <c r="D34" s="60">
        <f t="shared" si="3"/>
        <v>0.5</v>
      </c>
      <c r="E34" s="60">
        <f t="shared" si="3"/>
        <v>0.5</v>
      </c>
      <c r="F34" s="60">
        <f t="shared" si="3"/>
        <v>0.5</v>
      </c>
      <c r="G34" s="60">
        <f t="shared" si="3"/>
        <v>0.5</v>
      </c>
      <c r="H34" s="60">
        <f t="shared" si="3"/>
        <v>0.5</v>
      </c>
      <c r="I34" s="60">
        <f t="shared" si="3"/>
        <v>0.5</v>
      </c>
      <c r="J34" s="60">
        <f t="shared" si="3"/>
        <v>0.5</v>
      </c>
      <c r="K34" s="60">
        <f t="shared" si="3"/>
        <v>0.5</v>
      </c>
      <c r="L34" s="60">
        <f t="shared" si="3"/>
        <v>0.5</v>
      </c>
      <c r="M34" s="60">
        <f t="shared" si="3"/>
        <v>0.5</v>
      </c>
      <c r="N34" s="60">
        <f t="shared" si="3"/>
        <v>0.5</v>
      </c>
      <c r="O34" s="60">
        <f t="shared" si="3"/>
        <v>0.5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+m7cQKjgoC+PIVxfEp6hc1tX9IYGnqmAJbyNPxhoLzkfBTyEsGuQUw0gg48VqE49b5tSoJGoIC8QEzcTYaXQw==" saltValue="ov6xhPiT9t4I48S/+FhmG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x0TRpE6Xe9LfJ+FDMZ/1xq9Ud3NxexOjCj/svuklohlFd3vbJ6FGo2TYjbM+JpwvlR6gjFOhNCKOGek4QkAX0g==" saltValue="QS1CVMvgdMnVexDSkhx00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MLwwheJ+z3AVa+W/ZftrCu8jlGX49gaWUbkMMT9t0UnNtg8wYMoyfrMO5Y6VANeM6A8TA8KFZ6QoaJfkn2kNw==" saltValue="s0sKbmuMc2fS901WAJis5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be3i9v+0Xv1bcNpamzhoIubl3rhPuw/LQju4WsHCbvkCmavPIPovrt3W/XIvWQjfpQbLnhqNGAgpwgU0ls6hg==" saltValue="nueMqR3uRTXWSCtVIeALE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qxGW93CA8L5g4DUDYSHcbJ7p08eHSmaREJwhx7y5nY6b01U6Y2TQLc5WA3JnZgwOeRGAA/NNjWx7qdigpLTKBg==" saltValue="fiG0ZUMCxah7SK5NavQWN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x/vC/b9695dfN9NLb4YwZH41UK7F99rHqSRu9xZHucq5aVHI69N6JyM+9HOrs4/1CXcUUFBzh7/jwYKjlbx6GA==" saltValue="3Qk0bZmWZAP94siZgKSE7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S2FGYdb/4s3GKqPjhs52UEdC1qOPkXrTLcqsEKr0ylOgo9Nat5R0XewkvEoRyCxT2HdL+06x98c7jy6LEXa2w==" saltValue="aTQxy773D5/uGu5VknF3d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UfEp3yKIWM3hn59i1LvVcIa1kCROyPBVuwKsj81Vqde2pA1DcshpdWxxp9GlfdjpfpnJol9QEhW+8hZfopRYw==" saltValue="uwO5BQWIbMr4FJg1u9+q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hvVJJnlD9szlE5mdF0WpvG6PM4wWK83W6D61hQAeSLIFYK2+x2hzTzcOitVsVcP5tdwugqPtC8Il5CCoMr0Hw==" saltValue="eeuNOkfkOZ4Sd/kmv36G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y+JfFdzYxbTtgAd3cYEefXOpizUOVekw/GhlF3wzG7oiXPr9Wwri1iOu1nunX6LopmtF1IOBwhzSw9wJSS5Pqg==" saltValue="rnP+YRFoMSahTOzZWWh5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q59EF/sX8VnI/gcBJZBYNaJ6bwcEEA/J6lze3TV0Da85iK3GiTnz+i0H0SJc8yZnwFZ6sZozXoBz4nn9FLj6bw==" saltValue="T6dcgZ8C/VnUtwomIIi4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56YiSTQX+NZlQvv8DLRT3Jr198yYcBlPjcQDPXDizNY3q5Ha7mAK8QKidYh4FOtNhDECKAFGUbt29MPvU266Pw==" saltValue="69aAlyk+byseHFZqvG4Y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r/0jQ03LvRa5UUT0rXl6n9Kt79vh/UOtyHUxnPhGSU4QMg0kGBYxV8srU2B0aMiQPdK5e42GCCoLEeOHLNhJpw==" saltValue="rT0NCTbb5M8GWaL90F6Oo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0.10425605719440612</v>
      </c>
      <c r="G18" s="90">
        <f>MIN(MAX(1-0.89/(1-frac_sam_12_23months+(frac_sam_12_23months*0.89)),0),1)</f>
        <v>0.10629021694651342</v>
      </c>
      <c r="H18" s="90">
        <f>MIN(MAX(1-0.89/(1-frac_sam_24_59months+(frac_sam_24_59months*0.89)),0),1)</f>
        <v>0.10652883324566853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9.7385460864512385E-2</v>
      </c>
      <c r="G20" s="90">
        <f>MIN(MAX(1-0.89/(1-frac_mam_12_23months+(frac_mam_12_23months*0.89)),0),1)</f>
        <v>0.10150941128913893</v>
      </c>
      <c r="H20" s="90">
        <f>MIN(MAX(1-0.89/(1-frac_mam_24_59months+(frac_mam_24_59months*0.89)),0),1)</f>
        <v>0.10521026301589287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9.4225398979010944E-3</v>
      </c>
      <c r="G73" s="90">
        <f>MIN(MAX(1-0.99/(1-frac_sam_12_23months+(frac_sam_12_23months*0.99)),0),1)</f>
        <v>9.6262695979744128E-3</v>
      </c>
      <c r="H73" s="90">
        <f>MIN(MAX(1-0.99/(1-frac_sam_24_59months+(frac_sam_24_59months*0.99)),0),1)</f>
        <v>9.6502233141211313E-3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8.7405999759725406E-3</v>
      </c>
      <c r="G75" s="90">
        <f>MIN(MAX(1-0.99/(1-frac_mam_12_23months+(frac_mam_12_23months*0.99)),0),1)</f>
        <v>9.1487835003343232E-3</v>
      </c>
      <c r="H75" s="90">
        <f>MIN(MAX(1-0.99/(1-frac_mam_24_59months+(frac_mam_24_59months*0.99)),0),1)</f>
        <v>9.5180027361535524E-3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0.1905627222120333</v>
      </c>
      <c r="G128" s="90">
        <f>MIN(MAX(1-0.8/(1-frac_sam_12_23months+(frac_sam_12_23months*0.8)),0),1)</f>
        <v>0.19391627655741073</v>
      </c>
      <c r="H128" s="90">
        <f>MIN(MAX(1-0.8/(1-frac_sam_24_59months+(frac_sam_24_59months*0.8)),0),1)</f>
        <v>0.19430883934850596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0.17914191394759982</v>
      </c>
      <c r="G130" s="90">
        <f>MIN(MAX(1-0.8/(1-frac_mam_12_23months+(frac_mam_12_23months*0.8)),0),1)</f>
        <v>0.18601449170959827</v>
      </c>
      <c r="H130" s="90">
        <f>MIN(MAX(1-0.8/(1-frac_mam_24_59months+(frac_mam_24_59months*0.8)),0),1)</f>
        <v>0.19213741274048979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161hCZUWIiLRZY52j9PHax8wDuP8TiJ6tG4QT5Qdh2vNF35ARKB03YqE1gaMxCRPg/POsfMLz/elDGRvV/VQzA==" saltValue="M8atco7aLkrjVa10KH2+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O9ocLycgvmNLvJct8tCpkiHpthdpQaUR9+IU74mzVtNCwhDwnd4VP2FJ0K1IGQIwXQjTjN1Jc2PbqrxTSNtd4g==" saltValue="9Ln2ILFC4YVUf78395D4t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2024-08-06T08:54:33Z</dcterms:modified>
</cp:coreProperties>
</file>