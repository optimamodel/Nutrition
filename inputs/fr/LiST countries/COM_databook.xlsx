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9B56BF8-943D-4080-AEEE-D0687AD0952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7" i="2" l="1"/>
  <c r="I39" i="2"/>
  <c r="A36" i="2"/>
  <c r="I6" i="2"/>
  <c r="I12" i="2"/>
  <c r="A35" i="2"/>
  <c r="I2" i="2"/>
  <c r="I8" i="2"/>
  <c r="A19" i="2"/>
  <c r="A22" i="2"/>
  <c r="A23" i="2"/>
  <c r="A40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<sst xmlns="http://schemas.openxmlformats.org/spreadsheetml/2006/main" count="2169" uniqueCount="369">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</sst>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114859</v>
      </c>
    </row>
    <row r="8" spans="1:3" ht="15" customHeight="1" x14ac:dyDescent="0.25">
      <c r="B8" s="5" t="s">
        <v>37</v>
      </c>
      <c r="C8" s="44">
        <v>0.17899999999999999</v>
      </c>
    </row>
    <row r="9" spans="1:3" ht="15" customHeight="1" x14ac:dyDescent="0.25">
      <c r="B9" s="5" t="s">
        <v>38</v>
      </c>
      <c r="C9" s="45">
        <v>0.5</v>
      </c>
    </row>
    <row r="10" spans="1:3" ht="15" customHeight="1" x14ac:dyDescent="0.25">
      <c r="B10" s="5" t="s">
        <v>39</v>
      </c>
      <c r="C10" s="45">
        <v>0.51667209999999997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8.2599999999999993E-2</v>
      </c>
    </row>
    <row r="24" spans="1:3" ht="15" customHeight="1" x14ac:dyDescent="0.25">
      <c r="B24" s="15" t="s">
        <v>51</v>
      </c>
      <c r="C24" s="45">
        <v>0.42909999999999998</v>
      </c>
    </row>
    <row r="25" spans="1:3" ht="15" customHeight="1" x14ac:dyDescent="0.25">
      <c r="B25" s="15" t="s">
        <v>52</v>
      </c>
      <c r="C25" s="45">
        <v>0.38800000000000001</v>
      </c>
    </row>
    <row r="26" spans="1:3" ht="15" customHeight="1" x14ac:dyDescent="0.25">
      <c r="B26" s="15" t="s">
        <v>53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0.22550533803534301</v>
      </c>
    </row>
    <row r="30" spans="1:3" ht="14.25" customHeight="1" x14ac:dyDescent="0.25">
      <c r="B30" s="25" t="s">
        <v>56</v>
      </c>
      <c r="C30" s="97">
        <v>9.9346175298700296E-2</v>
      </c>
    </row>
    <row r="31" spans="1:3" ht="14.25" customHeight="1" x14ac:dyDescent="0.25">
      <c r="B31" s="25" t="s">
        <v>57</v>
      </c>
      <c r="C31" s="97">
        <v>0.13120678480199499</v>
      </c>
    </row>
    <row r="32" spans="1:3" ht="14.25" customHeight="1" x14ac:dyDescent="0.25">
      <c r="B32" s="25" t="s">
        <v>58</v>
      </c>
      <c r="C32" s="97">
        <v>0.54394170186396207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25.751989999999999</v>
      </c>
    </row>
    <row r="38" spans="1:5" ht="15" customHeight="1" x14ac:dyDescent="0.25">
      <c r="B38" s="11" t="s">
        <v>63</v>
      </c>
      <c r="C38" s="43">
        <v>39.297609999999999</v>
      </c>
      <c r="D38" s="12"/>
      <c r="E38" s="13"/>
    </row>
    <row r="39" spans="1:5" ht="15" customHeight="1" x14ac:dyDescent="0.25">
      <c r="B39" s="11" t="s">
        <v>64</v>
      </c>
      <c r="C39" s="43">
        <v>49.716740000000001</v>
      </c>
      <c r="D39" s="12"/>
      <c r="E39" s="12"/>
    </row>
    <row r="40" spans="1:5" ht="15" customHeight="1" x14ac:dyDescent="0.25">
      <c r="B40" s="11" t="s">
        <v>65</v>
      </c>
      <c r="C40" s="98">
        <v>2.17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7.8993999999999991E-3</v>
      </c>
      <c r="D45" s="12"/>
    </row>
    <row r="46" spans="1:5" ht="15.75" customHeight="1" x14ac:dyDescent="0.25">
      <c r="B46" s="11" t="s">
        <v>70</v>
      </c>
      <c r="C46" s="45">
        <v>8.4877900000000006E-2</v>
      </c>
      <c r="D46" s="12"/>
    </row>
    <row r="47" spans="1:5" ht="15.75" customHeight="1" x14ac:dyDescent="0.25">
      <c r="B47" s="11" t="s">
        <v>71</v>
      </c>
      <c r="C47" s="45">
        <v>7.3488499999999998E-2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4.1340000000000003</v>
      </c>
      <c r="D51" s="12"/>
    </row>
    <row r="52" spans="1:4" ht="15" customHeight="1" x14ac:dyDescent="0.25">
      <c r="B52" s="11" t="s">
        <v>75</v>
      </c>
      <c r="C52" s="98">
        <v>4.1340000000000003</v>
      </c>
    </row>
    <row r="53" spans="1:4" ht="15.75" customHeight="1" x14ac:dyDescent="0.25">
      <c r="B53" s="11" t="s">
        <v>76</v>
      </c>
      <c r="C53" s="98">
        <v>8.6319999999999997</v>
      </c>
    </row>
    <row r="54" spans="1:4" ht="15.75" customHeight="1" x14ac:dyDescent="0.25">
      <c r="B54" s="11" t="s">
        <v>77</v>
      </c>
      <c r="C54" s="98">
        <v>7.0460000000000003</v>
      </c>
    </row>
    <row r="55" spans="1:4" ht="15.75" customHeight="1" x14ac:dyDescent="0.25">
      <c r="B55" s="11" t="s">
        <v>78</v>
      </c>
      <c r="C55" s="98">
        <v>2.5219999999999998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0.50987099999999996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Bghif3lKIoBir8CXzLeleSqjTc4HBduYQoLbMihEHLfPodAEM+A1ZMFNIuIoEkUMwQI1HBBS786fTNlWoTQbGw==" saltValue="c0MbCwAeuV7tv6AoZxVn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24467</v>
      </c>
      <c r="C2" s="49">
        <v>42634</v>
      </c>
      <c r="D2" s="49">
        <v>71651</v>
      </c>
      <c r="E2" s="49">
        <v>56603</v>
      </c>
      <c r="F2" s="49">
        <v>43073.5</v>
      </c>
      <c r="G2" s="17">
        <f t="shared" ref="G2:G13" si="0">C2+D2+E2+F2</f>
        <v>213961.5</v>
      </c>
      <c r="H2" s="17">
        <f t="shared" ref="H2:H13" si="1">(B2 + stillbirth*B2/(1000-stillbirth))/(1-abortion)</f>
        <v>28493.879328386807</v>
      </c>
      <c r="I2" s="17">
        <f t="shared" ref="I2:I13" si="2">G2-H2</f>
        <v>185467.6206716132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24525</v>
      </c>
      <c r="C3" s="50">
        <v>43768</v>
      </c>
      <c r="D3" s="50">
        <v>73193</v>
      </c>
      <c r="E3" s="50">
        <v>57253.5</v>
      </c>
      <c r="F3" s="50">
        <v>44391.5</v>
      </c>
      <c r="G3" s="17">
        <f t="shared" si="0"/>
        <v>218606</v>
      </c>
      <c r="H3" s="17">
        <f t="shared" si="1"/>
        <v>28561.425206551125</v>
      </c>
      <c r="I3" s="17">
        <f t="shared" si="2"/>
        <v>190044.57479344888</v>
      </c>
    </row>
    <row r="4" spans="1:9" ht="15.75" customHeight="1" x14ac:dyDescent="0.25">
      <c r="A4" s="5">
        <f t="shared" si="3"/>
        <v>2026</v>
      </c>
      <c r="B4" s="49">
        <v>24599</v>
      </c>
      <c r="C4" s="50">
        <v>44969.5</v>
      </c>
      <c r="D4" s="50">
        <v>74696</v>
      </c>
      <c r="E4" s="50">
        <v>57931</v>
      </c>
      <c r="F4" s="50">
        <v>45672</v>
      </c>
      <c r="G4" s="17">
        <f t="shared" si="0"/>
        <v>223268.5</v>
      </c>
      <c r="H4" s="17">
        <f t="shared" si="1"/>
        <v>28647.604430415951</v>
      </c>
      <c r="I4" s="17">
        <f t="shared" si="2"/>
        <v>194620.89556958404</v>
      </c>
    </row>
    <row r="5" spans="1:9" ht="15.75" customHeight="1" x14ac:dyDescent="0.25">
      <c r="A5" s="5">
        <f t="shared" si="3"/>
        <v>2027</v>
      </c>
      <c r="B5" s="49">
        <v>24695</v>
      </c>
      <c r="C5" s="50">
        <v>46153.5</v>
      </c>
      <c r="D5" s="50">
        <v>76129.5</v>
      </c>
      <c r="E5" s="50">
        <v>58705</v>
      </c>
      <c r="F5" s="50">
        <v>46924.5</v>
      </c>
      <c r="G5" s="17">
        <f t="shared" si="0"/>
        <v>227912.5</v>
      </c>
      <c r="H5" s="17">
        <f t="shared" si="1"/>
        <v>28759.404504618964</v>
      </c>
      <c r="I5" s="17">
        <f t="shared" si="2"/>
        <v>199153.09549538104</v>
      </c>
    </row>
    <row r="6" spans="1:9" ht="15.75" customHeight="1" x14ac:dyDescent="0.25">
      <c r="A6" s="5">
        <f t="shared" si="3"/>
        <v>2028</v>
      </c>
      <c r="B6" s="49">
        <v>24823</v>
      </c>
      <c r="C6" s="50">
        <v>47258</v>
      </c>
      <c r="D6" s="50">
        <v>77502.000000000015</v>
      </c>
      <c r="E6" s="50">
        <v>59623.5</v>
      </c>
      <c r="F6" s="50">
        <v>48150.999999999993</v>
      </c>
      <c r="G6" s="17">
        <f t="shared" si="0"/>
        <v>232534.5</v>
      </c>
      <c r="H6" s="17">
        <f t="shared" si="1"/>
        <v>28908.471270222981</v>
      </c>
      <c r="I6" s="17">
        <f t="shared" si="2"/>
        <v>203626.02872977703</v>
      </c>
    </row>
    <row r="7" spans="1:9" ht="15.75" customHeight="1" x14ac:dyDescent="0.25">
      <c r="A7" s="5">
        <f t="shared" si="3"/>
        <v>2029</v>
      </c>
      <c r="B7" s="49">
        <v>24938</v>
      </c>
      <c r="C7" s="50">
        <v>48256.5</v>
      </c>
      <c r="D7" s="50">
        <v>78861.5</v>
      </c>
      <c r="E7" s="50">
        <v>60694.5</v>
      </c>
      <c r="F7" s="50">
        <v>49330.5</v>
      </c>
      <c r="G7" s="17">
        <f t="shared" si="0"/>
        <v>237143</v>
      </c>
      <c r="H7" s="17">
        <f t="shared" si="1"/>
        <v>29042.398442445341</v>
      </c>
      <c r="I7" s="17">
        <f t="shared" si="2"/>
        <v>208100.60155755465</v>
      </c>
    </row>
    <row r="8" spans="1:9" ht="15.75" customHeight="1" x14ac:dyDescent="0.25">
      <c r="A8" s="5">
        <f t="shared" si="3"/>
        <v>2030</v>
      </c>
      <c r="B8" s="49">
        <v>25062</v>
      </c>
      <c r="C8" s="50">
        <v>49146</v>
      </c>
      <c r="D8" s="50">
        <v>80269</v>
      </c>
      <c r="E8" s="50">
        <v>61900.000000000007</v>
      </c>
      <c r="F8" s="50">
        <v>50433</v>
      </c>
      <c r="G8" s="17">
        <f t="shared" si="0"/>
        <v>241748</v>
      </c>
      <c r="H8" s="17">
        <f t="shared" si="1"/>
        <v>29186.806871624234</v>
      </c>
      <c r="I8" s="17">
        <f t="shared" si="2"/>
        <v>212561.19312837577</v>
      </c>
    </row>
    <row r="9" spans="1:9" ht="15.75" customHeight="1" x14ac:dyDescent="0.25">
      <c r="A9" s="5">
        <f t="shared" si="3"/>
        <v>2031</v>
      </c>
      <c r="B9" s="49">
        <v>25184</v>
      </c>
      <c r="C9" s="50">
        <v>49947.5</v>
      </c>
      <c r="D9" s="50">
        <v>81785</v>
      </c>
      <c r="E9" s="50">
        <v>63215</v>
      </c>
      <c r="F9" s="50">
        <v>51433</v>
      </c>
      <c r="G9" s="17">
        <f t="shared" si="0"/>
        <v>246380.5</v>
      </c>
      <c r="H9" s="17">
        <f t="shared" si="1"/>
        <v>29328.886132590564</v>
      </c>
      <c r="I9" s="17">
        <f t="shared" si="2"/>
        <v>217051.61386740944</v>
      </c>
    </row>
    <row r="10" spans="1:9" ht="15.75" customHeight="1" x14ac:dyDescent="0.25">
      <c r="A10" s="5">
        <f t="shared" si="3"/>
        <v>2032</v>
      </c>
      <c r="B10" s="49">
        <v>25346</v>
      </c>
      <c r="C10" s="50">
        <v>50708.5</v>
      </c>
      <c r="D10" s="50">
        <v>83452</v>
      </c>
      <c r="E10" s="50">
        <v>64619</v>
      </c>
      <c r="F10" s="50">
        <v>52313</v>
      </c>
      <c r="G10" s="17">
        <f t="shared" si="0"/>
        <v>251092.5</v>
      </c>
      <c r="H10" s="17">
        <f t="shared" si="1"/>
        <v>29517.548757808152</v>
      </c>
      <c r="I10" s="17">
        <f t="shared" si="2"/>
        <v>221574.95124219183</v>
      </c>
    </row>
    <row r="11" spans="1:9" ht="15.75" customHeight="1" x14ac:dyDescent="0.25">
      <c r="A11" s="5">
        <f t="shared" si="3"/>
        <v>2033</v>
      </c>
      <c r="B11" s="49">
        <v>25528</v>
      </c>
      <c r="C11" s="50">
        <v>51446</v>
      </c>
      <c r="D11" s="50">
        <v>85293</v>
      </c>
      <c r="E11" s="50">
        <v>66092.5</v>
      </c>
      <c r="F11" s="50">
        <v>53073.499999999993</v>
      </c>
      <c r="G11" s="17">
        <f t="shared" si="0"/>
        <v>255905</v>
      </c>
      <c r="H11" s="17">
        <f t="shared" si="1"/>
        <v>29729.503065151363</v>
      </c>
      <c r="I11" s="17">
        <f t="shared" si="2"/>
        <v>226175.49693484863</v>
      </c>
    </row>
    <row r="12" spans="1:9" ht="15.75" customHeight="1" x14ac:dyDescent="0.25">
      <c r="A12" s="5">
        <f t="shared" si="3"/>
        <v>2034</v>
      </c>
      <c r="B12" s="49">
        <v>25712</v>
      </c>
      <c r="C12" s="50">
        <v>52142</v>
      </c>
      <c r="D12" s="50">
        <v>87253.999999999985</v>
      </c>
      <c r="E12" s="50">
        <v>67603</v>
      </c>
      <c r="F12" s="50">
        <v>53747.5</v>
      </c>
      <c r="G12" s="17">
        <f t="shared" si="0"/>
        <v>260746.5</v>
      </c>
      <c r="H12" s="17">
        <f t="shared" si="1"/>
        <v>29943.78654070714</v>
      </c>
      <c r="I12" s="17">
        <f t="shared" si="2"/>
        <v>230802.71345929286</v>
      </c>
    </row>
    <row r="13" spans="1:9" ht="15.75" customHeight="1" x14ac:dyDescent="0.25">
      <c r="A13" s="5">
        <f t="shared" si="3"/>
        <v>2035</v>
      </c>
      <c r="B13" s="49">
        <v>25889</v>
      </c>
      <c r="C13" s="50">
        <v>52802.5</v>
      </c>
      <c r="D13" s="50">
        <v>89253.999999999985</v>
      </c>
      <c r="E13" s="50">
        <v>69124</v>
      </c>
      <c r="F13" s="50">
        <v>54396</v>
      </c>
      <c r="G13" s="17">
        <f t="shared" si="0"/>
        <v>265576.5</v>
      </c>
      <c r="H13" s="17">
        <f t="shared" si="1"/>
        <v>30149.917927518945</v>
      </c>
      <c r="I13" s="17">
        <f t="shared" si="2"/>
        <v>235426.58207248105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8KND8NMweft3zJbmrgT4UAw++AuKe/rNzXkwb0uE6Ky2k7XIirsT+o1ndnVilfQ1jmjy2b0xswAf4tXD/cnJA==" saltValue="FtH4IdSzcrrVqAfX5Xv9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1.379560137956014E-2</v>
      </c>
    </row>
    <row r="4" spans="1:8" ht="15.75" customHeight="1" x14ac:dyDescent="0.25">
      <c r="B4" s="19" t="s">
        <v>97</v>
      </c>
      <c r="C4" s="99">
        <v>5.6293305629330617E-2</v>
      </c>
    </row>
    <row r="5" spans="1:8" ht="15.75" customHeight="1" x14ac:dyDescent="0.25">
      <c r="B5" s="19" t="s">
        <v>98</v>
      </c>
      <c r="C5" s="99">
        <v>7.5123207512320808E-2</v>
      </c>
    </row>
    <row r="6" spans="1:8" ht="15.75" customHeight="1" x14ac:dyDescent="0.25">
      <c r="B6" s="19" t="s">
        <v>99</v>
      </c>
      <c r="C6" s="99">
        <v>0.24197382419738189</v>
      </c>
    </row>
    <row r="7" spans="1:8" ht="15.75" customHeight="1" x14ac:dyDescent="0.25">
      <c r="B7" s="19" t="s">
        <v>100</v>
      </c>
      <c r="C7" s="99">
        <v>0.42879114287911452</v>
      </c>
    </row>
    <row r="8" spans="1:8" ht="15.75" customHeight="1" x14ac:dyDescent="0.25">
      <c r="B8" s="19" t="s">
        <v>101</v>
      </c>
      <c r="C8" s="99">
        <v>1.9423001942300211E-3</v>
      </c>
    </row>
    <row r="9" spans="1:8" ht="15.75" customHeight="1" x14ac:dyDescent="0.25">
      <c r="B9" s="19" t="s">
        <v>102</v>
      </c>
      <c r="C9" s="99">
        <v>7.2365807236580704E-2</v>
      </c>
    </row>
    <row r="10" spans="1:8" ht="15.75" customHeight="1" x14ac:dyDescent="0.25">
      <c r="B10" s="19" t="s">
        <v>103</v>
      </c>
      <c r="C10" s="99">
        <v>0.1097148109714812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106</v>
      </c>
      <c r="C15" s="99">
        <v>0.37530106932612661</v>
      </c>
      <c r="D15" s="99">
        <v>0.37530106932612661</v>
      </c>
      <c r="E15" s="99">
        <v>0.37530106932612661</v>
      </c>
      <c r="F15" s="99">
        <v>0.37530106932612661</v>
      </c>
    </row>
    <row r="16" spans="1:8" ht="15.75" customHeight="1" x14ac:dyDescent="0.25">
      <c r="B16" s="19" t="s">
        <v>107</v>
      </c>
      <c r="C16" s="99">
        <v>3.5821246778556692E-2</v>
      </c>
      <c r="D16" s="99">
        <v>3.5821246778556692E-2</v>
      </c>
      <c r="E16" s="99">
        <v>3.5821246778556692E-2</v>
      </c>
      <c r="F16" s="99">
        <v>3.5821246778556692E-2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1.432879411494694E-2</v>
      </c>
      <c r="D18" s="99">
        <v>1.432879411494694E-2</v>
      </c>
      <c r="E18" s="99">
        <v>1.432879411494694E-2</v>
      </c>
      <c r="F18" s="99">
        <v>1.432879411494694E-2</v>
      </c>
    </row>
    <row r="19" spans="1:8" ht="15.75" customHeight="1" x14ac:dyDescent="0.25">
      <c r="B19" s="19" t="s">
        <v>110</v>
      </c>
      <c r="C19" s="99">
        <v>3.5525720169471892E-2</v>
      </c>
      <c r="D19" s="99">
        <v>3.5525720169471892E-2</v>
      </c>
      <c r="E19" s="99">
        <v>3.5525720169471892E-2</v>
      </c>
      <c r="F19" s="99">
        <v>3.5525720169471892E-2</v>
      </c>
    </row>
    <row r="20" spans="1:8" ht="15.75" customHeight="1" x14ac:dyDescent="0.25">
      <c r="B20" s="19" t="s">
        <v>111</v>
      </c>
      <c r="C20" s="99">
        <v>1.150709409319264E-3</v>
      </c>
      <c r="D20" s="99">
        <v>1.150709409319264E-3</v>
      </c>
      <c r="E20" s="99">
        <v>1.150709409319264E-3</v>
      </c>
      <c r="F20" s="99">
        <v>1.150709409319264E-3</v>
      </c>
    </row>
    <row r="21" spans="1:8" ht="15.75" customHeight="1" x14ac:dyDescent="0.25">
      <c r="B21" s="19" t="s">
        <v>112</v>
      </c>
      <c r="C21" s="99">
        <v>0.12968903990910491</v>
      </c>
      <c r="D21" s="99">
        <v>0.12968903990910491</v>
      </c>
      <c r="E21" s="99">
        <v>0.12968903990910491</v>
      </c>
      <c r="F21" s="99">
        <v>0.12968903990910491</v>
      </c>
    </row>
    <row r="22" spans="1:8" ht="15.75" customHeight="1" x14ac:dyDescent="0.25">
      <c r="B22" s="19" t="s">
        <v>113</v>
      </c>
      <c r="C22" s="99">
        <v>0.19051484108539171</v>
      </c>
      <c r="D22" s="99">
        <v>0.19051484108539171</v>
      </c>
      <c r="E22" s="99">
        <v>0.19051484108539171</v>
      </c>
      <c r="F22" s="99">
        <v>0.19051484108539171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8.8581871999999992E-2</v>
      </c>
    </row>
    <row r="27" spans="1:8" ht="15.75" customHeight="1" x14ac:dyDescent="0.25">
      <c r="B27" s="19" t="s">
        <v>120</v>
      </c>
      <c r="C27" s="99">
        <v>8.8641740000000007E-3</v>
      </c>
    </row>
    <row r="28" spans="1:8" ht="15.75" customHeight="1" x14ac:dyDescent="0.25">
      <c r="B28" s="19" t="s">
        <v>121</v>
      </c>
      <c r="C28" s="99">
        <v>0.15728592299999999</v>
      </c>
    </row>
    <row r="29" spans="1:8" ht="15.75" customHeight="1" x14ac:dyDescent="0.25">
      <c r="B29" s="19" t="s">
        <v>122</v>
      </c>
      <c r="C29" s="99">
        <v>0.170055973</v>
      </c>
    </row>
    <row r="30" spans="1:8" ht="15.75" customHeight="1" x14ac:dyDescent="0.25">
      <c r="B30" s="19" t="s">
        <v>2</v>
      </c>
      <c r="C30" s="99">
        <v>0.105793744</v>
      </c>
    </row>
    <row r="31" spans="1:8" ht="15.75" customHeight="1" x14ac:dyDescent="0.25">
      <c r="B31" s="19" t="s">
        <v>123</v>
      </c>
      <c r="C31" s="99">
        <v>0.111206134</v>
      </c>
    </row>
    <row r="32" spans="1:8" ht="15.75" customHeight="1" x14ac:dyDescent="0.25">
      <c r="B32" s="19" t="s">
        <v>124</v>
      </c>
      <c r="C32" s="99">
        <v>1.8849359E-2</v>
      </c>
    </row>
    <row r="33" spans="2:3" ht="15.75" customHeight="1" x14ac:dyDescent="0.25">
      <c r="B33" s="19" t="s">
        <v>125</v>
      </c>
      <c r="C33" s="99">
        <v>8.5214494999999987E-2</v>
      </c>
    </row>
    <row r="34" spans="2:3" ht="15.75" customHeight="1" x14ac:dyDescent="0.25">
      <c r="B34" s="19" t="s">
        <v>126</v>
      </c>
      <c r="C34" s="99">
        <v>0.25414832700000001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48dempmfwdZHQk4Laa9HVsjvGfil9PJdJepQx2x8Z/vpz2m4tF3oNLMv6+sqV0n6IUlG6qUO+MkFh2YAV9SjbQ==" saltValue="hkusQYFbBsU79stKbmyF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132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133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137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138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9fN6E+2q+ztsh9/FNOBH18a/YuS6w542CB93H/vzTYYgWmAaMCSCPVG5FBNxmV8EzFDb/U+OZQJtZYf21285g==" saltValue="aKwY8TGXUPKOpjKGH5R5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3UaZNL2aBzv/XD6JcTaxkBCbacSFXoZIG2UEYI3TQLzqmHGkmubuWERQcVEWiuADzfS9+CEb/sOuRbUAmmbODA==" saltValue="WsfI3fZgNHEdC4QT/SoV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1+jnValcF2+5G4TnoD69UpGglhy98urzWTBSQZQdBrzySZ9MeOwctr7RUgvqJO/NVHisFzX15S83FgE7p8o6Q==" saltValue="uNWQuDvF4aKBMuoAFhHe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1484.89246472542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0.42185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0.34328999999999998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2.3254234572696694E-2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93426.008679999999</v>
      </c>
      <c r="C22" s="107">
        <v>92886.310400000002</v>
      </c>
      <c r="D22" s="107">
        <v>92630.517399999997</v>
      </c>
      <c r="E22" s="107">
        <v>92183.813639999993</v>
      </c>
      <c r="F22" s="107">
        <v>91537.191340000005</v>
      </c>
      <c r="G22" s="107">
        <v>90782.443859999999</v>
      </c>
      <c r="H22" s="107">
        <v>89859.403009999995</v>
      </c>
      <c r="I22" s="107">
        <v>88678.481050000002</v>
      </c>
      <c r="J22" s="107">
        <v>86993.360520000002</v>
      </c>
      <c r="K22" s="107">
        <v>84689.153760000001</v>
      </c>
      <c r="L22" s="107">
        <v>81236.659220000001</v>
      </c>
      <c r="M22" s="107">
        <v>76359.293820000006</v>
      </c>
      <c r="N22" s="107">
        <v>69169.567190000002</v>
      </c>
      <c r="O22" s="107">
        <v>59738.168949999999</v>
      </c>
    </row>
  </sheetData>
  <sheetProtection algorithmName="SHA-512" hashValue="4SM3oLxC2wODBP2R9k3Eash5jzLZFMGbXT6zc+ABV1Q/OUKBsR+vBr/I5dvDcAOQpo1mX5GdDPhm8GP+9MmyEw==" saltValue="9QeboSyCjZrIHST1qNr8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7CZV7csvIFE3R5ReSh/uo47adGo495jEt95wLWChqK06PSOZT/sdMfoklpmMNNVKN3IJzY2Gm4c69Miv2F7Hw==" saltValue="Kycuyg5SJBJuD50lBCRc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Cs9N+IwvuQ6MeuQFK4Q/dvfHvIiRJX6Ln9Hqh+GDYIrzw9nX9CV9+ovNmG7UHybpTkrlES8oooki2+tCFNIXQ==" saltValue="3tON7uFK8XQbdaHocxwo4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0.125552</v>
      </c>
      <c r="C10" s="96">
        <v>0.95</v>
      </c>
      <c r="D10" s="56">
        <v>15.06077994466111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15.06077994466111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15.06077994466111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15.06077994466111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15.06077994466111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0.41392640000000003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0.60599999999999998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0.10688060000000001</v>
      </c>
      <c r="C19" s="96">
        <v>0.95</v>
      </c>
      <c r="D19" s="56">
        <v>1.888235787121497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0.56810229999999995</v>
      </c>
      <c r="C23" s="96">
        <v>0.95</v>
      </c>
      <c r="D23" s="56">
        <v>4.9386229663401986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0.42426401169421402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0.37546259999999998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0.21526239999999999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0.25009999999999999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0.48499999999999999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0.15573529999999999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0.6041609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8.7560000000000003E-4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0.59496380000000004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2E-3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Ua2foZvfnYnZisRBcxlGx4b7ZxhRdvnRYUxGat75M4x4o8tCzdTFQgGhTkFLq2TcajAUbiZeZXz1c7OgAjDgvQ==" saltValue="aZIxr1MemV7/em3IQy8b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pSlq4K1LJU8dtNjzxXINwbaW1+fGL87zJAT5pqo8WixkLHVlDHqnB9Wdbfb9CwuSkK0OFSSCdLXLEbLX7Z6/A==" saltValue="YE1qajemax4RgRunh+rV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3nXD6KM/fK+WJtyeMzpX3gT9w/Az4grAG/CC+Jho3kVoFG7eJFk1DxT1Igo2aVATsBkdnysZrauKqyysn/v4A==" saltValue="PlcjcH3n5ZKNKlDecEPj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4.1340000000000003</v>
      </c>
      <c r="C2" s="21">
        <f>'Données pop de l''année de ref'!C52</f>
        <v>4.1340000000000003</v>
      </c>
      <c r="D2" s="21">
        <f>'Données pop de l''année de ref'!C53</f>
        <v>8.6319999999999997</v>
      </c>
      <c r="E2" s="21">
        <f>'Données pop de l''année de ref'!C54</f>
        <v>7.0460000000000003</v>
      </c>
      <c r="F2" s="21">
        <f>'Données pop de l''année de ref'!C55</f>
        <v>2.5219999999999998</v>
      </c>
    </row>
    <row r="3" spans="1:6" ht="15.75" customHeight="1" x14ac:dyDescent="0.25">
      <c r="A3" s="3" t="s">
        <v>238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237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VfXbxdQWYjer2qzymzKPMB+a4yHxAwEwIZDvrE5lxRums6t/Ta9fmAW0sGsjeHmQgUM/EyP5DIiBz5wbG7/apQ==" saltValue="sL5nVzPqKSTsD0AMJip3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KYulzXqTwQnlns1pvx3NoykCCkUZEj/u+oQ3t0d46pCuwZZe/RNTz7eLxu25JI9b9syeLdYbGRDoASjpNbx3g==" saltValue="/kuBYv4r2WMHq5kKl8SD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NPX1kH1vvc/dL0OpkSo8IyDiOMnm8GT2pr3j3vU33o7N+fiawwNvJrCbYSXo9VNW3nVMK+TCSSI9uG3mZL0sQ==" saltValue="8Fezoj4szVc2Tb3bQSAb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dgdzqPny3y36qmafonD6aG5V4RG3iJw6FAwmPvGdkeUm/Rn+m/8UKPJCBck+CY40xfBNEoU8WhbipJLoX7fIg==" saltValue="AjW2mId1sb8vbIQBfmIB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wYnCf5sR0kxcgQh3hEf6zlI/aGYKwssdUEFDh4kl0jBh5Bdw/dJvHOjk4sZAyB9sTmAt+263+g6lSYgFApMAA==" saltValue="sBjySQBcRyN6AEq/06nK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hFvNYSRAr3HLFoDnlfCj+ZIQPkNRl3/4Nz8l817mbRvywQBll/hE9aUKNIUmGuuHppV5MxkhwR8m82t39k9bw==" saltValue="QSqfGQMtT3Xw3tnCBflL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B9dpT08YdwzyBxbk1abh86hSQ7Ec+pmEZsec3D4UyaKSONGT9HGNeWRuGAqNBSUKF/49N3JVgN9qsLQYN9ENw==" saltValue="z5KOA/Klzv0Xde+vadpg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bM5x9nCZTMllroLe855TcW+1S9QNJJwBITEGlxxOfOH7UKk9vwCtf52KZ8sjauHG15g+W1eI4dbySGgDXuhAg==" saltValue="W2K+EW2SG/a2zq4MAN3Mb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MQN7tfzwRtAd+X7w0Zdyv7uHBi7xkxnWD5rO+WYwBxcy1EhH69Ewbxpkny8vrJjCXSatFILuyDiUGVcmyU2tw==" saltValue="Uq0LJcp1TzbpB62tjDo2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t6DevI42jeP7C8PFJbNp66BKrtgCvQUkLsAToiXu8nSBHM+XCmmeOYjlPOnihmJeWskG4fNpfEjYAEv1PGqVw==" saltValue="rIMtmwfPfjrbeV/WW99z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8NVxu+tuo/FHGgbh9HMHAFOCzoZGVD5x4INAqnglpWMZ7J2vN1HKSi2o5ihPb/4iGjvJfTWfh8Be8+U4mvQAg==" saltValue="llUIUBfI45pWRmZQIeFV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ZlnaCa59+1cBRWkOyil8TrroOiRf4rjilTqyp8wEAEugKrW0eL8/pNcVuxvbYnT1IEcEvt/QGMpRHEas1YnRA==" saltValue="BXV5LFxTwlWyjHDE7ltP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m9yQa6myNkdKKKvdaGgmqBuFCUCUlXxZ4TCqeUk6ykQ0OdJrR+PVtJPQtbfMJl2d+RGF34lYLuJQBSVB7Vj4g==" saltValue="HhRnVi9cO6dvVIAUILhU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GT3AXOGpbBcW1Cq0u9Y2iue82s+34njhnTqm+YpzfVN3qrp4wbQu19tp7xOzD/Kfgx7NHGCzoW6rrOgcE8efQ==" saltValue="8MlZwOW+pwdld2oi2FV7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7D3ij/lX8OkszcF6aXMDJSe/VfgzD6w28SUrkJzIEQ6RRXFzSbOKJbX2u/u6evb4tZl6fRBplXPgeYHNDxpz0g==" saltValue="yCzvpdDdaGnKEj2j7KPN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aQitpyQhoLr8RXX3spr+sB187Dj58/rfnBxHASAxDLig+22bXGqaQIG7bQNd5t+ElYIy12ZypfjQQSF/So1Xg==" saltValue="HRMVlnZyNPri6yXApDmxw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