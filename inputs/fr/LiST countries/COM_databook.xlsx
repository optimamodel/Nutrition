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B87252F-D746-404B-AC03-E7C6C534EB6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I9" i="2"/>
  <c r="I13" i="2"/>
  <c r="A31" i="2"/>
  <c r="I2" i="2"/>
  <c r="I6" i="2"/>
  <c r="A19" i="2"/>
  <c r="A35" i="2"/>
  <c r="A34" i="2"/>
  <c r="A22" i="2"/>
  <c r="A36" i="2"/>
  <c r="I3" i="2"/>
  <c r="I7" i="2"/>
  <c r="I11" i="2"/>
  <c r="A23" i="2"/>
  <c r="A37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<sst xmlns="http://schemas.openxmlformats.org/spreadsheetml/2006/main" count="2159" uniqueCount="368">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</sst>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114859</v>
      </c>
    </row>
    <row r="8" spans="1:3" ht="15" customHeight="1" x14ac:dyDescent="0.25">
      <c r="B8" s="5" t="s">
        <v>37</v>
      </c>
      <c r="C8" s="44">
        <v>0.17899999999999999</v>
      </c>
    </row>
    <row r="9" spans="1:3" ht="15" customHeight="1" x14ac:dyDescent="0.25">
      <c r="B9" s="5" t="s">
        <v>38</v>
      </c>
      <c r="C9" s="45">
        <v>0.5</v>
      </c>
    </row>
    <row r="10" spans="1:3" ht="15" customHeight="1" x14ac:dyDescent="0.25">
      <c r="B10" s="5" t="s">
        <v>39</v>
      </c>
      <c r="C10" s="45">
        <v>0.51667209999999997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8.2599999999999993E-2</v>
      </c>
    </row>
    <row r="24" spans="1:3" ht="15" customHeight="1" x14ac:dyDescent="0.25">
      <c r="B24" s="15" t="s">
        <v>51</v>
      </c>
      <c r="C24" s="45">
        <v>0.42909999999999998</v>
      </c>
    </row>
    <row r="25" spans="1:3" ht="15" customHeight="1" x14ac:dyDescent="0.25">
      <c r="B25" s="15" t="s">
        <v>52</v>
      </c>
      <c r="C25" s="45">
        <v>0.38800000000000001</v>
      </c>
    </row>
    <row r="26" spans="1:3" ht="15" customHeight="1" x14ac:dyDescent="0.25">
      <c r="B26" s="15" t="s">
        <v>53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0.22550533803534301</v>
      </c>
    </row>
    <row r="30" spans="1:3" ht="14.25" customHeight="1" x14ac:dyDescent="0.25">
      <c r="B30" s="25" t="s">
        <v>56</v>
      </c>
      <c r="C30" s="99">
        <v>9.9346175298700296E-2</v>
      </c>
    </row>
    <row r="31" spans="1:3" ht="14.25" customHeight="1" x14ac:dyDescent="0.25">
      <c r="B31" s="25" t="s">
        <v>57</v>
      </c>
      <c r="C31" s="99">
        <v>0.13120678480199499</v>
      </c>
    </row>
    <row r="32" spans="1:3" ht="14.25" customHeight="1" x14ac:dyDescent="0.25">
      <c r="B32" s="25" t="s">
        <v>58</v>
      </c>
      <c r="C32" s="99">
        <v>0.54394170186396207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25.751989999999999</v>
      </c>
    </row>
    <row r="38" spans="1:5" ht="15" customHeight="1" x14ac:dyDescent="0.25">
      <c r="B38" s="11" t="s">
        <v>63</v>
      </c>
      <c r="C38" s="43">
        <v>39.297609999999999</v>
      </c>
      <c r="D38" s="12"/>
      <c r="E38" s="13"/>
    </row>
    <row r="39" spans="1:5" ht="15" customHeight="1" x14ac:dyDescent="0.25">
      <c r="B39" s="11" t="s">
        <v>64</v>
      </c>
      <c r="C39" s="43">
        <v>49.716740000000001</v>
      </c>
      <c r="D39" s="12"/>
      <c r="E39" s="12"/>
    </row>
    <row r="40" spans="1:5" ht="15" customHeight="1" x14ac:dyDescent="0.25">
      <c r="B40" s="11" t="s">
        <v>65</v>
      </c>
      <c r="C40" s="100">
        <v>2.17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7.8993999999999991E-3</v>
      </c>
      <c r="D45" s="12"/>
    </row>
    <row r="46" spans="1:5" ht="15.75" customHeight="1" x14ac:dyDescent="0.25">
      <c r="B46" s="11" t="s">
        <v>70</v>
      </c>
      <c r="C46" s="45">
        <v>8.4877900000000006E-2</v>
      </c>
      <c r="D46" s="12"/>
    </row>
    <row r="47" spans="1:5" ht="15.75" customHeight="1" x14ac:dyDescent="0.25">
      <c r="B47" s="11" t="s">
        <v>71</v>
      </c>
      <c r="C47" s="45">
        <v>7.3488499999999998E-2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4.1340000000000003</v>
      </c>
      <c r="D51" s="12"/>
    </row>
    <row r="52" spans="1:4" ht="15" customHeight="1" x14ac:dyDescent="0.25">
      <c r="B52" s="11" t="s">
        <v>75</v>
      </c>
      <c r="C52" s="100">
        <v>4.1340000000000003</v>
      </c>
    </row>
    <row r="53" spans="1:4" ht="15.75" customHeight="1" x14ac:dyDescent="0.25">
      <c r="B53" s="11" t="s">
        <v>76</v>
      </c>
      <c r="C53" s="100">
        <v>8.6319999999999997</v>
      </c>
    </row>
    <row r="54" spans="1:4" ht="15.75" customHeight="1" x14ac:dyDescent="0.25">
      <c r="B54" s="11" t="s">
        <v>77</v>
      </c>
      <c r="C54" s="100">
        <v>7.0460000000000003</v>
      </c>
    </row>
    <row r="55" spans="1:4" ht="15.75" customHeight="1" x14ac:dyDescent="0.25">
      <c r="B55" s="11" t="s">
        <v>78</v>
      </c>
      <c r="C55" s="100">
        <v>2.5219999999999998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0.50987099999999996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0.23027240060000001</v>
      </c>
    </row>
    <row r="63" spans="1:4" ht="15.75" customHeight="1" x14ac:dyDescent="0.3">
      <c r="A63" s="4"/>
    </row>
  </sheetData>
  <sheetProtection algorithmName="SHA-512" hashValue="NBb8DnWDTz6HSAh4xUnXZ3L5o1qkaJ43/JHfN74grAj+EWq8wibk82WMy8lo2CVeYovSc2hhsAota/bSx/wqnQ==" saltValue="qgCPFhSNCri+vCUOylZb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115694</v>
      </c>
      <c r="C2" s="49">
        <v>25889</v>
      </c>
      <c r="D2" s="49">
        <v>52802.5</v>
      </c>
      <c r="E2" s="49">
        <v>89253.999999999985</v>
      </c>
      <c r="F2" s="49">
        <v>69124</v>
      </c>
      <c r="G2" s="17">
        <f t="shared" ref="G2:G13" si="0">C2+D2+E2+F2</f>
        <v>237069.5</v>
      </c>
      <c r="H2" s="17">
        <f t="shared" ref="H2:H13" si="1">(B2 + stillbirth*B2/(1000-stillbirth))/(1-abortion)</f>
        <v>134735.3935921193</v>
      </c>
      <c r="I2" s="17">
        <f t="shared" ref="I2:I13" si="2">G2-H2</f>
        <v>102334.1064078807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24467</v>
      </c>
      <c r="C3" s="50">
        <v>42634</v>
      </c>
      <c r="D3" s="50">
        <v>71651</v>
      </c>
      <c r="E3" s="50">
        <v>56603</v>
      </c>
      <c r="F3" s="50">
        <v>43073.5</v>
      </c>
      <c r="G3" s="17">
        <f t="shared" si="0"/>
        <v>213961.5</v>
      </c>
      <c r="H3" s="17">
        <f t="shared" si="1"/>
        <v>28493.879328386807</v>
      </c>
      <c r="I3" s="17">
        <f t="shared" si="2"/>
        <v>185467.6206716132</v>
      </c>
    </row>
    <row r="4" spans="1:9" ht="15.75" customHeight="1" x14ac:dyDescent="0.25">
      <c r="A4" s="5">
        <f t="shared" si="3"/>
        <v>2026</v>
      </c>
      <c r="B4" s="49">
        <v>24525</v>
      </c>
      <c r="C4" s="50">
        <v>43768</v>
      </c>
      <c r="D4" s="50">
        <v>73193</v>
      </c>
      <c r="E4" s="50">
        <v>57253.5</v>
      </c>
      <c r="F4" s="50">
        <v>44391.5</v>
      </c>
      <c r="G4" s="17">
        <f t="shared" si="0"/>
        <v>218606</v>
      </c>
      <c r="H4" s="17">
        <f t="shared" si="1"/>
        <v>28561.425206551125</v>
      </c>
      <c r="I4" s="17">
        <f t="shared" si="2"/>
        <v>190044.57479344888</v>
      </c>
    </row>
    <row r="5" spans="1:9" ht="15.75" customHeight="1" x14ac:dyDescent="0.25">
      <c r="A5" s="5">
        <f t="shared" si="3"/>
        <v>2027</v>
      </c>
      <c r="B5" s="49">
        <v>24599</v>
      </c>
      <c r="C5" s="50">
        <v>44969.5</v>
      </c>
      <c r="D5" s="50">
        <v>74696</v>
      </c>
      <c r="E5" s="50">
        <v>57931</v>
      </c>
      <c r="F5" s="50">
        <v>45672</v>
      </c>
      <c r="G5" s="17">
        <f t="shared" si="0"/>
        <v>223268.5</v>
      </c>
      <c r="H5" s="17">
        <f t="shared" si="1"/>
        <v>28647.604430415951</v>
      </c>
      <c r="I5" s="17">
        <f t="shared" si="2"/>
        <v>194620.89556958404</v>
      </c>
    </row>
    <row r="6" spans="1:9" ht="15.75" customHeight="1" x14ac:dyDescent="0.25">
      <c r="A6" s="5">
        <f t="shared" si="3"/>
        <v>2028</v>
      </c>
      <c r="B6" s="49">
        <v>24695</v>
      </c>
      <c r="C6" s="50">
        <v>46153.5</v>
      </c>
      <c r="D6" s="50">
        <v>76129.5</v>
      </c>
      <c r="E6" s="50">
        <v>58705</v>
      </c>
      <c r="F6" s="50">
        <v>46924.5</v>
      </c>
      <c r="G6" s="17">
        <f t="shared" si="0"/>
        <v>227912.5</v>
      </c>
      <c r="H6" s="17">
        <f t="shared" si="1"/>
        <v>28759.404504618964</v>
      </c>
      <c r="I6" s="17">
        <f t="shared" si="2"/>
        <v>199153.09549538104</v>
      </c>
    </row>
    <row r="7" spans="1:9" ht="15.75" customHeight="1" x14ac:dyDescent="0.25">
      <c r="A7" s="5">
        <f t="shared" si="3"/>
        <v>2029</v>
      </c>
      <c r="B7" s="49">
        <v>24823</v>
      </c>
      <c r="C7" s="50">
        <v>47258</v>
      </c>
      <c r="D7" s="50">
        <v>77502.000000000015</v>
      </c>
      <c r="E7" s="50">
        <v>59623.5</v>
      </c>
      <c r="F7" s="50">
        <v>48150.999999999993</v>
      </c>
      <c r="G7" s="17">
        <f t="shared" si="0"/>
        <v>232534.5</v>
      </c>
      <c r="H7" s="17">
        <f t="shared" si="1"/>
        <v>28908.471270222981</v>
      </c>
      <c r="I7" s="17">
        <f t="shared" si="2"/>
        <v>203626.02872977703</v>
      </c>
    </row>
    <row r="8" spans="1:9" ht="15.75" customHeight="1" x14ac:dyDescent="0.25">
      <c r="A8" s="5">
        <f t="shared" si="3"/>
        <v>2030</v>
      </c>
      <c r="B8" s="49">
        <v>24938</v>
      </c>
      <c r="C8" s="50">
        <v>48256.5</v>
      </c>
      <c r="D8" s="50">
        <v>78861.5</v>
      </c>
      <c r="E8" s="50">
        <v>60694.5</v>
      </c>
      <c r="F8" s="50">
        <v>49330.5</v>
      </c>
      <c r="G8" s="17">
        <f t="shared" si="0"/>
        <v>237143</v>
      </c>
      <c r="H8" s="17">
        <f t="shared" si="1"/>
        <v>29042.398442445341</v>
      </c>
      <c r="I8" s="17">
        <f t="shared" si="2"/>
        <v>208100.60155755465</v>
      </c>
    </row>
    <row r="9" spans="1:9" ht="15.75" customHeight="1" x14ac:dyDescent="0.25">
      <c r="A9" s="5">
        <f t="shared" si="3"/>
        <v>2031</v>
      </c>
      <c r="B9" s="49">
        <v>25062</v>
      </c>
      <c r="C9" s="50">
        <v>49146</v>
      </c>
      <c r="D9" s="50">
        <v>80269</v>
      </c>
      <c r="E9" s="50">
        <v>61900.000000000007</v>
      </c>
      <c r="F9" s="50">
        <v>50433</v>
      </c>
      <c r="G9" s="17">
        <f t="shared" si="0"/>
        <v>241748</v>
      </c>
      <c r="H9" s="17">
        <f t="shared" si="1"/>
        <v>29186.806871624234</v>
      </c>
      <c r="I9" s="17">
        <f t="shared" si="2"/>
        <v>212561.19312837577</v>
      </c>
    </row>
    <row r="10" spans="1:9" ht="15.75" customHeight="1" x14ac:dyDescent="0.25">
      <c r="A10" s="5">
        <f t="shared" si="3"/>
        <v>2032</v>
      </c>
      <c r="B10" s="49">
        <v>25184</v>
      </c>
      <c r="C10" s="50">
        <v>49947.5</v>
      </c>
      <c r="D10" s="50">
        <v>81785</v>
      </c>
      <c r="E10" s="50">
        <v>63215</v>
      </c>
      <c r="F10" s="50">
        <v>51433</v>
      </c>
      <c r="G10" s="17">
        <f t="shared" si="0"/>
        <v>246380.5</v>
      </c>
      <c r="H10" s="17">
        <f t="shared" si="1"/>
        <v>29328.886132590564</v>
      </c>
      <c r="I10" s="17">
        <f t="shared" si="2"/>
        <v>217051.61386740944</v>
      </c>
    </row>
    <row r="11" spans="1:9" ht="15.75" customHeight="1" x14ac:dyDescent="0.25">
      <c r="A11" s="5">
        <f t="shared" si="3"/>
        <v>2033</v>
      </c>
      <c r="B11" s="49">
        <v>25346</v>
      </c>
      <c r="C11" s="50">
        <v>50708.5</v>
      </c>
      <c r="D11" s="50">
        <v>83452</v>
      </c>
      <c r="E11" s="50">
        <v>64619</v>
      </c>
      <c r="F11" s="50">
        <v>52313</v>
      </c>
      <c r="G11" s="17">
        <f t="shared" si="0"/>
        <v>251092.5</v>
      </c>
      <c r="H11" s="17">
        <f t="shared" si="1"/>
        <v>29517.548757808152</v>
      </c>
      <c r="I11" s="17">
        <f t="shared" si="2"/>
        <v>221574.95124219183</v>
      </c>
    </row>
    <row r="12" spans="1:9" ht="15.75" customHeight="1" x14ac:dyDescent="0.25">
      <c r="A12" s="5">
        <f t="shared" si="3"/>
        <v>2034</v>
      </c>
      <c r="B12" s="49">
        <v>25528</v>
      </c>
      <c r="C12" s="50">
        <v>51446</v>
      </c>
      <c r="D12" s="50">
        <v>85293</v>
      </c>
      <c r="E12" s="50">
        <v>66092.5</v>
      </c>
      <c r="F12" s="50">
        <v>53073.499999999993</v>
      </c>
      <c r="G12" s="17">
        <f t="shared" si="0"/>
        <v>255905</v>
      </c>
      <c r="H12" s="17">
        <f t="shared" si="1"/>
        <v>29729.503065151363</v>
      </c>
      <c r="I12" s="17">
        <f t="shared" si="2"/>
        <v>226175.49693484863</v>
      </c>
    </row>
    <row r="13" spans="1:9" ht="15.75" customHeight="1" x14ac:dyDescent="0.25">
      <c r="A13" s="5">
        <f t="shared" si="3"/>
        <v>2035</v>
      </c>
      <c r="B13" s="49">
        <v>25712</v>
      </c>
      <c r="C13" s="50">
        <v>52142</v>
      </c>
      <c r="D13" s="50">
        <v>87253.999999999985</v>
      </c>
      <c r="E13" s="50">
        <v>67603</v>
      </c>
      <c r="F13" s="50">
        <v>53747.5</v>
      </c>
      <c r="G13" s="17">
        <f t="shared" si="0"/>
        <v>260746.5</v>
      </c>
      <c r="H13" s="17">
        <f t="shared" si="1"/>
        <v>29943.78654070714</v>
      </c>
      <c r="I13" s="17">
        <f t="shared" si="2"/>
        <v>230802.71345929286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IjHLBWlnCKIHG+9pt1WqedMTXb+mL/h+xRwSwl9jxPV4+AYpOuWehR9aH0arZZJMv8KCUTJ825eOf690DTe7A==" saltValue="MfiFjgbpIeZXo8IqZ9s3R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1.379560137956014E-2</v>
      </c>
    </row>
    <row r="4" spans="1:8" ht="15.75" customHeight="1" x14ac:dyDescent="0.25">
      <c r="B4" s="19" t="s">
        <v>97</v>
      </c>
      <c r="C4" s="101">
        <v>5.6293305629330617E-2</v>
      </c>
    </row>
    <row r="5" spans="1:8" ht="15.75" customHeight="1" x14ac:dyDescent="0.25">
      <c r="B5" s="19" t="s">
        <v>98</v>
      </c>
      <c r="C5" s="101">
        <v>7.5123207512320808E-2</v>
      </c>
    </row>
    <row r="6" spans="1:8" ht="15.75" customHeight="1" x14ac:dyDescent="0.25">
      <c r="B6" s="19" t="s">
        <v>99</v>
      </c>
      <c r="C6" s="101">
        <v>0.24197382419738189</v>
      </c>
    </row>
    <row r="7" spans="1:8" ht="15.75" customHeight="1" x14ac:dyDescent="0.25">
      <c r="B7" s="19" t="s">
        <v>100</v>
      </c>
      <c r="C7" s="101">
        <v>0.42879114287911452</v>
      </c>
    </row>
    <row r="8" spans="1:8" ht="15.75" customHeight="1" x14ac:dyDescent="0.25">
      <c r="B8" s="19" t="s">
        <v>101</v>
      </c>
      <c r="C8" s="101">
        <v>1.9423001942300211E-3</v>
      </c>
    </row>
    <row r="9" spans="1:8" ht="15.75" customHeight="1" x14ac:dyDescent="0.25">
      <c r="B9" s="19" t="s">
        <v>102</v>
      </c>
      <c r="C9" s="101">
        <v>7.2365807236580704E-2</v>
      </c>
    </row>
    <row r="10" spans="1:8" ht="15.75" customHeight="1" x14ac:dyDescent="0.25">
      <c r="B10" s="19" t="s">
        <v>103</v>
      </c>
      <c r="C10" s="101">
        <v>0.1097148109714812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106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107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110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111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112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113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8.8581871999999992E-2</v>
      </c>
    </row>
    <row r="27" spans="1:8" ht="15.75" customHeight="1" x14ac:dyDescent="0.25">
      <c r="B27" s="19" t="s">
        <v>120</v>
      </c>
      <c r="C27" s="101">
        <v>8.8641740000000007E-3</v>
      </c>
    </row>
    <row r="28" spans="1:8" ht="15.75" customHeight="1" x14ac:dyDescent="0.25">
      <c r="B28" s="19" t="s">
        <v>121</v>
      </c>
      <c r="C28" s="101">
        <v>0.15728592299999999</v>
      </c>
    </row>
    <row r="29" spans="1:8" ht="15.75" customHeight="1" x14ac:dyDescent="0.25">
      <c r="B29" s="19" t="s">
        <v>122</v>
      </c>
      <c r="C29" s="101">
        <v>0.170055973</v>
      </c>
    </row>
    <row r="30" spans="1:8" ht="15.75" customHeight="1" x14ac:dyDescent="0.25">
      <c r="B30" s="19" t="s">
        <v>2</v>
      </c>
      <c r="C30" s="101">
        <v>0.105793744</v>
      </c>
    </row>
    <row r="31" spans="1:8" ht="15.75" customHeight="1" x14ac:dyDescent="0.25">
      <c r="B31" s="19" t="s">
        <v>123</v>
      </c>
      <c r="C31" s="101">
        <v>0.111206134</v>
      </c>
    </row>
    <row r="32" spans="1:8" ht="15.75" customHeight="1" x14ac:dyDescent="0.25">
      <c r="B32" s="19" t="s">
        <v>124</v>
      </c>
      <c r="C32" s="101">
        <v>1.8849359E-2</v>
      </c>
    </row>
    <row r="33" spans="2:3" ht="15.75" customHeight="1" x14ac:dyDescent="0.25">
      <c r="B33" s="19" t="s">
        <v>125</v>
      </c>
      <c r="C33" s="101">
        <v>8.5214494999999987E-2</v>
      </c>
    </row>
    <row r="34" spans="2:3" ht="15.75" customHeight="1" x14ac:dyDescent="0.25">
      <c r="B34" s="19" t="s">
        <v>126</v>
      </c>
      <c r="C34" s="101">
        <v>0.25414832700000001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CocF5Z46RpJ1lZKKmKY9l6qqN/53toWMcTPeHfw9UXR67Alqh6qKB2HeCXOqKXzxN3z6Epf0G84txgGjoI288w==" saltValue="Eit6QRIgHW8unnAoKXu9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132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133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137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138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kJZnVlPUMjx5xCo4f0DUvIHmH6KdYwOBZdpdFQB3+6oAGlo+fflBaEQsKMuS4uIA3BOYhaMAVydJwQ3u1XW8A==" saltValue="3LJDD4ReE/yUvqCX/IV3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6.8028899999999948E-2</v>
      </c>
      <c r="D5" s="52">
        <f t="shared" si="0"/>
        <v>5.3734100000000007E-2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kh9XiQcXrZvkap8NJPWMTG3j4OjOfqNTvnEd8T4dhVc1NO49EMMNSX6RNco4DsKw3A8P16cQI9spUu8t5PeKHg==" saltValue="eqDsKFAkr5aKJxX0kTktZ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cby+S3M2ROeg/XspYGNmwf3cEYh35GscrRoOGkkeI1lcexPI20LKwuJfcjt+K6XGO9DymFbKSu8yIe0uhZdqg==" saltValue="42ajAsqeNLKocpgKEgMF/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1484.89246472542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0.42185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0.34328999999999998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2.3254234572696694E-2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93426.008679999999</v>
      </c>
      <c r="C22" s="109">
        <v>92886.310400000002</v>
      </c>
      <c r="D22" s="109">
        <v>92630.517399999997</v>
      </c>
      <c r="E22" s="109">
        <v>92183.813639999993</v>
      </c>
      <c r="F22" s="109">
        <v>91537.191340000005</v>
      </c>
      <c r="G22" s="109">
        <v>90782.443859999999</v>
      </c>
      <c r="H22" s="109">
        <v>89859.403009999995</v>
      </c>
      <c r="I22" s="109">
        <v>88678.481050000002</v>
      </c>
      <c r="J22" s="109">
        <v>86993.360520000002</v>
      </c>
      <c r="K22" s="109">
        <v>84689.153760000001</v>
      </c>
      <c r="L22" s="109">
        <v>81236.659220000001</v>
      </c>
      <c r="M22" s="109">
        <v>76359.293820000006</v>
      </c>
      <c r="N22" s="109">
        <v>69169.567190000002</v>
      </c>
      <c r="O22" s="109">
        <v>59738.168949999999</v>
      </c>
    </row>
  </sheetData>
  <sheetProtection algorithmName="SHA-512" hashValue="iQtGnfX9Wp9hcfXN8DoW7bOWpj0elsI0GVpXkypNw5MhLwOlFyZEvgAQBHBI9ej+Qk/uJNgZbNg92Etr7ia/UA==" saltValue="lIvr7uP9SaANz6/hr4rLT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C1E6iKxJrT7II2yoMbmsBgtvZk9SzMDA0+BqvkxG8SNYrxkwcTgKyj19iKYrT/XntJplesmMr5sJPIuXxquRA==" saltValue="bUqJW4WSbtBnUdyTJe4iZ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1MzXV64+O4djV5v/NbBIdCfHNDfTEbmQc4ez8u+J/jQCu9yYzt+ZRRv1XwWYzNGDRcIB+Fv7F9HKcurNQ02Kdw==" saltValue="hh0Mdv9eTNAPW64YB+Tx6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0.125552</v>
      </c>
      <c r="C10" s="98">
        <v>0.95</v>
      </c>
      <c r="D10" s="56">
        <v>15.06077994466111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15.06077994466111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15.06077994466111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15.06077994466111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15.06077994466111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0.41392640000000003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0.60599999999999998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0.10688060000000001</v>
      </c>
      <c r="C19" s="98">
        <v>0.95</v>
      </c>
      <c r="D19" s="56">
        <v>1.888235787121497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0.56810229999999995</v>
      </c>
      <c r="C23" s="98">
        <v>0.95</v>
      </c>
      <c r="D23" s="56">
        <v>4.9386229663401986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0.42426401169421402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0.37546259999999998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0.21526239999999999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0.25009999999999999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0.48499999999999999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0.15573529999999999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0.6041609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8.7560000000000003E-4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0.59496380000000004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2E-3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Q4a/OCgWOYPOivOQ+srT/i70kjobRlmPOK7HvzPSGVRprthue993viGR2D5NhIpTlgccXeVma70GmouUcHALHA==" saltValue="pXuCUGgHOnP9ig7LGAA0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LKxohN9wC7++s0tvdXrLo3GsKsUax90IkzxnPhlbxDUczoNUM6INIUYxzwI4I3nt11wZBZjp9mkfvBD+UnBYg==" saltValue="ZxDZCWtPVI8+ETCAGb62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HI2rXAGzHycBunE8AXzobE7MDqfrFOZSHa8XN+RjF9eXaaI5OiwnbGOMS6erdEwfKpe12fudUeh/+zB1YbV5A==" saltValue="KXlpgkAcrmJhzQ2v6nLE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4.1340000000000003</v>
      </c>
      <c r="C2" s="21">
        <f>'Données pop de l''année de ref'!C52</f>
        <v>4.1340000000000003</v>
      </c>
      <c r="D2" s="21">
        <f>'Données pop de l''année de ref'!C53</f>
        <v>8.6319999999999997</v>
      </c>
      <c r="E2" s="21">
        <f>'Données pop de l''année de ref'!C54</f>
        <v>7.0460000000000003</v>
      </c>
      <c r="F2" s="21">
        <f>'Données pop de l''année de ref'!C55</f>
        <v>2.5219999999999998</v>
      </c>
    </row>
    <row r="3" spans="1:6" ht="15.75" customHeight="1" x14ac:dyDescent="0.25">
      <c r="A3" s="3" t="s">
        <v>238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237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sheetProtection algorithmName="SHA-512" hashValue="VuAlIrcT1s5e0mb51sOY4FVXsIjiPvPMfgpHlOGa2awZPCIM8g5KupAp+oVFjJSDCzS6yw3YuZtz0D18DlAzQA==" saltValue="n5JkKJLqLgjDrazb+JH2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0.17899999999999999</v>
      </c>
      <c r="F2" s="60">
        <f>food_insecure</f>
        <v>0.17899999999999999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9.0196363636363658E-2</v>
      </c>
      <c r="D7" s="60">
        <f>diarrhoea_1_5mo*frac_diarrhea_severe</f>
        <v>9.0196363636363658E-2</v>
      </c>
      <c r="E7" s="60">
        <f>diarrhoea_6_11mo*frac_diarrhea_severe</f>
        <v>0.18833454545454545</v>
      </c>
      <c r="F7" s="60">
        <f>diarrhoea_12_23mo*frac_diarrhea_severe</f>
        <v>0.15373090909090911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9.0196363636363658E-2</v>
      </c>
      <c r="D12" s="60">
        <f>diarrhoea_1_5mo*frac_diarrhea_severe</f>
        <v>9.0196363636363658E-2</v>
      </c>
      <c r="E12" s="60">
        <f>diarrhoea_6_11mo*frac_diarrhea_severe</f>
        <v>0.18833454545454545</v>
      </c>
      <c r="F12" s="60">
        <f>diarrhoea_12_23mo*frac_diarrhea_severe</f>
        <v>0.15373090909090911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0.17899999999999999</v>
      </c>
      <c r="I15" s="60">
        <f t="shared" si="0"/>
        <v>0.17899999999999999</v>
      </c>
      <c r="J15" s="60">
        <f t="shared" si="0"/>
        <v>0.17899999999999999</v>
      </c>
      <c r="K15" s="60">
        <f t="shared" si="0"/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0.17899999999999999</v>
      </c>
      <c r="I16" s="60">
        <f t="shared" si="0"/>
        <v>0.17899999999999999</v>
      </c>
      <c r="J16" s="60">
        <f t="shared" si="0"/>
        <v>0.17899999999999999</v>
      </c>
      <c r="K16" s="60">
        <f t="shared" si="0"/>
        <v>0.17899999999999999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0.25499896676099998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0.10928527146899999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0.11904366176999999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0.51667209999999997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0.5</v>
      </c>
      <c r="D34" s="60">
        <f t="shared" si="4"/>
        <v>0.5</v>
      </c>
      <c r="E34" s="60">
        <f t="shared" si="4"/>
        <v>0.5</v>
      </c>
      <c r="F34" s="60">
        <f t="shared" si="4"/>
        <v>0.5</v>
      </c>
      <c r="G34" s="60">
        <f t="shared" si="4"/>
        <v>0.5</v>
      </c>
      <c r="H34" s="60">
        <f t="shared" si="4"/>
        <v>0.5</v>
      </c>
      <c r="I34" s="60">
        <f t="shared" si="4"/>
        <v>0.5</v>
      </c>
      <c r="J34" s="60">
        <f t="shared" si="4"/>
        <v>0.5</v>
      </c>
      <c r="K34" s="60">
        <f t="shared" si="4"/>
        <v>0.5</v>
      </c>
      <c r="L34" s="60">
        <f t="shared" si="4"/>
        <v>0.5</v>
      </c>
      <c r="M34" s="60">
        <f t="shared" si="4"/>
        <v>0.5</v>
      </c>
      <c r="N34" s="60">
        <f t="shared" si="4"/>
        <v>0.5</v>
      </c>
      <c r="O34" s="60">
        <f t="shared" si="4"/>
        <v>0.5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Mk1h63cc62MZme2+763U0yXCvCDGkIL4Toa72Ryxt4r7IyohCp6fGn1a6p0lJwcrbiUDyaUYjuCL+xBtcXi8Q==" saltValue="vi/jkKRI/PcWteqaGUkV/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Yol7FRiYzKxVErXIwfT8KDUYxF2SQ/OAk9K2tL+1W+fRn8uZhR9huuFRDQ5Ol6s/R2Aqr/KRSsJswj1jRWG0w==" saltValue="STgyfbZGpN3FX4HrNXF0A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L9+LQl9bekCYOJEKt7B2x5xF4aj2bIaBk8krSM4IY++R/EEWrzzhPTQlbd+hIHQy3u7Ao5CqrTnjuFAe8Nv0g==" saltValue="8I2QEqd/KFdXdJekv+FY4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SvtBCKBscuhIOxJMQVQ4Oj0AGB5wwevvh2C6oVTOAZ/ChgTc+KliL2bhEKNWqJ9NtaqQOxxPiGDO6t0FUGHOw==" saltValue="Mf5rAmZcli5RlpAC8OMu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YT28yE72Q37Cb3W7Snh1shNy/4Ra+oUtqQh5dwD2iWq9auoFxbUG/eN7LqUjfp+321imbRimlkHjdu2KO4LYiw==" saltValue="Ckk8JGCahCztuDnyWACC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VkB9MLHKOXDoxXR1fpu8iuyaTGf2DCNc2lFSKW7TWly6KcxNBt3LP8CjwWz8g71d6YLtwkCZIM4yBqfqgSpadQ==" saltValue="/mdY2tjg96v2GYJsCkrtP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LTfZErm3/RFTOvO9t10LjPskafSsChlBwKU3vA4nH0sk8vCjs5BARcUjAfSeNfw/v9xP64gHm1CHU1NENVXHg==" saltValue="054Y/ch4KjfgQhCfiv525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h14N0oKIWXEe563iaPfNRDuy/JSEZ1esj5GS67syBrPooOgETRrbPPOef9hIsk2sBlD85GdwUmRmGYrSu2ZTUQ==" saltValue="PUXMoBCl6iErlxeVleec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R2JKvu+hk8UWlzxYfU6VGT9+JbBq9PxfYCjmy/Kou64q+8NHQ8VwFFvIYvRwxw+MMAUVdc9FMqW65WhqgFCBA==" saltValue="l900QfsJnK56kdj0HU4F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nJoBRlLsrBYZbl406iGaK5IUmj2AwZfHSiFTNKT9H/7SPgi8UaCL/Xag9E9KMqXBGX/CX5cprdjLNrz7MONug==" saltValue="0VD4wLTMFf5N+li3NjjK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R/QQIN3xKaKKaD5g4KuzHGPN6ljWpl53Nb7/MRtBuzgSGlNBgavMcQe0e2AnnRQYt0dh1o64Ybdi+QHElEaAQ==" saltValue="zo+BjqrbTV7StB/zgZf6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gQD8xRD4aKFbxQfIGg9uMUHXYl3HWzV6EfAERh9rbyHKfx26dmXmu5PyAwXfLs22VotsnDQix4UWtW4G6yTNA==" saltValue="LVVTS5PgOuCNG2QtE/jU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GCfM/XkIETJqd17ksHViDxnIu9p3q5HxCJhAW/agxMRvili7HSaxaodVH+tBTpaLze5xQWV93Ohn6LUEn98sg==" saltValue="BDtwOpfyL45ZBmNVWGrG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R+E7oIq9Keb2VAWoHVdBrKPbsPdpmdnq7/fHh4yJt/VJcMRvEvm5kZRd1GAPJxPrQ7D7eaHPomMTWQaFYUqhQ==" saltValue="b3neBZDZCSFb01RmvG/x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d8oWHYfQThPkz0G9HSGnfVXXu95Uw2cbvK3I9iF+A+IuFhksagWPl2M1YdRd4HiECvE1118w3UMngwuNEdSrA==" saltValue="vACZzYzS/Z/vvICsFX6IH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