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00F7FF73-5EF9-4D2A-BE5E-68AA95F9FDDD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1" i="2" l="1"/>
  <c r="A26" i="2"/>
  <c r="I39" i="2"/>
  <c r="I2" i="2"/>
  <c r="I6" i="2"/>
  <c r="A19" i="2"/>
  <c r="A35" i="2"/>
  <c r="A22" i="2"/>
  <c r="A36" i="2"/>
  <c r="I3" i="2"/>
  <c r="I7" i="2"/>
  <c r="I11" i="2"/>
  <c r="A23" i="2"/>
  <c r="A37" i="2"/>
  <c r="A40" i="2"/>
  <c r="A24" i="2"/>
  <c r="I38" i="2"/>
  <c r="A3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<sst xmlns="http://schemas.openxmlformats.org/spreadsheetml/2006/main" count="2169" uniqueCount="369">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</sst>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114859</v>
      </c>
    </row>
    <row r="8" spans="1:3" ht="15" customHeight="1" x14ac:dyDescent="0.25">
      <c r="B8" s="5" t="s">
        <v>37</v>
      </c>
      <c r="C8" s="44">
        <v>0.17899999999999999</v>
      </c>
    </row>
    <row r="9" spans="1:3" ht="15" customHeight="1" x14ac:dyDescent="0.25">
      <c r="B9" s="5" t="s">
        <v>38</v>
      </c>
      <c r="C9" s="45">
        <v>0.5</v>
      </c>
    </row>
    <row r="10" spans="1:3" ht="15" customHeight="1" x14ac:dyDescent="0.25">
      <c r="B10" s="5" t="s">
        <v>39</v>
      </c>
      <c r="C10" s="45">
        <v>0.51667209999999997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0.72199999999999998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8.2599999999999993E-2</v>
      </c>
    </row>
    <row r="24" spans="1:3" ht="15" customHeight="1" x14ac:dyDescent="0.25">
      <c r="B24" s="15" t="s">
        <v>51</v>
      </c>
      <c r="C24" s="45">
        <v>0.42909999999999998</v>
      </c>
    </row>
    <row r="25" spans="1:3" ht="15" customHeight="1" x14ac:dyDescent="0.25">
      <c r="B25" s="15" t="s">
        <v>52</v>
      </c>
      <c r="C25" s="45">
        <v>0.38800000000000001</v>
      </c>
    </row>
    <row r="26" spans="1:3" ht="15" customHeight="1" x14ac:dyDescent="0.25">
      <c r="B26" s="15" t="s">
        <v>53</v>
      </c>
      <c r="C26" s="45">
        <v>0.1003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0.22550533803534301</v>
      </c>
    </row>
    <row r="30" spans="1:3" ht="14.25" customHeight="1" x14ac:dyDescent="0.25">
      <c r="B30" s="25" t="s">
        <v>56</v>
      </c>
      <c r="C30" s="97">
        <v>9.9346175298700296E-2</v>
      </c>
    </row>
    <row r="31" spans="1:3" ht="14.25" customHeight="1" x14ac:dyDescent="0.25">
      <c r="B31" s="25" t="s">
        <v>57</v>
      </c>
      <c r="C31" s="97">
        <v>0.13120678480199499</v>
      </c>
    </row>
    <row r="32" spans="1:3" ht="14.25" customHeight="1" x14ac:dyDescent="0.25">
      <c r="B32" s="25" t="s">
        <v>58</v>
      </c>
      <c r="C32" s="97">
        <v>0.54394170186396207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25.751989999999999</v>
      </c>
    </row>
    <row r="38" spans="1:5" ht="15" customHeight="1" x14ac:dyDescent="0.25">
      <c r="B38" s="11" t="s">
        <v>63</v>
      </c>
      <c r="C38" s="43">
        <v>39.297609999999999</v>
      </c>
      <c r="D38" s="12"/>
      <c r="E38" s="13"/>
    </row>
    <row r="39" spans="1:5" ht="15" customHeight="1" x14ac:dyDescent="0.25">
      <c r="B39" s="11" t="s">
        <v>64</v>
      </c>
      <c r="C39" s="43">
        <v>49.716740000000001</v>
      </c>
      <c r="D39" s="12"/>
      <c r="E39" s="12"/>
    </row>
    <row r="40" spans="1:5" ht="15" customHeight="1" x14ac:dyDescent="0.25">
      <c r="B40" s="11" t="s">
        <v>65</v>
      </c>
      <c r="C40" s="98">
        <v>2.17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24.232230000000001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7.8993999999999991E-3</v>
      </c>
      <c r="D45" s="12"/>
    </row>
    <row r="46" spans="1:5" ht="15.75" customHeight="1" x14ac:dyDescent="0.25">
      <c r="B46" s="11" t="s">
        <v>70</v>
      </c>
      <c r="C46" s="45">
        <v>8.4877900000000006E-2</v>
      </c>
      <c r="D46" s="12"/>
    </row>
    <row r="47" spans="1:5" ht="15.75" customHeight="1" x14ac:dyDescent="0.25">
      <c r="B47" s="11" t="s">
        <v>71</v>
      </c>
      <c r="C47" s="45">
        <v>7.3488499999999998E-2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4.1340000000000003</v>
      </c>
      <c r="D51" s="12"/>
    </row>
    <row r="52" spans="1:4" ht="15" customHeight="1" x14ac:dyDescent="0.25">
      <c r="B52" s="11" t="s">
        <v>75</v>
      </c>
      <c r="C52" s="98">
        <v>4.1340000000000003</v>
      </c>
    </row>
    <row r="53" spans="1:4" ht="15.75" customHeight="1" x14ac:dyDescent="0.25">
      <c r="B53" s="11" t="s">
        <v>76</v>
      </c>
      <c r="C53" s="98">
        <v>8.6319999999999997</v>
      </c>
    </row>
    <row r="54" spans="1:4" ht="15.75" customHeight="1" x14ac:dyDescent="0.25">
      <c r="B54" s="11" t="s">
        <v>77</v>
      </c>
      <c r="C54" s="98">
        <v>7.0460000000000003</v>
      </c>
    </row>
    <row r="55" spans="1:4" ht="15.75" customHeight="1" x14ac:dyDescent="0.25">
      <c r="B55" s="11" t="s">
        <v>78</v>
      </c>
      <c r="C55" s="98">
        <v>2.5219999999999998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0.50987099999999996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0.23027240060000001</v>
      </c>
    </row>
    <row r="63" spans="1:4" ht="15.75" customHeight="1" x14ac:dyDescent="0.3">
      <c r="A63" s="4"/>
    </row>
  </sheetData>
  <sheetProtection algorithmName="SHA-512" hashValue="MTQgfmn+dhIRvNL/z9kSDcoSD6Sn6ERbN/ZV/KxrKRQjE5HiZmy4OD0/97bHD9/wO3VfvWxs+pejDyvp9TPXXw==" saltValue="AvCvLq/rPRL82v5kOP4f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115694</v>
      </c>
      <c r="C2" s="49">
        <v>25889</v>
      </c>
      <c r="D2" s="49">
        <v>52802.5</v>
      </c>
      <c r="E2" s="49">
        <v>89253.999999999985</v>
      </c>
      <c r="F2" s="49">
        <v>69124</v>
      </c>
      <c r="G2" s="17">
        <f t="shared" ref="G2:G13" si="0">C2+D2+E2+F2</f>
        <v>237069.5</v>
      </c>
      <c r="H2" s="17">
        <f t="shared" ref="H2:H13" si="1">(B2 + stillbirth*B2/(1000-stillbirth))/(1-abortion)</f>
        <v>134735.3935921193</v>
      </c>
      <c r="I2" s="17">
        <f t="shared" ref="I2:I13" si="2">G2-H2</f>
        <v>102334.1064078807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24467</v>
      </c>
      <c r="C3" s="50">
        <v>42634</v>
      </c>
      <c r="D3" s="50">
        <v>71651</v>
      </c>
      <c r="E3" s="50">
        <v>56603</v>
      </c>
      <c r="F3" s="50">
        <v>43073.5</v>
      </c>
      <c r="G3" s="17">
        <f t="shared" si="0"/>
        <v>213961.5</v>
      </c>
      <c r="H3" s="17">
        <f t="shared" si="1"/>
        <v>28493.879328386807</v>
      </c>
      <c r="I3" s="17">
        <f t="shared" si="2"/>
        <v>185467.6206716132</v>
      </c>
    </row>
    <row r="4" spans="1:9" ht="15.75" customHeight="1" x14ac:dyDescent="0.25">
      <c r="A4" s="5">
        <f t="shared" si="3"/>
        <v>2026</v>
      </c>
      <c r="B4" s="49">
        <v>24525</v>
      </c>
      <c r="C4" s="50">
        <v>43768</v>
      </c>
      <c r="D4" s="50">
        <v>73193</v>
      </c>
      <c r="E4" s="50">
        <v>57253.5</v>
      </c>
      <c r="F4" s="50">
        <v>44391.5</v>
      </c>
      <c r="G4" s="17">
        <f t="shared" si="0"/>
        <v>218606</v>
      </c>
      <c r="H4" s="17">
        <f t="shared" si="1"/>
        <v>28561.425206551125</v>
      </c>
      <c r="I4" s="17">
        <f t="shared" si="2"/>
        <v>190044.57479344888</v>
      </c>
    </row>
    <row r="5" spans="1:9" ht="15.75" customHeight="1" x14ac:dyDescent="0.25">
      <c r="A5" s="5">
        <f t="shared" si="3"/>
        <v>2027</v>
      </c>
      <c r="B5" s="49">
        <v>24599</v>
      </c>
      <c r="C5" s="50">
        <v>44969.5</v>
      </c>
      <c r="D5" s="50">
        <v>74696</v>
      </c>
      <c r="E5" s="50">
        <v>57931</v>
      </c>
      <c r="F5" s="50">
        <v>45672</v>
      </c>
      <c r="G5" s="17">
        <f t="shared" si="0"/>
        <v>223268.5</v>
      </c>
      <c r="H5" s="17">
        <f t="shared" si="1"/>
        <v>28647.604430415951</v>
      </c>
      <c r="I5" s="17">
        <f t="shared" si="2"/>
        <v>194620.89556958404</v>
      </c>
    </row>
    <row r="6" spans="1:9" ht="15.75" customHeight="1" x14ac:dyDescent="0.25">
      <c r="A6" s="5">
        <f t="shared" si="3"/>
        <v>2028</v>
      </c>
      <c r="B6" s="49">
        <v>24695</v>
      </c>
      <c r="C6" s="50">
        <v>46153.5</v>
      </c>
      <c r="D6" s="50">
        <v>76129.5</v>
      </c>
      <c r="E6" s="50">
        <v>58705</v>
      </c>
      <c r="F6" s="50">
        <v>46924.5</v>
      </c>
      <c r="G6" s="17">
        <f t="shared" si="0"/>
        <v>227912.5</v>
      </c>
      <c r="H6" s="17">
        <f t="shared" si="1"/>
        <v>28759.404504618964</v>
      </c>
      <c r="I6" s="17">
        <f t="shared" si="2"/>
        <v>199153.09549538104</v>
      </c>
    </row>
    <row r="7" spans="1:9" ht="15.75" customHeight="1" x14ac:dyDescent="0.25">
      <c r="A7" s="5">
        <f t="shared" si="3"/>
        <v>2029</v>
      </c>
      <c r="B7" s="49">
        <v>24823</v>
      </c>
      <c r="C7" s="50">
        <v>47258</v>
      </c>
      <c r="D7" s="50">
        <v>77502.000000000015</v>
      </c>
      <c r="E7" s="50">
        <v>59623.5</v>
      </c>
      <c r="F7" s="50">
        <v>48150.999999999993</v>
      </c>
      <c r="G7" s="17">
        <f t="shared" si="0"/>
        <v>232534.5</v>
      </c>
      <c r="H7" s="17">
        <f t="shared" si="1"/>
        <v>28908.471270222981</v>
      </c>
      <c r="I7" s="17">
        <f t="shared" si="2"/>
        <v>203626.02872977703</v>
      </c>
    </row>
    <row r="8" spans="1:9" ht="15.75" customHeight="1" x14ac:dyDescent="0.25">
      <c r="A8" s="5">
        <f t="shared" si="3"/>
        <v>2030</v>
      </c>
      <c r="B8" s="49">
        <v>24938</v>
      </c>
      <c r="C8" s="50">
        <v>48256.5</v>
      </c>
      <c r="D8" s="50">
        <v>78861.5</v>
      </c>
      <c r="E8" s="50">
        <v>60694.5</v>
      </c>
      <c r="F8" s="50">
        <v>49330.5</v>
      </c>
      <c r="G8" s="17">
        <f t="shared" si="0"/>
        <v>237143</v>
      </c>
      <c r="H8" s="17">
        <f t="shared" si="1"/>
        <v>29042.398442445341</v>
      </c>
      <c r="I8" s="17">
        <f t="shared" si="2"/>
        <v>208100.60155755465</v>
      </c>
    </row>
    <row r="9" spans="1:9" ht="15.75" customHeight="1" x14ac:dyDescent="0.25">
      <c r="A9" s="5">
        <f t="shared" si="3"/>
        <v>2031</v>
      </c>
      <c r="B9" s="49">
        <v>25062</v>
      </c>
      <c r="C9" s="50">
        <v>49146</v>
      </c>
      <c r="D9" s="50">
        <v>80269</v>
      </c>
      <c r="E9" s="50">
        <v>61900.000000000007</v>
      </c>
      <c r="F9" s="50">
        <v>50433</v>
      </c>
      <c r="G9" s="17">
        <f t="shared" si="0"/>
        <v>241748</v>
      </c>
      <c r="H9" s="17">
        <f t="shared" si="1"/>
        <v>29186.806871624234</v>
      </c>
      <c r="I9" s="17">
        <f t="shared" si="2"/>
        <v>212561.19312837577</v>
      </c>
    </row>
    <row r="10" spans="1:9" ht="15.75" customHeight="1" x14ac:dyDescent="0.25">
      <c r="A10" s="5">
        <f t="shared" si="3"/>
        <v>2032</v>
      </c>
      <c r="B10" s="49">
        <v>25184</v>
      </c>
      <c r="C10" s="50">
        <v>49947.5</v>
      </c>
      <c r="D10" s="50">
        <v>81785</v>
      </c>
      <c r="E10" s="50">
        <v>63215</v>
      </c>
      <c r="F10" s="50">
        <v>51433</v>
      </c>
      <c r="G10" s="17">
        <f t="shared" si="0"/>
        <v>246380.5</v>
      </c>
      <c r="H10" s="17">
        <f t="shared" si="1"/>
        <v>29328.886132590564</v>
      </c>
      <c r="I10" s="17">
        <f t="shared" si="2"/>
        <v>217051.61386740944</v>
      </c>
    </row>
    <row r="11" spans="1:9" ht="15.75" customHeight="1" x14ac:dyDescent="0.25">
      <c r="A11" s="5">
        <f t="shared" si="3"/>
        <v>2033</v>
      </c>
      <c r="B11" s="49">
        <v>25346</v>
      </c>
      <c r="C11" s="50">
        <v>50708.5</v>
      </c>
      <c r="D11" s="50">
        <v>83452</v>
      </c>
      <c r="E11" s="50">
        <v>64619</v>
      </c>
      <c r="F11" s="50">
        <v>52313</v>
      </c>
      <c r="G11" s="17">
        <f t="shared" si="0"/>
        <v>251092.5</v>
      </c>
      <c r="H11" s="17">
        <f t="shared" si="1"/>
        <v>29517.548757808152</v>
      </c>
      <c r="I11" s="17">
        <f t="shared" si="2"/>
        <v>221574.95124219183</v>
      </c>
    </row>
    <row r="12" spans="1:9" ht="15.75" customHeight="1" x14ac:dyDescent="0.25">
      <c r="A12" s="5">
        <f t="shared" si="3"/>
        <v>2034</v>
      </c>
      <c r="B12" s="49">
        <v>25528</v>
      </c>
      <c r="C12" s="50">
        <v>51446</v>
      </c>
      <c r="D12" s="50">
        <v>85293</v>
      </c>
      <c r="E12" s="50">
        <v>66092.5</v>
      </c>
      <c r="F12" s="50">
        <v>53073.499999999993</v>
      </c>
      <c r="G12" s="17">
        <f t="shared" si="0"/>
        <v>255905</v>
      </c>
      <c r="H12" s="17">
        <f t="shared" si="1"/>
        <v>29729.503065151363</v>
      </c>
      <c r="I12" s="17">
        <f t="shared" si="2"/>
        <v>226175.49693484863</v>
      </c>
    </row>
    <row r="13" spans="1:9" ht="15.75" customHeight="1" x14ac:dyDescent="0.25">
      <c r="A13" s="5">
        <f t="shared" si="3"/>
        <v>2035</v>
      </c>
      <c r="B13" s="49">
        <v>25712</v>
      </c>
      <c r="C13" s="50">
        <v>52142</v>
      </c>
      <c r="D13" s="50">
        <v>87253.999999999985</v>
      </c>
      <c r="E13" s="50">
        <v>67603</v>
      </c>
      <c r="F13" s="50">
        <v>53747.5</v>
      </c>
      <c r="G13" s="17">
        <f t="shared" si="0"/>
        <v>260746.5</v>
      </c>
      <c r="H13" s="17">
        <f t="shared" si="1"/>
        <v>29943.78654070714</v>
      </c>
      <c r="I13" s="17">
        <f t="shared" si="2"/>
        <v>230802.71345929286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+BxMcfRhEaFuz6v+e2mJ2dor8ccQ36YUMQ5hAZmJVWtI2NmCQ+NwzuOT1sZUEWfMnlbSLuCvIKt/IMWLTSboxQ==" saltValue="VdmX4fEtpab4FBTRmBANt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1.379560137956014E-2</v>
      </c>
    </row>
    <row r="4" spans="1:8" ht="15.75" customHeight="1" x14ac:dyDescent="0.25">
      <c r="B4" s="19" t="s">
        <v>97</v>
      </c>
      <c r="C4" s="99">
        <v>5.6293305629330617E-2</v>
      </c>
    </row>
    <row r="5" spans="1:8" ht="15.75" customHeight="1" x14ac:dyDescent="0.25">
      <c r="B5" s="19" t="s">
        <v>98</v>
      </c>
      <c r="C5" s="99">
        <v>7.5123207512320808E-2</v>
      </c>
    </row>
    <row r="6" spans="1:8" ht="15.75" customHeight="1" x14ac:dyDescent="0.25">
      <c r="B6" s="19" t="s">
        <v>99</v>
      </c>
      <c r="C6" s="99">
        <v>0.24197382419738189</v>
      </c>
    </row>
    <row r="7" spans="1:8" ht="15.75" customHeight="1" x14ac:dyDescent="0.25">
      <c r="B7" s="19" t="s">
        <v>100</v>
      </c>
      <c r="C7" s="99">
        <v>0.42879114287911452</v>
      </c>
    </row>
    <row r="8" spans="1:8" ht="15.75" customHeight="1" x14ac:dyDescent="0.25">
      <c r="B8" s="19" t="s">
        <v>101</v>
      </c>
      <c r="C8" s="99">
        <v>1.9423001942300211E-3</v>
      </c>
    </row>
    <row r="9" spans="1:8" ht="15.75" customHeight="1" x14ac:dyDescent="0.25">
      <c r="B9" s="19" t="s">
        <v>102</v>
      </c>
      <c r="C9" s="99">
        <v>7.2365807236580704E-2</v>
      </c>
    </row>
    <row r="10" spans="1:8" ht="15.75" customHeight="1" x14ac:dyDescent="0.25">
      <c r="B10" s="19" t="s">
        <v>103</v>
      </c>
      <c r="C10" s="99">
        <v>0.1097148109714812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0.2176685792070821</v>
      </c>
      <c r="D14" s="55">
        <v>0.2176685792070821</v>
      </c>
      <c r="E14" s="55">
        <v>0.2176685792070821</v>
      </c>
      <c r="F14" s="55">
        <v>0.2176685792070821</v>
      </c>
    </row>
    <row r="15" spans="1:8" ht="15.75" customHeight="1" x14ac:dyDescent="0.25">
      <c r="B15" s="19" t="s">
        <v>106</v>
      </c>
      <c r="C15" s="99">
        <v>0.37530106932612661</v>
      </c>
      <c r="D15" s="99">
        <v>0.37530106932612661</v>
      </c>
      <c r="E15" s="99">
        <v>0.37530106932612661</v>
      </c>
      <c r="F15" s="99">
        <v>0.37530106932612661</v>
      </c>
    </row>
    <row r="16" spans="1:8" ht="15.75" customHeight="1" x14ac:dyDescent="0.25">
      <c r="B16" s="19" t="s">
        <v>107</v>
      </c>
      <c r="C16" s="99">
        <v>3.5821246778556692E-2</v>
      </c>
      <c r="D16" s="99">
        <v>3.5821246778556692E-2</v>
      </c>
      <c r="E16" s="99">
        <v>3.5821246778556692E-2</v>
      </c>
      <c r="F16" s="99">
        <v>3.5821246778556692E-2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1.432879411494694E-2</v>
      </c>
      <c r="D18" s="99">
        <v>1.432879411494694E-2</v>
      </c>
      <c r="E18" s="99">
        <v>1.432879411494694E-2</v>
      </c>
      <c r="F18" s="99">
        <v>1.432879411494694E-2</v>
      </c>
    </row>
    <row r="19" spans="1:8" ht="15.75" customHeight="1" x14ac:dyDescent="0.25">
      <c r="B19" s="19" t="s">
        <v>110</v>
      </c>
      <c r="C19" s="99">
        <v>3.5525720169471892E-2</v>
      </c>
      <c r="D19" s="99">
        <v>3.5525720169471892E-2</v>
      </c>
      <c r="E19" s="99">
        <v>3.5525720169471892E-2</v>
      </c>
      <c r="F19" s="99">
        <v>3.5525720169471892E-2</v>
      </c>
    </row>
    <row r="20" spans="1:8" ht="15.75" customHeight="1" x14ac:dyDescent="0.25">
      <c r="B20" s="19" t="s">
        <v>111</v>
      </c>
      <c r="C20" s="99">
        <v>1.150709409319264E-3</v>
      </c>
      <c r="D20" s="99">
        <v>1.150709409319264E-3</v>
      </c>
      <c r="E20" s="99">
        <v>1.150709409319264E-3</v>
      </c>
      <c r="F20" s="99">
        <v>1.150709409319264E-3</v>
      </c>
    </row>
    <row r="21" spans="1:8" ht="15.75" customHeight="1" x14ac:dyDescent="0.25">
      <c r="B21" s="19" t="s">
        <v>112</v>
      </c>
      <c r="C21" s="99">
        <v>0.12968903990910491</v>
      </c>
      <c r="D21" s="99">
        <v>0.12968903990910491</v>
      </c>
      <c r="E21" s="99">
        <v>0.12968903990910491</v>
      </c>
      <c r="F21" s="99">
        <v>0.12968903990910491</v>
      </c>
    </row>
    <row r="22" spans="1:8" ht="15.75" customHeight="1" x14ac:dyDescent="0.25">
      <c r="B22" s="19" t="s">
        <v>113</v>
      </c>
      <c r="C22" s="99">
        <v>0.19051484108539171</v>
      </c>
      <c r="D22" s="99">
        <v>0.19051484108539171</v>
      </c>
      <c r="E22" s="99">
        <v>0.19051484108539171</v>
      </c>
      <c r="F22" s="99">
        <v>0.19051484108539171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8.8581871999999992E-2</v>
      </c>
    </row>
    <row r="27" spans="1:8" ht="15.75" customHeight="1" x14ac:dyDescent="0.25">
      <c r="B27" s="19" t="s">
        <v>120</v>
      </c>
      <c r="C27" s="99">
        <v>8.8641740000000007E-3</v>
      </c>
    </row>
    <row r="28" spans="1:8" ht="15.75" customHeight="1" x14ac:dyDescent="0.25">
      <c r="B28" s="19" t="s">
        <v>121</v>
      </c>
      <c r="C28" s="99">
        <v>0.15728592299999999</v>
      </c>
    </row>
    <row r="29" spans="1:8" ht="15.75" customHeight="1" x14ac:dyDescent="0.25">
      <c r="B29" s="19" t="s">
        <v>122</v>
      </c>
      <c r="C29" s="99">
        <v>0.170055973</v>
      </c>
    </row>
    <row r="30" spans="1:8" ht="15.75" customHeight="1" x14ac:dyDescent="0.25">
      <c r="B30" s="19" t="s">
        <v>2</v>
      </c>
      <c r="C30" s="99">
        <v>0.105793744</v>
      </c>
    </row>
    <row r="31" spans="1:8" ht="15.75" customHeight="1" x14ac:dyDescent="0.25">
      <c r="B31" s="19" t="s">
        <v>123</v>
      </c>
      <c r="C31" s="99">
        <v>0.111206134</v>
      </c>
    </row>
    <row r="32" spans="1:8" ht="15.75" customHeight="1" x14ac:dyDescent="0.25">
      <c r="B32" s="19" t="s">
        <v>124</v>
      </c>
      <c r="C32" s="99">
        <v>1.8849359E-2</v>
      </c>
    </row>
    <row r="33" spans="2:3" ht="15.75" customHeight="1" x14ac:dyDescent="0.25">
      <c r="B33" s="19" t="s">
        <v>125</v>
      </c>
      <c r="C33" s="99">
        <v>8.5214494999999987E-2</v>
      </c>
    </row>
    <row r="34" spans="2:3" ht="15.75" customHeight="1" x14ac:dyDescent="0.25">
      <c r="B34" s="19" t="s">
        <v>126</v>
      </c>
      <c r="C34" s="99">
        <v>0.25414832700000001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i3zc4AG2L0L+QLtNyQemAF9CP54bCDGDR7zvAvMqJ+f4GWZ815eIfgxcHjMIQ0/QiqTJaIokL9mwFr6QJ9eO7Q==" saltValue="vbD4N62xm7rCOxn9R02eG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0.43950720799143184</v>
      </c>
      <c r="D2" s="52">
        <f>IFERROR(1-_xlfn.NORM.DIST(_xlfn.NORM.INV(SUM(D4:D5), 0, 1) + 1, 0, 1, TRUE), "")</f>
        <v>0.43950720799143184</v>
      </c>
      <c r="E2" s="52">
        <f>IFERROR(1-_xlfn.NORM.DIST(_xlfn.NORM.INV(SUM(E4:E5), 0, 1) + 1, 0, 1, TRUE), "")</f>
        <v>0.36279218724907158</v>
      </c>
      <c r="F2" s="52">
        <f>IFERROR(1-_xlfn.NORM.DIST(_xlfn.NORM.INV(SUM(F4:F5), 0, 1) + 1, 0, 1, TRUE), "")</f>
        <v>0.24646900939015914</v>
      </c>
      <c r="G2" s="52">
        <f>IFERROR(1-_xlfn.NORM.DIST(_xlfn.NORM.INV(SUM(G4:G5), 0, 1) + 1, 0, 1, TRUE), "")</f>
        <v>0.30134324492440423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0.36221289200856815</v>
      </c>
      <c r="D3" s="52">
        <f>IFERROR(_xlfn.NORM.DIST(_xlfn.NORM.INV(SUM(D4:D5), 0, 1) + 1, 0, 1, TRUE) - SUM(D4:D5), "")</f>
        <v>0.36221289200856815</v>
      </c>
      <c r="E3" s="52">
        <f>IFERROR(_xlfn.NORM.DIST(_xlfn.NORM.INV(SUM(E4:E5), 0, 1) + 1, 0, 1, TRUE) - SUM(E4:E5), "")</f>
        <v>0.37903691275092843</v>
      </c>
      <c r="F3" s="52">
        <f>IFERROR(_xlfn.NORM.DIST(_xlfn.NORM.INV(SUM(F4:F5), 0, 1) + 1, 0, 1, TRUE) - SUM(F4:F5), "")</f>
        <v>0.37690589060984081</v>
      </c>
      <c r="G3" s="52">
        <f>IFERROR(_xlfn.NORM.DIST(_xlfn.NORM.INV(SUM(G4:G5), 0, 1) + 1, 0, 1, TRUE) - SUM(G4:G5), "")</f>
        <v>0.38285065507559579</v>
      </c>
    </row>
    <row r="4" spans="1:15" ht="15.75" customHeight="1" x14ac:dyDescent="0.25">
      <c r="B4" s="5" t="s">
        <v>132</v>
      </c>
      <c r="C4" s="45">
        <v>0.12910369999999999</v>
      </c>
      <c r="D4" s="53">
        <v>0.12910369999999999</v>
      </c>
      <c r="E4" s="53">
        <v>0.13079950000000001</v>
      </c>
      <c r="F4" s="53">
        <v>0.16891010000000001</v>
      </c>
      <c r="G4" s="53">
        <v>0.1503497</v>
      </c>
    </row>
    <row r="5" spans="1:15" ht="15.75" customHeight="1" x14ac:dyDescent="0.25">
      <c r="B5" s="5" t="s">
        <v>133</v>
      </c>
      <c r="C5" s="45">
        <v>6.9176200000000007E-2</v>
      </c>
      <c r="D5" s="53">
        <v>6.9176200000000007E-2</v>
      </c>
      <c r="E5" s="53">
        <v>0.1273714</v>
      </c>
      <c r="F5" s="53">
        <v>0.20771500000000001</v>
      </c>
      <c r="G5" s="53">
        <v>0.1654564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0.46382904044899265</v>
      </c>
      <c r="D8" s="52">
        <f>IFERROR(1-_xlfn.NORM.DIST(_xlfn.NORM.INV(SUM(D10:D11), 0, 1) + 1, 0, 1, TRUE), "")</f>
        <v>0.46382904044899265</v>
      </c>
      <c r="E8" s="52">
        <f>IFERROR(1-_xlfn.NORM.DIST(_xlfn.NORM.INV(SUM(E10:E11), 0, 1) + 1, 0, 1, TRUE), "")</f>
        <v>0.45825878111230722</v>
      </c>
      <c r="F8" s="52">
        <f>IFERROR(1-_xlfn.NORM.DIST(_xlfn.NORM.INV(SUM(F10:F11), 0, 1) + 1, 0, 1, TRUE), "")</f>
        <v>0.56236268471227269</v>
      </c>
      <c r="G8" s="52">
        <f>IFERROR(1-_xlfn.NORM.DIST(_xlfn.NORM.INV(SUM(G10:G11), 0, 1) + 1, 0, 1, TRUE), "")</f>
        <v>0.64757413294160016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0.35455085955100735</v>
      </c>
      <c r="D9" s="52">
        <f>IFERROR(_xlfn.NORM.DIST(_xlfn.NORM.INV(SUM(D10:D11), 0, 1) + 1, 0, 1, TRUE) - SUM(D10:D11), "")</f>
        <v>0.35455085955100735</v>
      </c>
      <c r="E9" s="52">
        <f>IFERROR(_xlfn.NORM.DIST(_xlfn.NORM.INV(SUM(E10:E11), 0, 1) + 1, 0, 1, TRUE) - SUM(E10:E11), "")</f>
        <v>0.35639541888769277</v>
      </c>
      <c r="F9" s="52">
        <f>IFERROR(_xlfn.NORM.DIST(_xlfn.NORM.INV(SUM(F10:F11), 0, 1) + 1, 0, 1, TRUE) - SUM(F10:F11), "")</f>
        <v>0.3139934152877274</v>
      </c>
      <c r="G9" s="52">
        <f>IFERROR(_xlfn.NORM.DIST(_xlfn.NORM.INV(SUM(G10:G11), 0, 1) + 1, 0, 1, TRUE) - SUM(G10:G11), "")</f>
        <v>0.26844446705839986</v>
      </c>
    </row>
    <row r="10" spans="1:15" ht="15.75" customHeight="1" x14ac:dyDescent="0.25">
      <c r="B10" s="5" t="s">
        <v>137</v>
      </c>
      <c r="C10" s="45">
        <v>8.3225900000000005E-2</v>
      </c>
      <c r="D10" s="53">
        <v>8.3225900000000005E-2</v>
      </c>
      <c r="E10" s="53">
        <v>0.12705050000000001</v>
      </c>
      <c r="F10" s="53">
        <v>8.5907600000000001E-2</v>
      </c>
      <c r="G10" s="53">
        <v>4.8662900000000002E-2</v>
      </c>
    </row>
    <row r="11" spans="1:15" ht="15.75" customHeight="1" x14ac:dyDescent="0.25">
      <c r="B11" s="5" t="s">
        <v>138</v>
      </c>
      <c r="C11" s="45">
        <v>9.8394200000000001E-2</v>
      </c>
      <c r="D11" s="53">
        <v>9.8394200000000001E-2</v>
      </c>
      <c r="E11" s="53">
        <v>5.8295300000000001E-2</v>
      </c>
      <c r="F11" s="53">
        <v>3.77363E-2</v>
      </c>
      <c r="G11" s="53">
        <v>3.5318500000000003E-2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0.63803419224999991</v>
      </c>
      <c r="D14" s="54">
        <v>0.63816869495700002</v>
      </c>
      <c r="E14" s="54">
        <v>0.63816869495700002</v>
      </c>
      <c r="F14" s="54">
        <v>0.43302120201400002</v>
      </c>
      <c r="G14" s="54">
        <v>0.43302120201400002</v>
      </c>
      <c r="H14" s="45">
        <v>0.34200000000000003</v>
      </c>
      <c r="I14" s="55">
        <v>0.34200000000000003</v>
      </c>
      <c r="J14" s="55">
        <v>0.34200000000000003</v>
      </c>
      <c r="K14" s="55">
        <v>0.34200000000000003</v>
      </c>
      <c r="L14" s="45">
        <v>0.28799999999999998</v>
      </c>
      <c r="M14" s="55">
        <v>0.28799999999999998</v>
      </c>
      <c r="N14" s="55">
        <v>0.28799999999999998</v>
      </c>
      <c r="O14" s="55">
        <v>0.28799999999999998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0.32531513163669967</v>
      </c>
      <c r="D15" s="52">
        <f t="shared" si="0"/>
        <v>0.32538371066642052</v>
      </c>
      <c r="E15" s="52">
        <f t="shared" si="0"/>
        <v>0.32538371066642052</v>
      </c>
      <c r="F15" s="52">
        <f t="shared" si="0"/>
        <v>0.2207849532920802</v>
      </c>
      <c r="G15" s="52">
        <f t="shared" si="0"/>
        <v>0.2207849532920802</v>
      </c>
      <c r="H15" s="52">
        <f t="shared" si="0"/>
        <v>0.17437588200000001</v>
      </c>
      <c r="I15" s="52">
        <f t="shared" si="0"/>
        <v>0.17437588200000001</v>
      </c>
      <c r="J15" s="52">
        <f t="shared" si="0"/>
        <v>0.17437588200000001</v>
      </c>
      <c r="K15" s="52">
        <f t="shared" si="0"/>
        <v>0.17437588200000001</v>
      </c>
      <c r="L15" s="52">
        <f t="shared" si="0"/>
        <v>0.14684284799999997</v>
      </c>
      <c r="M15" s="52">
        <f t="shared" si="0"/>
        <v>0.14684284799999997</v>
      </c>
      <c r="N15" s="52">
        <f t="shared" si="0"/>
        <v>0.14684284799999997</v>
      </c>
      <c r="O15" s="52">
        <f t="shared" si="0"/>
        <v>0.14684284799999997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7cVwd/v2U9MoGXwtpa+HHj5Y8AjCqyA6KeF7dD9GbIBxqS30vkF2qxTZ2T4WZNvroexkEN8I9JgpiyvZJJaPQ==" saltValue="b7GJtmNYATXDd1BQMjBW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0.21005280000000001</v>
      </c>
      <c r="D2" s="53">
        <v>0.10688060000000001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0.49141610000000002</v>
      </c>
      <c r="D3" s="53">
        <v>0.3412442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0.23050219999999999</v>
      </c>
      <c r="D4" s="53">
        <v>0.4981411</v>
      </c>
      <c r="E4" s="53">
        <v>0.87793460000000001</v>
      </c>
      <c r="F4" s="53">
        <v>0.65165729999999999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6.8028899999999948E-2</v>
      </c>
      <c r="D5" s="52">
        <f t="shared" si="0"/>
        <v>5.3734100000000007E-2</v>
      </c>
      <c r="E5" s="52">
        <f>1-SUM(E2:E4)</f>
        <v>0.12206539999999999</v>
      </c>
      <c r="F5" s="52">
        <f>1-SUM(F2:F4)</f>
        <v>0.34834270000000001</v>
      </c>
      <c r="G5" s="52">
        <f>1-SUM(G2:G4)</f>
        <v>1</v>
      </c>
    </row>
  </sheetData>
  <sheetProtection algorithmName="SHA-512" hashValue="4Qj9i4i/2XU28nmcaDqBgcKm+vdHRJ2kycju/b6INaW7gN0JbEOO7IX8p9iOY1pPtyZ6gFybSATDzShF5F1cGQ==" saltValue="ynlPw84FcMNDmQ8pdgGGp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vZAi6NddbtbjSoipHiLrqvGtQq8PwI0RUldoKNDdFeNVdfnNxwE2JXp/1j5/Xd9AA0RYoIllZhYBxV2iwFReA==" saltValue="eLK8jlqyPanqjSfbPAaJ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1484.89246472542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0.42185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0.34328999999999998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2.3254234572696694E-2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93426.008679999999</v>
      </c>
      <c r="C22" s="107">
        <v>92886.310400000002</v>
      </c>
      <c r="D22" s="107">
        <v>92630.517399999997</v>
      </c>
      <c r="E22" s="107">
        <v>92183.813639999993</v>
      </c>
      <c r="F22" s="107">
        <v>91537.191340000005</v>
      </c>
      <c r="G22" s="107">
        <v>90782.443859999999</v>
      </c>
      <c r="H22" s="107">
        <v>89859.403009999995</v>
      </c>
      <c r="I22" s="107">
        <v>88678.481050000002</v>
      </c>
      <c r="J22" s="107">
        <v>86993.360520000002</v>
      </c>
      <c r="K22" s="107">
        <v>84689.153760000001</v>
      </c>
      <c r="L22" s="107">
        <v>81236.659220000001</v>
      </c>
      <c r="M22" s="107">
        <v>76359.293820000006</v>
      </c>
      <c r="N22" s="107">
        <v>69169.567190000002</v>
      </c>
      <c r="O22" s="107">
        <v>59738.168949999999</v>
      </c>
    </row>
  </sheetData>
  <sheetProtection algorithmName="SHA-512" hashValue="MrZPJ62sIQeEcep1fpGjNAq6bs2DWHzu/BdCeDLPDfBn1YJ0FiGI613lo20d/fLSzhoG+5n4uBchnqRg5cxsaQ==" saltValue="+NmthP4NLgL2NVDif9jxl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UQ1CKySyYpCSkZYE/wgd2X0hZq7Uvvr+SooZKzK+J4ETlJoI+kHpdnXbEj8KDaSma8/AL2CgtN/hM5SU8Mfujg==" saltValue="hvMnwPNuaTWhazny8bPr+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WQcP21HAvXNZr+sBpUDP4LYnA4+dN74SdDmyon4bK4U8sR015Lj03GxRPWLsMl9a2tkeFeIYPMsHWp3B8qIHnA==" saltValue="mxCWhU7WSVqaXolbBeMiV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0.125552</v>
      </c>
      <c r="C10" s="96">
        <v>0.95</v>
      </c>
      <c r="D10" s="56">
        <v>15.06077994466111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15.06077994466111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15.06077994466111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15.06077994466111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15.06077994466111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0.41392640000000003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0.60599999999999998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0.10688060000000001</v>
      </c>
      <c r="C19" s="96">
        <v>0.95</v>
      </c>
      <c r="D19" s="56">
        <v>1.888235787121497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0.56810229999999995</v>
      </c>
      <c r="C23" s="96">
        <v>0.95</v>
      </c>
      <c r="D23" s="56">
        <v>4.9386229663401986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0.42426401169421402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0.37546259999999998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0.21526239999999999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0.25009999999999999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0.48499999999999999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0.15573529999999999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0.6041609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8.7560000000000003E-4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0.59496380000000004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2E-3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Q9i73IKvWVbP2YL5V7oAyf89t9J+EKYEVRU3N8aTwX2N6pTmj+pUVXegKXuXxavCpFNvkBFEJXl8nW/fRmlByQ==" saltValue="7B6/bte/wgFcks+xPDF89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k1d6RzD7AblVrUz8qPABirGzUaBfYogU+G5lhc96vt9Y2gWtyPP4txf8OuOnS8mB5i75YWAHE4iD0rNu//OcA==" saltValue="igaOvT2cDZc7DcIvQWPx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uBFdWCMs2JDXYvhhG+KR4a2ilwGYbuXXmJRd6bCsormvQFdjmQGeiF8D9V1vx45HrPlUZnfC5xzRx55FxnzvA==" saltValue="7sf1C9It56532L65bR/83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4.1340000000000003</v>
      </c>
      <c r="C2" s="21">
        <f>'Données pop de l''année de ref'!C52</f>
        <v>4.1340000000000003</v>
      </c>
      <c r="D2" s="21">
        <f>'Données pop de l''année de ref'!C53</f>
        <v>8.6319999999999997</v>
      </c>
      <c r="E2" s="21">
        <f>'Données pop de l''année de ref'!C54</f>
        <v>7.0460000000000003</v>
      </c>
      <c r="F2" s="21">
        <f>'Données pop de l''année de ref'!C55</f>
        <v>2.5219999999999998</v>
      </c>
    </row>
    <row r="3" spans="1:6" ht="15.75" customHeight="1" x14ac:dyDescent="0.25">
      <c r="A3" s="3" t="s">
        <v>238</v>
      </c>
      <c r="B3" s="21">
        <f>frac_mam_1month * 2.6</f>
        <v>0.21638734000000001</v>
      </c>
      <c r="C3" s="21">
        <f>frac_mam_1_5months * 2.6</f>
        <v>0.21638734000000001</v>
      </c>
      <c r="D3" s="21">
        <f>frac_mam_6_11months * 2.6</f>
        <v>0.33033130000000005</v>
      </c>
      <c r="E3" s="21">
        <f>frac_mam_12_23months * 2.6</f>
        <v>0.22335976000000002</v>
      </c>
      <c r="F3" s="21">
        <f>frac_mam_24_59months * 2.6</f>
        <v>0.12652354000000002</v>
      </c>
    </row>
    <row r="4" spans="1:6" ht="15.75" customHeight="1" x14ac:dyDescent="0.25">
      <c r="A4" s="3" t="s">
        <v>237</v>
      </c>
      <c r="B4" s="21">
        <f>frac_sam_1month * 2.6</f>
        <v>0.25582492000000001</v>
      </c>
      <c r="C4" s="21">
        <f>frac_sam_1_5months * 2.6</f>
        <v>0.25582492000000001</v>
      </c>
      <c r="D4" s="21">
        <f>frac_sam_6_11months * 2.6</f>
        <v>0.15156778000000001</v>
      </c>
      <c r="E4" s="21">
        <f>frac_sam_12_23months * 2.6</f>
        <v>9.8114380000000001E-2</v>
      </c>
      <c r="F4" s="21">
        <f>frac_sam_24_59months * 2.6</f>
        <v>9.182810000000001E-2</v>
      </c>
    </row>
  </sheetData>
  <sheetProtection algorithmName="SHA-512" hashValue="LScM4zukWtxWVTDV57AkrL1BPGNdFgRtKYBgcnnzWOo+MIzogSHi7eHdonsfQBwXTd/vj6p4OWW6jnxuZuORlQ==" saltValue="t0yBd1wiQavOJ1a7ZB8NV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0.17899999999999999</v>
      </c>
      <c r="F2" s="60">
        <f>food_insecure</f>
        <v>0.17899999999999999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0.17899999999999999</v>
      </c>
      <c r="F5" s="60">
        <f>food_insecure</f>
        <v>0.17899999999999999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9.0196363636363658E-2</v>
      </c>
      <c r="D7" s="60">
        <f>diarrhoea_1_5mo*frac_diarrhea_severe</f>
        <v>9.0196363636363658E-2</v>
      </c>
      <c r="E7" s="60">
        <f>diarrhoea_6_11mo*frac_diarrhea_severe</f>
        <v>0.18833454545454545</v>
      </c>
      <c r="F7" s="60">
        <f>diarrhoea_12_23mo*frac_diarrhea_severe</f>
        <v>0.15373090909090911</v>
      </c>
      <c r="G7" s="60">
        <f>diarrhoea_24_59mo*frac_diarrhea_severe</f>
        <v>5.5025454545454544E-2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0.17899999999999999</v>
      </c>
      <c r="F8" s="60">
        <f>food_insecure</f>
        <v>0.17899999999999999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0.17899999999999999</v>
      </c>
      <c r="F9" s="60">
        <f>food_insecure</f>
        <v>0.17899999999999999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9.0196363636363658E-2</v>
      </c>
      <c r="D12" s="60">
        <f>diarrhoea_1_5mo*frac_diarrhea_severe</f>
        <v>9.0196363636363658E-2</v>
      </c>
      <c r="E12" s="60">
        <f>diarrhoea_6_11mo*frac_diarrhea_severe</f>
        <v>0.18833454545454545</v>
      </c>
      <c r="F12" s="60">
        <f>diarrhoea_12_23mo*frac_diarrhea_severe</f>
        <v>0.15373090909090911</v>
      </c>
      <c r="G12" s="60">
        <f>diarrhoea_24_59mo*frac_diarrhea_severe</f>
        <v>5.5025454545454544E-2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0.17899999999999999</v>
      </c>
      <c r="I15" s="60">
        <f t="shared" si="0"/>
        <v>0.17899999999999999</v>
      </c>
      <c r="J15" s="60">
        <f t="shared" si="0"/>
        <v>0.17899999999999999</v>
      </c>
      <c r="K15" s="60">
        <f t="shared" si="0"/>
        <v>0.17899999999999999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0.17899999999999999</v>
      </c>
      <c r="I16" s="60">
        <f t="shared" si="0"/>
        <v>0.17899999999999999</v>
      </c>
      <c r="J16" s="60">
        <f t="shared" si="0"/>
        <v>0.17899999999999999</v>
      </c>
      <c r="K16" s="60">
        <f t="shared" si="0"/>
        <v>0.17899999999999999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</v>
      </c>
      <c r="I19" s="60">
        <f>frac_malaria_risk</f>
        <v>0.5</v>
      </c>
      <c r="J19" s="60">
        <f>frac_malaria_risk</f>
        <v>0.5</v>
      </c>
      <c r="K19" s="60">
        <f>frac_malaria_risk</f>
        <v>0.5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0.72199999999999998</v>
      </c>
      <c r="M24" s="60">
        <f>famplan_unmet_need</f>
        <v>0.72199999999999998</v>
      </c>
      <c r="N24" s="60">
        <f>famplan_unmet_need</f>
        <v>0.72199999999999998</v>
      </c>
      <c r="O24" s="60">
        <f>famplan_unmet_need</f>
        <v>0.72199999999999998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0.25499896676099998</v>
      </c>
      <c r="M25" s="60">
        <f>(1-food_insecure)*(0.49)+food_insecure*(0.7)</f>
        <v>0.52759</v>
      </c>
      <c r="N25" s="60">
        <f>(1-food_insecure)*(0.49)+food_insecure*(0.7)</f>
        <v>0.52759</v>
      </c>
      <c r="O25" s="60">
        <f>(1-food_insecure)*(0.49)+food_insecure*(0.7)</f>
        <v>0.52759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0.10928527146899999</v>
      </c>
      <c r="M26" s="60">
        <f>(1-food_insecure)*(0.21)+food_insecure*(0.3)</f>
        <v>0.22610999999999998</v>
      </c>
      <c r="N26" s="60">
        <f>(1-food_insecure)*(0.21)+food_insecure*(0.3)</f>
        <v>0.22610999999999998</v>
      </c>
      <c r="O26" s="60">
        <f>(1-food_insecure)*(0.21)+food_insecure*(0.3)</f>
        <v>0.22610999999999998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0.11904366176999999</v>
      </c>
      <c r="M27" s="60">
        <f>(1-food_insecure)*(0.3)</f>
        <v>0.24629999999999996</v>
      </c>
      <c r="N27" s="60">
        <f>(1-food_insecure)*(0.3)</f>
        <v>0.24629999999999996</v>
      </c>
      <c r="O27" s="60">
        <f>(1-food_insecure)*(0.3)</f>
        <v>0.24629999999999996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0.51667209999999997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0.5</v>
      </c>
      <c r="D34" s="60">
        <f t="shared" si="4"/>
        <v>0.5</v>
      </c>
      <c r="E34" s="60">
        <f t="shared" si="4"/>
        <v>0.5</v>
      </c>
      <c r="F34" s="60">
        <f t="shared" si="4"/>
        <v>0.5</v>
      </c>
      <c r="G34" s="60">
        <f t="shared" si="4"/>
        <v>0.5</v>
      </c>
      <c r="H34" s="60">
        <f t="shared" si="4"/>
        <v>0.5</v>
      </c>
      <c r="I34" s="60">
        <f t="shared" si="4"/>
        <v>0.5</v>
      </c>
      <c r="J34" s="60">
        <f t="shared" si="4"/>
        <v>0.5</v>
      </c>
      <c r="K34" s="60">
        <f t="shared" si="4"/>
        <v>0.5</v>
      </c>
      <c r="L34" s="60">
        <f t="shared" si="4"/>
        <v>0.5</v>
      </c>
      <c r="M34" s="60">
        <f t="shared" si="4"/>
        <v>0.5</v>
      </c>
      <c r="N34" s="60">
        <f t="shared" si="4"/>
        <v>0.5</v>
      </c>
      <c r="O34" s="60">
        <f t="shared" si="4"/>
        <v>0.5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ZoSsjb1EMH9PaYT/T0sGX4b80Zov2liBoRy9zfFM8ekTeooYdczn1zJ09yQRfzcbL8Wr8IV80P8SClsp6dNBA==" saltValue="yOtbzlKgRBRYzyJjsitRi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g9Un1iCnvxlpVZqD1UsRFyIcZSuY5ZrPyF1oOXTxzB4h0ovGJ2439d8kOBLTG7AJserstmYWgd8i/fpRKGpuMg==" saltValue="YoYWjKrAIqLWARMFah2TS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aNlY2wuCSopiQNzRc4zItkRAQ4K5IEie4/IJgrqfCQ2GelrsVk3WSYh8NzfbhQS5bW7Lc9PF1kI4DzDb0eLzw==" saltValue="eL/yOmvjwbA+2572FptUe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XK4UYPar6E/7y8QWy45tK5kyiTZklh3euhvUY6g9mD3ayzRF6aaXdAJCtVMCSjPBdM7leF6rbLIlgl3U3LA0w==" saltValue="c659D1LLaRzUZlN0GfhHL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+quoJQ6xNup9cAd0t7qSlUPMBWLGB4VZuDMz9D4Vg/WOoGy9IzyR9bdTJZTUq3SbVf6/+L4T8QEGsZ1rvAIMIA==" saltValue="Q8odZW1lZznawEDcMsMKT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xq9T6/W6DRLvJJnP48YYp++TaqlA1CTGLuN6B1SGKVpluRVOBJjXLDJ7wi/T4bftwdr62Mq/488sk+NEiE1iQg==" saltValue="6KWhiPcqN4I4jXN3cQl33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5sMsyG8ynCil5myHm/NQWLSnZXCgSL3kDtgqQbO5logcTch+xLEgc5RZt0cYPWRFrO+FdxRNqNK43PRkKspR+Q==" saltValue="TGGMU87TXSd8i7hzlrGi6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xrCznZEtqH8Ii53N+ucb278y+C187+5Ca5xOiJhElmZKv32A3aSLjXSLFaQUbgH5p/GjZsp3iur2VYtJ11Mzvw==" saltValue="fsNewa41btms+6UKZfdB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uCXjUx44mQ0EZIC+dW7QuK9BxqQE4SNrO5T136DpdVwiD6d88sTQvRxUvIafcuplSgEHwC/NEjrBpIN8JTN3eg==" saltValue="mKhYMeV3XT8rp2FWgdB8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Hns84eHVGK+usp+uEYDHTu80eQKeFIAK1RF4SSOSDupw6ecJiLC+3LI21BWPux3nSAYRuagpsfXwvFCb9aexg==" saltValue="ar3V3z/InxUynves5wD+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GcqOdceiJkA9eSbaCGfEoWS4HajuqjYOm5DcnV6Hx08F+gZuoyXelCVBZGHHDK5oWedkkzpAelCqGBKjDwzXQ==" saltValue="oA6gNGzSv4VJGBd67yUL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yApFaqUhPAxM66In+nETfiWr8wSrJbZ8G6aT8FXHCSoSpR4g3G4A6irM3r6lkKv0wnJYbjvUfPxvA8PNm35rg==" saltValue="HW+AKC8eOUOwe0AtEakK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ezuyMRAodJCMbODENuMfOdW0KienQhb3xRXkyeG1P1SntOQfwii5v6OhPj6rc4ycRGI4bN1y3wavoQWsCTT52A==" saltValue="6/Xc0nzrZITZwhd7jeFx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k/Z6zsHQalATMcAQtyDVl7JpO3/AYnVj7MRB6MoRxRu6DcedhSoXoYgHyMIfU7J4uZiCRXe490hK12Oxm/gSgg==" saltValue="ytcEkg0IB8v4V+FGCUla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OMlYWuNxSVLbz4zo9Rghj3Mg66ot0hQyoLVA+nRKhRzAEnzwZniQNa6qxdyPdWjB1i0sHIGPzZ9lcoEC1Nbaug==" saltValue="ZYnAo0mAp7NVblij1GR4o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