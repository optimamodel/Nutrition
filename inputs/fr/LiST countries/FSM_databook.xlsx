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98EF770-34EA-4DE3-924A-C4F587A798C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1" i="2" l="1"/>
  <c r="A23" i="2"/>
  <c r="A39" i="2"/>
  <c r="A15" i="2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18" i="2"/>
  <c r="A36" i="2"/>
  <c r="A21" i="2"/>
  <c r="A32" i="2"/>
  <c r="A33" i="2"/>
  <c r="A17" i="2"/>
  <c r="A26" i="2"/>
  <c r="A35" i="2"/>
  <c r="A27" i="2"/>
  <c r="A19" i="2"/>
  <c r="A28" i="2"/>
  <c r="A37" i="2"/>
  <c r="A20" i="2"/>
  <c r="A29" i="2"/>
  <c r="I38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<sst xmlns="http://schemas.openxmlformats.org/spreadsheetml/2006/main" count="2101" uniqueCount="337">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</sst>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18886935.875</v>
      </c>
    </row>
    <row r="8" spans="1:3" ht="15" customHeight="1" x14ac:dyDescent="0.25">
      <c r="B8" s="5" t="s">
        <v>19</v>
      </c>
      <c r="C8" s="44">
        <v>0.308</v>
      </c>
    </row>
    <row r="9" spans="1:3" ht="15" customHeight="1" x14ac:dyDescent="0.25">
      <c r="B9" s="5" t="s">
        <v>20</v>
      </c>
      <c r="C9" s="45">
        <v>0.14000000000000001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2.3800000000000002E-2</v>
      </c>
    </row>
    <row r="24" spans="1:3" ht="15" customHeight="1" x14ac:dyDescent="0.25">
      <c r="B24" s="15" t="s">
        <v>33</v>
      </c>
      <c r="C24" s="45">
        <v>0.4365</v>
      </c>
    </row>
    <row r="25" spans="1:3" ht="15" customHeight="1" x14ac:dyDescent="0.25">
      <c r="B25" s="15" t="s">
        <v>34</v>
      </c>
      <c r="C25" s="45">
        <v>0.49280000000000002</v>
      </c>
    </row>
    <row r="26" spans="1:3" ht="15" customHeight="1" x14ac:dyDescent="0.25">
      <c r="B26" s="15" t="s">
        <v>35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0.18812535867607999</v>
      </c>
    </row>
    <row r="30" spans="1:3" ht="14.25" customHeight="1" x14ac:dyDescent="0.25">
      <c r="B30" s="25" t="s">
        <v>38</v>
      </c>
      <c r="C30" s="99">
        <v>7.529214782846369E-2</v>
      </c>
    </row>
    <row r="31" spans="1:3" ht="14.25" customHeight="1" x14ac:dyDescent="0.25">
      <c r="B31" s="25" t="s">
        <v>39</v>
      </c>
      <c r="C31" s="99">
        <v>0.10030682254742999</v>
      </c>
    </row>
    <row r="32" spans="1:3" ht="14.25" customHeight="1" x14ac:dyDescent="0.25">
      <c r="B32" s="25" t="s">
        <v>40</v>
      </c>
      <c r="C32" s="99">
        <v>0.63627567094802595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26.188870000000001</v>
      </c>
    </row>
    <row r="38" spans="1:5" ht="15" customHeight="1" x14ac:dyDescent="0.25">
      <c r="B38" s="11" t="s">
        <v>45</v>
      </c>
      <c r="C38" s="43">
        <v>34.274819999999998</v>
      </c>
      <c r="D38" s="12"/>
      <c r="E38" s="13"/>
    </row>
    <row r="39" spans="1:5" ht="15" customHeight="1" x14ac:dyDescent="0.25">
      <c r="B39" s="11" t="s">
        <v>46</v>
      </c>
      <c r="C39" s="43">
        <v>46.81147</v>
      </c>
      <c r="D39" s="12"/>
      <c r="E39" s="12"/>
    </row>
    <row r="40" spans="1:5" ht="15" customHeight="1" x14ac:dyDescent="0.25">
      <c r="B40" s="11" t="s">
        <v>47</v>
      </c>
      <c r="C40" s="100">
        <v>2.67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1.10796E-2</v>
      </c>
      <c r="D45" s="12"/>
    </row>
    <row r="46" spans="1:5" ht="15.75" customHeight="1" x14ac:dyDescent="0.25">
      <c r="B46" s="11" t="s">
        <v>52</v>
      </c>
      <c r="C46" s="45">
        <v>0.1180031</v>
      </c>
      <c r="D46" s="12"/>
    </row>
    <row r="47" spans="1:5" ht="15.75" customHeight="1" x14ac:dyDescent="0.25">
      <c r="B47" s="11" t="s">
        <v>53</v>
      </c>
      <c r="C47" s="45">
        <v>0.15551380000000001</v>
      </c>
      <c r="D47" s="12"/>
      <c r="E47" s="13"/>
    </row>
    <row r="48" spans="1:5" ht="15" customHeight="1" x14ac:dyDescent="0.25">
      <c r="B48" s="11" t="s">
        <v>54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0.56030799999999992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ak+PYdlk9wTAZRiP0tYZpYoASe24UFBHDsqEoes+ULbhC3/j+df+oCWCHM34Ev8bTCOxdGs2hR89ERkg09Xkg==" saltValue="GszzK5DySNnt4miEBhwa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2400</v>
      </c>
      <c r="C2" s="49">
        <v>7032</v>
      </c>
      <c r="D2" s="49">
        <v>10716</v>
      </c>
      <c r="E2" s="49">
        <v>7463</v>
      </c>
      <c r="F2" s="49">
        <v>4951.5</v>
      </c>
      <c r="G2" s="17">
        <f t="shared" ref="G2:G13" si="0">C2+D2+E2+F2</f>
        <v>30162.5</v>
      </c>
      <c r="H2" s="17">
        <f t="shared" ref="H2:H13" si="1">(B2 + stillbirth*B2/(1000-stillbirth))/(1-abortion)</f>
        <v>2784.5364407225425</v>
      </c>
      <c r="I2" s="17">
        <f t="shared" ref="I2:I13" si="2">G2-H2</f>
        <v>27377.963559277458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2415</v>
      </c>
      <c r="C3" s="50">
        <v>6952.5000000000009</v>
      </c>
      <c r="D3" s="50">
        <v>10797</v>
      </c>
      <c r="E3" s="50">
        <v>7757.5000000000009</v>
      </c>
      <c r="F3" s="50">
        <v>4968</v>
      </c>
      <c r="G3" s="17">
        <f t="shared" si="0"/>
        <v>30475</v>
      </c>
      <c r="H3" s="17">
        <f t="shared" si="1"/>
        <v>2801.9397934770582</v>
      </c>
      <c r="I3" s="17">
        <f t="shared" si="2"/>
        <v>27673.060206522943</v>
      </c>
    </row>
    <row r="4" spans="1:9" ht="15.75" customHeight="1" x14ac:dyDescent="0.25">
      <c r="A4" s="5">
        <f t="shared" si="3"/>
        <v>2026</v>
      </c>
      <c r="B4" s="49">
        <v>2426</v>
      </c>
      <c r="C4" s="50">
        <v>6849.5</v>
      </c>
      <c r="D4" s="50">
        <v>10881.5</v>
      </c>
      <c r="E4" s="50">
        <v>8059</v>
      </c>
      <c r="F4" s="50">
        <v>5011.5</v>
      </c>
      <c r="G4" s="17">
        <f t="shared" si="0"/>
        <v>30801.5</v>
      </c>
      <c r="H4" s="17">
        <f t="shared" si="1"/>
        <v>2814.7022521637032</v>
      </c>
      <c r="I4" s="17">
        <f t="shared" si="2"/>
        <v>27986.797747836295</v>
      </c>
    </row>
    <row r="5" spans="1:9" ht="15.75" customHeight="1" x14ac:dyDescent="0.25">
      <c r="A5" s="5">
        <f t="shared" si="3"/>
        <v>2027</v>
      </c>
      <c r="B5" s="49">
        <v>2439</v>
      </c>
      <c r="C5" s="50">
        <v>6777</v>
      </c>
      <c r="D5" s="50">
        <v>10882</v>
      </c>
      <c r="E5" s="50">
        <v>8399.5</v>
      </c>
      <c r="F5" s="50">
        <v>5082.5</v>
      </c>
      <c r="G5" s="17">
        <f t="shared" si="0"/>
        <v>31141</v>
      </c>
      <c r="H5" s="17">
        <f t="shared" si="1"/>
        <v>2829.7851578842833</v>
      </c>
      <c r="I5" s="17">
        <f t="shared" si="2"/>
        <v>28311.214842115718</v>
      </c>
    </row>
    <row r="6" spans="1:9" ht="15.75" customHeight="1" x14ac:dyDescent="0.25">
      <c r="A6" s="5">
        <f t="shared" si="3"/>
        <v>2028</v>
      </c>
      <c r="B6" s="49">
        <v>2448</v>
      </c>
      <c r="C6" s="50">
        <v>6705.5000000000009</v>
      </c>
      <c r="D6" s="50">
        <v>10802.5</v>
      </c>
      <c r="E6" s="50">
        <v>8789</v>
      </c>
      <c r="F6" s="50">
        <v>5155</v>
      </c>
      <c r="G6" s="17">
        <f t="shared" si="0"/>
        <v>31452</v>
      </c>
      <c r="H6" s="17">
        <f t="shared" si="1"/>
        <v>2840.2271695369932</v>
      </c>
      <c r="I6" s="17">
        <f t="shared" si="2"/>
        <v>28611.772830463007</v>
      </c>
    </row>
    <row r="7" spans="1:9" ht="15.75" customHeight="1" x14ac:dyDescent="0.25">
      <c r="A7" s="5">
        <f t="shared" si="3"/>
        <v>2029</v>
      </c>
      <c r="B7" s="49">
        <v>2442</v>
      </c>
      <c r="C7" s="50">
        <v>6600</v>
      </c>
      <c r="D7" s="50">
        <v>10763.5</v>
      </c>
      <c r="E7" s="50">
        <v>9110.5</v>
      </c>
      <c r="F7" s="50">
        <v>5215.5</v>
      </c>
      <c r="G7" s="17">
        <f t="shared" si="0"/>
        <v>31689.5</v>
      </c>
      <c r="H7" s="17">
        <f t="shared" si="1"/>
        <v>2833.2658284351864</v>
      </c>
      <c r="I7" s="17">
        <f t="shared" si="2"/>
        <v>28856.234171564814</v>
      </c>
    </row>
    <row r="8" spans="1:9" ht="15.75" customHeight="1" x14ac:dyDescent="0.25">
      <c r="A8" s="5">
        <f t="shared" si="3"/>
        <v>2030</v>
      </c>
      <c r="B8" s="49">
        <v>2433</v>
      </c>
      <c r="C8" s="50">
        <v>6507.0000000000009</v>
      </c>
      <c r="D8" s="50">
        <v>10740.5</v>
      </c>
      <c r="E8" s="50">
        <v>9350.5</v>
      </c>
      <c r="F8" s="50">
        <v>5295.5</v>
      </c>
      <c r="G8" s="17">
        <f t="shared" si="0"/>
        <v>31893.5</v>
      </c>
      <c r="H8" s="17">
        <f t="shared" si="1"/>
        <v>2822.823816782477</v>
      </c>
      <c r="I8" s="17">
        <f t="shared" si="2"/>
        <v>29070.676183217522</v>
      </c>
    </row>
    <row r="9" spans="1:9" ht="15.75" customHeight="1" x14ac:dyDescent="0.25">
      <c r="A9" s="5">
        <f t="shared" si="3"/>
        <v>2031</v>
      </c>
      <c r="B9" s="49">
        <v>2411</v>
      </c>
      <c r="C9" s="50">
        <v>6452.5</v>
      </c>
      <c r="D9" s="50">
        <v>10717</v>
      </c>
      <c r="E9" s="50">
        <v>9508.5</v>
      </c>
      <c r="F9" s="50">
        <v>5412</v>
      </c>
      <c r="G9" s="17">
        <f t="shared" si="0"/>
        <v>32090</v>
      </c>
      <c r="H9" s="17">
        <f t="shared" si="1"/>
        <v>2797.298899409187</v>
      </c>
      <c r="I9" s="17">
        <f t="shared" si="2"/>
        <v>29292.701100590813</v>
      </c>
    </row>
    <row r="10" spans="1:9" ht="15.75" customHeight="1" x14ac:dyDescent="0.25">
      <c r="A10" s="5">
        <f t="shared" si="3"/>
        <v>2032</v>
      </c>
      <c r="B10" s="49">
        <v>2391</v>
      </c>
      <c r="C10" s="50">
        <v>6410.5000000000009</v>
      </c>
      <c r="D10" s="50">
        <v>10698</v>
      </c>
      <c r="E10" s="50">
        <v>9571</v>
      </c>
      <c r="F10" s="50">
        <v>5564.5</v>
      </c>
      <c r="G10" s="17">
        <f t="shared" si="0"/>
        <v>32244</v>
      </c>
      <c r="H10" s="17">
        <f t="shared" si="1"/>
        <v>2774.0944290698326</v>
      </c>
      <c r="I10" s="17">
        <f t="shared" si="2"/>
        <v>29469.905570930168</v>
      </c>
    </row>
    <row r="11" spans="1:9" ht="15.75" customHeight="1" x14ac:dyDescent="0.25">
      <c r="A11" s="5">
        <f t="shared" si="3"/>
        <v>2033</v>
      </c>
      <c r="B11" s="49">
        <v>2366</v>
      </c>
      <c r="C11" s="50">
        <v>6379.5</v>
      </c>
      <c r="D11" s="50">
        <v>10625.5</v>
      </c>
      <c r="E11" s="50">
        <v>9637.5</v>
      </c>
      <c r="F11" s="50">
        <v>5789</v>
      </c>
      <c r="G11" s="17">
        <f t="shared" si="0"/>
        <v>32431.5</v>
      </c>
      <c r="H11" s="17">
        <f t="shared" si="1"/>
        <v>2745.0888411456394</v>
      </c>
      <c r="I11" s="17">
        <f t="shared" si="2"/>
        <v>29686.41115885436</v>
      </c>
    </row>
    <row r="12" spans="1:9" ht="15.75" customHeight="1" x14ac:dyDescent="0.25">
      <c r="A12" s="5">
        <f t="shared" si="3"/>
        <v>2034</v>
      </c>
      <c r="B12" s="49">
        <v>2347</v>
      </c>
      <c r="C12" s="50">
        <v>6359.0000000000009</v>
      </c>
      <c r="D12" s="50">
        <v>10529.5</v>
      </c>
      <c r="E12" s="50">
        <v>9718.5</v>
      </c>
      <c r="F12" s="50">
        <v>6055</v>
      </c>
      <c r="G12" s="17">
        <f t="shared" si="0"/>
        <v>32662</v>
      </c>
      <c r="H12" s="17">
        <f t="shared" si="1"/>
        <v>2723.0445943232526</v>
      </c>
      <c r="I12" s="17">
        <f t="shared" si="2"/>
        <v>29938.955405676748</v>
      </c>
    </row>
    <row r="13" spans="1:9" ht="15.75" customHeight="1" x14ac:dyDescent="0.25">
      <c r="A13" s="5">
        <f t="shared" si="3"/>
        <v>2035</v>
      </c>
      <c r="B13" s="49">
        <v>2335</v>
      </c>
      <c r="C13" s="50">
        <v>6352</v>
      </c>
      <c r="D13" s="50">
        <v>10402.5</v>
      </c>
      <c r="E13" s="50">
        <v>9800</v>
      </c>
      <c r="F13" s="50">
        <v>6329</v>
      </c>
      <c r="G13" s="17">
        <f t="shared" si="0"/>
        <v>32883.5</v>
      </c>
      <c r="H13" s="17">
        <f t="shared" si="1"/>
        <v>2709.12191211964</v>
      </c>
      <c r="I13" s="17">
        <f t="shared" si="2"/>
        <v>30174.378087880359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vocRieXXdWyE/2v0sRdFFqDePPgT/wvjEJ99EhWVj0U5PLB7VDWuFulk9PMlXcu2cRqWnzOsW/pRROABAS4Vg==" saltValue="+hvOA8RAVPhGSIYy2swsT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1.9891899999999921E-2</v>
      </c>
    </row>
    <row r="4" spans="1:8" ht="15.75" customHeight="1" x14ac:dyDescent="0.25">
      <c r="B4" s="19" t="s">
        <v>79</v>
      </c>
      <c r="C4" s="101">
        <v>7.4515400000000037E-2</v>
      </c>
    </row>
    <row r="5" spans="1:8" ht="15.75" customHeight="1" x14ac:dyDescent="0.25">
      <c r="B5" s="19" t="s">
        <v>80</v>
      </c>
      <c r="C5" s="101">
        <v>0.11823790000000001</v>
      </c>
    </row>
    <row r="6" spans="1:8" ht="15.75" customHeight="1" x14ac:dyDescent="0.25">
      <c r="B6" s="19" t="s">
        <v>81</v>
      </c>
      <c r="C6" s="101">
        <v>0.25948660000000018</v>
      </c>
    </row>
    <row r="7" spans="1:8" ht="15.75" customHeight="1" x14ac:dyDescent="0.25">
      <c r="B7" s="19" t="s">
        <v>82</v>
      </c>
      <c r="C7" s="101">
        <v>0.36006529999999981</v>
      </c>
    </row>
    <row r="8" spans="1:8" ht="15.75" customHeight="1" x14ac:dyDescent="0.25">
      <c r="B8" s="19" t="s">
        <v>83</v>
      </c>
      <c r="C8" s="101">
        <v>4.5411999999999961E-3</v>
      </c>
    </row>
    <row r="9" spans="1:8" ht="15.75" customHeight="1" x14ac:dyDescent="0.25">
      <c r="B9" s="19" t="s">
        <v>84</v>
      </c>
      <c r="C9" s="101">
        <v>4.8583099999999983E-2</v>
      </c>
    </row>
    <row r="10" spans="1:8" ht="15.75" customHeight="1" x14ac:dyDescent="0.25">
      <c r="B10" s="19" t="s">
        <v>85</v>
      </c>
      <c r="C10" s="101">
        <v>0.11467859999999989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88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89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90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91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92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93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94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95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8.7529259999999998E-2</v>
      </c>
    </row>
    <row r="27" spans="1:8" ht="15.75" customHeight="1" x14ac:dyDescent="0.25">
      <c r="B27" s="19" t="s">
        <v>102</v>
      </c>
      <c r="C27" s="101">
        <v>8.5087389999999995E-3</v>
      </c>
    </row>
    <row r="28" spans="1:8" ht="15.75" customHeight="1" x14ac:dyDescent="0.25">
      <c r="B28" s="19" t="s">
        <v>103</v>
      </c>
      <c r="C28" s="101">
        <v>0.15587014399999999</v>
      </c>
    </row>
    <row r="29" spans="1:8" ht="15.75" customHeight="1" x14ac:dyDescent="0.25">
      <c r="B29" s="19" t="s">
        <v>104</v>
      </c>
      <c r="C29" s="101">
        <v>0.16769983199999999</v>
      </c>
    </row>
    <row r="30" spans="1:8" ht="15.75" customHeight="1" x14ac:dyDescent="0.25">
      <c r="B30" s="19" t="s">
        <v>2</v>
      </c>
      <c r="C30" s="101">
        <v>0.106388358</v>
      </c>
    </row>
    <row r="31" spans="1:8" ht="15.75" customHeight="1" x14ac:dyDescent="0.25">
      <c r="B31" s="19" t="s">
        <v>105</v>
      </c>
      <c r="C31" s="101">
        <v>0.108993619</v>
      </c>
    </row>
    <row r="32" spans="1:8" ht="15.75" customHeight="1" x14ac:dyDescent="0.25">
      <c r="B32" s="19" t="s">
        <v>106</v>
      </c>
      <c r="C32" s="101">
        <v>1.8349142999999998E-2</v>
      </c>
    </row>
    <row r="33" spans="2:3" ht="15.75" customHeight="1" x14ac:dyDescent="0.25">
      <c r="B33" s="19" t="s">
        <v>107</v>
      </c>
      <c r="C33" s="101">
        <v>8.4419259999999982E-2</v>
      </c>
    </row>
    <row r="34" spans="2:3" ht="15.75" customHeight="1" x14ac:dyDescent="0.25">
      <c r="B34" s="19" t="s">
        <v>108</v>
      </c>
      <c r="C34" s="101">
        <v>0.26224164300000002</v>
      </c>
    </row>
    <row r="35" spans="2:3" ht="15.75" customHeight="1" x14ac:dyDescent="0.25">
      <c r="B35" s="27" t="s">
        <v>41</v>
      </c>
      <c r="C35" s="48">
        <f>SUM(C26:C34)</f>
        <v>0.99999999800000006</v>
      </c>
    </row>
  </sheetData>
  <sheetProtection algorithmName="SHA-512" hashValue="7I2jQJnWk/XGVqCyxQR3pP21W+u8fzRG4ovrhnA3+d+KCqTrPFZtOMjmqsYhlljw5dqft+o95rwi/HqJTx7P+g==" saltValue="zsthnT+bNfW7UPKO6LT5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114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115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119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120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XBHQ2dN6KqsjaQlrZkUPuk4CTc2Pk4hXhK2oWqWACtmd823TSn97PMefBMk9VG/gATtdX4DKvr+DpA6tYqWPg==" saltValue="8NhLhhxrlUrvwxFcr2zk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132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o30WQBEW07XW9sht5VMKvzPH8h3ND/uDTaIw6+W8O1U/cv2C4HEKKWMxvhCiHYzs8ogG9Nrq0sG0top6inTrgA==" saltValue="99VXNgyOWEYd2wHg9rJA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NsXt3rewhcjR9KG5Rxqf8t1V2ipk/peZnJukBy7zEISMezhYYrqnYqBvEOnv+Us7RDLtleA6VSqLsXI0r8LbQ==" saltValue="wULD/l0MMmsIMmC5oGwW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fFx9NEmeRtH61DpqiYJay25uWh8slxZqHSGH9+apQkEXYyRYEVJGdSMbVrMIZY0rSe9JEhZbtd9uG0crWa94Gg==" saltValue="0QTsb/l0+v1Pjy5d0K0ak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x6A7iNHYKFTeFMD0wkDQrcvGw6dj05uLwxLUlZkwqW7i4nNa7SIB57o7CksP9Qycoj7m1wbyJdEiRGjHowESw==" saltValue="XAdJ9Ie0ON1VyE1E4hKq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7mfu9/a2S5RlCNz0ZPcVn4ljiGSmtDaBzdlyiWIspKc3Ys5M065gcRV5zCue9wx17InkwQl0YrQnV5dRNUHFcA==" saltValue="kvrKXXWVhU17TsojR1kl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51.649200023798471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39.737125372069528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314.37491066068219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2.1334184980332371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0.1060524</v>
      </c>
      <c r="C10" s="98">
        <v>0.95</v>
      </c>
      <c r="D10" s="56">
        <v>12.86942481586545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12.86942481586545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12.86942481586545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12.86942481586545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0.1060524</v>
      </c>
      <c r="C14" s="98">
        <v>0.95</v>
      </c>
      <c r="D14" s="56">
        <v>12.86942481586545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12.86942481586545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7.4868999999999986E-3</v>
      </c>
      <c r="C16" s="98">
        <v>0.95</v>
      </c>
      <c r="D16" s="56">
        <v>0.57619061576079733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0.56024590000000007</v>
      </c>
      <c r="C18" s="98">
        <v>0.95</v>
      </c>
      <c r="D18" s="56">
        <v>7.2775744227562367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0.56024590000000007</v>
      </c>
      <c r="C19" s="98">
        <v>0.95</v>
      </c>
      <c r="D19" s="56">
        <v>7.2775744227562367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19.847496939662769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22.13366866615802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0.70499999999999996</v>
      </c>
      <c r="C23" s="98">
        <v>0.95</v>
      </c>
      <c r="D23" s="56">
        <v>4.1901160197696434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0.34613380963715201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0.1060524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18.21712104199856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0.29529529999999998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0.13494429999999999</v>
      </c>
      <c r="C29" s="98">
        <v>0.95</v>
      </c>
      <c r="D29" s="56">
        <v>99.086155818641913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0.1201</v>
      </c>
      <c r="C31" s="98">
        <v>0.95</v>
      </c>
      <c r="D31" s="56">
        <v>4.0703992775726512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0.73</v>
      </c>
      <c r="C32" s="98">
        <v>0.95</v>
      </c>
      <c r="D32" s="56">
        <v>1.222368528253525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8.32175E-2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0.36904579999999998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1.1650499999999999E-2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0.44068459999999998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4.9708811231948573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Zd13XTzoZMGx20+5fp+jh6GVw187aJiqn387OzIcasYJoG7zscMjPYD0ikDxgusqfdpiJlTb6VLnoovs5ghNaQ==" saltValue="cDI7ESYtjiEa4CaQur94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ziNDr72pxoI2m9UljLWgyzmhP8rNN8EEqsjiOCEyvdOUZxMsasAlUaN/NquliQxSAG3AxDNroS6HAOhPRqaFw==" saltValue="CWlCzQRf7S0nlCwn3LNI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g0gI1g8tb39PcQIcGO+KqxcL21Atb/DbCXMOLXycpJXV42/CHPQnokvKwRL8r/e5bAdVPNlvOAEnQ09Dzwjicw==" saltValue="I7oBYDILGhI8dSDq0pzx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208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QdwJylLoJ7gkQX4x/KdG4ejU4AxOrK8ns5Ki11o8J6wEJgs9Y1O779MiSO8MySHbEKj+i4vZvOce7FTnAmmNBg==" saltValue="Fj0J6qz+N2QSIBG43J7g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K751oq28t+yj26hJv9HwDYRyNeL77Yiv8nMK97N68vtBeODdA562S+R4BT97vAZ2iXzzgM+eP7Q3q1HcDDn7Q==" saltValue="fbnUb/+RHQoDLdd+lurg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O1mnaHbbyxFatPfJUDEkvFtXmCa6qh561IK8k8EWYZWKDgTU94WljOcWXl5Fh7CJKieRzj8pLjOXnQzfmmcaA==" saltValue="7/JSKcdNmCdN6ovSXwJV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khj/H0KFbva7GdqbnCAlX92O+fM4MTD/VgiUMh6WlkpYeA5widM4AjCWxITfWBdfOiFWR8sbdQ7cbPcTLg7Xw==" saltValue="UJeP78U+WO+MLQCPj2MX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mSxVDrIDWqF0AvGf5stfns1KIDAcUGCMXI7vDcGhhFZUPtE1szKgygDsFbr3quY/Qe419MVhyIQcBvUDmjasw==" saltValue="Ygg2ZTCE+MEmoo6BesgS+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7QBPcbeyAeqDs9xCIzpxKkk9nrxaYPK2QaZpK8rnuMg98x5kxzdFMlkJ0GdqUow6EhlboYTQeT/r+n4HDgFNmQ==" saltValue="/ZoS71FJZXbnF5nhnJC6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DrpaDln32oknnzoZiYkvLYIPMMBgRLHY9rvV8Ukfd5kVDOfU/FrIN+YRuIHCJiOFSA2kd8kKGuqsv2LP0gzXQ==" saltValue="Z0sx7geaDC6PcjxL+KPz2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TL1b2evq9D4A1R4EJl/YDuTa5QH8LWg7cFpwCAnM1USbFJ5adGPx6MYZ8n7s6eOxe7wDZt3wezmnpMbQmaliw==" saltValue="q0X/zBkzGITeCjc94wHW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5OUZm78vr7rpOQRW1g6QBqvesSGi6fDFYSROVjhmzeRYTtucIg3uN5N9rtJxhvESsuEV3ZgWq6jGD4pniPJmQ==" saltValue="S1CUScU1ineWvJhD/mhF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ocxthTDpQUClypNuWwsZ7Q+YFb8WgEpsCxVjn3e8g/6p0Z5MloFCMaRUAR0gNjXR2A3Kwst8U+u3tb89LTUzA==" saltValue="lkwOY/hoIQcWRIyY4pB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SBz7uxA7CK6KdqPx9601ucUCs++iLAP3BWU+zf7shxVYNznotv34ZkWjQQCmCsp44jcKbMhSwW95jq1YgJ9Hg==" saltValue="HnbmgCFcmZ15/z0rUJIv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5yalmKc0vbZarGvYE541WGSl4zuJknNfE75G8qaGR2x7JSzsYakhjX1f9wFQGmm6wOwd2ZyYq2Pw35TQnuOhQ==" saltValue="KhuV1/D0RMLL6J6XECHh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U4/z7ojWDuelCPUxSsK4r8luINz2E3VfTsVLScCoJ6N4oa7XJxeDpx8o6Cq8WBB9PUhixiVNRx4kTK37mK94g==" saltValue="AE76OizcB/wMoNn+23fZ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rjJlcm9k3kx/inGE8JTjH9p1QI/FqEeRX6eH5A0phWL35r8kzxSj8oqK0Ht3PDzRdN7R5Ej6VWYFYBK1DUcAQ==" saltValue="/okg1KwXpUvBtlLpSvGJ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uaKpBo+/8xbYw+XFL01bC6g6pGvIpk9/2xUxCoBNy19CLeuMScOFzDaBKCP6vgCSRjdoe0R3+eQscSg2zivLA==" saltValue="QLFCbDW8YnVsnCJwzqFp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w9bnLL1cRfiCmDxdurPbC7QMVcQxdDuTUXdRHJQupNBhByM41OWtAY51i6luIjTpsdpatFbc6P8TkkIpDefgA==" saltValue="hFWGY/Ucf4aXFFajvgvb/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2024-08-06T09:02:03Z</dcterms:modified>
</cp:coreProperties>
</file>