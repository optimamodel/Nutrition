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F25CE15-B5D5-4CF3-9B75-C3E34AC2ED6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I38" i="2" s="1"/>
  <c r="H13" i="2"/>
  <c r="G13" i="2"/>
  <c r="H12" i="2"/>
  <c r="G12" i="2"/>
  <c r="I12" i="2" s="1"/>
  <c r="H11" i="2"/>
  <c r="G11" i="2"/>
  <c r="H10" i="2"/>
  <c r="G10" i="2"/>
  <c r="I10" i="2" s="1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40" i="2" s="1"/>
  <c r="C33" i="1"/>
  <c r="C20" i="1"/>
  <c r="A31" i="2" l="1"/>
  <c r="A16" i="2"/>
  <c r="A32" i="2"/>
  <c r="I3" i="2"/>
  <c r="I7" i="2"/>
  <c r="I11" i="2"/>
  <c r="A17" i="2"/>
  <c r="A33" i="2"/>
  <c r="A24" i="2"/>
  <c r="A27" i="2"/>
  <c r="A15" i="2"/>
  <c r="A19" i="2"/>
  <c r="A35" i="2"/>
  <c r="A23" i="2"/>
  <c r="I5" i="2"/>
  <c r="I9" i="2"/>
  <c r="I13" i="2"/>
  <c r="A25" i="2"/>
  <c r="I39" i="2"/>
  <c r="A3" i="2"/>
  <c r="A18" i="2"/>
  <c r="A26" i="2"/>
  <c r="A34" i="2"/>
  <c r="A39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<sst xmlns="http://schemas.openxmlformats.org/spreadsheetml/2006/main" count="2101" uniqueCount="337">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</sst>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488493.625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0.61118221282958995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0.1696</v>
      </c>
    </row>
    <row r="24" spans="1:3" ht="15" customHeight="1" x14ac:dyDescent="0.25">
      <c r="B24" s="15" t="s">
        <v>33</v>
      </c>
      <c r="C24" s="45">
        <v>0.5242</v>
      </c>
    </row>
    <row r="25" spans="1:3" ht="15" customHeight="1" x14ac:dyDescent="0.25">
      <c r="B25" s="15" t="s">
        <v>34</v>
      </c>
      <c r="C25" s="45">
        <v>0.2732</v>
      </c>
    </row>
    <row r="26" spans="1:3" ht="15" customHeight="1" x14ac:dyDescent="0.25">
      <c r="B26" s="15" t="s">
        <v>35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0.25506849999999998</v>
      </c>
    </row>
    <row r="30" spans="1:3" ht="14.25" customHeight="1" x14ac:dyDescent="0.25">
      <c r="B30" s="25" t="s">
        <v>38</v>
      </c>
      <c r="C30" s="99">
        <v>0.13864399999999999</v>
      </c>
    </row>
    <row r="31" spans="1:3" ht="14.25" customHeight="1" x14ac:dyDescent="0.25">
      <c r="B31" s="25" t="s">
        <v>39</v>
      </c>
      <c r="C31" s="99">
        <v>0.123641</v>
      </c>
    </row>
    <row r="32" spans="1:3" ht="14.25" customHeight="1" x14ac:dyDescent="0.25">
      <c r="B32" s="25" t="s">
        <v>40</v>
      </c>
      <c r="C32" s="99">
        <v>0.48264649999999998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6.0968</v>
      </c>
    </row>
    <row r="38" spans="1:5" ht="15" customHeight="1" x14ac:dyDescent="0.25">
      <c r="B38" s="11" t="s">
        <v>45</v>
      </c>
      <c r="C38" s="43">
        <v>10.693809999999999</v>
      </c>
      <c r="D38" s="12"/>
      <c r="E38" s="13"/>
    </row>
    <row r="39" spans="1:5" ht="15" customHeight="1" x14ac:dyDescent="0.25">
      <c r="B39" s="11" t="s">
        <v>46</v>
      </c>
      <c r="C39" s="43">
        <v>12.426690000000001</v>
      </c>
      <c r="D39" s="12"/>
      <c r="E39" s="12"/>
    </row>
    <row r="40" spans="1:5" ht="15" customHeight="1" x14ac:dyDescent="0.25">
      <c r="B40" s="11" t="s">
        <v>47</v>
      </c>
      <c r="C40" s="100">
        <v>0.43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6.8047999999999997E-3</v>
      </c>
      <c r="D45" s="12"/>
    </row>
    <row r="46" spans="1:5" ht="15.75" customHeight="1" x14ac:dyDescent="0.25">
      <c r="B46" s="11" t="s">
        <v>52</v>
      </c>
      <c r="C46" s="45">
        <v>7.3117000000000001E-2</v>
      </c>
      <c r="D46" s="12"/>
    </row>
    <row r="47" spans="1:5" ht="15.75" customHeight="1" x14ac:dyDescent="0.25">
      <c r="B47" s="11" t="s">
        <v>53</v>
      </c>
      <c r="C47" s="45">
        <v>7.4529800000000007E-2</v>
      </c>
      <c r="D47" s="12"/>
      <c r="E47" s="13"/>
    </row>
    <row r="48" spans="1:5" ht="15" customHeight="1" x14ac:dyDescent="0.25">
      <c r="B48" s="11" t="s">
        <v>54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0.564581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0.10295944</v>
      </c>
    </row>
    <row r="63" spans="1:4" ht="15.75" customHeight="1" x14ac:dyDescent="0.3">
      <c r="A63" s="4"/>
    </row>
  </sheetData>
  <sheetProtection algorithmName="SHA-512" hashValue="5YAJc2ZZaPAJpcdie5f2Wv4bvwGbQZIhepScQ9yomyBIcBrax9WYUo2idzr5N2trzdH9M8NUk6xyg+vdZYHNQg==" saltValue="Z/ApSM/KTU8CoYKbQR/A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myn+Ndao5zxj13MeH0drigasyLVLO+QKfb5YdOMSLZo1al1i7dIO9ErUaGv1Dqd4dxQdAtu0A/auUsDcFg7Vw==" saltValue="OeV5C/NTzjPFIdk7DDvw8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6.0063494121611181E-2</v>
      </c>
    </row>
    <row r="5" spans="1:8" ht="15.75" customHeight="1" x14ac:dyDescent="0.25">
      <c r="B5" s="19" t="s">
        <v>80</v>
      </c>
      <c r="C5" s="101">
        <v>2.2386320070241359E-2</v>
      </c>
    </row>
    <row r="6" spans="1:8" ht="15.75" customHeight="1" x14ac:dyDescent="0.25">
      <c r="B6" s="19" t="s">
        <v>81</v>
      </c>
      <c r="C6" s="101">
        <v>0.1570764170522494</v>
      </c>
    </row>
    <row r="7" spans="1:8" ht="15.75" customHeight="1" x14ac:dyDescent="0.25">
      <c r="B7" s="19" t="s">
        <v>82</v>
      </c>
      <c r="C7" s="101">
        <v>0.4339066453125362</v>
      </c>
    </row>
    <row r="8" spans="1:8" ht="15.75" customHeight="1" x14ac:dyDescent="0.25">
      <c r="B8" s="19" t="s">
        <v>83</v>
      </c>
      <c r="C8" s="101">
        <v>1.388748822441363E-2</v>
      </c>
    </row>
    <row r="9" spans="1:8" ht="15.75" customHeight="1" x14ac:dyDescent="0.25">
      <c r="B9" s="19" t="s">
        <v>84</v>
      </c>
      <c r="C9" s="101">
        <v>0.23970991838528249</v>
      </c>
    </row>
    <row r="10" spans="1:8" ht="15.75" customHeight="1" x14ac:dyDescent="0.25">
      <c r="B10" s="19" t="s">
        <v>85</v>
      </c>
      <c r="C10" s="101">
        <v>7.2969716833665876E-2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88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89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93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94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95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41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5.3793739E-2</v>
      </c>
    </row>
    <row r="27" spans="1:8" ht="15.75" customHeight="1" x14ac:dyDescent="0.25">
      <c r="B27" s="19" t="s">
        <v>102</v>
      </c>
      <c r="C27" s="101">
        <v>1.9276288999999999E-2</v>
      </c>
    </row>
    <row r="28" spans="1:8" ht="15.75" customHeight="1" x14ac:dyDescent="0.25">
      <c r="B28" s="19" t="s">
        <v>103</v>
      </c>
      <c r="C28" s="101">
        <v>0.179864307</v>
      </c>
    </row>
    <row r="29" spans="1:8" ht="15.75" customHeight="1" x14ac:dyDescent="0.25">
      <c r="B29" s="19" t="s">
        <v>104</v>
      </c>
      <c r="C29" s="101">
        <v>0.23533279200000001</v>
      </c>
    </row>
    <row r="30" spans="1:8" ht="15.75" customHeight="1" x14ac:dyDescent="0.25">
      <c r="B30" s="19" t="s">
        <v>2</v>
      </c>
      <c r="C30" s="101">
        <v>6.8817955E-2</v>
      </c>
    </row>
    <row r="31" spans="1:8" ht="15.75" customHeight="1" x14ac:dyDescent="0.25">
      <c r="B31" s="19" t="s">
        <v>105</v>
      </c>
      <c r="C31" s="101">
        <v>4.4797729000000001E-2</v>
      </c>
    </row>
    <row r="32" spans="1:8" ht="15.75" customHeight="1" x14ac:dyDescent="0.25">
      <c r="B32" s="19" t="s">
        <v>106</v>
      </c>
      <c r="C32" s="101">
        <v>1.9724179000000001E-2</v>
      </c>
    </row>
    <row r="33" spans="2:3" ht="15.75" customHeight="1" x14ac:dyDescent="0.25">
      <c r="B33" s="19" t="s">
        <v>107</v>
      </c>
      <c r="C33" s="101">
        <v>0.148522658</v>
      </c>
    </row>
    <row r="34" spans="2:3" ht="15.75" customHeight="1" x14ac:dyDescent="0.25">
      <c r="B34" s="19" t="s">
        <v>108</v>
      </c>
      <c r="C34" s="101">
        <v>0.229870352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m+O54Tc1+JT3Qg5DLMkYNn23RyIzRPH9XZRStXOIFzKDdsD2ZVSHc99+1KIocVZbydphGgIFmfvYgWMrqp1U9g==" saltValue="94g5vI8ABUHTHFA+/3HV/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114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115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119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120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ZZlI7YYXrFBDDh/CHeUE+KBsWaY4XJPZkDe5sjTaKrwUbe24x+DmtJ8l3vwNNaZPqXMpuYPU5WQtHrprQ8tkQ==" saltValue="Cc/+Q+eUVt8rvp0PJNK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132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tWODin4Dv+rIvoqJ6jaNen3+RDMa/ubsvjtvAZapopE31tbl0mx17R7ioPNVImaS+k9UCGUWrpymm96qfRUxtw==" saltValue="Tv94/wewJQLf+4T+PjHX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7WVFNRYaFaQapBQ0pPTbNNjrMFLc2t42nmKQRtam1QaDgdSzmO2G0DPFOQw88WuR79QtTX6jmIsv+qA96MdcA==" saltValue="pC1krIy3nnSGM+lK2tzH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wVi30/uQhcPUEnIDn7MmoXMpzcYTydtvMsUSPe/h+lMCnDsX/3E4BkONMEotpoXwB8X+dRmIV6fbsk2+WEs2VA==" saltValue="D+ER8mh9mb/1Addvq7qt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QWm/Beb5u+fFPQ8Wd0nJ7mye0zjVNmeAxzSjUl0DiuitQLSO4gnU/vwLHKCKGOVmMFIz97PczJ7EUa6EUfkzvQ==" saltValue="hj5CXiQN2zyl4vtKshEgS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caaBoDkPwgtnWbhvGT8/hOUsO53jWWLUgvUPs1w2nje3yVnN35rSxgG8aLBGbQYd9tVyZOzDmWu6zfPGs+UcQ==" saltValue="8KwqyFgy42CxloJI4poe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58.536923175170507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39.891505403581561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422.35845794346858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0.67522681652432304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13.02380484737747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13.02380484737747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13.02380484737747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13.02380484737747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13.02380484737747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13.02380484737747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0.73057064727282073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0.30020833333333302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0.43595139999999999</v>
      </c>
      <c r="C18" s="98">
        <v>0.95</v>
      </c>
      <c r="D18" s="56">
        <v>9.7344812256272366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0.43595139999999999</v>
      </c>
      <c r="C19" s="98">
        <v>0.95</v>
      </c>
      <c r="D19" s="56">
        <v>9.7344812256272366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6.5464220867330107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22.48102373706007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4.2866035394646582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0.69745919383433996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18.590824811122559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0.69842299999999991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0.72850910000000002</v>
      </c>
      <c r="C29" s="98">
        <v>0.95</v>
      </c>
      <c r="D29" s="56">
        <v>114.80634956846561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1.9300000000000001E-2</v>
      </c>
      <c r="C31" s="98">
        <v>0.95</v>
      </c>
      <c r="D31" s="56">
        <v>0.40904222984605382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0.81</v>
      </c>
      <c r="C32" s="98">
        <v>0.95</v>
      </c>
      <c r="D32" s="56">
        <v>1.5698421778540761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0.90699580000000002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0.41810140000000001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4.23329E-2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0.92794939999999992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0.32745109999999999</v>
      </c>
      <c r="C38" s="98">
        <v>0.95</v>
      </c>
      <c r="D38" s="56">
        <v>5.0704877347930708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zt5iWn4XdWIgn3Eu3PpopH49ZOsiT2vWQTc0D0zlPwXqZbqtTvIVeiXGGyqzoueH9UFzTiFGQdwxBPmyvwJ+Q==" saltValue="NFTDfsRYPPpU3+RJ17/G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U9ruYMzpko5EwBV3U2uG0+49ucsQ6PaI2HpV9SosIJ5NIE0ZnmFvqYiJQJ4DwkbAQ94Yx/+f/Ry8iVr+KLq5g==" saltValue="dOsmHYJlM9lI/DsQ2rRu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ZBC6KRv08mCaTjd+coVb3e6soU24fkH1rlk7JziQRoyF5O4zG2D0ifyqLGhMiafF2gg4sBqP1ZDrfeJR9D81/Q==" saltValue="TSk3kSUcJednCk9XiO0H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208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ueB50UWJDi4Maxjy6M8bovOx/If4fv0eJMEGPupoCsEtbOOFi/cfKv6e3LiFbqIee1Q0e+9FJKINec5Z6q5tMg==" saltValue="+79fkJKNnRpXIzV6M6q5O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+UX7SJ0m/eMLrkcW3kvbXDriOu38pCtmMZ2116BcU18C/O2zk7QBjBmi9qLs5BbH20TRnTKj6XBZdixvSOfGg==" saltValue="ppBG74Vv+nt+TlaqkTrd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BCbBY5tfG/t/mGM9+9pOZek1Pwi7FLwe7GRhBbIWnAq9BfuA7u2CmhXxZJAlZ91d/HNckgPA8a/NDWSh7WUgw==" saltValue="Y4uGMVmf7jRPRSOgFIdr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10wrpzwZ1hxeJX7BqV6QYJLMJzdI1i2QNtx0Zqmh6Mtvst6V5gJoCpuWtkusipbjRVGUNFR0R8AB7BROKCoaA==" saltValue="W4yNy3CqvD/JVW4lUHYK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8yG0OSk9FOGijYqbSmW0Svkkx8QVCNaTyc6AgxxHYMEQXkwn2jPVXyGWrBP0HnOa6t/RtPMdiI2eghtqFUzgA==" saltValue="kMK9FsWQdvCYSugqyMSM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7a6JFa00oHV9dm2gZvlkf0JSgrMwjpxZEvDdRP4gd8F3oqr9mkndko4ERauYGgkPI7VjjrRq9Pm+Fjk9gcxGg==" saltValue="PioLYfM/3OHmds2kJGr/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BCgB0KFijl+AbgO27QjVdFROoTcYPo1dk8viV+J0qqwfC19mBJpVcSLaecFybz9b+anMhr7IteTP0sz8khJUA==" saltValue="sCjR0w61NEklLLc3U/mn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BHc3TjCEYbSW5QdgDcdVX7VGTcTSVKT9S9O4XXNfehmE+t5TGyh/hAQ05cPXqSfw/VI7qvCjfIn5W8SrjgtUg==" saltValue="rQxLhAvUcZUdMEJQDhKBt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kpe/QShlnt/q+DZ+Aya80swQhL35Etrbt9TM8rIZ4iVD2zyKK6fcrwyX/s18lierw7k7Tk1PUZWs+Wn0oiauA==" saltValue="YBrudREHl+5q3+lplUFn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WAM+jtOHbOT32iqgcofAIu4sWrgQYsmXc0wtT2jCVJMV85YAeVdBDsTOVQHJprXwkHyZt5YKNE8dFKRGIuzyg==" saltValue="VUx7Wt12HA6BCt3Mmcu+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U5vy2ANCUjgZfnw1fltr/XGAzWfUmMDhgJJaEILrs5hpcR9pEILXTIiFsaeoguVnfOQ7HvMSm/asBfwPqGPMw==" saltValue="svN+j/diElwmrO/pEF8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sINwBOR6QK+xfjFwMpIV/j/5K6FeWVdSlco/sRNk2cTbX5NYbCMVp12XGHSloPVpBGmR8HOlrEa8777d2wYDw==" saltValue="msHpZa+/yiB3L4Sx29ip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Xj33rnuzN39s5/hj6IZM60srooy/R2kH+inEYj3mJco51sTk6c+WKOnwQckwH2vuEtSO6Y5FZPNCU7+b7Qn9g==" saltValue="YoatIjqWAnC7iXXHw0z8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FxNAaF4bwjdFonwpKxalGEjCllTe0qrw9ZBsW70JzVqR4zIMeJEJ3pMe0gTvcENQn/hyoaEg5xQ3ubeSovyPw==" saltValue="Ega9nxBFJwxuByPKNt3i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0.10954060220162243</v>
      </c>
      <c r="G18" s="90">
        <f>MIN(MAX(1-0.89/(1-frac_sam_12_23months+(frac_sam_12_23months*0.89)),0),1)</f>
        <v>0.1097393530488282</v>
      </c>
      <c r="H18" s="90">
        <f>MIN(MAX(1-0.89/(1-frac_sam_24_59months+(frac_sam_24_59months*0.89)),0),1)</f>
        <v>0.10979644872657646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0.10819835824468149</v>
      </c>
      <c r="G20" s="90">
        <f>MIN(MAX(1-0.89/(1-frac_mam_12_23months+(frac_mam_12_23months*0.89)),0),1)</f>
        <v>0.10822733518866068</v>
      </c>
      <c r="H20" s="90">
        <f>MIN(MAX(1-0.89/(1-frac_mam_24_59months+(frac_mam_24_59months*0.89)),0),1)</f>
        <v>0.10869698451299314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9.9535658321910914E-3</v>
      </c>
      <c r="G73" s="90">
        <f>MIN(MAX(1-0.99/(1-frac_sam_12_23months+(frac_sam_12_23months*0.99)),0),1)</f>
        <v>9.973649458653866E-3</v>
      </c>
      <c r="H73" s="90">
        <f>MIN(MAX(1-0.99/(1-frac_sam_24_59months+(frac_sam_24_59months*0.99)),0),1)</f>
        <v>9.979420442212783E-3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9.8181461712714135E-3</v>
      </c>
      <c r="G75" s="90">
        <f>MIN(MAX(1-0.99/(1-frac_mam_12_23months+(frac_mam_12_23months*0.99)),0),1)</f>
        <v>9.8210657549715474E-3</v>
      </c>
      <c r="H75" s="90">
        <f>MIN(MAX(1-0.99/(1-frac_mam_24_59months+(frac_mam_24_59months*0.99)),0),1)</f>
        <v>9.8684095313634757E-3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0.19924887943388658</v>
      </c>
      <c r="G128" s="90">
        <f>MIN(MAX(1-0.8/(1-frac_sam_12_23months+(frac_sam_12_23months*0.8)),0),1)</f>
        <v>0.19957391718759721</v>
      </c>
      <c r="H128" s="90">
        <f>MIN(MAX(1-0.8/(1-frac_sam_24_59months+(frac_sam_24_59months*0.8)),0),1)</f>
        <v>0.19966726967069282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0.19705065464159011</v>
      </c>
      <c r="G130" s="90">
        <f>MIN(MAX(1-0.8/(1-frac_mam_12_23months+(frac_mam_12_23months*0.8)),0),1)</f>
        <v>0.19709816825775373</v>
      </c>
      <c r="H130" s="90">
        <f>MIN(MAX(1-0.8/(1-frac_mam_24_59months+(frac_mam_24_59months*0.8)),0),1)</f>
        <v>0.19786790079502914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YzUE4/qRo9Qg8hIePaFuW9p2TPOnBbTFlzqlQwt/8kkI5a6REZjcBZ9IDXHe8z1g3iJc70mHeMYJcMjs8IS5Q==" saltValue="QvuQZZkcx2bk+MlB0VIA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r+78oDWa45B9h1A9cS5iZJyqFALw745KUqEQVHwJ+6xHu3rYi1qwQDhWIEv0kfHjDqfbWJuiqnQvHhHYtzTYA==" saltValue="6xzF0X1PELQwAGcqG05Q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2024-08-06T09:43:56Z</dcterms:modified>
</cp:coreProperties>
</file>