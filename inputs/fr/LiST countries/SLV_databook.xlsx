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Modelling projects\Nutrition\inputs\fr\LiST countries\"/>
    </mc:Choice>
  </mc:AlternateContent>
  <xr:revisionPtr revIDLastSave="0" documentId="8_{7F14FABE-DF22-4388-B32C-ED9CD8B64BB8}" xr6:coauthVersionLast="47" xr6:coauthVersionMax="47" xr10:uidLastSave="{00000000-0000-0000-0000-000000000000}"/>
  <bookViews>
    <workbookView xWindow="-110" yWindow="-110" windowWidth="19420" windowHeight="1030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M60" i="25"/>
  <c r="N60" i="25"/>
  <c r="O60" i="25"/>
  <c r="L60" i="25"/>
  <c r="L14" i="25"/>
  <c r="O37" i="25"/>
  <c r="N37" i="25"/>
  <c r="M37" i="25"/>
  <c r="L37" i="25"/>
  <c r="H159" i="27"/>
  <c r="G159" i="27"/>
  <c r="F159" i="27"/>
  <c r="E159" i="27"/>
  <c r="D159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G158" i="27" s="1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A40" i="2"/>
  <c r="H39" i="2"/>
  <c r="G39" i="2"/>
  <c r="H38" i="2"/>
  <c r="G38" i="2"/>
  <c r="I38" i="2" s="1"/>
  <c r="A31" i="2"/>
  <c r="A26" i="2"/>
  <c r="A25" i="2"/>
  <c r="A24" i="2"/>
  <c r="H13" i="2"/>
  <c r="G13" i="2"/>
  <c r="I13" i="2" s="1"/>
  <c r="H12" i="2"/>
  <c r="G12" i="2"/>
  <c r="H11" i="2"/>
  <c r="G11" i="2"/>
  <c r="I11" i="2" s="1"/>
  <c r="H10" i="2"/>
  <c r="G10" i="2"/>
  <c r="H9" i="2"/>
  <c r="G9" i="2"/>
  <c r="I9" i="2" s="1"/>
  <c r="H8" i="2"/>
  <c r="G8" i="2"/>
  <c r="H7" i="2"/>
  <c r="G7" i="2"/>
  <c r="H6" i="2"/>
  <c r="G6" i="2"/>
  <c r="H5" i="2"/>
  <c r="G5" i="2"/>
  <c r="H4" i="2"/>
  <c r="G4" i="2"/>
  <c r="I4" i="2" s="1"/>
  <c r="H3" i="2"/>
  <c r="G3" i="2"/>
  <c r="I3" i="2" s="1"/>
  <c r="H2" i="2"/>
  <c r="G2" i="2"/>
  <c r="A2" i="2"/>
  <c r="A39" i="2" s="1"/>
  <c r="C33" i="1"/>
  <c r="C20" i="1"/>
  <c r="A23" i="2" l="1"/>
  <c r="I6" i="2"/>
  <c r="I12" i="2"/>
  <c r="A35" i="2"/>
  <c r="A36" i="2"/>
  <c r="A37" i="2"/>
  <c r="I7" i="2"/>
  <c r="I2" i="2"/>
  <c r="I8" i="2"/>
  <c r="A19" i="2"/>
  <c r="A22" i="2"/>
  <c r="I39" i="2"/>
  <c r="A34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37" authorId="1" shapeId="0" xr:uid="{B53E2CCE-449F-4B13-937B-3F8B887F6752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37" authorId="1" shapeId="0" xr:uid="{1148A5A1-251A-4064-B40F-0C873577904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37" authorId="1" shapeId="0" xr:uid="{15C867EE-F338-4C14-9C7D-F0E3CF1EF5F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37" authorId="1" shapeId="0" xr:uid="{8E4E4ECE-5F5C-4FD8-8945-6257CBFF139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E6EBA730-3C9A-42F5-8372-C12E3D2BCF2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AF9DB01E-B712-4A66-A517-1C057B372D4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207C9149-2C56-40E5-890F-83153B938A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39C4CB92-7EE0-4046-B67E-41191387FFA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E377B1E7-A333-4A74-97C3-029328512C0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200C4BAB-9EE2-447E-A6DD-80717CFE4A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9FC7E5D2-2D8B-4961-9B75-5691D4A68B0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D951D76C-28E5-48CE-899C-D128152950F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E9DCEC9B-12F6-42CF-8CD9-B1C5DD42DE7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FD33C3F-D78F-4E9D-A67C-9D39AC73491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3400288E-DF03-41FF-B1F2-3EB20AA1B92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9C325214-076C-49F4-9A1C-FDD39C7EF1F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9B6733C4-FA93-4154-8674-5B85D19B611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607EB3C-B9C7-4D01-AE82-3B20B34591B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26DD0551-BD1F-450A-8953-951E786BA72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7B0F43C-E3A4-41A5-9220-14111D4DE5D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BF774CA2-E4B3-46E6-A04D-901C8156EE7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DDFF231A-B050-4E30-B877-4FB8473D71B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0214BC76-CC8A-414C-8D7A-C51B3E742D6B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408E5496-8B3D-4F1E-BD84-9A9255C25832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DF0EEE5A-AAEC-4832-9B3D-B069B0FD3D24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2A9C86D6-9952-4010-8EF5-ED482E1554F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5A70274A-2FB2-4238-A065-120459AD1B1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385F9BE4-A3AC-4198-BAC3-722E7A52040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1E0B57C8-7A0A-48E3-A3E8-1E19A7175498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2AC9637A-4534-4154-9BD7-3AE7DD8CD9D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01A3CEF9-0D30-4FDB-AF26-2DC31C7D29F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E3448607-813B-4893-BFAF-1777B6724FB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CB33591A-EF28-41CE-A9F1-ECF332B1A0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652EDCEE-9F4F-4011-BE3F-87A81AEAB68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F2E7DF39-BD3C-4774-9BD5-66837E9E22B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84346A43-22E1-4209-86B7-5484553C9A3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6AA73D8B-E906-4C63-9A89-433F265EDADB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D0DB495D-46B4-4957-B9C2-D1B5214046C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E8F934AE-F36A-4978-A2B4-5231B12CD33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53D9CECE-9FA0-4330-B76A-C6EEC6C1D65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9DC905D6-8DE5-4FE7-BE6F-D3E934A7520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ACC4B3F7-E558-402F-BE57-0C3DDC8060F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955FA18E-86F7-422C-8CA5-A38FE48813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33441C3A-E101-49E5-A4DB-504F222DBAB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9A6BDF27-568B-45B9-BE8D-362C80D286A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08FA6FC1-5E34-45F1-9F8B-4E7BAEF15D4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9730E75-4547-4DE1-A9F2-FCA6D5B0977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38945CFE-2923-4A7C-9E0E-820E103F12F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F76610CF-AE5A-4A2B-BD5A-C60057991BB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8EC67AD9-5004-458A-B78A-27343190877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8D6C5816-8BDB-4D07-A205-24F2394A45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B76A1BFB-64B6-4C17-9732-138D8EB4934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962C7931-87AA-452E-BF56-06BF5EBED30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25F108DC-6C32-4B96-9492-1B12A3709CE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8B1376CD-B39F-49F6-BC5B-7A2858E0592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048CF327-553B-4B14-8A84-22CC73D47D4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1FFD936D-DA45-475C-9F30-391304B2787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3CED59C7-FFD8-4D8E-9210-1FB3B9F5724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BFC97A30-BB96-4307-90EA-5BE03611C63A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51ED88B2-1E5E-47FC-9698-0E5AB645D50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561CB528-6BAE-4817-8CC0-243735B76FA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E496632C-74C0-41C8-9AB4-0B4C878936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FBF69FC4-CD17-4513-AF48-E695A29BF82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900E651E-9020-4856-BB60-BF507FACE1C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49F9B2F7-6FD6-4FDF-921C-425B5CDD515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4AC52846-7242-459E-9C8D-BF78F201C11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B7E52F08-0E63-474C-A17D-FB71B12C1A4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29CDC5B-FBD8-45AA-9D30-2F9915F0B0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74D24310-E8B6-4724-B08F-C246A0B86F1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026E01B-E53C-4032-904B-4C8C6143328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56E6B52D-1C74-48A6-AB95-D033A5B5881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A2996F6D-43C2-499B-8B4D-F7E66869236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1BA30CAA-FFAB-42ED-B857-7C2DBF6DD53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234E5DD0-50F5-435F-A2AD-FDCE2659B3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81B268C8-266C-41E0-8968-7FD59EF4441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D68CDFE1-6866-4AC0-B4D7-B34E1A99563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6447B983-C337-44DD-BE06-3BF10916980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42AC3582-1D7E-471B-A6C7-CD7E77F8588B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C499C901-0DF0-4641-8493-EE778DE73B9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080FF01F-34D3-44B7-835E-C7CC7A5B457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B263C3DB-9806-4F53-B7FE-F5AB30086A0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FF88E7CE-1D54-4693-9AC1-0680C287922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F32BE7CD-2AAA-47AD-914F-4CAAC1FEDD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BCFCAE2C-B071-4EBD-916E-9CB34A3AE95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E2890E16-5EE9-49DE-B974-B3ADDC0025F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FFC68E24-6D1B-4208-B66E-D8A12166F7E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AE98D75E-0886-4415-A5FC-355EDA6C4FF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F3FF4EFF-507E-406A-9019-C50AD187D2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DE5B9A2C-A2CF-41B4-A227-60CE716BCCA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34EEDC69-740F-43FD-A983-6FB9711FB12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1C7CF2A-6820-4496-B5B3-46A027800BF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EBC10A23-30BF-4E42-8CA2-8EE10D6CA31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C4570B06-D8B9-4BF0-8899-481D28F107D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E10AAA50-CCAF-4DFB-8CEA-438EA669514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0D2DBAA3-0B85-4069-9696-DDECC83557D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E6F4F3F2-6816-43AD-9558-8D77B03CE64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994813E0-DC6E-4867-8FA2-13765D152F5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6D709644-E2DA-4998-B8D6-CCE8241FA06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E0BF8484-6C50-4B90-B5C7-81D81EF1805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98B23DB2-DC71-4976-B9E0-A2E971751C4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ED7AE56-914C-4919-99D9-9B4DD94D01A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C946989D-0B8C-452F-9FD8-02724BD0218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E509D43A-5096-49C2-BA18-0C199C6BF4A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7D8578B9-425B-43DC-B215-7EF10F08E8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309E82E0-67AD-454E-9A05-4D9313B66A9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9EF8017-E5A0-4B1E-9AF7-1E695ECA49A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26E77479-1563-4266-B2C1-17AF174C957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09D666FE-E28F-48AE-ADF8-2D96C595DB94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B9267817-21CE-42E6-A675-E3EF4A926E9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D5F41D35-9589-4734-9273-1246C82D90D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68C36586-6425-44D5-AE71-7B83AC0B0D8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AF8C373-AE13-4606-898A-ED625C16452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A99AB4B1-F894-4133-B7CD-69537AC87F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66812343-2E7C-44E8-B27C-8CF88CE0513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384DF3D1-4AA8-4943-A530-5AAE715E42E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1DE26347-7149-43FD-858E-465A040CC0F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B687D13E-D130-42E7-9D6A-3F80F0C7EF5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9BC31D67-F810-46D7-B5A1-4288AAC1F5B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64D245B3-8DA5-40BE-BC14-2456737D9F8E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5798986F-DE4D-469D-8D38-C4A2549541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1683DE01-9F25-40E0-AE29-34410454063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6E399964-9FF6-4F4D-B47E-AC805C54B9B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EFF89D0F-5E10-4447-B0BA-64F660AD6D14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E024415B-2F81-4A00-9886-75203AC76837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773BC8B9-C7FD-4E1D-BFAD-28167A2B024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E0893EE6-8215-43BF-B8DC-C2BA125EF50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B0106407-B25E-404E-AE98-C6E846DE743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B3781CC1-6735-4678-95E3-B6650A0CF97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550CF970-1632-472E-99A6-5157A6C70FB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0F529DF4-B0D9-4A77-880D-52378457049B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0A749486-D0DA-44DD-A158-4937B013D9E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65A87F96-9920-4AFF-9D42-432A9BC46A3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14AFEBEB-6E6D-485B-AD84-D77832449F6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C956521D-520C-46E0-BBF9-22BA4AB582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889435D0-F1CE-49D5-B3FA-2C346C3DD8B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21DCB560-D7D0-454D-9256-2EB6BA5D9FA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2CA48B3A-F458-496E-A12E-9EDFF9710F1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D5130B5B-6564-4541-AFF7-B31DC2A99F0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A87CEC0D-D5EC-411A-9E0A-45792CF26B1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F07A7990-2D7C-41E0-8069-25EED27A8B7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B9A5DC53-F533-4CB3-94F1-5C0DF398AC6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F61BC170-6314-4BE8-BD27-ACBE21EC6D8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F2F9EF38-F3FC-4F8C-BAEA-4602406D7D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03156B19-EF6A-4B80-952F-EA4B39906AB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6C70B7FC-07DB-4AA6-AD5D-BA8D185F69A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ECCF229F-BC05-441A-A8EC-996A647C989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853363A1-995D-434E-99B9-CBFFCC587E1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D7049EC9-BADF-40DE-979A-0A74E0293BB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C916B5A2-27DC-436D-B575-9210A24C214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D9F9FF7F-8008-4D79-ABB3-028FF22CD55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D7D5CD6A-B8A4-4771-AAA0-5113E0A3BC1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06B708C5-CF4C-4BD9-A112-999F5C5817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52C7700-A4E9-41DE-B7A6-091614D4800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C648195E-E2CA-46F6-BED8-ABE76E4EB10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876F0647-9D39-464F-9AEF-66CCB9E7BE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A2FD75B6-2FF3-4112-A257-87C89428A2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17B0E3BD-602F-47AD-8FDA-505C553A7C4F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<sst xmlns="http://schemas.openxmlformats.org/spreadsheetml/2006/main" count="2169" uniqueCount="369">
  <si>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</si>
  <si>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</si>
  <si>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</si>
  <si>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</si>
  <si>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</si>
  <si>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</si>
  <si>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</si>
  <si>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</si>
  <si>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</si>
  <si>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</si>
  <si>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</si>
  <si>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</si>
  <si>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</si>
  <si>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</si>
  <si>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</si>
  <si>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</si>
  <si>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</si>
  <si>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</si>
  <si>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</si>
  <si>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</si>
  <si>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</si>
  <si>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</si>
  <si>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</si>
  <si>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</si>
  <si>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</si>
  <si>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</si>
  <si>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</si>
  <si>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</si>
  <si>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</si>
  <si>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</si>
  <si>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</si>
  <si>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</si>
  <si>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</si>
  <si>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</si>
  <si>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</si>
  <si>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</si>
  <si>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</si>
  <si>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</si>
  <si>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</si>
  <si>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</si>
  <si>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</si>
  <si>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</si>
  <si>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</si>
  <si>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</si>
  <si>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</si>
  <si>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</si>
  <si>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</si>
  <si>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</si>
  <si>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</si>
  <si>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</si>
  <si>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</si>
  <si>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</si>
  <si>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</si>
  <si>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</si>
  <si>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</si>
  <si>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</si>
  <si>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</si>
  <si>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</si>
  <si>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</si>
  <si>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</si>
  <si>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</si>
  <si>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</si>
  <si>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</si>
  <si>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</si>
  <si>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</si>
  <si>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</si>
  <si>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</si>
  <si>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</si>
  <si>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</si>
  <si>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</si>
  <si>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</si>
  <si>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</si>
  <si>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</si>
  <si>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</si>
  <si>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</si>
  <si>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</si>
  <si>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</si>
  <si>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</si>
  <si>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</si>
  <si>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</si>
  <si>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</si>
  <si>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</si>
  <si>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</si>
  <si>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</si>
  <si>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</si>
  <si>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</si>
  <si>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</si>
  <si>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</si>
  <si>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</si>
  <si>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</si>
  <si>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</si>
  <si>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</si>
  <si>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</si>
  <si>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</si>
  <si>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</si>
  <si>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</si>
  <si>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</si>
  <si>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</si>
  <si>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</si>
  <si>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</si>
  <si>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</si>
  <si>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</si>
  <si>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</si>
  <si>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</si>
  <si>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</si>
  <si>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</si>
  <si>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</si>
  <si>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</si>
  <si>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</si>
  <si>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</si>
  <si>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</si>
  <si>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</si>
  <si>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</si>
  <si>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</si>
  <si>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</si>
  <si>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</si>
  <si>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</si>
  <si>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</si>
  <si>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</si>
  <si>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</si>
  <si>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</si>
  <si>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</si>
  <si>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</si>
  <si>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</si>
  <si>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</si>
  <si>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</si>
  <si>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</si>
  <si>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</si>
  <si>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</si>
  <si>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</si>
  <si>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</si>
  <si>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</si>
  <si>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</si>
  <si>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</si>
  <si>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</si>
  <si>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</si>
  <si>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</si>
  <si>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</si>
  <si>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</si>
  <si>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</si>
  <si>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</si>
  <si>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</si>
  <si>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</si>
  <si>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</si>
  <si>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</si>
  <si>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</si>
  <si>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</si>
  <si>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</si>
  <si>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</si>
  <si>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</si>
  <si>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</si>
  <si>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</si>
  <si>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</si>
  <si>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</si>
  <si>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</si>
  <si>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</si>
  <si>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</si>
  <si>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</si>
  <si>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</si>
  <si>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</si>
  <si>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</si>
  <si>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</si>
  <si>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</si>
  <si>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</si>
  <si>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</si>
  <si>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</si>
  <si>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</si>
  <si>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</si>
  <si>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</si>
  <si>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</si>
  <si>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</si>
  <si>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</si>
  <si>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</si>
  <si>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</si>
  <si>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</si>
  <si>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</si>
  <si>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</si>
  <si>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</si>
  <si>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</si>
  <si>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</si>
  <si>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</si>
  <si>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</si>
  <si>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</si>
  <si>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</si>
  <si>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</si>
  <si>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</si>
  <si>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</si>
  <si>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</si>
  <si>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</si>
  <si>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</si>
  <si>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</si>
  <si>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</si>
  <si>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</si>
  <si>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</si>
  <si>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</si>
  <si>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</si>
  <si>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</si>
  <si>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</si>
  <si>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</si>
  <si>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</si>
  <si>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</si>
  <si>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</si>
  <si>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</si>
  <si>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</si>
  <si>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</si>
  <si>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</si>
  <si>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</si>
  <si>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</si>
  <si>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</si>
  <si>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</si>
  <si>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</si>
  <si>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</si>
  <si>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</si>
  <si>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</si>
  <si>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</si>
  <si>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</si>
  <si>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</si>
  <si>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</si>
  <si>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</si>
  <si>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</si>
  <si>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</si>
  <si>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</si>
  <si>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</si>
  <si>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</si>
  <si>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</si>
  <si>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</si>
  <si>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</si>
  <si>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</si>
  <si>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</si>
  <si>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</si>
  <si>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</si>
  <si>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</si>
  <si>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</si>
  <si>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</si>
  <si>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</si>
  <si>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</si>
  <si>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</si>
  <si>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</si>
  <si>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</si>
  <si>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</si>
  <si>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</si>
  <si>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</si>
  <si>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</si>
  <si>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</si>
  <si>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</si>
  <si>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</si>
  <si>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</si>
  <si>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</si>
  <si>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</si>
  <si>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</si>
  <si>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</si>
  <si>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</si>
  <si>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</si>
  <si>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</si>
  <si>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</si>
  <si>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</si>
  <si>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</si>
  <si>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</si>
  <si>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</si>
  <si>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</si>
  <si>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</si>
  <si>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</si>
  <si>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</si>
  <si>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</si>
  <si>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</si>
  <si>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</si>
  <si>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</si>
  <si>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</si>
  <si>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</si>
  <si>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</si>
  <si>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</si>
  <si>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</si>
  <si>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</si>
  <si>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</si>
  <si>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</si>
  <si>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</si>
  <si>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</si>
  <si>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</si>
  <si>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</si>
  <si>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</si>
  <si>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</si>
  <si>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</si>
  <si>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</si>
  <si>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</si>
  <si>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</si>
  <si>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</si>
  <si>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</si>
  <si>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</si>
  <si>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</si>
  <si>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</si>
  <si>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</si>
  <si>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</si>
  <si>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</si>
  <si>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</si>
  <si>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</si>
  <si>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</si>
  <si>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</si>
  <si>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</si>
  <si>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</si>
  <si>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</si>
  <si>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</si>
  <si>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</si>
  <si>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</si>
  <si>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</si>
  <si>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</si>
  <si>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</si>
  <si>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</si>
  <si>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</si>
  <si>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</si>
  <si>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</si>
  <si>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</si>
  <si>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</si>
  <si>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</si>
  <si>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</si>
  <si>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</si>
  <si>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</si>
  <si>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</si>
  <si>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</si>
  <si>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</si>
  <si>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</si>
  <si>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</si>
  <si>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</si>
  <si>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</si>
  <si>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</si>
  <si>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</si>
  <si>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</si>
  <si>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</si>
  <si>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</si>
  <si>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</si>
  <si>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</si>
  <si>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</si>
  <si>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</si>
  <si>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</si>
  <si>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</si>
  <si>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</si>
  <si>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</si>
  <si>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</si>
  <si>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</si>
  <si>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</si>
  <si>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</si>
  <si>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</si>
  <si>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</si>
  <si>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</si>
  <si>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</si>
  <si>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</si>
  <si>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</si>
  <si>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</si>
  <si>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</si>
  <si>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</si>
  <si>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</si>
  <si>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</si>
  <si>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</si>
  <si>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</si>
  <si>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</si>
  <si>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</si>
  <si>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</si>
  <si>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</si>
  <si>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</si>
  <si>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</si>
  <si>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</si>
  <si>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</si>
  <si>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</si>
  <si>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</si>
  <si>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</si>
  <si>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</si>
  <si>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</si>
  <si>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</si>
  <si>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</si>
  <si>
    <t>Toutes les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</si>
</sst>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487742</v>
      </c>
    </row>
    <row r="8" spans="1:3" ht="15" customHeight="1" x14ac:dyDescent="0.25">
      <c r="B8" s="5" t="s">
        <v>37</v>
      </c>
      <c r="C8" s="44">
        <v>1.4999999999999999E-2</v>
      </c>
    </row>
    <row r="9" spans="1:3" ht="15" customHeight="1" x14ac:dyDescent="0.25">
      <c r="B9" s="5" t="s">
        <v>38</v>
      </c>
      <c r="C9" s="45">
        <v>0.01</v>
      </c>
    </row>
    <row r="10" spans="1:3" ht="15" customHeight="1" x14ac:dyDescent="0.25">
      <c r="B10" s="5" t="s">
        <v>39</v>
      </c>
      <c r="C10" s="45">
        <v>0.61118221282958995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0.18099999999999999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0.1696</v>
      </c>
    </row>
    <row r="24" spans="1:3" ht="15" customHeight="1" x14ac:dyDescent="0.25">
      <c r="B24" s="15" t="s">
        <v>51</v>
      </c>
      <c r="C24" s="45">
        <v>0.5242</v>
      </c>
    </row>
    <row r="25" spans="1:3" ht="15" customHeight="1" x14ac:dyDescent="0.25">
      <c r="B25" s="15" t="s">
        <v>52</v>
      </c>
      <c r="C25" s="45">
        <v>0.2732</v>
      </c>
    </row>
    <row r="26" spans="1:3" ht="15" customHeight="1" x14ac:dyDescent="0.25">
      <c r="B26" s="15" t="s">
        <v>53</v>
      </c>
      <c r="C26" s="45">
        <v>3.3000000000000002E-2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0.25506849999999998</v>
      </c>
    </row>
    <row r="30" spans="1:3" ht="14.25" customHeight="1" x14ac:dyDescent="0.25">
      <c r="B30" s="25" t="s">
        <v>56</v>
      </c>
      <c r="C30" s="97">
        <v>0.13864399999999999</v>
      </c>
    </row>
    <row r="31" spans="1:3" ht="14.25" customHeight="1" x14ac:dyDescent="0.25">
      <c r="B31" s="25" t="s">
        <v>57</v>
      </c>
      <c r="C31" s="97">
        <v>0.123641</v>
      </c>
    </row>
    <row r="32" spans="1:3" ht="14.25" customHeight="1" x14ac:dyDescent="0.25">
      <c r="B32" s="25" t="s">
        <v>58</v>
      </c>
      <c r="C32" s="97">
        <v>0.48264649999999998</v>
      </c>
    </row>
    <row r="33" spans="1:5" ht="13.25" customHeight="1" x14ac:dyDescent="0.25">
      <c r="B33" s="27" t="s">
        <v>59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6.0968</v>
      </c>
    </row>
    <row r="38" spans="1:5" ht="15" customHeight="1" x14ac:dyDescent="0.25">
      <c r="B38" s="11" t="s">
        <v>63</v>
      </c>
      <c r="C38" s="43">
        <v>10.693809999999999</v>
      </c>
      <c r="D38" s="12"/>
      <c r="E38" s="13"/>
    </row>
    <row r="39" spans="1:5" ht="15" customHeight="1" x14ac:dyDescent="0.25">
      <c r="B39" s="11" t="s">
        <v>64</v>
      </c>
      <c r="C39" s="43">
        <v>12.426690000000001</v>
      </c>
      <c r="D39" s="12"/>
      <c r="E39" s="12"/>
    </row>
    <row r="40" spans="1:5" ht="15" customHeight="1" x14ac:dyDescent="0.25">
      <c r="B40" s="11" t="s">
        <v>65</v>
      </c>
      <c r="C40" s="98">
        <v>0.43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8.8528300000000009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6.8047999999999997E-3</v>
      </c>
      <c r="D45" s="12"/>
    </row>
    <row r="46" spans="1:5" ht="15.75" customHeight="1" x14ac:dyDescent="0.25">
      <c r="B46" s="11" t="s">
        <v>70</v>
      </c>
      <c r="C46" s="45">
        <v>7.3117000000000001E-2</v>
      </c>
      <c r="D46" s="12"/>
    </row>
    <row r="47" spans="1:5" ht="15.75" customHeight="1" x14ac:dyDescent="0.25">
      <c r="B47" s="11" t="s">
        <v>71</v>
      </c>
      <c r="C47" s="45">
        <v>7.4529800000000007E-2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98">
        <v>3.2</v>
      </c>
      <c r="D51" s="12"/>
    </row>
    <row r="52" spans="1:4" ht="15" customHeight="1" x14ac:dyDescent="0.25">
      <c r="B52" s="11" t="s">
        <v>75</v>
      </c>
      <c r="C52" s="98">
        <v>3.2</v>
      </c>
    </row>
    <row r="53" spans="1:4" ht="15.75" customHeight="1" x14ac:dyDescent="0.25">
      <c r="B53" s="11" t="s">
        <v>76</v>
      </c>
      <c r="C53" s="98">
        <v>3.2</v>
      </c>
    </row>
    <row r="54" spans="1:4" ht="15.75" customHeight="1" x14ac:dyDescent="0.25">
      <c r="B54" s="11" t="s">
        <v>77</v>
      </c>
      <c r="C54" s="98">
        <v>3.2</v>
      </c>
    </row>
    <row r="55" spans="1:4" ht="15.75" customHeight="1" x14ac:dyDescent="0.25">
      <c r="B55" s="11" t="s">
        <v>78</v>
      </c>
      <c r="C55" s="98">
        <v>3.2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1.9375E-2</v>
      </c>
    </row>
    <row r="59" spans="1:4" ht="15.75" customHeight="1" x14ac:dyDescent="0.25">
      <c r="B59" s="11" t="s">
        <v>81</v>
      </c>
      <c r="C59" s="45">
        <v>0.564581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0.10295944</v>
      </c>
    </row>
    <row r="63" spans="1:4" ht="15.75" customHeight="1" x14ac:dyDescent="0.3">
      <c r="A63" s="4"/>
    </row>
  </sheetData>
  <sheetProtection algorithmName="SHA-512" hashValue="PGDoWd5upiStJKyWLoFunRXX5echusLAuu6QEQ1AgAhTSW4TsZ028rX49/SvaaAw5c21BBDIfJD+CjTAlk0kAg==" saltValue="xC1lDr515lL4AD5uwZ/7t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98858</v>
      </c>
      <c r="C2" s="49">
        <v>269962</v>
      </c>
      <c r="D2" s="49">
        <v>603935.5</v>
      </c>
      <c r="E2" s="49">
        <v>488045.50000000006</v>
      </c>
      <c r="F2" s="49">
        <v>411577.5</v>
      </c>
      <c r="G2" s="17">
        <f t="shared" ref="G2:G13" si="0">C2+D2+E2+F2</f>
        <v>1773520.5</v>
      </c>
      <c r="H2" s="17">
        <f t="shared" ref="H2:H13" si="1">(B2 + stillbirth*B2/(1000-stillbirth))/(1-abortion)</f>
        <v>113342.03412358668</v>
      </c>
      <c r="I2" s="17">
        <f t="shared" ref="I2:I13" si="2">G2-H2</f>
        <v>1660178.4658764133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97874</v>
      </c>
      <c r="C3" s="50">
        <v>268940.5</v>
      </c>
      <c r="D3" s="50">
        <v>593056.49999999988</v>
      </c>
      <c r="E3" s="50">
        <v>504276.5</v>
      </c>
      <c r="F3" s="50">
        <v>411981</v>
      </c>
      <c r="G3" s="17">
        <f t="shared" si="0"/>
        <v>1778254.5</v>
      </c>
      <c r="H3" s="17">
        <f t="shared" si="1"/>
        <v>112213.8648142985</v>
      </c>
      <c r="I3" s="17">
        <f t="shared" si="2"/>
        <v>1666040.6351857015</v>
      </c>
    </row>
    <row r="4" spans="1:9" ht="15.75" customHeight="1" x14ac:dyDescent="0.25">
      <c r="A4" s="5">
        <f t="shared" si="3"/>
        <v>2026</v>
      </c>
      <c r="B4" s="49">
        <v>96922</v>
      </c>
      <c r="C4" s="50">
        <v>268817.5</v>
      </c>
      <c r="D4" s="50">
        <v>580439.5</v>
      </c>
      <c r="E4" s="50">
        <v>520635.5</v>
      </c>
      <c r="F4" s="50">
        <v>412175.5</v>
      </c>
      <c r="G4" s="17">
        <f t="shared" si="0"/>
        <v>1782068</v>
      </c>
      <c r="H4" s="17">
        <f t="shared" si="1"/>
        <v>111122.38393783272</v>
      </c>
      <c r="I4" s="17">
        <f t="shared" si="2"/>
        <v>1670945.6160621673</v>
      </c>
    </row>
    <row r="5" spans="1:9" ht="15.75" customHeight="1" x14ac:dyDescent="0.25">
      <c r="A5" s="5">
        <f t="shared" si="3"/>
        <v>2027</v>
      </c>
      <c r="B5" s="49">
        <v>96073</v>
      </c>
      <c r="C5" s="50">
        <v>268104</v>
      </c>
      <c r="D5" s="50">
        <v>568098.99999999988</v>
      </c>
      <c r="E5" s="50">
        <v>536201.5</v>
      </c>
      <c r="F5" s="50">
        <v>412851.5</v>
      </c>
      <c r="G5" s="17">
        <f t="shared" si="0"/>
        <v>1785256</v>
      </c>
      <c r="H5" s="17">
        <f t="shared" si="1"/>
        <v>110148.99395451398</v>
      </c>
      <c r="I5" s="17">
        <f t="shared" si="2"/>
        <v>1675107.0060454861</v>
      </c>
    </row>
    <row r="6" spans="1:9" ht="15.75" customHeight="1" x14ac:dyDescent="0.25">
      <c r="A6" s="5">
        <f t="shared" si="3"/>
        <v>2028</v>
      </c>
      <c r="B6" s="49">
        <v>95219</v>
      </c>
      <c r="C6" s="50">
        <v>266995.5</v>
      </c>
      <c r="D6" s="50">
        <v>555755.5</v>
      </c>
      <c r="E6" s="50">
        <v>550496</v>
      </c>
      <c r="F6" s="50">
        <v>414476.5</v>
      </c>
      <c r="G6" s="17">
        <f t="shared" si="0"/>
        <v>1787723.5</v>
      </c>
      <c r="H6" s="17">
        <f t="shared" si="1"/>
        <v>109169.87140356674</v>
      </c>
      <c r="I6" s="17">
        <f t="shared" si="2"/>
        <v>1678553.6285964332</v>
      </c>
    </row>
    <row r="7" spans="1:9" ht="15.75" customHeight="1" x14ac:dyDescent="0.25">
      <c r="A7" s="5">
        <f t="shared" si="3"/>
        <v>2029</v>
      </c>
      <c r="B7" s="49">
        <v>94354</v>
      </c>
      <c r="C7" s="50">
        <v>266382</v>
      </c>
      <c r="D7" s="50">
        <v>542991.5</v>
      </c>
      <c r="E7" s="50">
        <v>563004</v>
      </c>
      <c r="F7" s="50">
        <v>417519.5</v>
      </c>
      <c r="G7" s="17">
        <f t="shared" si="0"/>
        <v>1789897</v>
      </c>
      <c r="H7" s="17">
        <f t="shared" si="1"/>
        <v>108178.13720383678</v>
      </c>
      <c r="I7" s="17">
        <f t="shared" si="2"/>
        <v>1681718.8627961632</v>
      </c>
    </row>
    <row r="8" spans="1:9" ht="15.75" customHeight="1" x14ac:dyDescent="0.25">
      <c r="A8" s="5">
        <f t="shared" si="3"/>
        <v>2030</v>
      </c>
      <c r="B8" s="49">
        <v>93334</v>
      </c>
      <c r="C8" s="50">
        <v>265354.5</v>
      </c>
      <c r="D8" s="50">
        <v>531150</v>
      </c>
      <c r="E8" s="50">
        <v>572703</v>
      </c>
      <c r="F8" s="50">
        <v>422440.5</v>
      </c>
      <c r="G8" s="17">
        <f t="shared" si="0"/>
        <v>1791648</v>
      </c>
      <c r="H8" s="17">
        <f t="shared" si="1"/>
        <v>107008.69340762345</v>
      </c>
      <c r="I8" s="17">
        <f t="shared" si="2"/>
        <v>1684639.3065923764</v>
      </c>
    </row>
    <row r="9" spans="1:9" ht="15.75" customHeight="1" x14ac:dyDescent="0.25">
      <c r="A9" s="5">
        <f t="shared" si="3"/>
        <v>2031</v>
      </c>
      <c r="B9" s="49">
        <v>92289</v>
      </c>
      <c r="C9" s="50">
        <v>262689.5</v>
      </c>
      <c r="D9" s="50">
        <v>521329.50000000006</v>
      </c>
      <c r="E9" s="50">
        <v>578640</v>
      </c>
      <c r="F9" s="50">
        <v>429515.5</v>
      </c>
      <c r="G9" s="17">
        <f t="shared" si="0"/>
        <v>1792174.5</v>
      </c>
      <c r="H9" s="17">
        <f t="shared" si="1"/>
        <v>105810.58677326763</v>
      </c>
      <c r="I9" s="17">
        <f t="shared" si="2"/>
        <v>1686363.9132267323</v>
      </c>
    </row>
    <row r="10" spans="1:9" ht="15.75" customHeight="1" x14ac:dyDescent="0.25">
      <c r="A10" s="5">
        <f t="shared" si="3"/>
        <v>2032</v>
      </c>
      <c r="B10" s="49">
        <v>91235</v>
      </c>
      <c r="C10" s="50">
        <v>258244.50000000003</v>
      </c>
      <c r="D10" s="50">
        <v>514225</v>
      </c>
      <c r="E10" s="50">
        <v>580036</v>
      </c>
      <c r="F10" s="50">
        <v>439191.00000000006</v>
      </c>
      <c r="G10" s="17">
        <f t="shared" si="0"/>
        <v>1791696.5</v>
      </c>
      <c r="H10" s="17">
        <f t="shared" si="1"/>
        <v>104602.1615171805</v>
      </c>
      <c r="I10" s="17">
        <f t="shared" si="2"/>
        <v>1687094.3384828195</v>
      </c>
    </row>
    <row r="11" spans="1:9" ht="15.75" customHeight="1" x14ac:dyDescent="0.25">
      <c r="A11" s="5">
        <f t="shared" si="3"/>
        <v>2033</v>
      </c>
      <c r="B11" s="49">
        <v>90070</v>
      </c>
      <c r="C11" s="50">
        <v>252727.5</v>
      </c>
      <c r="D11" s="50">
        <v>509759.5</v>
      </c>
      <c r="E11" s="50">
        <v>576649.5</v>
      </c>
      <c r="F11" s="50">
        <v>451783.5</v>
      </c>
      <c r="G11" s="17">
        <f t="shared" si="0"/>
        <v>1790920</v>
      </c>
      <c r="H11" s="17">
        <f t="shared" si="1"/>
        <v>103266.47325974077</v>
      </c>
      <c r="I11" s="17">
        <f t="shared" si="2"/>
        <v>1687653.5267402593</v>
      </c>
    </row>
    <row r="12" spans="1:9" ht="15.75" customHeight="1" x14ac:dyDescent="0.25">
      <c r="A12" s="5">
        <f t="shared" si="3"/>
        <v>2034</v>
      </c>
      <c r="B12" s="49">
        <v>88864</v>
      </c>
      <c r="C12" s="50">
        <v>246742.5</v>
      </c>
      <c r="D12" s="50">
        <v>507173</v>
      </c>
      <c r="E12" s="50">
        <v>569307.5</v>
      </c>
      <c r="F12" s="50">
        <v>466769</v>
      </c>
      <c r="G12" s="17">
        <f t="shared" si="0"/>
        <v>1789992</v>
      </c>
      <c r="H12" s="17">
        <f t="shared" si="1"/>
        <v>101883.77794774732</v>
      </c>
      <c r="I12" s="17">
        <f t="shared" si="2"/>
        <v>1688108.2220522526</v>
      </c>
    </row>
    <row r="13" spans="1:9" ht="15.75" customHeight="1" x14ac:dyDescent="0.25">
      <c r="A13" s="5">
        <f t="shared" si="3"/>
        <v>2035</v>
      </c>
      <c r="B13" s="49">
        <v>87549</v>
      </c>
      <c r="C13" s="50">
        <v>240962.5</v>
      </c>
      <c r="D13" s="50">
        <v>505519.5</v>
      </c>
      <c r="E13" s="50">
        <v>559065</v>
      </c>
      <c r="F13" s="50">
        <v>483098.50000000006</v>
      </c>
      <c r="G13" s="17">
        <f t="shared" si="0"/>
        <v>1788645.5</v>
      </c>
      <c r="H13" s="17">
        <f t="shared" si="1"/>
        <v>100376.11266145267</v>
      </c>
      <c r="I13" s="17">
        <f t="shared" si="2"/>
        <v>1688269.3873385473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ab+8MjFB7DQk90sXEQpheqHYcyI1EbDr6yATVZmUM14O5rtgvsI7FC4S2Pl5oMij90n8ydnIddbaQnEN3flniA==" saltValue="DONR/Wu0V6jcg07mDLIRk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8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0</v>
      </c>
    </row>
    <row r="4" spans="1:8" ht="15.75" customHeight="1" x14ac:dyDescent="0.25">
      <c r="B4" s="19" t="s">
        <v>97</v>
      </c>
      <c r="C4" s="99">
        <v>6.0063494121611181E-2</v>
      </c>
    </row>
    <row r="5" spans="1:8" ht="15.75" customHeight="1" x14ac:dyDescent="0.25">
      <c r="B5" s="19" t="s">
        <v>98</v>
      </c>
      <c r="C5" s="99">
        <v>2.2386320070241359E-2</v>
      </c>
    </row>
    <row r="6" spans="1:8" ht="15.75" customHeight="1" x14ac:dyDescent="0.25">
      <c r="B6" s="19" t="s">
        <v>99</v>
      </c>
      <c r="C6" s="99">
        <v>0.1570764170522494</v>
      </c>
    </row>
    <row r="7" spans="1:8" ht="15.75" customHeight="1" x14ac:dyDescent="0.25">
      <c r="B7" s="19" t="s">
        <v>100</v>
      </c>
      <c r="C7" s="99">
        <v>0.4339066453125362</v>
      </c>
    </row>
    <row r="8" spans="1:8" ht="15.75" customHeight="1" x14ac:dyDescent="0.25">
      <c r="B8" s="19" t="s">
        <v>101</v>
      </c>
      <c r="C8" s="99">
        <v>1.388748822441363E-2</v>
      </c>
    </row>
    <row r="9" spans="1:8" ht="15.75" customHeight="1" x14ac:dyDescent="0.25">
      <c r="B9" s="19" t="s">
        <v>102</v>
      </c>
      <c r="C9" s="99">
        <v>0.23970991838528249</v>
      </c>
    </row>
    <row r="10" spans="1:8" ht="15.75" customHeight="1" x14ac:dyDescent="0.25">
      <c r="B10" s="19" t="s">
        <v>103</v>
      </c>
      <c r="C10" s="99">
        <v>7.2969716833665876E-2</v>
      </c>
    </row>
    <row r="11" spans="1:8" ht="15.75" customHeight="1" x14ac:dyDescent="0.25">
      <c r="B11" s="27" t="s">
        <v>59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0" t="s">
        <v>114</v>
      </c>
      <c r="D13" s="100" t="s">
        <v>115</v>
      </c>
      <c r="E13" s="100" t="s">
        <v>116</v>
      </c>
      <c r="F13" s="100" t="s">
        <v>117</v>
      </c>
      <c r="G13" s="19"/>
    </row>
    <row r="14" spans="1:8" ht="15.75" customHeight="1" x14ac:dyDescent="0.25">
      <c r="B14" s="19" t="s">
        <v>105</v>
      </c>
      <c r="C14" s="55">
        <v>0.12782094524161741</v>
      </c>
      <c r="D14" s="55">
        <v>0.12782094524161741</v>
      </c>
      <c r="E14" s="55">
        <v>0.12782094524161741</v>
      </c>
      <c r="F14" s="55">
        <v>0.12782094524161741</v>
      </c>
    </row>
    <row r="15" spans="1:8" ht="15.75" customHeight="1" x14ac:dyDescent="0.25">
      <c r="B15" s="19" t="s">
        <v>106</v>
      </c>
      <c r="C15" s="99">
        <v>0.34560388448770779</v>
      </c>
      <c r="D15" s="99">
        <v>0.34560388448770779</v>
      </c>
      <c r="E15" s="99">
        <v>0.34560388448770779</v>
      </c>
      <c r="F15" s="99">
        <v>0.34560388448770779</v>
      </c>
    </row>
    <row r="16" spans="1:8" ht="15.75" customHeight="1" x14ac:dyDescent="0.25">
      <c r="B16" s="19" t="s">
        <v>107</v>
      </c>
      <c r="C16" s="99">
        <v>2.5968674262964481E-2</v>
      </c>
      <c r="D16" s="99">
        <v>2.5968674262964481E-2</v>
      </c>
      <c r="E16" s="99">
        <v>2.5968674262964481E-2</v>
      </c>
      <c r="F16" s="99">
        <v>2.5968674262964481E-2</v>
      </c>
    </row>
    <row r="17" spans="1:8" ht="15.75" customHeight="1" x14ac:dyDescent="0.25">
      <c r="B17" s="19" t="s">
        <v>108</v>
      </c>
      <c r="C17" s="99">
        <v>0</v>
      </c>
      <c r="D17" s="99">
        <v>0</v>
      </c>
      <c r="E17" s="99">
        <v>0</v>
      </c>
      <c r="F17" s="99">
        <v>0</v>
      </c>
    </row>
    <row r="18" spans="1:8" ht="15.75" customHeight="1" x14ac:dyDescent="0.25">
      <c r="B18" s="19" t="s">
        <v>109</v>
      </c>
      <c r="C18" s="99">
        <v>0</v>
      </c>
      <c r="D18" s="99">
        <v>0</v>
      </c>
      <c r="E18" s="99">
        <v>0</v>
      </c>
      <c r="F18" s="99">
        <v>0</v>
      </c>
    </row>
    <row r="19" spans="1:8" ht="15.75" customHeight="1" x14ac:dyDescent="0.25">
      <c r="B19" s="19" t="s">
        <v>110</v>
      </c>
      <c r="C19" s="99">
        <v>2.8174465858020581E-2</v>
      </c>
      <c r="D19" s="99">
        <v>2.8174465858020581E-2</v>
      </c>
      <c r="E19" s="99">
        <v>2.8174465858020581E-2</v>
      </c>
      <c r="F19" s="99">
        <v>2.8174465858020581E-2</v>
      </c>
    </row>
    <row r="20" spans="1:8" ht="15.75" customHeight="1" x14ac:dyDescent="0.25">
      <c r="B20" s="19" t="s">
        <v>111</v>
      </c>
      <c r="C20" s="99">
        <v>9.5940826408684121E-2</v>
      </c>
      <c r="D20" s="99">
        <v>9.5940826408684121E-2</v>
      </c>
      <c r="E20" s="99">
        <v>9.5940826408684121E-2</v>
      </c>
      <c r="F20" s="99">
        <v>9.5940826408684121E-2</v>
      </c>
    </row>
    <row r="21" spans="1:8" ht="15.75" customHeight="1" x14ac:dyDescent="0.25">
      <c r="B21" s="19" t="s">
        <v>112</v>
      </c>
      <c r="C21" s="99">
        <v>0.28728678792431572</v>
      </c>
      <c r="D21" s="99">
        <v>0.28728678792431572</v>
      </c>
      <c r="E21" s="99">
        <v>0.28728678792431572</v>
      </c>
      <c r="F21" s="99">
        <v>0.28728678792431572</v>
      </c>
    </row>
    <row r="22" spans="1:8" ht="15.75" customHeight="1" x14ac:dyDescent="0.25">
      <c r="B22" s="19" t="s">
        <v>113</v>
      </c>
      <c r="C22" s="99">
        <v>8.9204415816689656E-2</v>
      </c>
      <c r="D22" s="99">
        <v>8.9204415816689656E-2</v>
      </c>
      <c r="E22" s="99">
        <v>8.9204415816689656E-2</v>
      </c>
      <c r="F22" s="99">
        <v>8.9204415816689656E-2</v>
      </c>
    </row>
    <row r="23" spans="1:8" ht="15.75" customHeight="1" x14ac:dyDescent="0.25">
      <c r="B23" s="27" t="s">
        <v>59</v>
      </c>
      <c r="C23" s="48">
        <f>SUM(C14:C22)</f>
        <v>0.99999999999999967</v>
      </c>
      <c r="D23" s="48">
        <f>SUM(D14:D22)</f>
        <v>0.99999999999999967</v>
      </c>
      <c r="E23" s="48">
        <f>SUM(E14:E22)</f>
        <v>0.99999999999999967</v>
      </c>
      <c r="F23" s="48">
        <f>SUM(F14:F22)</f>
        <v>0.99999999999999967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5.3793739E-2</v>
      </c>
    </row>
    <row r="27" spans="1:8" ht="15.75" customHeight="1" x14ac:dyDescent="0.25">
      <c r="B27" s="19" t="s">
        <v>120</v>
      </c>
      <c r="C27" s="99">
        <v>1.9276288999999999E-2</v>
      </c>
    </row>
    <row r="28" spans="1:8" ht="15.75" customHeight="1" x14ac:dyDescent="0.25">
      <c r="B28" s="19" t="s">
        <v>121</v>
      </c>
      <c r="C28" s="99">
        <v>0.179864307</v>
      </c>
    </row>
    <row r="29" spans="1:8" ht="15.75" customHeight="1" x14ac:dyDescent="0.25">
      <c r="B29" s="19" t="s">
        <v>122</v>
      </c>
      <c r="C29" s="99">
        <v>0.23533279200000001</v>
      </c>
    </row>
    <row r="30" spans="1:8" ht="15.75" customHeight="1" x14ac:dyDescent="0.25">
      <c r="B30" s="19" t="s">
        <v>2</v>
      </c>
      <c r="C30" s="99">
        <v>6.8817955E-2</v>
      </c>
    </row>
    <row r="31" spans="1:8" ht="15.75" customHeight="1" x14ac:dyDescent="0.25">
      <c r="B31" s="19" t="s">
        <v>123</v>
      </c>
      <c r="C31" s="99">
        <v>4.4797729000000001E-2</v>
      </c>
    </row>
    <row r="32" spans="1:8" ht="15.75" customHeight="1" x14ac:dyDescent="0.25">
      <c r="B32" s="19" t="s">
        <v>124</v>
      </c>
      <c r="C32" s="99">
        <v>1.9724179000000001E-2</v>
      </c>
    </row>
    <row r="33" spans="2:3" ht="15.75" customHeight="1" x14ac:dyDescent="0.25">
      <c r="B33" s="19" t="s">
        <v>125</v>
      </c>
      <c r="C33" s="99">
        <v>0.148522658</v>
      </c>
    </row>
    <row r="34" spans="2:3" ht="15.75" customHeight="1" x14ac:dyDescent="0.25">
      <c r="B34" s="19" t="s">
        <v>126</v>
      </c>
      <c r="C34" s="99">
        <v>0.229870352</v>
      </c>
    </row>
    <row r="35" spans="2:3" ht="15.75" customHeight="1" x14ac:dyDescent="0.25">
      <c r="B35" s="27" t="s">
        <v>59</v>
      </c>
      <c r="C35" s="48">
        <f>SUM(C26:C34)</f>
        <v>1</v>
      </c>
    </row>
  </sheetData>
  <sheetProtection algorithmName="SHA-512" hashValue="KGa6vrPyACUTCNmzzpRw8WPLPzPNIyRtT2BedK0oAy0Nl8MG8uTwoq/F0uygLYaZtXP0v5C+k7x2vUVa0/w5XA==" saltValue="1r1frd6QMsGGrL7zyawTH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0.60826075484059894</v>
      </c>
      <c r="D2" s="52">
        <f>IFERROR(1-_xlfn.NORM.DIST(_xlfn.NORM.INV(SUM(D4:D5), 0, 1) + 1, 0, 1, TRUE), "")</f>
        <v>0.60826075484059894</v>
      </c>
      <c r="E2" s="52">
        <f>IFERROR(1-_xlfn.NORM.DIST(_xlfn.NORM.INV(SUM(E4:E5), 0, 1) + 1, 0, 1, TRUE), "")</f>
        <v>0.66064938667377682</v>
      </c>
      <c r="F2" s="52">
        <f>IFERROR(1-_xlfn.NORM.DIST(_xlfn.NORM.INV(SUM(F4:F5), 0, 1) + 1, 0, 1, TRUE), "")</f>
        <v>0.50696354384395903</v>
      </c>
      <c r="G2" s="52">
        <f>IFERROR(1-_xlfn.NORM.DIST(_xlfn.NORM.INV(SUM(G4:G5), 0, 1) + 1, 0, 1, TRUE), "")</f>
        <v>0.5225497464812574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0.29054724515940106</v>
      </c>
      <c r="D3" s="52">
        <f>IFERROR(_xlfn.NORM.DIST(_xlfn.NORM.INV(SUM(D4:D5), 0, 1) + 1, 0, 1, TRUE) - SUM(D4:D5), "")</f>
        <v>0.29054724515940106</v>
      </c>
      <c r="E3" s="52">
        <f>IFERROR(_xlfn.NORM.DIST(_xlfn.NORM.INV(SUM(E4:E5), 0, 1) + 1, 0, 1, TRUE) - SUM(E4:E5), "")</f>
        <v>0.26070431332622312</v>
      </c>
      <c r="F3" s="52">
        <f>IFERROR(_xlfn.NORM.DIST(_xlfn.NORM.INV(SUM(F4:F5), 0, 1) + 1, 0, 1, TRUE) - SUM(F4:F5), "")</f>
        <v>0.33856815615604102</v>
      </c>
      <c r="G3" s="52">
        <f>IFERROR(_xlfn.NORM.DIST(_xlfn.NORM.INV(SUM(G4:G5), 0, 1) + 1, 0, 1, TRUE) - SUM(G4:G5), "")</f>
        <v>0.33209265351874251</v>
      </c>
    </row>
    <row r="4" spans="1:15" ht="15.75" customHeight="1" x14ac:dyDescent="0.25">
      <c r="B4" s="5" t="s">
        <v>132</v>
      </c>
      <c r="C4" s="45">
        <v>5.9108500000000001E-2</v>
      </c>
      <c r="D4" s="53">
        <v>5.9108500000000001E-2</v>
      </c>
      <c r="E4" s="53">
        <v>6.2748399999999996E-2</v>
      </c>
      <c r="F4" s="53">
        <v>0.1231801</v>
      </c>
      <c r="G4" s="53">
        <v>0.1197159</v>
      </c>
    </row>
    <row r="5" spans="1:15" ht="15.75" customHeight="1" x14ac:dyDescent="0.25">
      <c r="B5" s="5" t="s">
        <v>133</v>
      </c>
      <c r="C5" s="45">
        <v>4.2083500000000003E-2</v>
      </c>
      <c r="D5" s="53">
        <v>4.2083500000000003E-2</v>
      </c>
      <c r="E5" s="53">
        <v>1.58979E-2</v>
      </c>
      <c r="F5" s="53">
        <v>3.1288200000000002E-2</v>
      </c>
      <c r="G5" s="53">
        <v>2.56417E-2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0.70899282567596544</v>
      </c>
      <c r="D8" s="52">
        <f>IFERROR(1-_xlfn.NORM.DIST(_xlfn.NORM.INV(SUM(D10:D11), 0, 1) + 1, 0, 1, TRUE), "")</f>
        <v>0.70899282567596544</v>
      </c>
      <c r="E8" s="52">
        <f>IFERROR(1-_xlfn.NORM.DIST(_xlfn.NORM.INV(SUM(E10:E11), 0, 1) + 1, 0, 1, TRUE), "")</f>
        <v>0.83997869295901217</v>
      </c>
      <c r="F8" s="52">
        <f>IFERROR(1-_xlfn.NORM.DIST(_xlfn.NORM.INV(SUM(F10:F11), 0, 1) + 1, 0, 1, TRUE), "")</f>
        <v>0.85056274921875852</v>
      </c>
      <c r="G8" s="52">
        <f>IFERROR(1-_xlfn.NORM.DIST(_xlfn.NORM.INV(SUM(G10:G11), 0, 1) + 1, 0, 1, TRUE), "")</f>
        <v>0.87706731255777304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0.23048977432403456</v>
      </c>
      <c r="D9" s="52">
        <f>IFERROR(_xlfn.NORM.DIST(_xlfn.NORM.INV(SUM(D10:D11), 0, 1) + 1, 0, 1, TRUE) - SUM(D10:D11), "")</f>
        <v>0.23048977432403456</v>
      </c>
      <c r="E9" s="52">
        <f>IFERROR(_xlfn.NORM.DIST(_xlfn.NORM.INV(SUM(E10:E11), 0, 1) + 1, 0, 1, TRUE) - SUM(E10:E11), "")</f>
        <v>0.13696550704098784</v>
      </c>
      <c r="F9" s="52">
        <f>IFERROR(_xlfn.NORM.DIST(_xlfn.NORM.INV(SUM(F10:F11), 0, 1) + 1, 0, 1, TRUE) - SUM(F10:F11), "")</f>
        <v>0.12870475078124149</v>
      </c>
      <c r="G9" s="52">
        <f>IFERROR(_xlfn.NORM.DIST(_xlfn.NORM.INV(SUM(G10:G11), 0, 1) + 1, 0, 1, TRUE) - SUM(G10:G11), "")</f>
        <v>0.10756378744222694</v>
      </c>
    </row>
    <row r="10" spans="1:15" ht="15.75" customHeight="1" x14ac:dyDescent="0.25">
      <c r="B10" s="5" t="s">
        <v>137</v>
      </c>
      <c r="C10" s="45">
        <v>4.39342E-2</v>
      </c>
      <c r="D10" s="53">
        <v>4.39342E-2</v>
      </c>
      <c r="E10" s="53">
        <v>1.8365699999999999E-2</v>
      </c>
      <c r="F10" s="53">
        <v>1.8070900000000001E-2</v>
      </c>
      <c r="G10" s="53">
        <v>1.32902E-2</v>
      </c>
    </row>
    <row r="11" spans="1:15" ht="15.75" customHeight="1" x14ac:dyDescent="0.25">
      <c r="B11" s="5" t="s">
        <v>138</v>
      </c>
      <c r="C11" s="45">
        <v>1.6583199999999999E-2</v>
      </c>
      <c r="D11" s="53">
        <v>1.6583199999999999E-2</v>
      </c>
      <c r="E11" s="53">
        <v>4.6901E-3</v>
      </c>
      <c r="F11" s="53">
        <v>2.6616000000000001E-3</v>
      </c>
      <c r="G11" s="53">
        <v>2.0787000000000002E-3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0.62117420374999999</v>
      </c>
      <c r="D14" s="54">
        <v>0.58930203002600001</v>
      </c>
      <c r="E14" s="54">
        <v>0.58930203002600001</v>
      </c>
      <c r="F14" s="54">
        <v>0.24906386424599999</v>
      </c>
      <c r="G14" s="54">
        <v>0.24906386424599999</v>
      </c>
      <c r="H14" s="45">
        <v>0.28999999999999998</v>
      </c>
      <c r="I14" s="55">
        <v>0.28999999999999998</v>
      </c>
      <c r="J14" s="55">
        <v>0.28999999999999998</v>
      </c>
      <c r="K14" s="55">
        <v>0.28999999999999998</v>
      </c>
      <c r="L14" s="45">
        <v>0.224</v>
      </c>
      <c r="M14" s="55">
        <v>0.224</v>
      </c>
      <c r="N14" s="55">
        <v>0.224</v>
      </c>
      <c r="O14" s="55">
        <v>0.224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0.35070315312737876</v>
      </c>
      <c r="D15" s="52">
        <f t="shared" si="0"/>
        <v>0.33270872941410912</v>
      </c>
      <c r="E15" s="52">
        <f t="shared" si="0"/>
        <v>0.33270872941410912</v>
      </c>
      <c r="F15" s="52">
        <f t="shared" si="0"/>
        <v>0.14061672553987092</v>
      </c>
      <c r="G15" s="52">
        <f t="shared" si="0"/>
        <v>0.14061672553987092</v>
      </c>
      <c r="H15" s="52">
        <f t="shared" si="0"/>
        <v>0.16372848999999998</v>
      </c>
      <c r="I15" s="52">
        <f t="shared" si="0"/>
        <v>0.16372848999999998</v>
      </c>
      <c r="J15" s="52">
        <f t="shared" si="0"/>
        <v>0.16372848999999998</v>
      </c>
      <c r="K15" s="52">
        <f t="shared" si="0"/>
        <v>0.16372848999999998</v>
      </c>
      <c r="L15" s="52">
        <f t="shared" si="0"/>
        <v>0.126466144</v>
      </c>
      <c r="M15" s="52">
        <f t="shared" si="0"/>
        <v>0.126466144</v>
      </c>
      <c r="N15" s="52">
        <f t="shared" si="0"/>
        <v>0.126466144</v>
      </c>
      <c r="O15" s="52">
        <f t="shared" si="0"/>
        <v>0.126466144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aLSnRpWJxSaF5jOLCedofobncDf2yLeWmqFbFADAPBmLQocmi7vnpvWGI/QA43cuhld1M26r4LfCLem6CCo/jw==" saltValue="e2rPhEB7A695pkbWrGf3R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0.67244680000000001</v>
      </c>
      <c r="D2" s="53">
        <v>0.43595139999999999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0.10238170000000001</v>
      </c>
      <c r="D3" s="53">
        <v>0.1227183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0.1800448</v>
      </c>
      <c r="D4" s="53">
        <v>0.38478410000000002</v>
      </c>
      <c r="E4" s="53">
        <v>0.86345870000000002</v>
      </c>
      <c r="F4" s="53">
        <v>0.66789280000000006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4.5126699999999964E-2</v>
      </c>
      <c r="D5" s="52">
        <f t="shared" si="0"/>
        <v>5.654619999999988E-2</v>
      </c>
      <c r="E5" s="52">
        <f>1-SUM(E2:E4)</f>
        <v>0.13654129999999998</v>
      </c>
      <c r="F5" s="52">
        <f>1-SUM(F2:F4)</f>
        <v>0.33210719999999994</v>
      </c>
      <c r="G5" s="52">
        <f>1-SUM(G2:G4)</f>
        <v>1</v>
      </c>
    </row>
  </sheetData>
  <sheetProtection algorithmName="SHA-512" hashValue="VwBi1JwOT5UswvXdLxO7Iu9xR3uSfJ6uDegzKqchL0tQor6UyJU+zMXKPWW9zSNXkBdV7VLVEZDDetnJq6qIYw==" saltValue="llT9of36JOwgDC52/uPHW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77RgOrE9/UCWIYkh3D2OqkAlMRPeQFVENsYBJaspvPm4bBPf1pwUq9iCEkXQtW7OVtdqJJEkCmobpiU7r/ak3A==" saltValue="JzKNIqXIKbOy6sJGYC+QZ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12</v>
      </c>
      <c r="B1" s="103" t="s">
        <v>13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163</v>
      </c>
      <c r="B2" s="107">
        <v>5127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162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173</v>
      </c>
      <c r="B4" s="108">
        <v>0.52293000000000001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164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165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168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167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169</v>
      </c>
      <c r="B9" s="108">
        <v>0.50070000000000003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166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174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175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176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177</v>
      </c>
      <c r="B14" s="110">
        <v>1.4783849910393516E-2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170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171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172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178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14</v>
      </c>
      <c r="B21" s="106" t="s">
        <v>15</v>
      </c>
      <c r="C21" s="106" t="s">
        <v>16</v>
      </c>
      <c r="D21" s="106" t="s">
        <v>17</v>
      </c>
      <c r="E21" s="106" t="s">
        <v>18</v>
      </c>
      <c r="F21" s="106" t="s">
        <v>19</v>
      </c>
      <c r="G21" s="106" t="s">
        <v>20</v>
      </c>
      <c r="H21" s="106" t="s">
        <v>21</v>
      </c>
      <c r="I21" s="106" t="s">
        <v>22</v>
      </c>
      <c r="J21" s="106" t="s">
        <v>23</v>
      </c>
      <c r="K21" s="106" t="s">
        <v>24</v>
      </c>
      <c r="L21" s="106" t="s">
        <v>25</v>
      </c>
      <c r="M21" s="106" t="s">
        <v>26</v>
      </c>
      <c r="N21" s="106" t="s">
        <v>27</v>
      </c>
      <c r="O21" s="106" t="s">
        <v>28</v>
      </c>
    </row>
    <row r="22" spans="1:15" x14ac:dyDescent="0.25">
      <c r="A22" s="106" t="s">
        <v>179</v>
      </c>
      <c r="B22" s="107">
        <v>98676.861529999995</v>
      </c>
      <c r="C22" s="107">
        <v>98567.023329999996</v>
      </c>
      <c r="D22" s="107">
        <v>98359.311860000002</v>
      </c>
      <c r="E22" s="107">
        <v>97708.946790000002</v>
      </c>
      <c r="F22" s="107">
        <v>96929.74596</v>
      </c>
      <c r="G22" s="107">
        <v>96119.076090000002</v>
      </c>
      <c r="H22" s="107">
        <v>94867.496249999997</v>
      </c>
      <c r="I22" s="107">
        <v>93192.476330000005</v>
      </c>
      <c r="J22" s="107">
        <v>91435.740420000002</v>
      </c>
      <c r="K22" s="107">
        <v>89414.341130000001</v>
      </c>
      <c r="L22" s="107">
        <v>86748.167310000004</v>
      </c>
      <c r="M22" s="107">
        <v>83106.180689999994</v>
      </c>
      <c r="N22" s="107">
        <v>78358.569910000006</v>
      </c>
      <c r="O22" s="107">
        <v>71847.438460000005</v>
      </c>
    </row>
  </sheetData>
  <sheetProtection algorithmName="SHA-512" hashValue="J56kUX/sxZfdYz7HE1v3YqZPFnxEWqAOnd7JOUxLTv12y31NAtWrJzu9QT8iKJORBgNR7R6vNJfS2ra4+PKwoQ==" saltValue="mfBErnHLfZK0IrMKy6y1XA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uXr7/28j67uMq3tt05qgefWRdx2WmX/et4Z4dK4I5/ESvEZ+UM/byicPLG8NbqOOFqvNP97qQSflSt+AmMkZsA==" saltValue="Iq3lAmafHyhRHDc2wnYE+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2d9M1wq6FI1BLw8uPRN27jKKI1GNlHXWn2TUEmFVQMTJBm9ikutS38RYFmo5ZMJ5sEZZqDnDqTO8W56KxXVmxw==" saltValue="VBdWw9jRH/aXvHq/WWPJS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6">
        <v>0.95</v>
      </c>
      <c r="D2" s="56">
        <v>19.75</v>
      </c>
      <c r="E2" s="56" t="s">
        <v>230</v>
      </c>
      <c r="F2" s="96">
        <v>1</v>
      </c>
      <c r="G2" s="96">
        <v>1</v>
      </c>
    </row>
    <row r="3" spans="1:7" ht="15.75" customHeight="1" x14ac:dyDescent="0.25">
      <c r="A3" s="5" t="s">
        <v>198</v>
      </c>
      <c r="B3" s="45">
        <v>0</v>
      </c>
      <c r="C3" s="96">
        <v>0.95</v>
      </c>
      <c r="D3" s="56">
        <v>19.75</v>
      </c>
      <c r="E3" s="56" t="s">
        <v>230</v>
      </c>
      <c r="F3" s="96">
        <v>1</v>
      </c>
      <c r="G3" s="96">
        <v>1</v>
      </c>
    </row>
    <row r="4" spans="1:7" ht="15.75" customHeight="1" x14ac:dyDescent="0.25">
      <c r="A4" s="5" t="s">
        <v>199</v>
      </c>
      <c r="B4" s="96">
        <v>0</v>
      </c>
      <c r="C4" s="96">
        <v>0.95</v>
      </c>
      <c r="D4" s="56">
        <v>21.195</v>
      </c>
      <c r="E4" s="56" t="s">
        <v>230</v>
      </c>
      <c r="F4" s="96">
        <v>1</v>
      </c>
      <c r="G4" s="96">
        <v>1</v>
      </c>
    </row>
    <row r="5" spans="1:7" ht="15.75" customHeight="1" x14ac:dyDescent="0.25">
      <c r="A5" s="5" t="s">
        <v>200</v>
      </c>
      <c r="B5" s="96">
        <v>0</v>
      </c>
      <c r="C5" s="96">
        <v>0.95</v>
      </c>
      <c r="D5" s="56">
        <v>0.48</v>
      </c>
      <c r="E5" s="56" t="s">
        <v>230</v>
      </c>
      <c r="F5" s="96">
        <v>1</v>
      </c>
      <c r="G5" s="96">
        <v>1</v>
      </c>
    </row>
    <row r="6" spans="1:7" ht="15.75" customHeight="1" x14ac:dyDescent="0.25">
      <c r="A6" s="5" t="s">
        <v>201</v>
      </c>
      <c r="B6" s="96">
        <v>0</v>
      </c>
      <c r="C6" s="96">
        <v>0.95</v>
      </c>
      <c r="D6" s="56">
        <v>99.99</v>
      </c>
      <c r="E6" s="56" t="s">
        <v>230</v>
      </c>
      <c r="F6" s="96">
        <v>1</v>
      </c>
      <c r="G6" s="96">
        <v>1</v>
      </c>
    </row>
    <row r="7" spans="1:7" ht="15.75" customHeight="1" x14ac:dyDescent="0.25">
      <c r="A7" s="5" t="s">
        <v>202</v>
      </c>
      <c r="B7" s="96">
        <v>0</v>
      </c>
      <c r="C7" s="96">
        <v>0.95</v>
      </c>
      <c r="D7" s="56">
        <v>0.19</v>
      </c>
      <c r="E7" s="56" t="s">
        <v>230</v>
      </c>
      <c r="F7" s="96">
        <v>1</v>
      </c>
      <c r="G7" s="96">
        <v>1</v>
      </c>
    </row>
    <row r="8" spans="1:7" ht="15.75" customHeight="1" x14ac:dyDescent="0.25">
      <c r="A8" s="5" t="s">
        <v>203</v>
      </c>
      <c r="B8" s="96">
        <v>0</v>
      </c>
      <c r="C8" s="96">
        <v>0.95</v>
      </c>
      <c r="D8" s="56">
        <v>0.79</v>
      </c>
      <c r="E8" s="56" t="s">
        <v>230</v>
      </c>
      <c r="F8" s="96">
        <v>1</v>
      </c>
      <c r="G8" s="96">
        <v>1</v>
      </c>
    </row>
    <row r="9" spans="1:7" ht="15.75" customHeight="1" x14ac:dyDescent="0.25">
      <c r="A9" s="5" t="s">
        <v>204</v>
      </c>
      <c r="B9" s="96">
        <v>0.5</v>
      </c>
      <c r="C9" s="96">
        <v>0.95</v>
      </c>
      <c r="D9" s="56">
        <v>0.32855565777368906</v>
      </c>
      <c r="E9" s="56" t="s">
        <v>230</v>
      </c>
      <c r="F9" s="96">
        <v>1</v>
      </c>
      <c r="G9" s="96">
        <v>1</v>
      </c>
    </row>
    <row r="10" spans="1:7" ht="15.75" customHeight="1" x14ac:dyDescent="0.25">
      <c r="A10" s="11" t="s">
        <v>205</v>
      </c>
      <c r="B10" s="45">
        <v>0</v>
      </c>
      <c r="C10" s="96">
        <v>0.95</v>
      </c>
      <c r="D10" s="56">
        <v>13.02380484737747</v>
      </c>
      <c r="E10" s="56" t="s">
        <v>230</v>
      </c>
      <c r="F10" s="96">
        <v>1</v>
      </c>
      <c r="G10" s="96">
        <v>1</v>
      </c>
    </row>
    <row r="11" spans="1:7" ht="15.75" customHeight="1" x14ac:dyDescent="0.25">
      <c r="A11" s="11" t="s">
        <v>206</v>
      </c>
      <c r="B11" s="96">
        <v>0</v>
      </c>
      <c r="C11" s="96">
        <v>0.95</v>
      </c>
      <c r="D11" s="56">
        <v>13.02380484737747</v>
      </c>
      <c r="E11" s="56" t="s">
        <v>230</v>
      </c>
      <c r="F11" s="96">
        <v>1</v>
      </c>
      <c r="G11" s="96">
        <v>1</v>
      </c>
    </row>
    <row r="12" spans="1:7" ht="15.75" customHeight="1" x14ac:dyDescent="0.25">
      <c r="A12" s="11" t="s">
        <v>207</v>
      </c>
      <c r="B12" s="96">
        <v>0</v>
      </c>
      <c r="C12" s="96">
        <v>0.95</v>
      </c>
      <c r="D12" s="56">
        <v>13.02380484737747</v>
      </c>
      <c r="E12" s="56" t="s">
        <v>230</v>
      </c>
      <c r="F12" s="96">
        <v>1</v>
      </c>
      <c r="G12" s="96">
        <v>1</v>
      </c>
    </row>
    <row r="13" spans="1:7" ht="15.75" customHeight="1" x14ac:dyDescent="0.25">
      <c r="A13" s="11" t="s">
        <v>208</v>
      </c>
      <c r="B13" s="96">
        <v>0</v>
      </c>
      <c r="C13" s="96">
        <v>0.95</v>
      </c>
      <c r="D13" s="56">
        <v>13.02380484737747</v>
      </c>
      <c r="E13" s="56" t="s">
        <v>230</v>
      </c>
      <c r="F13" s="96">
        <v>1</v>
      </c>
      <c r="G13" s="96">
        <v>1</v>
      </c>
    </row>
    <row r="14" spans="1:7" ht="15.75" customHeight="1" x14ac:dyDescent="0.25">
      <c r="A14" s="5" t="s">
        <v>209</v>
      </c>
      <c r="B14" s="45">
        <v>0</v>
      </c>
      <c r="C14" s="96">
        <v>0.95</v>
      </c>
      <c r="D14" s="56">
        <v>13.02380484737747</v>
      </c>
      <c r="E14" s="56" t="s">
        <v>230</v>
      </c>
      <c r="F14" s="96">
        <v>1</v>
      </c>
      <c r="G14" s="96">
        <v>1</v>
      </c>
    </row>
    <row r="15" spans="1:7" ht="15.75" customHeight="1" x14ac:dyDescent="0.25">
      <c r="A15" s="5" t="s">
        <v>210</v>
      </c>
      <c r="B15" s="96">
        <v>0</v>
      </c>
      <c r="C15" s="96">
        <v>0.95</v>
      </c>
      <c r="D15" s="56">
        <v>13.02380484737747</v>
      </c>
      <c r="E15" s="56" t="s">
        <v>230</v>
      </c>
      <c r="F15" s="96">
        <v>1</v>
      </c>
      <c r="G15" s="96">
        <v>1</v>
      </c>
    </row>
    <row r="16" spans="1:7" ht="15.75" customHeight="1" x14ac:dyDescent="0.25">
      <c r="A16" s="5" t="s">
        <v>211</v>
      </c>
      <c r="B16" s="45">
        <v>0</v>
      </c>
      <c r="C16" s="96">
        <v>0.95</v>
      </c>
      <c r="D16" s="56">
        <v>2.5</v>
      </c>
      <c r="E16" s="56" t="s">
        <v>230</v>
      </c>
      <c r="F16" s="96">
        <v>1</v>
      </c>
      <c r="G16" s="96">
        <v>1</v>
      </c>
    </row>
    <row r="17" spans="1:7" ht="15.75" customHeight="1" x14ac:dyDescent="0.25">
      <c r="A17" s="5" t="s">
        <v>212</v>
      </c>
      <c r="B17" s="96">
        <v>0.30020833333333302</v>
      </c>
      <c r="C17" s="96">
        <v>0.95</v>
      </c>
      <c r="D17" s="56">
        <v>0.14000000000000001</v>
      </c>
      <c r="E17" s="56" t="s">
        <v>230</v>
      </c>
      <c r="F17" s="96">
        <v>1</v>
      </c>
      <c r="G17" s="96">
        <v>1</v>
      </c>
    </row>
    <row r="18" spans="1:7" ht="15.9" customHeight="1" x14ac:dyDescent="0.25">
      <c r="A18" s="5" t="s">
        <v>186</v>
      </c>
      <c r="B18" s="96">
        <v>0.43595139999999999</v>
      </c>
      <c r="C18" s="96">
        <v>0.95</v>
      </c>
      <c r="D18" s="56">
        <v>21.195</v>
      </c>
      <c r="E18" s="56" t="s">
        <v>230</v>
      </c>
      <c r="F18" s="96">
        <v>1</v>
      </c>
      <c r="G18" s="96">
        <v>1</v>
      </c>
    </row>
    <row r="19" spans="1:7" ht="15.75" customHeight="1" x14ac:dyDescent="0.25">
      <c r="A19" s="5" t="s">
        <v>187</v>
      </c>
      <c r="B19" s="96">
        <v>0.43595139999999999</v>
      </c>
      <c r="C19" s="96">
        <v>0.95</v>
      </c>
      <c r="D19" s="56">
        <v>9.7344812256272366</v>
      </c>
      <c r="E19" s="56" t="s">
        <v>230</v>
      </c>
      <c r="F19" s="96">
        <v>1</v>
      </c>
      <c r="G19" s="96">
        <v>1</v>
      </c>
    </row>
    <row r="20" spans="1:7" ht="15.75" customHeight="1" x14ac:dyDescent="0.25">
      <c r="A20" s="5" t="s">
        <v>188</v>
      </c>
      <c r="B20" s="96">
        <v>0</v>
      </c>
      <c r="C20" s="96">
        <v>0.95</v>
      </c>
      <c r="D20" s="56">
        <v>99.99</v>
      </c>
      <c r="E20" s="56" t="s">
        <v>230</v>
      </c>
      <c r="F20" s="96">
        <v>1</v>
      </c>
      <c r="G20" s="96">
        <v>1</v>
      </c>
    </row>
    <row r="21" spans="1:7" ht="15.75" customHeight="1" x14ac:dyDescent="0.25">
      <c r="A21" s="5" t="s">
        <v>213</v>
      </c>
      <c r="B21" s="45">
        <v>0</v>
      </c>
      <c r="C21" s="96">
        <v>0.95</v>
      </c>
      <c r="D21" s="56">
        <v>7.48</v>
      </c>
      <c r="E21" s="56" t="s">
        <v>230</v>
      </c>
      <c r="F21" s="96">
        <v>1</v>
      </c>
      <c r="G21" s="96">
        <v>1</v>
      </c>
    </row>
    <row r="22" spans="1:7" ht="15.75" customHeight="1" x14ac:dyDescent="0.25">
      <c r="A22" s="5" t="s">
        <v>214</v>
      </c>
      <c r="B22" s="96">
        <v>0</v>
      </c>
      <c r="C22" s="96">
        <v>0.95</v>
      </c>
      <c r="D22" s="56">
        <v>21.195</v>
      </c>
      <c r="E22" s="56" t="s">
        <v>230</v>
      </c>
      <c r="F22" s="96">
        <v>1</v>
      </c>
      <c r="G22" s="96">
        <v>1</v>
      </c>
    </row>
    <row r="23" spans="1:7" ht="15.75" customHeight="1" x14ac:dyDescent="0.25">
      <c r="A23" s="5" t="s">
        <v>215</v>
      </c>
      <c r="B23" s="96">
        <v>0</v>
      </c>
      <c r="C23" s="96">
        <v>0.95</v>
      </c>
      <c r="D23" s="56">
        <v>4.2866035394646582</v>
      </c>
      <c r="E23" s="56" t="s">
        <v>230</v>
      </c>
      <c r="F23" s="96">
        <v>1</v>
      </c>
      <c r="G23" s="96">
        <v>1</v>
      </c>
    </row>
    <row r="24" spans="1:7" ht="15.75" customHeight="1" x14ac:dyDescent="0.25">
      <c r="A24" s="5" t="s">
        <v>216</v>
      </c>
      <c r="B24" s="45">
        <v>0.69745919383433996</v>
      </c>
      <c r="C24" s="96">
        <v>0.95</v>
      </c>
      <c r="D24" s="56">
        <v>99.99</v>
      </c>
      <c r="E24" s="56" t="s">
        <v>230</v>
      </c>
      <c r="F24" s="96">
        <v>1</v>
      </c>
      <c r="G24" s="96">
        <v>1</v>
      </c>
    </row>
    <row r="25" spans="1:7" ht="15.75" customHeight="1" x14ac:dyDescent="0.25">
      <c r="A25" s="5" t="s">
        <v>217</v>
      </c>
      <c r="B25" s="96">
        <v>0</v>
      </c>
      <c r="C25" s="96">
        <v>0.95</v>
      </c>
      <c r="D25" s="56">
        <v>99.99</v>
      </c>
      <c r="E25" s="56" t="s">
        <v>230</v>
      </c>
      <c r="F25" s="96">
        <v>1</v>
      </c>
      <c r="G25" s="96">
        <v>1</v>
      </c>
    </row>
    <row r="26" spans="1:7" ht="15.75" customHeight="1" x14ac:dyDescent="0.25">
      <c r="A26" s="5" t="s">
        <v>218</v>
      </c>
      <c r="B26" s="45">
        <v>0</v>
      </c>
      <c r="C26" s="96">
        <v>0.95</v>
      </c>
      <c r="D26" s="56">
        <v>4.4421306161984946</v>
      </c>
      <c r="E26" s="56" t="s">
        <v>230</v>
      </c>
      <c r="F26" s="96">
        <v>1</v>
      </c>
      <c r="G26" s="96">
        <v>1</v>
      </c>
    </row>
    <row r="27" spans="1:7" ht="15.75" customHeight="1" x14ac:dyDescent="0.25">
      <c r="A27" s="5" t="s">
        <v>219</v>
      </c>
      <c r="B27" s="45">
        <v>0</v>
      </c>
      <c r="C27" s="96">
        <v>0.95</v>
      </c>
      <c r="D27" s="56">
        <v>9.2958524157825622</v>
      </c>
      <c r="E27" s="56" t="s">
        <v>230</v>
      </c>
      <c r="F27" s="96">
        <v>1</v>
      </c>
      <c r="G27" s="96">
        <v>1</v>
      </c>
    </row>
    <row r="28" spans="1:7" ht="15.75" customHeight="1" x14ac:dyDescent="0.25">
      <c r="A28" s="5" t="s">
        <v>220</v>
      </c>
      <c r="B28" s="45">
        <v>0.69842299999999991</v>
      </c>
      <c r="C28" s="96">
        <v>0.95</v>
      </c>
      <c r="D28" s="56">
        <v>99.99</v>
      </c>
      <c r="E28" s="56" t="s">
        <v>230</v>
      </c>
      <c r="F28" s="96">
        <v>1</v>
      </c>
      <c r="G28" s="96">
        <v>1</v>
      </c>
    </row>
    <row r="29" spans="1:7" ht="15.75" customHeight="1" x14ac:dyDescent="0.25">
      <c r="A29" s="5" t="s">
        <v>221</v>
      </c>
      <c r="B29" s="45">
        <v>0.72850910000000002</v>
      </c>
      <c r="C29" s="96">
        <v>0.95</v>
      </c>
      <c r="D29" s="56">
        <v>114.80634956846561</v>
      </c>
      <c r="E29" s="56" t="s">
        <v>230</v>
      </c>
      <c r="F29" s="96">
        <v>1</v>
      </c>
      <c r="G29" s="96">
        <v>1</v>
      </c>
    </row>
    <row r="30" spans="1:7" ht="15.75" customHeight="1" x14ac:dyDescent="0.25">
      <c r="A30" s="5" t="s">
        <v>234</v>
      </c>
      <c r="B30" s="96">
        <v>0</v>
      </c>
      <c r="C30" s="96">
        <v>0.95</v>
      </c>
      <c r="D30" s="56">
        <v>53.05</v>
      </c>
      <c r="E30" s="56" t="s">
        <v>230</v>
      </c>
      <c r="F30" s="96">
        <v>1</v>
      </c>
      <c r="G30" s="96">
        <v>1</v>
      </c>
    </row>
    <row r="31" spans="1:7" ht="15.75" customHeight="1" x14ac:dyDescent="0.25">
      <c r="A31" s="5" t="s">
        <v>190</v>
      </c>
      <c r="B31" s="45">
        <v>1.9300000000000001E-2</v>
      </c>
      <c r="C31" s="96">
        <v>0.95</v>
      </c>
      <c r="D31" s="56">
        <v>123.05968780269725</v>
      </c>
      <c r="E31" s="56" t="s">
        <v>230</v>
      </c>
      <c r="F31" s="96">
        <v>1</v>
      </c>
      <c r="G31" s="96">
        <v>1</v>
      </c>
    </row>
    <row r="32" spans="1:7" ht="15.75" customHeight="1" x14ac:dyDescent="0.25">
      <c r="A32" s="5" t="s">
        <v>222</v>
      </c>
      <c r="B32" s="45">
        <v>0</v>
      </c>
      <c r="C32" s="96">
        <v>0.95</v>
      </c>
      <c r="D32" s="56">
        <v>1.5917274986535743</v>
      </c>
      <c r="E32" s="56" t="s">
        <v>230</v>
      </c>
      <c r="F32" s="96">
        <v>1</v>
      </c>
      <c r="G32" s="96">
        <v>1</v>
      </c>
    </row>
    <row r="33" spans="1:7" ht="15.75" customHeight="1" x14ac:dyDescent="0.25">
      <c r="A33" s="5" t="s">
        <v>223</v>
      </c>
      <c r="B33" s="45">
        <v>0.90699580000000002</v>
      </c>
      <c r="C33" s="96">
        <v>0.95</v>
      </c>
      <c r="D33" s="56">
        <v>99.99</v>
      </c>
      <c r="E33" s="56" t="s">
        <v>230</v>
      </c>
      <c r="F33" s="96">
        <v>1</v>
      </c>
      <c r="G33" s="96">
        <v>1</v>
      </c>
    </row>
    <row r="34" spans="1:7" ht="15.75" customHeight="1" x14ac:dyDescent="0.25">
      <c r="A34" s="5" t="s">
        <v>224</v>
      </c>
      <c r="B34" s="45">
        <v>0.41810140000000001</v>
      </c>
      <c r="C34" s="96">
        <v>0.95</v>
      </c>
      <c r="D34" s="56">
        <v>99.99</v>
      </c>
      <c r="E34" s="56" t="s">
        <v>230</v>
      </c>
      <c r="F34" s="96">
        <v>1</v>
      </c>
      <c r="G34" s="96">
        <v>1</v>
      </c>
    </row>
    <row r="35" spans="1:7" ht="15.75" customHeight="1" x14ac:dyDescent="0.25">
      <c r="A35" s="5" t="s">
        <v>225</v>
      </c>
      <c r="B35" s="96">
        <v>0</v>
      </c>
      <c r="C35" s="96">
        <v>0.95</v>
      </c>
      <c r="D35" s="56">
        <v>99.99</v>
      </c>
      <c r="E35" s="56" t="s">
        <v>230</v>
      </c>
      <c r="F35" s="96">
        <v>1</v>
      </c>
      <c r="G35" s="96">
        <v>1</v>
      </c>
    </row>
    <row r="36" spans="1:7" ht="15.75" customHeight="1" x14ac:dyDescent="0.25">
      <c r="A36" s="5" t="s">
        <v>226</v>
      </c>
      <c r="B36" s="45">
        <v>4.23329E-2</v>
      </c>
      <c r="C36" s="96">
        <v>0.95</v>
      </c>
      <c r="D36" s="56">
        <v>99.99</v>
      </c>
      <c r="E36" s="56" t="s">
        <v>230</v>
      </c>
      <c r="F36" s="96">
        <v>1</v>
      </c>
      <c r="G36" s="96">
        <v>1</v>
      </c>
    </row>
    <row r="37" spans="1:7" ht="15.75" customHeight="1" x14ac:dyDescent="0.25">
      <c r="A37" s="5" t="s">
        <v>227</v>
      </c>
      <c r="B37" s="45">
        <v>0.92794939999999992</v>
      </c>
      <c r="C37" s="96">
        <v>0.95</v>
      </c>
      <c r="D37" s="56">
        <v>99.99</v>
      </c>
      <c r="E37" s="56" t="s">
        <v>230</v>
      </c>
      <c r="F37" s="96">
        <v>1</v>
      </c>
      <c r="G37" s="96">
        <v>1</v>
      </c>
    </row>
    <row r="38" spans="1:7" ht="15.75" customHeight="1" x14ac:dyDescent="0.25">
      <c r="A38" s="5" t="s">
        <v>228</v>
      </c>
      <c r="B38" s="45">
        <v>0.32745109999999999</v>
      </c>
      <c r="C38" s="96">
        <v>0.95</v>
      </c>
      <c r="D38" s="56">
        <v>2.4500000000000002</v>
      </c>
      <c r="E38" s="56" t="s">
        <v>230</v>
      </c>
      <c r="F38" s="96">
        <v>1</v>
      </c>
      <c r="G38" s="96">
        <v>1</v>
      </c>
    </row>
    <row r="39" spans="1:7" ht="15.75" customHeight="1" x14ac:dyDescent="0.25">
      <c r="A39" s="5" t="s">
        <v>229</v>
      </c>
      <c r="B39" s="45">
        <v>0</v>
      </c>
      <c r="C39" s="96">
        <v>0.95</v>
      </c>
      <c r="D39" s="56">
        <v>3.43</v>
      </c>
      <c r="E39" s="56" t="s">
        <v>230</v>
      </c>
      <c r="F39" s="96">
        <v>1</v>
      </c>
      <c r="G39" s="96">
        <v>1</v>
      </c>
    </row>
  </sheetData>
  <sheetProtection algorithmName="SHA-512" hashValue="M4B4MogscE9yphIMBbhhKkFqd4DEX7bZ9WokgdZfntBhARGxb9YV+bijiQtAKln03pbmvO0REktLS5b9/U2HSQ==" saltValue="Y0CAonr1GOk9OKTrHzylh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eizGAaSv3r/L+7i7x3oTdV39iqWhIoK6ToEfsYWFoxjgzF7Zo73EVGxtRv9u9u9aPRpkmFFklzColkYAIwejqQ==" saltValue="3keQK1xxzUZ9sYT7sbDf8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sUrAJp1aaucnBDDn5AjRNB6F3ZVyyGPlLM3tcX6vHwVJEnU5nOlS3G+UvYrZoxVU88yhIUU/kSPPdz2m4TPdQg==" saltValue="TCxo/KqHxDTZ16j34bpPD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3.2</v>
      </c>
      <c r="C2" s="21">
        <f>'Données pop de l''année de ref'!C52</f>
        <v>3.2</v>
      </c>
      <c r="D2" s="21">
        <f>'Données pop de l''année de ref'!C53</f>
        <v>3.2</v>
      </c>
      <c r="E2" s="21">
        <f>'Données pop de l''année de ref'!C54</f>
        <v>3.2</v>
      </c>
      <c r="F2" s="21">
        <f>'Données pop de l''année de ref'!C55</f>
        <v>3.2</v>
      </c>
    </row>
    <row r="3" spans="1:6" ht="15.75" customHeight="1" x14ac:dyDescent="0.25">
      <c r="A3" s="3" t="s">
        <v>238</v>
      </c>
      <c r="B3" s="21">
        <f>frac_mam_1month * 2.6</f>
        <v>0.11422892</v>
      </c>
      <c r="C3" s="21">
        <f>frac_mam_1_5months * 2.6</f>
        <v>0.11422892</v>
      </c>
      <c r="D3" s="21">
        <f>frac_mam_6_11months * 2.6</f>
        <v>4.7750819999999999E-2</v>
      </c>
      <c r="E3" s="21">
        <f>frac_mam_12_23months * 2.6</f>
        <v>4.6984340000000006E-2</v>
      </c>
      <c r="F3" s="21">
        <f>frac_mam_24_59months * 2.6</f>
        <v>3.4554520000000005E-2</v>
      </c>
    </row>
    <row r="4" spans="1:6" ht="15.75" customHeight="1" x14ac:dyDescent="0.25">
      <c r="A4" s="3" t="s">
        <v>237</v>
      </c>
      <c r="B4" s="21">
        <f>frac_sam_1month * 2.6</f>
        <v>4.311632E-2</v>
      </c>
      <c r="C4" s="21">
        <f>frac_sam_1_5months * 2.6</f>
        <v>4.311632E-2</v>
      </c>
      <c r="D4" s="21">
        <f>frac_sam_6_11months * 2.6</f>
        <v>1.219426E-2</v>
      </c>
      <c r="E4" s="21">
        <f>frac_sam_12_23months * 2.6</f>
        <v>6.9201600000000007E-3</v>
      </c>
      <c r="F4" s="21">
        <f>frac_sam_24_59months * 2.6</f>
        <v>5.4046200000000006E-3</v>
      </c>
    </row>
  </sheetData>
  <sheetProtection algorithmName="SHA-512" hashValue="IERDsjiSLlH+26Cr+BpHhkwrKLt1E5aENtx08XRl2p/BUcR4U4pO8js5bj4bVspWQWD3kc519zksOvjzK++ZYg==" saltValue="L6n8/kashISm7QZTYBEe9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1.4999999999999999E-2</v>
      </c>
      <c r="F2" s="60">
        <f>food_insecure</f>
        <v>1.4999999999999999E-2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1.4999999999999999E-2</v>
      </c>
      <c r="F5" s="60">
        <f>food_insecure</f>
        <v>1.4999999999999999E-2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1.4999999999999999E-2</v>
      </c>
      <c r="F8" s="60">
        <f>food_insecure</f>
        <v>1.4999999999999999E-2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1.4999999999999999E-2</v>
      </c>
      <c r="F9" s="60">
        <f>food_insecure</f>
        <v>1.4999999999999999E-2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1.4999999999999999E-2</v>
      </c>
      <c r="I15" s="60">
        <f t="shared" si="0"/>
        <v>1.4999999999999999E-2</v>
      </c>
      <c r="J15" s="60">
        <f t="shared" si="0"/>
        <v>1.4999999999999999E-2</v>
      </c>
      <c r="K15" s="60">
        <f t="shared" si="0"/>
        <v>1.4999999999999999E-2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1.4999999999999999E-2</v>
      </c>
      <c r="I16" s="60">
        <f t="shared" si="0"/>
        <v>1.4999999999999999E-2</v>
      </c>
      <c r="J16" s="60">
        <f t="shared" si="0"/>
        <v>1.4999999999999999E-2</v>
      </c>
      <c r="K16" s="60">
        <f t="shared" si="0"/>
        <v>1.4999999999999999E-2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0.18099999999999999</v>
      </c>
      <c r="M24" s="60">
        <f>famplan_unmet_need</f>
        <v>0.18099999999999999</v>
      </c>
      <c r="N24" s="60">
        <f>famplan_unmet_need</f>
        <v>0.18099999999999999</v>
      </c>
      <c r="O24" s="60">
        <f>famplan_unmet_need</f>
        <v>0.18099999999999999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0.19174549174308769</v>
      </c>
      <c r="M25" s="60">
        <f>(1-food_insecure)*(0.49)+food_insecure*(0.7)</f>
        <v>0.49314999999999998</v>
      </c>
      <c r="N25" s="60">
        <f>(1-food_insecure)*(0.49)+food_insecure*(0.7)</f>
        <v>0.49314999999999998</v>
      </c>
      <c r="O25" s="60">
        <f>(1-food_insecure)*(0.49)+food_insecure*(0.7)</f>
        <v>0.49314999999999998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8.2176639318466152E-2</v>
      </c>
      <c r="M26" s="60">
        <f>(1-food_insecure)*(0.21)+food_insecure*(0.3)</f>
        <v>0.21134999999999998</v>
      </c>
      <c r="N26" s="60">
        <f>(1-food_insecure)*(0.21)+food_insecure*(0.3)</f>
        <v>0.21134999999999998</v>
      </c>
      <c r="O26" s="60">
        <f>(1-food_insecure)*(0.21)+food_insecure*(0.3)</f>
        <v>0.21134999999999998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0.11489565610885616</v>
      </c>
      <c r="M27" s="60">
        <f>(1-food_insecure)*(0.3)</f>
        <v>0.29549999999999998</v>
      </c>
      <c r="N27" s="60">
        <f>(1-food_insecure)*(0.3)</f>
        <v>0.29549999999999998</v>
      </c>
      <c r="O27" s="60">
        <f>(1-food_insecure)*(0.3)</f>
        <v>0.29549999999999998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0.61118221282958984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9MCLby3LDfuFwGuRHfTp5JcedCosYNDeVCrqGie04PBxv+iCPuD/nlnvsRoe7CVO1WsUevPPpIOmXYrzPKRtvw==" saltValue="ynqyNpAUiRHhsoEZjV0IO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bLc0r80SKZ9cBFIqsaGlJ0Ul3pSH5k1aTR8JhlfqWcDqPJpYy8zh0+Xq8f5KrZuvjP0dJXY7PMoHbZevPbsKKg==" saltValue="NdHNQIKzhKPrUa4tdLIeL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51+KDs/N+8t5BSsm5f2IFbt80/7bfNPJ1Yn6c9shgsmsRq4J4uicXouee1y02HgRc1YcYVY2+E3LUXwXW4vsMA==" saltValue="lGLEYdXUTJtzKbQ4Z5J2N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2" sqref="H12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lU117GrDqLlmmiuigeOUXxGQMcA1JGwHEAz2Pt2gpBEO18M7oGtxBCfrxXdnKbyYXfM+aw8Vn8vWSCfto2WItQ==" saltValue="SddAe1ud0xlWddx/We9md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5" workbookViewId="0">
      <selection activeCell="J18" sqref="J18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189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13" t="s">
        <v>197</v>
      </c>
      <c r="B2" s="114"/>
      <c r="C2" s="114"/>
      <c r="D2" s="114"/>
      <c r="E2" s="114"/>
      <c r="F2" s="114"/>
      <c r="G2" s="114"/>
      <c r="H2" s="114"/>
      <c r="I2" s="114" t="s">
        <v>4</v>
      </c>
      <c r="J2" s="114"/>
      <c r="K2" s="114"/>
      <c r="L2" s="114"/>
    </row>
    <row r="3" spans="1:12" x14ac:dyDescent="0.25">
      <c r="A3" s="113" t="s">
        <v>198</v>
      </c>
      <c r="B3" s="114"/>
      <c r="C3" s="114"/>
      <c r="D3" s="114"/>
      <c r="E3" s="114"/>
      <c r="F3" s="114"/>
      <c r="G3" s="114"/>
      <c r="H3" s="114" t="s">
        <v>4</v>
      </c>
      <c r="I3" s="114" t="s">
        <v>4</v>
      </c>
      <c r="J3" s="114"/>
      <c r="K3" s="114"/>
      <c r="L3" s="114"/>
    </row>
    <row r="4" spans="1:12" x14ac:dyDescent="0.25">
      <c r="A4" s="113" t="s">
        <v>199</v>
      </c>
      <c r="B4" s="114" t="s">
        <v>4</v>
      </c>
      <c r="C4" s="114"/>
      <c r="D4" s="114" t="s">
        <v>4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200</v>
      </c>
      <c r="B5" s="114"/>
      <c r="C5" s="114" t="s">
        <v>4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201</v>
      </c>
      <c r="B6" s="114"/>
      <c r="C6" s="114"/>
      <c r="D6" s="114"/>
      <c r="E6" s="114"/>
      <c r="F6" s="114"/>
      <c r="G6" s="114"/>
      <c r="H6" s="114"/>
      <c r="I6" s="114"/>
      <c r="J6" s="114" t="s">
        <v>4</v>
      </c>
      <c r="K6" s="114" t="s">
        <v>4</v>
      </c>
      <c r="L6" s="114"/>
    </row>
    <row r="7" spans="1:12" x14ac:dyDescent="0.25">
      <c r="A7" s="113" t="s">
        <v>202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/>
      <c r="J7" s="114"/>
      <c r="K7" s="114"/>
      <c r="L7" s="114"/>
    </row>
    <row r="8" spans="1:12" x14ac:dyDescent="0.25">
      <c r="A8" s="113" t="s">
        <v>203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/>
      <c r="J8" s="114"/>
      <c r="K8" s="114"/>
      <c r="L8" s="114"/>
    </row>
    <row r="9" spans="1:12" x14ac:dyDescent="0.25">
      <c r="A9" s="113" t="s">
        <v>204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/>
      <c r="J9" s="114"/>
      <c r="K9" s="114"/>
      <c r="L9" s="114"/>
    </row>
    <row r="10" spans="1:12" x14ac:dyDescent="0.25">
      <c r="A10" s="113" t="s">
        <v>205</v>
      </c>
      <c r="B10" s="114"/>
      <c r="C10" s="114" t="s">
        <v>4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206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207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208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209</v>
      </c>
      <c r="B14" s="114"/>
      <c r="C14" s="114" t="s">
        <v>4</v>
      </c>
      <c r="D14" s="114"/>
      <c r="E14" s="114"/>
      <c r="F14" s="114"/>
      <c r="G14" s="114"/>
      <c r="H14" s="114"/>
      <c r="I14" s="114" t="s">
        <v>4</v>
      </c>
      <c r="J14" s="114"/>
      <c r="K14" s="114"/>
      <c r="L14" s="114"/>
    </row>
    <row r="15" spans="1:12" x14ac:dyDescent="0.25">
      <c r="A15" s="115" t="s">
        <v>210</v>
      </c>
      <c r="B15" s="114"/>
      <c r="C15" s="114" t="s">
        <v>4</v>
      </c>
      <c r="D15" s="114"/>
      <c r="E15" s="114"/>
      <c r="F15" s="114"/>
      <c r="G15" s="114"/>
      <c r="H15" s="114"/>
      <c r="I15" s="114" t="s">
        <v>4</v>
      </c>
      <c r="J15" s="114"/>
      <c r="K15" s="114"/>
      <c r="L15" s="114"/>
    </row>
    <row r="16" spans="1:12" x14ac:dyDescent="0.25">
      <c r="A16" s="113" t="s">
        <v>211</v>
      </c>
      <c r="B16" s="114"/>
      <c r="C16" s="114" t="s">
        <v>4</v>
      </c>
      <c r="D16" s="114"/>
      <c r="E16" s="114"/>
      <c r="F16" s="114"/>
      <c r="G16" s="114"/>
      <c r="H16" s="114" t="s">
        <v>4</v>
      </c>
      <c r="I16" s="114" t="s">
        <v>4</v>
      </c>
      <c r="J16" s="114"/>
      <c r="K16" s="114"/>
      <c r="L16" s="114"/>
    </row>
    <row r="17" spans="1:12" x14ac:dyDescent="0.25">
      <c r="A17" s="113" t="s">
        <v>212</v>
      </c>
      <c r="B17" s="114"/>
      <c r="C17" s="114" t="s">
        <v>4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186</v>
      </c>
      <c r="B18" s="114" t="s">
        <v>4</v>
      </c>
      <c r="C18" s="114"/>
      <c r="D18" s="114"/>
      <c r="E18" s="114"/>
      <c r="F18" s="114" t="s">
        <v>4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187</v>
      </c>
      <c r="B19" s="114" t="s">
        <v>4</v>
      </c>
      <c r="C19" s="114"/>
      <c r="D19" s="114"/>
      <c r="E19" s="114"/>
      <c r="F19" s="114" t="s">
        <v>4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188</v>
      </c>
      <c r="B20" s="114" t="s">
        <v>4</v>
      </c>
      <c r="C20" s="114"/>
      <c r="D20" s="114"/>
      <c r="E20" s="114"/>
      <c r="F20" s="114" t="s">
        <v>4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213</v>
      </c>
      <c r="B21" s="114"/>
      <c r="C21" s="114"/>
      <c r="D21" s="114"/>
      <c r="E21" s="114"/>
      <c r="F21" s="114"/>
      <c r="G21" s="114"/>
      <c r="H21" s="114" t="s">
        <v>4</v>
      </c>
      <c r="I21" s="114" t="s">
        <v>4</v>
      </c>
      <c r="J21" s="114"/>
      <c r="K21" s="114"/>
      <c r="L21" s="114"/>
    </row>
    <row r="22" spans="1:12" x14ac:dyDescent="0.25">
      <c r="A22" s="113" t="s">
        <v>214</v>
      </c>
      <c r="B22" s="114" t="s">
        <v>4</v>
      </c>
      <c r="C22" s="114" t="s">
        <v>4</v>
      </c>
      <c r="D22" s="114" t="s">
        <v>4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215</v>
      </c>
      <c r="B23" s="114"/>
      <c r="C23" s="114" t="s">
        <v>4</v>
      </c>
      <c r="D23" s="114"/>
      <c r="E23" s="114"/>
      <c r="F23" s="114"/>
      <c r="G23" s="114"/>
      <c r="H23" s="114"/>
      <c r="I23" s="114" t="s">
        <v>4</v>
      </c>
      <c r="J23" s="114"/>
      <c r="K23" s="114"/>
      <c r="L23" s="114"/>
    </row>
    <row r="24" spans="1:12" x14ac:dyDescent="0.25">
      <c r="A24" s="113" t="s">
        <v>216</v>
      </c>
      <c r="B24" s="114"/>
      <c r="C24" s="114"/>
      <c r="D24" s="114"/>
      <c r="E24" s="114"/>
      <c r="F24" s="114"/>
      <c r="G24" s="114"/>
      <c r="H24" s="114" t="s">
        <v>4</v>
      </c>
      <c r="I24" s="114"/>
      <c r="J24" s="114"/>
      <c r="K24" s="114"/>
      <c r="L24" s="114"/>
    </row>
    <row r="25" spans="1:12" x14ac:dyDescent="0.25">
      <c r="A25" s="113" t="s">
        <v>217</v>
      </c>
      <c r="B25" s="114"/>
      <c r="C25" s="114"/>
      <c r="D25" s="114"/>
      <c r="E25" s="114"/>
      <c r="F25" s="114"/>
      <c r="G25" s="114"/>
      <c r="H25" s="114" t="s">
        <v>4</v>
      </c>
      <c r="I25" s="114"/>
      <c r="J25" s="114"/>
      <c r="K25" s="114"/>
      <c r="L25" s="114"/>
    </row>
    <row r="26" spans="1:12" x14ac:dyDescent="0.25">
      <c r="A26" s="113" t="s">
        <v>218</v>
      </c>
      <c r="B26" s="114"/>
      <c r="C26" s="114" t="s">
        <v>4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219</v>
      </c>
      <c r="B27" s="114"/>
      <c r="C27" s="114" t="s">
        <v>4</v>
      </c>
      <c r="D27" s="114"/>
      <c r="E27" s="114"/>
      <c r="F27" s="114"/>
      <c r="G27" s="114"/>
      <c r="H27" s="114"/>
      <c r="I27" s="114" t="s">
        <v>4</v>
      </c>
      <c r="J27" s="114"/>
      <c r="K27" s="114"/>
      <c r="L27" s="114" t="s">
        <v>4</v>
      </c>
    </row>
    <row r="28" spans="1:12" x14ac:dyDescent="0.25">
      <c r="A28" s="113" t="s">
        <v>220</v>
      </c>
      <c r="B28" s="114"/>
      <c r="C28" s="114"/>
      <c r="D28" s="114"/>
      <c r="E28" s="114"/>
      <c r="F28" s="114"/>
      <c r="G28" s="114"/>
      <c r="H28" s="114" t="s">
        <v>4</v>
      </c>
      <c r="I28" s="114"/>
      <c r="J28" s="114"/>
      <c r="K28" s="114"/>
      <c r="L28" s="114"/>
    </row>
    <row r="29" spans="1:12" x14ac:dyDescent="0.25">
      <c r="A29" s="113" t="s">
        <v>221</v>
      </c>
      <c r="B29" s="114" t="s">
        <v>4</v>
      </c>
      <c r="C29" s="114"/>
      <c r="D29" s="114" t="s">
        <v>4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234</v>
      </c>
      <c r="B30" s="114" t="s">
        <v>4</v>
      </c>
      <c r="C30" s="114" t="s">
        <v>4</v>
      </c>
      <c r="D30" s="114" t="s">
        <v>4</v>
      </c>
      <c r="E30" s="114"/>
      <c r="F30" s="114"/>
      <c r="G30" s="114"/>
      <c r="H30" s="114" t="s">
        <v>4</v>
      </c>
      <c r="I30" s="114"/>
      <c r="J30" s="114"/>
      <c r="K30" s="114"/>
      <c r="L30" s="114"/>
    </row>
    <row r="31" spans="1:12" x14ac:dyDescent="0.25">
      <c r="A31" s="113" t="s">
        <v>190</v>
      </c>
      <c r="B31" s="114"/>
      <c r="C31" s="114"/>
      <c r="D31" s="114"/>
      <c r="E31" s="114" t="s">
        <v>4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222</v>
      </c>
      <c r="B32" s="114"/>
      <c r="C32" s="114"/>
      <c r="D32" s="114"/>
      <c r="E32" s="114"/>
      <c r="F32" s="114"/>
      <c r="G32" s="114" t="s">
        <v>4</v>
      </c>
      <c r="H32" s="114" t="s">
        <v>4</v>
      </c>
      <c r="I32" s="114"/>
      <c r="J32" s="114"/>
      <c r="K32" s="114"/>
      <c r="L32" s="114"/>
    </row>
    <row r="33" spans="1:12" x14ac:dyDescent="0.25">
      <c r="A33" s="113" t="s">
        <v>223</v>
      </c>
      <c r="B33" s="114"/>
      <c r="C33" s="114"/>
      <c r="D33" s="114"/>
      <c r="E33" s="114"/>
      <c r="F33" s="114"/>
      <c r="G33" s="114" t="s">
        <v>4</v>
      </c>
      <c r="H33" s="114" t="s">
        <v>4</v>
      </c>
      <c r="I33" s="114"/>
      <c r="J33" s="114"/>
      <c r="K33" s="114"/>
      <c r="L33" s="114"/>
    </row>
    <row r="34" spans="1:12" x14ac:dyDescent="0.25">
      <c r="A34" s="113" t="s">
        <v>224</v>
      </c>
      <c r="B34" s="114"/>
      <c r="C34" s="114"/>
      <c r="D34" s="114"/>
      <c r="E34" s="114"/>
      <c r="F34" s="114"/>
      <c r="G34" s="114" t="s">
        <v>4</v>
      </c>
      <c r="H34" s="114" t="s">
        <v>4</v>
      </c>
      <c r="I34" s="114"/>
      <c r="J34" s="114"/>
      <c r="K34" s="114"/>
      <c r="L34" s="114"/>
    </row>
    <row r="35" spans="1:12" x14ac:dyDescent="0.25">
      <c r="A35" s="113" t="s">
        <v>225</v>
      </c>
      <c r="B35" s="114"/>
      <c r="C35" s="114"/>
      <c r="D35" s="114"/>
      <c r="E35" s="114"/>
      <c r="F35" s="114"/>
      <c r="G35" s="114" t="s">
        <v>4</v>
      </c>
      <c r="H35" s="114" t="s">
        <v>4</v>
      </c>
      <c r="I35" s="114"/>
      <c r="J35" s="114"/>
      <c r="K35" s="114"/>
      <c r="L35" s="114"/>
    </row>
    <row r="36" spans="1:12" x14ac:dyDescent="0.25">
      <c r="A36" s="113" t="s">
        <v>226</v>
      </c>
      <c r="B36" s="114"/>
      <c r="C36" s="114"/>
      <c r="D36" s="114"/>
      <c r="E36" s="114"/>
      <c r="F36" s="114"/>
      <c r="G36" s="114" t="s">
        <v>4</v>
      </c>
      <c r="H36" s="114" t="s">
        <v>4</v>
      </c>
      <c r="I36" s="114"/>
      <c r="J36" s="114"/>
      <c r="K36" s="114"/>
      <c r="L36" s="114"/>
    </row>
    <row r="37" spans="1:12" x14ac:dyDescent="0.25">
      <c r="A37" s="113" t="s">
        <v>227</v>
      </c>
      <c r="B37" s="114"/>
      <c r="C37" s="114"/>
      <c r="D37" s="114"/>
      <c r="E37" s="114"/>
      <c r="F37" s="114"/>
      <c r="G37" s="114" t="s">
        <v>4</v>
      </c>
      <c r="H37" s="114" t="s">
        <v>4</v>
      </c>
      <c r="I37" s="114"/>
      <c r="J37" s="114"/>
      <c r="K37" s="114"/>
      <c r="L37" s="114"/>
    </row>
    <row r="38" spans="1:12" x14ac:dyDescent="0.25">
      <c r="A38" s="113" t="s">
        <v>228</v>
      </c>
      <c r="B38" s="114"/>
      <c r="C38" s="114"/>
      <c r="D38" s="114"/>
      <c r="E38" s="114"/>
      <c r="F38" s="114"/>
      <c r="G38" s="114"/>
      <c r="H38" s="114" t="s">
        <v>4</v>
      </c>
      <c r="I38" s="114"/>
      <c r="J38" s="114"/>
      <c r="K38" s="114"/>
      <c r="L38" s="114"/>
    </row>
    <row r="39" spans="1:12" x14ac:dyDescent="0.25">
      <c r="A39" s="113" t="s">
        <v>229</v>
      </c>
      <c r="B39" s="114" t="s">
        <v>4</v>
      </c>
      <c r="C39" s="114"/>
      <c r="D39" s="114"/>
      <c r="E39" s="114"/>
      <c r="F39" s="114"/>
      <c r="G39" s="114" t="s">
        <v>4</v>
      </c>
      <c r="H39" s="114" t="s">
        <v>4</v>
      </c>
      <c r="I39" s="114"/>
      <c r="J39" s="114"/>
      <c r="K39" s="114"/>
      <c r="L39" s="114"/>
    </row>
  </sheetData>
  <sheetProtection algorithmName="SHA-512" hashValue="F3Yn5wuFEPlgE1jFzGhIxRwatQGRDx5Q0GgnXJEcQsljHPV4sRFgkl3EFK8s71ehiKaTSR/AL4gcpT/y5KJqfw==" saltValue="AOTctuoWtWy0lG9Mcq686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261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06" t="s">
        <v>127</v>
      </c>
      <c r="B2" s="114" t="s">
        <v>4</v>
      </c>
      <c r="C2" s="114" t="s">
        <v>4</v>
      </c>
      <c r="D2" s="114" t="s">
        <v>4</v>
      </c>
      <c r="E2" s="114" t="s">
        <v>4</v>
      </c>
      <c r="F2" s="114" t="s">
        <v>4</v>
      </c>
      <c r="G2" s="114" t="s">
        <v>4</v>
      </c>
      <c r="H2" s="114" t="s">
        <v>4</v>
      </c>
      <c r="I2" s="114"/>
      <c r="J2" s="114"/>
      <c r="K2" s="114"/>
      <c r="L2" s="114"/>
    </row>
    <row r="3" spans="1:12" x14ac:dyDescent="0.25">
      <c r="A3" s="106" t="s">
        <v>114</v>
      </c>
      <c r="B3" s="114" t="s">
        <v>4</v>
      </c>
      <c r="C3" s="114" t="s">
        <v>4</v>
      </c>
      <c r="D3" s="114" t="s">
        <v>4</v>
      </c>
      <c r="E3" s="114" t="s">
        <v>4</v>
      </c>
      <c r="F3" s="114" t="s">
        <v>4</v>
      </c>
      <c r="G3" s="114" t="s">
        <v>4</v>
      </c>
      <c r="H3" s="114" t="s">
        <v>4</v>
      </c>
      <c r="I3" s="114"/>
      <c r="J3" s="114"/>
      <c r="K3" s="114"/>
      <c r="L3" s="114"/>
    </row>
    <row r="4" spans="1:12" x14ac:dyDescent="0.25">
      <c r="A4" s="106" t="s">
        <v>115</v>
      </c>
      <c r="B4" s="114" t="s">
        <v>4</v>
      </c>
      <c r="C4" s="114" t="s">
        <v>4</v>
      </c>
      <c r="D4" s="114" t="s">
        <v>4</v>
      </c>
      <c r="E4" s="114" t="s">
        <v>4</v>
      </c>
      <c r="F4" s="114" t="s">
        <v>4</v>
      </c>
      <c r="G4" s="114" t="s">
        <v>4</v>
      </c>
      <c r="H4" s="114" t="s">
        <v>4</v>
      </c>
      <c r="I4" s="114"/>
      <c r="J4" s="114"/>
      <c r="K4" s="114"/>
      <c r="L4" s="114"/>
    </row>
    <row r="5" spans="1:12" x14ac:dyDescent="0.25">
      <c r="A5" s="106" t="s">
        <v>116</v>
      </c>
      <c r="B5" s="114" t="s">
        <v>4</v>
      </c>
      <c r="C5" s="114" t="s">
        <v>4</v>
      </c>
      <c r="D5" s="114" t="s">
        <v>4</v>
      </c>
      <c r="E5" s="114" t="s">
        <v>4</v>
      </c>
      <c r="F5" s="114" t="s">
        <v>4</v>
      </c>
      <c r="G5" s="114" t="s">
        <v>4</v>
      </c>
      <c r="H5" s="114" t="s">
        <v>4</v>
      </c>
      <c r="I5" s="114"/>
      <c r="J5" s="114"/>
      <c r="K5" s="114"/>
      <c r="L5" s="114"/>
    </row>
    <row r="6" spans="1:12" x14ac:dyDescent="0.25">
      <c r="A6" s="106" t="s">
        <v>117</v>
      </c>
      <c r="B6" s="114" t="s">
        <v>4</v>
      </c>
      <c r="C6" s="114" t="s">
        <v>4</v>
      </c>
      <c r="D6" s="114" t="s">
        <v>4</v>
      </c>
      <c r="E6" s="114" t="s">
        <v>4</v>
      </c>
      <c r="F6" s="114" t="s">
        <v>4</v>
      </c>
      <c r="G6" s="114" t="s">
        <v>4</v>
      </c>
      <c r="H6" s="114" t="s">
        <v>4</v>
      </c>
      <c r="I6" s="114"/>
      <c r="J6" s="114"/>
      <c r="K6" s="114"/>
      <c r="L6" s="114"/>
    </row>
    <row r="7" spans="1:12" x14ac:dyDescent="0.25">
      <c r="A7" s="106" t="s">
        <v>140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 t="s">
        <v>4</v>
      </c>
      <c r="J7" s="114"/>
      <c r="K7" s="114"/>
      <c r="L7" s="114" t="s">
        <v>4</v>
      </c>
    </row>
    <row r="8" spans="1:12" x14ac:dyDescent="0.25">
      <c r="A8" s="106" t="s">
        <v>141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 t="s">
        <v>4</v>
      </c>
      <c r="J8" s="114"/>
      <c r="K8" s="114"/>
      <c r="L8" s="114" t="s">
        <v>4</v>
      </c>
    </row>
    <row r="9" spans="1:12" x14ac:dyDescent="0.25">
      <c r="A9" s="106" t="s">
        <v>142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 t="s">
        <v>4</v>
      </c>
      <c r="J9" s="114"/>
      <c r="K9" s="114"/>
      <c r="L9" s="114" t="s">
        <v>4</v>
      </c>
    </row>
    <row r="10" spans="1:12" x14ac:dyDescent="0.25">
      <c r="A10" s="106" t="s">
        <v>143</v>
      </c>
      <c r="B10" s="114"/>
      <c r="C10" s="114" t="s">
        <v>4</v>
      </c>
      <c r="D10" s="114"/>
      <c r="E10" s="114"/>
      <c r="F10" s="114"/>
      <c r="G10" s="114"/>
      <c r="H10" s="114" t="s">
        <v>4</v>
      </c>
      <c r="I10" s="114" t="s">
        <v>4</v>
      </c>
      <c r="J10" s="114"/>
      <c r="K10" s="114"/>
      <c r="L10" s="114" t="s">
        <v>4</v>
      </c>
    </row>
    <row r="11" spans="1:12" x14ac:dyDescent="0.25">
      <c r="A11" s="106" t="s">
        <v>87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 t="s">
        <v>4</v>
      </c>
      <c r="K11" s="114" t="s">
        <v>4</v>
      </c>
      <c r="L11" s="114"/>
    </row>
    <row r="12" spans="1:12" x14ac:dyDescent="0.25">
      <c r="A12" s="106" t="s">
        <v>88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 t="s">
        <v>4</v>
      </c>
      <c r="L12" s="114"/>
    </row>
    <row r="13" spans="1:12" x14ac:dyDescent="0.25">
      <c r="A13" s="106" t="s">
        <v>89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 t="s">
        <v>4</v>
      </c>
      <c r="L13" s="114"/>
    </row>
    <row r="14" spans="1:12" x14ac:dyDescent="0.25">
      <c r="A14" s="106" t="s">
        <v>90</v>
      </c>
      <c r="B14" s="114"/>
      <c r="C14" s="114" t="s">
        <v>4</v>
      </c>
      <c r="D14" s="114"/>
      <c r="E14" s="114"/>
      <c r="F14" s="114"/>
      <c r="G14" s="114"/>
      <c r="H14" s="114"/>
      <c r="I14" s="114"/>
      <c r="J14" s="114"/>
      <c r="K14" s="114" t="s">
        <v>4</v>
      </c>
      <c r="L14" s="114"/>
    </row>
  </sheetData>
  <sheetProtection algorithmName="SHA-512" hashValue="KCXFv5+0ax0a3ON7e1DGX8vA8GwzxfU2Isaa1Q4l3mq3j7FMgXEZNqV22X04Q4MubYUwg7GnTUXKYqWWhkp6bQ==" saltValue="JlXPWjIsiSD5W+V0T6nj2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6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6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6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6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6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6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6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6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6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BnJkSMEf6gM0c/rNV1gYo1UlQquRApGpSkCV01syJzm60x5UQX3o93GvDz3GpfF4EImCIq+N7G8pSlE0/fMSJQ==" saltValue="Xb6pDNUZ6UtvYXuBkf51ow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264</v>
      </c>
    </row>
    <row r="2" spans="1:7" ht="14.25" customHeight="1" x14ac:dyDescent="0.3">
      <c r="A2" s="120" t="s">
        <v>6</v>
      </c>
      <c r="B2" s="105"/>
      <c r="C2" s="103" t="s">
        <v>127</v>
      </c>
      <c r="D2" s="103" t="s">
        <v>114</v>
      </c>
      <c r="E2" s="103" t="s">
        <v>115</v>
      </c>
      <c r="F2" s="103" t="s">
        <v>116</v>
      </c>
      <c r="G2" s="103" t="s">
        <v>117</v>
      </c>
    </row>
    <row r="3" spans="1:7" ht="14.25" customHeight="1" x14ac:dyDescent="0.25">
      <c r="B3" s="115" t="s">
        <v>274</v>
      </c>
      <c r="C3" s="116" t="s">
        <v>10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275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276</v>
      </c>
    </row>
    <row r="6" spans="1:7" ht="14.25" customHeight="1" x14ac:dyDescent="0.25">
      <c r="B6" s="115" t="s">
        <v>221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214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199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234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229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280</v>
      </c>
    </row>
    <row r="13" spans="1:7" ht="14.25" customHeight="1" x14ac:dyDescent="0.3">
      <c r="A13" s="121"/>
      <c r="B13" s="115" t="s">
        <v>213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277</v>
      </c>
    </row>
    <row r="16" spans="1:7" ht="14.25" customHeight="1" x14ac:dyDescent="0.3">
      <c r="A16" s="120" t="s">
        <v>283</v>
      </c>
      <c r="B16" s="115" t="s">
        <v>278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281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139</v>
      </c>
      <c r="B18" s="115" t="s">
        <v>279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282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201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264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6</v>
      </c>
      <c r="B26" s="105"/>
      <c r="C26" s="103" t="s">
        <v>127</v>
      </c>
      <c r="D26" s="103" t="s">
        <v>114</v>
      </c>
      <c r="E26" s="103" t="s">
        <v>115</v>
      </c>
      <c r="F26" s="103" t="s">
        <v>116</v>
      </c>
      <c r="G26" s="103" t="s">
        <v>117</v>
      </c>
    </row>
    <row r="27" spans="1:7" x14ac:dyDescent="0.25">
      <c r="B27" s="115" t="s">
        <v>284</v>
      </c>
      <c r="C27" s="116" t="s">
        <v>10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285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286</v>
      </c>
    </row>
    <row r="30" spans="1:7" x14ac:dyDescent="0.25">
      <c r="B30" s="115" t="s">
        <v>287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288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29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289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290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291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277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283</v>
      </c>
      <c r="B40" s="115" t="s">
        <v>292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293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139</v>
      </c>
      <c r="B42" s="115" t="s">
        <v>294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296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270</v>
      </c>
    </row>
    <row r="49" spans="1:7" ht="13" x14ac:dyDescent="0.3">
      <c r="A49" s="118" t="s">
        <v>264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6</v>
      </c>
      <c r="B50" s="105"/>
      <c r="C50" s="103" t="s">
        <v>127</v>
      </c>
      <c r="D50" s="103" t="s">
        <v>114</v>
      </c>
      <c r="E50" s="103" t="s">
        <v>115</v>
      </c>
      <c r="F50" s="103" t="s">
        <v>116</v>
      </c>
      <c r="G50" s="103" t="s">
        <v>117</v>
      </c>
    </row>
    <row r="51" spans="1:7" x14ac:dyDescent="0.25">
      <c r="B51" s="115" t="s">
        <v>297</v>
      </c>
      <c r="C51" s="116" t="s">
        <v>10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298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299</v>
      </c>
    </row>
    <row r="54" spans="1:7" x14ac:dyDescent="0.25">
      <c r="B54" s="115" t="s">
        <v>300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301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30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311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302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304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277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283</v>
      </c>
      <c r="B64" s="115" t="s">
        <v>305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306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139</v>
      </c>
      <c r="B66" s="115" t="s">
        <v>307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308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309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wStATDLD7GRvYVRQSh7cfnjYXqmHQ+oNEj9QL1M3g9g72/yEY1r2TrKIwNaKiBOSuFesPTsptvbiIMlg5Hg5gg==" saltValue="FBxyRCaosaMaFW5lSsQ+x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zoomScale="70" zoomScaleNormal="70" workbookViewId="0">
      <selection activeCell="C48" sqref="C48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189</v>
      </c>
      <c r="B1" s="103"/>
      <c r="C1" s="103" t="s">
        <v>69</v>
      </c>
      <c r="D1" s="103" t="s">
        <v>71</v>
      </c>
      <c r="E1" s="103" t="s">
        <v>70</v>
      </c>
      <c r="F1" s="105" t="s">
        <v>72</v>
      </c>
    </row>
    <row r="2" spans="1:6" ht="15.75" customHeight="1" x14ac:dyDescent="0.25">
      <c r="A2" s="115" t="s">
        <v>197</v>
      </c>
      <c r="B2" s="115" t="s">
        <v>312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313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198</v>
      </c>
      <c r="B4" s="115" t="s">
        <v>312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209</v>
      </c>
      <c r="B6" s="115" t="s">
        <v>312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313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210</v>
      </c>
      <c r="B8" s="115" t="s">
        <v>312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313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211</v>
      </c>
      <c r="B10" s="115" t="s">
        <v>312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313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215</v>
      </c>
      <c r="B12" s="115" t="s">
        <v>312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313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219</v>
      </c>
      <c r="B14" s="115" t="s">
        <v>312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313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189</v>
      </c>
      <c r="B18" s="103"/>
      <c r="C18" s="103" t="s">
        <v>69</v>
      </c>
      <c r="D18" s="103" t="s">
        <v>71</v>
      </c>
      <c r="E18" s="103" t="s">
        <v>70</v>
      </c>
      <c r="F18" s="105" t="s">
        <v>72</v>
      </c>
    </row>
    <row r="19" spans="1:6" ht="15.75" customHeight="1" x14ac:dyDescent="0.25">
      <c r="A19" s="115" t="s">
        <v>197</v>
      </c>
      <c r="B19" s="115" t="s">
        <v>312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313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198</v>
      </c>
      <c r="B21" s="115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209</v>
      </c>
      <c r="B23" s="115" t="s">
        <v>312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313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210</v>
      </c>
      <c r="B25" s="115" t="s">
        <v>312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313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211</v>
      </c>
      <c r="B27" s="115" t="s">
        <v>312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313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215</v>
      </c>
      <c r="B29" s="115" t="s">
        <v>312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313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219</v>
      </c>
      <c r="B31" s="115" t="s">
        <v>312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313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270</v>
      </c>
    </row>
    <row r="35" spans="1:6" ht="15.75" customHeight="1" x14ac:dyDescent="0.3">
      <c r="A35" s="105" t="s">
        <v>189</v>
      </c>
      <c r="B35" s="103"/>
      <c r="C35" s="103" t="s">
        <v>69</v>
      </c>
      <c r="D35" s="103" t="s">
        <v>71</v>
      </c>
      <c r="E35" s="103" t="s">
        <v>70</v>
      </c>
      <c r="F35" s="105" t="s">
        <v>72</v>
      </c>
    </row>
    <row r="36" spans="1:6" ht="15.75" customHeight="1" x14ac:dyDescent="0.25">
      <c r="A36" s="115" t="s">
        <v>197</v>
      </c>
      <c r="B36" s="115" t="s">
        <v>312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313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198</v>
      </c>
      <c r="B38" s="115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209</v>
      </c>
      <c r="B40" s="115" t="s">
        <v>312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313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210</v>
      </c>
      <c r="B42" s="115" t="s">
        <v>312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313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211</v>
      </c>
      <c r="B44" s="115" t="s">
        <v>312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313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215</v>
      </c>
      <c r="B46" s="115" t="s">
        <v>312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313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219</v>
      </c>
      <c r="B48" s="115" t="s">
        <v>312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313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636+ISTPylv05Q3NvvaCwfkUzmDKyCAIfzwHeCE8nMwzhDV3DpHa06QpUwps7iMac4jFdKwC6vy+aCHZmKvP/Q==" saltValue="g4v0BcGjFJOm68yrOB24h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4" sqref="C4:F7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B8AheaggCeHrYf/H4yHs+vprHf4IVsl9EjGW77nEkdKYfpqWggL0PQRfMIYObO1wcmnabRdwLVfEmgaHobR8jQ==" saltValue="T9HdevkZYPuuqMDK6fj0e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yao/XRNGLJ8ijA3/1bhM0SP2i4GBSbZ1P3bH71SNHz3/ArSGEbH8T8u4TNzVi7WWjEeM3vjOd6LJO2ZDp73Y3Q==" saltValue="cA+F133lYN/XVaoCRQdHu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topLeftCell="E1" zoomScale="70" zoomScaleNormal="70" workbookViewId="0">
      <selection activeCell="N55" sqref="N5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214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0.84</v>
      </c>
      <c r="M33" s="90">
        <v>0.84</v>
      </c>
      <c r="N33" s="90">
        <v>0.84</v>
      </c>
      <c r="O33" s="90">
        <v>0.84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f>L31</f>
        <v>0.38</v>
      </c>
      <c r="M37" s="90">
        <f>M31</f>
        <v>0.38</v>
      </c>
      <c r="N37" s="90">
        <f>N31</f>
        <v>0.38</v>
      </c>
      <c r="O37" s="90">
        <f>O31</f>
        <v>0.38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f>L54</f>
        <v>0.7</v>
      </c>
      <c r="M60" s="90">
        <f t="shared" ref="M60:O60" si="16">M54</f>
        <v>0.7</v>
      </c>
      <c r="N60" s="90">
        <f t="shared" si="16"/>
        <v>0.7</v>
      </c>
      <c r="O60" s="90">
        <f t="shared" si="16"/>
        <v>0.7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7">IF(G15=1,1,G15*1.05)</f>
        <v>1</v>
      </c>
      <c r="H61" s="90">
        <f t="shared" si="17"/>
        <v>1</v>
      </c>
      <c r="I61" s="90">
        <f t="shared" si="17"/>
        <v>1</v>
      </c>
      <c r="J61" s="90">
        <f t="shared" si="17"/>
        <v>1</v>
      </c>
      <c r="K61" s="90">
        <f t="shared" si="17"/>
        <v>1</v>
      </c>
      <c r="L61" s="90">
        <f t="shared" si="17"/>
        <v>1</v>
      </c>
      <c r="M61" s="90">
        <f t="shared" si="17"/>
        <v>1</v>
      </c>
      <c r="N61" s="90">
        <f t="shared" si="17"/>
        <v>1</v>
      </c>
      <c r="O61" s="90">
        <f t="shared" si="17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8">IF(C18=1,1,C18*1.05)</f>
        <v>1</v>
      </c>
      <c r="D64" s="90">
        <f t="shared" si="18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8"/>
        <v>1</v>
      </c>
      <c r="D65" s="90">
        <f t="shared" si="18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8"/>
        <v>1</v>
      </c>
      <c r="D66" s="90">
        <f t="shared" si="18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8"/>
        <v>1</v>
      </c>
      <c r="D67" s="90">
        <f t="shared" si="18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nKdGPKfygixuX6YUphT8iJ4On+nnVKi5Iy/yBz25mP9Pguvv9mYXJDPK43gNg/dLUDRYP6sfj1H1YWpYgJ75+Q==" saltValue="icGIMf/PApqesQHHOwq7S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4IGGCHp2ExzuUQOnQVe4BPeVDzeWWe+3GjWoB8ALK21nGPj2ZI9Y6io+P6cpg3vhcxk3laoY5tVbVHxvdRaQIQ==" saltValue="NZaBVVeCwAph09epga9io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19" sqref="D19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189</v>
      </c>
      <c r="B1" s="103" t="s">
        <v>364</v>
      </c>
      <c r="C1" s="120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113" t="s">
        <v>222</v>
      </c>
      <c r="B2" s="113" t="s">
        <v>105</v>
      </c>
      <c r="C2" s="113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221</v>
      </c>
      <c r="B5" s="113" t="s">
        <v>237</v>
      </c>
      <c r="C5" s="113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238</v>
      </c>
      <c r="C7" s="113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214</v>
      </c>
      <c r="B9" s="113" t="s">
        <v>237</v>
      </c>
      <c r="C9" s="113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238</v>
      </c>
      <c r="C11" s="113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234</v>
      </c>
      <c r="B13" s="113" t="s">
        <v>237</v>
      </c>
      <c r="C13" s="113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238</v>
      </c>
      <c r="C15" s="113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368</v>
      </c>
      <c r="C17" s="113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366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199</v>
      </c>
      <c r="B19" s="113" t="s">
        <v>237</v>
      </c>
      <c r="C19" s="113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238</v>
      </c>
      <c r="C21" s="113" t="s">
        <v>365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367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204</v>
      </c>
      <c r="B23" s="113" t="s">
        <v>102</v>
      </c>
      <c r="C23" s="113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202</v>
      </c>
      <c r="B25" s="113" t="s">
        <v>102</v>
      </c>
      <c r="C25" s="113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203</v>
      </c>
      <c r="B27" s="113" t="s">
        <v>102</v>
      </c>
      <c r="C27" s="113" t="s">
        <v>365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366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226</v>
      </c>
      <c r="B29" s="113" t="s">
        <v>105</v>
      </c>
      <c r="C29" s="113" t="s">
        <v>365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366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367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227</v>
      </c>
      <c r="B32" s="113" t="s">
        <v>105</v>
      </c>
      <c r="C32" s="113" t="s">
        <v>365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366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367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225</v>
      </c>
      <c r="B35" s="113" t="s">
        <v>105</v>
      </c>
      <c r="C35" s="113" t="s">
        <v>365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366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367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224</v>
      </c>
      <c r="B38" s="113" t="s">
        <v>105</v>
      </c>
      <c r="C38" s="113" t="s">
        <v>365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366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367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223</v>
      </c>
      <c r="B41" s="113" t="s">
        <v>105</v>
      </c>
      <c r="C41" s="113" t="s">
        <v>365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366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367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229</v>
      </c>
      <c r="B44" s="113" t="s">
        <v>105</v>
      </c>
      <c r="C44" s="113" t="s">
        <v>365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366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367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106</v>
      </c>
      <c r="C47" s="113" t="s">
        <v>365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366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367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220</v>
      </c>
      <c r="B50" s="113" t="s">
        <v>105</v>
      </c>
      <c r="C50" s="113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366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228</v>
      </c>
      <c r="B52" s="113" t="s">
        <v>105</v>
      </c>
      <c r="C52" s="113" t="s">
        <v>365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366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213</v>
      </c>
      <c r="B54" s="113" t="s">
        <v>100</v>
      </c>
      <c r="C54" s="113" t="s">
        <v>365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366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362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189</v>
      </c>
      <c r="B58" s="103" t="s">
        <v>364</v>
      </c>
      <c r="C58" s="120" t="s">
        <v>11</v>
      </c>
      <c r="D58" s="4" t="s">
        <v>127</v>
      </c>
      <c r="E58" s="4" t="s">
        <v>114</v>
      </c>
      <c r="F58" s="4" t="s">
        <v>115</v>
      </c>
      <c r="G58" s="4" t="s">
        <v>116</v>
      </c>
      <c r="H58" s="4" t="s">
        <v>117</v>
      </c>
    </row>
    <row r="59" spans="1:8" x14ac:dyDescent="0.25">
      <c r="A59" s="113" t="s">
        <v>222</v>
      </c>
      <c r="B59" s="113" t="s">
        <v>105</v>
      </c>
      <c r="C59" s="113" t="s">
        <v>365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366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367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221</v>
      </c>
      <c r="B62" s="113" t="s">
        <v>237</v>
      </c>
      <c r="C62" s="113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238</v>
      </c>
      <c r="C64" s="113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214</v>
      </c>
      <c r="B66" s="113" t="s">
        <v>237</v>
      </c>
      <c r="C66" s="113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238</v>
      </c>
      <c r="C68" s="113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367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234</v>
      </c>
      <c r="B70" s="113" t="s">
        <v>237</v>
      </c>
      <c r="C70" s="113" t="s">
        <v>365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367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238</v>
      </c>
      <c r="C72" s="113" t="s">
        <v>365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368</v>
      </c>
      <c r="C74" s="113" t="s">
        <v>365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366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199</v>
      </c>
      <c r="B76" s="113" t="s">
        <v>237</v>
      </c>
      <c r="C76" s="113" t="s">
        <v>365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367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238</v>
      </c>
      <c r="C78" s="113" t="s">
        <v>365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367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204</v>
      </c>
      <c r="B80" s="113" t="s">
        <v>102</v>
      </c>
      <c r="C80" s="113" t="s">
        <v>365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366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202</v>
      </c>
      <c r="B82" s="113" t="s">
        <v>102</v>
      </c>
      <c r="C82" s="113" t="s">
        <v>365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366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203</v>
      </c>
      <c r="B84" s="113" t="s">
        <v>102</v>
      </c>
      <c r="C84" s="113" t="s">
        <v>365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366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226</v>
      </c>
      <c r="B86" s="113" t="s">
        <v>105</v>
      </c>
      <c r="C86" s="113" t="s">
        <v>365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366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367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227</v>
      </c>
      <c r="B89" s="113" t="s">
        <v>105</v>
      </c>
      <c r="C89" s="113" t="s">
        <v>365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366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367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225</v>
      </c>
      <c r="B92" s="113" t="s">
        <v>105</v>
      </c>
      <c r="C92" s="113" t="s">
        <v>365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366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367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224</v>
      </c>
      <c r="B95" s="113" t="s">
        <v>105</v>
      </c>
      <c r="C95" s="113" t="s">
        <v>365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366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367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223</v>
      </c>
      <c r="B98" s="113" t="s">
        <v>105</v>
      </c>
      <c r="C98" s="113" t="s">
        <v>365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366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367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229</v>
      </c>
      <c r="B101" s="113" t="s">
        <v>105</v>
      </c>
      <c r="C101" s="113" t="s">
        <v>365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366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367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106</v>
      </c>
      <c r="C104" s="113" t="s">
        <v>365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366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367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220</v>
      </c>
      <c r="B107" s="113" t="s">
        <v>105</v>
      </c>
      <c r="C107" s="113" t="s">
        <v>365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366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228</v>
      </c>
      <c r="B109" s="113" t="s">
        <v>105</v>
      </c>
      <c r="C109" s="113" t="s">
        <v>365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366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213</v>
      </c>
      <c r="B111" s="113" t="s">
        <v>100</v>
      </c>
      <c r="C111" s="113" t="s">
        <v>365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366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363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189</v>
      </c>
      <c r="B115" s="103" t="s">
        <v>364</v>
      </c>
      <c r="C115" s="120" t="s">
        <v>11</v>
      </c>
      <c r="D115" s="4" t="s">
        <v>127</v>
      </c>
      <c r="E115" s="4" t="s">
        <v>114</v>
      </c>
      <c r="F115" s="4" t="s">
        <v>115</v>
      </c>
      <c r="G115" s="4" t="s">
        <v>116</v>
      </c>
      <c r="H115" s="4" t="s">
        <v>117</v>
      </c>
    </row>
    <row r="116" spans="1:8" x14ac:dyDescent="0.25">
      <c r="A116" s="113" t="s">
        <v>222</v>
      </c>
      <c r="B116" s="113" t="s">
        <v>105</v>
      </c>
      <c r="C116" s="113" t="s">
        <v>365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366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367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221</v>
      </c>
      <c r="B119" s="113" t="s">
        <v>237</v>
      </c>
      <c r="C119" s="113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238</v>
      </c>
      <c r="C121" s="113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214</v>
      </c>
      <c r="B123" s="113" t="s">
        <v>237</v>
      </c>
      <c r="C123" s="113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367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238</v>
      </c>
      <c r="C125" s="113" t="s">
        <v>365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367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234</v>
      </c>
      <c r="B127" s="113" t="s">
        <v>237</v>
      </c>
      <c r="C127" s="113" t="s">
        <v>365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367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238</v>
      </c>
      <c r="C129" s="113" t="s">
        <v>365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367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368</v>
      </c>
      <c r="C131" s="113" t="s">
        <v>365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366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199</v>
      </c>
      <c r="B133" s="113" t="s">
        <v>237</v>
      </c>
      <c r="C133" s="113" t="s">
        <v>365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367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238</v>
      </c>
      <c r="C135" s="113" t="s">
        <v>365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367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204</v>
      </c>
      <c r="B137" s="113" t="s">
        <v>102</v>
      </c>
      <c r="C137" s="113" t="s">
        <v>365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366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202</v>
      </c>
      <c r="B139" s="113" t="s">
        <v>102</v>
      </c>
      <c r="C139" s="113" t="s">
        <v>365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366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203</v>
      </c>
      <c r="B141" s="113" t="s">
        <v>102</v>
      </c>
      <c r="C141" s="113" t="s">
        <v>365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366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226</v>
      </c>
      <c r="B143" s="113" t="s">
        <v>105</v>
      </c>
      <c r="C143" s="113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366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227</v>
      </c>
      <c r="B146" s="113" t="s">
        <v>105</v>
      </c>
      <c r="C146" s="113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225</v>
      </c>
      <c r="B149" s="113" t="s">
        <v>105</v>
      </c>
      <c r="C149" s="113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224</v>
      </c>
      <c r="B152" s="113" t="s">
        <v>105</v>
      </c>
      <c r="C152" s="113" t="s">
        <v>365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366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367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223</v>
      </c>
      <c r="B155" s="113" t="s">
        <v>105</v>
      </c>
      <c r="C155" s="113" t="s">
        <v>365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229</v>
      </c>
      <c r="B158" s="113" t="s">
        <v>105</v>
      </c>
      <c r="C158" s="113" t="s">
        <v>365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366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367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106</v>
      </c>
      <c r="C161" s="113" t="s">
        <v>365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366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367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220</v>
      </c>
      <c r="B164" s="113" t="s">
        <v>105</v>
      </c>
      <c r="C164" s="113" t="s">
        <v>365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366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228</v>
      </c>
      <c r="B166" s="113" t="s">
        <v>105</v>
      </c>
      <c r="C166" s="113" t="s">
        <v>365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366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213</v>
      </c>
      <c r="B168" s="113" t="s">
        <v>100</v>
      </c>
      <c r="C168" s="113" t="s">
        <v>365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366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ftf7wl4J6z780Y1qhazvVnirnn7fDvXfBoHycZJmYSdKKkkGpRsa3JJ2pPakvk+QvaIeJwKJRolRuzd41u7xNA==" saltValue="xI7T/+hcD2eqfIl7sbCy4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2" sqref="D2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244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244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244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KNC7Sgayu+VjzOObpktlLbntQXgkrW8oCdh6AGodC3Q7X1GhN81QwopaRCGVuYXzWzTVAHBCOh0NPZTKvT+zVA==" saltValue="/t+9lV8Q3/pSrdyYVOfArw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57ec1f31440e439775915f75cb7954ca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62245b0892ab2a20b5f44f74e1fbf663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B7E161-F495-494F-94F7-37757C779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2026-04-29T07:18:35Z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