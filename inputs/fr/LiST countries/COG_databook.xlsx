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93FE846-3FB9-48FF-973A-B05351CC913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4" i="2"/>
  <c r="A31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<sst xmlns="http://schemas.openxmlformats.org/spreadsheetml/2006/main" count="2159" uniqueCount="368">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</sst>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897373</v>
      </c>
    </row>
    <row r="8" spans="1:3" ht="15" customHeight="1" x14ac:dyDescent="0.25">
      <c r="B8" s="5" t="s">
        <v>37</v>
      </c>
      <c r="C8" s="44">
        <v>0.79900000000000004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0.1235</v>
      </c>
    </row>
    <row r="24" spans="1:3" ht="15" customHeight="1" x14ac:dyDescent="0.25">
      <c r="B24" s="15" t="s">
        <v>51</v>
      </c>
      <c r="C24" s="45">
        <v>0.49630000000000002</v>
      </c>
    </row>
    <row r="25" spans="1:3" ht="15" customHeight="1" x14ac:dyDescent="0.25">
      <c r="B25" s="15" t="s">
        <v>52</v>
      </c>
      <c r="C25" s="45">
        <v>0.30649999999999999</v>
      </c>
    </row>
    <row r="26" spans="1:3" ht="15" customHeight="1" x14ac:dyDescent="0.25">
      <c r="B26" s="15" t="s">
        <v>53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0.252977860168906</v>
      </c>
    </row>
    <row r="30" spans="1:3" ht="14.25" customHeight="1" x14ac:dyDescent="0.25">
      <c r="B30" s="25" t="s">
        <v>56</v>
      </c>
      <c r="C30" s="99">
        <v>3.7612008018149699E-2</v>
      </c>
    </row>
    <row r="31" spans="1:3" ht="14.25" customHeight="1" x14ac:dyDescent="0.25">
      <c r="B31" s="25" t="s">
        <v>57</v>
      </c>
      <c r="C31" s="99">
        <v>7.1064506079706297E-2</v>
      </c>
    </row>
    <row r="32" spans="1:3" ht="14.25" customHeight="1" x14ac:dyDescent="0.25">
      <c r="B32" s="25" t="s">
        <v>58</v>
      </c>
      <c r="C32" s="99">
        <v>0.63834562573323805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18.408550000000002</v>
      </c>
    </row>
    <row r="38" spans="1:5" ht="15" customHeight="1" x14ac:dyDescent="0.25">
      <c r="B38" s="11" t="s">
        <v>63</v>
      </c>
      <c r="C38" s="43">
        <v>31.978870000000001</v>
      </c>
      <c r="D38" s="12"/>
      <c r="E38" s="13"/>
    </row>
    <row r="39" spans="1:5" ht="15" customHeight="1" x14ac:dyDescent="0.25">
      <c r="B39" s="11" t="s">
        <v>64</v>
      </c>
      <c r="C39" s="43">
        <v>42.967860000000002</v>
      </c>
      <c r="D39" s="12"/>
      <c r="E39" s="12"/>
    </row>
    <row r="40" spans="1:5" ht="15" customHeight="1" x14ac:dyDescent="0.25">
      <c r="B40" s="11" t="s">
        <v>65</v>
      </c>
      <c r="C40" s="100">
        <v>2.82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7.9503999999999998E-3</v>
      </c>
      <c r="D45" s="12"/>
    </row>
    <row r="46" spans="1:5" ht="15.75" customHeight="1" x14ac:dyDescent="0.25">
      <c r="B46" s="11" t="s">
        <v>70</v>
      </c>
      <c r="C46" s="45">
        <v>8.5425500000000001E-2</v>
      </c>
      <c r="D46" s="12"/>
    </row>
    <row r="47" spans="1:5" ht="15.75" customHeight="1" x14ac:dyDescent="0.25">
      <c r="B47" s="11" t="s">
        <v>71</v>
      </c>
      <c r="C47" s="45">
        <v>7.3440000000000005E-2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2.2360000000000002</v>
      </c>
      <c r="D51" s="12"/>
    </row>
    <row r="52" spans="1:4" ht="15" customHeight="1" x14ac:dyDescent="0.25">
      <c r="B52" s="11" t="s">
        <v>75</v>
      </c>
      <c r="C52" s="100">
        <v>2.2360000000000002</v>
      </c>
    </row>
    <row r="53" spans="1:4" ht="15.75" customHeight="1" x14ac:dyDescent="0.25">
      <c r="B53" s="11" t="s">
        <v>76</v>
      </c>
      <c r="C53" s="100">
        <v>6.5259999999999998</v>
      </c>
    </row>
    <row r="54" spans="1:4" ht="15.75" customHeight="1" x14ac:dyDescent="0.25">
      <c r="B54" s="11" t="s">
        <v>77</v>
      </c>
      <c r="C54" s="100">
        <v>8.84</v>
      </c>
    </row>
    <row r="55" spans="1:4" ht="15.75" customHeight="1" x14ac:dyDescent="0.25">
      <c r="B55" s="11" t="s">
        <v>78</v>
      </c>
      <c r="C55" s="100">
        <v>3.5880000000000001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0.43557299999999988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FRFhr9e4T6IBx+65GwSQt0RXR2EumrW+gqAlti8V1ayLHBCU9krD3/RRguSHwuSi0eDcd0uYSMsd+Qscc2pFDg==" saltValue="MR8ASYTAQWD5cjHZu/DN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ADvp1dCyWy2/SnXvZ3QurWn7rckS6pRvIw0dNch3bU6MheT+Yzj3VLXrq9f0A4FpMnBJluqSJ5gDAhLUJFWxQ==" saltValue="CfHnbTyv2eQYJFBHBRzk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8.4456983108603251E-3</v>
      </c>
    </row>
    <row r="4" spans="1:8" ht="15.75" customHeight="1" x14ac:dyDescent="0.25">
      <c r="B4" s="19" t="s">
        <v>97</v>
      </c>
      <c r="C4" s="101">
        <v>5.1272189745562052E-2</v>
      </c>
    </row>
    <row r="5" spans="1:8" ht="15.75" customHeight="1" x14ac:dyDescent="0.25">
      <c r="B5" s="19" t="s">
        <v>98</v>
      </c>
      <c r="C5" s="101">
        <v>6.2944087411182431E-2</v>
      </c>
    </row>
    <row r="6" spans="1:8" ht="15.75" customHeight="1" x14ac:dyDescent="0.25">
      <c r="B6" s="19" t="s">
        <v>99</v>
      </c>
      <c r="C6" s="101">
        <v>0.2355956528808697</v>
      </c>
    </row>
    <row r="7" spans="1:8" ht="15.75" customHeight="1" x14ac:dyDescent="0.25">
      <c r="B7" s="19" t="s">
        <v>100</v>
      </c>
      <c r="C7" s="101">
        <v>0.43809161238167749</v>
      </c>
    </row>
    <row r="8" spans="1:8" ht="15.75" customHeight="1" x14ac:dyDescent="0.25">
      <c r="B8" s="19" t="s">
        <v>101</v>
      </c>
      <c r="C8" s="101">
        <v>1.970299605940075E-3</v>
      </c>
    </row>
    <row r="9" spans="1:8" ht="15.75" customHeight="1" x14ac:dyDescent="0.25">
      <c r="B9" s="19" t="s">
        <v>102</v>
      </c>
      <c r="C9" s="101">
        <v>8.9744082051183616E-2</v>
      </c>
    </row>
    <row r="10" spans="1:8" ht="15.75" customHeight="1" x14ac:dyDescent="0.25">
      <c r="B10" s="19" t="s">
        <v>103</v>
      </c>
      <c r="C10" s="101">
        <v>0.11193637761272431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106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107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108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109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110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111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112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113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8.7242721000000009E-2</v>
      </c>
    </row>
    <row r="27" spans="1:8" ht="15.75" customHeight="1" x14ac:dyDescent="0.25">
      <c r="B27" s="19" t="s">
        <v>120</v>
      </c>
      <c r="C27" s="101">
        <v>8.310329E-3</v>
      </c>
    </row>
    <row r="28" spans="1:8" ht="15.75" customHeight="1" x14ac:dyDescent="0.25">
      <c r="B28" s="19" t="s">
        <v>121</v>
      </c>
      <c r="C28" s="101">
        <v>0.15469581399999999</v>
      </c>
    </row>
    <row r="29" spans="1:8" ht="15.75" customHeight="1" x14ac:dyDescent="0.25">
      <c r="B29" s="19" t="s">
        <v>122</v>
      </c>
      <c r="C29" s="101">
        <v>0.16579052899999999</v>
      </c>
    </row>
    <row r="30" spans="1:8" ht="15.75" customHeight="1" x14ac:dyDescent="0.25">
      <c r="B30" s="19" t="s">
        <v>2</v>
      </c>
      <c r="C30" s="101">
        <v>0.104526494</v>
      </c>
    </row>
    <row r="31" spans="1:8" ht="15.75" customHeight="1" x14ac:dyDescent="0.25">
      <c r="B31" s="19" t="s">
        <v>123</v>
      </c>
      <c r="C31" s="101">
        <v>0.110420331</v>
      </c>
    </row>
    <row r="32" spans="1:8" ht="15.75" customHeight="1" x14ac:dyDescent="0.25">
      <c r="B32" s="19" t="s">
        <v>124</v>
      </c>
      <c r="C32" s="101">
        <v>1.8469151999999999E-2</v>
      </c>
    </row>
    <row r="33" spans="2:3" ht="15.75" customHeight="1" x14ac:dyDescent="0.25">
      <c r="B33" s="19" t="s">
        <v>125</v>
      </c>
      <c r="C33" s="101">
        <v>8.2794389999999995E-2</v>
      </c>
    </row>
    <row r="34" spans="2:3" ht="15.75" customHeight="1" x14ac:dyDescent="0.25">
      <c r="B34" s="19" t="s">
        <v>126</v>
      </c>
      <c r="C34" s="101">
        <v>0.267750241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sgmgaamPvexnBEkxOHadqdClxQFdeTSfJoMcSrgtRtqjs3pj+Z/U/hUl7Ar5KsSPlKrrKFno2M6O+KBlrimuQ==" saltValue="7QThqFrLV5wsRDBsnjqj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132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133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137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138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7mWJGzMpjm/XK8469kIQX6UGLK36nJtRUt706Wj/g7gnzRUjn85EVWHuCA2YV/dlVZs+i6ZO2YIKaV9OkZ4uw==" saltValue="0gz11HECCPuRe5zvSSvf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3DJuzx7GEtfpdeKpu9H6CE7p84DF0+8F4h5fhN17Dk73Cm9r9tgL9308YUnRJGWLFkPmLGfbCrxGFIlJ+5V4zg==" saltValue="BGnp5MnSJRZPPICwpLXo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r7hOy9FIaScv5pMy3APQvadVzDydDHBZ1Euuu1xJQSyiRGk3Cw3GNUVeQOLQoS5fgE4SxYlndRXsD14ohCNxw==" saltValue="7oq0Hv2qvbiksaS5cmwl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2649.2250223064202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0.43927999999999995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0.67626999999999993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1.5615930975167995E-2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95128.978910000005</v>
      </c>
      <c r="C22" s="109">
        <v>94732.496950000001</v>
      </c>
      <c r="D22" s="109">
        <v>94379.575119999994</v>
      </c>
      <c r="E22" s="109">
        <v>93709.278040000005</v>
      </c>
      <c r="F22" s="109">
        <v>92848.231100000005</v>
      </c>
      <c r="G22" s="109">
        <v>91727.163610000003</v>
      </c>
      <c r="H22" s="109">
        <v>90243.724119999999</v>
      </c>
      <c r="I22" s="109">
        <v>88144.963329999999</v>
      </c>
      <c r="J22" s="109">
        <v>85189.271840000001</v>
      </c>
      <c r="K22" s="109">
        <v>81207.520340000003</v>
      </c>
      <c r="L22" s="109">
        <v>76029.161550000004</v>
      </c>
      <c r="M22" s="109">
        <v>69399.805600000007</v>
      </c>
      <c r="N22" s="109">
        <v>60914.607210000002</v>
      </c>
      <c r="O22" s="109">
        <v>50551.708339999997</v>
      </c>
    </row>
  </sheetData>
  <sheetProtection algorithmName="SHA-512" hashValue="6vdZrAzPiUiJw4Cig6nTRRhqOdnvYolK0rpDXXESadp0xBhvrMVJMSSSkW3e5YOIPXYaFeKyvZfCtCJrRlwSGw==" saltValue="hUW6T4M0f5aQn9BTb7Bn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2PJ32oo5K20ThTAuX8W9SrpCWjPAKSqR1lglc6bAcXFSl1YBta4g++oRMZP7VfydMWbAM+QLfU4aGZRbAYqb/w==" saltValue="Zm3fnSnL7YYFKP7rVEmX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fWOEtFOGp/dPtMqGRdhQsVzuDrykCeZ9+9MRJj5u61CmJSvm3QbX+oHgQLbMQNcS6FnCK0tziZcVMewB7rquw==" saltValue="o5BJME/ubUHtgaZRR2BV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0.19283348666053357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0.42889809999999989</v>
      </c>
      <c r="C10" s="98">
        <v>0.95</v>
      </c>
      <c r="D10" s="56">
        <v>14.30595882155956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14.30595882155956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14.30595882155956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14.30595882155956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0.42889809999999989</v>
      </c>
      <c r="C14" s="98">
        <v>0.95</v>
      </c>
      <c r="D14" s="56">
        <v>14.30595882155956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14.30595882155956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0.58754410000000001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0.38756666666666711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0.38700000000000001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0.31738060000000001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0.65203509999999998</v>
      </c>
      <c r="C23" s="98">
        <v>0.95</v>
      </c>
      <c r="D23" s="56">
        <v>4.7315906611949723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0.69423244819630592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0.42889809999999989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0.26856679999999999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0.13747470000000001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1.0200000000000001E-2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0.06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0.4818578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0.62813980000000003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1.5841299999999999E-2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0.55470759999999997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0.16031409999999999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6BCJgxELKSAmo/PFVEUQq55q79BicUUett2rvsQocYEJkDHTslscFk+mfvJTBGaUw/Maqv9t9vRl3RlMFb2ruA==" saltValue="PU98gJ5caLf6nVWqsDwG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1yUa8ZXqN/xed/ttRKu8bta4QfF7tW/d6MTnpl3UJ0+bGIzRyndcAWYlZtn69fRDK8FjnwbWGOpIk28yrbUTQ==" saltValue="gU4UWSqdB0L17U5VjotA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1MnFDkUI45b14j4t+wqwbjixP0pS6jRv6HfsT9UALuJ36iiBo5m5P+2EeeaHhquiW4jBpekkdXyuj420WIikA==" saltValue="guASHN+M5WbNwXKHhy73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2.2360000000000002</v>
      </c>
      <c r="C2" s="21">
        <f>'Données pop de l''année de ref'!C52</f>
        <v>2.2360000000000002</v>
      </c>
      <c r="D2" s="21">
        <f>'Données pop de l''année de ref'!C53</f>
        <v>6.5259999999999998</v>
      </c>
      <c r="E2" s="21">
        <f>'Données pop de l''année de ref'!C54</f>
        <v>8.84</v>
      </c>
      <c r="F2" s="21">
        <f>'Données pop de l''année de ref'!C55</f>
        <v>3.5880000000000001</v>
      </c>
    </row>
    <row r="3" spans="1:6" ht="15.75" customHeight="1" x14ac:dyDescent="0.25">
      <c r="A3" s="3" t="s">
        <v>238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237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T02UIUr/4dSOV+xtAtkKHhJ/ILW5bYVsBch5tXz44RVW16hqGYrM3WApR1lN/ZpMGbI3V7LWNFFOBjxw5+DqRQ==" saltValue="dw8Cc34OcJRLhm3OeBln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kDr7I3FpWWdxI2+5VEHCtAMYvm1qk/Omfdz652c2Rd9vFi+oScIgMTYx+6Uk8ySJdwMUwpUneCdelpM45sEQA==" saltValue="VI8GWimPbs10zZRc1OjN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U6/maZsCfm+XdwhhN6l2XQVWFDbzhd5yDf9hOYNHAnkWTqVZe+4v0bPQTSr6+eBwLVQAnhYTyjoD42a2hZ7sg==" saltValue="tkcgCajISwc1shLsx5dP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YlE2XpT/SkC5dGNb8iGuYptCi8xEGuPK1bguRlhZBHgZO0ZxZ0hdDFf23A+NEOFwqxRxhU7+jZP1oQMyaJ4Lg==" saltValue="6UKhwYiAEKNkiFyZ+BNM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X0po5RaFjXkWBXJegFMz1n/3TDUgxpLWutljxkzcYNfVS0g72AkjHGjzFyAgG6hEyyv+AXRa3+W709Xe+oqyw==" saltValue="BY+03RVES1J/ZxUCNu8r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W6toAbvsCJPbkLaVKBsIi1zUJqtKiCKBge6/A4DkVI3B/2AwFboFcE5/sTewiX8lyhRhujooMt6D/8YaKDjDJA==" saltValue="gkXXL2XhgZtcbXRNBH1d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xYfQfm4I0Zj+Bd0kGI61rGjAwnFJLIpiE6H/yCMRkRQUH7HrcSvydphBh7pb9+qX2LYsKnU9Wm9BtSeCMLRD6A==" saltValue="H7qJ999izUuYY1I2Dw+K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lrfXqHR9kUpyLL+2g+X8EyuUN2iGNn/5aoRZvuZD4/E4hQA0w66frxWG3Ns4C+OiP7GOS1LJmIs68tdS9wYkQ==" saltValue="4YaT4MhJ9ewsEXLwG08sr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T/xC+MoR4ss9izF1Hnqmr+iw0YUxVtLtWcNYd0P8gD6g+WlJ9Wmo15knMB00ybjegl0pSJhJvzklXjowOklxA==" saltValue="B9YggP5SZ9cnVc/0uU2N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RZaZZZoBFeZc5plKIxADnlcWh9N5wWE2QLxUcV16fl4AdKb6rD5V5Lm4ZpgAsPh8bB/6mff1OdlBvqgJuf9cQ==" saltValue="cBIIxrDL6vio8FHPTrGR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Tjq+IY/kF5dm1v1VBDd5dxQM9IWvz0Ocb8pITn/EaojOFE5cYzrCwdblb0nYweVd0Uro5QOfVrorMUMkUUVbg==" saltValue="I1LWTYq46a2BNKYZoc9n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EgIyCwWeyCUTyVVw1O7OAM+fMTIq+r6UCVnWTk+u/cwamPdySHixL+1i7nY6JLWDvZMV0dYgRbSYPmMNZSWpQ==" saltValue="+Gcmyayv3yH4fNP8lTbG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5mSG+SknpG0FLCKaD2nJpv5OHPYqjf46KKVRhXBlpXHcjQ+pQmrpx8gtz28FwanvPafOcrKDKz+ieeeUbdAkw==" saltValue="1+Ecnjaj+cN6tnJ2XhfK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fULucHYiwpUaK2qxC44Ev8ypkIHWGbp0+Lqaw8ysNO5ENsV2ix3GlK29Pdz8SPxrvn832doxyVbfsHw0UtjAw==" saltValue="me05En15UMRNzb7dglti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FbleqgGFekh8ltnMsLlSAJQ0iL2iJV3WvS8+H6M/XmBWnEEDTfnWARab6ePUCtQoCtkc6g5+eZY5YROeiQOmA==" saltValue="dVWucNQ33SrT9s7p2f0R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2bmsPzsoDJQ8SblWKkkiUx1W+OWbsOfCgtQrF7e0LCEuYvt4lW6SSzTrE0HDYo9wYFh3gUaiEpy6GlmH+XNGw==" saltValue="dGoHPhQOGIOF4kh1pXSWy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