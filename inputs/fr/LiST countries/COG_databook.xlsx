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8024FB6-9B98-457F-BC25-AC6ACD4BCD1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A37" i="2"/>
  <c r="A31" i="2"/>
  <c r="I6" i="2"/>
  <c r="I12" i="2"/>
  <c r="A35" i="2"/>
  <c r="I2" i="2"/>
  <c r="I8" i="2"/>
  <c r="A19" i="2"/>
  <c r="A22" i="2"/>
  <c r="A24" i="2"/>
  <c r="A40" i="2"/>
  <c r="A23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<sst xmlns="http://schemas.openxmlformats.org/spreadsheetml/2006/main" count="2169" uniqueCount="369">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</sst>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897373</v>
      </c>
    </row>
    <row r="8" spans="1:3" ht="15" customHeight="1" x14ac:dyDescent="0.25">
      <c r="B8" s="5" t="s">
        <v>37</v>
      </c>
      <c r="C8" s="44">
        <v>0.79900000000000004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0.1235</v>
      </c>
    </row>
    <row r="24" spans="1:3" ht="15" customHeight="1" x14ac:dyDescent="0.25">
      <c r="B24" s="15" t="s">
        <v>51</v>
      </c>
      <c r="C24" s="45">
        <v>0.49630000000000002</v>
      </c>
    </row>
    <row r="25" spans="1:3" ht="15" customHeight="1" x14ac:dyDescent="0.25">
      <c r="B25" s="15" t="s">
        <v>52</v>
      </c>
      <c r="C25" s="45">
        <v>0.30649999999999999</v>
      </c>
    </row>
    <row r="26" spans="1:3" ht="15" customHeight="1" x14ac:dyDescent="0.25">
      <c r="B26" s="15" t="s">
        <v>53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0.252977860168906</v>
      </c>
    </row>
    <row r="30" spans="1:3" ht="14.25" customHeight="1" x14ac:dyDescent="0.25">
      <c r="B30" s="25" t="s">
        <v>56</v>
      </c>
      <c r="C30" s="97">
        <v>3.7612008018149699E-2</v>
      </c>
    </row>
    <row r="31" spans="1:3" ht="14.25" customHeight="1" x14ac:dyDescent="0.25">
      <c r="B31" s="25" t="s">
        <v>57</v>
      </c>
      <c r="C31" s="97">
        <v>7.1064506079706297E-2</v>
      </c>
    </row>
    <row r="32" spans="1:3" ht="14.25" customHeight="1" x14ac:dyDescent="0.25">
      <c r="B32" s="25" t="s">
        <v>58</v>
      </c>
      <c r="C32" s="97">
        <v>0.63834562573323805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18.408550000000002</v>
      </c>
    </row>
    <row r="38" spans="1:5" ht="15" customHeight="1" x14ac:dyDescent="0.25">
      <c r="B38" s="11" t="s">
        <v>63</v>
      </c>
      <c r="C38" s="43">
        <v>31.978870000000001</v>
      </c>
      <c r="D38" s="12"/>
      <c r="E38" s="13"/>
    </row>
    <row r="39" spans="1:5" ht="15" customHeight="1" x14ac:dyDescent="0.25">
      <c r="B39" s="11" t="s">
        <v>64</v>
      </c>
      <c r="C39" s="43">
        <v>42.967860000000002</v>
      </c>
      <c r="D39" s="12"/>
      <c r="E39" s="12"/>
    </row>
    <row r="40" spans="1:5" ht="15" customHeight="1" x14ac:dyDescent="0.25">
      <c r="B40" s="11" t="s">
        <v>65</v>
      </c>
      <c r="C40" s="98">
        <v>2.82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7.9503999999999998E-3</v>
      </c>
      <c r="D45" s="12"/>
    </row>
    <row r="46" spans="1:5" ht="15.75" customHeight="1" x14ac:dyDescent="0.25">
      <c r="B46" s="11" t="s">
        <v>70</v>
      </c>
      <c r="C46" s="45">
        <v>8.5425500000000001E-2</v>
      </c>
      <c r="D46" s="12"/>
    </row>
    <row r="47" spans="1:5" ht="15.75" customHeight="1" x14ac:dyDescent="0.25">
      <c r="B47" s="11" t="s">
        <v>71</v>
      </c>
      <c r="C47" s="45">
        <v>7.3440000000000005E-2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2.2360000000000002</v>
      </c>
      <c r="D51" s="12"/>
    </row>
    <row r="52" spans="1:4" ht="15" customHeight="1" x14ac:dyDescent="0.25">
      <c r="B52" s="11" t="s">
        <v>75</v>
      </c>
      <c r="C52" s="98">
        <v>2.2360000000000002</v>
      </c>
    </row>
    <row r="53" spans="1:4" ht="15.75" customHeight="1" x14ac:dyDescent="0.25">
      <c r="B53" s="11" t="s">
        <v>76</v>
      </c>
      <c r="C53" s="98">
        <v>6.5259999999999998</v>
      </c>
    </row>
    <row r="54" spans="1:4" ht="15.75" customHeight="1" x14ac:dyDescent="0.25">
      <c r="B54" s="11" t="s">
        <v>77</v>
      </c>
      <c r="C54" s="98">
        <v>8.84</v>
      </c>
    </row>
    <row r="55" spans="1:4" ht="15.75" customHeight="1" x14ac:dyDescent="0.25">
      <c r="B55" s="11" t="s">
        <v>78</v>
      </c>
      <c r="C55" s="98">
        <v>3.5880000000000001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0.43557299999999988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KMaLXehK3TF3yobiQIlv2hzlAITX68t9dtbyNmevRnlckP3cSU8tsJs3cMf45GyPDy8AmjVbSbdcdd7M9nNlfA==" saltValue="txg3nwelYeYV3qlDA214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5ACXl5qXKslQDuvpZXrqhpqOR88bRd+mnePVhKh8Tz2dFDECU8EM6oOcj2CpT78+S5BZEDcGXh5hPCATt/Nkw==" saltValue="6q2Mt2YOTBs+Ok6fW2YO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8.4456983108603251E-3</v>
      </c>
    </row>
    <row r="4" spans="1:8" ht="15.75" customHeight="1" x14ac:dyDescent="0.25">
      <c r="B4" s="19" t="s">
        <v>97</v>
      </c>
      <c r="C4" s="99">
        <v>5.1272189745562052E-2</v>
      </c>
    </row>
    <row r="5" spans="1:8" ht="15.75" customHeight="1" x14ac:dyDescent="0.25">
      <c r="B5" s="19" t="s">
        <v>98</v>
      </c>
      <c r="C5" s="99">
        <v>6.2944087411182431E-2</v>
      </c>
    </row>
    <row r="6" spans="1:8" ht="15.75" customHeight="1" x14ac:dyDescent="0.25">
      <c r="B6" s="19" t="s">
        <v>99</v>
      </c>
      <c r="C6" s="99">
        <v>0.2355956528808697</v>
      </c>
    </row>
    <row r="7" spans="1:8" ht="15.75" customHeight="1" x14ac:dyDescent="0.25">
      <c r="B7" s="19" t="s">
        <v>100</v>
      </c>
      <c r="C7" s="99">
        <v>0.43809161238167749</v>
      </c>
    </row>
    <row r="8" spans="1:8" ht="15.75" customHeight="1" x14ac:dyDescent="0.25">
      <c r="B8" s="19" t="s">
        <v>101</v>
      </c>
      <c r="C8" s="99">
        <v>1.970299605940075E-3</v>
      </c>
    </row>
    <row r="9" spans="1:8" ht="15.75" customHeight="1" x14ac:dyDescent="0.25">
      <c r="B9" s="19" t="s">
        <v>102</v>
      </c>
      <c r="C9" s="99">
        <v>8.9744082051183616E-2</v>
      </c>
    </row>
    <row r="10" spans="1:8" ht="15.75" customHeight="1" x14ac:dyDescent="0.25">
      <c r="B10" s="19" t="s">
        <v>103</v>
      </c>
      <c r="C10" s="99">
        <v>0.11193637761272431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106</v>
      </c>
      <c r="C15" s="99">
        <v>0.15326983056447999</v>
      </c>
      <c r="D15" s="99">
        <v>0.15326983056447999</v>
      </c>
      <c r="E15" s="99">
        <v>0.15326983056447999</v>
      </c>
      <c r="F15" s="99">
        <v>0.15326983056447999</v>
      </c>
    </row>
    <row r="16" spans="1:8" ht="15.75" customHeight="1" x14ac:dyDescent="0.25">
      <c r="B16" s="19" t="s">
        <v>107</v>
      </c>
      <c r="C16" s="99">
        <v>2.2268862061500989E-2</v>
      </c>
      <c r="D16" s="99">
        <v>2.2268862061500989E-2</v>
      </c>
      <c r="E16" s="99">
        <v>2.2268862061500989E-2</v>
      </c>
      <c r="F16" s="99">
        <v>2.2268862061500989E-2</v>
      </c>
    </row>
    <row r="17" spans="1:8" ht="15.75" customHeight="1" x14ac:dyDescent="0.25">
      <c r="B17" s="19" t="s">
        <v>108</v>
      </c>
      <c r="C17" s="99">
        <v>2.7332395914931262E-2</v>
      </c>
      <c r="D17" s="99">
        <v>2.7332395914931262E-2</v>
      </c>
      <c r="E17" s="99">
        <v>2.7332395914931262E-2</v>
      </c>
      <c r="F17" s="99">
        <v>2.7332395914931262E-2</v>
      </c>
    </row>
    <row r="18" spans="1:8" ht="15.75" customHeight="1" x14ac:dyDescent="0.25">
      <c r="B18" s="19" t="s">
        <v>109</v>
      </c>
      <c r="C18" s="99">
        <v>0.15284026308006871</v>
      </c>
      <c r="D18" s="99">
        <v>0.15284026308006871</v>
      </c>
      <c r="E18" s="99">
        <v>0.15284026308006871</v>
      </c>
      <c r="F18" s="99">
        <v>0.15284026308006871</v>
      </c>
    </row>
    <row r="19" spans="1:8" ht="15.75" customHeight="1" x14ac:dyDescent="0.25">
      <c r="B19" s="19" t="s">
        <v>110</v>
      </c>
      <c r="C19" s="99">
        <v>2.7502017073007649E-2</v>
      </c>
      <c r="D19" s="99">
        <v>2.7502017073007649E-2</v>
      </c>
      <c r="E19" s="99">
        <v>2.7502017073007649E-2</v>
      </c>
      <c r="F19" s="99">
        <v>2.7502017073007649E-2</v>
      </c>
    </row>
    <row r="20" spans="1:8" ht="15.75" customHeight="1" x14ac:dyDescent="0.25">
      <c r="B20" s="19" t="s">
        <v>111</v>
      </c>
      <c r="C20" s="99">
        <v>0.30937499952642422</v>
      </c>
      <c r="D20" s="99">
        <v>0.30937499952642422</v>
      </c>
      <c r="E20" s="99">
        <v>0.30937499952642422</v>
      </c>
      <c r="F20" s="99">
        <v>0.30937499952642422</v>
      </c>
    </row>
    <row r="21" spans="1:8" ht="15.75" customHeight="1" x14ac:dyDescent="0.25">
      <c r="B21" s="19" t="s">
        <v>112</v>
      </c>
      <c r="C21" s="99">
        <v>7.6789989334270656E-2</v>
      </c>
      <c r="D21" s="99">
        <v>7.6789989334270656E-2</v>
      </c>
      <c r="E21" s="99">
        <v>7.6789989334270656E-2</v>
      </c>
      <c r="F21" s="99">
        <v>7.6789989334270656E-2</v>
      </c>
    </row>
    <row r="22" spans="1:8" ht="15.75" customHeight="1" x14ac:dyDescent="0.25">
      <c r="B22" s="19" t="s">
        <v>113</v>
      </c>
      <c r="C22" s="99">
        <v>0.118228894632145</v>
      </c>
      <c r="D22" s="99">
        <v>0.118228894632145</v>
      </c>
      <c r="E22" s="99">
        <v>0.118228894632145</v>
      </c>
      <c r="F22" s="99">
        <v>0.118228894632145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8.7242721000000009E-2</v>
      </c>
    </row>
    <row r="27" spans="1:8" ht="15.75" customHeight="1" x14ac:dyDescent="0.25">
      <c r="B27" s="19" t="s">
        <v>120</v>
      </c>
      <c r="C27" s="99">
        <v>8.310329E-3</v>
      </c>
    </row>
    <row r="28" spans="1:8" ht="15.75" customHeight="1" x14ac:dyDescent="0.25">
      <c r="B28" s="19" t="s">
        <v>121</v>
      </c>
      <c r="C28" s="99">
        <v>0.15469581399999999</v>
      </c>
    </row>
    <row r="29" spans="1:8" ht="15.75" customHeight="1" x14ac:dyDescent="0.25">
      <c r="B29" s="19" t="s">
        <v>122</v>
      </c>
      <c r="C29" s="99">
        <v>0.16579052899999999</v>
      </c>
    </row>
    <row r="30" spans="1:8" ht="15.75" customHeight="1" x14ac:dyDescent="0.25">
      <c r="B30" s="19" t="s">
        <v>2</v>
      </c>
      <c r="C30" s="99">
        <v>0.104526494</v>
      </c>
    </row>
    <row r="31" spans="1:8" ht="15.75" customHeight="1" x14ac:dyDescent="0.25">
      <c r="B31" s="19" t="s">
        <v>123</v>
      </c>
      <c r="C31" s="99">
        <v>0.110420331</v>
      </c>
    </row>
    <row r="32" spans="1:8" ht="15.75" customHeight="1" x14ac:dyDescent="0.25">
      <c r="B32" s="19" t="s">
        <v>124</v>
      </c>
      <c r="C32" s="99">
        <v>1.8469151999999999E-2</v>
      </c>
    </row>
    <row r="33" spans="2:3" ht="15.75" customHeight="1" x14ac:dyDescent="0.25">
      <c r="B33" s="19" t="s">
        <v>125</v>
      </c>
      <c r="C33" s="99">
        <v>8.2794389999999995E-2</v>
      </c>
    </row>
    <row r="34" spans="2:3" ht="15.75" customHeight="1" x14ac:dyDescent="0.25">
      <c r="B34" s="19" t="s">
        <v>126</v>
      </c>
      <c r="C34" s="99">
        <v>0.267750241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5ahYBIdRPJ5kuVC35i4nZzX2EltFz5zl7k+gZY5pkh2m8uj8H5PwpuX5p4270ubbuPesE0kuWtdgL2/3f6A0Uw==" saltValue="zS2zJVL5FP/W2k1qTN/7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132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133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137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138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XQSATusmDavGoXLreiiqqExxDNRy5S/btRTQiwOMSrR06nnjC8lVqh8TEIC0KAXZGtF9aPrS1AXSFnntYNTBQ==" saltValue="kiWtqHNRDPwoVoG3kuyJ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uMgI+Yczo2dqwlfDviC3T9P/KGnLGvsbu4mkhZTZZNckNDDFTBDfWG9gtxWMj5hm0T+4+IEYpsp3MwvWdD04ug==" saltValue="/PSm5u11ebi3zQW/30uN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v27EjqDxGcvEZ77zA168r6p5GXVnn8b2OyN/n+ImiSfGGjOXQPoE+Qg1wrcSghoN816MzZyB5t/vY+zWCOqYQ==" saltValue="i6aXlJYNnKkAeeAMCcan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2649.2250223064202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0.43927999999999995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0.67626999999999993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1.5615930975167995E-2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95128.978910000005</v>
      </c>
      <c r="C22" s="107">
        <v>94732.496950000001</v>
      </c>
      <c r="D22" s="107">
        <v>94379.575119999994</v>
      </c>
      <c r="E22" s="107">
        <v>93709.278040000005</v>
      </c>
      <c r="F22" s="107">
        <v>92848.231100000005</v>
      </c>
      <c r="G22" s="107">
        <v>91727.163610000003</v>
      </c>
      <c r="H22" s="107">
        <v>90243.724119999999</v>
      </c>
      <c r="I22" s="107">
        <v>88144.963329999999</v>
      </c>
      <c r="J22" s="107">
        <v>85189.271840000001</v>
      </c>
      <c r="K22" s="107">
        <v>81207.520340000003</v>
      </c>
      <c r="L22" s="107">
        <v>76029.161550000004</v>
      </c>
      <c r="M22" s="107">
        <v>69399.805600000007</v>
      </c>
      <c r="N22" s="107">
        <v>60914.607210000002</v>
      </c>
      <c r="O22" s="107">
        <v>50551.708339999997</v>
      </c>
    </row>
  </sheetData>
  <sheetProtection algorithmName="SHA-512" hashValue="2De6Eh7yXcksEHBkhbX+bGXPHeDI+XlddzHeFUo7HWPc0PQngUc1Zyx1wvqGQIApmRRTDnAHB9zKHlvGK9TOTA==" saltValue="2FUMpcA/tGyizk/ipiwX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Vc1o5UTX8HcgtBTXZxHsvuXMuVPkqUhl/kOcOJIaI6t28ZjfXaxyPll5Yn8nW1sR7BitNGUww2CQN1LYnJTOA==" saltValue="YtSPNyAuqfJNFL1iw8tm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NJUAlb1xFJMxZdTXqVCoV3STp9rt3gXdUXgn3RpQ5jKMVHknul+g1obYCxZcKEOL47bHz1tm3TNULih0pGK5g==" saltValue="olbESB2a2UtkTG810Yr+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0.19283348666053357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0.42889809999999989</v>
      </c>
      <c r="C10" s="96">
        <v>0.95</v>
      </c>
      <c r="D10" s="56">
        <v>14.30595882155956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14.30595882155956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14.30595882155956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14.30595882155956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0.42889809999999989</v>
      </c>
      <c r="C14" s="96">
        <v>0.95</v>
      </c>
      <c r="D14" s="56">
        <v>14.30595882155956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14.30595882155956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0.58754410000000001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0.38756666666666711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0.38700000000000001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0.31738060000000001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0.65203509999999998</v>
      </c>
      <c r="C23" s="96">
        <v>0.95</v>
      </c>
      <c r="D23" s="56">
        <v>4.7315906611949723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0.69423244819630592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0.42889809999999989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0.26856679999999999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0.13747470000000001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1.0200000000000001E-2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0.06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0.4818578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0.62813980000000003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1.5841299999999999E-2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0.55470759999999997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0.16031409999999999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onhFeR06RMLrHaQxnCnrE7tDNOcX7vGquQ0gn3PgTht1cM1vU9vtcHc8PayZ08x1O4G6L6RbENJkIrqCOTsRhA==" saltValue="+PB00YCz4ODKqhid7SVH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p0ZOfQytMx9XL31R5b9i5iEnkwQa3C5ZVuorA94Z4UJNWjIaZyrpsv9oqnbLoegH1E+CpWDORruWJtoUh/OKQ==" saltValue="iysUJg1ytnjjgpEMvLZn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1z0CtNlv2ZIc6L4fqb58UGFpgS6oI/73oBCl9OhSlEM+7Lqxt7+bKdn14wGGrz7v3G1Q2ZKeu4St/GKDvCo8w==" saltValue="AtFVzp7GFRXYNeFYwin2/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2.2360000000000002</v>
      </c>
      <c r="C2" s="21">
        <f>'Données pop de l''année de ref'!C52</f>
        <v>2.2360000000000002</v>
      </c>
      <c r="D2" s="21">
        <f>'Données pop de l''année de ref'!C53</f>
        <v>6.5259999999999998</v>
      </c>
      <c r="E2" s="21">
        <f>'Données pop de l''année de ref'!C54</f>
        <v>8.84</v>
      </c>
      <c r="F2" s="21">
        <f>'Données pop de l''année de ref'!C55</f>
        <v>3.5880000000000001</v>
      </c>
    </row>
    <row r="3" spans="1:6" ht="15.75" customHeight="1" x14ac:dyDescent="0.25">
      <c r="A3" s="3" t="s">
        <v>238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237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5VEAUZ9t2IdhGOWv/bSYCQdyz7VKfJ9siDPsv3nDiy0lTX4aCfXwnQr1ZPOkUvNXlQdNSP2v9MGKQxe/bzem9Q==" saltValue="CIzA6tAWgqJRJFtaL/CZ+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scs66miwR1252pT49Yj/Q7iZKj6F1pEuvQdPOI7Ko3anqZ4ym8AtkaGFXWlkPdqC/5g+YC/WVHG/zv04KYb6A==" saltValue="hUYQUf18DPili0Tdcl/J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0/M98+zYLF4TH29yI7pHSSz0O1T/aAa2zuTgEdM5tMU2gla7Ws0bC74+CqvfDxx83dkRnA7ATfBNJ6sZR28ww==" saltValue="r5eZ0Gh8S/tLOTNLBmLG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eYvpg3tT8Pt9VKJnYqU4LEdrzt23r4Sdm7akmUfKeqKVYCN6ALQjJ+n7vVvU3xUMkXw3Ci3hPt+dVmviKKWTQ==" saltValue="t/8MxLzIIlWXQbznTLxu5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/aIrsFQUoGahIZZsYPYv6EDfAuJsPd/4ZBRBsILfa8BG3Pu5cnTek3qMSRUSUmk/U6AjUt9gCTsBf2ua9aZwA==" saltValue="//WSNActdFEe98nJNc138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ucc0ZoFSV4PdsbNXBFOFpBko/5dnFT6InMfKrlB5b4hwgZnM/WxEaoLNfgJihg8KT6wzIyYlGwT72r7wk8oSw==" saltValue="dypqMboleNpk3N37QCud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mC4kwOi7y7cJ31lUn8WGTmwZGXxGNYIPOHIWcK+5eAj+LjaEc1HlZ2iJP0B1gMs4cFPIVJR212Y6ygFHPbtW7g==" saltValue="07+jHemW4cecUDS1IL/RM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EshPQn7DaeGAHPiL2vP9F+YIaw2SNOCOw0xvtr42co/4WsSh8MXegzxR9b60fnyKxa+7MmNiqvT7KZ7pJrrNw==" saltValue="JoJKdIVjIgz4QJUsSzm8P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asT48kw57IeEcTwuicyZJyPOjCuGsfOvZ+KWF8KhS2QF7q8d3uWW+ZVHpRHohlt4dOh1YJrxNZ00zVrmfFNng==" saltValue="Jhyou5nH8Vvvw+uljvVc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4ZGl+8eeVTofxslsAolZHq6AEKkMtcjXhUb6p0PIHhNmjXPWDMs69Cj0k8x05rztT70xmo+Xmk8AjhJ720ZCg==" saltValue="KRq05qFSurbz1wrXuZdj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ugzZ/awBz6bqn7xxoBjXbsob21Y9COV1hYTFRRS6bd70swbXkQFhhlgjCVLY7ipM782sNZDqeUyW3i+NXKBlA==" saltValue="LADf2V6dFX8U01/8VN4/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KHJUJS8qCZCDhYvOGKNT/IBmn+zish4lgSe/QADpEAwUhyZX7MOHeCjUOwZtZcg1e3J6h9731gxICphTc9CXg==" saltValue="AvwrQTWy3U4wNJXPDJFl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8CMeOfWWND0r0LaTYQXUiGWMxHuwxFBuzH5zfe/GT/AuENZE7VYFCvlv9tTxxQEyuB+8GhTohQE1Kk78a0IyQ==" saltValue="AXc52xTOv6zZYwXq+mBP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F3ZRWq1nvJITl3RTJkCmyaP4y/KhE8LvwSspiRsX5hslta3umHYV2dQVL5SXFthQzxGPiu0bMD1dTEYyjKVBQ==" saltValue="RN72emI5oH1IGMXGxHS2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n0iPGL8sTHITJYHInyEh01dWtqWUo83+U9EXblW2sxwyQx/oM7moYYqP8cYxGvd1Q84rHKwBGSjZl/y634VPA==" saltValue="q9mXykNiJFFUoMSLzVPX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pLBsdcs55LcTixnUBFzK7rMGBFD4lNcQbYKaRdSmJRReAygJ9zGZvcdNEzd6WTNwwdOLRAVgRJ8pvgSzU6rRA==" saltValue="BgU9RXrCPF6RZMlILPl0y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