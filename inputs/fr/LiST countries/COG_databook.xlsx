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2556D9D4-C5C3-4ACE-933C-0F315F864C1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I40" i="2" s="1"/>
  <c r="G40" i="2"/>
  <c r="H39" i="2"/>
  <c r="I39" i="2" s="1"/>
  <c r="G39" i="2"/>
  <c r="H38" i="2"/>
  <c r="I38" i="2" s="1"/>
  <c r="G38" i="2"/>
  <c r="A25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I9" i="2"/>
  <c r="H9" i="2"/>
  <c r="G9" i="2"/>
  <c r="H8" i="2"/>
  <c r="I8" i="2" s="1"/>
  <c r="G8" i="2"/>
  <c r="H7" i="2"/>
  <c r="I7" i="2" s="1"/>
  <c r="G7" i="2"/>
  <c r="I6" i="2"/>
  <c r="H6" i="2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  <c r="A2" i="2"/>
  <c r="A40" i="2" s="1"/>
  <c r="C33" i="1"/>
  <c r="C20" i="1"/>
  <c r="A17" i="2" l="1"/>
  <c r="A33" i="2"/>
  <c r="A20" i="2"/>
  <c r="A36" i="2"/>
  <c r="A28" i="2"/>
  <c r="A29" i="2"/>
  <c r="A16" i="2"/>
  <c r="A32" i="2"/>
  <c r="A21" i="2"/>
  <c r="A37" i="2"/>
  <c r="A24" i="2"/>
  <c r="A38" i="2"/>
  <c r="A15" i="2"/>
  <c r="A23" i="2"/>
  <c r="A3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19" i="2"/>
  <c r="A27" i="2"/>
  <c r="A35" i="2"/>
  <c r="A14" i="2"/>
  <c r="A22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<sst xmlns="http://schemas.openxmlformats.org/spreadsheetml/2006/main" count="2101" uniqueCount="337">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</sst>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880694.9375</v>
      </c>
    </row>
    <row r="8" spans="1:3" ht="15" customHeight="1" x14ac:dyDescent="0.25">
      <c r="B8" s="5" t="s">
        <v>19</v>
      </c>
      <c r="C8" s="44">
        <v>0.37</v>
      </c>
    </row>
    <row r="9" spans="1:3" ht="15" customHeight="1" x14ac:dyDescent="0.25">
      <c r="B9" s="5" t="s">
        <v>20</v>
      </c>
      <c r="C9" s="45">
        <v>1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0.61499999999999999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0.1235</v>
      </c>
    </row>
    <row r="24" spans="1:3" ht="15" customHeight="1" x14ac:dyDescent="0.25">
      <c r="B24" s="15" t="s">
        <v>33</v>
      </c>
      <c r="C24" s="45">
        <v>0.49630000000000002</v>
      </c>
    </row>
    <row r="25" spans="1:3" ht="15" customHeight="1" x14ac:dyDescent="0.25">
      <c r="B25" s="15" t="s">
        <v>34</v>
      </c>
      <c r="C25" s="45">
        <v>0.30649999999999999</v>
      </c>
    </row>
    <row r="26" spans="1:3" ht="15" customHeight="1" x14ac:dyDescent="0.25">
      <c r="B26" s="15" t="s">
        <v>35</v>
      </c>
      <c r="C26" s="45">
        <v>7.3700000000000002E-2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0.252977860168906</v>
      </c>
    </row>
    <row r="30" spans="1:3" ht="14.25" customHeight="1" x14ac:dyDescent="0.25">
      <c r="B30" s="25" t="s">
        <v>38</v>
      </c>
      <c r="C30" s="99">
        <v>3.7612008018149699E-2</v>
      </c>
    </row>
    <row r="31" spans="1:3" ht="14.25" customHeight="1" x14ac:dyDescent="0.25">
      <c r="B31" s="25" t="s">
        <v>39</v>
      </c>
      <c r="C31" s="99">
        <v>7.1064506079706297E-2</v>
      </c>
    </row>
    <row r="32" spans="1:3" ht="14.25" customHeight="1" x14ac:dyDescent="0.25">
      <c r="B32" s="25" t="s">
        <v>40</v>
      </c>
      <c r="C32" s="99">
        <v>0.63834562573323805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18.408550000000002</v>
      </c>
    </row>
    <row r="38" spans="1:5" ht="15" customHeight="1" x14ac:dyDescent="0.25">
      <c r="B38" s="11" t="s">
        <v>45</v>
      </c>
      <c r="C38" s="43">
        <v>31.978870000000001</v>
      </c>
      <c r="D38" s="12"/>
      <c r="E38" s="13"/>
    </row>
    <row r="39" spans="1:5" ht="15" customHeight="1" x14ac:dyDescent="0.25">
      <c r="B39" s="11" t="s">
        <v>46</v>
      </c>
      <c r="C39" s="43">
        <v>42.967860000000002</v>
      </c>
      <c r="D39" s="12"/>
      <c r="E39" s="12"/>
    </row>
    <row r="40" spans="1:5" ht="15" customHeight="1" x14ac:dyDescent="0.25">
      <c r="B40" s="11" t="s">
        <v>47</v>
      </c>
      <c r="C40" s="100">
        <v>2.82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15.75264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7.9503999999999998E-3</v>
      </c>
      <c r="D45" s="12"/>
    </row>
    <row r="46" spans="1:5" ht="15.75" customHeight="1" x14ac:dyDescent="0.25">
      <c r="B46" s="11" t="s">
        <v>52</v>
      </c>
      <c r="C46" s="45">
        <v>8.5425500000000001E-2</v>
      </c>
      <c r="D46" s="12"/>
    </row>
    <row r="47" spans="1:5" ht="15.75" customHeight="1" x14ac:dyDescent="0.25">
      <c r="B47" s="11" t="s">
        <v>53</v>
      </c>
      <c r="C47" s="45">
        <v>7.3440000000000005E-2</v>
      </c>
      <c r="D47" s="12"/>
      <c r="E47" s="13"/>
    </row>
    <row r="48" spans="1:5" ht="15" customHeight="1" x14ac:dyDescent="0.25">
      <c r="B48" s="11" t="s">
        <v>54</v>
      </c>
      <c r="C48" s="46">
        <v>0.83318409999999998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0.43557299999999988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0.11611162999999899</v>
      </c>
    </row>
    <row r="63" spans="1:4" ht="15.75" customHeight="1" x14ac:dyDescent="0.3">
      <c r="A63" s="4"/>
    </row>
  </sheetData>
  <sheetProtection algorithmName="SHA-512" hashValue="JtkarrMJZhLZ4vIFPsH4uuFpCRu8F96Tt0SAdsm/GRjKn0CH9HX7DANVbyreJ6QUf5HpAuY/dAQBN+HuPvZd9w==" saltValue="bnytNPnrQPpcGjc4P8uz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183955</v>
      </c>
      <c r="C2" s="49">
        <v>412384.5</v>
      </c>
      <c r="D2" s="49">
        <v>493604</v>
      </c>
      <c r="E2" s="49">
        <v>385542.5</v>
      </c>
      <c r="F2" s="49">
        <v>270276</v>
      </c>
      <c r="G2" s="17">
        <f t="shared" ref="G2:G13" si="0">C2+D2+E2+F2</f>
        <v>1561807</v>
      </c>
      <c r="H2" s="17">
        <f t="shared" ref="H2:H13" si="1">(B2 + stillbirth*B2/(1000-stillbirth))/(1-abortion)</f>
        <v>212385.4035303409</v>
      </c>
      <c r="I2" s="17">
        <f t="shared" ref="I2:I13" si="2">G2-H2</f>
        <v>1349421.5964696591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186720</v>
      </c>
      <c r="C3" s="50">
        <v>430845.5</v>
      </c>
      <c r="D3" s="50">
        <v>510982</v>
      </c>
      <c r="E3" s="50">
        <v>389755</v>
      </c>
      <c r="F3" s="50">
        <v>276619.5</v>
      </c>
      <c r="G3" s="17">
        <f t="shared" si="0"/>
        <v>1608202</v>
      </c>
      <c r="H3" s="17">
        <f t="shared" si="1"/>
        <v>215577.73665942898</v>
      </c>
      <c r="I3" s="17">
        <f t="shared" si="2"/>
        <v>1392624.263340571</v>
      </c>
    </row>
    <row r="4" spans="1:9" ht="15.75" customHeight="1" x14ac:dyDescent="0.25">
      <c r="A4" s="5">
        <f t="shared" si="3"/>
        <v>2026</v>
      </c>
      <c r="B4" s="49">
        <v>189879</v>
      </c>
      <c r="C4" s="50">
        <v>447804</v>
      </c>
      <c r="D4" s="50">
        <v>529908</v>
      </c>
      <c r="E4" s="50">
        <v>394632.99999999988</v>
      </c>
      <c r="F4" s="50">
        <v>283182.5</v>
      </c>
      <c r="G4" s="17">
        <f t="shared" si="0"/>
        <v>1655527.5</v>
      </c>
      <c r="H4" s="17">
        <f t="shared" si="1"/>
        <v>219224.96282752632</v>
      </c>
      <c r="I4" s="17">
        <f t="shared" si="2"/>
        <v>1436302.5371724737</v>
      </c>
    </row>
    <row r="5" spans="1:9" ht="15.75" customHeight="1" x14ac:dyDescent="0.25">
      <c r="A5" s="5">
        <f t="shared" si="3"/>
        <v>2027</v>
      </c>
      <c r="B5" s="49">
        <v>193046</v>
      </c>
      <c r="C5" s="50">
        <v>462305</v>
      </c>
      <c r="D5" s="50">
        <v>550379.00000000012</v>
      </c>
      <c r="E5" s="50">
        <v>400482</v>
      </c>
      <c r="F5" s="50">
        <v>289295.5</v>
      </c>
      <c r="G5" s="17">
        <f t="shared" si="0"/>
        <v>1702461.5</v>
      </c>
      <c r="H5" s="17">
        <f t="shared" si="1"/>
        <v>222881.4254025071</v>
      </c>
      <c r="I5" s="17">
        <f t="shared" si="2"/>
        <v>1479580.0745974928</v>
      </c>
    </row>
    <row r="6" spans="1:9" ht="15.75" customHeight="1" x14ac:dyDescent="0.25">
      <c r="A6" s="5">
        <f t="shared" si="3"/>
        <v>2028</v>
      </c>
      <c r="B6" s="49">
        <v>196934</v>
      </c>
      <c r="C6" s="50">
        <v>473431.5</v>
      </c>
      <c r="D6" s="50">
        <v>572939</v>
      </c>
      <c r="E6" s="50">
        <v>407217.5</v>
      </c>
      <c r="F6" s="50">
        <v>295145</v>
      </c>
      <c r="G6" s="17">
        <f t="shared" si="0"/>
        <v>1748733</v>
      </c>
      <c r="H6" s="17">
        <f t="shared" si="1"/>
        <v>227370.31914785766</v>
      </c>
      <c r="I6" s="17">
        <f t="shared" si="2"/>
        <v>1521362.6808521424</v>
      </c>
    </row>
    <row r="7" spans="1:9" ht="15.75" customHeight="1" x14ac:dyDescent="0.25">
      <c r="A7" s="5">
        <f t="shared" si="3"/>
        <v>2029</v>
      </c>
      <c r="B7" s="49">
        <v>200785</v>
      </c>
      <c r="C7" s="50">
        <v>481283.5</v>
      </c>
      <c r="D7" s="50">
        <v>597499.5</v>
      </c>
      <c r="E7" s="50">
        <v>414953</v>
      </c>
      <c r="F7" s="50">
        <v>300903</v>
      </c>
      <c r="G7" s="17">
        <f t="shared" si="0"/>
        <v>1794639</v>
      </c>
      <c r="H7" s="17">
        <f t="shared" si="1"/>
        <v>231816.49451137235</v>
      </c>
      <c r="I7" s="17">
        <f t="shared" si="2"/>
        <v>1562822.5054886276</v>
      </c>
    </row>
    <row r="8" spans="1:9" ht="15.75" customHeight="1" x14ac:dyDescent="0.25">
      <c r="A8" s="5">
        <f t="shared" si="3"/>
        <v>2030</v>
      </c>
      <c r="B8" s="49">
        <v>204109</v>
      </c>
      <c r="C8" s="50">
        <v>485552.5</v>
      </c>
      <c r="D8" s="50">
        <v>624250</v>
      </c>
      <c r="E8" s="50">
        <v>423798</v>
      </c>
      <c r="F8" s="50">
        <v>306323.5</v>
      </c>
      <c r="G8" s="17">
        <f t="shared" si="0"/>
        <v>1839924</v>
      </c>
      <c r="H8" s="17">
        <f t="shared" si="1"/>
        <v>235654.22157144058</v>
      </c>
      <c r="I8" s="17">
        <f t="shared" si="2"/>
        <v>1604269.7784285594</v>
      </c>
    </row>
    <row r="9" spans="1:9" ht="15.75" customHeight="1" x14ac:dyDescent="0.25">
      <c r="A9" s="5">
        <f t="shared" si="3"/>
        <v>2031</v>
      </c>
      <c r="B9" s="49">
        <v>207043</v>
      </c>
      <c r="C9" s="50">
        <v>487192.5</v>
      </c>
      <c r="D9" s="50">
        <v>651552.5</v>
      </c>
      <c r="E9" s="50">
        <v>434537.5</v>
      </c>
      <c r="F9" s="50">
        <v>311208.49999999988</v>
      </c>
      <c r="G9" s="17">
        <f t="shared" si="0"/>
        <v>1884491</v>
      </c>
      <c r="H9" s="17">
        <f t="shared" si="1"/>
        <v>239041.67379594126</v>
      </c>
      <c r="I9" s="17">
        <f t="shared" si="2"/>
        <v>1645449.3262040587</v>
      </c>
    </row>
    <row r="10" spans="1:9" ht="15.75" customHeight="1" x14ac:dyDescent="0.25">
      <c r="A10" s="5">
        <f t="shared" si="3"/>
        <v>2032</v>
      </c>
      <c r="B10" s="49">
        <v>210293</v>
      </c>
      <c r="C10" s="50">
        <v>488086.5</v>
      </c>
      <c r="D10" s="50">
        <v>677382.99999999988</v>
      </c>
      <c r="E10" s="50">
        <v>447396.99999999988</v>
      </c>
      <c r="F10" s="50">
        <v>315858</v>
      </c>
      <c r="G10" s="17">
        <f t="shared" si="0"/>
        <v>1928724.5</v>
      </c>
      <c r="H10" s="17">
        <f t="shared" si="1"/>
        <v>242793.9640923377</v>
      </c>
      <c r="I10" s="17">
        <f t="shared" si="2"/>
        <v>1685930.5359076622</v>
      </c>
    </row>
    <row r="11" spans="1:9" ht="15.75" customHeight="1" x14ac:dyDescent="0.25">
      <c r="A11" s="5">
        <f t="shared" si="3"/>
        <v>2033</v>
      </c>
      <c r="B11" s="49">
        <v>213326</v>
      </c>
      <c r="C11" s="50">
        <v>488889.5</v>
      </c>
      <c r="D11" s="50">
        <v>701885</v>
      </c>
      <c r="E11" s="50">
        <v>461480</v>
      </c>
      <c r="F11" s="50">
        <v>320598</v>
      </c>
      <c r="G11" s="17">
        <f t="shared" si="0"/>
        <v>1972852.5</v>
      </c>
      <c r="H11" s="17">
        <f t="shared" si="1"/>
        <v>246295.71685202091</v>
      </c>
      <c r="I11" s="17">
        <f t="shared" si="2"/>
        <v>1726556.7831479791</v>
      </c>
    </row>
    <row r="12" spans="1:9" ht="15.75" customHeight="1" x14ac:dyDescent="0.25">
      <c r="A12" s="5">
        <f t="shared" si="3"/>
        <v>2034</v>
      </c>
      <c r="B12" s="49">
        <v>216442</v>
      </c>
      <c r="C12" s="50">
        <v>490301.50000000012</v>
      </c>
      <c r="D12" s="50">
        <v>724222.5</v>
      </c>
      <c r="E12" s="50">
        <v>476981</v>
      </c>
      <c r="F12" s="50">
        <v>324649.5</v>
      </c>
      <c r="G12" s="17">
        <f t="shared" si="0"/>
        <v>2016154.5</v>
      </c>
      <c r="H12" s="17">
        <f t="shared" si="1"/>
        <v>249893.29733311976</v>
      </c>
      <c r="I12" s="17">
        <f t="shared" si="2"/>
        <v>1766261.2026668803</v>
      </c>
    </row>
    <row r="13" spans="1:9" ht="15.75" customHeight="1" x14ac:dyDescent="0.25">
      <c r="A13" s="5">
        <f t="shared" si="3"/>
        <v>2035</v>
      </c>
      <c r="B13" s="49">
        <v>219066</v>
      </c>
      <c r="C13" s="50">
        <v>492401</v>
      </c>
      <c r="D13" s="50">
        <v>744061.5</v>
      </c>
      <c r="E13" s="50">
        <v>494126.5</v>
      </c>
      <c r="F13" s="50">
        <v>328139</v>
      </c>
      <c r="G13" s="17">
        <f t="shared" si="0"/>
        <v>2058728</v>
      </c>
      <c r="H13" s="17">
        <f t="shared" si="1"/>
        <v>252922.83879088724</v>
      </c>
      <c r="I13" s="17">
        <f t="shared" si="2"/>
        <v>1805805.1612091127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aC/ux0IImNtmNtiuDkgtUvlrvOye9oXnNmxlQ6My1mo8bsC1k8dEuXTZjzL4hbbSg7Zv37WMMPGaAa00xLUGQ==" saltValue="CzRR0XLldkZk8SS6pACF1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8.4456983108603251E-3</v>
      </c>
    </row>
    <row r="4" spans="1:8" ht="15.75" customHeight="1" x14ac:dyDescent="0.25">
      <c r="B4" s="19" t="s">
        <v>79</v>
      </c>
      <c r="C4" s="101">
        <v>5.1272189745562052E-2</v>
      </c>
    </row>
    <row r="5" spans="1:8" ht="15.75" customHeight="1" x14ac:dyDescent="0.25">
      <c r="B5" s="19" t="s">
        <v>80</v>
      </c>
      <c r="C5" s="101">
        <v>6.2944087411182431E-2</v>
      </c>
    </row>
    <row r="6" spans="1:8" ht="15.75" customHeight="1" x14ac:dyDescent="0.25">
      <c r="B6" s="19" t="s">
        <v>81</v>
      </c>
      <c r="C6" s="101">
        <v>0.2355956528808697</v>
      </c>
    </row>
    <row r="7" spans="1:8" ht="15.75" customHeight="1" x14ac:dyDescent="0.25">
      <c r="B7" s="19" t="s">
        <v>82</v>
      </c>
      <c r="C7" s="101">
        <v>0.43809161238167749</v>
      </c>
    </row>
    <row r="8" spans="1:8" ht="15.75" customHeight="1" x14ac:dyDescent="0.25">
      <c r="B8" s="19" t="s">
        <v>83</v>
      </c>
      <c r="C8" s="101">
        <v>1.970299605940075E-3</v>
      </c>
    </row>
    <row r="9" spans="1:8" ht="15.75" customHeight="1" x14ac:dyDescent="0.25">
      <c r="B9" s="19" t="s">
        <v>84</v>
      </c>
      <c r="C9" s="101">
        <v>8.9744082051183616E-2</v>
      </c>
    </row>
    <row r="10" spans="1:8" ht="15.75" customHeight="1" x14ac:dyDescent="0.25">
      <c r="B10" s="19" t="s">
        <v>85</v>
      </c>
      <c r="C10" s="101">
        <v>0.11193637761272431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0.1123927478131716</v>
      </c>
      <c r="D14" s="55">
        <v>0.1123927478131716</v>
      </c>
      <c r="E14" s="55">
        <v>0.1123927478131716</v>
      </c>
      <c r="F14" s="55">
        <v>0.1123927478131716</v>
      </c>
    </row>
    <row r="15" spans="1:8" ht="15.75" customHeight="1" x14ac:dyDescent="0.25">
      <c r="B15" s="19" t="s">
        <v>88</v>
      </c>
      <c r="C15" s="101">
        <v>0.15326983056447999</v>
      </c>
      <c r="D15" s="101">
        <v>0.15326983056447999</v>
      </c>
      <c r="E15" s="101">
        <v>0.15326983056447999</v>
      </c>
      <c r="F15" s="101">
        <v>0.15326983056447999</v>
      </c>
    </row>
    <row r="16" spans="1:8" ht="15.75" customHeight="1" x14ac:dyDescent="0.25">
      <c r="B16" s="19" t="s">
        <v>89</v>
      </c>
      <c r="C16" s="101">
        <v>2.2268862061500989E-2</v>
      </c>
      <c r="D16" s="101">
        <v>2.2268862061500989E-2</v>
      </c>
      <c r="E16" s="101">
        <v>2.2268862061500989E-2</v>
      </c>
      <c r="F16" s="101">
        <v>2.2268862061500989E-2</v>
      </c>
    </row>
    <row r="17" spans="1:8" ht="15.75" customHeight="1" x14ac:dyDescent="0.25">
      <c r="B17" s="19" t="s">
        <v>90</v>
      </c>
      <c r="C17" s="101">
        <v>2.7332395914931262E-2</v>
      </c>
      <c r="D17" s="101">
        <v>2.7332395914931262E-2</v>
      </c>
      <c r="E17" s="101">
        <v>2.7332395914931262E-2</v>
      </c>
      <c r="F17" s="101">
        <v>2.7332395914931262E-2</v>
      </c>
    </row>
    <row r="18" spans="1:8" ht="15.75" customHeight="1" x14ac:dyDescent="0.25">
      <c r="B18" s="19" t="s">
        <v>91</v>
      </c>
      <c r="C18" s="101">
        <v>0.15284026308006871</v>
      </c>
      <c r="D18" s="101">
        <v>0.15284026308006871</v>
      </c>
      <c r="E18" s="101">
        <v>0.15284026308006871</v>
      </c>
      <c r="F18" s="101">
        <v>0.15284026308006871</v>
      </c>
    </row>
    <row r="19" spans="1:8" ht="15.75" customHeight="1" x14ac:dyDescent="0.25">
      <c r="B19" s="19" t="s">
        <v>92</v>
      </c>
      <c r="C19" s="101">
        <v>2.7502017073007649E-2</v>
      </c>
      <c r="D19" s="101">
        <v>2.7502017073007649E-2</v>
      </c>
      <c r="E19" s="101">
        <v>2.7502017073007649E-2</v>
      </c>
      <c r="F19" s="101">
        <v>2.7502017073007649E-2</v>
      </c>
    </row>
    <row r="20" spans="1:8" ht="15.75" customHeight="1" x14ac:dyDescent="0.25">
      <c r="B20" s="19" t="s">
        <v>93</v>
      </c>
      <c r="C20" s="101">
        <v>0.30937499952642422</v>
      </c>
      <c r="D20" s="101">
        <v>0.30937499952642422</v>
      </c>
      <c r="E20" s="101">
        <v>0.30937499952642422</v>
      </c>
      <c r="F20" s="101">
        <v>0.30937499952642422</v>
      </c>
    </row>
    <row r="21" spans="1:8" ht="15.75" customHeight="1" x14ac:dyDescent="0.25">
      <c r="B21" s="19" t="s">
        <v>94</v>
      </c>
      <c r="C21" s="101">
        <v>7.6789989334270656E-2</v>
      </c>
      <c r="D21" s="101">
        <v>7.6789989334270656E-2</v>
      </c>
      <c r="E21" s="101">
        <v>7.6789989334270656E-2</v>
      </c>
      <c r="F21" s="101">
        <v>7.6789989334270656E-2</v>
      </c>
    </row>
    <row r="22" spans="1:8" ht="15.75" customHeight="1" x14ac:dyDescent="0.25">
      <c r="B22" s="19" t="s">
        <v>95</v>
      </c>
      <c r="C22" s="101">
        <v>0.118228894632145</v>
      </c>
      <c r="D22" s="101">
        <v>0.118228894632145</v>
      </c>
      <c r="E22" s="101">
        <v>0.118228894632145</v>
      </c>
      <c r="F22" s="101">
        <v>0.118228894632145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8.7242721000000009E-2</v>
      </c>
    </row>
    <row r="27" spans="1:8" ht="15.75" customHeight="1" x14ac:dyDescent="0.25">
      <c r="B27" s="19" t="s">
        <v>102</v>
      </c>
      <c r="C27" s="101">
        <v>8.310329E-3</v>
      </c>
    </row>
    <row r="28" spans="1:8" ht="15.75" customHeight="1" x14ac:dyDescent="0.25">
      <c r="B28" s="19" t="s">
        <v>103</v>
      </c>
      <c r="C28" s="101">
        <v>0.15469581399999999</v>
      </c>
    </row>
    <row r="29" spans="1:8" ht="15.75" customHeight="1" x14ac:dyDescent="0.25">
      <c r="B29" s="19" t="s">
        <v>104</v>
      </c>
      <c r="C29" s="101">
        <v>0.16579052899999999</v>
      </c>
    </row>
    <row r="30" spans="1:8" ht="15.75" customHeight="1" x14ac:dyDescent="0.25">
      <c r="B30" s="19" t="s">
        <v>2</v>
      </c>
      <c r="C30" s="101">
        <v>0.104526494</v>
      </c>
    </row>
    <row r="31" spans="1:8" ht="15.75" customHeight="1" x14ac:dyDescent="0.25">
      <c r="B31" s="19" t="s">
        <v>105</v>
      </c>
      <c r="C31" s="101">
        <v>0.110420331</v>
      </c>
    </row>
    <row r="32" spans="1:8" ht="15.75" customHeight="1" x14ac:dyDescent="0.25">
      <c r="B32" s="19" t="s">
        <v>106</v>
      </c>
      <c r="C32" s="101">
        <v>1.8469151999999999E-2</v>
      </c>
    </row>
    <row r="33" spans="2:3" ht="15.75" customHeight="1" x14ac:dyDescent="0.25">
      <c r="B33" s="19" t="s">
        <v>107</v>
      </c>
      <c r="C33" s="101">
        <v>8.2794389999999995E-2</v>
      </c>
    </row>
    <row r="34" spans="2:3" ht="15.75" customHeight="1" x14ac:dyDescent="0.25">
      <c r="B34" s="19" t="s">
        <v>108</v>
      </c>
      <c r="C34" s="101">
        <v>0.267750241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ozf3nlFx3IXRRpuBcMG6As/gi8VFZhSu/BFouCNck+C8NhhrqCFRmYJ24uJ9xEi4g4MkYgJpzu/BIJOaYI7nqQ==" saltValue="zkvaHiGF+cPBmWJ58vSvQ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0.48270869608812705</v>
      </c>
      <c r="D2" s="52">
        <f>IFERROR(1-_xlfn.NORM.DIST(_xlfn.NORM.INV(SUM(D4:D5), 0, 1) + 1, 0, 1, TRUE), "")</f>
        <v>0.48270869608812705</v>
      </c>
      <c r="E2" s="52">
        <f>IFERROR(1-_xlfn.NORM.DIST(_xlfn.NORM.INV(SUM(E4:E5), 0, 1) + 1, 0, 1, TRUE), "")</f>
        <v>0.498055716174997</v>
      </c>
      <c r="F2" s="52">
        <f>IFERROR(1-_xlfn.NORM.DIST(_xlfn.NORM.INV(SUM(F4:F5), 0, 1) + 1, 0, 1, TRUE), "")</f>
        <v>0.36750162542661646</v>
      </c>
      <c r="G2" s="52">
        <f>IFERROR(1-_xlfn.NORM.DIST(_xlfn.NORM.INV(SUM(G4:G5), 0, 1) + 1, 0, 1, TRUE), "")</f>
        <v>0.41458123488376053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0.34791770391187293</v>
      </c>
      <c r="D3" s="52">
        <f>IFERROR(_xlfn.NORM.DIST(_xlfn.NORM.INV(SUM(D4:D5), 0, 1) + 1, 0, 1, TRUE) - SUM(D4:D5), "")</f>
        <v>0.34791770391187293</v>
      </c>
      <c r="E3" s="52">
        <f>IFERROR(_xlfn.NORM.DIST(_xlfn.NORM.INV(SUM(E4:E5), 0, 1) + 1, 0, 1, TRUE) - SUM(E4:E5), "")</f>
        <v>0.34210688382500298</v>
      </c>
      <c r="F3" s="52">
        <f>IFERROR(_xlfn.NORM.DIST(_xlfn.NORM.INV(SUM(F4:F5), 0, 1) + 1, 0, 1, TRUE) - SUM(F4:F5), "")</f>
        <v>0.37835967457338354</v>
      </c>
      <c r="G3" s="52">
        <f>IFERROR(_xlfn.NORM.DIST(_xlfn.NORM.INV(SUM(G4:G5), 0, 1) + 1, 0, 1, TRUE) - SUM(G4:G5), "")</f>
        <v>0.36896446511623948</v>
      </c>
    </row>
    <row r="4" spans="1:15" ht="15.75" customHeight="1" x14ac:dyDescent="0.25">
      <c r="B4" s="5" t="s">
        <v>114</v>
      </c>
      <c r="C4" s="45">
        <v>8.6367200000000005E-2</v>
      </c>
      <c r="D4" s="53">
        <v>8.6367200000000005E-2</v>
      </c>
      <c r="E4" s="53">
        <v>9.8844899999999999E-2</v>
      </c>
      <c r="F4" s="53">
        <v>0.1599563</v>
      </c>
      <c r="G4" s="53">
        <v>0.1336146</v>
      </c>
    </row>
    <row r="5" spans="1:15" ht="15.75" customHeight="1" x14ac:dyDescent="0.25">
      <c r="B5" s="5" t="s">
        <v>115</v>
      </c>
      <c r="C5" s="45">
        <v>8.3006399999999994E-2</v>
      </c>
      <c r="D5" s="53">
        <v>8.3006399999999994E-2</v>
      </c>
      <c r="E5" s="53">
        <v>6.0992499999999998E-2</v>
      </c>
      <c r="F5" s="53">
        <v>9.4182400000000013E-2</v>
      </c>
      <c r="G5" s="53">
        <v>8.2839700000000002E-2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0.59428256100402543</v>
      </c>
      <c r="D8" s="52">
        <f>IFERROR(1-_xlfn.NORM.DIST(_xlfn.NORM.INV(SUM(D10:D11), 0, 1) + 1, 0, 1, TRUE), "")</f>
        <v>0.59428256100402543</v>
      </c>
      <c r="E8" s="52">
        <f>IFERROR(1-_xlfn.NORM.DIST(_xlfn.NORM.INV(SUM(E10:E11), 0, 1) + 1, 0, 1, TRUE), "")</f>
        <v>0.53278074796459707</v>
      </c>
      <c r="F8" s="52">
        <f>IFERROR(1-_xlfn.NORM.DIST(_xlfn.NORM.INV(SUM(F10:F11), 0, 1) + 1, 0, 1, TRUE), "")</f>
        <v>0.61007710559188455</v>
      </c>
      <c r="G8" s="52">
        <f>IFERROR(1-_xlfn.NORM.DIST(_xlfn.NORM.INV(SUM(G10:G11), 0, 1) + 1, 0, 1, TRUE), "")</f>
        <v>0.70760477137776123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0.29796603899597451</v>
      </c>
      <c r="D9" s="52">
        <f>IFERROR(_xlfn.NORM.DIST(_xlfn.NORM.INV(SUM(D10:D11), 0, 1) + 1, 0, 1, TRUE) - SUM(D10:D11), "")</f>
        <v>0.29796603899597451</v>
      </c>
      <c r="E9" s="52">
        <f>IFERROR(_xlfn.NORM.DIST(_xlfn.NORM.INV(SUM(E10:E11), 0, 1) + 1, 0, 1, TRUE) - SUM(E10:E11), "")</f>
        <v>0.32765115203540296</v>
      </c>
      <c r="F9" s="52">
        <f>IFERROR(_xlfn.NORM.DIST(_xlfn.NORM.INV(SUM(F10:F11), 0, 1) + 1, 0, 1, TRUE) - SUM(F10:F11), "")</f>
        <v>0.28956589440811542</v>
      </c>
      <c r="G9" s="52">
        <f>IFERROR(_xlfn.NORM.DIST(_xlfn.NORM.INV(SUM(G10:G11), 0, 1) + 1, 0, 1, TRUE) - SUM(G10:G11), "")</f>
        <v>0.23139132862223877</v>
      </c>
    </row>
    <row r="10" spans="1:15" ht="15.75" customHeight="1" x14ac:dyDescent="0.25">
      <c r="B10" s="5" t="s">
        <v>119</v>
      </c>
      <c r="C10" s="45">
        <v>5.7529700000000003E-2</v>
      </c>
      <c r="D10" s="53">
        <v>5.7529700000000003E-2</v>
      </c>
      <c r="E10" s="53">
        <v>0.1063573</v>
      </c>
      <c r="F10" s="53">
        <v>7.1620900000000001E-2</v>
      </c>
      <c r="G10" s="53">
        <v>4.0063399999999999E-2</v>
      </c>
    </row>
    <row r="11" spans="1:15" ht="15.75" customHeight="1" x14ac:dyDescent="0.25">
      <c r="B11" s="5" t="s">
        <v>120</v>
      </c>
      <c r="C11" s="45">
        <v>5.0221700000000001E-2</v>
      </c>
      <c r="D11" s="53">
        <v>5.0221700000000001E-2</v>
      </c>
      <c r="E11" s="53">
        <v>3.3210799999999999E-2</v>
      </c>
      <c r="F11" s="53">
        <v>2.8736100000000001E-2</v>
      </c>
      <c r="G11" s="53">
        <v>2.0940500000000001E-2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0.79055180075000009</v>
      </c>
      <c r="D14" s="54">
        <v>0.79020438761099998</v>
      </c>
      <c r="E14" s="54">
        <v>0.79020438761099998</v>
      </c>
      <c r="F14" s="54">
        <v>0.561116893728</v>
      </c>
      <c r="G14" s="54">
        <v>0.561116893728</v>
      </c>
      <c r="H14" s="45">
        <v>0.57200000000000006</v>
      </c>
      <c r="I14" s="55">
        <v>0.57200000000000006</v>
      </c>
      <c r="J14" s="55">
        <v>0.57200000000000006</v>
      </c>
      <c r="K14" s="55">
        <v>0.57200000000000006</v>
      </c>
      <c r="L14" s="45">
        <v>0.51300000000000001</v>
      </c>
      <c r="M14" s="55">
        <v>0.51300000000000001</v>
      </c>
      <c r="N14" s="55">
        <v>0.51300000000000001</v>
      </c>
      <c r="O14" s="55">
        <v>0.51300000000000001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0.34434301950807972</v>
      </c>
      <c r="D15" s="52">
        <f t="shared" si="0"/>
        <v>0.344191695724886</v>
      </c>
      <c r="E15" s="52">
        <f t="shared" si="0"/>
        <v>0.344191695724886</v>
      </c>
      <c r="F15" s="52">
        <f t="shared" si="0"/>
        <v>0.24440736875178606</v>
      </c>
      <c r="G15" s="52">
        <f t="shared" si="0"/>
        <v>0.24440736875178606</v>
      </c>
      <c r="H15" s="52">
        <f t="shared" si="0"/>
        <v>0.24914775599999997</v>
      </c>
      <c r="I15" s="52">
        <f t="shared" si="0"/>
        <v>0.24914775599999997</v>
      </c>
      <c r="J15" s="52">
        <f t="shared" si="0"/>
        <v>0.24914775599999997</v>
      </c>
      <c r="K15" s="52">
        <f t="shared" si="0"/>
        <v>0.24914775599999997</v>
      </c>
      <c r="L15" s="52">
        <f t="shared" si="0"/>
        <v>0.22344894899999995</v>
      </c>
      <c r="M15" s="52">
        <f t="shared" si="0"/>
        <v>0.22344894899999995</v>
      </c>
      <c r="N15" s="52">
        <f t="shared" si="0"/>
        <v>0.22344894899999995</v>
      </c>
      <c r="O15" s="52">
        <f t="shared" si="0"/>
        <v>0.22344894899999995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Jkb9XfC6mdoT9/OP6qZOahMNtXlpHu7ue3xdMJoT6YD75rPPSQP/rdzaNNGewOo9MtXkVXp1TkoHwuR5e/Gv5g==" saltValue="iJd+kMVlDBYKK3U2/sre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0.55745990000000001</v>
      </c>
      <c r="D2" s="53">
        <v>0.31738060000000001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0.28768739999999998</v>
      </c>
      <c r="D3" s="53">
        <v>0.29307539999999999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0.15165500000000001</v>
      </c>
      <c r="D4" s="53">
        <v>0.36726730000000002</v>
      </c>
      <c r="E4" s="53">
        <v>0.90440189999999998</v>
      </c>
      <c r="F4" s="53">
        <v>0.32328810000000002</v>
      </c>
      <c r="G4" s="53">
        <v>0</v>
      </c>
    </row>
    <row r="5" spans="1:7" x14ac:dyDescent="0.25">
      <c r="B5" s="3" t="s">
        <v>132</v>
      </c>
      <c r="C5" s="52">
        <v>3.1976999999999999E-3</v>
      </c>
      <c r="D5" s="52">
        <v>2.2276799999999999E-2</v>
      </c>
      <c r="E5" s="52">
        <f>1-SUM(E2:E4)</f>
        <v>9.5598100000000019E-2</v>
      </c>
      <c r="F5" s="52">
        <f>1-SUM(F2:F4)</f>
        <v>0.67671189999999992</v>
      </c>
      <c r="G5" s="52">
        <f>1-SUM(G2:G4)</f>
        <v>1</v>
      </c>
    </row>
  </sheetData>
  <sheetProtection algorithmName="SHA-512" hashValue="if/TaiU4C52EcKbVCQsv3evtoUb3NGDP/O5nnk7CVwWYhXbHNNfV7YZNOi6aC5ZDh5FVrWNn03dhsbUtNvu85A==" saltValue="IeVzDjfZZFaZM39dzWmXy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cOy0WX8mtVinV/5Q2eG3ZTAY2Fi7xhER0MKHuH30srfb47Z4CfizrGxKNnatKffh2fVo3GVuuOvLa3PLFMesQ==" saltValue="8YVAiKvc0RIzrtKI33JyW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lSyp6mYkSkeuVHN3U+nXvcQMDIFxx7k04D3OTgfaz++gmR8QhQTzh8o5uaSiNWlS3PlA5fkaIYwQzkRQA4f+4w==" saltValue="zEfrNkCSP5xSJnObP8Jw7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OcLyUIGdzvI2b8n7Rsu88RZ517kgze2RnjvczivZjzMKE0CEH3bsk0fXYmlPOvj9OhjNLPVILBgiFF5vc6PezA==" saltValue="ByA7vlVpRJex4QzudqZrz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bGvfpQDKDK0o9XacPErXxxVOlEhI8/fy5w3A/FwuIT/DOR5/gcX3g1/436L00Ph4vl6RBSht1rGV2gKr6v6jwg==" saltValue="6u/rS9l7B2MlnGj7N7ObZ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0.43747029323868469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0.16283867355037329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0.42889809999999989</v>
      </c>
      <c r="C10" s="98">
        <v>0.95</v>
      </c>
      <c r="D10" s="56">
        <v>14.30595882155956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14.30595882155956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14.30595882155956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14.30595882155956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0.42889809999999989</v>
      </c>
      <c r="C14" s="98">
        <v>0.95</v>
      </c>
      <c r="D14" s="56">
        <v>14.30595882155956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14.30595882155956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0.58754410000000001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0.38756666666666711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0.38700000000000001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0.31738060000000001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24.449881392318659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0.65203509999999998</v>
      </c>
      <c r="C23" s="98">
        <v>0.95</v>
      </c>
      <c r="D23" s="56">
        <v>4.7315906611949723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0.69423244819630592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0.42889809999999989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0.26856679999999999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0.13747470000000001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1.0200000000000001E-2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0.79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0.4818578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0.62813980000000003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1.5841299999999999E-2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0.55470759999999997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0.16031409999999999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I19jVxCqPBjt1UbW73QXP1y/sPUPCKRIgwn4M3PdN8msgn3rKq96VSyoLhfH+oFsVzDhl/e6wTSLVxwM6MWKbw==" saltValue="JFxz74pT/zoEEAASSnxe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4i0b98xLPugTYKFb16bIWnGUGnBwRqFbfAVN5mbmwaHlZgQ6WGeo1kwTXRrEmyzF1Zv4okPoF4Ehb3FxAl1jOQ==" saltValue="ByFunBqsiOaRX2lXQkQU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onQefBS1WDVNfYzlnYLZs/IYBJiC6qj4jdLbf8JibOwJs/sQS0AxjHH4yQd9sf/HDSVqt/iscN8Epnk04uIZfA==" saltValue="Y1rdK4PYk91i3Bjh3Id3A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0.14957722000000001</v>
      </c>
      <c r="C3" s="21">
        <f>frac_mam_1_5months * 2.6</f>
        <v>0.14957722000000001</v>
      </c>
      <c r="D3" s="21">
        <f>frac_mam_6_11months * 2.6</f>
        <v>0.27652898000000004</v>
      </c>
      <c r="E3" s="21">
        <f>frac_mam_12_23months * 2.6</f>
        <v>0.18621434000000001</v>
      </c>
      <c r="F3" s="21">
        <f>frac_mam_24_59months * 2.6</f>
        <v>0.10416483999999999</v>
      </c>
    </row>
    <row r="4" spans="1:6" ht="15.75" customHeight="1" x14ac:dyDescent="0.25">
      <c r="A4" s="3" t="s">
        <v>208</v>
      </c>
      <c r="B4" s="21">
        <f>frac_sam_1month * 2.6</f>
        <v>0.13057642</v>
      </c>
      <c r="C4" s="21">
        <f>frac_sam_1_5months * 2.6</f>
        <v>0.13057642</v>
      </c>
      <c r="D4" s="21">
        <f>frac_sam_6_11months * 2.6</f>
        <v>8.6348079999999994E-2</v>
      </c>
      <c r="E4" s="21">
        <f>frac_sam_12_23months * 2.6</f>
        <v>7.4713860000000007E-2</v>
      </c>
      <c r="F4" s="21">
        <f>frac_sam_24_59months * 2.6</f>
        <v>5.4445300000000002E-2</v>
      </c>
    </row>
  </sheetData>
  <sheetProtection algorithmName="SHA-512" hashValue="/iBSLb09OeCbUMi0Sl7M9C6IjZOVli2Hh88JrXC5pO6oeqJS4n+jmh4lTTPOw1N2jkFO8vXszop7yGkpGbnclQ==" saltValue="NGctz4JV/qJB7yNv7im0m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0.37</v>
      </c>
      <c r="E2" s="60">
        <f>food_insecure</f>
        <v>0.37</v>
      </c>
      <c r="F2" s="60">
        <f>food_insecure</f>
        <v>0.37</v>
      </c>
      <c r="G2" s="60">
        <f>food_insecure</f>
        <v>0.37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0.37</v>
      </c>
      <c r="F5" s="60">
        <f>food_insecure</f>
        <v>0.37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0.37</v>
      </c>
      <c r="F8" s="60">
        <f>food_insecure</f>
        <v>0.37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0.37</v>
      </c>
      <c r="F9" s="60">
        <f>food_insecure</f>
        <v>0.37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0.37</v>
      </c>
      <c r="I15" s="60">
        <f>food_insecure</f>
        <v>0.37</v>
      </c>
      <c r="J15" s="60">
        <f>food_insecure</f>
        <v>0.37</v>
      </c>
      <c r="K15" s="60">
        <f>food_insecure</f>
        <v>0.37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0.61499999999999999</v>
      </c>
      <c r="M24" s="60">
        <f>famplan_unmet_need</f>
        <v>0.61499999999999999</v>
      </c>
      <c r="N24" s="60">
        <f>famplan_unmet_need</f>
        <v>0.61499999999999999</v>
      </c>
      <c r="O24" s="60">
        <f>famplan_unmet_need</f>
        <v>0.61499999999999999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0.38261094622884007</v>
      </c>
      <c r="M25" s="60">
        <f>(1-food_insecure)*(0.49)+food_insecure*(0.7)</f>
        <v>0.56769999999999998</v>
      </c>
      <c r="N25" s="60">
        <f>(1-food_insecure)*(0.49)+food_insecure*(0.7)</f>
        <v>0.56769999999999998</v>
      </c>
      <c r="O25" s="60">
        <f>(1-food_insecure)*(0.49)+food_insecure*(0.7)</f>
        <v>0.56769999999999998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0.16397611981236002</v>
      </c>
      <c r="M26" s="60">
        <f>(1-food_insecure)*(0.21)+food_insecure*(0.3)</f>
        <v>0.24330000000000002</v>
      </c>
      <c r="N26" s="60">
        <f>(1-food_insecure)*(0.21)+food_insecure*(0.3)</f>
        <v>0.24330000000000002</v>
      </c>
      <c r="O26" s="60">
        <f>(1-food_insecure)*(0.21)+food_insecure*(0.3)</f>
        <v>0.24330000000000002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0.12737972315880003</v>
      </c>
      <c r="M27" s="60">
        <f>(1-food_insecure)*(0.3)</f>
        <v>0.189</v>
      </c>
      <c r="N27" s="60">
        <f>(1-food_insecure)*(0.3)</f>
        <v>0.189</v>
      </c>
      <c r="O27" s="60">
        <f>(1-food_insecure)*(0.3)</f>
        <v>0.189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T5rTFu+D/N1L6KfXBdqAQDa7/Lrba7lIGU4ZhKcf6KSVm24MEvwYgWClvLzih55hPlqS4xmbSghlZ+ohr51Tw==" saltValue="85eQCvlFsP0nrSamB944W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vTPdJjSfL40dQXvAewW5B3ASD0nQDjUPMgyVME8yeC0wN4GVmS3Dx2Zw3ktcjVY1lpwAn+cQ1njRllXcqDiGqw==" saltValue="g2xzG6ZNJfbTEleEriDeE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T53FPe2ZAgH43KHEuy3nENS6+grY3v+VvZ98R/oKkih8zgEFFtiy9vlwrxyE83GvPJCXHn8ugQaQfBvwJoStvA==" saltValue="63QxF2YoQ5e/piGVDyv4F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tQIE5EQs2EBTKEZwAXFSK70RiFYy/xiCTaV8NTFWLstm3fBYtdUVOmOvGWnOjZeJuNHWz9OQ7MBT6clO5hlsQ==" saltValue="BRngEGgQ0jXVPhq6XAiqW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ho3JC6WtUpqsAz6yqoSF3RFOLlezfm1cxbltRXznuEmRwcG0h1asLb1w6NCCLK3wyjchrvBgHMyXeUzCDsxujA==" saltValue="typTideIX2HSvlDwYxTY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MeiVGHAkFDCOVDBc1VHqKpdF56eNmhxlO/LT4s4u1XN2mMt6YAVEXgthx2iSenJGfNLHsfDwfAxnBp/VPt5/lw==" saltValue="U3uZLb7+eQJEHVlSuCRUH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d5Q8QxLr99iW8dCrj7q/hgvfzYmLMO2lIIpyMZuI+gKGQY70tA9XjM4uWv7tF7Eg9qANH52MR0hQ/QOO0qpeQ==" saltValue="Q06f94c3a+6R8c8Bx6OW7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zqPFVeSsb0UFaruiXriSL2CP8ljIctbZSfh1KQ8YiKRYrQYAMB6aJ+CPVsKbC0jvb8nt7FRCfwAUZ0RPS7Nmg==" saltValue="Lv2Z2ZbR56x81jMrCXQn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z0laGrIdpKg00ehG6OYv8o7CLHMKn5PumPss/9p3EKPcuYTeG7EDW6ya1vuVHHYpgn+8o8a/eElldpQDMhZug==" saltValue="GOAbV+j0NYniyG+5YkhL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6v0OGmDeLBr1itloxmaPOITRwZftGfaJXKQbCAqvPfB9jK8QVmpAE/tFgmOJPeVTsIplrSOpsYGZFmuuNt+6g==" saltValue="1TmCDzsfwE4SiAW05dwS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Xc+cv5GJH8Q81OccrVuBnZhAdQKOVPHGhbCfbRbJ/03wRua9Aw3+aT/ybQXm6IYmlpT1DGS0CAuEEq6qQO7YWQ==" saltValue="FXF8aTxlgms2oSCZLPob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EqAk3CQ6LYEJWP3F+wHNCqS0zQooUh8YF17o1Kg3KsBCEQ9OjwczJvKYL5ScaVd06TNSKUP07SycFhFp4bz+Q==" saltValue="PCjJB4GAW8DWR2/KcO3M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BAhVvR1fw1NCUNlyUgtfGcy7tVi5fLk86mOV9GXM78h4z0RUXK6kNcU8sP/B7lqYF5iz5Km1Of+YcR/kLtd6g==" saltValue="u1SE++wRIaTX5t3NRLR2z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0.10673674138277867</v>
      </c>
      <c r="G18" s="90">
        <f>MIN(MAX(1-0.89/(1-frac_sam_12_23months+(frac_sam_12_23months*0.89)),0),1)</f>
        <v>0.10717781496494749</v>
      </c>
      <c r="H18" s="90">
        <f>MIN(MAX(1-0.89/(1-frac_sam_24_59months+(frac_sam_24_59months*0.89)),0),1)</f>
        <v>0.10794519189198948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9.946436069345399E-2</v>
      </c>
      <c r="G20" s="90">
        <f>MIN(MAX(1-0.89/(1-frac_mam_12_23months+(frac_mam_12_23months*0.89)),0),1)</f>
        <v>0.10293263507598649</v>
      </c>
      <c r="H20" s="90">
        <f>MIN(MAX(1-0.89/(1-frac_mam_24_59months+(frac_mam_24_59months*0.89)),0),1)</f>
        <v>0.10606043156433276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9.6711038509578184E-3</v>
      </c>
      <c r="G73" s="90">
        <f>MIN(MAX(1-0.99/(1-frac_sam_12_23months+(frac_sam_12_23months*0.99)),0),1)</f>
        <v>9.7154308359204133E-3</v>
      </c>
      <c r="H73" s="90">
        <f>MIN(MAX(1-0.99/(1-frac_sam_24_59months+(frac_sam_24_59months*0.99)),0),1)</f>
        <v>9.7926456289579855E-3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8.9459416620113474E-3</v>
      </c>
      <c r="G75" s="90">
        <f>MIN(MAX(1-0.99/(1-frac_mam_12_23months+(frac_mam_12_23months*0.99)),0),1)</f>
        <v>9.2904449002515488E-3</v>
      </c>
      <c r="H75" s="90">
        <f>MIN(MAX(1-0.99/(1-frac_mam_24_59months+(frac_mam_24_59months*0.99)),0),1)</f>
        <v>9.6032133737867786E-3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0.19465074136828675</v>
      </c>
      <c r="G128" s="90">
        <f>MIN(MAX(1-0.8/(1-frac_sam_12_23months+(frac_sam_12_23months*0.8)),0),1)</f>
        <v>0.19537564682494513</v>
      </c>
      <c r="H128" s="90">
        <f>MIN(MAX(1-0.8/(1-frac_sam_24_59months+(frac_sam_24_59months*0.8)),0),1)</f>
        <v>0.19663542883952279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0.18261298480168964</v>
      </c>
      <c r="G130" s="90">
        <f>MIN(MAX(1-0.8/(1-frac_mam_12_23months+(frac_mam_12_23months*0.8)),0),1)</f>
        <v>0.18837412487200911</v>
      </c>
      <c r="H130" s="90">
        <f>MIN(MAX(1-0.8/(1-frac_mam_24_59months+(frac_mam_24_59months*0.8)),0),1)</f>
        <v>0.19353807869237682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V+PUejlbZZHKwU8BeHlcKLyzYyOk8g5L1crDCqnMMvWtCh8aJ58jCRnHZGPrDPYIQGGhpTZiigKmd8yUvjyqg==" saltValue="cu4J+50LN30lEPDCZd21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rqfwj2Aule+zR7yRetUx8nHwf8vo+yuDmgYLyyw3uXYtEO8G+xz1ODQ2JBe4tJHytIIznsSn5bAVzi75hRA7AQ==" saltValue="4andU9wVE2HnabTZHZlOq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2024-08-06T08:54:10Z</dcterms:modified>
</cp:coreProperties>
</file>