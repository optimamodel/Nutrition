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E18FE6A0-607A-46A7-9C23-EBD16C04A16D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<sst xmlns="http://schemas.openxmlformats.org/spreadsheetml/2006/main" count="2102" uniqueCount="337">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</sst>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1280664.078125</v>
      </c>
    </row>
    <row r="8" spans="1:3" ht="15" customHeight="1" x14ac:dyDescent="0.25">
      <c r="B8" s="5" t="s">
        <v>19</v>
      </c>
      <c r="C8" s="44">
        <v>4.4999999999999998E-2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0.77735023498535194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0.57200000000000006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0.12039999999999999</v>
      </c>
    </row>
    <row r="24" spans="1:3" ht="15" customHeight="1" x14ac:dyDescent="0.25">
      <c r="B24" s="15" t="s">
        <v>33</v>
      </c>
      <c r="C24" s="45">
        <v>0.49090000000000011</v>
      </c>
    </row>
    <row r="25" spans="1:3" ht="15" customHeight="1" x14ac:dyDescent="0.25">
      <c r="B25" s="15" t="s">
        <v>34</v>
      </c>
      <c r="C25" s="45">
        <v>0.31830000000000003</v>
      </c>
    </row>
    <row r="26" spans="1:3" ht="15" customHeight="1" x14ac:dyDescent="0.25">
      <c r="B26" s="15" t="s">
        <v>35</v>
      </c>
      <c r="C26" s="45">
        <v>7.0400000000000004E-2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0.27832797111666402</v>
      </c>
    </row>
    <row r="30" spans="1:3" ht="14.25" customHeight="1" x14ac:dyDescent="0.25">
      <c r="B30" s="25" t="s">
        <v>38</v>
      </c>
      <c r="C30" s="99">
        <v>5.5017555006970899E-2</v>
      </c>
    </row>
    <row r="31" spans="1:3" ht="14.25" customHeight="1" x14ac:dyDescent="0.25">
      <c r="B31" s="25" t="s">
        <v>39</v>
      </c>
      <c r="C31" s="99">
        <v>0.107732345514889</v>
      </c>
    </row>
    <row r="32" spans="1:3" ht="14.25" customHeight="1" x14ac:dyDescent="0.25">
      <c r="B32" s="25" t="s">
        <v>40</v>
      </c>
      <c r="C32" s="99">
        <v>0.55892212836147603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13.18085</v>
      </c>
    </row>
    <row r="38" spans="1:5" ht="15" customHeight="1" x14ac:dyDescent="0.25">
      <c r="B38" s="11" t="s">
        <v>45</v>
      </c>
      <c r="C38" s="43">
        <v>20.18317</v>
      </c>
      <c r="D38" s="12"/>
      <c r="E38" s="13"/>
    </row>
    <row r="39" spans="1:5" ht="15" customHeight="1" x14ac:dyDescent="0.25">
      <c r="B39" s="11" t="s">
        <v>46</v>
      </c>
      <c r="C39" s="43">
        <v>24.691939999999999</v>
      </c>
      <c r="D39" s="12"/>
      <c r="E39" s="12"/>
    </row>
    <row r="40" spans="1:5" ht="15" customHeight="1" x14ac:dyDescent="0.25">
      <c r="B40" s="11" t="s">
        <v>47</v>
      </c>
      <c r="C40" s="100">
        <v>1.61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8.7671299999999999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7.2189999999999997E-3</v>
      </c>
      <c r="D45" s="12"/>
    </row>
    <row r="46" spans="1:5" ht="15.75" customHeight="1" x14ac:dyDescent="0.25">
      <c r="B46" s="11" t="s">
        <v>52</v>
      </c>
      <c r="C46" s="45">
        <v>7.7567700000000003E-2</v>
      </c>
      <c r="D46" s="12"/>
    </row>
    <row r="47" spans="1:5" ht="15.75" customHeight="1" x14ac:dyDescent="0.25">
      <c r="B47" s="11" t="s">
        <v>53</v>
      </c>
      <c r="C47" s="45">
        <v>7.4135800000000002E-2</v>
      </c>
      <c r="D47" s="12"/>
      <c r="E47" s="13"/>
    </row>
    <row r="48" spans="1:5" ht="15" customHeight="1" x14ac:dyDescent="0.25">
      <c r="B48" s="11" t="s">
        <v>54</v>
      </c>
      <c r="C48" s="46">
        <v>0.84107749999999992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0.52239300000000011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7.2223348999999895E-2</v>
      </c>
    </row>
    <row r="63" spans="1:4" ht="15.75" customHeight="1" x14ac:dyDescent="0.3">
      <c r="A63" s="4"/>
    </row>
  </sheetData>
  <sheetProtection algorithmName="SHA-512" hashValue="k8jyWJmLgoPPGBJw8s+FE3UfryiKBteOFogfkuinA84YCLYdnFexWGnx0rLGlKu8kdUzxC3ujx4ajSx80TgVTw==" saltValue="hDJo9Qxyz8SJDwJsH6Az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265235</v>
      </c>
      <c r="C2" s="49">
        <v>715267.5</v>
      </c>
      <c r="D2" s="49">
        <v>1103128</v>
      </c>
      <c r="E2" s="49">
        <v>958138.5</v>
      </c>
      <c r="F2" s="49">
        <v>632260</v>
      </c>
      <c r="G2" s="17">
        <f t="shared" ref="G2:G13" si="0">C2+D2+E2+F2</f>
        <v>3408794</v>
      </c>
      <c r="H2" s="17">
        <f t="shared" ref="H2:H13" si="1">(B2 + stillbirth*B2/(1000-stillbirth))/(1-abortion)</f>
        <v>304069.22350235324</v>
      </c>
      <c r="I2" s="17">
        <f t="shared" ref="I2:I13" si="2">G2-H2</f>
        <v>3104724.7764976467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266191</v>
      </c>
      <c r="C3" s="50">
        <v>720794</v>
      </c>
      <c r="D3" s="50">
        <v>1112139</v>
      </c>
      <c r="E3" s="50">
        <v>977196</v>
      </c>
      <c r="F3" s="50">
        <v>649591.5</v>
      </c>
      <c r="G3" s="17">
        <f t="shared" si="0"/>
        <v>3459720.5</v>
      </c>
      <c r="H3" s="17">
        <f t="shared" si="1"/>
        <v>305165.1956691799</v>
      </c>
      <c r="I3" s="17">
        <f t="shared" si="2"/>
        <v>3154555.3043308202</v>
      </c>
    </row>
    <row r="4" spans="1:9" ht="15.75" customHeight="1" x14ac:dyDescent="0.25">
      <c r="A4" s="5">
        <f t="shared" si="3"/>
        <v>2026</v>
      </c>
      <c r="B4" s="49">
        <v>266974</v>
      </c>
      <c r="C4" s="50">
        <v>724924.00000000012</v>
      </c>
      <c r="D4" s="50">
        <v>1121832.5</v>
      </c>
      <c r="E4" s="50">
        <v>994628.5</v>
      </c>
      <c r="F4" s="50">
        <v>667659</v>
      </c>
      <c r="G4" s="17">
        <f t="shared" si="0"/>
        <v>3509044</v>
      </c>
      <c r="H4" s="17">
        <f t="shared" si="1"/>
        <v>306062.83814472926</v>
      </c>
      <c r="I4" s="17">
        <f t="shared" si="2"/>
        <v>3202981.1618552706</v>
      </c>
    </row>
    <row r="5" spans="1:9" ht="15.75" customHeight="1" x14ac:dyDescent="0.25">
      <c r="A5" s="5">
        <f t="shared" si="3"/>
        <v>2027</v>
      </c>
      <c r="B5" s="49">
        <v>266660</v>
      </c>
      <c r="C5" s="50">
        <v>727847.00000000012</v>
      </c>
      <c r="D5" s="50">
        <v>1132165</v>
      </c>
      <c r="E5" s="50">
        <v>1010160.5</v>
      </c>
      <c r="F5" s="50">
        <v>686487</v>
      </c>
      <c r="G5" s="17">
        <f t="shared" si="0"/>
        <v>3556659.5</v>
      </c>
      <c r="H5" s="17">
        <f t="shared" si="1"/>
        <v>305702.86402298912</v>
      </c>
      <c r="I5" s="17">
        <f t="shared" si="2"/>
        <v>3250956.6359770107</v>
      </c>
    </row>
    <row r="6" spans="1:9" ht="15.75" customHeight="1" x14ac:dyDescent="0.25">
      <c r="A6" s="5">
        <f t="shared" si="3"/>
        <v>2028</v>
      </c>
      <c r="B6" s="49">
        <v>266211</v>
      </c>
      <c r="C6" s="50">
        <v>730456</v>
      </c>
      <c r="D6" s="50">
        <v>1142095</v>
      </c>
      <c r="E6" s="50">
        <v>1023967</v>
      </c>
      <c r="F6" s="50">
        <v>706264</v>
      </c>
      <c r="G6" s="17">
        <f t="shared" si="0"/>
        <v>3602782</v>
      </c>
      <c r="H6" s="17">
        <f t="shared" si="1"/>
        <v>305188.1239571888</v>
      </c>
      <c r="I6" s="17">
        <f t="shared" si="2"/>
        <v>3297593.8760428112</v>
      </c>
    </row>
    <row r="7" spans="1:9" ht="15.75" customHeight="1" x14ac:dyDescent="0.25">
      <c r="A7" s="5">
        <f t="shared" si="3"/>
        <v>2029</v>
      </c>
      <c r="B7" s="49">
        <v>266289</v>
      </c>
      <c r="C7" s="50">
        <v>732649</v>
      </c>
      <c r="D7" s="50">
        <v>1150977.5</v>
      </c>
      <c r="E7" s="50">
        <v>1036973</v>
      </c>
      <c r="F7" s="50">
        <v>726937.5</v>
      </c>
      <c r="G7" s="17">
        <f t="shared" si="0"/>
        <v>3647537</v>
      </c>
      <c r="H7" s="17">
        <f t="shared" si="1"/>
        <v>305277.54428042355</v>
      </c>
      <c r="I7" s="17">
        <f t="shared" si="2"/>
        <v>3342259.4557195762</v>
      </c>
    </row>
    <row r="8" spans="1:9" ht="15.75" customHeight="1" x14ac:dyDescent="0.25">
      <c r="A8" s="5">
        <f t="shared" si="3"/>
        <v>2030</v>
      </c>
      <c r="B8" s="49">
        <v>266744</v>
      </c>
      <c r="C8" s="50">
        <v>734311</v>
      </c>
      <c r="D8" s="50">
        <v>1159434.5</v>
      </c>
      <c r="E8" s="50">
        <v>1048803.5</v>
      </c>
      <c r="F8" s="50">
        <v>748213.5</v>
      </c>
      <c r="G8" s="17">
        <f t="shared" si="0"/>
        <v>3690762.5</v>
      </c>
      <c r="H8" s="17">
        <f t="shared" si="1"/>
        <v>305799.16283262661</v>
      </c>
      <c r="I8" s="17">
        <f t="shared" si="2"/>
        <v>3384963.3371673734</v>
      </c>
    </row>
    <row r="9" spans="1:9" ht="15.75" customHeight="1" x14ac:dyDescent="0.25">
      <c r="A9" s="5">
        <f t="shared" si="3"/>
        <v>2031</v>
      </c>
      <c r="B9" s="49">
        <v>266621</v>
      </c>
      <c r="C9" s="50">
        <v>735535.00000000012</v>
      </c>
      <c r="D9" s="50">
        <v>1168225</v>
      </c>
      <c r="E9" s="50">
        <v>1058956.5</v>
      </c>
      <c r="F9" s="50">
        <v>769857.5</v>
      </c>
      <c r="G9" s="17">
        <f t="shared" si="0"/>
        <v>3732574</v>
      </c>
      <c r="H9" s="17">
        <f t="shared" si="1"/>
        <v>305658.15386137174</v>
      </c>
      <c r="I9" s="17">
        <f t="shared" si="2"/>
        <v>3426915.8461386282</v>
      </c>
    </row>
    <row r="10" spans="1:9" ht="15.75" customHeight="1" x14ac:dyDescent="0.25">
      <c r="A10" s="5">
        <f t="shared" si="3"/>
        <v>2032</v>
      </c>
      <c r="B10" s="49">
        <v>267218</v>
      </c>
      <c r="C10" s="50">
        <v>736479.49999999988</v>
      </c>
      <c r="D10" s="50">
        <v>1176995.5</v>
      </c>
      <c r="E10" s="50">
        <v>1068116.5</v>
      </c>
      <c r="F10" s="50">
        <v>791526.5</v>
      </c>
      <c r="G10" s="17">
        <f t="shared" si="0"/>
        <v>3773118</v>
      </c>
      <c r="H10" s="17">
        <f t="shared" si="1"/>
        <v>306342.56325843808</v>
      </c>
      <c r="I10" s="17">
        <f t="shared" si="2"/>
        <v>3466775.4367415621</v>
      </c>
    </row>
    <row r="11" spans="1:9" ht="15.75" customHeight="1" x14ac:dyDescent="0.25">
      <c r="A11" s="5">
        <f t="shared" si="3"/>
        <v>2033</v>
      </c>
      <c r="B11" s="49">
        <v>266582</v>
      </c>
      <c r="C11" s="50">
        <v>737297</v>
      </c>
      <c r="D11" s="50">
        <v>1185227.5</v>
      </c>
      <c r="E11" s="50">
        <v>1077081.5</v>
      </c>
      <c r="F11" s="50">
        <v>812711.5</v>
      </c>
      <c r="G11" s="17">
        <f t="shared" si="0"/>
        <v>3812317.5</v>
      </c>
      <c r="H11" s="17">
        <f t="shared" si="1"/>
        <v>305613.44369975431</v>
      </c>
      <c r="I11" s="17">
        <f t="shared" si="2"/>
        <v>3506704.0563002457</v>
      </c>
    </row>
    <row r="12" spans="1:9" ht="15.75" customHeight="1" x14ac:dyDescent="0.25">
      <c r="A12" s="5">
        <f t="shared" si="3"/>
        <v>2034</v>
      </c>
      <c r="B12" s="49">
        <v>265709</v>
      </c>
      <c r="C12" s="50">
        <v>738216.5</v>
      </c>
      <c r="D12" s="50">
        <v>1192803.5</v>
      </c>
      <c r="E12" s="50">
        <v>1086156.5</v>
      </c>
      <c r="F12" s="50">
        <v>832759.49999999988</v>
      </c>
      <c r="G12" s="17">
        <f t="shared" si="0"/>
        <v>3849936</v>
      </c>
      <c r="H12" s="17">
        <f t="shared" si="1"/>
        <v>304612.62392816477</v>
      </c>
      <c r="I12" s="17">
        <f t="shared" si="2"/>
        <v>3545323.3760718354</v>
      </c>
    </row>
    <row r="13" spans="1:9" ht="15.75" customHeight="1" x14ac:dyDescent="0.25">
      <c r="A13" s="5">
        <f t="shared" si="3"/>
        <v>2035</v>
      </c>
      <c r="B13" s="49">
        <v>264642</v>
      </c>
      <c r="C13" s="50">
        <v>739428</v>
      </c>
      <c r="D13" s="50">
        <v>1199578</v>
      </c>
      <c r="E13" s="50">
        <v>1095405</v>
      </c>
      <c r="F13" s="50">
        <v>851011.5</v>
      </c>
      <c r="G13" s="17">
        <f t="shared" si="0"/>
        <v>3885422.5</v>
      </c>
      <c r="H13" s="17">
        <f t="shared" si="1"/>
        <v>303389.39976288867</v>
      </c>
      <c r="I13" s="17">
        <f t="shared" si="2"/>
        <v>3582033.1002371116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CMoJN1cy5qySN5Dg66+ziQNqdS1LwbV4abExSJevvSyd35PkKDEAwegRRpfKp4r+lcYGsO5DbpiLGWfwnNQfeA==" saltValue="JACeP7VC5Pdg/dK5vyiiP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3.6456003645600312E-3</v>
      </c>
    </row>
    <row r="4" spans="1:8" ht="15.75" customHeight="1" x14ac:dyDescent="0.25">
      <c r="B4" s="19" t="s">
        <v>79</v>
      </c>
      <c r="C4" s="101">
        <v>5.8251005825100642E-2</v>
      </c>
    </row>
    <row r="5" spans="1:8" ht="15.75" customHeight="1" x14ac:dyDescent="0.25">
      <c r="B5" s="19" t="s">
        <v>80</v>
      </c>
      <c r="C5" s="101">
        <v>5.1449305144930617E-2</v>
      </c>
    </row>
    <row r="6" spans="1:8" ht="15.75" customHeight="1" x14ac:dyDescent="0.25">
      <c r="B6" s="19" t="s">
        <v>81</v>
      </c>
      <c r="C6" s="101">
        <v>0.2125657212565718</v>
      </c>
    </row>
    <row r="7" spans="1:8" ht="15.75" customHeight="1" x14ac:dyDescent="0.25">
      <c r="B7" s="19" t="s">
        <v>82</v>
      </c>
      <c r="C7" s="101">
        <v>0.4356234435623445</v>
      </c>
    </row>
    <row r="8" spans="1:8" ht="15.75" customHeight="1" x14ac:dyDescent="0.25">
      <c r="B8" s="19" t="s">
        <v>83</v>
      </c>
      <c r="C8" s="101">
        <v>6.3460006346000757E-4</v>
      </c>
    </row>
    <row r="9" spans="1:8" ht="15.75" customHeight="1" x14ac:dyDescent="0.25">
      <c r="B9" s="19" t="s">
        <v>84</v>
      </c>
      <c r="C9" s="101">
        <v>0.14113301411330151</v>
      </c>
    </row>
    <row r="10" spans="1:8" ht="15.75" customHeight="1" x14ac:dyDescent="0.25">
      <c r="B10" s="19" t="s">
        <v>85</v>
      </c>
      <c r="C10" s="101">
        <v>9.6697309669731002E-2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0.14643778857166589</v>
      </c>
      <c r="D14" s="55">
        <v>0.14643778857166589</v>
      </c>
      <c r="E14" s="55">
        <v>0.14643778857166589</v>
      </c>
      <c r="F14" s="55">
        <v>0.14643778857166589</v>
      </c>
    </row>
    <row r="15" spans="1:8" ht="15.75" customHeight="1" x14ac:dyDescent="0.25">
      <c r="B15" s="19" t="s">
        <v>88</v>
      </c>
      <c r="C15" s="101">
        <v>0.39091396468178219</v>
      </c>
      <c r="D15" s="101">
        <v>0.39091396468178219</v>
      </c>
      <c r="E15" s="101">
        <v>0.39091396468178219</v>
      </c>
      <c r="F15" s="101">
        <v>0.39091396468178219</v>
      </c>
    </row>
    <row r="16" spans="1:8" ht="15.75" customHeight="1" x14ac:dyDescent="0.25">
      <c r="B16" s="19" t="s">
        <v>89</v>
      </c>
      <c r="C16" s="101">
        <v>1.3659483875896231E-2</v>
      </c>
      <c r="D16" s="101">
        <v>1.3659483875896231E-2</v>
      </c>
      <c r="E16" s="101">
        <v>1.3659483875896231E-2</v>
      </c>
      <c r="F16" s="101">
        <v>1.3659483875896231E-2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4.346055659389562E-4</v>
      </c>
      <c r="D18" s="101">
        <v>4.346055659389562E-4</v>
      </c>
      <c r="E18" s="101">
        <v>4.346055659389562E-4</v>
      </c>
      <c r="F18" s="101">
        <v>4.346055659389562E-4</v>
      </c>
    </row>
    <row r="19" spans="1:8" ht="15.75" customHeight="1" x14ac:dyDescent="0.25">
      <c r="B19" s="19" t="s">
        <v>92</v>
      </c>
      <c r="C19" s="101">
        <v>7.3238663536894996E-2</v>
      </c>
      <c r="D19" s="101">
        <v>7.3238663536894996E-2</v>
      </c>
      <c r="E19" s="101">
        <v>7.3238663536894996E-2</v>
      </c>
      <c r="F19" s="101">
        <v>7.3238663536894996E-2</v>
      </c>
    </row>
    <row r="20" spans="1:8" ht="15.75" customHeight="1" x14ac:dyDescent="0.25">
      <c r="B20" s="19" t="s">
        <v>93</v>
      </c>
      <c r="C20" s="101">
        <v>1.5811306996846401E-2</v>
      </c>
      <c r="D20" s="101">
        <v>1.5811306996846401E-2</v>
      </c>
      <c r="E20" s="101">
        <v>1.5811306996846401E-2</v>
      </c>
      <c r="F20" s="101">
        <v>1.5811306996846401E-2</v>
      </c>
    </row>
    <row r="21" spans="1:8" ht="15.75" customHeight="1" x14ac:dyDescent="0.25">
      <c r="B21" s="19" t="s">
        <v>94</v>
      </c>
      <c r="C21" s="101">
        <v>0.20377146627416279</v>
      </c>
      <c r="D21" s="101">
        <v>0.20377146627416279</v>
      </c>
      <c r="E21" s="101">
        <v>0.20377146627416279</v>
      </c>
      <c r="F21" s="101">
        <v>0.20377146627416279</v>
      </c>
    </row>
    <row r="22" spans="1:8" ht="15.75" customHeight="1" x14ac:dyDescent="0.25">
      <c r="B22" s="19" t="s">
        <v>95</v>
      </c>
      <c r="C22" s="101">
        <v>0.15573272049681261</v>
      </c>
      <c r="D22" s="101">
        <v>0.15573272049681261</v>
      </c>
      <c r="E22" s="101">
        <v>0.15573272049681261</v>
      </c>
      <c r="F22" s="101">
        <v>0.15573272049681261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6.8104466000000002E-2</v>
      </c>
    </row>
    <row r="27" spans="1:8" ht="15.75" customHeight="1" x14ac:dyDescent="0.25">
      <c r="B27" s="19" t="s">
        <v>102</v>
      </c>
      <c r="C27" s="101">
        <v>4.1400316000000013E-2</v>
      </c>
    </row>
    <row r="28" spans="1:8" ht="15.75" customHeight="1" x14ac:dyDescent="0.25">
      <c r="B28" s="19" t="s">
        <v>103</v>
      </c>
      <c r="C28" s="101">
        <v>0.33340020500000001</v>
      </c>
    </row>
    <row r="29" spans="1:8" ht="15.75" customHeight="1" x14ac:dyDescent="0.25">
      <c r="B29" s="19" t="s">
        <v>104</v>
      </c>
      <c r="C29" s="101">
        <v>0.12901136499999999</v>
      </c>
    </row>
    <row r="30" spans="1:8" ht="15.75" customHeight="1" x14ac:dyDescent="0.25">
      <c r="B30" s="19" t="s">
        <v>2</v>
      </c>
      <c r="C30" s="101">
        <v>9.0447656999999987E-2</v>
      </c>
    </row>
    <row r="31" spans="1:8" ht="15.75" customHeight="1" x14ac:dyDescent="0.25">
      <c r="B31" s="19" t="s">
        <v>105</v>
      </c>
      <c r="C31" s="101">
        <v>5.0940217000000003E-2</v>
      </c>
    </row>
    <row r="32" spans="1:8" ht="15.75" customHeight="1" x14ac:dyDescent="0.25">
      <c r="B32" s="19" t="s">
        <v>106</v>
      </c>
      <c r="C32" s="101">
        <v>1.0491317999999999E-2</v>
      </c>
    </row>
    <row r="33" spans="2:3" ht="15.75" customHeight="1" x14ac:dyDescent="0.25">
      <c r="B33" s="19" t="s">
        <v>107</v>
      </c>
      <c r="C33" s="101">
        <v>8.3462208999999982E-2</v>
      </c>
    </row>
    <row r="34" spans="2:3" ht="15.75" customHeight="1" x14ac:dyDescent="0.25">
      <c r="B34" s="19" t="s">
        <v>108</v>
      </c>
      <c r="C34" s="101">
        <v>0.19274224700000001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XfG4Ga4CIreMJ58H7OsR21pPZrqARF1FtmZbZ3l8xBuUUsvO9DJjj3TJmGNVo9sH5ZqeQ3q+wVPqtxmr7Ok1jw==" saltValue="CBL4J9hbNoiFAZYjq29kz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0.5052320066812086</v>
      </c>
      <c r="D2" s="52">
        <f>IFERROR(1-_xlfn.NORM.DIST(_xlfn.NORM.INV(SUM(D4:D5), 0, 1) + 1, 0, 1, TRUE), "")</f>
        <v>0.5052320066812086</v>
      </c>
      <c r="E2" s="52">
        <f>IFERROR(1-_xlfn.NORM.DIST(_xlfn.NORM.INV(SUM(E4:E5), 0, 1) + 1, 0, 1, TRUE), "")</f>
        <v>0.57093155676470841</v>
      </c>
      <c r="F2" s="52">
        <f>IFERROR(1-_xlfn.NORM.DIST(_xlfn.NORM.INV(SUM(F4:F5), 0, 1) + 1, 0, 1, TRUE), "")</f>
        <v>0.47407796175377315</v>
      </c>
      <c r="G2" s="52">
        <f>IFERROR(1-_xlfn.NORM.DIST(_xlfn.NORM.INV(SUM(G4:G5), 0, 1) + 1, 0, 1, TRUE), "")</f>
        <v>0.48963584930655313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0.33926539331879141</v>
      </c>
      <c r="D3" s="52">
        <f>IFERROR(_xlfn.NORM.DIST(_xlfn.NORM.INV(SUM(D4:D5), 0, 1) + 1, 0, 1, TRUE) - SUM(D4:D5), "")</f>
        <v>0.33926539331879141</v>
      </c>
      <c r="E3" s="52">
        <f>IFERROR(_xlfn.NORM.DIST(_xlfn.NORM.INV(SUM(E4:E5), 0, 1) + 1, 0, 1, TRUE) - SUM(E4:E5), "")</f>
        <v>0.30981884323529157</v>
      </c>
      <c r="F3" s="52">
        <f>IFERROR(_xlfn.NORM.DIST(_xlfn.NORM.INV(SUM(F4:F5), 0, 1) + 1, 0, 1, TRUE) - SUM(F4:F5), "")</f>
        <v>0.35102203824622685</v>
      </c>
      <c r="G3" s="52">
        <f>IFERROR(_xlfn.NORM.DIST(_xlfn.NORM.INV(SUM(G4:G5), 0, 1) + 1, 0, 1, TRUE) - SUM(G4:G5), "")</f>
        <v>0.34534035069344687</v>
      </c>
    </row>
    <row r="4" spans="1:15" ht="15.75" customHeight="1" x14ac:dyDescent="0.25">
      <c r="B4" s="5" t="s">
        <v>114</v>
      </c>
      <c r="C4" s="45">
        <v>9.9006399999999994E-2</v>
      </c>
      <c r="D4" s="53">
        <v>9.9006399999999994E-2</v>
      </c>
      <c r="E4" s="53">
        <v>7.5483000000000008E-2</v>
      </c>
      <c r="F4" s="53">
        <v>0.1208683</v>
      </c>
      <c r="G4" s="53">
        <v>0.12677720000000001</v>
      </c>
    </row>
    <row r="5" spans="1:15" ht="15.75" customHeight="1" x14ac:dyDescent="0.25">
      <c r="B5" s="5" t="s">
        <v>115</v>
      </c>
      <c r="C5" s="45">
        <v>5.6496200000000003E-2</v>
      </c>
      <c r="D5" s="53">
        <v>5.6496200000000003E-2</v>
      </c>
      <c r="E5" s="53">
        <v>4.3766600000000003E-2</v>
      </c>
      <c r="F5" s="53">
        <v>5.4031700000000002E-2</v>
      </c>
      <c r="G5" s="53">
        <v>3.8246599999999999E-2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0.71831623593806282</v>
      </c>
      <c r="D8" s="52">
        <f>IFERROR(1-_xlfn.NORM.DIST(_xlfn.NORM.INV(SUM(D10:D11), 0, 1) + 1, 0, 1, TRUE), "")</f>
        <v>0.71831623593806282</v>
      </c>
      <c r="E8" s="52">
        <f>IFERROR(1-_xlfn.NORM.DIST(_xlfn.NORM.INV(SUM(E10:E11), 0, 1) + 1, 0, 1, TRUE), "")</f>
        <v>0.89517483931743669</v>
      </c>
      <c r="F8" s="52">
        <f>IFERROR(1-_xlfn.NORM.DIST(_xlfn.NORM.INV(SUM(F10:F11), 0, 1) + 1, 0, 1, TRUE), "")</f>
        <v>0.86350647454993412</v>
      </c>
      <c r="G8" s="52">
        <f>IFERROR(1-_xlfn.NORM.DIST(_xlfn.NORM.INV(SUM(G10:G11), 0, 1) + 1, 0, 1, TRUE), "")</f>
        <v>0.87255591917208486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0.22438336406193718</v>
      </c>
      <c r="D9" s="52">
        <f>IFERROR(_xlfn.NORM.DIST(_xlfn.NORM.INV(SUM(D10:D11), 0, 1) + 1, 0, 1, TRUE) - SUM(D10:D11), "")</f>
        <v>0.22438336406193718</v>
      </c>
      <c r="E9" s="52">
        <f>IFERROR(_xlfn.NORM.DIST(_xlfn.NORM.INV(SUM(E10:E11), 0, 1) + 1, 0, 1, TRUE) - SUM(E10:E11), "")</f>
        <v>9.2743660682563345E-2</v>
      </c>
      <c r="F9" s="52">
        <f>IFERROR(_xlfn.NORM.DIST(_xlfn.NORM.INV(SUM(F10:F11), 0, 1) + 1, 0, 1, TRUE) - SUM(F10:F11), "")</f>
        <v>0.11846172545006591</v>
      </c>
      <c r="G9" s="52">
        <f>IFERROR(_xlfn.NORM.DIST(_xlfn.NORM.INV(SUM(G10:G11), 0, 1) + 1, 0, 1, TRUE) - SUM(G10:G11), "")</f>
        <v>0.11120828082791512</v>
      </c>
    </row>
    <row r="10" spans="1:15" ht="15.75" customHeight="1" x14ac:dyDescent="0.25">
      <c r="B10" s="5" t="s">
        <v>119</v>
      </c>
      <c r="C10" s="45">
        <v>1.6462299999999999E-2</v>
      </c>
      <c r="D10" s="53">
        <v>1.6462299999999999E-2</v>
      </c>
      <c r="E10" s="53">
        <v>6.1853000000000003E-3</v>
      </c>
      <c r="F10" s="53">
        <v>1.06268E-2</v>
      </c>
      <c r="G10" s="53">
        <v>9.9104999999999992E-3</v>
      </c>
    </row>
    <row r="11" spans="1:15" ht="15.75" customHeight="1" x14ac:dyDescent="0.25">
      <c r="B11" s="5" t="s">
        <v>120</v>
      </c>
      <c r="C11" s="45">
        <v>4.0838100000000002E-2</v>
      </c>
      <c r="D11" s="53">
        <v>4.0838100000000002E-2</v>
      </c>
      <c r="E11" s="53">
        <v>5.8962000000000007E-3</v>
      </c>
      <c r="F11" s="53">
        <v>7.4050000000000001E-3</v>
      </c>
      <c r="G11" s="53">
        <v>6.3253000000000007E-3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0.81728989924999995</v>
      </c>
      <c r="D14" s="54">
        <v>0.77722719937100004</v>
      </c>
      <c r="E14" s="54">
        <v>0.77722719937100004</v>
      </c>
      <c r="F14" s="54">
        <v>0.50306668461399995</v>
      </c>
      <c r="G14" s="54">
        <v>0.50306668461399995</v>
      </c>
      <c r="H14" s="45">
        <v>0.36799999999999999</v>
      </c>
      <c r="I14" s="55">
        <v>0.36799999999999999</v>
      </c>
      <c r="J14" s="55">
        <v>0.36799999999999999</v>
      </c>
      <c r="K14" s="55">
        <v>0.36799999999999999</v>
      </c>
      <c r="L14" s="45">
        <v>0.29799999999999999</v>
      </c>
      <c r="M14" s="55">
        <v>0.29799999999999999</v>
      </c>
      <c r="N14" s="55">
        <v>0.29799999999999999</v>
      </c>
      <c r="O14" s="55">
        <v>0.29799999999999999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0.42694652233890529</v>
      </c>
      <c r="D15" s="52">
        <f t="shared" si="0"/>
        <v>0.4060180483610149</v>
      </c>
      <c r="E15" s="52">
        <f t="shared" si="0"/>
        <v>0.4060180483610149</v>
      </c>
      <c r="F15" s="52">
        <f t="shared" si="0"/>
        <v>0.2627985145755613</v>
      </c>
      <c r="G15" s="52">
        <f t="shared" si="0"/>
        <v>0.2627985145755613</v>
      </c>
      <c r="H15" s="52">
        <f t="shared" si="0"/>
        <v>0.19224062400000003</v>
      </c>
      <c r="I15" s="52">
        <f t="shared" si="0"/>
        <v>0.19224062400000003</v>
      </c>
      <c r="J15" s="52">
        <f t="shared" si="0"/>
        <v>0.19224062400000003</v>
      </c>
      <c r="K15" s="52">
        <f t="shared" si="0"/>
        <v>0.19224062400000003</v>
      </c>
      <c r="L15" s="52">
        <f t="shared" si="0"/>
        <v>0.15567311400000003</v>
      </c>
      <c r="M15" s="52">
        <f t="shared" si="0"/>
        <v>0.15567311400000003</v>
      </c>
      <c r="N15" s="52">
        <f t="shared" si="0"/>
        <v>0.15567311400000003</v>
      </c>
      <c r="O15" s="52">
        <f t="shared" si="0"/>
        <v>0.15567311400000003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LwNlqmZYGY4lfxpTEF0D0/GA7Kj6lBbaloQxqAD4hpx2n7Pcj/k62QP8rZSW9vKyNRYubz9U3k4iMbqdEz2rUw==" saltValue="FCoWZH5FHAHPVRUOa4h6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0.63335149999999996</v>
      </c>
      <c r="D2" s="53">
        <v>0.57843060000000002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1.9000099999999999E-2</v>
      </c>
      <c r="D3" s="53">
        <v>9.86514E-2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0.2879409</v>
      </c>
      <c r="D4" s="53">
        <v>0.28117239999999999</v>
      </c>
      <c r="E4" s="53">
        <v>0.87896350000000001</v>
      </c>
      <c r="F4" s="53">
        <v>0.59752729999999998</v>
      </c>
      <c r="G4" s="53">
        <v>0</v>
      </c>
    </row>
    <row r="5" spans="1:7" x14ac:dyDescent="0.25">
      <c r="B5" s="3" t="s">
        <v>132</v>
      </c>
      <c r="C5" s="52">
        <v>5.97076E-2</v>
      </c>
      <c r="D5" s="52">
        <v>4.1745599999999987E-2</v>
      </c>
      <c r="E5" s="52">
        <f>1-SUM(E2:E4)</f>
        <v>0.12103649999999999</v>
      </c>
      <c r="F5" s="52">
        <f>1-SUM(F2:F4)</f>
        <v>0.40247270000000002</v>
      </c>
      <c r="G5" s="52">
        <f>1-SUM(G2:G4)</f>
        <v>1</v>
      </c>
    </row>
  </sheetData>
  <sheetProtection algorithmName="SHA-512" hashValue="8+KKQm5u2ambm1Gw2u98GtteZODeO3vXSzhOMkYwCtVmjjm3nyUgDV1CCu0XxPNi+Hh0uKlrQO/sxEsy/9BOfA==" saltValue="qWhk06U9DtupbIXFWBabZ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m+45FLKXEbhsL6itlL5GZu3GU6t/m76hGIPlnTbu5ncy+cgijx5kvFzxmfl1WAg6nJXL67ygd0lzQUTslW/7Cw==" saltValue="7rxu8SToAROdAWDOnmUCw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Dp9wv6PJ2HEXP1FdPGthAgta1eM5ogUEFg5JkzODdafFwVGQR16h1K8LoSylu/RwLwA04l3WSe+Hpte9Y8yAag==" saltValue="KvuprsrcHVziJGQ8cA73s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c3F6HhaQCk+i8UJ1OV8ZEGLKjxVI16jTUc8GkummDxvf2I+keLPtepWUbUNirCtf3jvzTnK2xzhBGJFOmmQlQg==" saltValue="13RgTqSRu7jeS5qoi9wAi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qqiuuUBXMrP25bminpxPDt2O/jRW0OgzLcf9XtjPcqmpYODkKipw4GrG1U7z0KnX/lhvszPeICmgSLEYx558uw==" saltValue="lUb4MH51RM9ae/XRMcDo6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51.401759028170218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0.23770751038400001</v>
      </c>
      <c r="C3" s="98">
        <v>0.95</v>
      </c>
      <c r="D3" s="56">
        <v>39.731579279716087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310.49560891409538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0.84658616962475519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0.25147419999999998</v>
      </c>
      <c r="C10" s="98">
        <v>0.95</v>
      </c>
      <c r="D10" s="56">
        <v>12.863878723512009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0.25147419999999998</v>
      </c>
      <c r="C11" s="98">
        <v>0.95</v>
      </c>
      <c r="D11" s="56">
        <v>12.863878723512009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0.25147419999999998</v>
      </c>
      <c r="C12" s="98">
        <v>0.95</v>
      </c>
      <c r="D12" s="56">
        <v>12.863878723512009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0.25147419999999998</v>
      </c>
      <c r="C13" s="98">
        <v>0.95</v>
      </c>
      <c r="D13" s="56">
        <v>12.863878723512009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0.25147419999999998</v>
      </c>
      <c r="C14" s="98">
        <v>0.95</v>
      </c>
      <c r="D14" s="56">
        <v>12.863878723512009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0.25147419999999998</v>
      </c>
      <c r="C15" s="98">
        <v>0.95</v>
      </c>
      <c r="D15" s="56">
        <v>12.863878723512009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0.92</v>
      </c>
      <c r="C16" s="98">
        <v>0.95</v>
      </c>
      <c r="D16" s="56">
        <v>0.57064452340735461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0.191266666666667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0.1247234091</v>
      </c>
      <c r="C18" s="98">
        <v>0.95</v>
      </c>
      <c r="D18" s="56">
        <v>7.1893102094440149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0.6861256</v>
      </c>
      <c r="C19" s="98">
        <v>0.95</v>
      </c>
      <c r="D19" s="56">
        <v>7.1893102094440149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0.67045480000000002</v>
      </c>
      <c r="C21" s="98">
        <v>0.95</v>
      </c>
      <c r="D21" s="56">
        <v>9.7399777981275673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22.12118995836277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4.1866497120487418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0.82819119324113999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0.25147419999999998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18.43140089545771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0.64948176425886006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98.521408904830395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0.31</v>
      </c>
      <c r="C31" s="98">
        <v>0.95</v>
      </c>
      <c r="D31" s="56">
        <v>1.01886993046857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1.210007178251463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0.31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0.67377399999999998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0.1417909</v>
      </c>
      <c r="C38" s="98">
        <v>0.95</v>
      </c>
      <c r="D38" s="56">
        <v>4.1448077543726143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zEJfvVQYogphua8KPUeS3hzDxtdUDCa1RI+XRtdEYG2Ge4+doT88NPW2IW01c9schNzmwgYXeRMTe/J07jHmkA==" saltValue="sXqKW0/NcvhjfVcmK3LW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fibZv4rfZazhXwR4n6xcFmcKupe5osuSIXuY6g8MTixBULt9EU7ffc9Wt7Bj9HLV4Ohl+1MKF+UQ24aPe0Q3uA==" saltValue="LAMUql97/meg/SrjhLGYO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paZ0kwpSKerrjZnYfIkiQBxoE+/UWPTVnH6/J7qnOtZ1+CRoRYP1Ut7sWxzgxQQN/8CEyOdFXU1xoQvIownSUQ==" saltValue="GEHXE+hQrFppbA9+pKIJ4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4.2801979999999996E-2</v>
      </c>
      <c r="C3" s="21">
        <f>frac_mam_1_5months * 2.6</f>
        <v>4.2801979999999996E-2</v>
      </c>
      <c r="D3" s="21">
        <f>frac_mam_6_11months * 2.6</f>
        <v>1.608178E-2</v>
      </c>
      <c r="E3" s="21">
        <f>frac_mam_12_23months * 2.6</f>
        <v>2.7629680000000004E-2</v>
      </c>
      <c r="F3" s="21">
        <f>frac_mam_24_59months * 2.6</f>
        <v>2.57673E-2</v>
      </c>
    </row>
    <row r="4" spans="1:6" ht="15.75" customHeight="1" x14ac:dyDescent="0.25">
      <c r="A4" s="3" t="s">
        <v>208</v>
      </c>
      <c r="B4" s="21">
        <f>frac_sam_1month * 2.6</f>
        <v>0.10617906000000001</v>
      </c>
      <c r="C4" s="21">
        <f>frac_sam_1_5months * 2.6</f>
        <v>0.10617906000000001</v>
      </c>
      <c r="D4" s="21">
        <f>frac_sam_6_11months * 2.6</f>
        <v>1.5330120000000003E-2</v>
      </c>
      <c r="E4" s="21">
        <f>frac_sam_12_23months * 2.6</f>
        <v>1.9252999999999999E-2</v>
      </c>
      <c r="F4" s="21">
        <f>frac_sam_24_59months * 2.6</f>
        <v>1.6445780000000004E-2</v>
      </c>
    </row>
  </sheetData>
  <sheetProtection algorithmName="SHA-512" hashValue="ngPiSvALAhEprsGrrSKgv/iUZUPE95U9f8adfVSfOrRbqylonPKhOv/Wbs7u43gfgd9GQhIUxkq5XxJA2qd5hw==" saltValue="HCpOVt9McHfbRudbctWQM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4.4999999999999998E-2</v>
      </c>
      <c r="E2" s="60">
        <f>food_insecure</f>
        <v>4.4999999999999998E-2</v>
      </c>
      <c r="F2" s="60">
        <f>food_insecure</f>
        <v>4.4999999999999998E-2</v>
      </c>
      <c r="G2" s="60">
        <f>food_insecure</f>
        <v>4.4999999999999998E-2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4.4999999999999998E-2</v>
      </c>
      <c r="F5" s="60">
        <f>food_insecure</f>
        <v>4.4999999999999998E-2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4.4999999999999998E-2</v>
      </c>
      <c r="F8" s="60">
        <f>food_insecure</f>
        <v>4.4999999999999998E-2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4.4999999999999998E-2</v>
      </c>
      <c r="F9" s="60">
        <f>food_insecure</f>
        <v>4.4999999999999998E-2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4.4999999999999998E-2</v>
      </c>
      <c r="I15" s="60">
        <f>food_insecure</f>
        <v>4.4999999999999998E-2</v>
      </c>
      <c r="J15" s="60">
        <f>food_insecure</f>
        <v>4.4999999999999998E-2</v>
      </c>
      <c r="K15" s="60">
        <f>food_insecure</f>
        <v>4.4999999999999998E-2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0.57200000000000006</v>
      </c>
      <c r="M24" s="60">
        <f>famplan_unmet_need</f>
        <v>0.57200000000000006</v>
      </c>
      <c r="N24" s="60">
        <f>famplan_unmet_need</f>
        <v>0.57200000000000006</v>
      </c>
      <c r="O24" s="60">
        <f>famplan_unmet_need</f>
        <v>0.57200000000000006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0.11120242513656596</v>
      </c>
      <c r="M25" s="60">
        <f>(1-food_insecure)*(0.49)+food_insecure*(0.7)</f>
        <v>0.49944999999999995</v>
      </c>
      <c r="N25" s="60">
        <f>(1-food_insecure)*(0.49)+food_insecure*(0.7)</f>
        <v>0.49944999999999995</v>
      </c>
      <c r="O25" s="60">
        <f>(1-food_insecure)*(0.49)+food_insecure*(0.7)</f>
        <v>0.49944999999999995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4.7658182201385409E-2</v>
      </c>
      <c r="M26" s="60">
        <f>(1-food_insecure)*(0.21)+food_insecure*(0.3)</f>
        <v>0.21404999999999999</v>
      </c>
      <c r="N26" s="60">
        <f>(1-food_insecure)*(0.21)+food_insecure*(0.3)</f>
        <v>0.21404999999999999</v>
      </c>
      <c r="O26" s="60">
        <f>(1-food_insecure)*(0.21)+food_insecure*(0.3)</f>
        <v>0.21404999999999999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6.378915767669667E-2</v>
      </c>
      <c r="M27" s="60">
        <f>(1-food_insecure)*(0.3)</f>
        <v>0.28649999999999998</v>
      </c>
      <c r="N27" s="60">
        <f>(1-food_insecure)*(0.3)</f>
        <v>0.28649999999999998</v>
      </c>
      <c r="O27" s="60">
        <f>(1-food_insecure)*(0.3)</f>
        <v>0.28649999999999998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0.77735023498535194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ebP7BzJWRVonBjzImhSeC/nHZabJhwSn48C2Ih0n5m5xEJc3bTlWxB0Pm0kQGP69YV8MNH2MvFIf/bju3dclA==" saltValue="tnVI3bNMboY4NLDm9IBUB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n5LbhTjP6lsvVh/+xKtbCZDw82BnGO2Zx20QKI3Tv8G6Q9hGWMs6RRLr3jkFdwN8O1qtmgMTO0ZvqNAkKmFw8w==" saltValue="KL8zTZsr8Cca8f3Jkjh6X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myjg4rJU+yjrfbj4p7izSH2TK2Ss3vCEt7MANNF4Ni1W96A8l+L66P7o8v/KAcrgQIiFlDCxYcx9aUfDlIkJhA==" saltValue="U+WGy9lP0O+TiWrUMTYpb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ZTpcLDEoVVIHENCKXGtL3i5HLW5ue5NoZ6DTVMGRI34v84BM8NO9eGt4HqDWzkw4K8swIGgs4hB1hGkSUSFyrQ==" saltValue="/UHaM19kdUUBePZfOgV7k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bK33wRoufmDUnjGlhhJxZfYgWrXPHzsl15FNa5Db0BxKiD5RyDe4LW4ASNg7KLm1FLxFFkHslZVXygBsSSQCFg==" saltValue="xvnI3TCUB4YHVWRhSBPvo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503DRaSqiRZIzXDy6iYUUguFk35lgShQEsKSV6o3zmorwlv1L8rE4oYhstx9bXVkEGn7XeroqxBsM4V7FfNa8w==" saltValue="X00PNSPPmemtd5Ziw6lmu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U7ncNeqfwzbPtP7oBf8GBXyFxrCQ4t8N3PS0G275LD8qrunaVUDR3KW4oNvLAfuk+5sE5qDvFpOT4rpbjZW31Q==" saltValue="x3GxVjqZsQL88lizrKETi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qfrtT1dF1DiG3aQ6WcPFxSE3+pNaUzbCA7+82QAs/HzcU4mdN8Fe/KKZb4r88NTajk7hiYie/W8fAxY5HrnKdQ==" saltValue="fS5Y9bEwCvseCWmXa03/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ojlpdNQn4h7X1x6Sb6siTiW1IKuBgIruHoVzhXQbvUV0qabMkXF9Gu57B2kWHYOBz1zFDZyLv+rS5R4s8AGIxw==" saltValue="ubKV49UTNfG2/LFis0d/+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FdULrCsJvw6jr7oZqxpzYbhdPu5mu5QspW3i4szGUaJWnriYnvWGzsLpY4VTnnbrhzP5+r9sl0Sv4B57FnkwQw==" saltValue="kr2g1o74cYuOKKnu9Ftg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iWjTseaGmxBgy3ejqzIhpctH5W3is2TP2p/5BB9pwb+qKMIq2VkqmxyEZwviCcDqcJYg22FRKZB6ZD5voqafYw==" saltValue="PN6o5sUcl0NpKb8PDmEP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3pRI6+9X41+VdjfcSC4fIYg/xsDCxSI/ANM6R9hQA6rrsG/D/B8zyjEUZ+cUFNr5s52ITIu6sTeM6NIR9CwbZA==" saltValue="2T/qFpGY/tkDY8QQ9pES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pElnDw21EbbIPW7Ff8uJjmyxRZCMN/ZQRRSQfn7+ZWy89L3MoG5h4poXts5DhhLJfxfBLT+c6TBV1RwDqdMUug==" saltValue="7MC1DNRQ16JehFDR/kSdv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2jxq7CsxGo5wFn5c+hRdiwCJgxzLjSW5rPSH/mmebWwEsWPStOL/tTpgqcqD++7r8g8CAoVJKfnynjcUxBiRUA==" saltValue="XEs94UvOYDtDeU96T6N/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oYFlWm7w93g3LssqP9pifXTMSkY74F4RA8jSBCr76bKIj+OuncYfSO+t3dov62fKs/my9BHFVhoOv1Lz6+P8pA==" saltValue="JfIitE4m60/+CwS70K27e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2024-05-17T00:15:26Z</dcterms:modified>
</cp:coreProperties>
</file>