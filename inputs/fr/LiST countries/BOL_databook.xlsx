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039B4D3D-68FC-49FF-BADF-F9C320F0A78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31" i="2"/>
  <c r="A23" i="2"/>
  <c r="H13" i="2"/>
  <c r="I13" i="2" s="1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H5" i="2"/>
  <c r="I5" i="2" s="1"/>
  <c r="G5" i="2"/>
  <c r="H4" i="2"/>
  <c r="G4" i="2"/>
  <c r="I4" i="2" s="1"/>
  <c r="H3" i="2"/>
  <c r="I3" i="2" s="1"/>
  <c r="G3" i="2"/>
  <c r="H2" i="2"/>
  <c r="G2" i="2"/>
  <c r="A2" i="2"/>
  <c r="A40" i="2" s="1"/>
  <c r="C33" i="1"/>
  <c r="C20" i="1"/>
  <c r="I2" i="2" l="1"/>
  <c r="I6" i="2"/>
  <c r="I10" i="2"/>
  <c r="A15" i="2"/>
  <c r="A24" i="2"/>
  <c r="A16" i="2"/>
  <c r="A32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7" i="2"/>
  <c r="A25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<sst xmlns="http://schemas.openxmlformats.org/spreadsheetml/2006/main" count="2101" uniqueCount="337">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</sst>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1280664.078125</v>
      </c>
    </row>
    <row r="8" spans="1:3" ht="15" customHeight="1" x14ac:dyDescent="0.25">
      <c r="B8" s="5" t="s">
        <v>19</v>
      </c>
      <c r="C8" s="44">
        <v>4.4999999999999998E-2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0.77735023498535194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0.57200000000000006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0.12039999999999999</v>
      </c>
    </row>
    <row r="24" spans="1:3" ht="15" customHeight="1" x14ac:dyDescent="0.25">
      <c r="B24" s="15" t="s">
        <v>33</v>
      </c>
      <c r="C24" s="45">
        <v>0.49090000000000011</v>
      </c>
    </row>
    <row r="25" spans="1:3" ht="15" customHeight="1" x14ac:dyDescent="0.25">
      <c r="B25" s="15" t="s">
        <v>34</v>
      </c>
      <c r="C25" s="45">
        <v>0.31830000000000003</v>
      </c>
    </row>
    <row r="26" spans="1:3" ht="15" customHeight="1" x14ac:dyDescent="0.25">
      <c r="B26" s="15" t="s">
        <v>35</v>
      </c>
      <c r="C26" s="45">
        <v>7.0400000000000004E-2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0.27832797111666402</v>
      </c>
    </row>
    <row r="30" spans="1:3" ht="14.25" customHeight="1" x14ac:dyDescent="0.25">
      <c r="B30" s="25" t="s">
        <v>38</v>
      </c>
      <c r="C30" s="99">
        <v>5.5017555006970899E-2</v>
      </c>
    </row>
    <row r="31" spans="1:3" ht="14.25" customHeight="1" x14ac:dyDescent="0.25">
      <c r="B31" s="25" t="s">
        <v>39</v>
      </c>
      <c r="C31" s="99">
        <v>0.107732345514889</v>
      </c>
    </row>
    <row r="32" spans="1:3" ht="14.25" customHeight="1" x14ac:dyDescent="0.25">
      <c r="B32" s="25" t="s">
        <v>40</v>
      </c>
      <c r="C32" s="99">
        <v>0.55892212836147603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13.18085</v>
      </c>
    </row>
    <row r="38" spans="1:5" ht="15" customHeight="1" x14ac:dyDescent="0.25">
      <c r="B38" s="11" t="s">
        <v>45</v>
      </c>
      <c r="C38" s="43">
        <v>20.18317</v>
      </c>
      <c r="D38" s="12"/>
      <c r="E38" s="13"/>
    </row>
    <row r="39" spans="1:5" ht="15" customHeight="1" x14ac:dyDescent="0.25">
      <c r="B39" s="11" t="s">
        <v>46</v>
      </c>
      <c r="C39" s="43">
        <v>24.691939999999999</v>
      </c>
      <c r="D39" s="12"/>
      <c r="E39" s="12"/>
    </row>
    <row r="40" spans="1:5" ht="15" customHeight="1" x14ac:dyDescent="0.25">
      <c r="B40" s="11" t="s">
        <v>47</v>
      </c>
      <c r="C40" s="100">
        <v>1.61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8.7671299999999999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7.2189999999999997E-3</v>
      </c>
      <c r="D45" s="12"/>
    </row>
    <row r="46" spans="1:5" ht="15.75" customHeight="1" x14ac:dyDescent="0.25">
      <c r="B46" s="11" t="s">
        <v>52</v>
      </c>
      <c r="C46" s="45">
        <v>7.7567700000000003E-2</v>
      </c>
      <c r="D46" s="12"/>
    </row>
    <row r="47" spans="1:5" ht="15.75" customHeight="1" x14ac:dyDescent="0.25">
      <c r="B47" s="11" t="s">
        <v>53</v>
      </c>
      <c r="C47" s="45">
        <v>7.4135800000000002E-2</v>
      </c>
      <c r="D47" s="12"/>
      <c r="E47" s="13"/>
    </row>
    <row r="48" spans="1:5" ht="15" customHeight="1" x14ac:dyDescent="0.25">
      <c r="B48" s="11" t="s">
        <v>54</v>
      </c>
      <c r="C48" s="46">
        <v>0.84107749999999992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0.52239300000000011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7.2223348999999895E-2</v>
      </c>
    </row>
    <row r="63" spans="1:4" ht="15.75" customHeight="1" x14ac:dyDescent="0.3">
      <c r="A63" s="4"/>
    </row>
  </sheetData>
  <sheetProtection algorithmName="SHA-512" hashValue="XRTd7RSGdx0+ryvR0xSAkHevn1aeTove/16DgvhYE/bqdWqS4BNS0eim9FhGaS/XWV62SwPyBAnt/bLOQYSW0A==" saltValue="amytgTDcwelSSxipgje1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265235</v>
      </c>
      <c r="C2" s="49">
        <v>715267.5</v>
      </c>
      <c r="D2" s="49">
        <v>1103128</v>
      </c>
      <c r="E2" s="49">
        <v>958138.5</v>
      </c>
      <c r="F2" s="49">
        <v>632260</v>
      </c>
      <c r="G2" s="17">
        <f t="shared" ref="G2:G13" si="0">C2+D2+E2+F2</f>
        <v>3408794</v>
      </c>
      <c r="H2" s="17">
        <f t="shared" ref="H2:H13" si="1">(B2 + stillbirth*B2/(1000-stillbirth))/(1-abortion)</f>
        <v>304069.22350235324</v>
      </c>
      <c r="I2" s="17">
        <f t="shared" ref="I2:I13" si="2">G2-H2</f>
        <v>3104724.7764976467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266191</v>
      </c>
      <c r="C3" s="50">
        <v>720794</v>
      </c>
      <c r="D3" s="50">
        <v>1112139</v>
      </c>
      <c r="E3" s="50">
        <v>977196</v>
      </c>
      <c r="F3" s="50">
        <v>649591.5</v>
      </c>
      <c r="G3" s="17">
        <f t="shared" si="0"/>
        <v>3459720.5</v>
      </c>
      <c r="H3" s="17">
        <f t="shared" si="1"/>
        <v>305165.1956691799</v>
      </c>
      <c r="I3" s="17">
        <f t="shared" si="2"/>
        <v>3154555.3043308202</v>
      </c>
    </row>
    <row r="4" spans="1:9" ht="15.75" customHeight="1" x14ac:dyDescent="0.25">
      <c r="A4" s="5">
        <f t="shared" si="3"/>
        <v>2026</v>
      </c>
      <c r="B4" s="49">
        <v>266974</v>
      </c>
      <c r="C4" s="50">
        <v>724924.00000000012</v>
      </c>
      <c r="D4" s="50">
        <v>1121832.5</v>
      </c>
      <c r="E4" s="50">
        <v>994628.5</v>
      </c>
      <c r="F4" s="50">
        <v>667659</v>
      </c>
      <c r="G4" s="17">
        <f t="shared" si="0"/>
        <v>3509044</v>
      </c>
      <c r="H4" s="17">
        <f t="shared" si="1"/>
        <v>306062.83814472926</v>
      </c>
      <c r="I4" s="17">
        <f t="shared" si="2"/>
        <v>3202981.1618552706</v>
      </c>
    </row>
    <row r="5" spans="1:9" ht="15.75" customHeight="1" x14ac:dyDescent="0.25">
      <c r="A5" s="5">
        <f t="shared" si="3"/>
        <v>2027</v>
      </c>
      <c r="B5" s="49">
        <v>266660</v>
      </c>
      <c r="C5" s="50">
        <v>727847.00000000012</v>
      </c>
      <c r="D5" s="50">
        <v>1132165</v>
      </c>
      <c r="E5" s="50">
        <v>1010160.5</v>
      </c>
      <c r="F5" s="50">
        <v>686487</v>
      </c>
      <c r="G5" s="17">
        <f t="shared" si="0"/>
        <v>3556659.5</v>
      </c>
      <c r="H5" s="17">
        <f t="shared" si="1"/>
        <v>305702.86402298912</v>
      </c>
      <c r="I5" s="17">
        <f t="shared" si="2"/>
        <v>3250956.6359770107</v>
      </c>
    </row>
    <row r="6" spans="1:9" ht="15.75" customHeight="1" x14ac:dyDescent="0.25">
      <c r="A6" s="5">
        <f t="shared" si="3"/>
        <v>2028</v>
      </c>
      <c r="B6" s="49">
        <v>266211</v>
      </c>
      <c r="C6" s="50">
        <v>730456</v>
      </c>
      <c r="D6" s="50">
        <v>1142095</v>
      </c>
      <c r="E6" s="50">
        <v>1023967</v>
      </c>
      <c r="F6" s="50">
        <v>706264</v>
      </c>
      <c r="G6" s="17">
        <f t="shared" si="0"/>
        <v>3602782</v>
      </c>
      <c r="H6" s="17">
        <f t="shared" si="1"/>
        <v>305188.1239571888</v>
      </c>
      <c r="I6" s="17">
        <f t="shared" si="2"/>
        <v>3297593.8760428112</v>
      </c>
    </row>
    <row r="7" spans="1:9" ht="15.75" customHeight="1" x14ac:dyDescent="0.25">
      <c r="A7" s="5">
        <f t="shared" si="3"/>
        <v>2029</v>
      </c>
      <c r="B7" s="49">
        <v>266289</v>
      </c>
      <c r="C7" s="50">
        <v>732649</v>
      </c>
      <c r="D7" s="50">
        <v>1150977.5</v>
      </c>
      <c r="E7" s="50">
        <v>1036973</v>
      </c>
      <c r="F7" s="50">
        <v>726937.5</v>
      </c>
      <c r="G7" s="17">
        <f t="shared" si="0"/>
        <v>3647537</v>
      </c>
      <c r="H7" s="17">
        <f t="shared" si="1"/>
        <v>305277.54428042355</v>
      </c>
      <c r="I7" s="17">
        <f t="shared" si="2"/>
        <v>3342259.4557195762</v>
      </c>
    </row>
    <row r="8" spans="1:9" ht="15.75" customHeight="1" x14ac:dyDescent="0.25">
      <c r="A8" s="5">
        <f t="shared" si="3"/>
        <v>2030</v>
      </c>
      <c r="B8" s="49">
        <v>266744</v>
      </c>
      <c r="C8" s="50">
        <v>734311</v>
      </c>
      <c r="D8" s="50">
        <v>1159434.5</v>
      </c>
      <c r="E8" s="50">
        <v>1048803.5</v>
      </c>
      <c r="F8" s="50">
        <v>748213.5</v>
      </c>
      <c r="G8" s="17">
        <f t="shared" si="0"/>
        <v>3690762.5</v>
      </c>
      <c r="H8" s="17">
        <f t="shared" si="1"/>
        <v>305799.16283262661</v>
      </c>
      <c r="I8" s="17">
        <f t="shared" si="2"/>
        <v>3384963.3371673734</v>
      </c>
    </row>
    <row r="9" spans="1:9" ht="15.75" customHeight="1" x14ac:dyDescent="0.25">
      <c r="A9" s="5">
        <f t="shared" si="3"/>
        <v>2031</v>
      </c>
      <c r="B9" s="49">
        <v>266621</v>
      </c>
      <c r="C9" s="50">
        <v>735535.00000000012</v>
      </c>
      <c r="D9" s="50">
        <v>1168225</v>
      </c>
      <c r="E9" s="50">
        <v>1058956.5</v>
      </c>
      <c r="F9" s="50">
        <v>769857.5</v>
      </c>
      <c r="G9" s="17">
        <f t="shared" si="0"/>
        <v>3732574</v>
      </c>
      <c r="H9" s="17">
        <f t="shared" si="1"/>
        <v>305658.15386137174</v>
      </c>
      <c r="I9" s="17">
        <f t="shared" si="2"/>
        <v>3426915.8461386282</v>
      </c>
    </row>
    <row r="10" spans="1:9" ht="15.75" customHeight="1" x14ac:dyDescent="0.25">
      <c r="A10" s="5">
        <f t="shared" si="3"/>
        <v>2032</v>
      </c>
      <c r="B10" s="49">
        <v>267218</v>
      </c>
      <c r="C10" s="50">
        <v>736479.49999999988</v>
      </c>
      <c r="D10" s="50">
        <v>1176995.5</v>
      </c>
      <c r="E10" s="50">
        <v>1068116.5</v>
      </c>
      <c r="F10" s="50">
        <v>791526.5</v>
      </c>
      <c r="G10" s="17">
        <f t="shared" si="0"/>
        <v>3773118</v>
      </c>
      <c r="H10" s="17">
        <f t="shared" si="1"/>
        <v>306342.56325843808</v>
      </c>
      <c r="I10" s="17">
        <f t="shared" si="2"/>
        <v>3466775.4367415621</v>
      </c>
    </row>
    <row r="11" spans="1:9" ht="15.75" customHeight="1" x14ac:dyDescent="0.25">
      <c r="A11" s="5">
        <f t="shared" si="3"/>
        <v>2033</v>
      </c>
      <c r="B11" s="49">
        <v>266582</v>
      </c>
      <c r="C11" s="50">
        <v>737297</v>
      </c>
      <c r="D11" s="50">
        <v>1185227.5</v>
      </c>
      <c r="E11" s="50">
        <v>1077081.5</v>
      </c>
      <c r="F11" s="50">
        <v>812711.5</v>
      </c>
      <c r="G11" s="17">
        <f t="shared" si="0"/>
        <v>3812317.5</v>
      </c>
      <c r="H11" s="17">
        <f t="shared" si="1"/>
        <v>305613.44369975431</v>
      </c>
      <c r="I11" s="17">
        <f t="shared" si="2"/>
        <v>3506704.0563002457</v>
      </c>
    </row>
    <row r="12" spans="1:9" ht="15.75" customHeight="1" x14ac:dyDescent="0.25">
      <c r="A12" s="5">
        <f t="shared" si="3"/>
        <v>2034</v>
      </c>
      <c r="B12" s="49">
        <v>265709</v>
      </c>
      <c r="C12" s="50">
        <v>738216.5</v>
      </c>
      <c r="D12" s="50">
        <v>1192803.5</v>
      </c>
      <c r="E12" s="50">
        <v>1086156.5</v>
      </c>
      <c r="F12" s="50">
        <v>832759.49999999988</v>
      </c>
      <c r="G12" s="17">
        <f t="shared" si="0"/>
        <v>3849936</v>
      </c>
      <c r="H12" s="17">
        <f t="shared" si="1"/>
        <v>304612.62392816477</v>
      </c>
      <c r="I12" s="17">
        <f t="shared" si="2"/>
        <v>3545323.3760718354</v>
      </c>
    </row>
    <row r="13" spans="1:9" ht="15.75" customHeight="1" x14ac:dyDescent="0.25">
      <c r="A13" s="5">
        <f t="shared" si="3"/>
        <v>2035</v>
      </c>
      <c r="B13" s="49">
        <v>264642</v>
      </c>
      <c r="C13" s="50">
        <v>739428</v>
      </c>
      <c r="D13" s="50">
        <v>1199578</v>
      </c>
      <c r="E13" s="50">
        <v>1095405</v>
      </c>
      <c r="F13" s="50">
        <v>851011.5</v>
      </c>
      <c r="G13" s="17">
        <f t="shared" si="0"/>
        <v>3885422.5</v>
      </c>
      <c r="H13" s="17">
        <f t="shared" si="1"/>
        <v>303389.39976288867</v>
      </c>
      <c r="I13" s="17">
        <f t="shared" si="2"/>
        <v>3582033.1002371116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+kS/KXK1ZXTz+mU370okoOc1qpdK0qdFUKrJomNeb7blT2mQtSuUzQ79YRDvRd7Z3uu92e4KoFN0whx1z+b/KA==" saltValue="o+mV3uWzZXppeXYmPlHtB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3.6456003645600312E-3</v>
      </c>
    </row>
    <row r="4" spans="1:8" ht="15.75" customHeight="1" x14ac:dyDescent="0.25">
      <c r="B4" s="19" t="s">
        <v>79</v>
      </c>
      <c r="C4" s="101">
        <v>5.8251005825100642E-2</v>
      </c>
    </row>
    <row r="5" spans="1:8" ht="15.75" customHeight="1" x14ac:dyDescent="0.25">
      <c r="B5" s="19" t="s">
        <v>80</v>
      </c>
      <c r="C5" s="101">
        <v>5.1449305144930617E-2</v>
      </c>
    </row>
    <row r="6" spans="1:8" ht="15.75" customHeight="1" x14ac:dyDescent="0.25">
      <c r="B6" s="19" t="s">
        <v>81</v>
      </c>
      <c r="C6" s="101">
        <v>0.2125657212565718</v>
      </c>
    </row>
    <row r="7" spans="1:8" ht="15.75" customHeight="1" x14ac:dyDescent="0.25">
      <c r="B7" s="19" t="s">
        <v>82</v>
      </c>
      <c r="C7" s="101">
        <v>0.4356234435623445</v>
      </c>
    </row>
    <row r="8" spans="1:8" ht="15.75" customHeight="1" x14ac:dyDescent="0.25">
      <c r="B8" s="19" t="s">
        <v>83</v>
      </c>
      <c r="C8" s="101">
        <v>6.3460006346000757E-4</v>
      </c>
    </row>
    <row r="9" spans="1:8" ht="15.75" customHeight="1" x14ac:dyDescent="0.25">
      <c r="B9" s="19" t="s">
        <v>84</v>
      </c>
      <c r="C9" s="101">
        <v>0.14113301411330151</v>
      </c>
    </row>
    <row r="10" spans="1:8" ht="15.75" customHeight="1" x14ac:dyDescent="0.25">
      <c r="B10" s="19" t="s">
        <v>85</v>
      </c>
      <c r="C10" s="101">
        <v>9.6697309669731002E-2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0.14643778857166589</v>
      </c>
      <c r="D14" s="55">
        <v>0.14643778857166589</v>
      </c>
      <c r="E14" s="55">
        <v>0.14643778857166589</v>
      </c>
      <c r="F14" s="55">
        <v>0.14643778857166589</v>
      </c>
    </row>
    <row r="15" spans="1:8" ht="15.75" customHeight="1" x14ac:dyDescent="0.25">
      <c r="B15" s="19" t="s">
        <v>88</v>
      </c>
      <c r="C15" s="101">
        <v>0.39091396468178219</v>
      </c>
      <c r="D15" s="101">
        <v>0.39091396468178219</v>
      </c>
      <c r="E15" s="101">
        <v>0.39091396468178219</v>
      </c>
      <c r="F15" s="101">
        <v>0.39091396468178219</v>
      </c>
    </row>
    <row r="16" spans="1:8" ht="15.75" customHeight="1" x14ac:dyDescent="0.25">
      <c r="B16" s="19" t="s">
        <v>89</v>
      </c>
      <c r="C16" s="101">
        <v>1.3659483875896231E-2</v>
      </c>
      <c r="D16" s="101">
        <v>1.3659483875896231E-2</v>
      </c>
      <c r="E16" s="101">
        <v>1.3659483875896231E-2</v>
      </c>
      <c r="F16" s="101">
        <v>1.3659483875896231E-2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4.346055659389562E-4</v>
      </c>
      <c r="D18" s="101">
        <v>4.346055659389562E-4</v>
      </c>
      <c r="E18" s="101">
        <v>4.346055659389562E-4</v>
      </c>
      <c r="F18" s="101">
        <v>4.346055659389562E-4</v>
      </c>
    </row>
    <row r="19" spans="1:8" ht="15.75" customHeight="1" x14ac:dyDescent="0.25">
      <c r="B19" s="19" t="s">
        <v>92</v>
      </c>
      <c r="C19" s="101">
        <v>7.3238663536894996E-2</v>
      </c>
      <c r="D19" s="101">
        <v>7.3238663536894996E-2</v>
      </c>
      <c r="E19" s="101">
        <v>7.3238663536894996E-2</v>
      </c>
      <c r="F19" s="101">
        <v>7.3238663536894996E-2</v>
      </c>
    </row>
    <row r="20" spans="1:8" ht="15.75" customHeight="1" x14ac:dyDescent="0.25">
      <c r="B20" s="19" t="s">
        <v>93</v>
      </c>
      <c r="C20" s="101">
        <v>1.5811306996846401E-2</v>
      </c>
      <c r="D20" s="101">
        <v>1.5811306996846401E-2</v>
      </c>
      <c r="E20" s="101">
        <v>1.5811306996846401E-2</v>
      </c>
      <c r="F20" s="101">
        <v>1.5811306996846401E-2</v>
      </c>
    </row>
    <row r="21" spans="1:8" ht="15.75" customHeight="1" x14ac:dyDescent="0.25">
      <c r="B21" s="19" t="s">
        <v>94</v>
      </c>
      <c r="C21" s="101">
        <v>0.20377146627416279</v>
      </c>
      <c r="D21" s="101">
        <v>0.20377146627416279</v>
      </c>
      <c r="E21" s="101">
        <v>0.20377146627416279</v>
      </c>
      <c r="F21" s="101">
        <v>0.20377146627416279</v>
      </c>
    </row>
    <row r="22" spans="1:8" ht="15.75" customHeight="1" x14ac:dyDescent="0.25">
      <c r="B22" s="19" t="s">
        <v>95</v>
      </c>
      <c r="C22" s="101">
        <v>0.15573272049681261</v>
      </c>
      <c r="D22" s="101">
        <v>0.15573272049681261</v>
      </c>
      <c r="E22" s="101">
        <v>0.15573272049681261</v>
      </c>
      <c r="F22" s="101">
        <v>0.15573272049681261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6.8104466000000002E-2</v>
      </c>
    </row>
    <row r="27" spans="1:8" ht="15.75" customHeight="1" x14ac:dyDescent="0.25">
      <c r="B27" s="19" t="s">
        <v>102</v>
      </c>
      <c r="C27" s="101">
        <v>4.1400316000000013E-2</v>
      </c>
    </row>
    <row r="28" spans="1:8" ht="15.75" customHeight="1" x14ac:dyDescent="0.25">
      <c r="B28" s="19" t="s">
        <v>103</v>
      </c>
      <c r="C28" s="101">
        <v>0.33340020500000001</v>
      </c>
    </row>
    <row r="29" spans="1:8" ht="15.75" customHeight="1" x14ac:dyDescent="0.25">
      <c r="B29" s="19" t="s">
        <v>104</v>
      </c>
      <c r="C29" s="101">
        <v>0.12901136499999999</v>
      </c>
    </row>
    <row r="30" spans="1:8" ht="15.75" customHeight="1" x14ac:dyDescent="0.25">
      <c r="B30" s="19" t="s">
        <v>2</v>
      </c>
      <c r="C30" s="101">
        <v>9.0447656999999987E-2</v>
      </c>
    </row>
    <row r="31" spans="1:8" ht="15.75" customHeight="1" x14ac:dyDescent="0.25">
      <c r="B31" s="19" t="s">
        <v>105</v>
      </c>
      <c r="C31" s="101">
        <v>5.0940217000000003E-2</v>
      </c>
    </row>
    <row r="32" spans="1:8" ht="15.75" customHeight="1" x14ac:dyDescent="0.25">
      <c r="B32" s="19" t="s">
        <v>106</v>
      </c>
      <c r="C32" s="101">
        <v>1.0491317999999999E-2</v>
      </c>
    </row>
    <row r="33" spans="2:3" ht="15.75" customHeight="1" x14ac:dyDescent="0.25">
      <c r="B33" s="19" t="s">
        <v>107</v>
      </c>
      <c r="C33" s="101">
        <v>8.3462208999999982E-2</v>
      </c>
    </row>
    <row r="34" spans="2:3" ht="15.75" customHeight="1" x14ac:dyDescent="0.25">
      <c r="B34" s="19" t="s">
        <v>108</v>
      </c>
      <c r="C34" s="101">
        <v>0.19274224700000001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1juEp5gMviPBdr4hkJD6HP5S4gMvxdYMd6OzRb+sAbSDVwZebAphL/ExnVzHP0DBjbRbeLY+Z99YECEAc3wkdg==" saltValue="y782n+0wBOcqTh4N5UVEN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0.5052320066812086</v>
      </c>
      <c r="D2" s="52">
        <f>IFERROR(1-_xlfn.NORM.DIST(_xlfn.NORM.INV(SUM(D4:D5), 0, 1) + 1, 0, 1, TRUE), "")</f>
        <v>0.5052320066812086</v>
      </c>
      <c r="E2" s="52">
        <f>IFERROR(1-_xlfn.NORM.DIST(_xlfn.NORM.INV(SUM(E4:E5), 0, 1) + 1, 0, 1, TRUE), "")</f>
        <v>0.57093155676470841</v>
      </c>
      <c r="F2" s="52">
        <f>IFERROR(1-_xlfn.NORM.DIST(_xlfn.NORM.INV(SUM(F4:F5), 0, 1) + 1, 0, 1, TRUE), "")</f>
        <v>0.47407796175377315</v>
      </c>
      <c r="G2" s="52">
        <f>IFERROR(1-_xlfn.NORM.DIST(_xlfn.NORM.INV(SUM(G4:G5), 0, 1) + 1, 0, 1, TRUE), "")</f>
        <v>0.48963584930655313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0.33926539331879141</v>
      </c>
      <c r="D3" s="52">
        <f>IFERROR(_xlfn.NORM.DIST(_xlfn.NORM.INV(SUM(D4:D5), 0, 1) + 1, 0, 1, TRUE) - SUM(D4:D5), "")</f>
        <v>0.33926539331879141</v>
      </c>
      <c r="E3" s="52">
        <f>IFERROR(_xlfn.NORM.DIST(_xlfn.NORM.INV(SUM(E4:E5), 0, 1) + 1, 0, 1, TRUE) - SUM(E4:E5), "")</f>
        <v>0.30981884323529157</v>
      </c>
      <c r="F3" s="52">
        <f>IFERROR(_xlfn.NORM.DIST(_xlfn.NORM.INV(SUM(F4:F5), 0, 1) + 1, 0, 1, TRUE) - SUM(F4:F5), "")</f>
        <v>0.35102203824622685</v>
      </c>
      <c r="G3" s="52">
        <f>IFERROR(_xlfn.NORM.DIST(_xlfn.NORM.INV(SUM(G4:G5), 0, 1) + 1, 0, 1, TRUE) - SUM(G4:G5), "")</f>
        <v>0.34534035069344687</v>
      </c>
    </row>
    <row r="4" spans="1:15" ht="15.75" customHeight="1" x14ac:dyDescent="0.25">
      <c r="B4" s="5" t="s">
        <v>114</v>
      </c>
      <c r="C4" s="45">
        <v>9.9006399999999994E-2</v>
      </c>
      <c r="D4" s="53">
        <v>9.9006399999999994E-2</v>
      </c>
      <c r="E4" s="53">
        <v>7.5483000000000008E-2</v>
      </c>
      <c r="F4" s="53">
        <v>0.1208683</v>
      </c>
      <c r="G4" s="53">
        <v>0.12677720000000001</v>
      </c>
    </row>
    <row r="5" spans="1:15" ht="15.75" customHeight="1" x14ac:dyDescent="0.25">
      <c r="B5" s="5" t="s">
        <v>115</v>
      </c>
      <c r="C5" s="45">
        <v>5.6496200000000003E-2</v>
      </c>
      <c r="D5" s="53">
        <v>5.6496200000000003E-2</v>
      </c>
      <c r="E5" s="53">
        <v>4.3766600000000003E-2</v>
      </c>
      <c r="F5" s="53">
        <v>5.4031700000000002E-2</v>
      </c>
      <c r="G5" s="53">
        <v>3.8246599999999999E-2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0.71831623593806282</v>
      </c>
      <c r="D8" s="52">
        <f>IFERROR(1-_xlfn.NORM.DIST(_xlfn.NORM.INV(SUM(D10:D11), 0, 1) + 1, 0, 1, TRUE), "")</f>
        <v>0.71831623593806282</v>
      </c>
      <c r="E8" s="52">
        <f>IFERROR(1-_xlfn.NORM.DIST(_xlfn.NORM.INV(SUM(E10:E11), 0, 1) + 1, 0, 1, TRUE), "")</f>
        <v>0.89517483931743669</v>
      </c>
      <c r="F8" s="52">
        <f>IFERROR(1-_xlfn.NORM.DIST(_xlfn.NORM.INV(SUM(F10:F11), 0, 1) + 1, 0, 1, TRUE), "")</f>
        <v>0.86350647454993412</v>
      </c>
      <c r="G8" s="52">
        <f>IFERROR(1-_xlfn.NORM.DIST(_xlfn.NORM.INV(SUM(G10:G11), 0, 1) + 1, 0, 1, TRUE), "")</f>
        <v>0.87255591917208486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0.22438336406193718</v>
      </c>
      <c r="D9" s="52">
        <f>IFERROR(_xlfn.NORM.DIST(_xlfn.NORM.INV(SUM(D10:D11), 0, 1) + 1, 0, 1, TRUE) - SUM(D10:D11), "")</f>
        <v>0.22438336406193718</v>
      </c>
      <c r="E9" s="52">
        <f>IFERROR(_xlfn.NORM.DIST(_xlfn.NORM.INV(SUM(E10:E11), 0, 1) + 1, 0, 1, TRUE) - SUM(E10:E11), "")</f>
        <v>9.2743660682563345E-2</v>
      </c>
      <c r="F9" s="52">
        <f>IFERROR(_xlfn.NORM.DIST(_xlfn.NORM.INV(SUM(F10:F11), 0, 1) + 1, 0, 1, TRUE) - SUM(F10:F11), "")</f>
        <v>0.11846172545006591</v>
      </c>
      <c r="G9" s="52">
        <f>IFERROR(_xlfn.NORM.DIST(_xlfn.NORM.INV(SUM(G10:G11), 0, 1) + 1, 0, 1, TRUE) - SUM(G10:G11), "")</f>
        <v>0.11120828082791512</v>
      </c>
    </row>
    <row r="10" spans="1:15" ht="15.75" customHeight="1" x14ac:dyDescent="0.25">
      <c r="B10" s="5" t="s">
        <v>119</v>
      </c>
      <c r="C10" s="45">
        <v>1.6462299999999999E-2</v>
      </c>
      <c r="D10" s="53">
        <v>1.6462299999999999E-2</v>
      </c>
      <c r="E10" s="53">
        <v>6.1853000000000003E-3</v>
      </c>
      <c r="F10" s="53">
        <v>1.06268E-2</v>
      </c>
      <c r="G10" s="53">
        <v>9.9104999999999992E-3</v>
      </c>
    </row>
    <row r="11" spans="1:15" ht="15.75" customHeight="1" x14ac:dyDescent="0.25">
      <c r="B11" s="5" t="s">
        <v>120</v>
      </c>
      <c r="C11" s="45">
        <v>4.0838100000000002E-2</v>
      </c>
      <c r="D11" s="53">
        <v>4.0838100000000002E-2</v>
      </c>
      <c r="E11" s="53">
        <v>5.8962000000000007E-3</v>
      </c>
      <c r="F11" s="53">
        <v>7.4050000000000001E-3</v>
      </c>
      <c r="G11" s="53">
        <v>6.3253000000000007E-3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0.81728989924999995</v>
      </c>
      <c r="D14" s="54">
        <v>0.77722719937100004</v>
      </c>
      <c r="E14" s="54">
        <v>0.77722719937100004</v>
      </c>
      <c r="F14" s="54">
        <v>0.50306668461399995</v>
      </c>
      <c r="G14" s="54">
        <v>0.50306668461399995</v>
      </c>
      <c r="H14" s="45">
        <v>0.36799999999999999</v>
      </c>
      <c r="I14" s="55">
        <v>0.36799999999999999</v>
      </c>
      <c r="J14" s="55">
        <v>0.36799999999999999</v>
      </c>
      <c r="K14" s="55">
        <v>0.36799999999999999</v>
      </c>
      <c r="L14" s="45">
        <v>0.29799999999999999</v>
      </c>
      <c r="M14" s="55">
        <v>0.29799999999999999</v>
      </c>
      <c r="N14" s="55">
        <v>0.29799999999999999</v>
      </c>
      <c r="O14" s="55">
        <v>0.29799999999999999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0.42694652233890529</v>
      </c>
      <c r="D15" s="52">
        <f t="shared" si="0"/>
        <v>0.4060180483610149</v>
      </c>
      <c r="E15" s="52">
        <f t="shared" si="0"/>
        <v>0.4060180483610149</v>
      </c>
      <c r="F15" s="52">
        <f t="shared" si="0"/>
        <v>0.2627985145755613</v>
      </c>
      <c r="G15" s="52">
        <f t="shared" si="0"/>
        <v>0.2627985145755613</v>
      </c>
      <c r="H15" s="52">
        <f t="shared" si="0"/>
        <v>0.19224062400000003</v>
      </c>
      <c r="I15" s="52">
        <f t="shared" si="0"/>
        <v>0.19224062400000003</v>
      </c>
      <c r="J15" s="52">
        <f t="shared" si="0"/>
        <v>0.19224062400000003</v>
      </c>
      <c r="K15" s="52">
        <f t="shared" si="0"/>
        <v>0.19224062400000003</v>
      </c>
      <c r="L15" s="52">
        <f t="shared" si="0"/>
        <v>0.15567311400000003</v>
      </c>
      <c r="M15" s="52">
        <f t="shared" si="0"/>
        <v>0.15567311400000003</v>
      </c>
      <c r="N15" s="52">
        <f t="shared" si="0"/>
        <v>0.15567311400000003</v>
      </c>
      <c r="O15" s="52">
        <f t="shared" si="0"/>
        <v>0.15567311400000003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PLOAQmqD0IzU7mzVNhBE9TGyZd9uuj+91JZ5NTwK5eFaE/6ScYxT22HDlZUUpu1FYus/aejj7mXNlXkZ76sTA==" saltValue="lRdAlmAn/93ZjsV7MkvF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0.63335149999999996</v>
      </c>
      <c r="D2" s="53">
        <v>0.57843060000000002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1.9000099999999999E-2</v>
      </c>
      <c r="D3" s="53">
        <v>9.86514E-2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0.2879409</v>
      </c>
      <c r="D4" s="53">
        <v>0.28117239999999999</v>
      </c>
      <c r="E4" s="53">
        <v>0.87896350000000001</v>
      </c>
      <c r="F4" s="53">
        <v>0.59752729999999998</v>
      </c>
      <c r="G4" s="53">
        <v>0</v>
      </c>
    </row>
    <row r="5" spans="1:7" x14ac:dyDescent="0.25">
      <c r="B5" s="3" t="s">
        <v>132</v>
      </c>
      <c r="C5" s="52">
        <v>5.97076E-2</v>
      </c>
      <c r="D5" s="52">
        <v>4.1745599999999987E-2</v>
      </c>
      <c r="E5" s="52">
        <f>1-SUM(E2:E4)</f>
        <v>0.12103649999999999</v>
      </c>
      <c r="F5" s="52">
        <f>1-SUM(F2:F4)</f>
        <v>0.40247270000000002</v>
      </c>
      <c r="G5" s="52">
        <f>1-SUM(G2:G4)</f>
        <v>1</v>
      </c>
    </row>
  </sheetData>
  <sheetProtection algorithmName="SHA-512" hashValue="DIJBZuZNL2DJ3c5BK/DTjhh28V9QzPgNSF3OWsBvxI/CJED3G8ZP2no4mdPJmvVSZHp+vqSRKpHG1EESEhCPkg==" saltValue="+1EpYxHRLfSAtHIx9pwnq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7NILfzF8RciuZ/eZmICuxAezp1EI4MVTuSCYTxOqZ3zwrcc+frUxdkuiu60LY9f9WzkL9ON8YSSPYkFTbr5l0Q==" saltValue="m13x8d5+JOOE0K5iwaCos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vo1tV/Pgseb64+NOWThjT5QnKd079Ow9unL0V0KIpk5Xgo71ko6Rl7OKOY5Gp9EocNKZNPZi5ecfTylw9dmUBQ==" saltValue="XWzKl3wUin7nzvJc5hmmi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PSVFXJecsVmk+f+AEeS5uUmD3fnHIudKMI3Ir6dzVBtq2w184zzHkVTqu/pSov4LJIYSWQdjNvA8ZRlDjBs0XA==" saltValue="RZcZ4iZw131UZdjCky2xK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6h2wIwMIXpAgqRTyJKZNy04JgIIODhgwovaIW4W/YOeL0oDzTl/BycnHFPd1JjtumZhZEir1sas83A0vobWCmw==" saltValue="sNKIJp21CLqi34QWFurij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51.401759028170218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39.731579279716087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310.49560891409538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0.84658616962475519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0.25147419999999998</v>
      </c>
      <c r="C10" s="98">
        <v>0.95</v>
      </c>
      <c r="D10" s="56">
        <v>12.863878723512009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12.863878723512009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12.863878723512009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12.863878723512009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0.25147419999999998</v>
      </c>
      <c r="C14" s="98">
        <v>0.95</v>
      </c>
      <c r="D14" s="56">
        <v>12.863878723512009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12.863878723512009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0.57064452340735461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0.191266666666667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0.57843060000000002</v>
      </c>
      <c r="C18" s="98">
        <v>0.95</v>
      </c>
      <c r="D18" s="56">
        <v>7.1893102094440149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0.57843060000000002</v>
      </c>
      <c r="C19" s="98">
        <v>0.95</v>
      </c>
      <c r="D19" s="56">
        <v>7.1893102094440149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9.7399777981275673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22.12118995836277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4.1866497120487418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0.62066605665885999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0.25147419999999998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18.43140089545771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0.1417909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0.67377399999999998</v>
      </c>
      <c r="C29" s="98">
        <v>0.95</v>
      </c>
      <c r="D29" s="56">
        <v>98.521408904830395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1.01886993046857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0.31</v>
      </c>
      <c r="C32" s="98">
        <v>0.95</v>
      </c>
      <c r="D32" s="56">
        <v>1.210007178251463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0.26987369999999999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0.16559660000000001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1.1714E-3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0.67045480000000002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2.0761999999999999E-2</v>
      </c>
      <c r="C38" s="98">
        <v>0.95</v>
      </c>
      <c r="D38" s="56">
        <v>4.1448077543726143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plFA2UC1nlxahSd2jopMUqIO+Dggj7ssqe7DhzJ46AoxOygJxa4VMiYVd/2Uam7uv2qTvA1VDjq18wr9PQBGUg==" saltValue="PMq3EMclnvp0M3H1Mfg2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0mPXcM0KjkKokTDDj3G16akIqZwt7AMmQSmMagHMZQEkq2SW6mkKSUQzAL0lZjHIrDTAA9mHhlt1xzv9sML3IA==" saltValue="qzvjIx6Q2HoguLhE/lWgq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gAXGlvFGZ98/IefLUNZVTBnu5XJ+2NyDeSGxrPEBX+YzIoFUB0AILXw4wYN46KFkVAC2nZ6XsHviuuPHF/j31w==" saltValue="/09tY8FpaQH0SnUk6jcFp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4.2801979999999996E-2</v>
      </c>
      <c r="C3" s="21">
        <f>frac_mam_1_5months * 2.6</f>
        <v>4.2801979999999996E-2</v>
      </c>
      <c r="D3" s="21">
        <f>frac_mam_6_11months * 2.6</f>
        <v>1.608178E-2</v>
      </c>
      <c r="E3" s="21">
        <f>frac_mam_12_23months * 2.6</f>
        <v>2.7629680000000004E-2</v>
      </c>
      <c r="F3" s="21">
        <f>frac_mam_24_59months * 2.6</f>
        <v>2.57673E-2</v>
      </c>
    </row>
    <row r="4" spans="1:6" ht="15.75" customHeight="1" x14ac:dyDescent="0.25">
      <c r="A4" s="3" t="s">
        <v>208</v>
      </c>
      <c r="B4" s="21">
        <f>frac_sam_1month * 2.6</f>
        <v>0.10617906000000001</v>
      </c>
      <c r="C4" s="21">
        <f>frac_sam_1_5months * 2.6</f>
        <v>0.10617906000000001</v>
      </c>
      <c r="D4" s="21">
        <f>frac_sam_6_11months * 2.6</f>
        <v>1.5330120000000003E-2</v>
      </c>
      <c r="E4" s="21">
        <f>frac_sam_12_23months * 2.6</f>
        <v>1.9252999999999999E-2</v>
      </c>
      <c r="F4" s="21">
        <f>frac_sam_24_59months * 2.6</f>
        <v>1.6445780000000004E-2</v>
      </c>
    </row>
  </sheetData>
  <sheetProtection algorithmName="SHA-512" hashValue="i/ORot5fuo1FkjmoMK3ERTrP2GTfHgjTyVwExbj4K0FeDjHUeMXEwYnrTUUvT9MpO9BQ0cj9jXYa0X2CEiu3+Q==" saltValue="3v+b9pf35FE3jhdhxA49g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4.4999999999999998E-2</v>
      </c>
      <c r="E2" s="60">
        <f>food_insecure</f>
        <v>4.4999999999999998E-2</v>
      </c>
      <c r="F2" s="60">
        <f>food_insecure</f>
        <v>4.4999999999999998E-2</v>
      </c>
      <c r="G2" s="60">
        <f>food_insecure</f>
        <v>4.4999999999999998E-2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4.4999999999999998E-2</v>
      </c>
      <c r="I15" s="60">
        <f>food_insecure</f>
        <v>4.4999999999999998E-2</v>
      </c>
      <c r="J15" s="60">
        <f>food_insecure</f>
        <v>4.4999999999999998E-2</v>
      </c>
      <c r="K15" s="60">
        <f>food_insecure</f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0.57200000000000006</v>
      </c>
      <c r="M24" s="60">
        <f>famplan_unmet_need</f>
        <v>0.57200000000000006</v>
      </c>
      <c r="N24" s="60">
        <f>famplan_unmet_need</f>
        <v>0.57200000000000006</v>
      </c>
      <c r="O24" s="60">
        <f>famplan_unmet_need</f>
        <v>0.57200000000000006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0.11120242513656596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4.7658182201385409E-2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6.378915767669667E-2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0.77735023498535194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NEGluJIBmIY3IAlcmFfWitjlV/R69XQw0DSVkDP/nrnzyxqbg+MPmJG6rKQQnD39u1wED/myJKMJKJZk16nUw==" saltValue="ZlEpwriNjFbvZ6EqM62NX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h8ypE4BCcE5nJjutcxIWRdQTGkqUWa/yhzE5jvrULEnxnluEjMnDLtVFcWuG75He3BJ5idJaozsbFJVTUeV+eg==" saltValue="A/ei5dYZ7tuP7Ra1DYt6e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3Z/LLoLjNrOtycluWbn5ykkvauu+g+4d0WywJg3diHcXkrpH9DqDK9tbS5LOfF1F24SIB9tVec3S1OBd4JCeg==" saltValue="V2C7+qrEOpdgYh6isTFQO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bfHEtW4CVbqY87g4no07jjalkKzNVLyrA0qAj8fSvIYLqXnq0oG4KXNKeEebceZXBrqKWk4mZKjBi0J1R6mnQ==" saltValue="FIcfQy7kwe3W184BSaH0s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F4F9LvWweySfcH8AnfSU4A4IDBSSfrdYrPqoAwX+XHHXADuG7dRAVlJC14/XoDNIxd3AcsOth62w3LHxE5PqDg==" saltValue="3eZwpwLlGaup/LKF8ZWSl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lD2UY0oIWLQ0BbukGHK4k77Bp5bDN4fmo9QtIqg6ZxbBDb9HiEvNHMLB+zgaeUmsnuBe8p51F9CYTkVKV13OQ==" saltValue="h/lPugcfN9+HHuzTZnqzK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wLxJSlZmejfCQiC+j2mRpvmgw6EaRzFiP3grcT8u1l9zGtffkVPpGIPIwPHSeGpchZGgjsaHACnmgLzY//3PQ==" saltValue="ZseWn6Fegn5O6T0fsVDZ9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pWO8s1o5o6tutJMXVVqGP/Mf3xh+WfCdc4IOUQiH/tyGukY9GuzHYXnq/XRl1Id4o/kVfoUdI44WSaGeEshVw==" saltValue="D+Z431+GqacuqAHcb2RH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1H2631MaOyEnO73GNWJ3gNUEppHAxrM+BtLXYiww1bZkWdEat/3Z8j7CWZnpWNfMXdxR30l118MZr+wwYP8dQ==" saltValue="Uv3/C1ONRdquxHPjy+b4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I4HS9wWH+CQzA5Aed/f9pPCp8JUMcCTqDLSEE8oA42DQcbO2jJtenWwWO1OmjjnkulTk6Jsv5mo4znRgoBeWA==" saltValue="CZoxQhjPCUahp60D5m4X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1VDIej0KGWuIYVB+v2Xi1nGGWYHMZcBmfiGOySUTizY8lsLZaPHKanhcBzLbvAKXoroJc200FyaawaZQ9w9Yew==" saltValue="JJMHvln68quxDUu266JP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CrlWCsLvbQO97EImkYU2f8YE/cNLZKgILqnFB3BRIjedWfv5PimaU7kkPp4asR4FiPUCECf51pwZRqRJ48Ijw==" saltValue="1/jjhnJJckS8vqMNFLcm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NUyKcr7SLsGMbcuTnJ9gdVp0902v6jZLmPiEFTFtbGUiGQCKSPBZaK++LU18Zi16JXH4mIT9lxO8OWwbCYBYA==" saltValue="NO9vIvxf8mMWeJSWQuK/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0.10942238739085863</v>
      </c>
      <c r="G18" s="90">
        <f>MIN(MAX(1-0.89/(1-frac_sam_12_23months+(frac_sam_12_23months*0.89)),0),1)</f>
        <v>0.10927445951099468</v>
      </c>
      <c r="H18" s="90">
        <f>MIN(MAX(1-0.89/(1-frac_sam_24_59months+(frac_sam_24_59months*0.89)),0),1)</f>
        <v>0.10938032196856029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0.10939404684977783</v>
      </c>
      <c r="G20" s="90">
        <f>MIN(MAX(1-0.89/(1-frac_mam_12_23months+(frac_mam_12_23months*0.89)),0),1)</f>
        <v>0.10895841872565248</v>
      </c>
      <c r="H20" s="90">
        <f>MIN(MAX(1-0.89/(1-frac_mam_24_59months+(frac_mam_24_59months*0.89)),0),1)</f>
        <v>0.10902870318592151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9.9416241780447834E-3</v>
      </c>
      <c r="G73" s="90">
        <f>MIN(MAX(1-0.99/(1-frac_sam_12_23months+(frac_sam_12_23months*0.99)),0),1)</f>
        <v>9.9266850710294507E-3</v>
      </c>
      <c r="H73" s="90">
        <f>MIN(MAX(1-0.99/(1-frac_sam_24_59months+(frac_sam_24_59months*0.99)),0),1)</f>
        <v>9.9373755688169085E-3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9.9387617422300734E-3</v>
      </c>
      <c r="G75" s="90">
        <f>MIN(MAX(1-0.99/(1-frac_mam_12_23months+(frac_mam_12_23months*0.99)),0),1)</f>
        <v>9.894783498852866E-3</v>
      </c>
      <c r="H75" s="90">
        <f>MIN(MAX(1-0.99/(1-frac_mam_24_59months+(frac_mam_24_59months*0.99)),0),1)</f>
        <v>9.9018763254531406E-3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0.19905549420098145</v>
      </c>
      <c r="G128" s="90">
        <f>MIN(MAX(1-0.8/(1-frac_sam_12_23months+(frac_sam_12_23months*0.8)),0),1)</f>
        <v>0.19881344270865153</v>
      </c>
      <c r="H128" s="90">
        <f>MIN(MAX(1-0.8/(1-frac_sam_24_59months+(frac_sam_24_59months*0.8)),0),1)</f>
        <v>0.19898667007684745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0.19900912622969369</v>
      </c>
      <c r="G130" s="90">
        <f>MIN(MAX(1-0.8/(1-frac_mam_12_23months+(frac_mam_12_23months*0.8)),0),1)</f>
        <v>0.19829609057907305</v>
      </c>
      <c r="H130" s="90">
        <f>MIN(MAX(1-0.8/(1-frac_mam_24_59months+(frac_mam_24_59months*0.8)),0),1)</f>
        <v>0.19841117078160608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dStgelJMEC9UurUMSQJ7k9C+ZJDESL6RfOI47Vg+b1/rCcOtITrzUwLWg/jS8Xr629nZkbmt3/Z9WHLi5j9gQ==" saltValue="eZzmEB2gNWuhNuwZ5Jr6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DrA1m9zzreuDMdMYkFPkvWv19xaVcrgSxSm9onfZjItFbjcdoaYg/FXfXQFsZHDLeu4fJOc8SZWCRoL555PwHA==" saltValue="V/Wq693tDD2/KTX9ATMFd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2024-08-06T08:48:11Z</dcterms:modified>
</cp:coreProperties>
</file>