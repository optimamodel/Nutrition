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13BAA75-CA13-401A-9AA4-221C9B64F7C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<sst xmlns="http://schemas.openxmlformats.org/spreadsheetml/2006/main" count="2159" uniqueCount="368">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</sst>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1255702.5</v>
      </c>
    </row>
    <row r="8" spans="1:3" ht="15" customHeight="1" x14ac:dyDescent="0.25">
      <c r="B8" s="5" t="s">
        <v>37</v>
      </c>
      <c r="C8" s="44">
        <v>4.4999999999999998E-2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0.77735023498535194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0.12039999999999999</v>
      </c>
    </row>
    <row r="24" spans="1:3" ht="15" customHeight="1" x14ac:dyDescent="0.25">
      <c r="B24" s="15" t="s">
        <v>51</v>
      </c>
      <c r="C24" s="45">
        <v>0.49090000000000011</v>
      </c>
    </row>
    <row r="25" spans="1:3" ht="15" customHeight="1" x14ac:dyDescent="0.25">
      <c r="B25" s="15" t="s">
        <v>52</v>
      </c>
      <c r="C25" s="45">
        <v>0.31830000000000003</v>
      </c>
    </row>
    <row r="26" spans="1:3" ht="15" customHeight="1" x14ac:dyDescent="0.25">
      <c r="B26" s="15" t="s">
        <v>53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0.27832797111666402</v>
      </c>
    </row>
    <row r="30" spans="1:3" ht="14.25" customHeight="1" x14ac:dyDescent="0.25">
      <c r="B30" s="25" t="s">
        <v>56</v>
      </c>
      <c r="C30" s="99">
        <v>5.5017555006970899E-2</v>
      </c>
    </row>
    <row r="31" spans="1:3" ht="14.25" customHeight="1" x14ac:dyDescent="0.25">
      <c r="B31" s="25" t="s">
        <v>57</v>
      </c>
      <c r="C31" s="99">
        <v>0.107732345514889</v>
      </c>
    </row>
    <row r="32" spans="1:3" ht="14.25" customHeight="1" x14ac:dyDescent="0.25">
      <c r="B32" s="25" t="s">
        <v>58</v>
      </c>
      <c r="C32" s="99">
        <v>0.55892212836147603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13.18085</v>
      </c>
    </row>
    <row r="38" spans="1:5" ht="15" customHeight="1" x14ac:dyDescent="0.25">
      <c r="B38" s="11" t="s">
        <v>63</v>
      </c>
      <c r="C38" s="43">
        <v>20.18317</v>
      </c>
      <c r="D38" s="12"/>
      <c r="E38" s="13"/>
    </row>
    <row r="39" spans="1:5" ht="15" customHeight="1" x14ac:dyDescent="0.25">
      <c r="B39" s="11" t="s">
        <v>64</v>
      </c>
      <c r="C39" s="43">
        <v>24.691939999999999</v>
      </c>
      <c r="D39" s="12"/>
      <c r="E39" s="12"/>
    </row>
    <row r="40" spans="1:5" ht="15" customHeight="1" x14ac:dyDescent="0.25">
      <c r="B40" s="11" t="s">
        <v>65</v>
      </c>
      <c r="C40" s="100">
        <v>1.61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7.2189999999999997E-3</v>
      </c>
      <c r="D45" s="12"/>
    </row>
    <row r="46" spans="1:5" ht="15.75" customHeight="1" x14ac:dyDescent="0.25">
      <c r="B46" s="11" t="s">
        <v>70</v>
      </c>
      <c r="C46" s="45">
        <v>7.7567700000000003E-2</v>
      </c>
      <c r="D46" s="12"/>
    </row>
    <row r="47" spans="1:5" ht="15.75" customHeight="1" x14ac:dyDescent="0.25">
      <c r="B47" s="11" t="s">
        <v>71</v>
      </c>
      <c r="C47" s="45">
        <v>7.4135800000000002E-2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0.52239300000000011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Dzu+iqfMmlqs7swFMCl3IFkVqaRzi4d9DarEfpWIVABNbm21qrereAbNRlKnG3vADJa40oTd4Nb/hQH25hVMDA==" saltValue="IEamb68ItlcWT4mfDsSg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261003</v>
      </c>
      <c r="C2" s="49">
        <v>580742.5</v>
      </c>
      <c r="D2" s="49">
        <v>1088183</v>
      </c>
      <c r="E2" s="49">
        <v>937098.5</v>
      </c>
      <c r="F2" s="49">
        <v>698220</v>
      </c>
      <c r="G2" s="17">
        <f t="shared" ref="G2:G13" si="0">C2+D2+E2+F2</f>
        <v>3304244</v>
      </c>
      <c r="H2" s="17">
        <f t="shared" ref="H2:H13" si="1">(B2 + stillbirth*B2/(1000-stillbirth))/(1-abortion)</f>
        <v>299217.59775966487</v>
      </c>
      <c r="I2" s="17">
        <f t="shared" ref="I2:I13" si="2">G2-H2</f>
        <v>3005026.402240335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261486</v>
      </c>
      <c r="C3" s="50">
        <v>585303</v>
      </c>
      <c r="D3" s="50">
        <v>1095557</v>
      </c>
      <c r="E3" s="50">
        <v>957283</v>
      </c>
      <c r="F3" s="50">
        <v>716728.00000000012</v>
      </c>
      <c r="G3" s="17">
        <f t="shared" si="0"/>
        <v>3354871</v>
      </c>
      <c r="H3" s="17">
        <f t="shared" si="1"/>
        <v>299771.31591508037</v>
      </c>
      <c r="I3" s="17">
        <f t="shared" si="2"/>
        <v>3055099.6840849197</v>
      </c>
    </row>
    <row r="4" spans="1:9" ht="15.75" customHeight="1" x14ac:dyDescent="0.25">
      <c r="A4" s="5">
        <f t="shared" si="3"/>
        <v>2026</v>
      </c>
      <c r="B4" s="49">
        <v>261495.99999999997</v>
      </c>
      <c r="C4" s="50">
        <v>588605</v>
      </c>
      <c r="D4" s="50">
        <v>1103364.5</v>
      </c>
      <c r="E4" s="50">
        <v>976351.00000000012</v>
      </c>
      <c r="F4" s="50">
        <v>735560</v>
      </c>
      <c r="G4" s="17">
        <f t="shared" si="0"/>
        <v>3403880.5</v>
      </c>
      <c r="H4" s="17">
        <f t="shared" si="1"/>
        <v>299782.78005908488</v>
      </c>
      <c r="I4" s="17">
        <f t="shared" si="2"/>
        <v>3104097.7199409152</v>
      </c>
    </row>
    <row r="5" spans="1:9" ht="15.75" customHeight="1" x14ac:dyDescent="0.25">
      <c r="A5" s="5">
        <f t="shared" si="3"/>
        <v>2027</v>
      </c>
      <c r="B5" s="49">
        <v>261796</v>
      </c>
      <c r="C5" s="50">
        <v>590854</v>
      </c>
      <c r="D5" s="50">
        <v>1111773.0000000002</v>
      </c>
      <c r="E5" s="50">
        <v>993485.5</v>
      </c>
      <c r="F5" s="50">
        <v>755064.5</v>
      </c>
      <c r="G5" s="17">
        <f t="shared" si="0"/>
        <v>3451177</v>
      </c>
      <c r="H5" s="17">
        <f t="shared" si="1"/>
        <v>300126.70437921875</v>
      </c>
      <c r="I5" s="17">
        <f t="shared" si="2"/>
        <v>3151050.2956207814</v>
      </c>
    </row>
    <row r="6" spans="1:9" ht="15.75" customHeight="1" x14ac:dyDescent="0.25">
      <c r="A6" s="5">
        <f t="shared" si="3"/>
        <v>2028</v>
      </c>
      <c r="B6" s="49">
        <v>261612.00000000003</v>
      </c>
      <c r="C6" s="50">
        <v>592963</v>
      </c>
      <c r="D6" s="50">
        <v>1119912.5</v>
      </c>
      <c r="E6" s="50">
        <v>1008434</v>
      </c>
      <c r="F6" s="50">
        <v>775765</v>
      </c>
      <c r="G6" s="17">
        <f t="shared" si="0"/>
        <v>3497074.5</v>
      </c>
      <c r="H6" s="17">
        <f t="shared" si="1"/>
        <v>299915.76412953669</v>
      </c>
      <c r="I6" s="17">
        <f t="shared" si="2"/>
        <v>3197158.7358704633</v>
      </c>
    </row>
    <row r="7" spans="1:9" ht="15.75" customHeight="1" x14ac:dyDescent="0.25">
      <c r="A7" s="5">
        <f t="shared" si="3"/>
        <v>2029</v>
      </c>
      <c r="B7" s="49">
        <v>261559.00000000003</v>
      </c>
      <c r="C7" s="50">
        <v>594799</v>
      </c>
      <c r="D7" s="50">
        <v>1127197.5</v>
      </c>
      <c r="E7" s="50">
        <v>1021976.9999999999</v>
      </c>
      <c r="F7" s="50">
        <v>797624</v>
      </c>
      <c r="G7" s="17">
        <f t="shared" si="0"/>
        <v>3541597.5</v>
      </c>
      <c r="H7" s="17">
        <f t="shared" si="1"/>
        <v>299855.00416631304</v>
      </c>
      <c r="I7" s="17">
        <f t="shared" si="2"/>
        <v>3241742.495833687</v>
      </c>
    </row>
    <row r="8" spans="1:9" ht="15.75" customHeight="1" x14ac:dyDescent="0.25">
      <c r="A8" s="5">
        <f t="shared" si="3"/>
        <v>2030</v>
      </c>
      <c r="B8" s="49">
        <v>261370.99999999997</v>
      </c>
      <c r="C8" s="50">
        <v>596286</v>
      </c>
      <c r="D8" s="50">
        <v>1134240.5</v>
      </c>
      <c r="E8" s="50">
        <v>1033908.5</v>
      </c>
      <c r="F8" s="50">
        <v>820260.5</v>
      </c>
      <c r="G8" s="17">
        <f t="shared" si="0"/>
        <v>3584695.5</v>
      </c>
      <c r="H8" s="17">
        <f t="shared" si="1"/>
        <v>299639.47825902904</v>
      </c>
      <c r="I8" s="17">
        <f t="shared" si="2"/>
        <v>3285056.0217409711</v>
      </c>
    </row>
    <row r="9" spans="1:9" ht="15.75" customHeight="1" x14ac:dyDescent="0.25">
      <c r="A9" s="5">
        <f t="shared" si="3"/>
        <v>2031</v>
      </c>
      <c r="B9" s="49">
        <v>261072.99999999997</v>
      </c>
      <c r="C9" s="50">
        <v>597389</v>
      </c>
      <c r="D9" s="50">
        <v>1141751.0000000002</v>
      </c>
      <c r="E9" s="50">
        <v>1043495.5</v>
      </c>
      <c r="F9" s="50">
        <v>843498.49999999988</v>
      </c>
      <c r="G9" s="17">
        <f t="shared" si="0"/>
        <v>3626134</v>
      </c>
      <c r="H9" s="17">
        <f t="shared" si="1"/>
        <v>299297.84676769603</v>
      </c>
      <c r="I9" s="17">
        <f t="shared" si="2"/>
        <v>3326836.1532323039</v>
      </c>
    </row>
    <row r="10" spans="1:9" ht="15.75" customHeight="1" x14ac:dyDescent="0.25">
      <c r="A10" s="5">
        <f t="shared" si="3"/>
        <v>2032</v>
      </c>
      <c r="B10" s="49">
        <v>260500.99999999997</v>
      </c>
      <c r="C10" s="50">
        <v>598172</v>
      </c>
      <c r="D10" s="50">
        <v>1149539</v>
      </c>
      <c r="E10" s="50">
        <v>1051601.5</v>
      </c>
      <c r="F10" s="50">
        <v>866623.49999999988</v>
      </c>
      <c r="G10" s="17">
        <f t="shared" si="0"/>
        <v>3665936</v>
      </c>
      <c r="H10" s="17">
        <f t="shared" si="1"/>
        <v>298642.09773064079</v>
      </c>
      <c r="I10" s="17">
        <f t="shared" si="2"/>
        <v>3367293.9022693592</v>
      </c>
    </row>
    <row r="11" spans="1:9" ht="15.75" customHeight="1" x14ac:dyDescent="0.25">
      <c r="A11" s="5">
        <f t="shared" si="3"/>
        <v>2033</v>
      </c>
      <c r="B11" s="49">
        <v>260216</v>
      </c>
      <c r="C11" s="50">
        <v>598766</v>
      </c>
      <c r="D11" s="50">
        <v>1156980</v>
      </c>
      <c r="E11" s="50">
        <v>1059492.5</v>
      </c>
      <c r="F11" s="50">
        <v>888840.5</v>
      </c>
      <c r="G11" s="17">
        <f t="shared" si="0"/>
        <v>3704079</v>
      </c>
      <c r="H11" s="17">
        <f t="shared" si="1"/>
        <v>298315.36962651368</v>
      </c>
      <c r="I11" s="17">
        <f t="shared" si="2"/>
        <v>3405763.6303734863</v>
      </c>
    </row>
    <row r="12" spans="1:9" ht="15.75" customHeight="1" x14ac:dyDescent="0.25">
      <c r="A12" s="5">
        <f t="shared" si="3"/>
        <v>2034</v>
      </c>
      <c r="B12" s="49">
        <v>259620</v>
      </c>
      <c r="C12" s="50">
        <v>599346.5</v>
      </c>
      <c r="D12" s="50">
        <v>1163789</v>
      </c>
      <c r="E12" s="50">
        <v>1067243</v>
      </c>
      <c r="F12" s="50">
        <v>909903.5</v>
      </c>
      <c r="G12" s="17">
        <f t="shared" si="0"/>
        <v>3740282</v>
      </c>
      <c r="H12" s="17">
        <f t="shared" si="1"/>
        <v>297632.10664384771</v>
      </c>
      <c r="I12" s="17">
        <f t="shared" si="2"/>
        <v>3442649.8933561523</v>
      </c>
    </row>
    <row r="13" spans="1:9" ht="15.75" customHeight="1" x14ac:dyDescent="0.25">
      <c r="A13" s="5">
        <f t="shared" si="3"/>
        <v>2035</v>
      </c>
      <c r="B13" s="49">
        <v>259012.99999999997</v>
      </c>
      <c r="C13" s="50">
        <v>600060</v>
      </c>
      <c r="D13" s="50">
        <v>1169923.4999999998</v>
      </c>
      <c r="E13" s="50">
        <v>1074766</v>
      </c>
      <c r="F13" s="50">
        <v>929857.5</v>
      </c>
      <c r="G13" s="17">
        <f t="shared" si="0"/>
        <v>3774607</v>
      </c>
      <c r="H13" s="17">
        <f t="shared" si="1"/>
        <v>296936.23310277687</v>
      </c>
      <c r="I13" s="17">
        <f t="shared" si="2"/>
        <v>3477670.766897223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1mbQaurb87fHi9vT/Agqe+wVnQBVMSF/btM4FpZWGMw+1f/eO/Z8vt7aZYyYbpP9wD9AkTC3JCJfYPBbY197A==" saltValue="AQbsZjlQpVf9dYNua8X6u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3.6456003645600312E-3</v>
      </c>
    </row>
    <row r="4" spans="1:8" ht="15.75" customHeight="1" x14ac:dyDescent="0.25">
      <c r="B4" s="19" t="s">
        <v>97</v>
      </c>
      <c r="C4" s="101">
        <v>5.8251005825100642E-2</v>
      </c>
    </row>
    <row r="5" spans="1:8" ht="15.75" customHeight="1" x14ac:dyDescent="0.25">
      <c r="B5" s="19" t="s">
        <v>98</v>
      </c>
      <c r="C5" s="101">
        <v>5.1449305144930617E-2</v>
      </c>
    </row>
    <row r="6" spans="1:8" ht="15.75" customHeight="1" x14ac:dyDescent="0.25">
      <c r="B6" s="19" t="s">
        <v>99</v>
      </c>
      <c r="C6" s="101">
        <v>0.2125657212565718</v>
      </c>
    </row>
    <row r="7" spans="1:8" ht="15.75" customHeight="1" x14ac:dyDescent="0.25">
      <c r="B7" s="19" t="s">
        <v>100</v>
      </c>
      <c r="C7" s="101">
        <v>0.4356234435623445</v>
      </c>
    </row>
    <row r="8" spans="1:8" ht="15.75" customHeight="1" x14ac:dyDescent="0.25">
      <c r="B8" s="19" t="s">
        <v>101</v>
      </c>
      <c r="C8" s="101">
        <v>6.3460006346000757E-4</v>
      </c>
    </row>
    <row r="9" spans="1:8" ht="15.75" customHeight="1" x14ac:dyDescent="0.25">
      <c r="B9" s="19" t="s">
        <v>102</v>
      </c>
      <c r="C9" s="101">
        <v>0.14113301411330151</v>
      </c>
    </row>
    <row r="10" spans="1:8" ht="15.75" customHeight="1" x14ac:dyDescent="0.25">
      <c r="B10" s="19" t="s">
        <v>103</v>
      </c>
      <c r="C10" s="101">
        <v>9.6697309669731002E-2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106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107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110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111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112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113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6.8104466000000002E-2</v>
      </c>
    </row>
    <row r="27" spans="1:8" ht="15.75" customHeight="1" x14ac:dyDescent="0.25">
      <c r="B27" s="19" t="s">
        <v>120</v>
      </c>
      <c r="C27" s="101">
        <v>4.1400316000000013E-2</v>
      </c>
    </row>
    <row r="28" spans="1:8" ht="15.75" customHeight="1" x14ac:dyDescent="0.25">
      <c r="B28" s="19" t="s">
        <v>121</v>
      </c>
      <c r="C28" s="101">
        <v>0.33340020500000001</v>
      </c>
    </row>
    <row r="29" spans="1:8" ht="15.75" customHeight="1" x14ac:dyDescent="0.25">
      <c r="B29" s="19" t="s">
        <v>122</v>
      </c>
      <c r="C29" s="101">
        <v>0.12901136499999999</v>
      </c>
    </row>
    <row r="30" spans="1:8" ht="15.75" customHeight="1" x14ac:dyDescent="0.25">
      <c r="B30" s="19" t="s">
        <v>2</v>
      </c>
      <c r="C30" s="101">
        <v>9.0447656999999987E-2</v>
      </c>
    </row>
    <row r="31" spans="1:8" ht="15.75" customHeight="1" x14ac:dyDescent="0.25">
      <c r="B31" s="19" t="s">
        <v>123</v>
      </c>
      <c r="C31" s="101">
        <v>5.0940217000000003E-2</v>
      </c>
    </row>
    <row r="32" spans="1:8" ht="15.75" customHeight="1" x14ac:dyDescent="0.25">
      <c r="B32" s="19" t="s">
        <v>124</v>
      </c>
      <c r="C32" s="101">
        <v>1.0491317999999999E-2</v>
      </c>
    </row>
    <row r="33" spans="2:3" ht="15.75" customHeight="1" x14ac:dyDescent="0.25">
      <c r="B33" s="19" t="s">
        <v>125</v>
      </c>
      <c r="C33" s="101">
        <v>8.3462208999999982E-2</v>
      </c>
    </row>
    <row r="34" spans="2:3" ht="15.75" customHeight="1" x14ac:dyDescent="0.25">
      <c r="B34" s="19" t="s">
        <v>126</v>
      </c>
      <c r="C34" s="101">
        <v>0.19274224700000001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V+frnPG2vF0zBo+W/trJhrKSoc1ZuTtheDQ1PxiAPStWnE5ZwLBzgqIdpS9ge029PgM/8syPDUyCB7cWLQ8XFg==" saltValue="KaMGtdCxXgSobfW9742y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132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133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137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138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cZMRkLq3uW7jfbrby2Wu/S5xXqFWJfiOi/WHGyUaPogiXFVe3BsgP8tR+yHxM7KFYvYMx7A6WdVKedbU+3ybA==" saltValue="wz3tid6+78g5jmp967W9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5.9707500000000024E-2</v>
      </c>
      <c r="D5" s="52">
        <f t="shared" si="0"/>
        <v>4.1745600000000049E-2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8Ruw/DSsHlR/69MFF/K2byAl2hGYwXBE/vLds/pahlBC/5eg1jPf2tLqWeRBUkqxTgxYh2qCjTeCXhw8GnM09A==" saltValue="1wT7EIvo/qKZrtg4XfRBT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T+tsMAho7rwqfByxKGZ4u6DP47R/keBnHEFz1AtZ033zXWeWEtZw4EV5XigviVsKOVKVavhn8rBITgXq4zo2A==" saltValue="5yedIq7XN7lUM37zZwl84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3600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0.55259000000000003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0.60799999999999998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2.1331864246318832E-2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97348.311090000003</v>
      </c>
      <c r="C22" s="109">
        <v>97127.914290000001</v>
      </c>
      <c r="D22" s="109">
        <v>96946.432119999998</v>
      </c>
      <c r="E22" s="109">
        <v>96603.906910000005</v>
      </c>
      <c r="F22" s="109">
        <v>96147.765209999998</v>
      </c>
      <c r="G22" s="109">
        <v>95636.710749999998</v>
      </c>
      <c r="H22" s="109">
        <v>95008.516770000002</v>
      </c>
      <c r="I22" s="109">
        <v>94158.296770000001</v>
      </c>
      <c r="J22" s="109">
        <v>92911.889249999993</v>
      </c>
      <c r="K22" s="109">
        <v>91025.218599999993</v>
      </c>
      <c r="L22" s="109">
        <v>88111.080600000001</v>
      </c>
      <c r="M22" s="109">
        <v>83721.960879999999</v>
      </c>
      <c r="N22" s="109">
        <v>77035.486080000002</v>
      </c>
      <c r="O22" s="109">
        <v>67497.661470000006</v>
      </c>
    </row>
  </sheetData>
  <sheetProtection algorithmName="SHA-512" hashValue="LzxgrvlbfZJ1Uri0/BsPPm+wzIkk7d4N+WMLBalSr2kZI9ch5Vo2cHTyHlXSeGjw1n6JGTXWvXRoanSRuyEajA==" saltValue="39EWjf64+9FRJUJCUreIV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iBKrqIDzDTphCpRyT9pj5c5xf2KsXLoWDj+8nmg5SrLI0NSodfSpup0m3jf+eT930izuAd1IDIQkYg93DI99w==" saltValue="pp6PNgCCEwz9tkT/0AoAI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LYkljkPFT6Iro3R/YXdKTRNmbaYlwHos75BCKZMbjjsUeze4ZvGWWufJkgUs6wSjMD0fzKv/CGRjtv+126n2Q==" saltValue="WVSjqq2LaEUZR67ov7xeN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0.25147419999999998</v>
      </c>
      <c r="C10" s="98">
        <v>0.95</v>
      </c>
      <c r="D10" s="56">
        <v>12.863878723512009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12.863878723512009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12.863878723512009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12.863878723512009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0.25147419999999998</v>
      </c>
      <c r="C14" s="98">
        <v>0.95</v>
      </c>
      <c r="D14" s="56">
        <v>12.863878723512009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12.863878723512009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0.191266666666667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0.57843060000000002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0.57843060000000002</v>
      </c>
      <c r="C19" s="98">
        <v>0.95</v>
      </c>
      <c r="D19" s="56">
        <v>7.1893102094440149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4.1866497120487418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0.62066605665885999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0.25147419999999998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0.1417909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0.67377399999999998</v>
      </c>
      <c r="C29" s="98">
        <v>0.95</v>
      </c>
      <c r="D29" s="56">
        <v>98.521408904830395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0.26987369999999999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0.16559660000000001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1.1714E-3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0.67045480000000002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2.0761999999999999E-2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TdGBIFgw25i7B45Kf8M1sDoFkhirS9QlwwCthomWYRip5xZh7scMC7x+dEKTRH2+godg887Zbf+tk84I4rJUkQ==" saltValue="tN8xUqR0Oq/ZU2HheA7/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8o191u0DzCL15MLQDPxFiK3S49CK4kgjRrTkMq4qPEhFzh9WYGgghfm0FuacrXcVD4MssXpS0kiszahhy4Q4Q==" saltValue="Tn21txefRvDQe53W4VZn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vyUpLpZUXNF002/Koay0WJv8hqC/1Wl7QcW1ZqkwZ/jCfAfwwUa8mtFGJg5KXJkxVCxPsVL6AbdgiM5ZJPOYA==" saltValue="gxeOPvSKYn4tKilZ6V7it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237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sheetProtection algorithmName="SHA-512" hashValue="zFI/XuHp27EpWSi/yelSYstq+kkPJ3j8ud64uJtBuGfnL954SnSVqcmDqi5N0wJiblqWH7fLhzoY8AhRphSSSQ==" saltValue="BSRikqtI0FjzzKsKVl/V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Bd7YI2hBhkY6wI1PxghOOsTXG2hfJh3q2rXX8jbJR24l0zI+CjdQ0E2aqZ2DEcIa3zi3zbK7gDTiaw5efldgg==" saltValue="L5cYX5VByuavyqZNg2ixl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2HMgjrgr10c/1ezL3DilLeaTRKWn80CWJBDj5NgoWFH8nodpmPC8C7ZQIYhqVkajKMnh6zueV1QsU+hWOvWPlg==" saltValue="PbiPhfdOW5qsCwSHmcbYF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0fTKl27Pb/Ev5Is21efwB1vTXYtIJ7ARD8/w7c40iuLV5ugaE6iq5ryTbFr5qqdKblFbZEzaZ77GWmFC1W6EA==" saltValue="aRBgpxGUWWi/Pdc9E1Ms2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roZ4btoewVs5U3OGKZ8t/2AvtvYCsTsGFdPul8tPsuznD2G/mf7aCRW+eAEzMItXEQUqWM00w556P/kglXDXw==" saltValue="9WNrgEDVf1FWesBWuT1Q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sbe0PjM+TEouPjVMBCAl+4ST26ksdps+F95w1OotvsqMb8700uWfM/zpBQMYIT02bJgK15UX3SsfzR/lypkDEA==" saltValue="XRFJEiaOWkigRW4WqC5G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Az8A1W5WjMCgh2KPWoS8JpFPZLBb4miVnh90yp7Ap9+Bd91A3j+08yVoPGN82rsvPKBuEPp5IhjJpk67u7IPQg==" saltValue="PcSbCOYy/uaaADu43SDiV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1jUFg7tO2MKQ0PCctcw3aRPNysyUX/IdKMrGRYppKqkhk+M8YEJoVjgDaR8mRp1zLLZzccI47iASB1OWDFbrQ==" saltValue="yQ7m1UnaN29yc+7ZCCLZq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MEeDGKp6WCIxFO/uNRmIO9Zw4jOb5OIppN+jRZYk/un8tb5oCHlYCbYER+5RJ3VrKRWo/Dfc0fJO/uvQ4Zbbg==" saltValue="R34iyFc8uKy0DpD6qlh5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T3EAhVnJwUCwHblpcK+RBn6hYuejBtPQFEv2hgMllzMPALhGRnIAqEOeQStrXER3cWfUu/6Dfm2K3Jt2IL1jeA==" saltValue="3g8RympyiVokdVzftDMj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wONIJLx1dtILe4wUE334VcZuhoPxCXwd2CR4wBsdAut7cLKHxlnVL/C4tzcxnMaxSqLUfytnHFAwVhiwn8/tA==" saltValue="ct5cbm1cE32VvwQ92CQW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ap/wnAFhCKAJH+PTgmyHZ6Q+mlc605Ub9rh5Xs7GBNsMRGaEfySdU6+b2Rr0lwCLC9QbrpEszMF2rIyP3fZ1Q==" saltValue="lCfAO8G3scgx4i07xLi2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zKTsDVHfaGtujyZTZhgHP1bASTsAcag2YZAx8rRGcA+xCYKNBKe8j9W4/Ih3H58F/7RMfrujsXZIlB/nOlPAQ==" saltValue="H33FIJ6Kts6OMqrCP+uW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DfL9HJY9wxcy9Gl2LuiwET+ge2AlDu11w1L7LwelwojsAcJaXYe9rIlSHhfSie5kivCxfhBa661K/4CCYVqwA==" saltValue="8INXd2THozv3njehGv3k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yA5knA6OMK7WndaJ3rOL3Ih0x+jxXuUVrVyHet/lLcVow+cA5QQb+0Ze0M34o80a3Ro1VAZISP4+8x0aeCocQ==" saltValue="v0nyQaR8tJD3IgV8HbOT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sX9bQwcp8ohpRFJspgeFlAUTb2jGdCSZMszyOV7L3AwS6VwhuURcLMpMvQ9QLzT/q/8uBv+IasjJ1LwtSpJ49g==" saltValue="xcRGHJth2dofXyJzMAHp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2025-07-04T03:21:47Z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