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4DDAA76-C8C1-4334-B72B-3744EE935FF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I13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<sst xmlns="http://schemas.openxmlformats.org/spreadsheetml/2006/main" count="2159" uniqueCount="368">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</sst>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138029</v>
      </c>
    </row>
    <row r="8" spans="1:3" ht="15" customHeight="1" x14ac:dyDescent="0.25">
      <c r="B8" s="5" t="s">
        <v>37</v>
      </c>
      <c r="C8" s="44">
        <v>1.7000000000000001E-2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0.86947998046874997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7.4200000000000002E-2</v>
      </c>
    </row>
    <row r="24" spans="1:3" ht="15" customHeight="1" x14ac:dyDescent="0.25">
      <c r="B24" s="15" t="s">
        <v>51</v>
      </c>
      <c r="C24" s="45">
        <v>0.63170000000000004</v>
      </c>
    </row>
    <row r="25" spans="1:3" ht="15" customHeight="1" x14ac:dyDescent="0.25">
      <c r="B25" s="15" t="s">
        <v>52</v>
      </c>
      <c r="C25" s="45">
        <v>0.28189999999999998</v>
      </c>
    </row>
    <row r="26" spans="1:3" ht="15" customHeight="1" x14ac:dyDescent="0.25">
      <c r="B26" s="15" t="s">
        <v>53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0.42929909094781799</v>
      </c>
    </row>
    <row r="30" spans="1:3" ht="14.25" customHeight="1" x14ac:dyDescent="0.25">
      <c r="B30" s="25" t="s">
        <v>56</v>
      </c>
      <c r="C30" s="99">
        <v>2.5436306024175601E-2</v>
      </c>
    </row>
    <row r="31" spans="1:3" ht="14.25" customHeight="1" x14ac:dyDescent="0.25">
      <c r="B31" s="25" t="s">
        <v>57</v>
      </c>
      <c r="C31" s="99">
        <v>4.7151485611007002E-2</v>
      </c>
    </row>
    <row r="32" spans="1:3" ht="14.25" customHeight="1" x14ac:dyDescent="0.25">
      <c r="B32" s="25" t="s">
        <v>58</v>
      </c>
      <c r="C32" s="99">
        <v>0.49811311741699899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7.1181000000000001</v>
      </c>
    </row>
    <row r="38" spans="1:5" ht="15" customHeight="1" x14ac:dyDescent="0.25">
      <c r="B38" s="11" t="s">
        <v>63</v>
      </c>
      <c r="C38" s="43">
        <v>8.4116499999999998</v>
      </c>
      <c r="D38" s="12"/>
      <c r="E38" s="13"/>
    </row>
    <row r="39" spans="1:5" ht="15" customHeight="1" x14ac:dyDescent="0.25">
      <c r="B39" s="11" t="s">
        <v>64</v>
      </c>
      <c r="C39" s="43">
        <v>9.4559200000000008</v>
      </c>
      <c r="D39" s="12"/>
      <c r="E39" s="12"/>
    </row>
    <row r="40" spans="1:5" ht="15" customHeight="1" x14ac:dyDescent="0.25">
      <c r="B40" s="11" t="s">
        <v>65</v>
      </c>
      <c r="C40" s="100">
        <v>0.08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5.9370999999999998E-3</v>
      </c>
      <c r="D45" s="12"/>
    </row>
    <row r="46" spans="1:5" ht="15.75" customHeight="1" x14ac:dyDescent="0.25">
      <c r="B46" s="11" t="s">
        <v>70</v>
      </c>
      <c r="C46" s="45">
        <v>6.3792799999999997E-2</v>
      </c>
      <c r="D46" s="12"/>
    </row>
    <row r="47" spans="1:5" ht="15.75" customHeight="1" x14ac:dyDescent="0.25">
      <c r="B47" s="11" t="s">
        <v>71</v>
      </c>
      <c r="C47" s="45">
        <v>7.5355400000000003E-2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2.8</v>
      </c>
      <c r="D51" s="12"/>
    </row>
    <row r="52" spans="1:4" ht="15" customHeight="1" x14ac:dyDescent="0.25">
      <c r="B52" s="11" t="s">
        <v>75</v>
      </c>
      <c r="C52" s="100">
        <v>2.8</v>
      </c>
    </row>
    <row r="53" spans="1:4" ht="15.75" customHeight="1" x14ac:dyDescent="0.25">
      <c r="B53" s="11" t="s">
        <v>76</v>
      </c>
      <c r="C53" s="100">
        <v>2.8</v>
      </c>
    </row>
    <row r="54" spans="1:4" ht="15.75" customHeight="1" x14ac:dyDescent="0.25">
      <c r="B54" s="11" t="s">
        <v>77</v>
      </c>
      <c r="C54" s="100">
        <v>2.8</v>
      </c>
    </row>
    <row r="55" spans="1:4" ht="15.75" customHeight="1" x14ac:dyDescent="0.25">
      <c r="B55" s="11" t="s">
        <v>78</v>
      </c>
      <c r="C55" s="100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0.68814900000000001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r7eheEH2Xbkj8yxLZC453fgUVTEUuKjUpvoFXmvOBmpwkvF+n7AFFVaXesJAryJ+KklF7dOXx2TlJ0T9FdOvDw==" saltValue="bR300v3byTIKIxQWn05j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28283</v>
      </c>
      <c r="C2" s="49">
        <v>79426.5</v>
      </c>
      <c r="D2" s="49">
        <v>202411.5</v>
      </c>
      <c r="E2" s="49">
        <v>209708.50000000003</v>
      </c>
      <c r="F2" s="49">
        <v>163534</v>
      </c>
      <c r="G2" s="17">
        <f t="shared" ref="G2:G13" si="0">C2+D2+E2+F2</f>
        <v>655080.5</v>
      </c>
      <c r="H2" s="17">
        <f t="shared" ref="H2:H13" si="1">(B2 + stillbirth*B2/(1000-stillbirth))/(1-abortion)</f>
        <v>32280.015838484291</v>
      </c>
      <c r="I2" s="17">
        <f t="shared" ref="I2:I13" si="2">G2-H2</f>
        <v>622800.48416151572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27433</v>
      </c>
      <c r="C3" s="50">
        <v>77388</v>
      </c>
      <c r="D3" s="50">
        <v>191379.00000000003</v>
      </c>
      <c r="E3" s="50">
        <v>213156.5</v>
      </c>
      <c r="F3" s="50">
        <v>163228</v>
      </c>
      <c r="G3" s="17">
        <f t="shared" si="0"/>
        <v>645151.5</v>
      </c>
      <c r="H3" s="17">
        <f t="shared" si="1"/>
        <v>31309.891966804778</v>
      </c>
      <c r="I3" s="17">
        <f t="shared" si="2"/>
        <v>613841.60803319525</v>
      </c>
    </row>
    <row r="4" spans="1:9" ht="15.75" customHeight="1" x14ac:dyDescent="0.25">
      <c r="A4" s="5">
        <f t="shared" si="3"/>
        <v>2026</v>
      </c>
      <c r="B4" s="49">
        <v>26604</v>
      </c>
      <c r="C4" s="50">
        <v>76215</v>
      </c>
      <c r="D4" s="50">
        <v>180540.5</v>
      </c>
      <c r="E4" s="50">
        <v>215571.5</v>
      </c>
      <c r="F4" s="50">
        <v>163645.5</v>
      </c>
      <c r="G4" s="17">
        <f t="shared" si="0"/>
        <v>635972.5</v>
      </c>
      <c r="H4" s="17">
        <f t="shared" si="1"/>
        <v>30363.735861366757</v>
      </c>
      <c r="I4" s="17">
        <f t="shared" si="2"/>
        <v>605608.76413863327</v>
      </c>
    </row>
    <row r="5" spans="1:9" ht="15.75" customHeight="1" x14ac:dyDescent="0.25">
      <c r="A5" s="5">
        <f t="shared" si="3"/>
        <v>2027</v>
      </c>
      <c r="B5" s="49">
        <v>25865</v>
      </c>
      <c r="C5" s="50">
        <v>76150.5</v>
      </c>
      <c r="D5" s="50">
        <v>170621.5</v>
      </c>
      <c r="E5" s="50">
        <v>216501.5</v>
      </c>
      <c r="F5" s="50">
        <v>164834.99999999997</v>
      </c>
      <c r="G5" s="17">
        <f t="shared" si="0"/>
        <v>628108.5</v>
      </c>
      <c r="H5" s="17">
        <f t="shared" si="1"/>
        <v>29520.29875410657</v>
      </c>
      <c r="I5" s="17">
        <f t="shared" si="2"/>
        <v>598588.20124589338</v>
      </c>
    </row>
    <row r="6" spans="1:9" ht="15.75" customHeight="1" x14ac:dyDescent="0.25">
      <c r="A6" s="5">
        <f t="shared" si="3"/>
        <v>2028</v>
      </c>
      <c r="B6" s="49">
        <v>25115</v>
      </c>
      <c r="C6" s="50">
        <v>77005</v>
      </c>
      <c r="D6" s="50">
        <v>162067</v>
      </c>
      <c r="E6" s="50">
        <v>215418</v>
      </c>
      <c r="F6" s="50">
        <v>166963</v>
      </c>
      <c r="G6" s="17">
        <f t="shared" si="0"/>
        <v>621453</v>
      </c>
      <c r="H6" s="17">
        <f t="shared" si="1"/>
        <v>28664.307102624651</v>
      </c>
      <c r="I6" s="17">
        <f t="shared" si="2"/>
        <v>592788.69289737532</v>
      </c>
    </row>
    <row r="7" spans="1:9" ht="15.75" customHeight="1" x14ac:dyDescent="0.25">
      <c r="A7" s="5">
        <f t="shared" si="3"/>
        <v>2029</v>
      </c>
      <c r="B7" s="49">
        <v>24373</v>
      </c>
      <c r="C7" s="50">
        <v>78103.5</v>
      </c>
      <c r="D7" s="50">
        <v>154702</v>
      </c>
      <c r="E7" s="50">
        <v>212373.49999999997</v>
      </c>
      <c r="F7" s="50">
        <v>170234.50000000003</v>
      </c>
      <c r="G7" s="17">
        <f t="shared" si="0"/>
        <v>615413.5</v>
      </c>
      <c r="H7" s="17">
        <f t="shared" si="1"/>
        <v>27817.446028758535</v>
      </c>
      <c r="I7" s="17">
        <f t="shared" si="2"/>
        <v>587596.05397124146</v>
      </c>
    </row>
    <row r="8" spans="1:9" ht="15.75" customHeight="1" x14ac:dyDescent="0.25">
      <c r="A8" s="5">
        <f t="shared" si="3"/>
        <v>2030</v>
      </c>
      <c r="B8" s="49">
        <v>23617</v>
      </c>
      <c r="C8" s="50">
        <v>78686</v>
      </c>
      <c r="D8" s="50">
        <v>148087</v>
      </c>
      <c r="E8" s="50">
        <v>207817</v>
      </c>
      <c r="F8" s="50">
        <v>174638.5</v>
      </c>
      <c r="G8" s="17">
        <f t="shared" si="0"/>
        <v>609228.5</v>
      </c>
      <c r="H8" s="17">
        <f t="shared" si="1"/>
        <v>26954.606444064753</v>
      </c>
      <c r="I8" s="17">
        <f t="shared" si="2"/>
        <v>582273.89355593524</v>
      </c>
    </row>
    <row r="9" spans="1:9" ht="15.75" customHeight="1" x14ac:dyDescent="0.25">
      <c r="A9" s="5">
        <f t="shared" si="3"/>
        <v>2031</v>
      </c>
      <c r="B9" s="49">
        <v>22890</v>
      </c>
      <c r="C9" s="50">
        <v>78327</v>
      </c>
      <c r="D9" s="50">
        <v>142857</v>
      </c>
      <c r="E9" s="50">
        <v>201498</v>
      </c>
      <c r="F9" s="50">
        <v>179885</v>
      </c>
      <c r="G9" s="17">
        <f t="shared" si="0"/>
        <v>602567</v>
      </c>
      <c r="H9" s="17">
        <f t="shared" si="1"/>
        <v>26124.865203228277</v>
      </c>
      <c r="I9" s="17">
        <f t="shared" si="2"/>
        <v>576442.13479677169</v>
      </c>
    </row>
    <row r="10" spans="1:9" ht="15.75" customHeight="1" x14ac:dyDescent="0.25">
      <c r="A10" s="5">
        <f t="shared" si="3"/>
        <v>2032</v>
      </c>
      <c r="B10" s="49">
        <v>22177</v>
      </c>
      <c r="C10" s="50">
        <v>76832.5</v>
      </c>
      <c r="D10" s="50">
        <v>139927</v>
      </c>
      <c r="E10" s="50">
        <v>193230</v>
      </c>
      <c r="F10" s="50">
        <v>185469.5</v>
      </c>
      <c r="G10" s="17">
        <f t="shared" si="0"/>
        <v>595459</v>
      </c>
      <c r="H10" s="17">
        <f t="shared" si="1"/>
        <v>25311.102473219464</v>
      </c>
      <c r="I10" s="17">
        <f t="shared" si="2"/>
        <v>570147.89752678049</v>
      </c>
    </row>
    <row r="11" spans="1:9" ht="15.75" customHeight="1" x14ac:dyDescent="0.25">
      <c r="A11" s="5">
        <f t="shared" si="3"/>
        <v>2033</v>
      </c>
      <c r="B11" s="49">
        <v>21494</v>
      </c>
      <c r="C11" s="50">
        <v>74094</v>
      </c>
      <c r="D11" s="50">
        <v>138620.5</v>
      </c>
      <c r="E11" s="50">
        <v>183966.5</v>
      </c>
      <c r="F11" s="50">
        <v>190809.5</v>
      </c>
      <c r="G11" s="17">
        <f t="shared" si="0"/>
        <v>587490.5</v>
      </c>
      <c r="H11" s="17">
        <f t="shared" si="1"/>
        <v>24531.579409269925</v>
      </c>
      <c r="I11" s="17">
        <f t="shared" si="2"/>
        <v>562958.92059073003</v>
      </c>
    </row>
    <row r="12" spans="1:9" ht="15.75" customHeight="1" x14ac:dyDescent="0.25">
      <c r="A12" s="5">
        <f t="shared" si="3"/>
        <v>2034</v>
      </c>
      <c r="B12" s="49">
        <v>20791</v>
      </c>
      <c r="C12" s="50">
        <v>70698.5</v>
      </c>
      <c r="D12" s="50">
        <v>137922</v>
      </c>
      <c r="E12" s="50">
        <v>174522.49999999997</v>
      </c>
      <c r="F12" s="50">
        <v>195608</v>
      </c>
      <c r="G12" s="17">
        <f t="shared" si="0"/>
        <v>578751</v>
      </c>
      <c r="H12" s="17">
        <f t="shared" si="1"/>
        <v>23729.229901280873</v>
      </c>
      <c r="I12" s="17">
        <f t="shared" si="2"/>
        <v>555021.77009871916</v>
      </c>
    </row>
    <row r="13" spans="1:9" ht="15.75" customHeight="1" x14ac:dyDescent="0.25">
      <c r="A13" s="5">
        <f t="shared" si="3"/>
        <v>2035</v>
      </c>
      <c r="B13" s="49">
        <v>20152</v>
      </c>
      <c r="C13" s="50">
        <v>67500.5</v>
      </c>
      <c r="D13" s="50">
        <v>137394.5</v>
      </c>
      <c r="E13" s="50">
        <v>165005</v>
      </c>
      <c r="F13" s="50">
        <v>199742.00000000003</v>
      </c>
      <c r="G13" s="17">
        <f t="shared" si="0"/>
        <v>569642</v>
      </c>
      <c r="H13" s="17">
        <f t="shared" si="1"/>
        <v>22999.925014218272</v>
      </c>
      <c r="I13" s="17">
        <f t="shared" si="2"/>
        <v>546642.07498578168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vpAVUuJ839bs8SEBtx6THG0Dwv523Lvgut/QI+hBzdhdAT9D/7WDa0EiJuePGDXZgOlkOUAjZzG8JjfTLsyYw==" saltValue="TBjEImhYVBkG9KR35/9uu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3.6605399999999962E-2</v>
      </c>
    </row>
    <row r="5" spans="1:8" ht="15.75" customHeight="1" x14ac:dyDescent="0.25">
      <c r="B5" s="19" t="s">
        <v>98</v>
      </c>
      <c r="C5" s="101">
        <v>2.8491900000000028E-2</v>
      </c>
    </row>
    <row r="6" spans="1:8" ht="15.75" customHeight="1" x14ac:dyDescent="0.25">
      <c r="B6" s="19" t="s">
        <v>99</v>
      </c>
      <c r="C6" s="101">
        <v>0.1543518999999996</v>
      </c>
    </row>
    <row r="7" spans="1:8" ht="15.75" customHeight="1" x14ac:dyDescent="0.25">
      <c r="B7" s="19" t="s">
        <v>100</v>
      </c>
      <c r="C7" s="101">
        <v>0.42690190000000028</v>
      </c>
    </row>
    <row r="8" spans="1:8" ht="15.75" customHeight="1" x14ac:dyDescent="0.25">
      <c r="B8" s="19" t="s">
        <v>101</v>
      </c>
      <c r="C8" s="101">
        <v>9.5492000000000025E-3</v>
      </c>
    </row>
    <row r="9" spans="1:8" ht="15.75" customHeight="1" x14ac:dyDescent="0.25">
      <c r="B9" s="19" t="s">
        <v>102</v>
      </c>
      <c r="C9" s="101">
        <v>0.26801370000000008</v>
      </c>
    </row>
    <row r="10" spans="1:8" ht="15.75" customHeight="1" x14ac:dyDescent="0.25">
      <c r="B10" s="19" t="s">
        <v>103</v>
      </c>
      <c r="C10" s="101">
        <v>7.6086000000000042E-2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106</v>
      </c>
      <c r="C15" s="101">
        <v>0.31814315609059202</v>
      </c>
      <c r="D15" s="101">
        <v>0.31814315609059202</v>
      </c>
      <c r="E15" s="101">
        <v>0.31814315609059202</v>
      </c>
      <c r="F15" s="101">
        <v>0.31814315609059202</v>
      </c>
    </row>
    <row r="16" spans="1:8" ht="15.75" customHeight="1" x14ac:dyDescent="0.25">
      <c r="B16" s="19" t="s">
        <v>107</v>
      </c>
      <c r="C16" s="101">
        <v>4.9267420786241918E-2</v>
      </c>
      <c r="D16" s="101">
        <v>4.9267420786241918E-2</v>
      </c>
      <c r="E16" s="101">
        <v>4.9267420786241918E-2</v>
      </c>
      <c r="F16" s="101">
        <v>4.9267420786241918E-2</v>
      </c>
    </row>
    <row r="17" spans="1:8" ht="15.75" customHeight="1" x14ac:dyDescent="0.25">
      <c r="B17" s="19" t="s">
        <v>108</v>
      </c>
      <c r="C17" s="101">
        <v>2.9968784124779189E-2</v>
      </c>
      <c r="D17" s="101">
        <v>2.9968784124779189E-2</v>
      </c>
      <c r="E17" s="101">
        <v>2.9968784124779189E-2</v>
      </c>
      <c r="F17" s="101">
        <v>2.9968784124779189E-2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1.7114090843376471E-2</v>
      </c>
      <c r="D19" s="101">
        <v>1.7114090843376471E-2</v>
      </c>
      <c r="E19" s="101">
        <v>1.7114090843376471E-2</v>
      </c>
      <c r="F19" s="101">
        <v>1.7114090843376471E-2</v>
      </c>
    </row>
    <row r="20" spans="1:8" ht="15.75" customHeight="1" x14ac:dyDescent="0.25">
      <c r="B20" s="19" t="s">
        <v>111</v>
      </c>
      <c r="C20" s="101">
        <v>6.5589051959370301E-2</v>
      </c>
      <c r="D20" s="101">
        <v>6.5589051959370301E-2</v>
      </c>
      <c r="E20" s="101">
        <v>6.5589051959370301E-2</v>
      </c>
      <c r="F20" s="101">
        <v>6.5589051959370301E-2</v>
      </c>
    </row>
    <row r="21" spans="1:8" ht="15.75" customHeight="1" x14ac:dyDescent="0.25">
      <c r="B21" s="19" t="s">
        <v>112</v>
      </c>
      <c r="C21" s="101">
        <v>0.40841074687003298</v>
      </c>
      <c r="D21" s="101">
        <v>0.40841074687003298</v>
      </c>
      <c r="E21" s="101">
        <v>0.40841074687003298</v>
      </c>
      <c r="F21" s="101">
        <v>0.40841074687003298</v>
      </c>
    </row>
    <row r="22" spans="1:8" ht="15.75" customHeight="1" x14ac:dyDescent="0.25">
      <c r="B22" s="19" t="s">
        <v>113</v>
      </c>
      <c r="C22" s="101">
        <v>8.6568333170822992E-2</v>
      </c>
      <c r="D22" s="101">
        <v>8.6568333170822992E-2</v>
      </c>
      <c r="E22" s="101">
        <v>8.6568333170822992E-2</v>
      </c>
      <c r="F22" s="101">
        <v>8.6568333170822992E-2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5.4875438999999977E-2</v>
      </c>
    </row>
    <row r="27" spans="1:8" ht="15.75" customHeight="1" x14ac:dyDescent="0.25">
      <c r="B27" s="19" t="s">
        <v>120</v>
      </c>
      <c r="C27" s="101">
        <v>6.1112532999999997E-2</v>
      </c>
    </row>
    <row r="28" spans="1:8" ht="15.75" customHeight="1" x14ac:dyDescent="0.25">
      <c r="B28" s="19" t="s">
        <v>121</v>
      </c>
      <c r="C28" s="101">
        <v>0.12187780400000001</v>
      </c>
    </row>
    <row r="29" spans="1:8" ht="15.75" customHeight="1" x14ac:dyDescent="0.25">
      <c r="B29" s="19" t="s">
        <v>122</v>
      </c>
      <c r="C29" s="101">
        <v>0.13517542399999999</v>
      </c>
    </row>
    <row r="30" spans="1:8" ht="15.75" customHeight="1" x14ac:dyDescent="0.25">
      <c r="B30" s="19" t="s">
        <v>2</v>
      </c>
      <c r="C30" s="101">
        <v>8.1544961999999999E-2</v>
      </c>
    </row>
    <row r="31" spans="1:8" ht="15.75" customHeight="1" x14ac:dyDescent="0.25">
      <c r="B31" s="19" t="s">
        <v>123</v>
      </c>
      <c r="C31" s="101">
        <v>6.5156283999999995E-2</v>
      </c>
    </row>
    <row r="32" spans="1:8" ht="15.75" customHeight="1" x14ac:dyDescent="0.25">
      <c r="B32" s="19" t="s">
        <v>124</v>
      </c>
      <c r="C32" s="101">
        <v>0.13128318899999999</v>
      </c>
    </row>
    <row r="33" spans="2:3" ht="15.75" customHeight="1" x14ac:dyDescent="0.25">
      <c r="B33" s="19" t="s">
        <v>125</v>
      </c>
      <c r="C33" s="101">
        <v>0.12725431500000001</v>
      </c>
    </row>
    <row r="34" spans="2:3" ht="15.75" customHeight="1" x14ac:dyDescent="0.25">
      <c r="B34" s="19" t="s">
        <v>126</v>
      </c>
      <c r="C34" s="101">
        <v>0.221720049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7PpaY+SpOPoMv1xSaQwKUiFRMiQbWpnxtUWKD7BjKtZcnDXT+uy/2BKUNzpQWIf2YU7kzDflU97fGoIncooCwQ==" saltValue="LQMI/ZyzRlQLRFjIAg3uO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132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133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137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138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K6amnsOCoQtTRri8/+QQmKW/PbJHMydFV9nI+66o1paN2n7C+tUazPYx3tob0FQ0ZcLC2xR8mLl6YprvZtSHQ==" saltValue="4U26DPLhOJOYrP25qW9u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0.1049405000000001</v>
      </c>
      <c r="D5" s="52">
        <f t="shared" si="0"/>
        <v>0.12712849999999998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TxoK9JOWaPOvoY1mBdIzUOkbYotWC2IVzwb0QzWao2Al3t5oxJAgMdjtJRYBMnB1DtMpPzOV8knjXcPCV2xgsw==" saltValue="utOHdHKwOvrRjS5viuKIJ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N8r1KyvC/7FAVpN+yiMJS0srGbt6jzMl6P20r05Q29xX8fhOD/eZ+w4laVsE/4QxYYsEbEnmbCCcTXQTA6wRg==" saltValue="wXpqc0MlJiHt8unSXdGkN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6810.1140410423304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0.47469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0.63400000000000001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1.796689630772276E-2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99008.555240000002</v>
      </c>
      <c r="C22" s="109">
        <v>98914.735430000001</v>
      </c>
      <c r="D22" s="109">
        <v>98809.752470000007</v>
      </c>
      <c r="E22" s="109">
        <v>98574.025259999995</v>
      </c>
      <c r="F22" s="109">
        <v>98362.063649999996</v>
      </c>
      <c r="G22" s="109">
        <v>98146.559999999998</v>
      </c>
      <c r="H22" s="109">
        <v>97988.565669999996</v>
      </c>
      <c r="I22" s="109">
        <v>97680.695649999994</v>
      </c>
      <c r="J22" s="109">
        <v>97015.945309999996</v>
      </c>
      <c r="K22" s="109">
        <v>96128.59087</v>
      </c>
      <c r="L22" s="109">
        <v>94567.490779999993</v>
      </c>
      <c r="M22" s="109">
        <v>92482.857910000006</v>
      </c>
      <c r="N22" s="109">
        <v>88993.018779999999</v>
      </c>
      <c r="O22" s="109">
        <v>84742.573810000002</v>
      </c>
    </row>
  </sheetData>
  <sheetProtection algorithmName="SHA-512" hashValue="drwXKzggs3azzYDEiqbKAE/jTeGmsqMQUJFpDlTP5Nnzq6pz/b0n0l+zPShvlQ3d85v6DLEjEGYlWo8Sg/UEgQ==" saltValue="jxrm9DxUTFXfz9mzQPbV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kAIXqoVJ7DoZ1oIi4iXPr7QfPwfhNNYUQg9quavzXjR4TCS3r0yfCc/6dRPa4rGeQlY3BkC0wJjoXKYUm8NoWQ==" saltValue="+k9a1Qlpu0YKKLjsFE3aD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EtsZl+lYaRkOUOh4QiXQNbF4XlycsMvdwaqGW31aIbN8WDnPbc0qmXr8HqT9pj/uoPCN6NHIwx6974u0fKL05g==" saltValue="Vg/5zAyw4H06eSxgXH3KE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12.008526100307062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12.008526100307062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8.8894216990788131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0.40262538382804508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0.18510399999999999</v>
      </c>
      <c r="C10" s="98">
        <v>0.95</v>
      </c>
      <c r="D10" s="56">
        <v>13.009708061868061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13.009708061868061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13.009708061868061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13.009708061868061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0.18510399999999999</v>
      </c>
      <c r="C14" s="98">
        <v>0.95</v>
      </c>
      <c r="D14" s="56">
        <v>13.009708061868061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13.009708061868061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0.34266350000000001</v>
      </c>
      <c r="C18" s="98">
        <v>0.95</v>
      </c>
      <c r="D18" s="56">
        <v>8.8894216990788131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0.34266350000000001</v>
      </c>
      <c r="C19" s="98">
        <v>0.95</v>
      </c>
      <c r="D19" s="56">
        <v>9.5101355775698799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8.8894216990788131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4.2777930485212776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0.84867761728916302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0.18510399999999999</v>
      </c>
      <c r="C26" s="98">
        <v>0.95</v>
      </c>
      <c r="D26" s="56">
        <v>5.1498336745138182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11.470990276356194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0.34516190000000002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0.52498509999999998</v>
      </c>
      <c r="C29" s="98">
        <v>0.95</v>
      </c>
      <c r="D29" s="56">
        <v>113.3709035636476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170.92419651995908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1.1057036847492325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0.13477720000000001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1.5291300000000001E-2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0.80814319999999995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4.9000000000000002E-2</v>
      </c>
      <c r="C38" s="98">
        <v>0.95</v>
      </c>
      <c r="D38" s="56">
        <v>2.6374181166837261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yNTY/FoQFhCmK/F7337SpGLnFuDNDxZzuutiiwezPT1ArAdmfblekFQk24HepeVwUke7lVFMGS+vvZb9qWGvAw==" saltValue="8ijZ4xveQQddL5SEWlvt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7OSYwUyvCeD9213Noo2MBKC8CbVSbe1mow1mImOCxzpHf9vaDS66SK/zyqYaVcdAkGCsf4E8BNC2oz/K4aUGQ==" saltValue="SfY3qyoupHwhmlFI18rB4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URHvLeTlYeB95ttU3oe9mWwjPFaC83YIzLFfW8MB+uSbaVnqkmGT6kBBZlnNMYI2oHgBdcR9HaR0Di4i2p9fQ==" saltValue="wo6Td6EyR6JM1VORj7YGm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237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sheetProtection algorithmName="SHA-512" hashValue="jrHxszyAmzJrtcPrpq16x/LlHV0eel+qn+EurMQnuJsLZ+Y7cFS9rXoHVBx6htuA4qSPXiW1nGvlLnHiWL2wlg==" saltValue="2CFPKwLoQPDjnLG0XFo9w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irN7fF3B1cNFfMs+r0OdhnhaDszkP24uXYUuRwDysGtxCeztnepvImfNCCYSF1VmWJjRDT0vyzlkVHZyoKRPg==" saltValue="07K8rNaDNsxunmJ7CnHqE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AFQRw3cyxlqKXuQmw4ZehILxC88ErVD2oWIJ7j4euosws5K1jpo5oQ9bRBLrB6yPEqE/MkAWWrpElhkEcRBHtg==" saltValue="EvW5Va1+3N5MGzIYaIWQg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0RyoJK1EwkJUIpL9KRq5AA9v0yaQgqByFocXq+/6jxR/D2qsPjUNdr9bssVz1EtT78By+h2m8DgDW3I9Tabdw==" saltValue="BK2dCfkByMDOcEHvN3PKL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L6F15aoEFG6Wzsix+apsZQVwjcObNu4MLVJK6dprY2EdlNdySCK+cLG4sl2HVhPrBJlK4oyKBDGMywy8FeRyQ==" saltValue="jbUiUKYEadln4ZC8JQ5yh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DIaPrYg544Mx5zoE+nqTiu+A/xWRccWVBLpk9Lm1u6JA/+8PVSGExH7WTseyxKGvs9OeXUjJC0kgoYW1tKwwXg==" saltValue="9Nyps3FNHMZH6AWYM5yxn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vcfio2s4+nMqldJJVP8dnxr6RjpjLc6ChFENDaFEn6lKDEaERkO08ss8/0gOLSdKi4PhyzZKPAbTf/+w8F/0BA==" saltValue="RPMbYGrbkVaDh0Y7Spsmc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mE65S4bRrtYorM7qA+ZO7YiZYURYIZGCmejx/IV7FZe/72vE04XIFJhwprNGz7b5QQRfN3djZFaYsRfk5Hj7w==" saltValue="C3VNys+c/kX8l3hiFTB2M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vPa8r23khyjE9+cwgdkKgiXRXJk6aNPYCxc9GY/BaiRfVdCT0JUwSJy9fsVisXXwKkmMx0+0g7KtiQWZ29RkSA==" saltValue="pbxR+Ddqr3c1Fo3oCVqg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diO3o50vDYaaJWq64xor6aJaZCwNAmTelVTR6ffhDbcVjtUKYeVuKMsoqtcl0vvsOry4bBUiqt3MdBGF5s8eBw==" saltValue="d373gp3mz87ZxI2plxj3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887YpvSqWg4LBveYA97aN5uz/+gcWduDZojqbqURLVWJ/RZxhaxB6iAIUAz6vW4t8qjy1Y3/T4p9xGvTPvJHhw==" saltValue="FHyQDBGOuIgrFvmfCjWs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lEIXSD11SydVD2pdRiVA2RPt1xyvUGQXOJMTq6V0pCsyrMtlJhoejf3Bfo0Vb7WngrdkQw/yFQlXHW9rVaJ3Hg==" saltValue="0BACDDnrMQ7iHb5n9iQk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M+McRFVRUdOSbaoX+mMoWxHVhXXehHRl9//54y69pmEyG89cT8m3M9NIcbOijayR1T2sBc3j0yPTYsJ2Sp7Xg==" saltValue="R0ZLBNJQdZ2cgjllpGau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KDTjnq0OgIrgRz2SgEItINaODkP3KKlmeqbZooZtvwR+Q6OotVHixt943qTTBwO2DyUEQWXzvcbxUMzsERyuw==" saltValue="OmPlTex09eXfjv8u/E4Z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UQDATGRXdftdJaDLCcSzq4n7ZS/pazzV0Of9Pt2RUwLDK0Cd321LoSnA6oSDzFEWNP5A6yOMhvu8QcOsqiumw==" saltValue="xzzuDEKiWCw10dnDKyBg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0bKzBVZNwjvZ/VC3fHbiGYRF2KOL0VtNU45QbLX/yYYKdxVtFwxt5DHR9pCw2rwB1aDl/oyURhMkRqZw2yWjOQ==" saltValue="tykz+SgiXkNuwyF4L7GT9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2025-07-04T03:10:34Z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