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61DD46B4-FDB4-474D-A262-9123C70365F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<sst xmlns="http://schemas.openxmlformats.org/spreadsheetml/2006/main" count="2102" uniqueCount="337">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</sst>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139132.326171875</v>
      </c>
    </row>
    <row r="8" spans="1:3" ht="15" customHeight="1" x14ac:dyDescent="0.25">
      <c r="B8" s="5" t="s">
        <v>19</v>
      </c>
      <c r="C8" s="44">
        <v>1.7000000000000001E-2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0.86947998046874997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0.871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7.4200000000000002E-2</v>
      </c>
    </row>
    <row r="24" spans="1:3" ht="15" customHeight="1" x14ac:dyDescent="0.25">
      <c r="B24" s="15" t="s">
        <v>33</v>
      </c>
      <c r="C24" s="45">
        <v>0.63170000000000004</v>
      </c>
    </row>
    <row r="25" spans="1:3" ht="15" customHeight="1" x14ac:dyDescent="0.25">
      <c r="B25" s="15" t="s">
        <v>34</v>
      </c>
      <c r="C25" s="45">
        <v>0.28189999999999998</v>
      </c>
    </row>
    <row r="26" spans="1:3" ht="15" customHeight="1" x14ac:dyDescent="0.25">
      <c r="B26" s="15" t="s">
        <v>35</v>
      </c>
      <c r="C26" s="45">
        <v>1.2200000000000001E-2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0.42929909094781799</v>
      </c>
    </row>
    <row r="30" spans="1:3" ht="14.25" customHeight="1" x14ac:dyDescent="0.25">
      <c r="B30" s="25" t="s">
        <v>38</v>
      </c>
      <c r="C30" s="99">
        <v>2.5436306024175601E-2</v>
      </c>
    </row>
    <row r="31" spans="1:3" ht="14.25" customHeight="1" x14ac:dyDescent="0.25">
      <c r="B31" s="25" t="s">
        <v>39</v>
      </c>
      <c r="C31" s="99">
        <v>4.7151485611007002E-2</v>
      </c>
    </row>
    <row r="32" spans="1:3" ht="14.25" customHeight="1" x14ac:dyDescent="0.25">
      <c r="B32" s="25" t="s">
        <v>40</v>
      </c>
      <c r="C32" s="99">
        <v>0.49811311741699899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7.1181000000000001</v>
      </c>
    </row>
    <row r="38" spans="1:5" ht="15" customHeight="1" x14ac:dyDescent="0.25">
      <c r="B38" s="11" t="s">
        <v>45</v>
      </c>
      <c r="C38" s="43">
        <v>8.4116499999999998</v>
      </c>
      <c r="D38" s="12"/>
      <c r="E38" s="13"/>
    </row>
    <row r="39" spans="1:5" ht="15" customHeight="1" x14ac:dyDescent="0.25">
      <c r="B39" s="11" t="s">
        <v>46</v>
      </c>
      <c r="C39" s="43">
        <v>9.4559200000000008</v>
      </c>
      <c r="D39" s="12"/>
      <c r="E39" s="12"/>
    </row>
    <row r="40" spans="1:5" ht="15" customHeight="1" x14ac:dyDescent="0.25">
      <c r="B40" s="11" t="s">
        <v>47</v>
      </c>
      <c r="C40" s="100">
        <v>0.08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4.3445799999999997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5.9370999999999998E-3</v>
      </c>
      <c r="D45" s="12"/>
    </row>
    <row r="46" spans="1:5" ht="15.75" customHeight="1" x14ac:dyDescent="0.25">
      <c r="B46" s="11" t="s">
        <v>52</v>
      </c>
      <c r="C46" s="45">
        <v>6.3792799999999997E-2</v>
      </c>
      <c r="D46" s="12"/>
    </row>
    <row r="47" spans="1:5" ht="15.75" customHeight="1" x14ac:dyDescent="0.25">
      <c r="B47" s="11" t="s">
        <v>53</v>
      </c>
      <c r="C47" s="45">
        <v>7.5355400000000003E-2</v>
      </c>
      <c r="D47" s="12"/>
      <c r="E47" s="13"/>
    </row>
    <row r="48" spans="1:5" ht="15" customHeight="1" x14ac:dyDescent="0.25">
      <c r="B48" s="11" t="s">
        <v>54</v>
      </c>
      <c r="C48" s="46">
        <v>0.85491470000000003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0.68814900000000001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4.5878300999999899E-2</v>
      </c>
    </row>
    <row r="63" spans="1:4" ht="15.75" customHeight="1" x14ac:dyDescent="0.3">
      <c r="A63" s="4"/>
    </row>
  </sheetData>
  <sheetProtection algorithmName="SHA-512" hashValue="yiy1Ix7rfUBuKgFuPwROoaYwSF3N58YBfdk5CyQMfkljn+qkadP7gWnwxWw9S7OHPoBWhYDSAr4RBKSWULZ6KA==" saltValue="tsu2cPnNBbQEliZ+w4lJ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28334</v>
      </c>
      <c r="C2" s="49">
        <v>98282.999999999985</v>
      </c>
      <c r="D2" s="49">
        <v>204303</v>
      </c>
      <c r="E2" s="49">
        <v>201844.5</v>
      </c>
      <c r="F2" s="49">
        <v>144705</v>
      </c>
      <c r="G2" s="17">
        <f t="shared" ref="G2:G13" si="0">C2+D2+E2+F2</f>
        <v>649135.5</v>
      </c>
      <c r="H2" s="17">
        <f t="shared" ref="H2:H13" si="1">(B2 + stillbirth*B2/(1000-stillbirth))/(1-abortion)</f>
        <v>32338.22327078506</v>
      </c>
      <c r="I2" s="17">
        <f t="shared" ref="I2:I13" si="2">G2-H2</f>
        <v>616797.27672921494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28153</v>
      </c>
      <c r="C3" s="50">
        <v>95953.5</v>
      </c>
      <c r="D3" s="50">
        <v>197256</v>
      </c>
      <c r="E3" s="50">
        <v>206854</v>
      </c>
      <c r="F3" s="50">
        <v>144880.5</v>
      </c>
      <c r="G3" s="17">
        <f t="shared" si="0"/>
        <v>644944</v>
      </c>
      <c r="H3" s="17">
        <f t="shared" si="1"/>
        <v>32131.643952227423</v>
      </c>
      <c r="I3" s="17">
        <f t="shared" si="2"/>
        <v>612812.35604777257</v>
      </c>
    </row>
    <row r="4" spans="1:9" ht="15.75" customHeight="1" x14ac:dyDescent="0.25">
      <c r="A4" s="5">
        <f t="shared" si="3"/>
        <v>2026</v>
      </c>
      <c r="B4" s="49">
        <v>27933</v>
      </c>
      <c r="C4" s="50">
        <v>94845</v>
      </c>
      <c r="D4" s="50">
        <v>189578</v>
      </c>
      <c r="E4" s="50">
        <v>211084.5</v>
      </c>
      <c r="F4" s="50">
        <v>144937.5</v>
      </c>
      <c r="G4" s="17">
        <f t="shared" si="0"/>
        <v>640445</v>
      </c>
      <c r="H4" s="17">
        <f t="shared" si="1"/>
        <v>31880.553067792727</v>
      </c>
      <c r="I4" s="17">
        <f t="shared" si="2"/>
        <v>608564.44693220733</v>
      </c>
    </row>
    <row r="5" spans="1:9" ht="15.75" customHeight="1" x14ac:dyDescent="0.25">
      <c r="A5" s="5">
        <f t="shared" si="3"/>
        <v>2027</v>
      </c>
      <c r="B5" s="49">
        <v>27538</v>
      </c>
      <c r="C5" s="50">
        <v>94595.499999999985</v>
      </c>
      <c r="D5" s="50">
        <v>182125</v>
      </c>
      <c r="E5" s="50">
        <v>214067</v>
      </c>
      <c r="F5" s="50">
        <v>145543</v>
      </c>
      <c r="G5" s="17">
        <f t="shared" si="0"/>
        <v>636330.5</v>
      </c>
      <c r="H5" s="17">
        <f t="shared" si="1"/>
        <v>31429.730798012246</v>
      </c>
      <c r="I5" s="17">
        <f t="shared" si="2"/>
        <v>604900.76920198777</v>
      </c>
    </row>
    <row r="6" spans="1:9" ht="15.75" customHeight="1" x14ac:dyDescent="0.25">
      <c r="A6" s="5">
        <f t="shared" si="3"/>
        <v>2028</v>
      </c>
      <c r="B6" s="49">
        <v>27135</v>
      </c>
      <c r="C6" s="50">
        <v>94500.5</v>
      </c>
      <c r="D6" s="50">
        <v>175661.5</v>
      </c>
      <c r="E6" s="50">
        <v>215455.5</v>
      </c>
      <c r="F6" s="50">
        <v>146942.5</v>
      </c>
      <c r="G6" s="17">
        <f t="shared" si="0"/>
        <v>632560</v>
      </c>
      <c r="H6" s="17">
        <f t="shared" si="1"/>
        <v>30969.77795061596</v>
      </c>
      <c r="I6" s="17">
        <f t="shared" si="2"/>
        <v>601590.22204938403</v>
      </c>
    </row>
    <row r="7" spans="1:9" ht="15.75" customHeight="1" x14ac:dyDescent="0.25">
      <c r="A7" s="5">
        <f t="shared" si="3"/>
        <v>2029</v>
      </c>
      <c r="B7" s="49">
        <v>26601</v>
      </c>
      <c r="C7" s="50">
        <v>94101.000000000015</v>
      </c>
      <c r="D7" s="50">
        <v>169295.5</v>
      </c>
      <c r="E7" s="50">
        <v>215499.5</v>
      </c>
      <c r="F7" s="50">
        <v>149150</v>
      </c>
      <c r="G7" s="17">
        <f t="shared" si="0"/>
        <v>628046</v>
      </c>
      <c r="H7" s="17">
        <f t="shared" si="1"/>
        <v>30360.311894760831</v>
      </c>
      <c r="I7" s="17">
        <f t="shared" si="2"/>
        <v>597685.68810523918</v>
      </c>
    </row>
    <row r="8" spans="1:9" ht="15.75" customHeight="1" x14ac:dyDescent="0.25">
      <c r="A8" s="5">
        <f t="shared" si="3"/>
        <v>2030</v>
      </c>
      <c r="B8" s="49">
        <v>26184</v>
      </c>
      <c r="C8" s="50">
        <v>93139.000000000015</v>
      </c>
      <c r="D8" s="50">
        <v>163342</v>
      </c>
      <c r="E8" s="50">
        <v>213835.5</v>
      </c>
      <c r="F8" s="50">
        <v>152726.5</v>
      </c>
      <c r="G8" s="17">
        <f t="shared" si="0"/>
        <v>623043</v>
      </c>
      <c r="H8" s="17">
        <f t="shared" si="1"/>
        <v>29884.380536536879</v>
      </c>
      <c r="I8" s="17">
        <f t="shared" si="2"/>
        <v>593158.61946346308</v>
      </c>
    </row>
    <row r="9" spans="1:9" ht="15.75" customHeight="1" x14ac:dyDescent="0.25">
      <c r="A9" s="5">
        <f t="shared" si="3"/>
        <v>2031</v>
      </c>
      <c r="B9" s="49">
        <v>25588</v>
      </c>
      <c r="C9" s="50">
        <v>91556</v>
      </c>
      <c r="D9" s="50">
        <v>158983.5</v>
      </c>
      <c r="E9" s="50">
        <v>209658</v>
      </c>
      <c r="F9" s="50">
        <v>157159.5</v>
      </c>
      <c r="G9" s="17">
        <f t="shared" si="0"/>
        <v>617357</v>
      </c>
      <c r="H9" s="17">
        <f t="shared" si="1"/>
        <v>29204.152504159247</v>
      </c>
      <c r="I9" s="17">
        <f t="shared" si="2"/>
        <v>588152.84749584075</v>
      </c>
    </row>
    <row r="10" spans="1:9" ht="15.75" customHeight="1" x14ac:dyDescent="0.25">
      <c r="A10" s="5">
        <f t="shared" si="3"/>
        <v>2032</v>
      </c>
      <c r="B10" s="49">
        <v>25020</v>
      </c>
      <c r="C10" s="50">
        <v>89136</v>
      </c>
      <c r="D10" s="50">
        <v>155304</v>
      </c>
      <c r="E10" s="50">
        <v>204407.5</v>
      </c>
      <c r="F10" s="50">
        <v>162303.5</v>
      </c>
      <c r="G10" s="17">
        <f t="shared" si="0"/>
        <v>611151</v>
      </c>
      <c r="H10" s="17">
        <f t="shared" si="1"/>
        <v>28555.881493436937</v>
      </c>
      <c r="I10" s="17">
        <f t="shared" si="2"/>
        <v>582595.11850656301</v>
      </c>
    </row>
    <row r="11" spans="1:9" ht="15.75" customHeight="1" x14ac:dyDescent="0.25">
      <c r="A11" s="5">
        <f t="shared" si="3"/>
        <v>2033</v>
      </c>
      <c r="B11" s="49">
        <v>24448</v>
      </c>
      <c r="C11" s="50">
        <v>86214.5</v>
      </c>
      <c r="D11" s="50">
        <v>152312.5</v>
      </c>
      <c r="E11" s="50">
        <v>198302.99999999991</v>
      </c>
      <c r="F11" s="50">
        <v>167655</v>
      </c>
      <c r="G11" s="17">
        <f t="shared" si="0"/>
        <v>604484.99999999988</v>
      </c>
      <c r="H11" s="17">
        <f t="shared" si="1"/>
        <v>27903.045193906724</v>
      </c>
      <c r="I11" s="17">
        <f t="shared" si="2"/>
        <v>576581.95480609313</v>
      </c>
    </row>
    <row r="12" spans="1:9" ht="15.75" customHeight="1" x14ac:dyDescent="0.25">
      <c r="A12" s="5">
        <f t="shared" si="3"/>
        <v>2034</v>
      </c>
      <c r="B12" s="49">
        <v>23869</v>
      </c>
      <c r="C12" s="50">
        <v>83193.999999999985</v>
      </c>
      <c r="D12" s="50">
        <v>149952.5</v>
      </c>
      <c r="E12" s="50">
        <v>191355.5</v>
      </c>
      <c r="F12" s="50">
        <v>172710.5</v>
      </c>
      <c r="G12" s="17">
        <f t="shared" si="0"/>
        <v>597212.5</v>
      </c>
      <c r="H12" s="17">
        <f t="shared" si="1"/>
        <v>27242.219638962681</v>
      </c>
      <c r="I12" s="17">
        <f t="shared" si="2"/>
        <v>569970.28036103735</v>
      </c>
    </row>
    <row r="13" spans="1:9" ht="15.75" customHeight="1" x14ac:dyDescent="0.25">
      <c r="A13" s="5">
        <f t="shared" si="3"/>
        <v>2035</v>
      </c>
      <c r="B13" s="49">
        <v>23341</v>
      </c>
      <c r="C13" s="50">
        <v>80673.5</v>
      </c>
      <c r="D13" s="50">
        <v>147428</v>
      </c>
      <c r="E13" s="50">
        <v>184338.5</v>
      </c>
      <c r="F13" s="50">
        <v>177935</v>
      </c>
      <c r="G13" s="17">
        <f t="shared" si="0"/>
        <v>590375</v>
      </c>
      <c r="H13" s="17">
        <f t="shared" si="1"/>
        <v>26639.601516319406</v>
      </c>
      <c r="I13" s="17">
        <f t="shared" si="2"/>
        <v>563735.39848368056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gzIWJPLCF/J7RqA75SFqfjfGyagiGspmkQZD+rTnbKCkPNOpbm1RohpR9sS/iW9y9ra6wStNyUWd2/PJJ+J/g==" saltValue="fVaPc0tbemJ8+ZbhS/IB8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3.6605399999999962E-2</v>
      </c>
    </row>
    <row r="5" spans="1:8" ht="15.75" customHeight="1" x14ac:dyDescent="0.25">
      <c r="B5" s="19" t="s">
        <v>80</v>
      </c>
      <c r="C5" s="101">
        <v>2.8491900000000028E-2</v>
      </c>
    </row>
    <row r="6" spans="1:8" ht="15.75" customHeight="1" x14ac:dyDescent="0.25">
      <c r="B6" s="19" t="s">
        <v>81</v>
      </c>
      <c r="C6" s="101">
        <v>0.1543518999999996</v>
      </c>
    </row>
    <row r="7" spans="1:8" ht="15.75" customHeight="1" x14ac:dyDescent="0.25">
      <c r="B7" s="19" t="s">
        <v>82</v>
      </c>
      <c r="C7" s="101">
        <v>0.42690190000000028</v>
      </c>
    </row>
    <row r="8" spans="1:8" ht="15.75" customHeight="1" x14ac:dyDescent="0.25">
      <c r="B8" s="19" t="s">
        <v>83</v>
      </c>
      <c r="C8" s="101">
        <v>9.5492000000000025E-3</v>
      </c>
    </row>
    <row r="9" spans="1:8" ht="15.75" customHeight="1" x14ac:dyDescent="0.25">
      <c r="B9" s="19" t="s">
        <v>84</v>
      </c>
      <c r="C9" s="101">
        <v>0.26801370000000008</v>
      </c>
    </row>
    <row r="10" spans="1:8" ht="15.75" customHeight="1" x14ac:dyDescent="0.25">
      <c r="B10" s="19" t="s">
        <v>85</v>
      </c>
      <c r="C10" s="101">
        <v>7.6086000000000042E-2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2.4938416154784201E-2</v>
      </c>
      <c r="D14" s="55">
        <v>2.4938416154784201E-2</v>
      </c>
      <c r="E14" s="55">
        <v>2.4938416154784201E-2</v>
      </c>
      <c r="F14" s="55">
        <v>2.4938416154784201E-2</v>
      </c>
    </row>
    <row r="15" spans="1:8" ht="15.75" customHeight="1" x14ac:dyDescent="0.25">
      <c r="B15" s="19" t="s">
        <v>88</v>
      </c>
      <c r="C15" s="101">
        <v>0.31814315609059202</v>
      </c>
      <c r="D15" s="101">
        <v>0.31814315609059202</v>
      </c>
      <c r="E15" s="101">
        <v>0.31814315609059202</v>
      </c>
      <c r="F15" s="101">
        <v>0.31814315609059202</v>
      </c>
    </row>
    <row r="16" spans="1:8" ht="15.75" customHeight="1" x14ac:dyDescent="0.25">
      <c r="B16" s="19" t="s">
        <v>89</v>
      </c>
      <c r="C16" s="101">
        <v>4.9267420786241918E-2</v>
      </c>
      <c r="D16" s="101">
        <v>4.9267420786241918E-2</v>
      </c>
      <c r="E16" s="101">
        <v>4.9267420786241918E-2</v>
      </c>
      <c r="F16" s="101">
        <v>4.9267420786241918E-2</v>
      </c>
    </row>
    <row r="17" spans="1:8" ht="15.75" customHeight="1" x14ac:dyDescent="0.25">
      <c r="B17" s="19" t="s">
        <v>90</v>
      </c>
      <c r="C17" s="101">
        <v>2.9968784124779189E-2</v>
      </c>
      <c r="D17" s="101">
        <v>2.9968784124779189E-2</v>
      </c>
      <c r="E17" s="101">
        <v>2.9968784124779189E-2</v>
      </c>
      <c r="F17" s="101">
        <v>2.9968784124779189E-2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1.7114090843376471E-2</v>
      </c>
      <c r="D19" s="101">
        <v>1.7114090843376471E-2</v>
      </c>
      <c r="E19" s="101">
        <v>1.7114090843376471E-2</v>
      </c>
      <c r="F19" s="101">
        <v>1.7114090843376471E-2</v>
      </c>
    </row>
    <row r="20" spans="1:8" ht="15.75" customHeight="1" x14ac:dyDescent="0.25">
      <c r="B20" s="19" t="s">
        <v>93</v>
      </c>
      <c r="C20" s="101">
        <v>6.5589051959370301E-2</v>
      </c>
      <c r="D20" s="101">
        <v>6.5589051959370301E-2</v>
      </c>
      <c r="E20" s="101">
        <v>6.5589051959370301E-2</v>
      </c>
      <c r="F20" s="101">
        <v>6.5589051959370301E-2</v>
      </c>
    </row>
    <row r="21" spans="1:8" ht="15.75" customHeight="1" x14ac:dyDescent="0.25">
      <c r="B21" s="19" t="s">
        <v>94</v>
      </c>
      <c r="C21" s="101">
        <v>0.40841074687003298</v>
      </c>
      <c r="D21" s="101">
        <v>0.40841074687003298</v>
      </c>
      <c r="E21" s="101">
        <v>0.40841074687003298</v>
      </c>
      <c r="F21" s="101">
        <v>0.40841074687003298</v>
      </c>
    </row>
    <row r="22" spans="1:8" ht="15.75" customHeight="1" x14ac:dyDescent="0.25">
      <c r="B22" s="19" t="s">
        <v>95</v>
      </c>
      <c r="C22" s="101">
        <v>8.6568333170822992E-2</v>
      </c>
      <c r="D22" s="101">
        <v>8.6568333170822992E-2</v>
      </c>
      <c r="E22" s="101">
        <v>8.6568333170822992E-2</v>
      </c>
      <c r="F22" s="101">
        <v>8.6568333170822992E-2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5.4875438999999977E-2</v>
      </c>
    </row>
    <row r="27" spans="1:8" ht="15.75" customHeight="1" x14ac:dyDescent="0.25">
      <c r="B27" s="19" t="s">
        <v>102</v>
      </c>
      <c r="C27" s="101">
        <v>6.1112532999999997E-2</v>
      </c>
    </row>
    <row r="28" spans="1:8" ht="15.75" customHeight="1" x14ac:dyDescent="0.25">
      <c r="B28" s="19" t="s">
        <v>103</v>
      </c>
      <c r="C28" s="101">
        <v>0.12187780400000001</v>
      </c>
    </row>
    <row r="29" spans="1:8" ht="15.75" customHeight="1" x14ac:dyDescent="0.25">
      <c r="B29" s="19" t="s">
        <v>104</v>
      </c>
      <c r="C29" s="101">
        <v>0.13517542399999999</v>
      </c>
    </row>
    <row r="30" spans="1:8" ht="15.75" customHeight="1" x14ac:dyDescent="0.25">
      <c r="B30" s="19" t="s">
        <v>2</v>
      </c>
      <c r="C30" s="101">
        <v>8.1544961999999999E-2</v>
      </c>
    </row>
    <row r="31" spans="1:8" ht="15.75" customHeight="1" x14ac:dyDescent="0.25">
      <c r="B31" s="19" t="s">
        <v>105</v>
      </c>
      <c r="C31" s="101">
        <v>6.5156283999999995E-2</v>
      </c>
    </row>
    <row r="32" spans="1:8" ht="15.75" customHeight="1" x14ac:dyDescent="0.25">
      <c r="B32" s="19" t="s">
        <v>106</v>
      </c>
      <c r="C32" s="101">
        <v>0.13128318899999999</v>
      </c>
    </row>
    <row r="33" spans="2:3" ht="15.75" customHeight="1" x14ac:dyDescent="0.25">
      <c r="B33" s="19" t="s">
        <v>107</v>
      </c>
      <c r="C33" s="101">
        <v>0.12725431500000001</v>
      </c>
    </row>
    <row r="34" spans="2:3" ht="15.75" customHeight="1" x14ac:dyDescent="0.25">
      <c r="B34" s="19" t="s">
        <v>108</v>
      </c>
      <c r="C34" s="101">
        <v>0.221720049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6UP8M8pqf1ogspxARJBsNSiNVRjgXicTudkjiyqpjuFWw3REJ9a8Eds/wuFjqWBQCTdKChD5IY0eMAaOd/4KEQ==" saltValue="mHHCIjUtbCGzqiXArHE8H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0.59333185281340151</v>
      </c>
      <c r="D2" s="52">
        <f>IFERROR(1-_xlfn.NORM.DIST(_xlfn.NORM.INV(SUM(D4:D5), 0, 1) + 1, 0, 1, TRUE), "")</f>
        <v>0.59333185281340151</v>
      </c>
      <c r="E2" s="52">
        <f>IFERROR(1-_xlfn.NORM.DIST(_xlfn.NORM.INV(SUM(E4:E5), 0, 1) + 1, 0, 1, TRUE), "")</f>
        <v>0.68977654875001948</v>
      </c>
      <c r="F2" s="52">
        <f>IFERROR(1-_xlfn.NORM.DIST(_xlfn.NORM.INV(SUM(F4:F5), 0, 1) + 1, 0, 1, TRUE), "")</f>
        <v>0.54342061811636888</v>
      </c>
      <c r="G2" s="52">
        <f>IFERROR(1-_xlfn.NORM.DIST(_xlfn.NORM.INV(SUM(G4:G5), 0, 1) + 1, 0, 1, TRUE), "")</f>
        <v>0.57884302472973492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0.29846194718659858</v>
      </c>
      <c r="D3" s="52">
        <f>IFERROR(_xlfn.NORM.DIST(_xlfn.NORM.INV(SUM(D4:D5), 0, 1) + 1, 0, 1, TRUE) - SUM(D4:D5), "")</f>
        <v>0.29846194718659858</v>
      </c>
      <c r="E3" s="52">
        <f>IFERROR(_xlfn.NORM.DIST(_xlfn.NORM.INV(SUM(E4:E5), 0, 1) + 1, 0, 1, TRUE) - SUM(E4:E5), "")</f>
        <v>0.24279455124998051</v>
      </c>
      <c r="F3" s="52">
        <f>IFERROR(_xlfn.NORM.DIST(_xlfn.NORM.INV(SUM(F4:F5), 0, 1) + 1, 0, 1, TRUE) - SUM(F4:F5), "")</f>
        <v>0.3228761818836311</v>
      </c>
      <c r="G3" s="52">
        <f>IFERROR(_xlfn.NORM.DIST(_xlfn.NORM.INV(SUM(G4:G5), 0, 1) + 1, 0, 1, TRUE) - SUM(G4:G5), "")</f>
        <v>0.30588027527026501</v>
      </c>
    </row>
    <row r="4" spans="1:15" ht="15.75" customHeight="1" x14ac:dyDescent="0.25">
      <c r="B4" s="5" t="s">
        <v>114</v>
      </c>
      <c r="C4" s="45">
        <v>8.2592800000000008E-2</v>
      </c>
      <c r="D4" s="53">
        <v>8.2592800000000008E-2</v>
      </c>
      <c r="E4" s="53">
        <v>2.69825E-2</v>
      </c>
      <c r="F4" s="53">
        <v>7.5200500000000003E-2</v>
      </c>
      <c r="G4" s="53">
        <v>8.0217200000000002E-2</v>
      </c>
    </row>
    <row r="5" spans="1:15" ht="15.75" customHeight="1" x14ac:dyDescent="0.25">
      <c r="B5" s="5" t="s">
        <v>115</v>
      </c>
      <c r="C5" s="45">
        <v>2.5613400000000001E-2</v>
      </c>
      <c r="D5" s="53">
        <v>2.5613400000000001E-2</v>
      </c>
      <c r="E5" s="53">
        <v>4.04464E-2</v>
      </c>
      <c r="F5" s="53">
        <v>5.8502699999999998E-2</v>
      </c>
      <c r="G5" s="53">
        <v>3.50595E-2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0.72281746867548535</v>
      </c>
      <c r="D8" s="52">
        <f>IFERROR(1-_xlfn.NORM.DIST(_xlfn.NORM.INV(SUM(D10:D11), 0, 1) + 1, 0, 1, TRUE), "")</f>
        <v>0.72281746867548535</v>
      </c>
      <c r="E8" s="52">
        <f>IFERROR(1-_xlfn.NORM.DIST(_xlfn.NORM.INV(SUM(E10:E11), 0, 1) + 1, 0, 1, TRUE), "")</f>
        <v>0.88120620204841471</v>
      </c>
      <c r="F8" s="52">
        <f>IFERROR(1-_xlfn.NORM.DIST(_xlfn.NORM.INV(SUM(F10:F11), 0, 1) + 1, 0, 1, TRUE), "")</f>
        <v>0.94877071246965783</v>
      </c>
      <c r="G8" s="52">
        <f>IFERROR(1-_xlfn.NORM.DIST(_xlfn.NORM.INV(SUM(G10:G11), 0, 1) + 1, 0, 1, TRUE), "")</f>
        <v>0.88796277422477732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0.22140383132451463</v>
      </c>
      <c r="D9" s="52">
        <f>IFERROR(_xlfn.NORM.DIST(_xlfn.NORM.INV(SUM(D10:D11), 0, 1) + 1, 0, 1, TRUE) - SUM(D10:D11), "")</f>
        <v>0.22140383132451463</v>
      </c>
      <c r="E9" s="52">
        <f>IFERROR(_xlfn.NORM.DIST(_xlfn.NORM.INV(SUM(E10:E11), 0, 1) + 1, 0, 1, TRUE) - SUM(E10:E11), "")</f>
        <v>0.10420349795158527</v>
      </c>
      <c r="F9" s="52">
        <f>IFERROR(_xlfn.NORM.DIST(_xlfn.NORM.INV(SUM(F10:F11), 0, 1) + 1, 0, 1, TRUE) - SUM(F10:F11), "")</f>
        <v>4.6998187530342114E-2</v>
      </c>
      <c r="G9" s="52">
        <f>IFERROR(_xlfn.NORM.DIST(_xlfn.NORM.INV(SUM(G10:G11), 0, 1) + 1, 0, 1, TRUE) - SUM(G10:G11), "")</f>
        <v>9.8683425775222655E-2</v>
      </c>
    </row>
    <row r="10" spans="1:15" ht="15.75" customHeight="1" x14ac:dyDescent="0.25">
      <c r="B10" s="5" t="s">
        <v>119</v>
      </c>
      <c r="C10" s="45">
        <v>2.9464299999999999E-2</v>
      </c>
      <c r="D10" s="53">
        <v>2.9464299999999999E-2</v>
      </c>
      <c r="E10" s="53">
        <v>1.3356E-2</v>
      </c>
      <c r="F10" s="53">
        <v>2.9581E-3</v>
      </c>
      <c r="G10" s="53">
        <v>9.3389000000000007E-3</v>
      </c>
    </row>
    <row r="11" spans="1:15" ht="15.75" customHeight="1" x14ac:dyDescent="0.25">
      <c r="B11" s="5" t="s">
        <v>120</v>
      </c>
      <c r="C11" s="45">
        <v>2.6314400000000002E-2</v>
      </c>
      <c r="D11" s="53">
        <v>2.6314400000000002E-2</v>
      </c>
      <c r="E11" s="53">
        <v>1.2343E-3</v>
      </c>
      <c r="F11" s="53">
        <v>1.273E-3</v>
      </c>
      <c r="G11" s="53">
        <v>4.0149000000000001E-3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0.49191085224999997</v>
      </c>
      <c r="D14" s="54">
        <v>0.51822107709800003</v>
      </c>
      <c r="E14" s="54">
        <v>0.51822107709800003</v>
      </c>
      <c r="F14" s="54">
        <v>0.23575004308899999</v>
      </c>
      <c r="G14" s="54">
        <v>0.23575004308899999</v>
      </c>
      <c r="H14" s="45">
        <v>0.23200000000000001</v>
      </c>
      <c r="I14" s="55">
        <v>0.23200000000000001</v>
      </c>
      <c r="J14" s="55">
        <v>0.23200000000000001</v>
      </c>
      <c r="K14" s="55">
        <v>0.23200000000000001</v>
      </c>
      <c r="L14" s="45">
        <v>0.254</v>
      </c>
      <c r="M14" s="55">
        <v>0.254</v>
      </c>
      <c r="N14" s="55">
        <v>0.254</v>
      </c>
      <c r="O14" s="55">
        <v>0.254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0.33850796106498526</v>
      </c>
      <c r="D15" s="52">
        <f t="shared" si="0"/>
        <v>0.35661331598391161</v>
      </c>
      <c r="E15" s="52">
        <f t="shared" si="0"/>
        <v>0.35661331598391161</v>
      </c>
      <c r="F15" s="52">
        <f t="shared" si="0"/>
        <v>0.16223115640165225</v>
      </c>
      <c r="G15" s="52">
        <f t="shared" si="0"/>
        <v>0.16223115640165225</v>
      </c>
      <c r="H15" s="52">
        <f t="shared" si="0"/>
        <v>0.15965056800000002</v>
      </c>
      <c r="I15" s="52">
        <f t="shared" si="0"/>
        <v>0.15965056800000002</v>
      </c>
      <c r="J15" s="52">
        <f t="shared" si="0"/>
        <v>0.15965056800000002</v>
      </c>
      <c r="K15" s="52">
        <f t="shared" si="0"/>
        <v>0.15965056800000002</v>
      </c>
      <c r="L15" s="52">
        <f t="shared" si="0"/>
        <v>0.174789846</v>
      </c>
      <c r="M15" s="52">
        <f t="shared" si="0"/>
        <v>0.174789846</v>
      </c>
      <c r="N15" s="52">
        <f t="shared" si="0"/>
        <v>0.174789846</v>
      </c>
      <c r="O15" s="52">
        <f t="shared" si="0"/>
        <v>0.174789846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k0BZ41wBqOcS/9ZIfYHEAYDzXAva2mh/UQYLcn0dJj6PkW71BgmA3WLk1e5NWyLGxmjbe1RnvvGe0b5zNZ8UQ==" saltValue="S7JxsvPmTyyadQ2PAds8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0.45765949999999989</v>
      </c>
      <c r="D2" s="53">
        <v>0.34266350000000001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0.20446320000000001</v>
      </c>
      <c r="D3" s="53">
        <v>0.15321770000000001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0.2329368</v>
      </c>
      <c r="D4" s="53">
        <v>0.3769903</v>
      </c>
      <c r="E4" s="53">
        <v>0.77493769999999995</v>
      </c>
      <c r="F4" s="53">
        <v>0.43206679999999997</v>
      </c>
      <c r="G4" s="53">
        <v>0</v>
      </c>
    </row>
    <row r="5" spans="1:7" x14ac:dyDescent="0.25">
      <c r="B5" s="3" t="s">
        <v>132</v>
      </c>
      <c r="C5" s="52">
        <v>0.10494050000000001</v>
      </c>
      <c r="D5" s="52">
        <v>0.12712850000000001</v>
      </c>
      <c r="E5" s="52">
        <f>1-SUM(E2:E4)</f>
        <v>0.22506230000000005</v>
      </c>
      <c r="F5" s="52">
        <f>1-SUM(F2:F4)</f>
        <v>0.56793320000000003</v>
      </c>
      <c r="G5" s="52">
        <f>1-SUM(G2:G4)</f>
        <v>1</v>
      </c>
    </row>
  </sheetData>
  <sheetProtection algorithmName="SHA-512" hashValue="E5hihZHXZCc0bv7eJHQQX9qSbSJ+WK5fqUtM1OsnzdVzdRZK9I28pajcCZ6s/tWvbMvS+NXEcu9ydMT+30oPoQ==" saltValue="IF5fOzKjtppQ12RBIpI3R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zlOAKiRYykJJ4N8UU3vFilF9qRj0BZvoHKNweyOOZUMuYKknkKPls9NKnBRGxsf0xGXg/7VjtsrHXFzg9MDIA==" saltValue="epUnYz8s+PeINhWFHYMyg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gU61oCkdpeJhTxpkjKf6z8WufTl6UiinRb/uk3jG5N2OyBsQo99ryGCV/PzIb4PP6+yicYw1HYrhwV1+uCOrfw==" saltValue="melmBSD4SkotvBkhaSyeg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WUMHMSjhutN9zxZfJA/acqXp0uTFusGWaQG1AjBGFiNmEprg7MMrAHbcG371zHCYdf7DrA8s8T1MGrUw1hxnbA==" saltValue="HiBULkMoRNy6j6awV/viy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LeeJB6d9OzoERK5oYW9/2/kDZUid3Ek/QPjubdNXmSJ35AsNkbSV5jzOo3/6guxEN03fuokv5e3Rn4CaHLjm5A==" saltValue="hnwLEOfGJY4CdfsoDQIME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57.907989789407353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0.56088197092212499</v>
      </c>
      <c r="C3" s="98">
        <v>0.95</v>
      </c>
      <c r="D3" s="56">
        <v>39.877408618072153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412.49823904286558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4.5206611360123574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0.18510399999999999</v>
      </c>
      <c r="C10" s="98">
        <v>0.95</v>
      </c>
      <c r="D10" s="56">
        <v>13.009708061868061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0.18510399999999999</v>
      </c>
      <c r="C11" s="98">
        <v>0.95</v>
      </c>
      <c r="D11" s="56">
        <v>13.009708061868061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0.18510399999999999</v>
      </c>
      <c r="C12" s="98">
        <v>0.95</v>
      </c>
      <c r="D12" s="56">
        <v>13.009708061868061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0.18510399999999999</v>
      </c>
      <c r="C13" s="98">
        <v>0.95</v>
      </c>
      <c r="D13" s="56">
        <v>13.009708061868061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0.18510399999999999</v>
      </c>
      <c r="C14" s="98">
        <v>0.95</v>
      </c>
      <c r="D14" s="56">
        <v>13.009708061868061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0.18510399999999999</v>
      </c>
      <c r="C15" s="98">
        <v>0.95</v>
      </c>
      <c r="D15" s="56">
        <v>13.009708061868061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0.96</v>
      </c>
      <c r="C16" s="98">
        <v>0.95</v>
      </c>
      <c r="D16" s="56">
        <v>0.71647386176341188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0.57355363734185605</v>
      </c>
      <c r="C18" s="98">
        <v>0.95</v>
      </c>
      <c r="D18" s="56">
        <v>9.5101355775698799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0.99</v>
      </c>
      <c r="C19" s="98">
        <v>0.95</v>
      </c>
      <c r="D19" s="56">
        <v>9.5101355775698799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0.80814319999999995</v>
      </c>
      <c r="C21" s="98">
        <v>0.95</v>
      </c>
      <c r="D21" s="56">
        <v>45.01292027832001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22.4493059696639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4.2777930485212776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0.96380210153479096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0.18510399999999999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18.576955013531052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0.86466311923970596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113.3709035636476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0.59909969887929115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1.53812413297883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0.52498509999999998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0.34516190000000002</v>
      </c>
      <c r="C38" s="98">
        <v>0.95</v>
      </c>
      <c r="D38" s="56">
        <v>2.7579992310105732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1bF4b6qMIT7xMso7anUJDwFoy7g38RfKMG4PVuobhjZC00TlL8zEngwyb8CBQtWYIE9T03fBa32cVe32HTRuPQ==" saltValue="9V4zd5rfEt8MuH8NeOoo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5gKlC00ZDTGwEbZeeLBBmMxmcqqNGcPNkJz2shyKEvmdUH2gqh0D+/5ro6fHkKGhzUIR/rAti0Kgln1p7sgt4w==" saltValue="6cTmBcjAijRumVfyoL8r5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otRAuTgKJh5VVDfMjMGo6GyIVYCWjN8b3o4xysdNwSm6grfM9uTb8WkiwrV7ZHWbsfmL8hyB2/zXwjCOZM/JA==" saltValue="pX1bdPlLsjoOZ9dRZUXlP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7.6607179999999997E-2</v>
      </c>
      <c r="C3" s="21">
        <f>frac_mam_1_5months * 2.6</f>
        <v>7.6607179999999997E-2</v>
      </c>
      <c r="D3" s="21">
        <f>frac_mam_6_11months * 2.6</f>
        <v>3.4725600000000002E-2</v>
      </c>
      <c r="E3" s="21">
        <f>frac_mam_12_23months * 2.6</f>
        <v>7.6910600000000004E-3</v>
      </c>
      <c r="F3" s="21">
        <f>frac_mam_24_59months * 2.6</f>
        <v>2.4281140000000003E-2</v>
      </c>
    </row>
    <row r="4" spans="1:6" ht="15.75" customHeight="1" x14ac:dyDescent="0.25">
      <c r="A4" s="3" t="s">
        <v>208</v>
      </c>
      <c r="B4" s="21">
        <f>frac_sam_1month * 2.6</f>
        <v>6.841744000000001E-2</v>
      </c>
      <c r="C4" s="21">
        <f>frac_sam_1_5months * 2.6</f>
        <v>6.841744000000001E-2</v>
      </c>
      <c r="D4" s="21">
        <f>frac_sam_6_11months * 2.6</f>
        <v>3.2091800000000003E-3</v>
      </c>
      <c r="E4" s="21">
        <f>frac_sam_12_23months * 2.6</f>
        <v>3.3098000000000003E-3</v>
      </c>
      <c r="F4" s="21">
        <f>frac_sam_24_59months * 2.6</f>
        <v>1.043874E-2</v>
      </c>
    </row>
  </sheetData>
  <sheetProtection algorithmName="SHA-512" hashValue="sesnTBQDx5b1C11lbELDI1Uv67MbkEEY8HBUAeCfMXdLqmqaRl8URTCVGeRA7tLj7IRAKiziue4dRgnhJScbrA==" saltValue="ImEWDWd+7yRrTgRsW0GoF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0.871</v>
      </c>
      <c r="M24" s="60">
        <f>famplan_unmet_need</f>
        <v>0.871</v>
      </c>
      <c r="N24" s="60">
        <f>famplan_unmet_need</f>
        <v>0.871</v>
      </c>
      <c r="O24" s="60">
        <f>famplan_unmet_need</f>
        <v>0.871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6.4420766040039074E-2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2.760889973144532E-2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3.849035375976563E-2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0.86947998046874997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/EEv1bnPq94sEjawW7eRL4IbLT4kvt/0gFK/9wfqB4EF4fGk3H7FblTYQyZQWBw/adMIBR1q1adDU5xNI4Bkg==" saltValue="t1XAd7Fh8xXHp5Vvg9S+g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1oD9Jxo0k+8+GRRQyFAoX/2wp+69DeA4ALJZt4abrDgcrHCrNv19quIffP9343OLDNzP8j6Cs2o3z2x9clgjEg==" saltValue="NksAABKxPNm/qhPtixHCg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oIEAzEKyqJaL838acj4QucwKKsky90ATHLRxKkoK8X0AyDaTdg/ZAs2KdHiK58hMGYNssb9gS0uZIWOL3C2qw==" saltValue="0AELfkPSQBrljFdoE5qC6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4hC3Gm3SBaApfvdxvDQljpQvXs0wDkTmIjItWts6WV5Vu7L8NBZbN79j/RfATmrZp6UXzLUC7AhwwG2U5wVkQ==" saltValue="Ygl6IapcTkVzofJ6oqbur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13CdbDST532uMdjMHmwIMttCyQwfusDH76tUJ5MNifJNnYr8n7pAOqlcdukE+vDJUZ4cpup5rvIxcJp8da5e4Q==" saltValue="d1LVQu+NP3SPIseumRFjU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p+oE0ft/xW5d+kBGTNx/urfZrWWrSiysY7aCoWIDmBMGLYCY/G5cJx4Ahin4zRCwfQdIDkNGB2/TMxmhLWTjpA==" saltValue="FSoZujCNf9GORXeNJvNPh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Fw5xK+kU0Oh4Fb8B0KcGvO+yh2AGmcjqCPUCmtQk6MqBZaQDaaIzAsSgxDeBX8deLE2STuFLhWVqxVKVdaL3QA==" saltValue="sBHx3rlxl705v/ui7SLpF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AczQxyM9Spqo4PIMxHddooRQrGmRQwSPpeZIDyMJObAhmiroAJSxDU5xqtmuF+tUH9rMG90V+YNat75KCJXTg==" saltValue="NuPXkmSVQNO92XSR12y0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JPnEGBqYUZnJBjthhXa4PhZRuOwmeHt680rcA4xqbcNog0G0qn/sFeStxKe2cEpgH84QFZzD0sAE3jE37TI8g==" saltValue="oquZBRTq1/1wIIqVJ2R/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X7gQsJgbgvlxXSKyTZd0ywbux4U8trcvdm+2yPAjGaR64otkJ0gGVwHkBaBg4wA8Nl/6AOOfFfpHWjUUw+QX3g==" saltValue="dXXlxjpfAJ0QY+VRaUMq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YgzNCqxVXtu/P0Ie/p6E1v9VFZk6iMDFUkMdHoNLd2j4WUuN/L0ohhTafuUY6UYgWjrGQNZCcX5H33hcJUK5bQ==" saltValue="LEpgWNp+j4Aj3TMandz/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CKRE3Frmuv9MREG3XjoFyQgHsL8lcb9ZXDTVpUmy6xZflBqk+6vKaz/wY1L6G3/eoSTgGgRr1l8MjqYGZgDXQ==" saltValue="oBN5dyJD5mI54ZIsLe1w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2B/ljZbevme0wmzke3m8t0c6mMvUDRMjMj/0c0EJ4A+vw/xCQIBAJUKMM1pVHL+xO8opK4y4qKYLU5yXtvYEQ==" saltValue="OHEWomD+FtAVSDDl2UPw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BOywW4JGpoqv7uM2to9YkSHDsLsZmODKUSm0BWMhs2EwYxEF3Uk6HLWEO+4DxEsoQ5yem5NO6h/pbt6/IFs4g==" saltValue="r2lItYexPXi2tH+Gik7E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9j2JOCeid42DhgAVeJJO2q03w4wspm1WE2OHkYx3vjRZhmBeMKmXStjNbF1iQ9IKnhpolXzMp4cFqv13q0zGhQ==" saltValue="QaB0puHXAUvjbd/RoyRoj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2024-05-17T00:10:42Z</dcterms:modified>
</cp:coreProperties>
</file>