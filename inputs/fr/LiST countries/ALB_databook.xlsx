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8BD5C4A4-B9F1-4EFB-A6DE-D70E5A1C3A96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36" i="2"/>
  <c r="A34" i="2"/>
  <c r="A31" i="2"/>
  <c r="A25" i="2"/>
  <c r="A24" i="2"/>
  <c r="A23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40" i="2" l="1"/>
  <c r="A26" i="2"/>
  <c r="I6" i="2"/>
  <c r="I12" i="2"/>
  <c r="A35" i="2"/>
  <c r="I2" i="2"/>
  <c r="I8" i="2"/>
  <c r="A19" i="2"/>
  <c r="A37" i="2"/>
  <c r="A22" i="2"/>
  <c r="I39" i="2"/>
  <c r="I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<sst xmlns="http://schemas.openxmlformats.org/spreadsheetml/2006/main" count="2169" uniqueCount="369">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</sst>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138029</v>
      </c>
    </row>
    <row r="8" spans="1:3" ht="15" customHeight="1" x14ac:dyDescent="0.25">
      <c r="B8" s="5" t="s">
        <v>37</v>
      </c>
      <c r="C8" s="44">
        <v>1.7000000000000001E-2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0.86947998046874997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0.871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7.4200000000000002E-2</v>
      </c>
    </row>
    <row r="24" spans="1:3" ht="15" customHeight="1" x14ac:dyDescent="0.25">
      <c r="B24" s="15" t="s">
        <v>51</v>
      </c>
      <c r="C24" s="45">
        <v>0.63170000000000004</v>
      </c>
    </row>
    <row r="25" spans="1:3" ht="15" customHeight="1" x14ac:dyDescent="0.25">
      <c r="B25" s="15" t="s">
        <v>52</v>
      </c>
      <c r="C25" s="45">
        <v>0.28189999999999998</v>
      </c>
    </row>
    <row r="26" spans="1:3" ht="15" customHeight="1" x14ac:dyDescent="0.25">
      <c r="B26" s="15" t="s">
        <v>53</v>
      </c>
      <c r="C26" s="45">
        <v>1.2200000000000001E-2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0.42929909094781799</v>
      </c>
    </row>
    <row r="30" spans="1:3" ht="14.25" customHeight="1" x14ac:dyDescent="0.25">
      <c r="B30" s="25" t="s">
        <v>56</v>
      </c>
      <c r="C30" s="97">
        <v>2.5436306024175601E-2</v>
      </c>
    </row>
    <row r="31" spans="1:3" ht="14.25" customHeight="1" x14ac:dyDescent="0.25">
      <c r="B31" s="25" t="s">
        <v>57</v>
      </c>
      <c r="C31" s="97">
        <v>4.7151485611007002E-2</v>
      </c>
    </row>
    <row r="32" spans="1:3" ht="14.25" customHeight="1" x14ac:dyDescent="0.25">
      <c r="B32" s="25" t="s">
        <v>58</v>
      </c>
      <c r="C32" s="97">
        <v>0.49811311741699899</v>
      </c>
    </row>
    <row r="33" spans="1:5" ht="13.25" customHeight="1" x14ac:dyDescent="0.25">
      <c r="B33" s="27" t="s">
        <v>59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7.1181000000000001</v>
      </c>
    </row>
    <row r="38" spans="1:5" ht="15" customHeight="1" x14ac:dyDescent="0.25">
      <c r="B38" s="11" t="s">
        <v>63</v>
      </c>
      <c r="C38" s="43">
        <v>8.4116499999999998</v>
      </c>
      <c r="D38" s="12"/>
      <c r="E38" s="13"/>
    </row>
    <row r="39" spans="1:5" ht="15" customHeight="1" x14ac:dyDescent="0.25">
      <c r="B39" s="11" t="s">
        <v>64</v>
      </c>
      <c r="C39" s="43">
        <v>9.4559200000000008</v>
      </c>
      <c r="D39" s="12"/>
      <c r="E39" s="12"/>
    </row>
    <row r="40" spans="1:5" ht="15" customHeight="1" x14ac:dyDescent="0.25">
      <c r="B40" s="11" t="s">
        <v>65</v>
      </c>
      <c r="C40" s="98">
        <v>0.08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4.3445799999999997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5.9370999999999998E-3</v>
      </c>
      <c r="D45" s="12"/>
    </row>
    <row r="46" spans="1:5" ht="15.75" customHeight="1" x14ac:dyDescent="0.25">
      <c r="B46" s="11" t="s">
        <v>70</v>
      </c>
      <c r="C46" s="45">
        <v>6.3792799999999997E-2</v>
      </c>
      <c r="D46" s="12"/>
    </row>
    <row r="47" spans="1:5" ht="15.75" customHeight="1" x14ac:dyDescent="0.25">
      <c r="B47" s="11" t="s">
        <v>71</v>
      </c>
      <c r="C47" s="45">
        <v>7.5355400000000003E-2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2.8</v>
      </c>
      <c r="D51" s="12"/>
    </row>
    <row r="52" spans="1:4" ht="15" customHeight="1" x14ac:dyDescent="0.25">
      <c r="B52" s="11" t="s">
        <v>75</v>
      </c>
      <c r="C52" s="98">
        <v>2.8</v>
      </c>
    </row>
    <row r="53" spans="1:4" ht="15.75" customHeight="1" x14ac:dyDescent="0.25">
      <c r="B53" s="11" t="s">
        <v>76</v>
      </c>
      <c r="C53" s="98">
        <v>2.8</v>
      </c>
    </row>
    <row r="54" spans="1:4" ht="15.75" customHeight="1" x14ac:dyDescent="0.25">
      <c r="B54" s="11" t="s">
        <v>77</v>
      </c>
      <c r="C54" s="98">
        <v>2.8</v>
      </c>
    </row>
    <row r="55" spans="1:4" ht="15.75" customHeight="1" x14ac:dyDescent="0.25">
      <c r="B55" s="11" t="s">
        <v>78</v>
      </c>
      <c r="C55" s="98">
        <v>2.8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1.6428571428571431E-2</v>
      </c>
    </row>
    <row r="59" spans="1:4" ht="15.75" customHeight="1" x14ac:dyDescent="0.25">
      <c r="B59" s="11" t="s">
        <v>81</v>
      </c>
      <c r="C59" s="45">
        <v>0.68814900000000001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4.5878300999999899E-2</v>
      </c>
    </row>
    <row r="63" spans="1:4" ht="15.75" customHeight="1" x14ac:dyDescent="0.3">
      <c r="A63" s="4"/>
    </row>
  </sheetData>
  <sheetProtection algorithmName="SHA-512" hashValue="XtsrkRg9qHxZptA/0KhBxUkqMOIoo4uDp2GaF9f7ByojcPK6Td29a+Tb1ZHmU5XDt+Qu1DWdbCKGHR6Wd9Q00g==" saltValue="JjRmpLsuy+ZPx/o1UqYt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28283</v>
      </c>
      <c r="C2" s="49">
        <v>79426.5</v>
      </c>
      <c r="D2" s="49">
        <v>202411.5</v>
      </c>
      <c r="E2" s="49">
        <v>209708.50000000003</v>
      </c>
      <c r="F2" s="49">
        <v>163534</v>
      </c>
      <c r="G2" s="17">
        <f t="shared" ref="G2:G13" si="0">C2+D2+E2+F2</f>
        <v>655080.5</v>
      </c>
      <c r="H2" s="17">
        <f t="shared" ref="H2:H13" si="1">(B2 + stillbirth*B2/(1000-stillbirth))/(1-abortion)</f>
        <v>32280.015838484291</v>
      </c>
      <c r="I2" s="17">
        <f t="shared" ref="I2:I13" si="2">G2-H2</f>
        <v>622800.48416151572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27433</v>
      </c>
      <c r="C3" s="50">
        <v>77388</v>
      </c>
      <c r="D3" s="50">
        <v>191379.00000000003</v>
      </c>
      <c r="E3" s="50">
        <v>213156.5</v>
      </c>
      <c r="F3" s="50">
        <v>163228</v>
      </c>
      <c r="G3" s="17">
        <f t="shared" si="0"/>
        <v>645151.5</v>
      </c>
      <c r="H3" s="17">
        <f t="shared" si="1"/>
        <v>31309.891966804778</v>
      </c>
      <c r="I3" s="17">
        <f t="shared" si="2"/>
        <v>613841.60803319525</v>
      </c>
    </row>
    <row r="4" spans="1:9" ht="15.75" customHeight="1" x14ac:dyDescent="0.25">
      <c r="A4" s="5">
        <f t="shared" si="3"/>
        <v>2026</v>
      </c>
      <c r="B4" s="49">
        <v>26604</v>
      </c>
      <c r="C4" s="50">
        <v>76215</v>
      </c>
      <c r="D4" s="50">
        <v>180540.5</v>
      </c>
      <c r="E4" s="50">
        <v>215571.5</v>
      </c>
      <c r="F4" s="50">
        <v>163645.5</v>
      </c>
      <c r="G4" s="17">
        <f t="shared" si="0"/>
        <v>635972.5</v>
      </c>
      <c r="H4" s="17">
        <f t="shared" si="1"/>
        <v>30363.735861366757</v>
      </c>
      <c r="I4" s="17">
        <f t="shared" si="2"/>
        <v>605608.76413863327</v>
      </c>
    </row>
    <row r="5" spans="1:9" ht="15.75" customHeight="1" x14ac:dyDescent="0.25">
      <c r="A5" s="5">
        <f t="shared" si="3"/>
        <v>2027</v>
      </c>
      <c r="B5" s="49">
        <v>25865</v>
      </c>
      <c r="C5" s="50">
        <v>76150.5</v>
      </c>
      <c r="D5" s="50">
        <v>170621.5</v>
      </c>
      <c r="E5" s="50">
        <v>216501.5</v>
      </c>
      <c r="F5" s="50">
        <v>164834.99999999997</v>
      </c>
      <c r="G5" s="17">
        <f t="shared" si="0"/>
        <v>628108.5</v>
      </c>
      <c r="H5" s="17">
        <f t="shared" si="1"/>
        <v>29520.29875410657</v>
      </c>
      <c r="I5" s="17">
        <f t="shared" si="2"/>
        <v>598588.20124589338</v>
      </c>
    </row>
    <row r="6" spans="1:9" ht="15.75" customHeight="1" x14ac:dyDescent="0.25">
      <c r="A6" s="5">
        <f t="shared" si="3"/>
        <v>2028</v>
      </c>
      <c r="B6" s="49">
        <v>25115</v>
      </c>
      <c r="C6" s="50">
        <v>77005</v>
      </c>
      <c r="D6" s="50">
        <v>162067</v>
      </c>
      <c r="E6" s="50">
        <v>215418</v>
      </c>
      <c r="F6" s="50">
        <v>166963</v>
      </c>
      <c r="G6" s="17">
        <f t="shared" si="0"/>
        <v>621453</v>
      </c>
      <c r="H6" s="17">
        <f t="shared" si="1"/>
        <v>28664.307102624651</v>
      </c>
      <c r="I6" s="17">
        <f t="shared" si="2"/>
        <v>592788.69289737532</v>
      </c>
    </row>
    <row r="7" spans="1:9" ht="15.75" customHeight="1" x14ac:dyDescent="0.25">
      <c r="A7" s="5">
        <f t="shared" si="3"/>
        <v>2029</v>
      </c>
      <c r="B7" s="49">
        <v>24373</v>
      </c>
      <c r="C7" s="50">
        <v>78103.5</v>
      </c>
      <c r="D7" s="50">
        <v>154702</v>
      </c>
      <c r="E7" s="50">
        <v>212373.49999999997</v>
      </c>
      <c r="F7" s="50">
        <v>170234.50000000003</v>
      </c>
      <c r="G7" s="17">
        <f t="shared" si="0"/>
        <v>615413.5</v>
      </c>
      <c r="H7" s="17">
        <f t="shared" si="1"/>
        <v>27817.446028758535</v>
      </c>
      <c r="I7" s="17">
        <f t="shared" si="2"/>
        <v>587596.05397124146</v>
      </c>
    </row>
    <row r="8" spans="1:9" ht="15.75" customHeight="1" x14ac:dyDescent="0.25">
      <c r="A8" s="5">
        <f t="shared" si="3"/>
        <v>2030</v>
      </c>
      <c r="B8" s="49">
        <v>23617</v>
      </c>
      <c r="C8" s="50">
        <v>78686</v>
      </c>
      <c r="D8" s="50">
        <v>148087</v>
      </c>
      <c r="E8" s="50">
        <v>207817</v>
      </c>
      <c r="F8" s="50">
        <v>174638.5</v>
      </c>
      <c r="G8" s="17">
        <f t="shared" si="0"/>
        <v>609228.5</v>
      </c>
      <c r="H8" s="17">
        <f t="shared" si="1"/>
        <v>26954.606444064753</v>
      </c>
      <c r="I8" s="17">
        <f t="shared" si="2"/>
        <v>582273.89355593524</v>
      </c>
    </row>
    <row r="9" spans="1:9" ht="15.75" customHeight="1" x14ac:dyDescent="0.25">
      <c r="A9" s="5">
        <f t="shared" si="3"/>
        <v>2031</v>
      </c>
      <c r="B9" s="49">
        <v>22890</v>
      </c>
      <c r="C9" s="50">
        <v>78327</v>
      </c>
      <c r="D9" s="50">
        <v>142857</v>
      </c>
      <c r="E9" s="50">
        <v>201498</v>
      </c>
      <c r="F9" s="50">
        <v>179885</v>
      </c>
      <c r="G9" s="17">
        <f t="shared" si="0"/>
        <v>602567</v>
      </c>
      <c r="H9" s="17">
        <f t="shared" si="1"/>
        <v>26124.865203228277</v>
      </c>
      <c r="I9" s="17">
        <f t="shared" si="2"/>
        <v>576442.13479677169</v>
      </c>
    </row>
    <row r="10" spans="1:9" ht="15.75" customHeight="1" x14ac:dyDescent="0.25">
      <c r="A10" s="5">
        <f t="shared" si="3"/>
        <v>2032</v>
      </c>
      <c r="B10" s="49">
        <v>22177</v>
      </c>
      <c r="C10" s="50">
        <v>76832.5</v>
      </c>
      <c r="D10" s="50">
        <v>139927</v>
      </c>
      <c r="E10" s="50">
        <v>193230</v>
      </c>
      <c r="F10" s="50">
        <v>185469.5</v>
      </c>
      <c r="G10" s="17">
        <f t="shared" si="0"/>
        <v>595459</v>
      </c>
      <c r="H10" s="17">
        <f t="shared" si="1"/>
        <v>25311.102473219464</v>
      </c>
      <c r="I10" s="17">
        <f t="shared" si="2"/>
        <v>570147.89752678049</v>
      </c>
    </row>
    <row r="11" spans="1:9" ht="15.75" customHeight="1" x14ac:dyDescent="0.25">
      <c r="A11" s="5">
        <f t="shared" si="3"/>
        <v>2033</v>
      </c>
      <c r="B11" s="49">
        <v>21494</v>
      </c>
      <c r="C11" s="50">
        <v>74094</v>
      </c>
      <c r="D11" s="50">
        <v>138620.5</v>
      </c>
      <c r="E11" s="50">
        <v>183966.5</v>
      </c>
      <c r="F11" s="50">
        <v>190809.5</v>
      </c>
      <c r="G11" s="17">
        <f t="shared" si="0"/>
        <v>587490.5</v>
      </c>
      <c r="H11" s="17">
        <f t="shared" si="1"/>
        <v>24531.579409269925</v>
      </c>
      <c r="I11" s="17">
        <f t="shared" si="2"/>
        <v>562958.92059073003</v>
      </c>
    </row>
    <row r="12" spans="1:9" ht="15.75" customHeight="1" x14ac:dyDescent="0.25">
      <c r="A12" s="5">
        <f t="shared" si="3"/>
        <v>2034</v>
      </c>
      <c r="B12" s="49">
        <v>20791</v>
      </c>
      <c r="C12" s="50">
        <v>70698.5</v>
      </c>
      <c r="D12" s="50">
        <v>137922</v>
      </c>
      <c r="E12" s="50">
        <v>174522.49999999997</v>
      </c>
      <c r="F12" s="50">
        <v>195608</v>
      </c>
      <c r="G12" s="17">
        <f t="shared" si="0"/>
        <v>578751</v>
      </c>
      <c r="H12" s="17">
        <f t="shared" si="1"/>
        <v>23729.229901280873</v>
      </c>
      <c r="I12" s="17">
        <f t="shared" si="2"/>
        <v>555021.77009871916</v>
      </c>
    </row>
    <row r="13" spans="1:9" ht="15.75" customHeight="1" x14ac:dyDescent="0.25">
      <c r="A13" s="5">
        <f t="shared" si="3"/>
        <v>2035</v>
      </c>
      <c r="B13" s="49">
        <v>20152</v>
      </c>
      <c r="C13" s="50">
        <v>67500.5</v>
      </c>
      <c r="D13" s="50">
        <v>137394.5</v>
      </c>
      <c r="E13" s="50">
        <v>165005</v>
      </c>
      <c r="F13" s="50">
        <v>199742.00000000003</v>
      </c>
      <c r="G13" s="17">
        <f t="shared" si="0"/>
        <v>569642</v>
      </c>
      <c r="H13" s="17">
        <f t="shared" si="1"/>
        <v>22999.925014218272</v>
      </c>
      <c r="I13" s="17">
        <f t="shared" si="2"/>
        <v>546642.07498578168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yfrpNT9bjuCFGesllj4dIOkUYCiTNBj/sOYeH8LeiR+3xRwm8mWKj1KAdLP0PzGT8ZhWxthUF9oaztyZOICxwA==" saltValue="375+FtWqwkMDN7qRej7bf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3.6605399999999962E-2</v>
      </c>
    </row>
    <row r="5" spans="1:8" ht="15.75" customHeight="1" x14ac:dyDescent="0.25">
      <c r="B5" s="19" t="s">
        <v>98</v>
      </c>
      <c r="C5" s="99">
        <v>2.8491900000000028E-2</v>
      </c>
    </row>
    <row r="6" spans="1:8" ht="15.75" customHeight="1" x14ac:dyDescent="0.25">
      <c r="B6" s="19" t="s">
        <v>99</v>
      </c>
      <c r="C6" s="99">
        <v>0.1543518999999996</v>
      </c>
    </row>
    <row r="7" spans="1:8" ht="15.75" customHeight="1" x14ac:dyDescent="0.25">
      <c r="B7" s="19" t="s">
        <v>100</v>
      </c>
      <c r="C7" s="99">
        <v>0.42690190000000028</v>
      </c>
    </row>
    <row r="8" spans="1:8" ht="15.75" customHeight="1" x14ac:dyDescent="0.25">
      <c r="B8" s="19" t="s">
        <v>101</v>
      </c>
      <c r="C8" s="99">
        <v>9.5492000000000025E-3</v>
      </c>
    </row>
    <row r="9" spans="1:8" ht="15.75" customHeight="1" x14ac:dyDescent="0.25">
      <c r="B9" s="19" t="s">
        <v>102</v>
      </c>
      <c r="C9" s="99">
        <v>0.26801370000000008</v>
      </c>
    </row>
    <row r="10" spans="1:8" ht="15.75" customHeight="1" x14ac:dyDescent="0.25">
      <c r="B10" s="19" t="s">
        <v>103</v>
      </c>
      <c r="C10" s="99">
        <v>7.6086000000000042E-2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2.4938416154784201E-2</v>
      </c>
      <c r="D14" s="55">
        <v>2.4938416154784201E-2</v>
      </c>
      <c r="E14" s="55">
        <v>2.4938416154784201E-2</v>
      </c>
      <c r="F14" s="55">
        <v>2.4938416154784201E-2</v>
      </c>
    </row>
    <row r="15" spans="1:8" ht="15.75" customHeight="1" x14ac:dyDescent="0.25">
      <c r="B15" s="19" t="s">
        <v>106</v>
      </c>
      <c r="C15" s="99">
        <v>0.31814315609059202</v>
      </c>
      <c r="D15" s="99">
        <v>0.31814315609059202</v>
      </c>
      <c r="E15" s="99">
        <v>0.31814315609059202</v>
      </c>
      <c r="F15" s="99">
        <v>0.31814315609059202</v>
      </c>
    </row>
    <row r="16" spans="1:8" ht="15.75" customHeight="1" x14ac:dyDescent="0.25">
      <c r="B16" s="19" t="s">
        <v>107</v>
      </c>
      <c r="C16" s="99">
        <v>4.9267420786241918E-2</v>
      </c>
      <c r="D16" s="99">
        <v>4.9267420786241918E-2</v>
      </c>
      <c r="E16" s="99">
        <v>4.9267420786241918E-2</v>
      </c>
      <c r="F16" s="99">
        <v>4.9267420786241918E-2</v>
      </c>
    </row>
    <row r="17" spans="1:8" ht="15.75" customHeight="1" x14ac:dyDescent="0.25">
      <c r="B17" s="19" t="s">
        <v>108</v>
      </c>
      <c r="C17" s="99">
        <v>2.9968784124779189E-2</v>
      </c>
      <c r="D17" s="99">
        <v>2.9968784124779189E-2</v>
      </c>
      <c r="E17" s="99">
        <v>2.9968784124779189E-2</v>
      </c>
      <c r="F17" s="99">
        <v>2.9968784124779189E-2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1.7114090843376471E-2</v>
      </c>
      <c r="D19" s="99">
        <v>1.7114090843376471E-2</v>
      </c>
      <c r="E19" s="99">
        <v>1.7114090843376471E-2</v>
      </c>
      <c r="F19" s="99">
        <v>1.7114090843376471E-2</v>
      </c>
    </row>
    <row r="20" spans="1:8" ht="15.75" customHeight="1" x14ac:dyDescent="0.25">
      <c r="B20" s="19" t="s">
        <v>111</v>
      </c>
      <c r="C20" s="99">
        <v>6.5589051959370301E-2</v>
      </c>
      <c r="D20" s="99">
        <v>6.5589051959370301E-2</v>
      </c>
      <c r="E20" s="99">
        <v>6.5589051959370301E-2</v>
      </c>
      <c r="F20" s="99">
        <v>6.5589051959370301E-2</v>
      </c>
    </row>
    <row r="21" spans="1:8" ht="15.75" customHeight="1" x14ac:dyDescent="0.25">
      <c r="B21" s="19" t="s">
        <v>112</v>
      </c>
      <c r="C21" s="99">
        <v>0.40841074687003298</v>
      </c>
      <c r="D21" s="99">
        <v>0.40841074687003298</v>
      </c>
      <c r="E21" s="99">
        <v>0.40841074687003298</v>
      </c>
      <c r="F21" s="99">
        <v>0.40841074687003298</v>
      </c>
    </row>
    <row r="22" spans="1:8" ht="15.75" customHeight="1" x14ac:dyDescent="0.25">
      <c r="B22" s="19" t="s">
        <v>113</v>
      </c>
      <c r="C22" s="99">
        <v>8.6568333170822992E-2</v>
      </c>
      <c r="D22" s="99">
        <v>8.6568333170822992E-2</v>
      </c>
      <c r="E22" s="99">
        <v>8.6568333170822992E-2</v>
      </c>
      <c r="F22" s="99">
        <v>8.6568333170822992E-2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5.4875438999999977E-2</v>
      </c>
    </row>
    <row r="27" spans="1:8" ht="15.75" customHeight="1" x14ac:dyDescent="0.25">
      <c r="B27" s="19" t="s">
        <v>120</v>
      </c>
      <c r="C27" s="99">
        <v>6.1112532999999997E-2</v>
      </c>
    </row>
    <row r="28" spans="1:8" ht="15.75" customHeight="1" x14ac:dyDescent="0.25">
      <c r="B28" s="19" t="s">
        <v>121</v>
      </c>
      <c r="C28" s="99">
        <v>0.12187780400000001</v>
      </c>
    </row>
    <row r="29" spans="1:8" ht="15.75" customHeight="1" x14ac:dyDescent="0.25">
      <c r="B29" s="19" t="s">
        <v>122</v>
      </c>
      <c r="C29" s="99">
        <v>0.13517542399999999</v>
      </c>
    </row>
    <row r="30" spans="1:8" ht="15.75" customHeight="1" x14ac:dyDescent="0.25">
      <c r="B30" s="19" t="s">
        <v>2</v>
      </c>
      <c r="C30" s="99">
        <v>8.1544961999999999E-2</v>
      </c>
    </row>
    <row r="31" spans="1:8" ht="15.75" customHeight="1" x14ac:dyDescent="0.25">
      <c r="B31" s="19" t="s">
        <v>123</v>
      </c>
      <c r="C31" s="99">
        <v>6.5156283999999995E-2</v>
      </c>
    </row>
    <row r="32" spans="1:8" ht="15.75" customHeight="1" x14ac:dyDescent="0.25">
      <c r="B32" s="19" t="s">
        <v>124</v>
      </c>
      <c r="C32" s="99">
        <v>0.13128318899999999</v>
      </c>
    </row>
    <row r="33" spans="2:3" ht="15.75" customHeight="1" x14ac:dyDescent="0.25">
      <c r="B33" s="19" t="s">
        <v>125</v>
      </c>
      <c r="C33" s="99">
        <v>0.12725431500000001</v>
      </c>
    </row>
    <row r="34" spans="2:3" ht="15.75" customHeight="1" x14ac:dyDescent="0.25">
      <c r="B34" s="19" t="s">
        <v>126</v>
      </c>
      <c r="C34" s="99">
        <v>0.221720049</v>
      </c>
    </row>
    <row r="35" spans="2:3" ht="15.75" customHeight="1" x14ac:dyDescent="0.25">
      <c r="B35" s="27" t="s">
        <v>59</v>
      </c>
      <c r="C35" s="48">
        <f>SUM(C26:C34)</f>
        <v>0.99999999899999992</v>
      </c>
    </row>
  </sheetData>
  <sheetProtection algorithmName="SHA-512" hashValue="Rz2X4MTOcXGXNgm/oxgoPyIDqmYteFjKzlDqgzdRsITAzqpDg/jKZ4rLC2+5x8UNkONmYUunJUN1rrZCUXQvXw==" saltValue="M1fQIUnaVYSCwvwMFPVkF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0.59333185281340151</v>
      </c>
      <c r="D2" s="52">
        <f>IFERROR(1-_xlfn.NORM.DIST(_xlfn.NORM.INV(SUM(D4:D5), 0, 1) + 1, 0, 1, TRUE), "")</f>
        <v>0.59333185281340151</v>
      </c>
      <c r="E2" s="52">
        <f>IFERROR(1-_xlfn.NORM.DIST(_xlfn.NORM.INV(SUM(E4:E5), 0, 1) + 1, 0, 1, TRUE), "")</f>
        <v>0.68977654875001948</v>
      </c>
      <c r="F2" s="52">
        <f>IFERROR(1-_xlfn.NORM.DIST(_xlfn.NORM.INV(SUM(F4:F5), 0, 1) + 1, 0, 1, TRUE), "")</f>
        <v>0.54342061811636888</v>
      </c>
      <c r="G2" s="52">
        <f>IFERROR(1-_xlfn.NORM.DIST(_xlfn.NORM.INV(SUM(G4:G5), 0, 1) + 1, 0, 1, TRUE), "")</f>
        <v>0.57884302472973492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0.29846194718659858</v>
      </c>
      <c r="D3" s="52">
        <f>IFERROR(_xlfn.NORM.DIST(_xlfn.NORM.INV(SUM(D4:D5), 0, 1) + 1, 0, 1, TRUE) - SUM(D4:D5), "")</f>
        <v>0.29846194718659858</v>
      </c>
      <c r="E3" s="52">
        <f>IFERROR(_xlfn.NORM.DIST(_xlfn.NORM.INV(SUM(E4:E5), 0, 1) + 1, 0, 1, TRUE) - SUM(E4:E5), "")</f>
        <v>0.24279455124998051</v>
      </c>
      <c r="F3" s="52">
        <f>IFERROR(_xlfn.NORM.DIST(_xlfn.NORM.INV(SUM(F4:F5), 0, 1) + 1, 0, 1, TRUE) - SUM(F4:F5), "")</f>
        <v>0.3228761818836311</v>
      </c>
      <c r="G3" s="52">
        <f>IFERROR(_xlfn.NORM.DIST(_xlfn.NORM.INV(SUM(G4:G5), 0, 1) + 1, 0, 1, TRUE) - SUM(G4:G5), "")</f>
        <v>0.30588027527026501</v>
      </c>
    </row>
    <row r="4" spans="1:15" ht="15.75" customHeight="1" x14ac:dyDescent="0.25">
      <c r="B4" s="5" t="s">
        <v>132</v>
      </c>
      <c r="C4" s="45">
        <v>8.2592800000000008E-2</v>
      </c>
      <c r="D4" s="53">
        <v>8.2592800000000008E-2</v>
      </c>
      <c r="E4" s="53">
        <v>2.69825E-2</v>
      </c>
      <c r="F4" s="53">
        <v>7.5200500000000003E-2</v>
      </c>
      <c r="G4" s="53">
        <v>8.0217200000000002E-2</v>
      </c>
    </row>
    <row r="5" spans="1:15" ht="15.75" customHeight="1" x14ac:dyDescent="0.25">
      <c r="B5" s="5" t="s">
        <v>133</v>
      </c>
      <c r="C5" s="45">
        <v>2.5613400000000001E-2</v>
      </c>
      <c r="D5" s="53">
        <v>2.5613400000000001E-2</v>
      </c>
      <c r="E5" s="53">
        <v>4.04464E-2</v>
      </c>
      <c r="F5" s="53">
        <v>5.8502699999999998E-2</v>
      </c>
      <c r="G5" s="53">
        <v>3.50595E-2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0.72281746867548535</v>
      </c>
      <c r="D8" s="52">
        <f>IFERROR(1-_xlfn.NORM.DIST(_xlfn.NORM.INV(SUM(D10:D11), 0, 1) + 1, 0, 1, TRUE), "")</f>
        <v>0.72281746867548535</v>
      </c>
      <c r="E8" s="52">
        <f>IFERROR(1-_xlfn.NORM.DIST(_xlfn.NORM.INV(SUM(E10:E11), 0, 1) + 1, 0, 1, TRUE), "")</f>
        <v>0.88120620204841471</v>
      </c>
      <c r="F8" s="52">
        <f>IFERROR(1-_xlfn.NORM.DIST(_xlfn.NORM.INV(SUM(F10:F11), 0, 1) + 1, 0, 1, TRUE), "")</f>
        <v>0.94877071246965783</v>
      </c>
      <c r="G8" s="52">
        <f>IFERROR(1-_xlfn.NORM.DIST(_xlfn.NORM.INV(SUM(G10:G11), 0, 1) + 1, 0, 1, TRUE), "")</f>
        <v>0.88796277422477732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0.22140383132451463</v>
      </c>
      <c r="D9" s="52">
        <f>IFERROR(_xlfn.NORM.DIST(_xlfn.NORM.INV(SUM(D10:D11), 0, 1) + 1, 0, 1, TRUE) - SUM(D10:D11), "")</f>
        <v>0.22140383132451463</v>
      </c>
      <c r="E9" s="52">
        <f>IFERROR(_xlfn.NORM.DIST(_xlfn.NORM.INV(SUM(E10:E11), 0, 1) + 1, 0, 1, TRUE) - SUM(E10:E11), "")</f>
        <v>0.10420349795158527</v>
      </c>
      <c r="F9" s="52">
        <f>IFERROR(_xlfn.NORM.DIST(_xlfn.NORM.INV(SUM(F10:F11), 0, 1) + 1, 0, 1, TRUE) - SUM(F10:F11), "")</f>
        <v>4.6998187530342114E-2</v>
      </c>
      <c r="G9" s="52">
        <f>IFERROR(_xlfn.NORM.DIST(_xlfn.NORM.INV(SUM(G10:G11), 0, 1) + 1, 0, 1, TRUE) - SUM(G10:G11), "")</f>
        <v>9.8683425775222655E-2</v>
      </c>
    </row>
    <row r="10" spans="1:15" ht="15.75" customHeight="1" x14ac:dyDescent="0.25">
      <c r="B10" s="5" t="s">
        <v>137</v>
      </c>
      <c r="C10" s="45">
        <v>2.9464299999999999E-2</v>
      </c>
      <c r="D10" s="53">
        <v>2.9464299999999999E-2</v>
      </c>
      <c r="E10" s="53">
        <v>1.3356E-2</v>
      </c>
      <c r="F10" s="53">
        <v>2.9581E-3</v>
      </c>
      <c r="G10" s="53">
        <v>9.3389000000000007E-3</v>
      </c>
    </row>
    <row r="11" spans="1:15" ht="15.75" customHeight="1" x14ac:dyDescent="0.25">
      <c r="B11" s="5" t="s">
        <v>138</v>
      </c>
      <c r="C11" s="45">
        <v>2.6314400000000002E-2</v>
      </c>
      <c r="D11" s="53">
        <v>2.6314400000000002E-2</v>
      </c>
      <c r="E11" s="53">
        <v>1.2343E-3</v>
      </c>
      <c r="F11" s="53">
        <v>1.273E-3</v>
      </c>
      <c r="G11" s="53">
        <v>4.0149000000000001E-3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0.49191085224999997</v>
      </c>
      <c r="D14" s="54">
        <v>0.51822107709800003</v>
      </c>
      <c r="E14" s="54">
        <v>0.51822107709800003</v>
      </c>
      <c r="F14" s="54">
        <v>0.23575004308899999</v>
      </c>
      <c r="G14" s="54">
        <v>0.23575004308899999</v>
      </c>
      <c r="H14" s="45">
        <v>0.23200000000000001</v>
      </c>
      <c r="I14" s="55">
        <v>0.23200000000000001</v>
      </c>
      <c r="J14" s="55">
        <v>0.23200000000000001</v>
      </c>
      <c r="K14" s="55">
        <v>0.23200000000000001</v>
      </c>
      <c r="L14" s="45">
        <v>0.254</v>
      </c>
      <c r="M14" s="55">
        <v>0.254</v>
      </c>
      <c r="N14" s="55">
        <v>0.254</v>
      </c>
      <c r="O14" s="55">
        <v>0.254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0.33850796106498526</v>
      </c>
      <c r="D15" s="52">
        <f t="shared" si="0"/>
        <v>0.35661331598391161</v>
      </c>
      <c r="E15" s="52">
        <f t="shared" si="0"/>
        <v>0.35661331598391161</v>
      </c>
      <c r="F15" s="52">
        <f t="shared" si="0"/>
        <v>0.16223115640165225</v>
      </c>
      <c r="G15" s="52">
        <f t="shared" si="0"/>
        <v>0.16223115640165225</v>
      </c>
      <c r="H15" s="52">
        <f t="shared" si="0"/>
        <v>0.15965056800000002</v>
      </c>
      <c r="I15" s="52">
        <f t="shared" si="0"/>
        <v>0.15965056800000002</v>
      </c>
      <c r="J15" s="52">
        <f t="shared" si="0"/>
        <v>0.15965056800000002</v>
      </c>
      <c r="K15" s="52">
        <f t="shared" si="0"/>
        <v>0.15965056800000002</v>
      </c>
      <c r="L15" s="52">
        <f t="shared" si="0"/>
        <v>0.174789846</v>
      </c>
      <c r="M15" s="52">
        <f t="shared" si="0"/>
        <v>0.174789846</v>
      </c>
      <c r="N15" s="52">
        <f t="shared" si="0"/>
        <v>0.174789846</v>
      </c>
      <c r="O15" s="52">
        <f t="shared" si="0"/>
        <v>0.174789846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4Z/LkvqzE8l5TtDOcKAIA90qEjKbXsRafW57YMSPbMqN6efbXvfcpmlr7CN2Cjx93nooDsj54AVaI3NwpAfsFw==" saltValue="93zxRCOP7ka2Z/nQ7c9M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0.45765949999999989</v>
      </c>
      <c r="D2" s="53">
        <v>0.34266350000000001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0.20446320000000001</v>
      </c>
      <c r="D3" s="53">
        <v>0.15321770000000001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0.2329368</v>
      </c>
      <c r="D4" s="53">
        <v>0.3769903</v>
      </c>
      <c r="E4" s="53">
        <v>0.77493769999999995</v>
      </c>
      <c r="F4" s="53">
        <v>0.43206679999999997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0.1049405000000001</v>
      </c>
      <c r="D5" s="52">
        <f t="shared" si="0"/>
        <v>0.12712849999999998</v>
      </c>
      <c r="E5" s="52">
        <f>1-SUM(E2:E4)</f>
        <v>0.22506230000000005</v>
      </c>
      <c r="F5" s="52">
        <f>1-SUM(F2:F4)</f>
        <v>0.56793320000000003</v>
      </c>
      <c r="G5" s="52">
        <f>1-SUM(G2:G4)</f>
        <v>1</v>
      </c>
    </row>
  </sheetData>
  <sheetProtection algorithmName="SHA-512" hashValue="R+MgONsn/+5oyj2yMbFMvYzIp01u2/r0e23RkzJbFtuTUsg+FJnj3mVgWxLcfwVzqtZ4FsD9aEasDCeUnEzT8g==" saltValue="RfmQXeAeD5HArLSWA76DG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OA/1CiTkMFfCjENYZ8mvFv/0khWkFofBm+Yv64UsSQ92J3xaoOTwxWWXIMq395IQvwavHrWMjnTwD1+Htknsdw==" saltValue="k0r6Lf1zFE0MH8vex2Rso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workbookViewId="0">
      <selection activeCell="B6" sqref="B6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6810.1140410423304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0.47469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s="8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0.63400000000000001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1.796689630772276E-2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99008.555240000002</v>
      </c>
      <c r="C22" s="107">
        <v>98914.735430000001</v>
      </c>
      <c r="D22" s="107">
        <v>98809.752470000007</v>
      </c>
      <c r="E22" s="107">
        <v>98574.025259999995</v>
      </c>
      <c r="F22" s="107">
        <v>98362.063649999996</v>
      </c>
      <c r="G22" s="107">
        <v>98146.559999999998</v>
      </c>
      <c r="H22" s="107">
        <v>97988.565669999996</v>
      </c>
      <c r="I22" s="107">
        <v>97680.695649999994</v>
      </c>
      <c r="J22" s="107">
        <v>97015.945309999996</v>
      </c>
      <c r="K22" s="107">
        <v>96128.59087</v>
      </c>
      <c r="L22" s="107">
        <v>94567.490779999993</v>
      </c>
      <c r="M22" s="107">
        <v>92482.857910000006</v>
      </c>
      <c r="N22" s="107">
        <v>88993.018779999999</v>
      </c>
      <c r="O22" s="107">
        <v>84742.573810000002</v>
      </c>
    </row>
  </sheetData>
  <sheetProtection algorithmName="SHA-512" hashValue="a84e89VaxJrow1ljv08OsV4K0hXHKxyj+MMRIp10O6MpNkK5rW3GvVHXHlmlVeTigU04iuCEwCsR2QWkwwbm0w==" saltValue="9YdYIshd5hGygo/+YrJBw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x/r63GldWP9XXd7MmeMaOi17RS3CxunrNA/M4tYkwiRr7wWscF/WSLZ+NzEmcWdfU6TZtsAK7LTGGNtrTmhK4A==" saltValue="p1yv+La9piTCNBVSATZ4P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ubd33Isz6dOcAlmx04eiVYbnaasgoJIyRefzz6DC+AHULnZLTitkFeuuTI/SHycPrUi4nIMdC/k24E7FQbwV2g==" saltValue="jYn19XBtlMUhD5AlRPykZ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12.008526100307062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12.008526100307062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8.8894216990788131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0.40262538382804508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0.18510399999999999</v>
      </c>
      <c r="C10" s="96">
        <v>0.95</v>
      </c>
      <c r="D10" s="56">
        <v>13.009708061868061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13.009708061868061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13.009708061868061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13.009708061868061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0.18510399999999999</v>
      </c>
      <c r="C14" s="96">
        <v>0.95</v>
      </c>
      <c r="D14" s="56">
        <v>13.009708061868061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13.009708061868061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0.34266350000000001</v>
      </c>
      <c r="C18" s="96">
        <v>0.95</v>
      </c>
      <c r="D18" s="56">
        <v>8.8894216990788131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0.34266350000000001</v>
      </c>
      <c r="C19" s="96">
        <v>0.95</v>
      </c>
      <c r="D19" s="56">
        <v>9.5101355775698799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8.8894216990788131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4.2777930485212776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0.84867761728916302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0.18510399999999999</v>
      </c>
      <c r="C26" s="96">
        <v>0.95</v>
      </c>
      <c r="D26" s="56">
        <v>5.1498336745138182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11.470990276356194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0.34516190000000002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0.52498509999999998</v>
      </c>
      <c r="C29" s="96">
        <v>0.95</v>
      </c>
      <c r="D29" s="56">
        <v>113.3709035636476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170.92419651995908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1.1057036847492325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0.13477720000000001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1.5291300000000001E-2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0.80814319999999995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4.9000000000000002E-2</v>
      </c>
      <c r="C38" s="96">
        <v>0.95</v>
      </c>
      <c r="D38" s="56">
        <v>2.6374181166837261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vBLpzo/3NGd7uos0OLLZxrwlcxrAA6MEwoppGS4hmXAKZ0soxE2nc5eeJrjgrM+N9xRDVsN49DI9XlkHGYLuSA==" saltValue="8dXu247/sgcAAKKUD1+G+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phFwVem+J08nl0d2No5Wpl4RPLk0QBkyHIxHQiaxRHgRon9JynLxbDrITOX70K0qHxZgGqWXsrf6CsVcGqW/uA==" saltValue="uM4a9jPCmhih+LxNSqcFR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L0aWxjikIEQxDJ24rrRS7j+CbvOqXqWGGCxU+m3O3wsGTmTTZXVcTs7BZOAqGJvg3HUB0lD3gWUUDVPyZ73qug==" saltValue="JrrXbFFmdmC0qM3iVDoeX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238</v>
      </c>
      <c r="B3" s="21">
        <f>frac_mam_1month * 2.6</f>
        <v>7.6607179999999997E-2</v>
      </c>
      <c r="C3" s="21">
        <f>frac_mam_1_5months * 2.6</f>
        <v>7.6607179999999997E-2</v>
      </c>
      <c r="D3" s="21">
        <f>frac_mam_6_11months * 2.6</f>
        <v>3.4725600000000002E-2</v>
      </c>
      <c r="E3" s="21">
        <f>frac_mam_12_23months * 2.6</f>
        <v>7.6910600000000004E-3</v>
      </c>
      <c r="F3" s="21">
        <f>frac_mam_24_59months * 2.6</f>
        <v>2.4281140000000003E-2</v>
      </c>
    </row>
    <row r="4" spans="1:6" ht="15.75" customHeight="1" x14ac:dyDescent="0.25">
      <c r="A4" s="3" t="s">
        <v>237</v>
      </c>
      <c r="B4" s="21">
        <f>frac_sam_1month * 2.6</f>
        <v>6.841744000000001E-2</v>
      </c>
      <c r="C4" s="21">
        <f>frac_sam_1_5months * 2.6</f>
        <v>6.841744000000001E-2</v>
      </c>
      <c r="D4" s="21">
        <f>frac_sam_6_11months * 2.6</f>
        <v>3.2091800000000003E-3</v>
      </c>
      <c r="E4" s="21">
        <f>frac_sam_12_23months * 2.6</f>
        <v>3.3098000000000003E-3</v>
      </c>
      <c r="F4" s="21">
        <f>frac_sam_24_59months * 2.6</f>
        <v>1.043874E-2</v>
      </c>
    </row>
  </sheetData>
  <sheetProtection algorithmName="SHA-512" hashValue="HTfxV+mPGDLvjZqHhN2YWZTuucfKDPznawJAgy0wJRYbdUrERwG4K4mqgA9hRFUj4H11YyEr75thnisErrrQkw==" saltValue="Wrxw/G+0i90k3kUNDtcLl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1.7000000000000001E-2</v>
      </c>
      <c r="F2" s="60">
        <f>food_insecure</f>
        <v>1.7000000000000001E-2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1.7000000000000001E-2</v>
      </c>
      <c r="F5" s="60">
        <f>food_insecure</f>
        <v>1.7000000000000001E-2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1.7000000000000001E-2</v>
      </c>
      <c r="F8" s="60">
        <f>food_insecure</f>
        <v>1.7000000000000001E-2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1.7000000000000001E-2</v>
      </c>
      <c r="F9" s="60">
        <f>food_insecure</f>
        <v>1.7000000000000001E-2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1.7000000000000001E-2</v>
      </c>
      <c r="I15" s="60">
        <f t="shared" si="0"/>
        <v>1.7000000000000001E-2</v>
      </c>
      <c r="J15" s="60">
        <f t="shared" si="0"/>
        <v>1.7000000000000001E-2</v>
      </c>
      <c r="K15" s="60">
        <f t="shared" si="0"/>
        <v>1.7000000000000001E-2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1.7000000000000001E-2</v>
      </c>
      <c r="I16" s="60">
        <f t="shared" si="0"/>
        <v>1.7000000000000001E-2</v>
      </c>
      <c r="J16" s="60">
        <f t="shared" si="0"/>
        <v>1.7000000000000001E-2</v>
      </c>
      <c r="K16" s="60">
        <f t="shared" si="0"/>
        <v>1.7000000000000001E-2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0.871</v>
      </c>
      <c r="M24" s="60">
        <f>famplan_unmet_need</f>
        <v>0.871</v>
      </c>
      <c r="N24" s="60">
        <f>famplan_unmet_need</f>
        <v>0.871</v>
      </c>
      <c r="O24" s="60">
        <f>famplan_unmet_need</f>
        <v>0.871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6.4420766040039074E-2</v>
      </c>
      <c r="M25" s="60">
        <f>(1-food_insecure)*(0.49)+food_insecure*(0.7)</f>
        <v>0.49357000000000001</v>
      </c>
      <c r="N25" s="60">
        <f>(1-food_insecure)*(0.49)+food_insecure*(0.7)</f>
        <v>0.49357000000000001</v>
      </c>
      <c r="O25" s="60">
        <f>(1-food_insecure)*(0.49)+food_insecure*(0.7)</f>
        <v>0.49357000000000001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2.760889973144532E-2</v>
      </c>
      <c r="M26" s="60">
        <f>(1-food_insecure)*(0.21)+food_insecure*(0.3)</f>
        <v>0.21153</v>
      </c>
      <c r="N26" s="60">
        <f>(1-food_insecure)*(0.21)+food_insecure*(0.3)</f>
        <v>0.21153</v>
      </c>
      <c r="O26" s="60">
        <f>(1-food_insecure)*(0.21)+food_insecure*(0.3)</f>
        <v>0.21153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3.849035375976563E-2</v>
      </c>
      <c r="M27" s="60">
        <f>(1-food_insecure)*(0.3)</f>
        <v>0.2949</v>
      </c>
      <c r="N27" s="60">
        <f>(1-food_insecure)*(0.3)</f>
        <v>0.2949</v>
      </c>
      <c r="O27" s="60">
        <f>(1-food_insecure)*(0.3)</f>
        <v>0.2949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0.86947998046874997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YbFe6eSjieE/CGbSe/BurjQg2Y+5g0HKd8tg/Yq3JyU7BffOTP3j06stnDC/D9U9REjpuEz1tXfdduArtZIfaA==" saltValue="/oG/KjpiEytLQaSclP72H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ah6/pzE6iS829xxcOzU0NqTi3c73ymSCC2FiJVCZ4wXH59UyQQMfU04u7A9PJDVVY5XOa21g8u6p4uY9HH/Obg==" saltValue="csP5fmAB4HTAP1Wd8r7GS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7mihKxziF56gMxv6pVJzohT2K9v4qP9HliTiITSZHevHxhQxznepQCMacup58pnWJdnbGQglcdX1Ks4lkGhDSQ==" saltValue="MB94qQF/3JObUhj5as38J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6gVKb9DP/hl28FovPUo/4vmQ35fLn2cXOhJHeQ+6O51mB/7BVmwwsA6XkhUGvemn/x8XZZr2DseU4OLEYrgPfg==" saltValue="qwNd7fOf9QrfdXiw1iu1M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8oeMzAUiR7QVUt5AoypgDWYVjAsr0Z23gtQ79zlAtRaymFBrkDGU9+EE053c6iq2/5hY4dfpdoiKM4dJgkNFMg==" saltValue="KLyZy9n3sTTXF3LpUtUls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6QMSW76lU10xzdEBCd1oACIc1WCYBHYGp+qSNxTjvm96BWyEZm5sRg3NpnOPAcBrZUJeilMC59BBjZdi9ug2HQ==" saltValue="QxyytJzrB6ASMNOQgr+Pf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WOS2+hxDCbVRXI36kzk7C9LtAkoJT9bi9LI4n+quj+rLwmhczWPgNXQIBg5yTQrZdJAIS7wIsm0tT5M8ynHkRA==" saltValue="PeAPzEVssXXbTqX42SUcd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YuElGPaZaYzzT0Zn4l2HTZ3PYYvNV3MuyUcf/lzcBeALgLuAqykEcqfLu96FqF1dxXvy1REPgQrs+dwAvdKhNw==" saltValue="JhMghItZ7zdtJHKgJCDL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J8EiUFXZMs25NCQwbP0XM+pOqSWaye/x51ZfHeg1rwo/LuLeldqeHOeMpbMCXoZHrSKgGbiDKBhhzcgi5114MA==" saltValue="J9/okwgP514JJ8qZk4kI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BtwpezADWa+7AGxlNga8ivUKSXW2IigoXkmtF0InJBpgh7d1QAlU6Wrx98ccSbu+ShV8tUNX8ojEXx2LdiKZFA==" saltValue="jUAc1CwYafNowivzqSi4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nNMNJX8QfZfqe28/NGrdIM8Agn0x1T8zXd+zpj99o+MZj/gVqeHTlgd11IjqnQRG/ZSQ/Jp3jFxJYfVJBZ8hQg==" saltValue="YtljTFRLbrZ2pPksywWU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FD23Ti1kntaa2yTQB9RVbJ99d1kjhV3+EcwJOFCzI0DpBTr3Zz1F/KlgM+vl5GeWPd9u2tQiUWu2b1DE6+0ZEw==" saltValue="j+lROFHZFvYUSg/0l5B9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IPMBTE5m56IWgEElwaY813CQI4BRB3TyvGJ8qO2QA0aE+F0cvVdMaMMrtYNfuD6OwbRnD/En8RibbAV+5ykRdg==" saltValue="Gtuli8M5u6FfbNzwXZzLM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F4" sqref="F4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6/xwl+AqDnteyz7dzwY3Q74CNbDQZu2ZMnv1KuauL+EX4DglP+2t3+xGnUKCXPLrXbpqiAKxtsFYhpWAl46o3A==" saltValue="vjhVFXeO4G7ZBTEDO56/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KZYqhVkjgvRVWqpY05umh6+2UkmiDVzzqCoyg+slq83736051Ytoj9bWdoFd5mcRnjCzZJdSwc08S6ictW33OA==" saltValue="m3xoUAlE+BuFRdEr1IFei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2026-04-29T04:42:47Z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