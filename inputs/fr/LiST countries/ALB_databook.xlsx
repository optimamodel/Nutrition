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56C61AC-5282-40A0-BBA7-4BE784BEA59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26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8" i="2" l="1"/>
  <c r="A39" i="2"/>
  <c r="A15" i="2"/>
  <c r="A3" i="2"/>
  <c r="A18" i="2"/>
  <c r="A34" i="2"/>
  <c r="A20" i="2"/>
  <c r="A36" i="2"/>
  <c r="A29" i="2"/>
  <c r="A31" i="2"/>
  <c r="A21" i="2"/>
  <c r="A37" i="2"/>
  <c r="I4" i="2"/>
  <c r="I8" i="2"/>
  <c r="I12" i="2"/>
  <c r="A23" i="2"/>
  <c r="I38" i="2"/>
  <c r="A16" i="2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<sst xmlns="http://schemas.openxmlformats.org/spreadsheetml/2006/main" count="2101" uniqueCount="337">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</sst>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139132.326171875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0.86947998046874997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7.4200000000000002E-2</v>
      </c>
    </row>
    <row r="24" spans="1:3" ht="15" customHeight="1" x14ac:dyDescent="0.25">
      <c r="B24" s="15" t="s">
        <v>33</v>
      </c>
      <c r="C24" s="45">
        <v>0.63170000000000004</v>
      </c>
    </row>
    <row r="25" spans="1:3" ht="15" customHeight="1" x14ac:dyDescent="0.25">
      <c r="B25" s="15" t="s">
        <v>34</v>
      </c>
      <c r="C25" s="45">
        <v>0.28189999999999998</v>
      </c>
    </row>
    <row r="26" spans="1:3" ht="15" customHeight="1" x14ac:dyDescent="0.25">
      <c r="B26" s="15" t="s">
        <v>35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0.42929909094781799</v>
      </c>
    </row>
    <row r="30" spans="1:3" ht="14.25" customHeight="1" x14ac:dyDescent="0.25">
      <c r="B30" s="25" t="s">
        <v>38</v>
      </c>
      <c r="C30" s="99">
        <v>2.5436306024175601E-2</v>
      </c>
    </row>
    <row r="31" spans="1:3" ht="14.25" customHeight="1" x14ac:dyDescent="0.25">
      <c r="B31" s="25" t="s">
        <v>39</v>
      </c>
      <c r="C31" s="99">
        <v>4.7151485611007002E-2</v>
      </c>
    </row>
    <row r="32" spans="1:3" ht="14.25" customHeight="1" x14ac:dyDescent="0.25">
      <c r="B32" s="25" t="s">
        <v>40</v>
      </c>
      <c r="C32" s="99">
        <v>0.49811311741699899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7.1181000000000001</v>
      </c>
    </row>
    <row r="38" spans="1:5" ht="15" customHeight="1" x14ac:dyDescent="0.25">
      <c r="B38" s="11" t="s">
        <v>45</v>
      </c>
      <c r="C38" s="43">
        <v>8.4116499999999998</v>
      </c>
      <c r="D38" s="12"/>
      <c r="E38" s="13"/>
    </row>
    <row r="39" spans="1:5" ht="15" customHeight="1" x14ac:dyDescent="0.25">
      <c r="B39" s="11" t="s">
        <v>46</v>
      </c>
      <c r="C39" s="43">
        <v>9.4559200000000008</v>
      </c>
      <c r="D39" s="12"/>
      <c r="E39" s="12"/>
    </row>
    <row r="40" spans="1:5" ht="15" customHeight="1" x14ac:dyDescent="0.25">
      <c r="B40" s="11" t="s">
        <v>47</v>
      </c>
      <c r="C40" s="100">
        <v>0.08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5.9370999999999998E-3</v>
      </c>
      <c r="D45" s="12"/>
    </row>
    <row r="46" spans="1:5" ht="15.75" customHeight="1" x14ac:dyDescent="0.25">
      <c r="B46" s="11" t="s">
        <v>52</v>
      </c>
      <c r="C46" s="45">
        <v>6.3792799999999997E-2</v>
      </c>
      <c r="D46" s="12"/>
    </row>
    <row r="47" spans="1:5" ht="15.75" customHeight="1" x14ac:dyDescent="0.25">
      <c r="B47" s="11" t="s">
        <v>53</v>
      </c>
      <c r="C47" s="45">
        <v>7.5355400000000003E-2</v>
      </c>
      <c r="D47" s="12"/>
      <c r="E47" s="13"/>
    </row>
    <row r="48" spans="1:5" ht="15" customHeight="1" x14ac:dyDescent="0.25">
      <c r="B48" s="11" t="s">
        <v>54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0.68814900000000001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gqSNavlly3/TgsRqMLVe7Qr7o4PryWNdoliKtUiditfVQQWLUdS6VbBim6lOVQDcEAZfTadCYg+z5GbVMmx3w==" saltValue="/H2BZj9zprHbkDl3jVEq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6Lb289oaLGiVjIUkCNG8Vm2UpZaGc7AfBMc5z/05Im4XfbjiL/rrWg39TD+ysNRvdzhThC74ggRLvwkfsrH+A==" saltValue="84kpEm0uv+MwdQ03ULODN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3.6605399999999962E-2</v>
      </c>
    </row>
    <row r="5" spans="1:8" ht="15.75" customHeight="1" x14ac:dyDescent="0.25">
      <c r="B5" s="19" t="s">
        <v>80</v>
      </c>
      <c r="C5" s="101">
        <v>2.8491900000000028E-2</v>
      </c>
    </row>
    <row r="6" spans="1:8" ht="15.75" customHeight="1" x14ac:dyDescent="0.25">
      <c r="B6" s="19" t="s">
        <v>81</v>
      </c>
      <c r="C6" s="101">
        <v>0.1543518999999996</v>
      </c>
    </row>
    <row r="7" spans="1:8" ht="15.75" customHeight="1" x14ac:dyDescent="0.25">
      <c r="B7" s="19" t="s">
        <v>82</v>
      </c>
      <c r="C7" s="101">
        <v>0.42690190000000028</v>
      </c>
    </row>
    <row r="8" spans="1:8" ht="15.75" customHeight="1" x14ac:dyDescent="0.25">
      <c r="B8" s="19" t="s">
        <v>83</v>
      </c>
      <c r="C8" s="101">
        <v>9.5492000000000025E-3</v>
      </c>
    </row>
    <row r="9" spans="1:8" ht="15.75" customHeight="1" x14ac:dyDescent="0.25">
      <c r="B9" s="19" t="s">
        <v>84</v>
      </c>
      <c r="C9" s="101">
        <v>0.26801370000000008</v>
      </c>
    </row>
    <row r="10" spans="1:8" ht="15.75" customHeight="1" x14ac:dyDescent="0.25">
      <c r="B10" s="19" t="s">
        <v>85</v>
      </c>
      <c r="C10" s="101">
        <v>7.6086000000000042E-2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88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89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90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93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94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95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5.4875438999999977E-2</v>
      </c>
    </row>
    <row r="27" spans="1:8" ht="15.75" customHeight="1" x14ac:dyDescent="0.25">
      <c r="B27" s="19" t="s">
        <v>102</v>
      </c>
      <c r="C27" s="101">
        <v>6.1112532999999997E-2</v>
      </c>
    </row>
    <row r="28" spans="1:8" ht="15.75" customHeight="1" x14ac:dyDescent="0.25">
      <c r="B28" s="19" t="s">
        <v>103</v>
      </c>
      <c r="C28" s="101">
        <v>0.12187780400000001</v>
      </c>
    </row>
    <row r="29" spans="1:8" ht="15.75" customHeight="1" x14ac:dyDescent="0.25">
      <c r="B29" s="19" t="s">
        <v>104</v>
      </c>
      <c r="C29" s="101">
        <v>0.13517542399999999</v>
      </c>
    </row>
    <row r="30" spans="1:8" ht="15.75" customHeight="1" x14ac:dyDescent="0.25">
      <c r="B30" s="19" t="s">
        <v>2</v>
      </c>
      <c r="C30" s="101">
        <v>8.1544961999999999E-2</v>
      </c>
    </row>
    <row r="31" spans="1:8" ht="15.75" customHeight="1" x14ac:dyDescent="0.25">
      <c r="B31" s="19" t="s">
        <v>105</v>
      </c>
      <c r="C31" s="101">
        <v>6.5156283999999995E-2</v>
      </c>
    </row>
    <row r="32" spans="1:8" ht="15.75" customHeight="1" x14ac:dyDescent="0.25">
      <c r="B32" s="19" t="s">
        <v>106</v>
      </c>
      <c r="C32" s="101">
        <v>0.13128318899999999</v>
      </c>
    </row>
    <row r="33" spans="2:3" ht="15.75" customHeight="1" x14ac:dyDescent="0.25">
      <c r="B33" s="19" t="s">
        <v>107</v>
      </c>
      <c r="C33" s="101">
        <v>0.12725431500000001</v>
      </c>
    </row>
    <row r="34" spans="2:3" ht="15.75" customHeight="1" x14ac:dyDescent="0.25">
      <c r="B34" s="19" t="s">
        <v>108</v>
      </c>
      <c r="C34" s="101">
        <v>0.221720049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y3QQHDONdO2T2RVN4vyCCHUVRM+tRSoQ9CKnJyXAFEKb/gvEv8KmpcCqRzQrBgsTNFVyugVucuwGurmDU5va4Q==" saltValue="hZgmb5uKwF8w2v+D5pw+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114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115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119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120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FCwjCKXd+uHQGZVyDAoKyIsOwk+8iEC32oaWVH3DnZf6099f3zuw0TwqxGiVEIVdF8sjk+AQa/n86E5XrTxAw==" saltValue="p4nergC2wxfZgVW9QfpT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132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DHETzwoixLXZc5pQjMwDsySsgin0ZS0dztM5WM+ZIFwBCx1O97r6qhBVICTYSV0ddC/z3d2OzVFOCU42eDx8bA==" saltValue="L3KGD1hPhQ3OeNaoCrvc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ovCeuVGrwDI9NFAxuwxRqQa4cEdskGGgXltPDZ+WodpfCT+DXBmxHGLFDd/LOIoq7txg7S6LpD1ZuphGpAAaA==" saltValue="b9QJGjBMCkReXwd3zj6f5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seApIjvoqHyXARWM73XUuGo1HBucxw5mik/OXT0FjmBsZfQmuaq17tcwltkQIhTQIxeNlw4MQJ6dG7uK/P07Ow==" saltValue="t0GW8pWbHF6xwdKuW5CM5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rdvADAolk6m+Osmn1FAK1lbzmgDs2Z3fehdjgZybVHDH+oxcGLsMHeSA8Gzzirif9nlZ4EvvGggRvjU291K1w==" saltValue="vKQPpklCsr+c9ixzCirK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4OcoPBynjZbCFEy2j+bsE0wCmi6jcrIRO4GduWGjLH8wkgHXx9iILtLVdsT6xxZQbBR+vacfORg/w4StS/ZBlQ==" saltValue="Tu1BNAz8WVW5eDibXkh/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57.907989789407353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39.877408618072153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412.49823904286558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4.5206611360123574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0.18510399999999999</v>
      </c>
      <c r="C10" s="98">
        <v>0.95</v>
      </c>
      <c r="D10" s="56">
        <v>13.009708061868061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13.009708061868061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13.009708061868061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13.009708061868061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0.18510399999999999</v>
      </c>
      <c r="C14" s="98">
        <v>0.95</v>
      </c>
      <c r="D14" s="56">
        <v>13.009708061868061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13.009708061868061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0.71647386176341188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0.34266350000000001</v>
      </c>
      <c r="C18" s="98">
        <v>0.95</v>
      </c>
      <c r="D18" s="56">
        <v>9.5101355775698799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0.34266350000000001</v>
      </c>
      <c r="C19" s="98">
        <v>0.95</v>
      </c>
      <c r="D19" s="56">
        <v>9.5101355775698799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45.01292027832001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22.4493059696639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4.2777930485212776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0.84867761728916302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0.18510399999999999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18.576955013531052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0.34516190000000002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0.52498509999999998</v>
      </c>
      <c r="C29" s="98">
        <v>0.95</v>
      </c>
      <c r="D29" s="56">
        <v>113.3709035636476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0.59909969887929115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1.53812413297883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0.13477720000000001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1.5291300000000001E-2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0.80814319999999995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0.14918780000000001</v>
      </c>
      <c r="C38" s="98">
        <v>0.95</v>
      </c>
      <c r="D38" s="56">
        <v>2.7579992310105732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yksEqnuXyvFPwgYbWqqOTqU/U06fLn5aXd+/UpBampRftrgFlI4dFYzVMIdhCyEnJ5ebuoWrWojIoNL1jhcshw==" saltValue="zikWZPp9llto9Twx308k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daSyDtYkS1YI6XSMsNs/aZUxICYXhkHPvg3GX0qBAq0nK7Py5BNq68youePNDJcxzj3I2ATNRYgrtnW61fKYpA==" saltValue="RfeDIktrvyO4e9jx6nXE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KH7wVIdwrsJACUEk/UfrwW0UY3UCETtID0Rvr7rDVfxLBGDf8nKEmbC4mLoHVO01nx+Iao/ebfj7jNTK192CVw==" saltValue="+e71Yry7UpGVXET6ACuC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208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katIYHJC4Dw8HNjs/X3FTDmfgHn6YfQI0Q+C5Xh/f5PJzQc/cpSOoDsw2w2kVKZCSgG6ZGYUkNk3mi1YUZzqGA==" saltValue="yMTmyyOZ8fE1RM2Ltxcx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Y+5VbNUwYTJrECn4Kb/3mEoIqsxJK3QlGmbeXEicT+NtRWNQrOyahQpNViKlm/D0yDBWCTmoVZxlilRUzBDjA==" saltValue="Gnq43/zgZcM5Ksdd/qNJ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VcORlkZyyoVN7no42ecMhkPEa4zyqw7HQNUONUhvTy9sz0+acnva30xTiOJJ7HpQFO7tbfZQ0lZNCDM1qhGmVA==" saltValue="n3QzZ9YMJnvnDXccOTHd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UtYeDLfcHgeTcT9ek1KPpgRVF9yykwjtw19e4ugzUhwISIi3uKNapYP7azCxkw4tc3is7k0ohp4P6/lXQchgg==" saltValue="31UM4PfLznjjz/iUKhsJ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4jmBnu4mhttJl1vLPgk7rlq13AImmhQAg6afIs4bdrobT+sKzdRv9j57upS0CO5viOyF78NdjYrYvSXllEeQw==" saltValue="Gacfh+4wM1AfuIq6stfr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PECrAEY+mb0m9ZJ72z1bQzYAxr8g1M2ksGoJjRYTe+I3KVeuqs8u/iFSHE1PmFgJl0tWWmpNU/cDOalj7syrw==" saltValue="b8rLbK1bfaYgHXggbSKf6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Fg/l4+IJn6PNcMGTWj5MAKs6HGKX5BOTMA01S4RMXKtYswHCAMYIpJnSmQ17DhGTnBanoAZeQ5VJ/nZJ7EOtA==" saltValue="UxU8mRleP6ezQZhr/yU1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duWxE9/mshLtnDbjwVeocBy0kXe+ScZVLprM9llruwAIiX+wr2A+NchLEhiA/S+4lBoNJ082YswWOgiSYQhIQ==" saltValue="zKG/ljEmZ5OlQOUcQ264i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3hQmmgxg+62h0T665FByAScTZb/bPmG2ll0e8XxqNFexxOnNZBAbnFYhOKLfseU3xAu4tVGVSrEMgQFXjp5XA==" saltValue="J7bynrw9RR4RpOKUOQWW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WkdwDNMOMqSvKf705O1fZO8jNf/n76Fv5Dmt70vUVifTQKnLZ2hJrteCkyRc9j3EEqlgKOCCxVJ0g5qT7fbaA==" saltValue="y5MK/ovfSZPc1iN3+XcU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jVKXsSm+Xso1LO+RjqZ73QZd4Obbnp/X6Ba3runwV/ipVWVFUS2Xskhk9MhS5rwHFg5Fd2JW2fPDuUfRfp7FQ==" saltValue="bB2+wc95h+ME8beWbJFY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aGPUOriQCaMLoeBa+sLrOHRMloGvheYAVJaopmJqttBno0JJb/f3d7GSS7lfq1tdznM11Kt7Dp44WFLdwpzDg==" saltValue="zxs7bzhaXaxHi9hTDUR4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LdKBHQlTpuPK3AVCvjQye9K9hA3W8XPtjnXRX453fWYIl/COwpq86fx0PLG587o/wVC+rBr3hMiYS96EmdrSw==" saltValue="XmEI0eYDebb3SBvtgcLC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3LoT7u2wIE9M6DEG8UEsNzIB8fKBU33ZmW0NrJjWtix2+sDm6isUAlpeNHB/OZteoa/1pAp291P/uygOWvtEA==" saltValue="Vx9iItdW4Ud/qZaBk6Jm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0.10987914562123846</v>
      </c>
      <c r="G18" s="90">
        <f>MIN(MAX(1-0.89/(1-frac_sam_12_23months+(frac_sam_12_23months*0.89)),0),1)</f>
        <v>0.1098753558460791</v>
      </c>
      <c r="H18" s="90">
        <f>MIN(MAX(1-0.89/(1-frac_sam_24_59months+(frac_sam_24_59months*0.89)),0),1)</f>
        <v>0.10960676762324628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0.10869052376990174</v>
      </c>
      <c r="G20" s="90">
        <f>MIN(MAX(1-0.89/(1-frac_mam_12_23months+(frac_mam_12_23months*0.89)),0),1)</f>
        <v>0.10971030774674806</v>
      </c>
      <c r="H20" s="90">
        <f>MIN(MAX(1-0.89/(1-frac_mam_24_59months+(frac_mam_24_59months*0.89)),0),1)</f>
        <v>0.10908478150525991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9.9877802791720205E-3</v>
      </c>
      <c r="G73" s="90">
        <f>MIN(MAX(1-0.99/(1-frac_sam_12_23months+(frac_sam_12_23months*0.99)),0),1)</f>
        <v>9.9873971395655348E-3</v>
      </c>
      <c r="H73" s="90">
        <f>MIN(MAX(1-0.99/(1-frac_sam_24_59months+(frac_sam_24_59months*0.99)),0),1)</f>
        <v>9.9602508941131207E-3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9.8677579377500768E-3</v>
      </c>
      <c r="G75" s="90">
        <f>MIN(MAX(1-0.99/(1-frac_mam_12_23months+(frac_mam_12_23months*0.99)),0),1)</f>
        <v>9.9707139436892023E-3</v>
      </c>
      <c r="H75" s="90">
        <f>MIN(MAX(1-0.99/(1-frac_mam_24_59months+(frac_mam_24_59months*0.99)),0),1)</f>
        <v>9.9075362549033708E-3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0.19980246323607431</v>
      </c>
      <c r="G128" s="90">
        <f>MIN(MAX(1-0.8/(1-frac_sam_12_23months+(frac_sam_12_23months*0.8)),0),1)</f>
        <v>0.19979626812986584</v>
      </c>
      <c r="H128" s="90">
        <f>MIN(MAX(1-0.8/(1-frac_sam_24_59months+(frac_sam_24_59months*0.8)),0),1)</f>
        <v>0.19935709976396843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0.19785731646373794</v>
      </c>
      <c r="G130" s="90">
        <f>MIN(MAX(1-0.8/(1-frac_mam_12_23months+(frac_mam_12_23months*0.8)),0),1)</f>
        <v>0.19952642382286201</v>
      </c>
      <c r="H130" s="90">
        <f>MIN(MAX(1-0.8/(1-frac_mam_24_59months+(frac_mam_24_59months*0.8)),0),1)</f>
        <v>0.19850297989578969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shuVmXB0JX+0BaaxDSI1nq7igD3JyjVrW8X1QDz8IWvwomtikF0ZRqolvE4V1aFYv2rkvEMh705nj+7MjyIyw==" saltValue="EcOIOt4mePlX2QCy3+W6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3agPKCFL+djVoVLvvNtGxOQIfe8reas4Ya/I6AQ1kFtKW0xjVS4p48+HZLRk6wNjLZxiGGfVXoJfHH4T+iQtQ==" saltValue="3ZkkiKeAiVx0H3gVrgcvu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2024-08-06T08:40:48Z</dcterms:modified>
</cp:coreProperties>
</file>