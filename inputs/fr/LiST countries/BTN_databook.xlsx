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295AE116-3E3A-4378-97F7-633B6FA62413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A22" i="2" l="1"/>
  <c r="A24" i="2"/>
  <c r="A36" i="2"/>
  <c r="A23" i="2"/>
  <c r="A37" i="2"/>
  <c r="I38" i="2"/>
  <c r="A26" i="2"/>
  <c r="I39" i="2"/>
  <c r="A31" i="2"/>
  <c r="A34" i="2"/>
  <c r="A40" i="2"/>
  <c r="I2" i="2"/>
  <c r="I6" i="2"/>
  <c r="A19" i="2"/>
  <c r="A35" i="2"/>
  <c r="I3" i="2"/>
  <c r="I7" i="2"/>
  <c r="I11" i="2"/>
  <c r="I4" i="2"/>
  <c r="I8" i="2"/>
  <c r="I12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<sst xmlns="http://schemas.openxmlformats.org/spreadsheetml/2006/main" count="2169" uniqueCount="369">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</sst>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48777.5</v>
      </c>
    </row>
    <row r="8" spans="1:3" ht="15" customHeight="1" x14ac:dyDescent="0.25">
      <c r="B8" s="5" t="s">
        <v>37</v>
      </c>
      <c r="C8" s="44">
        <v>1.4999999999999999E-2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0.70886222839355495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0.154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7.22E-2</v>
      </c>
    </row>
    <row r="24" spans="1:3" ht="15" customHeight="1" x14ac:dyDescent="0.25">
      <c r="B24" s="15" t="s">
        <v>51</v>
      </c>
      <c r="C24" s="45">
        <v>0.55390000000000006</v>
      </c>
    </row>
    <row r="25" spans="1:3" ht="15" customHeight="1" x14ac:dyDescent="0.25">
      <c r="B25" s="15" t="s">
        <v>52</v>
      </c>
      <c r="C25" s="45">
        <v>0.31580000000000003</v>
      </c>
    </row>
    <row r="26" spans="1:3" ht="15" customHeight="1" x14ac:dyDescent="0.25">
      <c r="B26" s="15" t="s">
        <v>53</v>
      </c>
      <c r="C26" s="45">
        <v>5.8100000000000013E-2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0.41227810089419697</v>
      </c>
    </row>
    <row r="30" spans="1:3" ht="14.25" customHeight="1" x14ac:dyDescent="0.25">
      <c r="B30" s="25" t="s">
        <v>56</v>
      </c>
      <c r="C30" s="97">
        <v>4.1696555750580601E-2</v>
      </c>
    </row>
    <row r="31" spans="1:3" ht="14.25" customHeight="1" x14ac:dyDescent="0.25">
      <c r="B31" s="25" t="s">
        <v>57</v>
      </c>
      <c r="C31" s="97">
        <v>7.5022305717839008E-2</v>
      </c>
    </row>
    <row r="32" spans="1:3" ht="14.25" customHeight="1" x14ac:dyDescent="0.25">
      <c r="B32" s="25" t="s">
        <v>58</v>
      </c>
      <c r="C32" s="97">
        <v>0.47100303763738299</v>
      </c>
    </row>
    <row r="33" spans="1:5" ht="13.25" customHeight="1" x14ac:dyDescent="0.25">
      <c r="B33" s="27" t="s">
        <v>59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14.832380000000001</v>
      </c>
    </row>
    <row r="38" spans="1:5" ht="15" customHeight="1" x14ac:dyDescent="0.25">
      <c r="B38" s="11" t="s">
        <v>63</v>
      </c>
      <c r="C38" s="43">
        <v>22.452369999999998</v>
      </c>
      <c r="D38" s="12"/>
      <c r="E38" s="13"/>
    </row>
    <row r="39" spans="1:5" ht="15" customHeight="1" x14ac:dyDescent="0.25">
      <c r="B39" s="11" t="s">
        <v>64</v>
      </c>
      <c r="C39" s="43">
        <v>26.68741</v>
      </c>
      <c r="D39" s="12"/>
      <c r="E39" s="12"/>
    </row>
    <row r="40" spans="1:5" ht="15" customHeight="1" x14ac:dyDescent="0.25">
      <c r="B40" s="11" t="s">
        <v>65</v>
      </c>
      <c r="C40" s="98">
        <v>0.6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9.01539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1.7845300000000001E-2</v>
      </c>
      <c r="D45" s="12"/>
    </row>
    <row r="46" spans="1:5" ht="15.75" customHeight="1" x14ac:dyDescent="0.25">
      <c r="B46" s="11" t="s">
        <v>70</v>
      </c>
      <c r="C46" s="45">
        <v>0.1060015</v>
      </c>
      <c r="D46" s="12"/>
    </row>
    <row r="47" spans="1:5" ht="15.75" customHeight="1" x14ac:dyDescent="0.25">
      <c r="B47" s="11" t="s">
        <v>71</v>
      </c>
      <c r="C47" s="45">
        <v>0.40820650000000003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2.4</v>
      </c>
      <c r="D51" s="12"/>
    </row>
    <row r="52" spans="1:4" ht="15" customHeight="1" x14ac:dyDescent="0.25">
      <c r="B52" s="11" t="s">
        <v>75</v>
      </c>
      <c r="C52" s="98">
        <v>2.4</v>
      </c>
    </row>
    <row r="53" spans="1:4" ht="15.75" customHeight="1" x14ac:dyDescent="0.25">
      <c r="B53" s="11" t="s">
        <v>76</v>
      </c>
      <c r="C53" s="98">
        <v>2.4</v>
      </c>
    </row>
    <row r="54" spans="1:4" ht="15.75" customHeight="1" x14ac:dyDescent="0.25">
      <c r="B54" s="11" t="s">
        <v>77</v>
      </c>
      <c r="C54" s="98">
        <v>2.4</v>
      </c>
    </row>
    <row r="55" spans="1:4" ht="15.75" customHeight="1" x14ac:dyDescent="0.25">
      <c r="B55" s="11" t="s">
        <v>78</v>
      </c>
      <c r="C55" s="98">
        <v>2.4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2.1666666666666671E-2</v>
      </c>
    </row>
    <row r="59" spans="1:4" ht="15.75" customHeight="1" x14ac:dyDescent="0.25">
      <c r="B59" s="11" t="s">
        <v>81</v>
      </c>
      <c r="C59" s="45">
        <v>0.48878400000000011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0.11662965</v>
      </c>
    </row>
    <row r="63" spans="1:4" ht="15.75" customHeight="1" x14ac:dyDescent="0.3">
      <c r="A63" s="4"/>
    </row>
  </sheetData>
  <sheetProtection algorithmName="SHA-512" hashValue="8fQYJIYKh80u5EIlQ7OK0awW6iMvXsJd0LtLB/+Om9Z/FsjaHXSjvcyWldHvIbv0SmvwrtF9Jdc6PjJLGhtX5g==" saltValue="PoulgAE1rnCuFMX5AO1Cg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9914</v>
      </c>
      <c r="C2" s="49">
        <v>32519.5</v>
      </c>
      <c r="D2" s="49">
        <v>68863</v>
      </c>
      <c r="E2" s="49">
        <v>69154</v>
      </c>
      <c r="F2" s="49">
        <v>49026.5</v>
      </c>
      <c r="G2" s="17">
        <f t="shared" ref="G2:G13" si="0">C2+D2+E2+F2</f>
        <v>219563</v>
      </c>
      <c r="H2" s="17">
        <f t="shared" ref="H2:H13" si="1">(B2 + stillbirth*B2/(1000-stillbirth))/(1-abortion)</f>
        <v>11368.399647406322</v>
      </c>
      <c r="I2" s="17">
        <f t="shared" ref="I2:I13" si="2">G2-H2</f>
        <v>208194.60035259367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9836</v>
      </c>
      <c r="C3" s="50">
        <v>31838</v>
      </c>
      <c r="D3" s="50">
        <v>69018.5</v>
      </c>
      <c r="E3" s="50">
        <v>69732</v>
      </c>
      <c r="F3" s="50">
        <v>51090.500000000007</v>
      </c>
      <c r="G3" s="17">
        <f t="shared" si="0"/>
        <v>221679</v>
      </c>
      <c r="H3" s="17">
        <f t="shared" si="1"/>
        <v>11278.956922724286</v>
      </c>
      <c r="I3" s="17">
        <f t="shared" si="2"/>
        <v>210400.04307727571</v>
      </c>
    </row>
    <row r="4" spans="1:9" ht="15.75" customHeight="1" x14ac:dyDescent="0.25">
      <c r="A4" s="5">
        <f t="shared" si="3"/>
        <v>2026</v>
      </c>
      <c r="B4" s="49">
        <v>9783</v>
      </c>
      <c r="C4" s="50">
        <v>31352</v>
      </c>
      <c r="D4" s="50">
        <v>69237</v>
      </c>
      <c r="E4" s="50">
        <v>69916</v>
      </c>
      <c r="F4" s="50">
        <v>53180.499999999993</v>
      </c>
      <c r="G4" s="17">
        <f t="shared" si="0"/>
        <v>223685.5</v>
      </c>
      <c r="H4" s="17">
        <f t="shared" si="1"/>
        <v>11218.181738004443</v>
      </c>
      <c r="I4" s="17">
        <f t="shared" si="2"/>
        <v>212467.31826199556</v>
      </c>
    </row>
    <row r="5" spans="1:9" ht="15.75" customHeight="1" x14ac:dyDescent="0.25">
      <c r="A5" s="5">
        <f t="shared" si="3"/>
        <v>2027</v>
      </c>
      <c r="B5" s="49">
        <v>9747</v>
      </c>
      <c r="C5" s="50">
        <v>31086.5</v>
      </c>
      <c r="D5" s="50">
        <v>69304</v>
      </c>
      <c r="E5" s="50">
        <v>69673</v>
      </c>
      <c r="F5" s="50">
        <v>55236.000000000007</v>
      </c>
      <c r="G5" s="17">
        <f t="shared" si="0"/>
        <v>225299.5</v>
      </c>
      <c r="H5" s="17">
        <f t="shared" si="1"/>
        <v>11176.900480458889</v>
      </c>
      <c r="I5" s="17">
        <f t="shared" si="2"/>
        <v>214122.59951954111</v>
      </c>
    </row>
    <row r="6" spans="1:9" ht="15.75" customHeight="1" x14ac:dyDescent="0.25">
      <c r="A6" s="5">
        <f t="shared" si="3"/>
        <v>2028</v>
      </c>
      <c r="B6" s="49">
        <v>9698</v>
      </c>
      <c r="C6" s="50">
        <v>30932.5</v>
      </c>
      <c r="D6" s="50">
        <v>69156.5</v>
      </c>
      <c r="E6" s="50">
        <v>69083.5</v>
      </c>
      <c r="F6" s="50">
        <v>57251.999999999993</v>
      </c>
      <c r="G6" s="17">
        <f t="shared" si="0"/>
        <v>226424.5</v>
      </c>
      <c r="H6" s="17">
        <f t="shared" si="1"/>
        <v>11120.712102132995</v>
      </c>
      <c r="I6" s="17">
        <f t="shared" si="2"/>
        <v>215303.78789786701</v>
      </c>
    </row>
    <row r="7" spans="1:9" ht="15.75" customHeight="1" x14ac:dyDescent="0.25">
      <c r="A7" s="5">
        <f t="shared" si="3"/>
        <v>2029</v>
      </c>
      <c r="B7" s="49">
        <v>9668</v>
      </c>
      <c r="C7" s="50">
        <v>30662.5</v>
      </c>
      <c r="D7" s="50">
        <v>68841.000000000015</v>
      </c>
      <c r="E7" s="50">
        <v>68323.5</v>
      </c>
      <c r="F7" s="50">
        <v>59227.500000000007</v>
      </c>
      <c r="G7" s="17">
        <f t="shared" si="0"/>
        <v>227054.5</v>
      </c>
      <c r="H7" s="17">
        <f t="shared" si="1"/>
        <v>11086.311054178366</v>
      </c>
      <c r="I7" s="17">
        <f t="shared" si="2"/>
        <v>215968.18894582163</v>
      </c>
    </row>
    <row r="8" spans="1:9" ht="15.75" customHeight="1" x14ac:dyDescent="0.25">
      <c r="A8" s="5">
        <f t="shared" si="3"/>
        <v>2030</v>
      </c>
      <c r="B8" s="49">
        <v>9625</v>
      </c>
      <c r="C8" s="50">
        <v>30070.5</v>
      </c>
      <c r="D8" s="50">
        <v>68412</v>
      </c>
      <c r="E8" s="50">
        <v>67573.000000000015</v>
      </c>
      <c r="F8" s="50">
        <v>61128.5</v>
      </c>
      <c r="G8" s="17">
        <f t="shared" si="0"/>
        <v>227184</v>
      </c>
      <c r="H8" s="17">
        <f t="shared" si="1"/>
        <v>11037.002885443399</v>
      </c>
      <c r="I8" s="17">
        <f t="shared" si="2"/>
        <v>216146.99711455661</v>
      </c>
    </row>
    <row r="9" spans="1:9" ht="15.75" customHeight="1" x14ac:dyDescent="0.25">
      <c r="A9" s="5">
        <f t="shared" si="3"/>
        <v>2031</v>
      </c>
      <c r="B9" s="49">
        <v>9598</v>
      </c>
      <c r="C9" s="50">
        <v>29250</v>
      </c>
      <c r="D9" s="50">
        <v>67947.499999999985</v>
      </c>
      <c r="E9" s="50">
        <v>66979.5</v>
      </c>
      <c r="F9" s="50">
        <v>62922.5</v>
      </c>
      <c r="G9" s="17">
        <f t="shared" si="0"/>
        <v>227099.5</v>
      </c>
      <c r="H9" s="17">
        <f t="shared" si="1"/>
        <v>11006.041942284231</v>
      </c>
      <c r="I9" s="17">
        <f t="shared" si="2"/>
        <v>216093.45805771576</v>
      </c>
    </row>
    <row r="10" spans="1:9" ht="15.75" customHeight="1" x14ac:dyDescent="0.25">
      <c r="A10" s="5">
        <f t="shared" si="3"/>
        <v>2032</v>
      </c>
      <c r="B10" s="49">
        <v>9573</v>
      </c>
      <c r="C10" s="50">
        <v>28212</v>
      </c>
      <c r="D10" s="50">
        <v>67413.5</v>
      </c>
      <c r="E10" s="50">
        <v>66604</v>
      </c>
      <c r="F10" s="50">
        <v>64524</v>
      </c>
      <c r="G10" s="17">
        <f t="shared" si="0"/>
        <v>226753.5</v>
      </c>
      <c r="H10" s="17">
        <f t="shared" si="1"/>
        <v>10977.374402322041</v>
      </c>
      <c r="I10" s="17">
        <f t="shared" si="2"/>
        <v>215776.12559767795</v>
      </c>
    </row>
    <row r="11" spans="1:9" ht="15.75" customHeight="1" x14ac:dyDescent="0.25">
      <c r="A11" s="5">
        <f t="shared" si="3"/>
        <v>2033</v>
      </c>
      <c r="B11" s="49">
        <v>9548</v>
      </c>
      <c r="C11" s="50">
        <v>26920</v>
      </c>
      <c r="D11" s="50">
        <v>66707.500000000015</v>
      </c>
      <c r="E11" s="50">
        <v>66465</v>
      </c>
      <c r="F11" s="50">
        <v>65844</v>
      </c>
      <c r="G11" s="17">
        <f t="shared" si="0"/>
        <v>225936.5</v>
      </c>
      <c r="H11" s="17">
        <f t="shared" si="1"/>
        <v>10948.70686235985</v>
      </c>
      <c r="I11" s="17">
        <f t="shared" si="2"/>
        <v>214987.79313764014</v>
      </c>
    </row>
    <row r="12" spans="1:9" ht="15.75" customHeight="1" x14ac:dyDescent="0.25">
      <c r="A12" s="5">
        <f t="shared" si="3"/>
        <v>2034</v>
      </c>
      <c r="B12" s="49">
        <v>9509</v>
      </c>
      <c r="C12" s="50">
        <v>25616</v>
      </c>
      <c r="D12" s="50">
        <v>65704.5</v>
      </c>
      <c r="E12" s="50">
        <v>66489</v>
      </c>
      <c r="F12" s="50">
        <v>66811</v>
      </c>
      <c r="G12" s="17">
        <f t="shared" si="0"/>
        <v>224620.5</v>
      </c>
      <c r="H12" s="17">
        <f t="shared" si="1"/>
        <v>10903.985500018835</v>
      </c>
      <c r="I12" s="17">
        <f t="shared" si="2"/>
        <v>213716.51449998116</v>
      </c>
    </row>
    <row r="13" spans="1:9" ht="15.75" customHeight="1" x14ac:dyDescent="0.25">
      <c r="A13" s="5">
        <f t="shared" si="3"/>
        <v>2035</v>
      </c>
      <c r="B13" s="49">
        <v>9449</v>
      </c>
      <c r="C13" s="50">
        <v>24696</v>
      </c>
      <c r="D13" s="50">
        <v>64461</v>
      </c>
      <c r="E13" s="50">
        <v>66633.5</v>
      </c>
      <c r="F13" s="50">
        <v>67383.5</v>
      </c>
      <c r="G13" s="17">
        <f t="shared" si="0"/>
        <v>223174</v>
      </c>
      <c r="H13" s="17">
        <f t="shared" si="1"/>
        <v>10835.183404109575</v>
      </c>
      <c r="I13" s="17">
        <f t="shared" si="2"/>
        <v>212338.81659589041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DjOpgNPDix2ZIqeox4KLE+Uy8ble4ayZvO/hI3Lko0ffW77IE4jZjdflnP9BeW3e9RwbmH6odZxy4mvWUYGLTA==" saltValue="/16PrhJJT42UeMm21fdon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8.1525008152500862E-3</v>
      </c>
    </row>
    <row r="4" spans="1:8" ht="15.75" customHeight="1" x14ac:dyDescent="0.25">
      <c r="B4" s="19" t="s">
        <v>97</v>
      </c>
      <c r="C4" s="99">
        <v>4.5061404506140379E-2</v>
      </c>
    </row>
    <row r="5" spans="1:8" ht="15.75" customHeight="1" x14ac:dyDescent="0.25">
      <c r="B5" s="19" t="s">
        <v>98</v>
      </c>
      <c r="C5" s="99">
        <v>4.9024504902450451E-2</v>
      </c>
    </row>
    <row r="6" spans="1:8" ht="15.75" customHeight="1" x14ac:dyDescent="0.25">
      <c r="B6" s="19" t="s">
        <v>99</v>
      </c>
      <c r="C6" s="99">
        <v>0.2038836203883623</v>
      </c>
    </row>
    <row r="7" spans="1:8" ht="15.75" customHeight="1" x14ac:dyDescent="0.25">
      <c r="B7" s="19" t="s">
        <v>100</v>
      </c>
      <c r="C7" s="99">
        <v>0.43088424308842432</v>
      </c>
    </row>
    <row r="8" spans="1:8" ht="15.75" customHeight="1" x14ac:dyDescent="0.25">
      <c r="B8" s="19" t="s">
        <v>101</v>
      </c>
      <c r="C8" s="99">
        <v>8.3170008317000766E-4</v>
      </c>
    </row>
    <row r="9" spans="1:8" ht="15.75" customHeight="1" x14ac:dyDescent="0.25">
      <c r="B9" s="19" t="s">
        <v>102</v>
      </c>
      <c r="C9" s="99">
        <v>0.14651341465134141</v>
      </c>
    </row>
    <row r="10" spans="1:8" ht="15.75" customHeight="1" x14ac:dyDescent="0.25">
      <c r="B10" s="19" t="s">
        <v>103</v>
      </c>
      <c r="C10" s="99">
        <v>0.1156486115648612</v>
      </c>
    </row>
    <row r="11" spans="1:8" ht="15.75" customHeight="1" x14ac:dyDescent="0.25">
      <c r="B11" s="27" t="s">
        <v>59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0.31382186343452262</v>
      </c>
      <c r="D14" s="55">
        <v>0.31382186343452262</v>
      </c>
      <c r="E14" s="55">
        <v>0.31382186343452262</v>
      </c>
      <c r="F14" s="55">
        <v>0.31382186343452262</v>
      </c>
    </row>
    <row r="15" spans="1:8" ht="15.75" customHeight="1" x14ac:dyDescent="0.25">
      <c r="B15" s="19" t="s">
        <v>106</v>
      </c>
      <c r="C15" s="99">
        <v>0.31591331032326309</v>
      </c>
      <c r="D15" s="99">
        <v>0.31591331032326309</v>
      </c>
      <c r="E15" s="99">
        <v>0.31591331032326309</v>
      </c>
      <c r="F15" s="99">
        <v>0.31591331032326309</v>
      </c>
    </row>
    <row r="16" spans="1:8" ht="15.75" customHeight="1" x14ac:dyDescent="0.25">
      <c r="B16" s="19" t="s">
        <v>107</v>
      </c>
      <c r="C16" s="99">
        <v>2.7449882388342828E-2</v>
      </c>
      <c r="D16" s="99">
        <v>2.7449882388342828E-2</v>
      </c>
      <c r="E16" s="99">
        <v>2.7449882388342828E-2</v>
      </c>
      <c r="F16" s="99">
        <v>2.7449882388342828E-2</v>
      </c>
    </row>
    <row r="17" spans="1:8" ht="15.75" customHeight="1" x14ac:dyDescent="0.25">
      <c r="B17" s="19" t="s">
        <v>108</v>
      </c>
      <c r="C17" s="99">
        <v>1.390932477875465E-2</v>
      </c>
      <c r="D17" s="99">
        <v>1.390932477875465E-2</v>
      </c>
      <c r="E17" s="99">
        <v>1.390932477875465E-2</v>
      </c>
      <c r="F17" s="99">
        <v>1.390932477875465E-2</v>
      </c>
    </row>
    <row r="18" spans="1:8" ht="15.75" customHeight="1" x14ac:dyDescent="0.25">
      <c r="B18" s="19" t="s">
        <v>109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110</v>
      </c>
      <c r="C19" s="99">
        <v>1.1055711336886291E-2</v>
      </c>
      <c r="D19" s="99">
        <v>1.1055711336886291E-2</v>
      </c>
      <c r="E19" s="99">
        <v>1.1055711336886291E-2</v>
      </c>
      <c r="F19" s="99">
        <v>1.1055711336886291E-2</v>
      </c>
    </row>
    <row r="20" spans="1:8" ht="15.75" customHeight="1" x14ac:dyDescent="0.25">
      <c r="B20" s="19" t="s">
        <v>111</v>
      </c>
      <c r="C20" s="99">
        <v>2.0022801128055979E-2</v>
      </c>
      <c r="D20" s="99">
        <v>2.0022801128055979E-2</v>
      </c>
      <c r="E20" s="99">
        <v>2.0022801128055979E-2</v>
      </c>
      <c r="F20" s="99">
        <v>2.0022801128055979E-2</v>
      </c>
    </row>
    <row r="21" spans="1:8" ht="15.75" customHeight="1" x14ac:dyDescent="0.25">
      <c r="B21" s="19" t="s">
        <v>112</v>
      </c>
      <c r="C21" s="99">
        <v>0.1369566895751991</v>
      </c>
      <c r="D21" s="99">
        <v>0.1369566895751991</v>
      </c>
      <c r="E21" s="99">
        <v>0.1369566895751991</v>
      </c>
      <c r="F21" s="99">
        <v>0.1369566895751991</v>
      </c>
    </row>
    <row r="22" spans="1:8" ht="15.75" customHeight="1" x14ac:dyDescent="0.25">
      <c r="B22" s="19" t="s">
        <v>113</v>
      </c>
      <c r="C22" s="99">
        <v>0.16087041703497551</v>
      </c>
      <c r="D22" s="99">
        <v>0.16087041703497551</v>
      </c>
      <c r="E22" s="99">
        <v>0.16087041703497551</v>
      </c>
      <c r="F22" s="99">
        <v>0.16087041703497551</v>
      </c>
    </row>
    <row r="23" spans="1:8" ht="15.75" customHeight="1" x14ac:dyDescent="0.25">
      <c r="B23" s="27" t="s">
        <v>59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2.0391851999999999E-2</v>
      </c>
    </row>
    <row r="27" spans="1:8" ht="15.75" customHeight="1" x14ac:dyDescent="0.25">
      <c r="B27" s="19" t="s">
        <v>120</v>
      </c>
      <c r="C27" s="99">
        <v>1.2112826E-2</v>
      </c>
    </row>
    <row r="28" spans="1:8" ht="15.75" customHeight="1" x14ac:dyDescent="0.25">
      <c r="B28" s="19" t="s">
        <v>121</v>
      </c>
      <c r="C28" s="99">
        <v>0.20645870999999999</v>
      </c>
    </row>
    <row r="29" spans="1:8" ht="15.75" customHeight="1" x14ac:dyDescent="0.25">
      <c r="B29" s="19" t="s">
        <v>122</v>
      </c>
      <c r="C29" s="99">
        <v>0.14582909399999999</v>
      </c>
    </row>
    <row r="30" spans="1:8" ht="15.75" customHeight="1" x14ac:dyDescent="0.25">
      <c r="B30" s="19" t="s">
        <v>2</v>
      </c>
      <c r="C30" s="99">
        <v>4.8967666E-2</v>
      </c>
    </row>
    <row r="31" spans="1:8" ht="15.75" customHeight="1" x14ac:dyDescent="0.25">
      <c r="B31" s="19" t="s">
        <v>123</v>
      </c>
      <c r="C31" s="99">
        <v>9.2788695000000004E-2</v>
      </c>
    </row>
    <row r="32" spans="1:8" ht="15.75" customHeight="1" x14ac:dyDescent="0.25">
      <c r="B32" s="19" t="s">
        <v>124</v>
      </c>
      <c r="C32" s="99">
        <v>1.0910125E-2</v>
      </c>
    </row>
    <row r="33" spans="2:3" ht="15.75" customHeight="1" x14ac:dyDescent="0.25">
      <c r="B33" s="19" t="s">
        <v>125</v>
      </c>
      <c r="C33" s="99">
        <v>0.3714693</v>
      </c>
    </row>
    <row r="34" spans="2:3" ht="15.75" customHeight="1" x14ac:dyDescent="0.25">
      <c r="B34" s="19" t="s">
        <v>126</v>
      </c>
      <c r="C34" s="99">
        <v>9.1071732999999988E-2</v>
      </c>
    </row>
    <row r="35" spans="2:3" ht="15.75" customHeight="1" x14ac:dyDescent="0.25">
      <c r="B35" s="27" t="s">
        <v>59</v>
      </c>
      <c r="C35" s="48">
        <f>SUM(C26:C34)</f>
        <v>1.0000000010000001</v>
      </c>
    </row>
  </sheetData>
  <sheetProtection algorithmName="SHA-512" hashValue="Z65t3bm9B6l8VHepu4A4njYi71dzYeFnljSrNb7/GysklifU7OupVS55I97JER1s5I3iSTTHPKgI8hmz2tfQkw==" saltValue="lwO283buKSYMR5/xvIhwR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0.42378197479032165</v>
      </c>
      <c r="D2" s="52">
        <f>IFERROR(1-_xlfn.NORM.DIST(_xlfn.NORM.INV(SUM(D4:D5), 0, 1) + 1, 0, 1, TRUE), "")</f>
        <v>0.42378197479032165</v>
      </c>
      <c r="E2" s="52">
        <f>IFERROR(1-_xlfn.NORM.DIST(_xlfn.NORM.INV(SUM(E4:E5), 0, 1) + 1, 0, 1, TRUE), "")</f>
        <v>0.48626648782681481</v>
      </c>
      <c r="F2" s="52">
        <f>IFERROR(1-_xlfn.NORM.DIST(_xlfn.NORM.INV(SUM(F4:F5), 0, 1) + 1, 0, 1, TRUE), "")</f>
        <v>0.26110617972600525</v>
      </c>
      <c r="G2" s="52">
        <f>IFERROR(1-_xlfn.NORM.DIST(_xlfn.NORM.INV(SUM(G4:G5), 0, 1) + 1, 0, 1, TRUE), "")</f>
        <v>0.24782416449959621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0.36660722520967837</v>
      </c>
      <c r="D3" s="52">
        <f>IFERROR(_xlfn.NORM.DIST(_xlfn.NORM.INV(SUM(D4:D5), 0, 1) + 1, 0, 1, TRUE) - SUM(D4:D5), "")</f>
        <v>0.36660722520967837</v>
      </c>
      <c r="E3" s="52">
        <f>IFERROR(_xlfn.NORM.DIST(_xlfn.NORM.INV(SUM(E4:E5), 0, 1) + 1, 0, 1, TRUE) - SUM(E4:E5), "")</f>
        <v>0.34660341217318519</v>
      </c>
      <c r="F3" s="52">
        <f>IFERROR(_xlfn.NORM.DIST(_xlfn.NORM.INV(SUM(F4:F5), 0, 1) + 1, 0, 1, TRUE) - SUM(F4:F5), "")</f>
        <v>0.37949312027399473</v>
      </c>
      <c r="G3" s="52">
        <f>IFERROR(_xlfn.NORM.DIST(_xlfn.NORM.INV(SUM(G4:G5), 0, 1) + 1, 0, 1, TRUE) - SUM(G4:G5), "")</f>
        <v>0.37717883550040376</v>
      </c>
    </row>
    <row r="4" spans="1:15" ht="15.75" customHeight="1" x14ac:dyDescent="0.25">
      <c r="B4" s="5" t="s">
        <v>132</v>
      </c>
      <c r="C4" s="45">
        <v>0.1148358</v>
      </c>
      <c r="D4" s="53">
        <v>0.1148358</v>
      </c>
      <c r="E4" s="53">
        <v>7.4602000000000002E-2</v>
      </c>
      <c r="F4" s="53">
        <v>0.21216470000000001</v>
      </c>
      <c r="G4" s="53">
        <v>0.23018359999999999</v>
      </c>
    </row>
    <row r="5" spans="1:15" ht="15.75" customHeight="1" x14ac:dyDescent="0.25">
      <c r="B5" s="5" t="s">
        <v>133</v>
      </c>
      <c r="C5" s="45">
        <v>9.4774999999999998E-2</v>
      </c>
      <c r="D5" s="53">
        <v>9.4774999999999998E-2</v>
      </c>
      <c r="E5" s="53">
        <v>9.2528100000000002E-2</v>
      </c>
      <c r="F5" s="53">
        <v>0.14723600000000001</v>
      </c>
      <c r="G5" s="53">
        <v>0.14481340000000001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0.51333220751428721</v>
      </c>
      <c r="D8" s="52">
        <f>IFERROR(1-_xlfn.NORM.DIST(_xlfn.NORM.INV(SUM(D10:D11), 0, 1) + 1, 0, 1, TRUE), "")</f>
        <v>0.51333220751428721</v>
      </c>
      <c r="E8" s="52">
        <f>IFERROR(1-_xlfn.NORM.DIST(_xlfn.NORM.INV(SUM(E10:E11), 0, 1) + 1, 0, 1, TRUE), "")</f>
        <v>0.61169227248812275</v>
      </c>
      <c r="F8" s="52">
        <f>IFERROR(1-_xlfn.NORM.DIST(_xlfn.NORM.INV(SUM(F10:F11), 0, 1) + 1, 0, 1, TRUE), "")</f>
        <v>0.70590028663116455</v>
      </c>
      <c r="G8" s="52">
        <f>IFERROR(1-_xlfn.NORM.DIST(_xlfn.NORM.INV(SUM(G10:G11), 0, 1) + 1, 0, 1, TRUE), "")</f>
        <v>0.77885184725139966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0.33596529248571272</v>
      </c>
      <c r="D9" s="52">
        <f>IFERROR(_xlfn.NORM.DIST(_xlfn.NORM.INV(SUM(D10:D11), 0, 1) + 1, 0, 1, TRUE) - SUM(D10:D11), "")</f>
        <v>0.33596529248571272</v>
      </c>
      <c r="E9" s="52">
        <f>IFERROR(_xlfn.NORM.DIST(_xlfn.NORM.INV(SUM(E10:E11), 0, 1) + 1, 0, 1, TRUE) - SUM(E10:E11), "")</f>
        <v>0.28868992751187728</v>
      </c>
      <c r="F9" s="52">
        <f>IFERROR(_xlfn.NORM.DIST(_xlfn.NORM.INV(SUM(F10:F11), 0, 1) + 1, 0, 1, TRUE) - SUM(F10:F11), "")</f>
        <v>0.23249571336883545</v>
      </c>
      <c r="G9" s="52">
        <f>IFERROR(_xlfn.NORM.DIST(_xlfn.NORM.INV(SUM(G10:G11), 0, 1) + 1, 0, 1, TRUE) - SUM(G10:G11), "")</f>
        <v>0.18264455274860028</v>
      </c>
    </row>
    <row r="10" spans="1:15" ht="15.75" customHeight="1" x14ac:dyDescent="0.25">
      <c r="B10" s="5" t="s">
        <v>137</v>
      </c>
      <c r="C10" s="45">
        <v>6.7005099999999998E-2</v>
      </c>
      <c r="D10" s="53">
        <v>6.7005099999999998E-2</v>
      </c>
      <c r="E10" s="53">
        <v>6.6708199999999995E-2</v>
      </c>
      <c r="F10" s="53">
        <v>4.1234899999999998E-2</v>
      </c>
      <c r="G10" s="53">
        <v>2.8616599999999999E-2</v>
      </c>
    </row>
    <row r="11" spans="1:15" ht="15.75" customHeight="1" x14ac:dyDescent="0.25">
      <c r="B11" s="5" t="s">
        <v>138</v>
      </c>
      <c r="C11" s="45">
        <v>8.3697400000000005E-2</v>
      </c>
      <c r="D11" s="53">
        <v>8.3697400000000005E-2</v>
      </c>
      <c r="E11" s="53">
        <v>3.2909599999999997E-2</v>
      </c>
      <c r="F11" s="53">
        <v>2.0369100000000001E-2</v>
      </c>
      <c r="G11" s="53">
        <v>9.887E-3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0.92247155925000002</v>
      </c>
      <c r="D14" s="54">
        <v>0.91737426694000002</v>
      </c>
      <c r="E14" s="54">
        <v>0.91737426694000002</v>
      </c>
      <c r="F14" s="54">
        <v>0.84381044781000003</v>
      </c>
      <c r="G14" s="54">
        <v>0.84381044781000003</v>
      </c>
      <c r="H14" s="45">
        <v>0.32800000000000001</v>
      </c>
      <c r="I14" s="55">
        <v>0.32800000000000001</v>
      </c>
      <c r="J14" s="55">
        <v>0.32800000000000001</v>
      </c>
      <c r="K14" s="55">
        <v>0.32800000000000001</v>
      </c>
      <c r="L14" s="45">
        <v>0.35699999999999998</v>
      </c>
      <c r="M14" s="55">
        <v>0.35699999999999998</v>
      </c>
      <c r="N14" s="55">
        <v>0.35699999999999998</v>
      </c>
      <c r="O14" s="55">
        <v>0.35699999999999998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0.45088933861645208</v>
      </c>
      <c r="D15" s="52">
        <f t="shared" si="0"/>
        <v>0.44839786369200108</v>
      </c>
      <c r="E15" s="52">
        <f t="shared" si="0"/>
        <v>0.44839786369200108</v>
      </c>
      <c r="F15" s="52">
        <f t="shared" si="0"/>
        <v>0.41244104592236314</v>
      </c>
      <c r="G15" s="52">
        <f t="shared" si="0"/>
        <v>0.41244104592236314</v>
      </c>
      <c r="H15" s="52">
        <f t="shared" si="0"/>
        <v>0.16032115200000005</v>
      </c>
      <c r="I15" s="52">
        <f t="shared" si="0"/>
        <v>0.16032115200000005</v>
      </c>
      <c r="J15" s="52">
        <f t="shared" si="0"/>
        <v>0.16032115200000005</v>
      </c>
      <c r="K15" s="52">
        <f t="shared" si="0"/>
        <v>0.16032115200000005</v>
      </c>
      <c r="L15" s="52">
        <f t="shared" si="0"/>
        <v>0.17449588800000004</v>
      </c>
      <c r="M15" s="52">
        <f t="shared" si="0"/>
        <v>0.17449588800000004</v>
      </c>
      <c r="N15" s="52">
        <f t="shared" si="0"/>
        <v>0.17449588800000004</v>
      </c>
      <c r="O15" s="52">
        <f t="shared" si="0"/>
        <v>0.17449588800000004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2UFD12hTKpF3l075KrDTJBAgHvk7pfk21xIh+9+6JUq/woMwsoHJuUZXzAp8+UspF5h7T4HeGvOgQ1Y/TYfSHQ==" saltValue="knVSK8gsVnAX7OIS6F+Bv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0.71490070000000006</v>
      </c>
      <c r="D2" s="53">
        <v>0.43867450000000002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0.15027860000000001</v>
      </c>
      <c r="D3" s="53">
        <v>0.1844066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0.1322034</v>
      </c>
      <c r="D4" s="53">
        <v>0.37343589999999999</v>
      </c>
      <c r="E4" s="53">
        <v>0.98593639999999994</v>
      </c>
      <c r="F4" s="53">
        <v>0.8040503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2.6172999999999336E-3</v>
      </c>
      <c r="D5" s="52">
        <f t="shared" si="0"/>
        <v>3.4829999999999028E-3</v>
      </c>
      <c r="E5" s="52">
        <f>1-SUM(E2:E4)</f>
        <v>1.4063600000000065E-2</v>
      </c>
      <c r="F5" s="52">
        <f>1-SUM(F2:F4)</f>
        <v>0.1959497</v>
      </c>
      <c r="G5" s="52">
        <f>1-SUM(G2:G4)</f>
        <v>1</v>
      </c>
    </row>
  </sheetData>
  <sheetProtection algorithmName="SHA-512" hashValue="Y8xKum3iBDbysAOPumMUWWjKvWMQLB52G+a/Ym8LC1KLW24Xzan/neS5mC/UvST/UCQBrZaAmHPK6LDimeaxqA==" saltValue="5iYx/caaAvRBi3iSTYBzR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pJ/Nw15iuiAu9U55bhLjL48LQgg5d5WQZEWP2oDphMgvFHH2oQBrONsw+eCBbC3dbwvv/AgK3AQAIRlDJftEgA==" saltValue="RBGN7HH+R2DGD5AeUKOcM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3560.1977045768699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0.45343000000000006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0.67799999999999994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1.8544560394586553E-2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97245.943180000002</v>
      </c>
      <c r="C22" s="107">
        <v>97011.314069999993</v>
      </c>
      <c r="D22" s="107">
        <v>96564.284830000004</v>
      </c>
      <c r="E22" s="107">
        <v>96264.243969999996</v>
      </c>
      <c r="F22" s="107">
        <v>95881.619640000004</v>
      </c>
      <c r="G22" s="107">
        <v>95429.46789</v>
      </c>
      <c r="H22" s="107">
        <v>94873.503970000005</v>
      </c>
      <c r="I22" s="107">
        <v>94134.216979999997</v>
      </c>
      <c r="J22" s="107">
        <v>93061.869749999998</v>
      </c>
      <c r="K22" s="107">
        <v>91456.30502</v>
      </c>
      <c r="L22" s="107">
        <v>88958.027109999995</v>
      </c>
      <c r="M22" s="107">
        <v>85154.401190000004</v>
      </c>
      <c r="N22" s="107">
        <v>79288.489449999994</v>
      </c>
      <c r="O22" s="107">
        <v>70676.934229999999</v>
      </c>
    </row>
  </sheetData>
  <sheetProtection algorithmName="SHA-512" hashValue="RoFdjd0YdVYtLQzpNi3tb9EXV/xhUXHmT+HD19TzMX9MgHDBT6R9Wf8+vu8iYTmI/ZOe/ZhhYw1V434nDlsyyg==" saltValue="mzMqJgy5Sq9NksrkZmSvr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K6spzmfGPsYyaJfoTKaNqGnRuTU6FVXYsYUNhuIW4KtQjL+LgXsZ90UnvlUS6Lgg38oC94bbr8EEHmghmvQi3w==" saltValue="a+BINIP49LEZwUh83XsnQ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1j2aAlYHoshFnNb6NhVN8XDQ9elru6tI6scY1mBOxXI3JW5N9AK8uj3qdvzlNHxv3WlMo+K7c2bPaYtG8jwaSA==" saltValue="W2i/3X9pOyaDsLxg4JyjM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17.026484135107474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17.026484135107474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8.0705350947424606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0.48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0.19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0.79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</v>
      </c>
      <c r="C9" s="96">
        <v>0.95</v>
      </c>
      <c r="D9" s="56">
        <v>0.24171699078812695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</v>
      </c>
      <c r="C10" s="96">
        <v>0.95</v>
      </c>
      <c r="D10" s="56">
        <v>12.816498427138701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12.816498427138701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12.816498427138701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12.816498427138701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</v>
      </c>
      <c r="C14" s="96">
        <v>0.95</v>
      </c>
      <c r="D14" s="56">
        <v>12.816498427138701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12.816498427138701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</v>
      </c>
      <c r="C16" s="96">
        <v>0.95</v>
      </c>
      <c r="D16" s="56">
        <v>2.5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</v>
      </c>
      <c r="C17" s="96">
        <v>0.95</v>
      </c>
      <c r="D17" s="56">
        <v>9.7330203637492063E-2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0.43867450000000002</v>
      </c>
      <c r="C18" s="96">
        <v>0.95</v>
      </c>
      <c r="D18" s="56">
        <v>8.0705350947424606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0.43867450000000002</v>
      </c>
      <c r="C19" s="96">
        <v>0.95</v>
      </c>
      <c r="D19" s="56">
        <v>6.4352685672608949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7.48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8.0705350947424606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</v>
      </c>
      <c r="C23" s="96">
        <v>0.95</v>
      </c>
      <c r="D23" s="56">
        <v>4.1570370268154289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0.45138522009439402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</v>
      </c>
      <c r="C26" s="96">
        <v>0.95</v>
      </c>
      <c r="D26" s="56">
        <v>4.7229528222409431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17.846880984952122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0.60908189999999995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0.88700000000000001</v>
      </c>
      <c r="C29" s="96">
        <v>0.95</v>
      </c>
      <c r="D29" s="56">
        <v>93.696773026618672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53.05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4.0000000000000001E-3</v>
      </c>
      <c r="C31" s="96">
        <v>0.95</v>
      </c>
      <c r="D31" s="56">
        <v>175.48809161556471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0.45</v>
      </c>
      <c r="C32" s="96">
        <v>0.95</v>
      </c>
      <c r="D32" s="56">
        <v>0.45463218100922231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0.93204179999999992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0.57459300000000002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0.2315497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0.99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8.1805999999999997E-3</v>
      </c>
      <c r="C38" s="96">
        <v>0.95</v>
      </c>
      <c r="D38" s="56">
        <v>1.6798709086682517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3.43</v>
      </c>
      <c r="E39" s="56" t="s">
        <v>230</v>
      </c>
      <c r="F39" s="96">
        <v>1</v>
      </c>
      <c r="G39" s="96">
        <v>1</v>
      </c>
    </row>
  </sheetData>
  <sheetProtection algorithmName="SHA-512" hashValue="BdLrsVko0HLhegm8hxax61kXrKetj+AAYSmOSStG8KGV4scFqB0vcKGm2pwsAfY3wFpeeY7IqK8ZpfKvFvQktg==" saltValue="QIZTJTu5ebaw1e3+jwzjZ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zF+ENgv0QE/NZ2sd4Yjt13MsREXbFNyyTFha3ReNkratoDnsT7O+qgdutpW7DlzCkeWXQGYSX5eoal/kKh5ozA==" saltValue="b4dYk17GDNMKi2oq68LIh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TYaVYjtnNq9xHKM8lJ/TTSRD+D9Hmte+9qRcFX22rEdZvkSRN/ByGizyQrOitIFXMBDG1ESrREiA9uxbQIhQ3A==" saltValue="DSx6y/V84vG6eS+SvhZtY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2.4</v>
      </c>
      <c r="C2" s="21">
        <f>'Données pop de l''année de ref'!C52</f>
        <v>2.4</v>
      </c>
      <c r="D2" s="21">
        <f>'Données pop de l''année de ref'!C53</f>
        <v>2.4</v>
      </c>
      <c r="E2" s="21">
        <f>'Données pop de l''année de ref'!C54</f>
        <v>2.4</v>
      </c>
      <c r="F2" s="21">
        <f>'Données pop de l''année de ref'!C55</f>
        <v>2.4</v>
      </c>
    </row>
    <row r="3" spans="1:6" ht="15.75" customHeight="1" x14ac:dyDescent="0.25">
      <c r="A3" s="3" t="s">
        <v>238</v>
      </c>
      <c r="B3" s="21">
        <f>frac_mam_1month * 2.6</f>
        <v>0.17421326000000001</v>
      </c>
      <c r="C3" s="21">
        <f>frac_mam_1_5months * 2.6</f>
        <v>0.17421326000000001</v>
      </c>
      <c r="D3" s="21">
        <f>frac_mam_6_11months * 2.6</f>
        <v>0.17344131999999998</v>
      </c>
      <c r="E3" s="21">
        <f>frac_mam_12_23months * 2.6</f>
        <v>0.10721074</v>
      </c>
      <c r="F3" s="21">
        <f>frac_mam_24_59months * 2.6</f>
        <v>7.4403159999999996E-2</v>
      </c>
    </row>
    <row r="4" spans="1:6" ht="15.75" customHeight="1" x14ac:dyDescent="0.25">
      <c r="A4" s="3" t="s">
        <v>237</v>
      </c>
      <c r="B4" s="21">
        <f>frac_sam_1month * 2.6</f>
        <v>0.21761324000000001</v>
      </c>
      <c r="C4" s="21">
        <f>frac_sam_1_5months * 2.6</f>
        <v>0.21761324000000001</v>
      </c>
      <c r="D4" s="21">
        <f>frac_sam_6_11months * 2.6</f>
        <v>8.5564959999999995E-2</v>
      </c>
      <c r="E4" s="21">
        <f>frac_sam_12_23months * 2.6</f>
        <v>5.2959660000000006E-2</v>
      </c>
      <c r="F4" s="21">
        <f>frac_sam_24_59months * 2.6</f>
        <v>2.5706200000000002E-2</v>
      </c>
    </row>
  </sheetData>
  <sheetProtection algorithmName="SHA-512" hashValue="yGAjNIVwJfQg3kRbVVfRemnLoB4zvHPXoy7dJWdm06aNy8Z91Pd92St1szH2SPwX6V7VxPGxV9rG4T+2wGqdAQ==" saltValue="2OsT1nI3DN2LhIWSV4M4/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1.4999999999999999E-2</v>
      </c>
      <c r="F2" s="60">
        <f>food_insecure</f>
        <v>1.4999999999999999E-2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1.4999999999999999E-2</v>
      </c>
      <c r="F5" s="60">
        <f>food_insecure</f>
        <v>1.4999999999999999E-2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5.2000000000000011E-2</v>
      </c>
      <c r="D7" s="60">
        <f>diarrhoea_1_5mo*frac_diarrhea_severe</f>
        <v>5.2000000000000011E-2</v>
      </c>
      <c r="E7" s="60">
        <f>diarrhoea_6_11mo*frac_diarrhea_severe</f>
        <v>5.2000000000000011E-2</v>
      </c>
      <c r="F7" s="60">
        <f>diarrhoea_12_23mo*frac_diarrhea_severe</f>
        <v>5.2000000000000011E-2</v>
      </c>
      <c r="G7" s="60">
        <f>diarrhoea_24_59mo*frac_diarrhea_severe</f>
        <v>5.2000000000000011E-2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1.4999999999999999E-2</v>
      </c>
      <c r="F8" s="60">
        <f>food_insecure</f>
        <v>1.4999999999999999E-2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1.4999999999999999E-2</v>
      </c>
      <c r="F9" s="60">
        <f>food_insecure</f>
        <v>1.4999999999999999E-2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5.2000000000000011E-2</v>
      </c>
      <c r="D12" s="60">
        <f>diarrhoea_1_5mo*frac_diarrhea_severe</f>
        <v>5.2000000000000011E-2</v>
      </c>
      <c r="E12" s="60">
        <f>diarrhoea_6_11mo*frac_diarrhea_severe</f>
        <v>5.2000000000000011E-2</v>
      </c>
      <c r="F12" s="60">
        <f>diarrhoea_12_23mo*frac_diarrhea_severe</f>
        <v>5.2000000000000011E-2</v>
      </c>
      <c r="G12" s="60">
        <f>diarrhoea_24_59mo*frac_diarrhea_severe</f>
        <v>5.2000000000000011E-2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1.4999999999999999E-2</v>
      </c>
      <c r="I15" s="60">
        <f t="shared" si="0"/>
        <v>1.4999999999999999E-2</v>
      </c>
      <c r="J15" s="60">
        <f t="shared" si="0"/>
        <v>1.4999999999999999E-2</v>
      </c>
      <c r="K15" s="60">
        <f t="shared" si="0"/>
        <v>1.4999999999999999E-2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1.4999999999999999E-2</v>
      </c>
      <c r="I16" s="60">
        <f t="shared" si="0"/>
        <v>1.4999999999999999E-2</v>
      </c>
      <c r="J16" s="60">
        <f t="shared" si="0"/>
        <v>1.4999999999999999E-2</v>
      </c>
      <c r="K16" s="60">
        <f t="shared" si="0"/>
        <v>1.4999999999999999E-2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0.154</v>
      </c>
      <c r="M24" s="60">
        <f>famplan_unmet_need</f>
        <v>0.154</v>
      </c>
      <c r="N24" s="60">
        <f>famplan_unmet_need</f>
        <v>0.154</v>
      </c>
      <c r="O24" s="60">
        <f>famplan_unmet_need</f>
        <v>0.154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0.14357459206771836</v>
      </c>
      <c r="M25" s="60">
        <f>(1-food_insecure)*(0.49)+food_insecure*(0.7)</f>
        <v>0.49314999999999998</v>
      </c>
      <c r="N25" s="60">
        <f>(1-food_insecure)*(0.49)+food_insecure*(0.7)</f>
        <v>0.49314999999999998</v>
      </c>
      <c r="O25" s="60">
        <f>(1-food_insecure)*(0.49)+food_insecure*(0.7)</f>
        <v>0.49314999999999998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6.1531968029022159E-2</v>
      </c>
      <c r="M26" s="60">
        <f>(1-food_insecure)*(0.21)+food_insecure*(0.3)</f>
        <v>0.21134999999999998</v>
      </c>
      <c r="N26" s="60">
        <f>(1-food_insecure)*(0.21)+food_insecure*(0.3)</f>
        <v>0.21134999999999998</v>
      </c>
      <c r="O26" s="60">
        <f>(1-food_insecure)*(0.21)+food_insecure*(0.3)</f>
        <v>0.21134999999999998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8.6031211509704511E-2</v>
      </c>
      <c r="M27" s="60">
        <f>(1-food_insecure)*(0.3)</f>
        <v>0.29549999999999998</v>
      </c>
      <c r="N27" s="60">
        <f>(1-food_insecure)*(0.3)</f>
        <v>0.29549999999999998</v>
      </c>
      <c r="O27" s="60">
        <f>(1-food_insecure)*(0.3)</f>
        <v>0.29549999999999998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0.70886222839355495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yb7Vj7eVqGfwfdXZWR50EGurPBzNzOSy6ZpKgjN/VVqEXwxegxkmX4qqLWdmLFi+q/Y6C8rFi+WCWmUo9SGZFg==" saltValue="C8EkaJP2/V8Ag+GLy55oz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qtPYDFX6B7Oq8HXfPS2p7dzoGNfVMwOSeHl2z9WBqJEiQarID/jxLjvSgIeAUDcH//61xymJifREF16YZjt8LA==" saltValue="e0g8YvSUrl9Kl1f3TAuwt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BvYA6qxPE9He1Y27wVGHAslbZSQtS7XVYZ4PkGb2VlR4Isf9GHsV7f4taje7mj9TRxy4xYz/kl6qYncreoMHcg==" saltValue="FuwmvmNwrwLARvQpzyaO0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FQgZh+gu7R9iXG8Rp9RChEogBBxAtbf5SUUtYHIXyF6ChuX8UFc8IR1eghpzckJFzpQbj4y4Y/eUBi8kONoeww==" saltValue="T6JxTY/9cXx8FmW2udzy1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8RCO0tSrRIOAXMijIcPaJu1mye1fLIZCyVcg0n8ruBNARx8KdUoR92o9cFT3uUzX7h2og1SZrY+Z7uj/OLWhdA==" saltValue="6tQCTObeLWvFeaY+R8ReP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iJPFqh1RG3WJzOjj10zJM3wF114ye5kZ9iw+pKoFbrbCQpmrg/fpzGk4WpPm3eY3m6TThLiMRU46PaEQRn9gBw==" saltValue="zi/1xPm67nq1DoNfFanb/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y6zYAtdL68km3Y15EKLZOEHYkvxEyQBC6sx29+qwSxuhCoTBCXf/58Mm7iwRv8C0SCcVI6AxyMRd5gJR32Q/Ow==" saltValue="eEhNA7ClI681R2DkMBnP9w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oGOfd2TmwSNTiQFZ7DU8sitck7cfEsF5NCyg+UmH6ZYvItyvXxTuSYfoBHVE83vOLWSYjGuLSUMONf9MpaNQEA==" saltValue="qi2oVR2pwUcHoDe21m79i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ag7c4v4pWZA3lCmDMWWjwfey58NQus1cwl1ySx85WD9ni0FWt3qn+ZbRolaDc53c9uENnabNv6GiuE99Njwq3w==" saltValue="3ezhWlGv9b+uV1R7rRt4J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ciaJ01+kD2Q9Y0hPeWArsqdnkmfqKkFyMUwk90PrOahHOd9iPIaKcSHfZA7uiKxywue9reJOaThQS2CKYHvvdw==" saltValue="Vxk/Nwt8sql+fPbf0Knsf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pOmSeQ0jDqfDARHcWSpBWMprXe/5jUhq3DgXd4iTv0YLAOXW7C1URshhazFxxe14JUwYloIF3o9aoIIi7h8rJQ==" saltValue="+mmSpUIa3whAFaF12xmwk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bY4CLz9jK9BKaMxZN2FxQSTm8Ndv5GJZhCv1DzB+XH0tBj8WVP2i+FKSN0gBFbxqRhFZYhpV3IOlQPww96XsIA==" saltValue="+c3yl30Z2cyeOeql7Fsnm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CRSskdR5MQ1k72yDNNBBgubkBa5fsv7vmP6dcnfDFtjqikSTmH0LmccDjxDsmVptWBgo4Jt6gIkh2LHZxPiRuQ==" saltValue="9ImnoIShUcLxsaONXkcu3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YBAV+JYJb6QCeXV0S4rXfyHWBaFNAcSRmRJylVWRl4KbiL2AV/MJ0n5xQI1aZQQBb2wvQB2mWg3jXoW0+ILb3A==" saltValue="h6QqrCSZWwOC5Abkkf66r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eD1VjlPjAG+TBmaRF47PNaS0lHtK4Ke+qXW6y9cqVK1pSSMm2DvW7Mr3HPrI8+Thgl7phXrawmU8WspF113vkQ==" saltValue="8pwo7s+IpCROiCf4QFEALA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2025-07-30T01:56:18Z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