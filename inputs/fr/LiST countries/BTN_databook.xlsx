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C5D42B6-A035-47DE-AD35-9163CE2E76D2}" xr6:coauthVersionLast="47" xr6:coauthVersionMax="47" xr10:uidLastSave="{00000000-0000-0000-0000-000000000000}"/>
  <bookViews>
    <workbookView xWindow="20" yWindow="38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32" i="2"/>
  <c r="A31" i="2"/>
  <c r="A29" i="2"/>
  <c r="A27" i="2"/>
  <c r="A26" i="2"/>
  <c r="A25" i="2"/>
  <c r="A24" i="2"/>
  <c r="A21" i="2"/>
  <c r="A19" i="2"/>
  <c r="A18" i="2"/>
  <c r="A17" i="2"/>
  <c r="A16" i="2"/>
  <c r="A15" i="2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5" i="2" l="1"/>
  <c r="I9" i="2"/>
  <c r="I13" i="2"/>
  <c r="A23" i="2"/>
  <c r="A33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<sst xmlns="http://schemas.openxmlformats.org/spreadsheetml/2006/main" count="2101" uniqueCount="337">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</sst>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47236.17578125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0.70886222839355495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7.22E-2</v>
      </c>
    </row>
    <row r="24" spans="1:3" ht="15" customHeight="1" x14ac:dyDescent="0.25">
      <c r="B24" s="15" t="s">
        <v>33</v>
      </c>
      <c r="C24" s="45">
        <v>0.55390000000000006</v>
      </c>
    </row>
    <row r="25" spans="1:3" ht="15" customHeight="1" x14ac:dyDescent="0.25">
      <c r="B25" s="15" t="s">
        <v>34</v>
      </c>
      <c r="C25" s="45">
        <v>0.31580000000000003</v>
      </c>
    </row>
    <row r="26" spans="1:3" ht="15" customHeight="1" x14ac:dyDescent="0.25">
      <c r="B26" s="15" t="s">
        <v>35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0.41227810089419697</v>
      </c>
    </row>
    <row r="30" spans="1:3" ht="14.25" customHeight="1" x14ac:dyDescent="0.25">
      <c r="B30" s="25" t="s">
        <v>38</v>
      </c>
      <c r="C30" s="99">
        <v>4.1696555750580601E-2</v>
      </c>
    </row>
    <row r="31" spans="1:3" ht="14.25" customHeight="1" x14ac:dyDescent="0.25">
      <c r="B31" s="25" t="s">
        <v>39</v>
      </c>
      <c r="C31" s="99">
        <v>7.5022305717839008E-2</v>
      </c>
    </row>
    <row r="32" spans="1:3" ht="14.25" customHeight="1" x14ac:dyDescent="0.25">
      <c r="B32" s="25" t="s">
        <v>40</v>
      </c>
      <c r="C32" s="99">
        <v>0.47100303763738299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14.832380000000001</v>
      </c>
    </row>
    <row r="38" spans="1:5" ht="15" customHeight="1" x14ac:dyDescent="0.25">
      <c r="B38" s="11" t="s">
        <v>45</v>
      </c>
      <c r="C38" s="43">
        <v>22.452369999999998</v>
      </c>
      <c r="D38" s="12"/>
      <c r="E38" s="13"/>
    </row>
    <row r="39" spans="1:5" ht="15" customHeight="1" x14ac:dyDescent="0.25">
      <c r="B39" s="11" t="s">
        <v>46</v>
      </c>
      <c r="C39" s="43">
        <v>26.68741</v>
      </c>
      <c r="D39" s="12"/>
      <c r="E39" s="12"/>
    </row>
    <row r="40" spans="1:5" ht="15" customHeight="1" x14ac:dyDescent="0.25">
      <c r="B40" s="11" t="s">
        <v>47</v>
      </c>
      <c r="C40" s="100">
        <v>0.6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1.7845300000000001E-2</v>
      </c>
      <c r="D45" s="12"/>
    </row>
    <row r="46" spans="1:5" ht="15.75" customHeight="1" x14ac:dyDescent="0.25">
      <c r="B46" s="11" t="s">
        <v>52</v>
      </c>
      <c r="C46" s="45">
        <v>0.1060015</v>
      </c>
      <c r="D46" s="12"/>
    </row>
    <row r="47" spans="1:5" ht="15.75" customHeight="1" x14ac:dyDescent="0.25">
      <c r="B47" s="11" t="s">
        <v>53</v>
      </c>
      <c r="C47" s="45">
        <v>0.40820650000000003</v>
      </c>
      <c r="D47" s="12"/>
      <c r="E47" s="13"/>
    </row>
    <row r="48" spans="1:5" ht="15" customHeight="1" x14ac:dyDescent="0.25">
      <c r="B48" s="11" t="s">
        <v>54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0.48878400000000011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0.11662965</v>
      </c>
    </row>
    <row r="63" spans="1:4" ht="15.75" customHeight="1" x14ac:dyDescent="0.3">
      <c r="A63" s="4"/>
    </row>
  </sheetData>
  <sheetProtection algorithmName="SHA-512" hashValue="VooniA6PZxbl2G1KNFVig7qV6IqSGQMNhBxQeJShArlSqRUmGkS1x6IV+noTqK7VAJ+BC27FNFi3/y55ZCvKXQ==" saltValue="UP74hrKdg8Fco+coEVjX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n0MPe9lzVLw+fYXV7sCZrHlihH1/ay8wp0cRUtEF2qxEr88oAr7enTi0SmvnyneiNlcHXqAveFvhaHFmZjzfw==" saltValue="Nw7U4gvUObgCJ4EDpzyu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8.1525008152500862E-3</v>
      </c>
    </row>
    <row r="4" spans="1:8" ht="15.75" customHeight="1" x14ac:dyDescent="0.25">
      <c r="B4" s="19" t="s">
        <v>79</v>
      </c>
      <c r="C4" s="101">
        <v>4.5061404506140379E-2</v>
      </c>
    </row>
    <row r="5" spans="1:8" ht="15.75" customHeight="1" x14ac:dyDescent="0.25">
      <c r="B5" s="19" t="s">
        <v>80</v>
      </c>
      <c r="C5" s="101">
        <v>4.9024504902450451E-2</v>
      </c>
    </row>
    <row r="6" spans="1:8" ht="15.75" customHeight="1" x14ac:dyDescent="0.25">
      <c r="B6" s="19" t="s">
        <v>81</v>
      </c>
      <c r="C6" s="101">
        <v>0.2038836203883623</v>
      </c>
    </row>
    <row r="7" spans="1:8" ht="15.75" customHeight="1" x14ac:dyDescent="0.25">
      <c r="B7" s="19" t="s">
        <v>82</v>
      </c>
      <c r="C7" s="101">
        <v>0.43088424308842432</v>
      </c>
    </row>
    <row r="8" spans="1:8" ht="15.75" customHeight="1" x14ac:dyDescent="0.25">
      <c r="B8" s="19" t="s">
        <v>83</v>
      </c>
      <c r="C8" s="101">
        <v>8.3170008317000766E-4</v>
      </c>
    </row>
    <row r="9" spans="1:8" ht="15.75" customHeight="1" x14ac:dyDescent="0.25">
      <c r="B9" s="19" t="s">
        <v>84</v>
      </c>
      <c r="C9" s="101">
        <v>0.14651341465134141</v>
      </c>
    </row>
    <row r="10" spans="1:8" ht="15.75" customHeight="1" x14ac:dyDescent="0.25">
      <c r="B10" s="19" t="s">
        <v>85</v>
      </c>
      <c r="C10" s="101">
        <v>0.1156486115648612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88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89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90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93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94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95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2.0391851999999999E-2</v>
      </c>
    </row>
    <row r="27" spans="1:8" ht="15.75" customHeight="1" x14ac:dyDescent="0.25">
      <c r="B27" s="19" t="s">
        <v>102</v>
      </c>
      <c r="C27" s="101">
        <v>1.2112826E-2</v>
      </c>
    </row>
    <row r="28" spans="1:8" ht="15.75" customHeight="1" x14ac:dyDescent="0.25">
      <c r="B28" s="19" t="s">
        <v>103</v>
      </c>
      <c r="C28" s="101">
        <v>0.20645870999999999</v>
      </c>
    </row>
    <row r="29" spans="1:8" ht="15.75" customHeight="1" x14ac:dyDescent="0.25">
      <c r="B29" s="19" t="s">
        <v>104</v>
      </c>
      <c r="C29" s="101">
        <v>0.14582909399999999</v>
      </c>
    </row>
    <row r="30" spans="1:8" ht="15.75" customHeight="1" x14ac:dyDescent="0.25">
      <c r="B30" s="19" t="s">
        <v>2</v>
      </c>
      <c r="C30" s="101">
        <v>4.8967666E-2</v>
      </c>
    </row>
    <row r="31" spans="1:8" ht="15.75" customHeight="1" x14ac:dyDescent="0.25">
      <c r="B31" s="19" t="s">
        <v>105</v>
      </c>
      <c r="C31" s="101">
        <v>9.2788695000000004E-2</v>
      </c>
    </row>
    <row r="32" spans="1:8" ht="15.75" customHeight="1" x14ac:dyDescent="0.25">
      <c r="B32" s="19" t="s">
        <v>106</v>
      </c>
      <c r="C32" s="101">
        <v>1.0910125E-2</v>
      </c>
    </row>
    <row r="33" spans="2:3" ht="15.75" customHeight="1" x14ac:dyDescent="0.25">
      <c r="B33" s="19" t="s">
        <v>107</v>
      </c>
      <c r="C33" s="101">
        <v>0.3714693</v>
      </c>
    </row>
    <row r="34" spans="2:3" ht="15.75" customHeight="1" x14ac:dyDescent="0.25">
      <c r="B34" s="19" t="s">
        <v>108</v>
      </c>
      <c r="C34" s="101">
        <v>9.1071732999999988E-2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/k4+HeVFwWCUhBKoAuD0NRHyhBJpJfD/oTomsjhQOXsO77rWLbO2PQ4b+3USASy1NZoI0mIiq617acmVJXY1Eg==" saltValue="wbw9iQFR6OfJmEihgPsB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114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115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119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120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Z4pG6qpATQdOWze3iyXLoOTwplXEeEqxB4IhR5lc4ZcoeNvWx6GVoyIZ44e7LmU+VgaHB91PgV1jwqTZul2IQ==" saltValue="SxD8DwB897jFmu+vxVJr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132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71WFkKiDaahjZzltJMqeeOv4ivZJx5Z4nA+7CM7GsYxIfiLUXlLmMNF4UI1g94RfDCX/o5xk4XHQ214fcMrVEw==" saltValue="uGyKneVQCwqPpFtSAnFs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+eF8mbQEi9jWDQcs5fgsWS6hsl4vN9IciXlBkYslHVrp2dvOJrIjnpeN3/PMKYxj9Xq60l5Bb1tGU0iiTx1Bg==" saltValue="zVp7hiGHrRdp30A81RzG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dFaxv0TqsjivPcldJ9Hkv/5f5uqxSgNE9g6oPjxPRvJROA0HMd7mQOecbzQahje/oyrq0ZSolFCOVS2vnf2ZYA==" saltValue="u2JgRmFQIOfYa51SSHMX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E8At8gL60kuVy5XEEq3kCf9IBuT84A2IIaw66EFxkEskuD1CIYlHE2QRqJYI5O0bVSzOGUXEo+64Mm+/uPqzg==" saltValue="BZuwloDP2ZF5ierAfdVG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EOswsuOVfyFnJXTkTaKEEwWfDC8qiyuE42SarxtQcD170u/nBaHsLXwCwH3xA0HkK06tZWK7NJbMbUX9xZvp+Q==" saltValue="TgaTocyB9bwU2XxQUFn9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49.287869290922437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39.684198983342803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277.35471353022348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1.234217173806571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12.816498427138701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12.816498427138701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12.816498427138701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12.816498427138701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12.816498427138701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12.816498427138701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0.52326422703405329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0.43867450000000002</v>
      </c>
      <c r="C18" s="98">
        <v>0.95</v>
      </c>
      <c r="D18" s="56">
        <v>6.4352685672608949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0.43867450000000002</v>
      </c>
      <c r="C19" s="98">
        <v>0.95</v>
      </c>
      <c r="D19" s="56">
        <v>6.4352685672608949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11.985155491425511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22.014584291522841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4.1570370268154289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0.45138522009439402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18.471268288136731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0.60908189999999995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0.88700000000000001</v>
      </c>
      <c r="C29" s="98">
        <v>0.95</v>
      </c>
      <c r="D29" s="56">
        <v>93.696773026618672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1.5479984877076829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0.45</v>
      </c>
      <c r="C32" s="98">
        <v>0.95</v>
      </c>
      <c r="D32" s="56">
        <v>1.1034095765662739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0.93204179999999992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0.57459300000000002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0.2315497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8.1805999999999997E-3</v>
      </c>
      <c r="C38" s="98">
        <v>0.95</v>
      </c>
      <c r="D38" s="56">
        <v>2.4706285348208592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LjDz1WpGmy44OSoWLGN/JE5PvjKN3KZbwU7tMhE0GMW2DjzdGztuBKv6IxZTOCnJL0R+ahq3sEB1ykE1KpMlw==" saltValue="jHx66/piJxWuLlKYOTk0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O6PuH2H73O7PwKzfVRIJuoPRnMakSM2O82XbYZFdol/xig8oEZYyV7qrfZFiPZZB5LhYDE3wO9Ivryp8OUHpcA==" saltValue="wRIYBghoD43YENisqNnT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ILl0/cl8DiZo12Jwdimt6kSi24HyHpJogp21XjzUi1lbBOLQaNgFMpAm4BKdVMTe2u3JCBlNBfXZVIYlqu33+A==" saltValue="85cQA0knDDKjTTNo7cev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208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6QGTrNI6la46ZQZ5BavL8UFTkgDAJEH8jjIx+yoVkB/8bxbuw1V1ETtQ03+vjhxjVQCIEJ94BVfEGLlWq6oDZA==" saltValue="X1KtrDG6R4MTlm1PeqkU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jsNLfd69s6RzEqXcjFoMXDJimhZ36mqoDLBeJDmeqwn5UjfP33TfQKlS0A+oFQ3JnhjGK7kXkwGKqduk/JUJg==" saltValue="/F705GbXpAfofOpCFYZK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KpZ1+N9cnV/nH3Un2kxviR43wV8L70UIlWc5Bv0XpXnzEeNsbuXxW7aYly8S7WtKmuWvnv78vPKO+3fFbDXiA==" saltValue="h1gu9Bs5CofoCrEQNuZj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iY29zl+MqBbX7ODuq2beXUVWDR/x35y9v78lf6+lUQZFdWx0Dw/iml9riM7yuzFeesmZrPnOhatkA2wqn757A==" saltValue="jnKbuiPAjzW6kNdPazif/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mT6Pw1LwENPpmp4OCUP2yga52einhl9rouVCXCsb+gHGzNdDNk3oKO+zFZ724ybtvUqMeuN2UhiUpaEpQkY2A==" saltValue="bFfh1651bzX6EoxjCieB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oo5njzs6uwVaaQbJsSxqK1P+Ba/sQ0Uduy9gu3Hu5+t1ObYoPp2Db4TDnDkmX5zyMsPik0lat+/CAGYVASf0A==" saltValue="rd30PS++zIQEg9hjxF3A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ZHjiHDB0y3etMpY5CNkZL784NWuith53PXKEylINzUBQNA4DCyWecxTWa6EhjxRr60T0yhZXgPg8uic3KH8tA==" saltValue="17gQCG7SmnSYx3VGsOEZ8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6N4RdJcVNp/yNkWyG5pi/V52uKN7bw1wjTLWpAT5XZyy7UIYiRDLb8U2aSDVPwXb1pUTPe1dL3TQqG4JClXdg==" saltValue="haYg70xxWhMg9NU1YUhst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zwqRHNiPhacwI8EJh2Ite6Vd14QO1FMsQyxidWUDyjt9oPyvTuzT5RW8wbFRVi0puvX/Agwky9IHpcGX0fk9g==" saltValue="GyjLJIa8Jk4gs20P8IHz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JAuRwcprh9kHXblKfR0nEw6iE2OqrHixxXRrJD40MENyQ9+EzGjRtuI0C9QhDYHOB8berzYxem7WnQFvENqHQ==" saltValue="dJmn4KmilYAwM/eBB5Zj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aQ93K38Vj+sFP7X00oWL6DECo6qXyrfPKspRddzDE1yf+6tCfTRldQ4t0fN7YEu6LQVrknYV32tM/OlKoRuow==" saltValue="zzOcAnkQQiVsG2DobK0X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/qCCJtfv3EXz/+bELC0si3k+A0hzB779LFcQWlk1N2LJpQbON9TMbTKnHhAG3D+ciofRt8VhCRRsz0kTYjtow==" saltValue="zlA2FJrMUnjPoJ6jrRjl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Ohh4ixBXssf65N/tHsUA/L1PpZWUGUCVIp4yOi561dlpMp+ZgJgK8CufF2O+DMQPUu5eqhbXPmebyFgI3+9pQ==" saltValue="f3OF3UnmFUooBGbYMUfJ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6waOkKW9g31pF5QMqA7pAziTn3nx35ubVdBGgM5nVOG2lQIDCPCstenGipz++CBUol1GBYbrXnJhhhrd0uSaQ==" saltValue="ueRuVwJP2ialTnhMaUlb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0.10676644450803996</v>
      </c>
      <c r="G18" s="90">
        <f>MIN(MAX(1-0.89/(1-frac_sam_12_23months+(frac_sam_12_23months*0.89)),0),1)</f>
        <v>0.10800138701574891</v>
      </c>
      <c r="H18" s="90">
        <f>MIN(MAX(1-0.89/(1-frac_sam_24_59months+(frac_sam_24_59months*0.89)),0),1)</f>
        <v>0.10903100885429973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0.10342099109741576</v>
      </c>
      <c r="G20" s="90">
        <f>MIN(MAX(1-0.89/(1-frac_mam_12_23months+(frac_mam_12_23months*0.89)),0),1)</f>
        <v>0.10594470914357712</v>
      </c>
      <c r="H20" s="90">
        <f>MIN(MAX(1-0.89/(1-frac_mam_24_59months+(frac_mam_24_59months*0.89)),0),1)</f>
        <v>0.10718958817257895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9.6740877035669248E-3</v>
      </c>
      <c r="G73" s="90">
        <f>MIN(MAX(1-0.99/(1-frac_sam_12_23months+(frac_sam_12_23months*0.99)),0),1)</f>
        <v>9.7983048265083417E-3</v>
      </c>
      <c r="H73" s="90">
        <f>MIN(MAX(1-0.99/(1-frac_sam_24_59months+(frac_sam_24_59months*0.99)),0),1)</f>
        <v>9.9021090215190011E-3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9.3391479775111197E-3</v>
      </c>
      <c r="G75" s="90">
        <f>MIN(MAX(1-0.99/(1-frac_mam_12_23months+(frac_mam_12_23months*0.99)),0),1)</f>
        <v>9.5916060891793054E-3</v>
      </c>
      <c r="H75" s="90">
        <f>MIN(MAX(1-0.99/(1-frac_mam_24_59months+(frac_mam_24_59months*0.99)),0),1)</f>
        <v>9.7166145647236135E-3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0.19469957704011176</v>
      </c>
      <c r="G128" s="90">
        <f>MIN(MAX(1-0.8/(1-frac_sam_12_23months+(frac_sam_12_23months*0.8)),0),1)</f>
        <v>0.19672761288391871</v>
      </c>
      <c r="H128" s="90">
        <f>MIN(MAX(1-0.8/(1-frac_sam_24_59months+(frac_sam_24_59months*0.8)),0),1)</f>
        <v>0.19841494571365415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0.18918236298124502</v>
      </c>
      <c r="G130" s="90">
        <f>MIN(MAX(1-0.8/(1-frac_mam_12_23months+(frac_mam_12_23months*0.8)),0),1)</f>
        <v>0.19334755340598808</v>
      </c>
      <c r="H130" s="90">
        <f>MIN(MAX(1-0.8/(1-frac_mam_24_59months+(frac_mam_24_59months*0.8)),0),1)</f>
        <v>0.19539498804296607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P0Bafgl52dpL7btJsP1XNpQxuAAQlw9MWiWUN1R5nx0AteWUPcfBh2UXZnU0Y7fkSQ5LIDX6+OicCyqqCgdxA==" saltValue="T/AZMYXUCu1dTIDHP2mY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lFYcFH/RPWF1lDymxcZeKyFOn1uGoDFXxAk2PCOGMpXiws42pi6Z1Rv14JgW2L9GBdL9om8CQszoH6Hg5Ha6A==" saltValue="CK6+5YIkTGc6EXxhRShw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2024-08-06T08:49:39Z</dcterms:modified>
</cp:coreProperties>
</file>