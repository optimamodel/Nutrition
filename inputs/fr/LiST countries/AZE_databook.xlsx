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384BB95-5A02-4236-A961-53D88A6FB67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36" i="2"/>
  <c r="A37" i="2"/>
  <c r="I4" i="2"/>
  <c r="I8" i="2"/>
  <c r="I12" i="2"/>
  <c r="A26" i="2"/>
  <c r="I39" i="2"/>
  <c r="A25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<sst xmlns="http://schemas.openxmlformats.org/spreadsheetml/2006/main" count="2169" uniqueCount="369">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</sst>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630394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0.91188728330000002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0.1489</v>
      </c>
    </row>
    <row r="24" spans="1:3" ht="15" customHeight="1" x14ac:dyDescent="0.25">
      <c r="B24" s="15" t="s">
        <v>51</v>
      </c>
      <c r="C24" s="45">
        <v>0.65529999999999999</v>
      </c>
    </row>
    <row r="25" spans="1:3" ht="15" customHeight="1" x14ac:dyDescent="0.25">
      <c r="B25" s="15" t="s">
        <v>52</v>
      </c>
      <c r="C25" s="45">
        <v>0.1857</v>
      </c>
    </row>
    <row r="26" spans="1:3" ht="15" customHeight="1" x14ac:dyDescent="0.25">
      <c r="B26" s="15" t="s">
        <v>53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0.43972863237246501</v>
      </c>
    </row>
    <row r="30" spans="1:3" ht="14.25" customHeight="1" x14ac:dyDescent="0.25">
      <c r="B30" s="25" t="s">
        <v>56</v>
      </c>
      <c r="C30" s="97">
        <v>0.10181424433873699</v>
      </c>
    </row>
    <row r="31" spans="1:3" ht="14.25" customHeight="1" x14ac:dyDescent="0.25">
      <c r="B31" s="25" t="s">
        <v>57</v>
      </c>
      <c r="C31" s="97">
        <v>9.9255704226601515E-2</v>
      </c>
    </row>
    <row r="32" spans="1:3" ht="14.25" customHeight="1" x14ac:dyDescent="0.25">
      <c r="B32" s="25" t="s">
        <v>58</v>
      </c>
      <c r="C32" s="97">
        <v>0.35920141906219599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9.5091000000000001</v>
      </c>
    </row>
    <row r="38" spans="1:5" ht="15" customHeight="1" x14ac:dyDescent="0.25">
      <c r="B38" s="11" t="s">
        <v>63</v>
      </c>
      <c r="C38" s="43">
        <v>16.60615</v>
      </c>
      <c r="D38" s="12"/>
      <c r="E38" s="13"/>
    </row>
    <row r="39" spans="1:5" ht="15" customHeight="1" x14ac:dyDescent="0.25">
      <c r="B39" s="11" t="s">
        <v>64</v>
      </c>
      <c r="C39" s="43">
        <v>18.586200000000002</v>
      </c>
      <c r="D39" s="12"/>
      <c r="E39" s="12"/>
    </row>
    <row r="40" spans="1:5" ht="15" customHeight="1" x14ac:dyDescent="0.25">
      <c r="B40" s="11" t="s">
        <v>65</v>
      </c>
      <c r="C40" s="98">
        <v>0.41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7.5017E-3</v>
      </c>
      <c r="D45" s="12"/>
    </row>
    <row r="46" spans="1:5" ht="15.75" customHeight="1" x14ac:dyDescent="0.25">
      <c r="B46" s="11" t="s">
        <v>70</v>
      </c>
      <c r="C46" s="45">
        <v>8.0604700000000001E-2</v>
      </c>
      <c r="D46" s="12"/>
    </row>
    <row r="47" spans="1:5" ht="15.75" customHeight="1" x14ac:dyDescent="0.25">
      <c r="B47" s="11" t="s">
        <v>71</v>
      </c>
      <c r="C47" s="45">
        <v>7.3866899999999999E-2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0.57557999999999998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eDu9UcHD1y833iz09qHnX101n7R83knCSKPHr0SWviGduQNUvydWBMy/uXQzrhUdW+s1876MsGDRmWnF0TBd+g==" saltValue="3ULZwAN1nK0v09PgS14O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121322</v>
      </c>
      <c r="C2" s="49">
        <v>359811.5</v>
      </c>
      <c r="D2" s="49">
        <v>685975</v>
      </c>
      <c r="E2" s="49">
        <v>952964</v>
      </c>
      <c r="F2" s="49">
        <v>721994.5</v>
      </c>
      <c r="G2" s="17">
        <f t="shared" ref="G2:G13" si="0">C2+D2+E2+F2</f>
        <v>2720745</v>
      </c>
      <c r="H2" s="17">
        <f t="shared" ref="H2:H13" si="1">(B2 + stillbirth*B2/(1000-stillbirth))/(1-abortion)</f>
        <v>139077.71126930098</v>
      </c>
      <c r="I2" s="17">
        <f t="shared" ref="I2:I13" si="2">G2-H2</f>
        <v>2581667.2887306991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120097</v>
      </c>
      <c r="C3" s="50">
        <v>375047.5</v>
      </c>
      <c r="D3" s="50">
        <v>669610.5</v>
      </c>
      <c r="E3" s="50">
        <v>949094</v>
      </c>
      <c r="F3" s="50">
        <v>746582</v>
      </c>
      <c r="G3" s="17">
        <f t="shared" si="0"/>
        <v>2740334</v>
      </c>
      <c r="H3" s="17">
        <f t="shared" si="1"/>
        <v>137673.4301306378</v>
      </c>
      <c r="I3" s="17">
        <f t="shared" si="2"/>
        <v>2602660.5698693623</v>
      </c>
    </row>
    <row r="4" spans="1:9" ht="15.75" customHeight="1" x14ac:dyDescent="0.25">
      <c r="A4" s="5">
        <f t="shared" si="3"/>
        <v>2026</v>
      </c>
      <c r="B4" s="49">
        <v>119620</v>
      </c>
      <c r="C4" s="50">
        <v>387229.5</v>
      </c>
      <c r="D4" s="50">
        <v>662929.5</v>
      </c>
      <c r="E4" s="50">
        <v>935694</v>
      </c>
      <c r="F4" s="50">
        <v>771950.5</v>
      </c>
      <c r="G4" s="17">
        <f t="shared" si="0"/>
        <v>2757803.5</v>
      </c>
      <c r="H4" s="17">
        <f t="shared" si="1"/>
        <v>137126.62025052161</v>
      </c>
      <c r="I4" s="17">
        <f t="shared" si="2"/>
        <v>2620676.8797494783</v>
      </c>
    </row>
    <row r="5" spans="1:9" ht="15.75" customHeight="1" x14ac:dyDescent="0.25">
      <c r="A5" s="5">
        <f t="shared" si="3"/>
        <v>2027</v>
      </c>
      <c r="B5" s="49">
        <v>119961</v>
      </c>
      <c r="C5" s="50">
        <v>396956.5</v>
      </c>
      <c r="D5" s="50">
        <v>665782.99999999988</v>
      </c>
      <c r="E5" s="50">
        <v>913961</v>
      </c>
      <c r="F5" s="50">
        <v>797814.5</v>
      </c>
      <c r="G5" s="17">
        <f t="shared" si="0"/>
        <v>2774515</v>
      </c>
      <c r="H5" s="17">
        <f t="shared" si="1"/>
        <v>137517.52626544744</v>
      </c>
      <c r="I5" s="17">
        <f t="shared" si="2"/>
        <v>2636997.4737345525</v>
      </c>
    </row>
    <row r="6" spans="1:9" ht="15.75" customHeight="1" x14ac:dyDescent="0.25">
      <c r="A6" s="5">
        <f t="shared" si="3"/>
        <v>2028</v>
      </c>
      <c r="B6" s="49">
        <v>120765</v>
      </c>
      <c r="C6" s="50">
        <v>404354.5</v>
      </c>
      <c r="D6" s="50">
        <v>677988.49999999988</v>
      </c>
      <c r="E6" s="50">
        <v>883894</v>
      </c>
      <c r="F6" s="50">
        <v>824294.5</v>
      </c>
      <c r="G6" s="17">
        <f t="shared" si="0"/>
        <v>2790531.5</v>
      </c>
      <c r="H6" s="17">
        <f t="shared" si="1"/>
        <v>138439.19323319045</v>
      </c>
      <c r="I6" s="17">
        <f t="shared" si="2"/>
        <v>2652092.3067668094</v>
      </c>
    </row>
    <row r="7" spans="1:9" ht="15.75" customHeight="1" x14ac:dyDescent="0.25">
      <c r="A7" s="5">
        <f t="shared" si="3"/>
        <v>2029</v>
      </c>
      <c r="B7" s="49">
        <v>121981</v>
      </c>
      <c r="C7" s="50">
        <v>407994</v>
      </c>
      <c r="D7" s="50">
        <v>695928.5</v>
      </c>
      <c r="E7" s="50">
        <v>847902.5</v>
      </c>
      <c r="F7" s="50">
        <v>850699.00000000012</v>
      </c>
      <c r="G7" s="17">
        <f t="shared" si="0"/>
        <v>2802524</v>
      </c>
      <c r="H7" s="17">
        <f t="shared" si="1"/>
        <v>139833.15720430427</v>
      </c>
      <c r="I7" s="17">
        <f t="shared" si="2"/>
        <v>2662690.8427956956</v>
      </c>
    </row>
    <row r="8" spans="1:9" ht="15.75" customHeight="1" x14ac:dyDescent="0.25">
      <c r="A8" s="5">
        <f t="shared" si="3"/>
        <v>2030</v>
      </c>
      <c r="B8" s="49">
        <v>123303</v>
      </c>
      <c r="C8" s="50">
        <v>407077.5</v>
      </c>
      <c r="D8" s="50">
        <v>718378.5</v>
      </c>
      <c r="E8" s="50">
        <v>807591</v>
      </c>
      <c r="F8" s="50">
        <v>875268.49999999988</v>
      </c>
      <c r="G8" s="17">
        <f t="shared" si="0"/>
        <v>2808315.5</v>
      </c>
      <c r="H8" s="17">
        <f t="shared" si="1"/>
        <v>141348.63448211056</v>
      </c>
      <c r="I8" s="17">
        <f t="shared" si="2"/>
        <v>2666966.8655178896</v>
      </c>
    </row>
    <row r="9" spans="1:9" ht="15.75" customHeight="1" x14ac:dyDescent="0.25">
      <c r="A9" s="5">
        <f t="shared" si="3"/>
        <v>2031</v>
      </c>
      <c r="B9" s="49">
        <v>124540</v>
      </c>
      <c r="C9" s="50">
        <v>402086</v>
      </c>
      <c r="D9" s="50">
        <v>744087</v>
      </c>
      <c r="E9" s="50">
        <v>765959.49999999988</v>
      </c>
      <c r="F9" s="50">
        <v>896122</v>
      </c>
      <c r="G9" s="17">
        <f t="shared" si="0"/>
        <v>2808254.5</v>
      </c>
      <c r="H9" s="17">
        <f t="shared" si="1"/>
        <v>142766.6718441729</v>
      </c>
      <c r="I9" s="17">
        <f t="shared" si="2"/>
        <v>2665487.8281558272</v>
      </c>
    </row>
    <row r="10" spans="1:9" ht="15.75" customHeight="1" x14ac:dyDescent="0.25">
      <c r="A10" s="5">
        <f t="shared" si="3"/>
        <v>2032</v>
      </c>
      <c r="B10" s="49">
        <v>125946</v>
      </c>
      <c r="C10" s="50">
        <v>392321</v>
      </c>
      <c r="D10" s="50">
        <v>770970</v>
      </c>
      <c r="E10" s="50">
        <v>726931.49999999988</v>
      </c>
      <c r="F10" s="50">
        <v>913178.5</v>
      </c>
      <c r="G10" s="17">
        <f t="shared" si="0"/>
        <v>2803401</v>
      </c>
      <c r="H10" s="17">
        <f t="shared" si="1"/>
        <v>144378.44268577325</v>
      </c>
      <c r="I10" s="17">
        <f t="shared" si="2"/>
        <v>2659022.5573142269</v>
      </c>
    </row>
    <row r="11" spans="1:9" ht="15.75" customHeight="1" x14ac:dyDescent="0.25">
      <c r="A11" s="5">
        <f t="shared" si="3"/>
        <v>2033</v>
      </c>
      <c r="B11" s="49">
        <v>127122</v>
      </c>
      <c r="C11" s="50">
        <v>375585</v>
      </c>
      <c r="D11" s="50">
        <v>796557</v>
      </c>
      <c r="E11" s="50">
        <v>692972.5</v>
      </c>
      <c r="F11" s="50">
        <v>924459.49999999988</v>
      </c>
      <c r="G11" s="17">
        <f t="shared" si="0"/>
        <v>2789574</v>
      </c>
      <c r="H11" s="17">
        <f t="shared" si="1"/>
        <v>145726.55257888988</v>
      </c>
      <c r="I11" s="17">
        <f t="shared" si="2"/>
        <v>2643847.4474211102</v>
      </c>
    </row>
    <row r="12" spans="1:9" ht="15.75" customHeight="1" x14ac:dyDescent="0.25">
      <c r="A12" s="5">
        <f t="shared" si="3"/>
        <v>2034</v>
      </c>
      <c r="B12" s="49">
        <v>128097.00000000001</v>
      </c>
      <c r="C12" s="50">
        <v>360324.5</v>
      </c>
      <c r="D12" s="50">
        <v>817176.99999999988</v>
      </c>
      <c r="E12" s="50">
        <v>666514</v>
      </c>
      <c r="F12" s="50">
        <v>928655.50000000012</v>
      </c>
      <c r="G12" s="17">
        <f t="shared" si="0"/>
        <v>2772671</v>
      </c>
      <c r="H12" s="17">
        <f t="shared" si="1"/>
        <v>146844.24573007078</v>
      </c>
      <c r="I12" s="17">
        <f t="shared" si="2"/>
        <v>2625826.7542699291</v>
      </c>
    </row>
    <row r="13" spans="1:9" ht="15.75" customHeight="1" x14ac:dyDescent="0.25">
      <c r="A13" s="5">
        <f t="shared" si="3"/>
        <v>2035</v>
      </c>
      <c r="B13" s="49">
        <v>128598.99999999999</v>
      </c>
      <c r="C13" s="50">
        <v>348512.5</v>
      </c>
      <c r="D13" s="50">
        <v>831391.00000000012</v>
      </c>
      <c r="E13" s="50">
        <v>649475</v>
      </c>
      <c r="F13" s="50">
        <v>924415.99999999988</v>
      </c>
      <c r="G13" s="17">
        <f t="shared" si="0"/>
        <v>2753794.5</v>
      </c>
      <c r="H13" s="17">
        <f t="shared" si="1"/>
        <v>147419.71440893519</v>
      </c>
      <c r="I13" s="17">
        <f t="shared" si="2"/>
        <v>2606374.785591065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Pg+LhK+0A3NIv6nPzhvLfDiTwzvftaoNWyCBOFFiO7SH5JqZAdCCLAAOHhdigAYwjDl0mc4SH8oD8T8eAlSng==" saltValue="BCqd/2JcOtZHfUZHeNNB0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7.6930000000000043E-4</v>
      </c>
    </row>
    <row r="4" spans="1:8" ht="15.75" customHeight="1" x14ac:dyDescent="0.25">
      <c r="B4" s="19" t="s">
        <v>97</v>
      </c>
      <c r="C4" s="99">
        <v>4.0746100000000042E-2</v>
      </c>
    </row>
    <row r="5" spans="1:8" ht="15.75" customHeight="1" x14ac:dyDescent="0.25">
      <c r="B5" s="19" t="s">
        <v>98</v>
      </c>
      <c r="C5" s="99">
        <v>3.8142599999999888E-2</v>
      </c>
    </row>
    <row r="6" spans="1:8" ht="15.75" customHeight="1" x14ac:dyDescent="0.25">
      <c r="B6" s="19" t="s">
        <v>99</v>
      </c>
      <c r="C6" s="99">
        <v>0.1658214999999999</v>
      </c>
    </row>
    <row r="7" spans="1:8" ht="15.75" customHeight="1" x14ac:dyDescent="0.25">
      <c r="B7" s="19" t="s">
        <v>100</v>
      </c>
      <c r="C7" s="99">
        <v>0.4688312999999999</v>
      </c>
    </row>
    <row r="8" spans="1:8" ht="15.75" customHeight="1" x14ac:dyDescent="0.25">
      <c r="B8" s="19" t="s">
        <v>101</v>
      </c>
      <c r="C8" s="99">
        <v>9.6299999999999942E-5</v>
      </c>
    </row>
    <row r="9" spans="1:8" ht="15.75" customHeight="1" x14ac:dyDescent="0.25">
      <c r="B9" s="19" t="s">
        <v>102</v>
      </c>
      <c r="C9" s="99">
        <v>0.20751630000000029</v>
      </c>
    </row>
    <row r="10" spans="1:8" ht="15.75" customHeight="1" x14ac:dyDescent="0.25">
      <c r="B10" s="19" t="s">
        <v>103</v>
      </c>
      <c r="C10" s="99">
        <v>7.8076599999999899E-2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106</v>
      </c>
      <c r="C15" s="99">
        <v>0.30908005016101692</v>
      </c>
      <c r="D15" s="99">
        <v>0.30908005016101692</v>
      </c>
      <c r="E15" s="99">
        <v>0.30908005016101692</v>
      </c>
      <c r="F15" s="99">
        <v>0.30908005016101692</v>
      </c>
    </row>
    <row r="16" spans="1:8" ht="15.75" customHeight="1" x14ac:dyDescent="0.25">
      <c r="B16" s="19" t="s">
        <v>107</v>
      </c>
      <c r="C16" s="99">
        <v>2.0862040124609481E-2</v>
      </c>
      <c r="D16" s="99">
        <v>2.0862040124609481E-2</v>
      </c>
      <c r="E16" s="99">
        <v>2.0862040124609481E-2</v>
      </c>
      <c r="F16" s="99">
        <v>2.0862040124609481E-2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3.6157917131633778E-2</v>
      </c>
      <c r="D19" s="99">
        <v>3.6157917131633778E-2</v>
      </c>
      <c r="E19" s="99">
        <v>3.6157917131633778E-2</v>
      </c>
      <c r="F19" s="99">
        <v>3.6157917131633778E-2</v>
      </c>
    </row>
    <row r="20" spans="1:8" ht="15.75" customHeight="1" x14ac:dyDescent="0.25">
      <c r="B20" s="19" t="s">
        <v>111</v>
      </c>
      <c r="C20" s="99">
        <v>3.4706712718423171E-3</v>
      </c>
      <c r="D20" s="99">
        <v>3.4706712718423171E-3</v>
      </c>
      <c r="E20" s="99">
        <v>3.4706712718423171E-3</v>
      </c>
      <c r="F20" s="99">
        <v>3.4706712718423171E-3</v>
      </c>
    </row>
    <row r="21" spans="1:8" ht="15.75" customHeight="1" x14ac:dyDescent="0.25">
      <c r="B21" s="19" t="s">
        <v>112</v>
      </c>
      <c r="C21" s="99">
        <v>0.44912391833034337</v>
      </c>
      <c r="D21" s="99">
        <v>0.44912391833034337</v>
      </c>
      <c r="E21" s="99">
        <v>0.44912391833034337</v>
      </c>
      <c r="F21" s="99">
        <v>0.44912391833034337</v>
      </c>
    </row>
    <row r="22" spans="1:8" ht="15.75" customHeight="1" x14ac:dyDescent="0.25">
      <c r="B22" s="19" t="s">
        <v>113</v>
      </c>
      <c r="C22" s="99">
        <v>0.12822649545291279</v>
      </c>
      <c r="D22" s="99">
        <v>0.12822649545291279</v>
      </c>
      <c r="E22" s="99">
        <v>0.12822649545291279</v>
      </c>
      <c r="F22" s="99">
        <v>0.12822649545291279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3.2286483999999997E-2</v>
      </c>
    </row>
    <row r="27" spans="1:8" ht="15.75" customHeight="1" x14ac:dyDescent="0.25">
      <c r="B27" s="19" t="s">
        <v>120</v>
      </c>
      <c r="C27" s="99">
        <v>8.0926539000000006E-2</v>
      </c>
    </row>
    <row r="28" spans="1:8" ht="15.75" customHeight="1" x14ac:dyDescent="0.25">
      <c r="B28" s="19" t="s">
        <v>121</v>
      </c>
      <c r="C28" s="99">
        <v>0.11034517200000001</v>
      </c>
    </row>
    <row r="29" spans="1:8" ht="15.75" customHeight="1" x14ac:dyDescent="0.25">
      <c r="B29" s="19" t="s">
        <v>122</v>
      </c>
      <c r="C29" s="99">
        <v>8.99475E-2</v>
      </c>
    </row>
    <row r="30" spans="1:8" ht="15.75" customHeight="1" x14ac:dyDescent="0.25">
      <c r="B30" s="19" t="s">
        <v>2</v>
      </c>
      <c r="C30" s="99">
        <v>2.9600607000000001E-2</v>
      </c>
    </row>
    <row r="31" spans="1:8" ht="15.75" customHeight="1" x14ac:dyDescent="0.25">
      <c r="B31" s="19" t="s">
        <v>123</v>
      </c>
      <c r="C31" s="99">
        <v>3.5472995E-2</v>
      </c>
    </row>
    <row r="32" spans="1:8" ht="15.75" customHeight="1" x14ac:dyDescent="0.25">
      <c r="B32" s="19" t="s">
        <v>124</v>
      </c>
      <c r="C32" s="99">
        <v>0.250963082</v>
      </c>
    </row>
    <row r="33" spans="2:3" ht="15.75" customHeight="1" x14ac:dyDescent="0.25">
      <c r="B33" s="19" t="s">
        <v>125</v>
      </c>
      <c r="C33" s="99">
        <v>0.14174240299999999</v>
      </c>
    </row>
    <row r="34" spans="2:3" ht="15.75" customHeight="1" x14ac:dyDescent="0.25">
      <c r="B34" s="19" t="s">
        <v>126</v>
      </c>
      <c r="C34" s="99">
        <v>0.228715217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iSJJ5SuQO74snrNBoWboSwVQw31sRtlkJCe2wSF5d7CMHZZLs6wop7wyng+waHq6gww2BkfVPnPIRx3FGLjFHQ==" saltValue="dsZgK8Z/yCn9GAO1GXcnY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132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133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137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138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yYVyt4DMO/2k3yK8njhfJceixJpo7ty6FtdRAJmRwfeySSaS8/2q9DFXWxtbJ92Ow+4jMB7UzLmLKlx1XGxvA==" saltValue="4p4AYT1w6bN9f2vYQyO/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0.10279450000000012</v>
      </c>
      <c r="D5" s="52">
        <f t="shared" si="0"/>
        <v>0.18830710000000006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sjBurYd38g7O1c+2Aor5mcAQnCiFVeY5s8IV3TeNC1cW10Ci4csjgys0IxwjPIeYuEKqSFhJgmY/FGESCRW2iw==" saltValue="CzVTqrTdxSBNSJf4tFRBr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qLQgB+QcNLUXfTnq+jQwB52Y9iJACper9PTG1lAjnHe1P6tD+J37NdUKcEdzqC8kuOxkE7jkxdZNJOjLYvr2Q==" saltValue="76EBVBb/LA10D65rnZCx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7762.0738285883999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0.46567000000000003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0.746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1.3172659202306283E-2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97828.187860000005</v>
      </c>
      <c r="C22" s="107">
        <v>97670.950490000003</v>
      </c>
      <c r="D22" s="107">
        <v>97529.362949999995</v>
      </c>
      <c r="E22" s="107">
        <v>97253.044750000001</v>
      </c>
      <c r="F22" s="107">
        <v>96852.336469999995</v>
      </c>
      <c r="G22" s="107">
        <v>96430.079379999996</v>
      </c>
      <c r="H22" s="107">
        <v>95894.986619999996</v>
      </c>
      <c r="I22" s="107">
        <v>95131.926749999999</v>
      </c>
      <c r="J22" s="107">
        <v>93955.619160000002</v>
      </c>
      <c r="K22" s="107">
        <v>92113.938970000003</v>
      </c>
      <c r="L22" s="107">
        <v>89106.894440000004</v>
      </c>
      <c r="M22" s="107">
        <v>84271.890910000002</v>
      </c>
      <c r="N22" s="107">
        <v>76748.593859999994</v>
      </c>
      <c r="O22" s="107">
        <v>65502.907200000001</v>
      </c>
    </row>
  </sheetData>
  <sheetProtection algorithmName="SHA-512" hashValue="CL8nbl709UDK8Fv/pAZzHv+efKlabDTq5bNUyLbFoWqA5X2av63Yn8bdI6XxYsAFamSsYqzovCJiW3FxGyF7Kg==" saltValue="I5goc4/PRF387w7JL9Ib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45fyfXVuu7avUrBu+WMWDBOCLB1XlHT9uZDjkmvnkmncUaLngjFatuuQ0Rv67dLpIKvZFswPCVpoGCqg9QTkuw==" saltValue="9LA3xDVwLwb7qBB0bi8L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Y1/ELqZgxmRpzQPpoGuDX98YAhSwWebYFD/V1RtDllBjGUPEv82Hko8vqvFqDWPAzj511H2ruw0bumUTWD8roQ==" saltValue="d1WFqh8OXpJ4ey4ADWuyO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1.6153600000000001E-2</v>
      </c>
      <c r="C10" s="96">
        <v>0.95</v>
      </c>
      <c r="D10" s="56">
        <v>12.974499314795549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12.974499314795549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12.974499314795549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12.974499314795549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1.6153600000000001E-2</v>
      </c>
      <c r="C14" s="96">
        <v>0.95</v>
      </c>
      <c r="D14" s="56">
        <v>12.974499314795549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12.974499314795549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8.5698500000000011E-2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8.5698500000000011E-2</v>
      </c>
      <c r="C19" s="96">
        <v>0.95</v>
      </c>
      <c r="D19" s="56">
        <v>8.9498000901640609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4.2557875816009592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0.55540145219353199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1.6153600000000001E-2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0.21083840000000001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0.34978969999999998</v>
      </c>
      <c r="C29" s="96">
        <v>0.95</v>
      </c>
      <c r="D29" s="56">
        <v>109.78567093836929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0.41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0.89304019999999995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1.33188E-2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0.93835589999999991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S52lI61fqis1KRw+VojyFpzSPGvQLiZyauzzZFzDv3OZJbMBfGFwiHir1xNgCj5jtVI0PX/cYK3UWLMB86cVmA==" saltValue="zZwnJdeGum4F8A47yTq4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Plq0J+d/KRyAOw88haC2a1+F4Im+i3lDWpZKHFVCh4Bh1l91IF/rUdGZPyNmKlehoxfz0kRpV75yW1otaCXKw==" saltValue="D9EWAvY9wNWrzlsyM2Ez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h0iOdOKiR066t14q5Rz+a9iEt/CGE/NTkEzARntXvVl0dmUFq/0a2nRuDN05lwHgfaO+/b8XcIhcy7twoR4rg==" saltValue="fb3fsceUJtw5D4awas9ag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237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sheetProtection algorithmName="SHA-512" hashValue="YJAD3GUwwlyFUi46kSvwnWVY5nolGa53lZC4vSsQ8M70h+leb7iWB7WPVuRnLjZv/IPAcnL46kttPD30E4nIbA==" saltValue="5/aUJOnXX/8HaeXDhHF9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j3uhoiGFRP6ASqZWczPx5QPOeZGYVUPOSE7yKQMs/LNq3gntNZBJGapmy65a0V2PJHwkyqayUGXOyFMGHiH4w==" saltValue="EgHOcY1Zi9zZ+t1mBLQZ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fekJJMRL8y0vVenVcz3iymwwLOGsSrIcohjkZav55gS/YVpKaT1CVa1nNR7noRmikHOEQ6A83ccKL/2Jq+aig==" saltValue="PCBl/be1xSaPXRhQvvXd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uq5WZ5EAVeGVX9W1U6W7a1pDWRLCNXt7rErB6AgXATfOhBUsuqhQU4+17f//NN9JL7h8lUUBZearXNx3DxYag==" saltValue="JXpf7qdDKft5WGI466UNt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KX4Y9tZSst+eVDcV9gj/C6+/jKl6gcRX8LmDjU2av3xXOp+y1KC2bPFGfHktOyv2go3D4TOhbL5YQkC83rIvw==" saltValue="ROcErUQmwUWHBOY0FhxYq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RCN8EPjXsVY4kKDcmy3G1L1qATKiHiW/onk2IGeO2GCuuPkT3ayzuND3Ccf9D+P//ujzfOgwZzuWu7xfBLKK8A==" saltValue="qELEWlRmjHlA1MXuPBTo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1rBonOW2T/EKMHSEUF8RqwXI0CwqofBKU5C2Wvoaq6np3pGEwUusWOnTsyQy8gffCH0PLUkehk/9xxgi6t6eqQ==" saltValue="HaloQKlqnyN9dSzL4XMEg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nWhj/RIxqYeSui65L6vLzY1IVtQ33D+mulyuLe4k8J45mDvry6qcxD8e63c8veIwtGuOo1R/KMpY1qK+7DzVQ==" saltValue="rrV7OJdNOZJw1JM5UChc+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93WneJkBaieh2shKxCdJTEdA2e0eZPGtq7ePsRLcyPsg1PCsToD1bEma1GCr0NtBNnv7RQeKOOva8Epp/9Ctw==" saltValue="CL9TErgE2QVLPO36/HCS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/8zTxf3rCB+DC1gQq+AJ2/XvYlg0R3/x681bpfqr2j+P0qWrW2e4Ye6Csc+WloZgmUAL7UmmiNhPOu+mb51Rtg==" saltValue="okbInmktWHpARLutKRmz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I7ziIY5fLINNAWKJUXF6c4O4JRke3O7nyEeZDv/T+GF2U2FZK6udmS62cpqIZUDNnKiDFE6SWN8bWKRCTJE8w==" saltValue="YX64pb4er4l9T8xj2QLx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un1caXtWnRHOIfaSQM5e0v0CErXhG+x4BRs5gvtvrQdIAmkPvv3SgJrO9V2uOtXjywKqDILECrzaO4CLEfw7w==" saltValue="5B5Z+6KTZCMjlDked85C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hizwIN8Iogm460nxSXaR/LpykvI3RJWJdbRQJKkLbL+zPHqkJiHsGtryXtJk+X9s9XTmIjrBlcz3BYQbGiO0g==" saltValue="LbUIRAcqhy1/kKEB/3X9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Sn0avVbPcreH6k8AZ/twSAjV3T6Okrn5OEdtYKL8IqIFOkrbUGJvRZ+E3raVHwA7wvoX63dTMNm4AXcWYx4cg==" saltValue="DCcwOmu78sfiq1LO5kwH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9YKrttQ0ltQ1ysaozF9ddoJQQsVkRnEwmYK843+2IzTR081F9J8Klh2Z6D1o17UATfktsopreO9H8u4c7dJRA==" saltValue="KS/Yg0D3Pn+ij5IdUOOO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jXXaKG07ZyJq/eXIHkomy8IlWA+U65pcW3eT5Rol/yYsNKgYSBFcfaY5OE+dqdxTXiC88QKucMCBPMYoxfwNg==" saltValue="2Ji7fuJwDmdu7/FK4m4u8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