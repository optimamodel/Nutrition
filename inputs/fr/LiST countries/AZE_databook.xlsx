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34BE4B9F-E91D-4224-80FE-A44EE8376EB3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G112" i="27" s="1"/>
  <c r="F57" i="27"/>
  <c r="F112" i="27" s="1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H39" i="2"/>
  <c r="G39" i="2"/>
  <c r="I39" i="2" s="1"/>
  <c r="H38" i="2"/>
  <c r="G38" i="2"/>
  <c r="I38" i="2" s="1"/>
  <c r="A37" i="2"/>
  <c r="A24" i="2"/>
  <c r="A23" i="2"/>
  <c r="H13" i="2"/>
  <c r="G13" i="2"/>
  <c r="I13" i="2" s="1"/>
  <c r="H12" i="2"/>
  <c r="G12" i="2"/>
  <c r="H11" i="2"/>
  <c r="G11" i="2"/>
  <c r="I11" i="2" s="1"/>
  <c r="H10" i="2"/>
  <c r="G10" i="2"/>
  <c r="I10" i="2" s="1"/>
  <c r="H9" i="2"/>
  <c r="G9" i="2"/>
  <c r="I9" i="2" s="1"/>
  <c r="H8" i="2"/>
  <c r="G8" i="2"/>
  <c r="H7" i="2"/>
  <c r="G7" i="2"/>
  <c r="I7" i="2" s="1"/>
  <c r="H6" i="2"/>
  <c r="G6" i="2"/>
  <c r="I6" i="2" s="1"/>
  <c r="H5" i="2"/>
  <c r="G5" i="2"/>
  <c r="I5" i="2" s="1"/>
  <c r="H4" i="2"/>
  <c r="G4" i="2"/>
  <c r="H3" i="2"/>
  <c r="G3" i="2"/>
  <c r="I3" i="2" s="1"/>
  <c r="H2" i="2"/>
  <c r="G2" i="2"/>
  <c r="I2" i="2" s="1"/>
  <c r="A2" i="2"/>
  <c r="A40" i="2" s="1"/>
  <c r="C33" i="1"/>
  <c r="C20" i="1"/>
  <c r="A15" i="2" l="1"/>
  <c r="A29" i="2"/>
  <c r="A19" i="2"/>
  <c r="A20" i="2"/>
  <c r="A35" i="2"/>
  <c r="A27" i="2"/>
  <c r="A28" i="2"/>
  <c r="A16" i="2"/>
  <c r="A31" i="2"/>
  <c r="I4" i="2"/>
  <c r="I8" i="2"/>
  <c r="I12" i="2"/>
  <c r="A21" i="2"/>
  <c r="A36" i="2"/>
  <c r="A17" i="2"/>
  <c r="A25" i="2"/>
  <c r="A33" i="2"/>
  <c r="A32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26" i="2"/>
  <c r="A34" i="2"/>
  <c r="A39" i="2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<sst xmlns="http://schemas.openxmlformats.org/spreadsheetml/2006/main" count="2101" uniqueCount="337">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</sst>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616375.58984375</v>
      </c>
    </row>
    <row r="8" spans="1:3" ht="15" customHeight="1" x14ac:dyDescent="0.25">
      <c r="B8" s="5" t="s">
        <v>19</v>
      </c>
      <c r="C8" s="44">
        <v>0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0.91188728330000002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0.249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0.1489</v>
      </c>
    </row>
    <row r="24" spans="1:3" ht="15" customHeight="1" x14ac:dyDescent="0.25">
      <c r="B24" s="15" t="s">
        <v>33</v>
      </c>
      <c r="C24" s="45">
        <v>0.65529999999999999</v>
      </c>
    </row>
    <row r="25" spans="1:3" ht="15" customHeight="1" x14ac:dyDescent="0.25">
      <c r="B25" s="15" t="s">
        <v>34</v>
      </c>
      <c r="C25" s="45">
        <v>0.1857</v>
      </c>
    </row>
    <row r="26" spans="1:3" ht="15" customHeight="1" x14ac:dyDescent="0.25">
      <c r="B26" s="15" t="s">
        <v>35</v>
      </c>
      <c r="C26" s="45">
        <v>1.01E-2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0.43972863237246501</v>
      </c>
    </row>
    <row r="30" spans="1:3" ht="14.25" customHeight="1" x14ac:dyDescent="0.25">
      <c r="B30" s="25" t="s">
        <v>38</v>
      </c>
      <c r="C30" s="99">
        <v>0.10181424433873699</v>
      </c>
    </row>
    <row r="31" spans="1:3" ht="14.25" customHeight="1" x14ac:dyDescent="0.25">
      <c r="B31" s="25" t="s">
        <v>39</v>
      </c>
      <c r="C31" s="99">
        <v>9.9255704226601515E-2</v>
      </c>
    </row>
    <row r="32" spans="1:3" ht="14.25" customHeight="1" x14ac:dyDescent="0.25">
      <c r="B32" s="25" t="s">
        <v>40</v>
      </c>
      <c r="C32" s="99">
        <v>0.35920141906219599</v>
      </c>
    </row>
    <row r="33" spans="1:5" ht="13" customHeight="1" x14ac:dyDescent="0.25">
      <c r="B33" s="27" t="s">
        <v>41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9.5091000000000001</v>
      </c>
    </row>
    <row r="38" spans="1:5" ht="15" customHeight="1" x14ac:dyDescent="0.25">
      <c r="B38" s="11" t="s">
        <v>45</v>
      </c>
      <c r="C38" s="43">
        <v>16.60615</v>
      </c>
      <c r="D38" s="12"/>
      <c r="E38" s="13"/>
    </row>
    <row r="39" spans="1:5" ht="15" customHeight="1" x14ac:dyDescent="0.25">
      <c r="B39" s="11" t="s">
        <v>46</v>
      </c>
      <c r="C39" s="43">
        <v>18.586200000000002</v>
      </c>
      <c r="D39" s="12"/>
      <c r="E39" s="12"/>
    </row>
    <row r="40" spans="1:5" ht="15" customHeight="1" x14ac:dyDescent="0.25">
      <c r="B40" s="11" t="s">
        <v>47</v>
      </c>
      <c r="C40" s="100">
        <v>0.41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8.7131299999999996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7.5017E-3</v>
      </c>
      <c r="D45" s="12"/>
    </row>
    <row r="46" spans="1:5" ht="15.75" customHeight="1" x14ac:dyDescent="0.25">
      <c r="B46" s="11" t="s">
        <v>52</v>
      </c>
      <c r="C46" s="45">
        <v>8.0604700000000001E-2</v>
      </c>
      <c r="D46" s="12"/>
    </row>
    <row r="47" spans="1:5" ht="15.75" customHeight="1" x14ac:dyDescent="0.25">
      <c r="B47" s="11" t="s">
        <v>53</v>
      </c>
      <c r="C47" s="45">
        <v>7.3866899999999999E-2</v>
      </c>
      <c r="D47" s="12"/>
      <c r="E47" s="13"/>
    </row>
    <row r="48" spans="1:5" ht="15" customHeight="1" x14ac:dyDescent="0.25">
      <c r="B48" s="11" t="s">
        <v>54</v>
      </c>
      <c r="C48" s="46">
        <v>0.83802670000000001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2.8</v>
      </c>
      <c r="D51" s="12"/>
    </row>
    <row r="52" spans="1:4" ht="15" customHeight="1" x14ac:dyDescent="0.25">
      <c r="B52" s="11" t="s">
        <v>57</v>
      </c>
      <c r="C52" s="100">
        <v>2.8</v>
      </c>
    </row>
    <row r="53" spans="1:4" ht="15.75" customHeight="1" x14ac:dyDescent="0.25">
      <c r="B53" s="11" t="s">
        <v>58</v>
      </c>
      <c r="C53" s="100">
        <v>2.8</v>
      </c>
    </row>
    <row r="54" spans="1:4" ht="15.75" customHeight="1" x14ac:dyDescent="0.25">
      <c r="B54" s="11" t="s">
        <v>59</v>
      </c>
      <c r="C54" s="100">
        <v>2.8</v>
      </c>
    </row>
    <row r="55" spans="1:4" ht="15.75" customHeight="1" x14ac:dyDescent="0.25">
      <c r="B55" s="11" t="s">
        <v>60</v>
      </c>
      <c r="C55" s="100">
        <v>2.8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1.6428571428571431E-2</v>
      </c>
    </row>
    <row r="59" spans="1:4" ht="15.75" customHeight="1" x14ac:dyDescent="0.25">
      <c r="B59" s="11" t="s">
        <v>63</v>
      </c>
      <c r="C59" s="45">
        <v>0.57557999999999998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7.2826089999999899E-2</v>
      </c>
    </row>
    <row r="63" spans="1:4" ht="15.75" customHeight="1" x14ac:dyDescent="0.3">
      <c r="A63" s="4"/>
    </row>
  </sheetData>
  <sheetProtection algorithmName="SHA-512" hashValue="R9+K+8LHys/to/oGDOD9t3oQZ6iJrUuxzhRKZsThNfc3BusYmxavF4z7kji8+BxX8SqwwejLsp/O2FQHCwiO5g==" saltValue="jntA+Z5EYqAF7kKZT1fhj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118216</v>
      </c>
      <c r="C2" s="49">
        <v>445853</v>
      </c>
      <c r="D2" s="49">
        <v>675555</v>
      </c>
      <c r="E2" s="49">
        <v>933227.5</v>
      </c>
      <c r="F2" s="49">
        <v>658536.5</v>
      </c>
      <c r="G2" s="17">
        <f t="shared" ref="G2:G13" si="0">C2+D2+E2+F2</f>
        <v>2713172</v>
      </c>
      <c r="H2" s="17">
        <f t="shared" ref="H2:H13" si="1">(B2 + stillbirth*B2/(1000-stillbirth))/(1-abortion)</f>
        <v>135517.14211282111</v>
      </c>
      <c r="I2" s="17">
        <f t="shared" ref="I2:I13" si="2">G2-H2</f>
        <v>2577654.8578871787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116697</v>
      </c>
      <c r="C3" s="50">
        <v>462545</v>
      </c>
      <c r="D3" s="50">
        <v>659707.5</v>
      </c>
      <c r="E3" s="50">
        <v>923025.5</v>
      </c>
      <c r="F3" s="50">
        <v>681065</v>
      </c>
      <c r="G3" s="17">
        <f t="shared" si="0"/>
        <v>2726343</v>
      </c>
      <c r="H3" s="17">
        <f t="shared" si="1"/>
        <v>133775.83350087877</v>
      </c>
      <c r="I3" s="17">
        <f t="shared" si="2"/>
        <v>2592567.1664991211</v>
      </c>
    </row>
    <row r="4" spans="1:9" ht="15.75" customHeight="1" x14ac:dyDescent="0.25">
      <c r="A4" s="5">
        <f t="shared" si="3"/>
        <v>2026</v>
      </c>
      <c r="B4" s="49">
        <v>116230</v>
      </c>
      <c r="C4" s="50">
        <v>478325.99999999988</v>
      </c>
      <c r="D4" s="50">
        <v>651937</v>
      </c>
      <c r="E4" s="50">
        <v>905372</v>
      </c>
      <c r="F4" s="50">
        <v>705845</v>
      </c>
      <c r="G4" s="17">
        <f t="shared" si="0"/>
        <v>2741480</v>
      </c>
      <c r="H4" s="17">
        <f t="shared" si="1"/>
        <v>133240.48714026189</v>
      </c>
      <c r="I4" s="17">
        <f t="shared" si="2"/>
        <v>2608239.512859738</v>
      </c>
    </row>
    <row r="5" spans="1:9" ht="15.75" customHeight="1" x14ac:dyDescent="0.25">
      <c r="A5" s="5">
        <f t="shared" si="3"/>
        <v>2027</v>
      </c>
      <c r="B5" s="49">
        <v>116620</v>
      </c>
      <c r="C5" s="50">
        <v>491978</v>
      </c>
      <c r="D5" s="50">
        <v>652685</v>
      </c>
      <c r="E5" s="50">
        <v>880716.5</v>
      </c>
      <c r="F5" s="50">
        <v>731689</v>
      </c>
      <c r="G5" s="17">
        <f t="shared" si="0"/>
        <v>2757068.5</v>
      </c>
      <c r="H5" s="17">
        <f t="shared" si="1"/>
        <v>133687.56440073426</v>
      </c>
      <c r="I5" s="17">
        <f t="shared" si="2"/>
        <v>2623380.9355992656</v>
      </c>
    </row>
    <row r="6" spans="1:9" ht="15.75" customHeight="1" x14ac:dyDescent="0.25">
      <c r="A6" s="5">
        <f t="shared" si="3"/>
        <v>2028</v>
      </c>
      <c r="B6" s="49">
        <v>116785</v>
      </c>
      <c r="C6" s="50">
        <v>502463</v>
      </c>
      <c r="D6" s="50">
        <v>660697.5</v>
      </c>
      <c r="E6" s="50">
        <v>850995</v>
      </c>
      <c r="F6" s="50">
        <v>757099.5</v>
      </c>
      <c r="G6" s="17">
        <f t="shared" si="0"/>
        <v>2771255</v>
      </c>
      <c r="H6" s="17">
        <f t="shared" si="1"/>
        <v>133876.71247247254</v>
      </c>
      <c r="I6" s="17">
        <f t="shared" si="2"/>
        <v>2637378.2875275277</v>
      </c>
    </row>
    <row r="7" spans="1:9" ht="15.75" customHeight="1" x14ac:dyDescent="0.25">
      <c r="A7" s="5">
        <f t="shared" si="3"/>
        <v>2029</v>
      </c>
      <c r="B7" s="49">
        <v>118115</v>
      </c>
      <c r="C7" s="50">
        <v>508536.00000000012</v>
      </c>
      <c r="D7" s="50">
        <v>673815</v>
      </c>
      <c r="E7" s="50">
        <v>818681.5</v>
      </c>
      <c r="F7" s="50">
        <v>780492</v>
      </c>
      <c r="G7" s="17">
        <f t="shared" si="0"/>
        <v>2781524.5</v>
      </c>
      <c r="H7" s="17">
        <f t="shared" si="1"/>
        <v>135401.36056587828</v>
      </c>
      <c r="I7" s="17">
        <f t="shared" si="2"/>
        <v>2646123.1394341215</v>
      </c>
    </row>
    <row r="8" spans="1:9" ht="15.75" customHeight="1" x14ac:dyDescent="0.25">
      <c r="A8" s="5">
        <f t="shared" si="3"/>
        <v>2030</v>
      </c>
      <c r="B8" s="49">
        <v>119685</v>
      </c>
      <c r="C8" s="50">
        <v>508482</v>
      </c>
      <c r="D8" s="50">
        <v>691021</v>
      </c>
      <c r="E8" s="50">
        <v>785182.5</v>
      </c>
      <c r="F8" s="50">
        <v>800828.5</v>
      </c>
      <c r="G8" s="17">
        <f t="shared" si="0"/>
        <v>2785514</v>
      </c>
      <c r="H8" s="17">
        <f t="shared" si="1"/>
        <v>137201.13312726701</v>
      </c>
      <c r="I8" s="17">
        <f t="shared" si="2"/>
        <v>2648312.866872733</v>
      </c>
    </row>
    <row r="9" spans="1:9" ht="15.75" customHeight="1" x14ac:dyDescent="0.25">
      <c r="A9" s="5">
        <f t="shared" si="3"/>
        <v>2031</v>
      </c>
      <c r="B9" s="49">
        <v>121025</v>
      </c>
      <c r="C9" s="50">
        <v>498151</v>
      </c>
      <c r="D9" s="50">
        <v>712602</v>
      </c>
      <c r="E9" s="50">
        <v>751710.5</v>
      </c>
      <c r="F9" s="50">
        <v>817464</v>
      </c>
      <c r="G9" s="17">
        <f t="shared" si="0"/>
        <v>2779927.5</v>
      </c>
      <c r="H9" s="17">
        <f t="shared" si="1"/>
        <v>138737.24474017203</v>
      </c>
      <c r="I9" s="17">
        <f t="shared" si="2"/>
        <v>2641190.2552598282</v>
      </c>
    </row>
    <row r="10" spans="1:9" ht="15.75" customHeight="1" x14ac:dyDescent="0.25">
      <c r="A10" s="5">
        <f t="shared" si="3"/>
        <v>2032</v>
      </c>
      <c r="B10" s="49">
        <v>122985</v>
      </c>
      <c r="C10" s="50">
        <v>479022.50000000012</v>
      </c>
      <c r="D10" s="50">
        <v>737409</v>
      </c>
      <c r="E10" s="50">
        <v>720282</v>
      </c>
      <c r="F10" s="50">
        <v>829441.5</v>
      </c>
      <c r="G10" s="17">
        <f t="shared" si="0"/>
        <v>2766155</v>
      </c>
      <c r="H10" s="17">
        <f t="shared" si="1"/>
        <v>140984.0945620331</v>
      </c>
      <c r="I10" s="17">
        <f t="shared" si="2"/>
        <v>2625170.9054379668</v>
      </c>
    </row>
    <row r="11" spans="1:9" ht="15.75" customHeight="1" x14ac:dyDescent="0.25">
      <c r="A11" s="5">
        <f t="shared" si="3"/>
        <v>2033</v>
      </c>
      <c r="B11" s="49">
        <v>124084</v>
      </c>
      <c r="C11" s="50">
        <v>458630.5</v>
      </c>
      <c r="D11" s="50">
        <v>762509.5</v>
      </c>
      <c r="E11" s="50">
        <v>692706.5</v>
      </c>
      <c r="F11" s="50">
        <v>835761.5</v>
      </c>
      <c r="G11" s="17">
        <f t="shared" si="0"/>
        <v>2749608</v>
      </c>
      <c r="H11" s="17">
        <f t="shared" si="1"/>
        <v>142243.9353550052</v>
      </c>
      <c r="I11" s="17">
        <f t="shared" si="2"/>
        <v>2607364.0646449947</v>
      </c>
    </row>
    <row r="12" spans="1:9" ht="15.75" customHeight="1" x14ac:dyDescent="0.25">
      <c r="A12" s="5">
        <f t="shared" si="3"/>
        <v>2034</v>
      </c>
      <c r="B12" s="49">
        <v>125213</v>
      </c>
      <c r="C12" s="50">
        <v>435962.00000000012</v>
      </c>
      <c r="D12" s="50">
        <v>785411.5</v>
      </c>
      <c r="E12" s="50">
        <v>670350.5</v>
      </c>
      <c r="F12" s="50">
        <v>835942</v>
      </c>
      <c r="G12" s="17">
        <f t="shared" si="0"/>
        <v>2727666</v>
      </c>
      <c r="H12" s="17">
        <f t="shared" si="1"/>
        <v>143538.1667064752</v>
      </c>
      <c r="I12" s="17">
        <f t="shared" si="2"/>
        <v>2584127.8332935246</v>
      </c>
    </row>
    <row r="13" spans="1:9" ht="15.75" customHeight="1" x14ac:dyDescent="0.25">
      <c r="A13" s="5">
        <f t="shared" si="3"/>
        <v>2035</v>
      </c>
      <c r="B13" s="49">
        <v>125270</v>
      </c>
      <c r="C13" s="50">
        <v>410674</v>
      </c>
      <c r="D13" s="50">
        <v>803702</v>
      </c>
      <c r="E13" s="50">
        <v>654705</v>
      </c>
      <c r="F13" s="50">
        <v>829834</v>
      </c>
      <c r="G13" s="17">
        <f t="shared" si="0"/>
        <v>2698915</v>
      </c>
      <c r="H13" s="17">
        <f t="shared" si="1"/>
        <v>143603.50876762116</v>
      </c>
      <c r="I13" s="17">
        <f t="shared" si="2"/>
        <v>2555311.4912323789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6Z85KKB6MDwFOeM8GwX3YFVjEj3vdPpb+a7w8q6E3gg0ZkGVZI3NXYQ6t2C0i346mVVVKdf06WAjWdHhcoU6Aw==" saltValue="8FFSW4DZqCopRqBwcIJQG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7.6930000000000043E-4</v>
      </c>
    </row>
    <row r="4" spans="1:8" ht="15.75" customHeight="1" x14ac:dyDescent="0.25">
      <c r="B4" s="19" t="s">
        <v>79</v>
      </c>
      <c r="C4" s="101">
        <v>4.0746100000000042E-2</v>
      </c>
    </row>
    <row r="5" spans="1:8" ht="15.75" customHeight="1" x14ac:dyDescent="0.25">
      <c r="B5" s="19" t="s">
        <v>80</v>
      </c>
      <c r="C5" s="101">
        <v>3.8142599999999888E-2</v>
      </c>
    </row>
    <row r="6" spans="1:8" ht="15.75" customHeight="1" x14ac:dyDescent="0.25">
      <c r="B6" s="19" t="s">
        <v>81</v>
      </c>
      <c r="C6" s="101">
        <v>0.1658214999999999</v>
      </c>
    </row>
    <row r="7" spans="1:8" ht="15.75" customHeight="1" x14ac:dyDescent="0.25">
      <c r="B7" s="19" t="s">
        <v>82</v>
      </c>
      <c r="C7" s="101">
        <v>0.4688312999999999</v>
      </c>
    </row>
    <row r="8" spans="1:8" ht="15.75" customHeight="1" x14ac:dyDescent="0.25">
      <c r="B8" s="19" t="s">
        <v>83</v>
      </c>
      <c r="C8" s="101">
        <v>9.6299999999999942E-5</v>
      </c>
    </row>
    <row r="9" spans="1:8" ht="15.75" customHeight="1" x14ac:dyDescent="0.25">
      <c r="B9" s="19" t="s">
        <v>84</v>
      </c>
      <c r="C9" s="101">
        <v>0.20751630000000029</v>
      </c>
    </row>
    <row r="10" spans="1:8" ht="15.75" customHeight="1" x14ac:dyDescent="0.25">
      <c r="B10" s="19" t="s">
        <v>85</v>
      </c>
      <c r="C10" s="101">
        <v>7.8076599999999899E-2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5.3078907527641349E-2</v>
      </c>
      <c r="D14" s="55">
        <v>5.3078907527641349E-2</v>
      </c>
      <c r="E14" s="55">
        <v>5.3078907527641349E-2</v>
      </c>
      <c r="F14" s="55">
        <v>5.3078907527641349E-2</v>
      </c>
    </row>
    <row r="15" spans="1:8" ht="15.75" customHeight="1" x14ac:dyDescent="0.25">
      <c r="B15" s="19" t="s">
        <v>88</v>
      </c>
      <c r="C15" s="101">
        <v>0.30908005016101692</v>
      </c>
      <c r="D15" s="101">
        <v>0.30908005016101692</v>
      </c>
      <c r="E15" s="101">
        <v>0.30908005016101692</v>
      </c>
      <c r="F15" s="101">
        <v>0.30908005016101692</v>
      </c>
    </row>
    <row r="16" spans="1:8" ht="15.75" customHeight="1" x14ac:dyDescent="0.25">
      <c r="B16" s="19" t="s">
        <v>89</v>
      </c>
      <c r="C16" s="101">
        <v>2.0862040124609481E-2</v>
      </c>
      <c r="D16" s="101">
        <v>2.0862040124609481E-2</v>
      </c>
      <c r="E16" s="101">
        <v>2.0862040124609481E-2</v>
      </c>
      <c r="F16" s="101">
        <v>2.0862040124609481E-2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91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92</v>
      </c>
      <c r="C19" s="101">
        <v>3.6157917131633778E-2</v>
      </c>
      <c r="D19" s="101">
        <v>3.6157917131633778E-2</v>
      </c>
      <c r="E19" s="101">
        <v>3.6157917131633778E-2</v>
      </c>
      <c r="F19" s="101">
        <v>3.6157917131633778E-2</v>
      </c>
    </row>
    <row r="20" spans="1:8" ht="15.75" customHeight="1" x14ac:dyDescent="0.25">
      <c r="B20" s="19" t="s">
        <v>93</v>
      </c>
      <c r="C20" s="101">
        <v>3.4706712718423171E-3</v>
      </c>
      <c r="D20" s="101">
        <v>3.4706712718423171E-3</v>
      </c>
      <c r="E20" s="101">
        <v>3.4706712718423171E-3</v>
      </c>
      <c r="F20" s="101">
        <v>3.4706712718423171E-3</v>
      </c>
    </row>
    <row r="21" spans="1:8" ht="15.75" customHeight="1" x14ac:dyDescent="0.25">
      <c r="B21" s="19" t="s">
        <v>94</v>
      </c>
      <c r="C21" s="101">
        <v>0.44912391833034337</v>
      </c>
      <c r="D21" s="101">
        <v>0.44912391833034337</v>
      </c>
      <c r="E21" s="101">
        <v>0.44912391833034337</v>
      </c>
      <c r="F21" s="101">
        <v>0.44912391833034337</v>
      </c>
    </row>
    <row r="22" spans="1:8" ht="15.75" customHeight="1" x14ac:dyDescent="0.25">
      <c r="B22" s="19" t="s">
        <v>95</v>
      </c>
      <c r="C22" s="101">
        <v>0.12822649545291279</v>
      </c>
      <c r="D22" s="101">
        <v>0.12822649545291279</v>
      </c>
      <c r="E22" s="101">
        <v>0.12822649545291279</v>
      </c>
      <c r="F22" s="101">
        <v>0.12822649545291279</v>
      </c>
    </row>
    <row r="23" spans="1:8" ht="15.75" customHeight="1" x14ac:dyDescent="0.25">
      <c r="B23" s="27" t="s">
        <v>41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3.2286483999999997E-2</v>
      </c>
    </row>
    <row r="27" spans="1:8" ht="15.75" customHeight="1" x14ac:dyDescent="0.25">
      <c r="B27" s="19" t="s">
        <v>102</v>
      </c>
      <c r="C27" s="101">
        <v>8.0926539000000006E-2</v>
      </c>
    </row>
    <row r="28" spans="1:8" ht="15.75" customHeight="1" x14ac:dyDescent="0.25">
      <c r="B28" s="19" t="s">
        <v>103</v>
      </c>
      <c r="C28" s="101">
        <v>0.11034517200000001</v>
      </c>
    </row>
    <row r="29" spans="1:8" ht="15.75" customHeight="1" x14ac:dyDescent="0.25">
      <c r="B29" s="19" t="s">
        <v>104</v>
      </c>
      <c r="C29" s="101">
        <v>8.99475E-2</v>
      </c>
    </row>
    <row r="30" spans="1:8" ht="15.75" customHeight="1" x14ac:dyDescent="0.25">
      <c r="B30" s="19" t="s">
        <v>2</v>
      </c>
      <c r="C30" s="101">
        <v>2.9600607000000001E-2</v>
      </c>
    </row>
    <row r="31" spans="1:8" ht="15.75" customHeight="1" x14ac:dyDescent="0.25">
      <c r="B31" s="19" t="s">
        <v>105</v>
      </c>
      <c r="C31" s="101">
        <v>3.5472995E-2</v>
      </c>
    </row>
    <row r="32" spans="1:8" ht="15.75" customHeight="1" x14ac:dyDescent="0.25">
      <c r="B32" s="19" t="s">
        <v>106</v>
      </c>
      <c r="C32" s="101">
        <v>0.250963082</v>
      </c>
    </row>
    <row r="33" spans="2:3" ht="15.75" customHeight="1" x14ac:dyDescent="0.25">
      <c r="B33" s="19" t="s">
        <v>107</v>
      </c>
      <c r="C33" s="101">
        <v>0.14174240299999999</v>
      </c>
    </row>
    <row r="34" spans="2:3" ht="15.75" customHeight="1" x14ac:dyDescent="0.25">
      <c r="B34" s="19" t="s">
        <v>108</v>
      </c>
      <c r="C34" s="101">
        <v>0.228715217</v>
      </c>
    </row>
    <row r="35" spans="2:3" ht="15.75" customHeight="1" x14ac:dyDescent="0.25">
      <c r="B35" s="27" t="s">
        <v>41</v>
      </c>
      <c r="C35" s="48">
        <f>SUM(C26:C34)</f>
        <v>0.99999999900000003</v>
      </c>
    </row>
  </sheetData>
  <sheetProtection algorithmName="SHA-512" hashValue="Z2FFJWlxa1Zzqu4VaOzG7wvX/f339AVmwWCanNOTT/ELJDTl2MYc0SoudI+KNdkx1eZJMS+X+1oTItzUqdTj2w==" saltValue="IMaiPUJNKVIlHBxMecOFA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0.47739931224137999</v>
      </c>
      <c r="D2" s="52">
        <f>IFERROR(1-_xlfn.NORM.DIST(_xlfn.NORM.INV(SUM(D4:D5), 0, 1) + 1, 0, 1, TRUE), "")</f>
        <v>0.47739931224137999</v>
      </c>
      <c r="E2" s="52">
        <f>IFERROR(1-_xlfn.NORM.DIST(_xlfn.NORM.INV(SUM(E4:E5), 0, 1) + 1, 0, 1, TRUE), "")</f>
        <v>0.49818617359722817</v>
      </c>
      <c r="F2" s="52">
        <f>IFERROR(1-_xlfn.NORM.DIST(_xlfn.NORM.INV(SUM(F4:F5), 0, 1) + 1, 0, 1, TRUE), "")</f>
        <v>0.46686510877582754</v>
      </c>
      <c r="G2" s="52">
        <f>IFERROR(1-_xlfn.NORM.DIST(_xlfn.NORM.INV(SUM(G4:G5), 0, 1) + 1, 0, 1, TRUE), "")</f>
        <v>0.28615189256699458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0.34984158775862001</v>
      </c>
      <c r="D3" s="52">
        <f>IFERROR(_xlfn.NORM.DIST(_xlfn.NORM.INV(SUM(D4:D5), 0, 1) + 1, 0, 1, TRUE) - SUM(D4:D5), "")</f>
        <v>0.34984158775862001</v>
      </c>
      <c r="E3" s="52">
        <f>IFERROR(_xlfn.NORM.DIST(_xlfn.NORM.INV(SUM(E4:E5), 0, 1) + 1, 0, 1, TRUE) - SUM(E4:E5), "")</f>
        <v>0.34205592640277183</v>
      </c>
      <c r="F3" s="52">
        <f>IFERROR(_xlfn.NORM.DIST(_xlfn.NORM.INV(SUM(F4:F5), 0, 1) + 1, 0, 1, TRUE) - SUM(F4:F5), "")</f>
        <v>0.35352359122417248</v>
      </c>
      <c r="G3" s="52">
        <f>IFERROR(_xlfn.NORM.DIST(_xlfn.NORM.INV(SUM(G4:G5), 0, 1) + 1, 0, 1, TRUE) - SUM(G4:G5), "")</f>
        <v>0.38218960743300545</v>
      </c>
    </row>
    <row r="4" spans="1:15" ht="15.75" customHeight="1" x14ac:dyDescent="0.25">
      <c r="B4" s="5" t="s">
        <v>114</v>
      </c>
      <c r="C4" s="45">
        <v>9.1228099999999993E-2</v>
      </c>
      <c r="D4" s="53">
        <v>9.1228099999999993E-2</v>
      </c>
      <c r="E4" s="53">
        <v>7.3348999999999998E-2</v>
      </c>
      <c r="F4" s="53">
        <v>9.1956399999999994E-2</v>
      </c>
      <c r="G4" s="53">
        <v>0.16452</v>
      </c>
    </row>
    <row r="5" spans="1:15" ht="15.75" customHeight="1" x14ac:dyDescent="0.25">
      <c r="B5" s="5" t="s">
        <v>115</v>
      </c>
      <c r="C5" s="45">
        <v>8.1531000000000006E-2</v>
      </c>
      <c r="D5" s="53">
        <v>8.1531000000000006E-2</v>
      </c>
      <c r="E5" s="53">
        <v>8.6408900000000011E-2</v>
      </c>
      <c r="F5" s="53">
        <v>8.7654899999999994E-2</v>
      </c>
      <c r="G5" s="53">
        <v>0.1671385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0.46863868673029108</v>
      </c>
      <c r="D8" s="52">
        <f>IFERROR(1-_xlfn.NORM.DIST(_xlfn.NORM.INV(SUM(D10:D11), 0, 1) + 1, 0, 1, TRUE), "")</f>
        <v>0.46863868673029108</v>
      </c>
      <c r="E8" s="52">
        <f>IFERROR(1-_xlfn.NORM.DIST(_xlfn.NORM.INV(SUM(E10:E11), 0, 1) + 1, 0, 1, TRUE), "")</f>
        <v>0.51914326848214976</v>
      </c>
      <c r="F8" s="52">
        <f>IFERROR(1-_xlfn.NORM.DIST(_xlfn.NORM.INV(SUM(F10:F11), 0, 1) + 1, 0, 1, TRUE), "")</f>
        <v>0.71278063060972918</v>
      </c>
      <c r="G8" s="52">
        <f>IFERROR(1-_xlfn.NORM.DIST(_xlfn.NORM.INV(SUM(G10:G11), 0, 1) + 1, 0, 1, TRUE), "")</f>
        <v>0.78690015131897528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0.35291641326970891</v>
      </c>
      <c r="D9" s="52">
        <f>IFERROR(_xlfn.NORM.DIST(_xlfn.NORM.INV(SUM(D10:D11), 0, 1) + 1, 0, 1, TRUE) - SUM(D10:D11), "")</f>
        <v>0.35291641326970891</v>
      </c>
      <c r="E9" s="52">
        <f>IFERROR(_xlfn.NORM.DIST(_xlfn.NORM.INV(SUM(E10:E11), 0, 1) + 1, 0, 1, TRUE) - SUM(E10:E11), "")</f>
        <v>0.33353823151785028</v>
      </c>
      <c r="F9" s="52">
        <f>IFERROR(_xlfn.NORM.DIST(_xlfn.NORM.INV(SUM(F10:F11), 0, 1) + 1, 0, 1, TRUE) - SUM(F10:F11), "")</f>
        <v>0.22801956939027082</v>
      </c>
      <c r="G9" s="52">
        <f>IFERROR(_xlfn.NORM.DIST(_xlfn.NORM.INV(SUM(G10:G11), 0, 1) + 1, 0, 1, TRUE) - SUM(G10:G11), "")</f>
        <v>0.17682964868102474</v>
      </c>
    </row>
    <row r="10" spans="1:15" ht="15.75" customHeight="1" x14ac:dyDescent="0.25">
      <c r="B10" s="5" t="s">
        <v>119</v>
      </c>
      <c r="C10" s="45">
        <v>0.1270491</v>
      </c>
      <c r="D10" s="53">
        <v>0.1270491</v>
      </c>
      <c r="E10" s="53">
        <v>0.11937</v>
      </c>
      <c r="F10" s="53">
        <v>3.1077899999999999E-2</v>
      </c>
      <c r="G10" s="53">
        <v>2.2932299999999999E-2</v>
      </c>
    </row>
    <row r="11" spans="1:15" ht="15.75" customHeight="1" x14ac:dyDescent="0.25">
      <c r="B11" s="5" t="s">
        <v>120</v>
      </c>
      <c r="C11" s="45">
        <v>5.1395799999999998E-2</v>
      </c>
      <c r="D11" s="53">
        <v>5.1395799999999998E-2</v>
      </c>
      <c r="E11" s="53">
        <v>2.7948500000000001E-2</v>
      </c>
      <c r="F11" s="53">
        <v>2.8121899999999998E-2</v>
      </c>
      <c r="G11" s="53">
        <v>1.33379E-2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0.62129762875000005</v>
      </c>
      <c r="D14" s="54">
        <v>0.59335814614399995</v>
      </c>
      <c r="E14" s="54">
        <v>0.59335814614399995</v>
      </c>
      <c r="F14" s="54">
        <v>0.289678393378</v>
      </c>
      <c r="G14" s="54">
        <v>0.289678393378</v>
      </c>
      <c r="H14" s="45">
        <v>0.40100000000000002</v>
      </c>
      <c r="I14" s="55">
        <v>0.40100000000000002</v>
      </c>
      <c r="J14" s="55">
        <v>0.40100000000000002</v>
      </c>
      <c r="K14" s="55">
        <v>0.40100000000000002</v>
      </c>
      <c r="L14" s="45">
        <v>0.38400000000000001</v>
      </c>
      <c r="M14" s="55">
        <v>0.38400000000000001</v>
      </c>
      <c r="N14" s="55">
        <v>0.38400000000000001</v>
      </c>
      <c r="O14" s="55">
        <v>0.38400000000000001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0.35760648915592502</v>
      </c>
      <c r="D15" s="52">
        <f t="shared" si="0"/>
        <v>0.34152508175756346</v>
      </c>
      <c r="E15" s="52">
        <f t="shared" si="0"/>
        <v>0.34152508175756346</v>
      </c>
      <c r="F15" s="52">
        <f t="shared" si="0"/>
        <v>0.16673308966050923</v>
      </c>
      <c r="G15" s="52">
        <f t="shared" si="0"/>
        <v>0.16673308966050923</v>
      </c>
      <c r="H15" s="52">
        <f t="shared" si="0"/>
        <v>0.23080758000000001</v>
      </c>
      <c r="I15" s="52">
        <f t="shared" si="0"/>
        <v>0.23080758000000001</v>
      </c>
      <c r="J15" s="52">
        <f t="shared" si="0"/>
        <v>0.23080758000000001</v>
      </c>
      <c r="K15" s="52">
        <f t="shared" si="0"/>
        <v>0.23080758000000001</v>
      </c>
      <c r="L15" s="52">
        <f t="shared" si="0"/>
        <v>0.22102272000000001</v>
      </c>
      <c r="M15" s="52">
        <f t="shared" si="0"/>
        <v>0.22102272000000001</v>
      </c>
      <c r="N15" s="52">
        <f t="shared" si="0"/>
        <v>0.22102272000000001</v>
      </c>
      <c r="O15" s="52">
        <f t="shared" si="0"/>
        <v>0.22102272000000001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xaOPfASeVgqh5QDMW9W7ULK2DBTS8E/f6rS0g8SvErYQd43tDdtgmiaIJDohGu6JqS4pyJIYfp2iluiiMA+Qgg==" saltValue="Oy/Sk3eHaHWqbwDz5peHE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0.22567519999999999</v>
      </c>
      <c r="D2" s="53">
        <v>8.5698500000000011E-2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0.39929409999999999</v>
      </c>
      <c r="D3" s="53">
        <v>0.36836629999999998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0.27223619999999998</v>
      </c>
      <c r="D4" s="53">
        <v>0.3576281</v>
      </c>
      <c r="E4" s="53">
        <v>0.49657509999999999</v>
      </c>
      <c r="F4" s="53">
        <v>0.26392650000000001</v>
      </c>
      <c r="G4" s="53">
        <v>0</v>
      </c>
    </row>
    <row r="5" spans="1:7" x14ac:dyDescent="0.25">
      <c r="B5" s="3" t="s">
        <v>132</v>
      </c>
      <c r="C5" s="52">
        <v>0.1027945</v>
      </c>
      <c r="D5" s="52">
        <v>0.18830710000000001</v>
      </c>
      <c r="E5" s="52">
        <f>1-SUM(E2:E4)</f>
        <v>0.50342489999999995</v>
      </c>
      <c r="F5" s="52">
        <f>1-SUM(F2:F4)</f>
        <v>0.73607350000000005</v>
      </c>
      <c r="G5" s="52">
        <f>1-SUM(G2:G4)</f>
        <v>1</v>
      </c>
    </row>
  </sheetData>
  <sheetProtection algorithmName="SHA-512" hashValue="XtO6gnSQhoZpVWgPSQqXjb5GeaiJAj6oOLfMPrKiwRub08HivDpSpEympLgwmSHtK7G9QHBEf0ZDjDSAVTx4QA==" saltValue="xbK/iguBgiJSN5htt1GIa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uVq61VJKfR6Hluyr/w2GDQookJaDzOg8r+Bl00GSuw6wfThWuMeJlFn/EjDd2ZRZCTGejU9vkOOtWYvX2cwpUw==" saltValue="2QjlgK+R6H5PyhVPkvmyM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ht="13.25" customHeight="1" x14ac:dyDescent="0.25">
      <c r="A2" s="8" t="s">
        <v>145</v>
      </c>
      <c r="B2" s="41">
        <v>10</v>
      </c>
    </row>
    <row r="3" spans="1:2" ht="13.25" customHeight="1" x14ac:dyDescent="0.25">
      <c r="A3" s="8" t="s">
        <v>150</v>
      </c>
      <c r="B3" s="41">
        <v>10</v>
      </c>
    </row>
    <row r="4" spans="1:2" ht="13.25" customHeight="1" x14ac:dyDescent="0.25">
      <c r="A4" s="8" t="s">
        <v>146</v>
      </c>
      <c r="B4" s="41">
        <v>10</v>
      </c>
    </row>
    <row r="5" spans="1:2" ht="13.25" customHeight="1" x14ac:dyDescent="0.25">
      <c r="A5" s="8" t="s">
        <v>147</v>
      </c>
      <c r="B5" s="41">
        <v>10</v>
      </c>
    </row>
    <row r="6" spans="1:2" ht="13.25" customHeight="1" x14ac:dyDescent="0.25">
      <c r="A6" s="8" t="s">
        <v>148</v>
      </c>
      <c r="B6" s="41">
        <v>10</v>
      </c>
    </row>
    <row r="7" spans="1:2" ht="13.25" customHeight="1" x14ac:dyDescent="0.25">
      <c r="A7" s="8" t="s">
        <v>149</v>
      </c>
      <c r="B7" s="41">
        <v>10</v>
      </c>
    </row>
  </sheetData>
  <sheetProtection algorithmName="SHA-512" hashValue="uHcIzTPPrBGm2fd5gamQMDJJVnQ1pko9TVXpH0I6+Ee/Fm8JkePsuGtiPmyQycV+aM2ufxd9XAx9N/i6ppnqvA==" saltValue="+HiKDFt8YtnbAIfPS6lpy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109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96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MwAN9ZtGrWwiVMqpvCALUBWNnoSWan+W6cn+54LAE3PhQD7LzoDnXPKMgEx/vFulL2vwcQKs/DvOQpRZyzvz6A==" saltValue="YxO7Vypg/gFlsJ+dv1wvJ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B9RIlX4UN6Y0HmK/oDft5dBCi4q6Wp5rSKBjMBF2KUK0ctopG+IofaskcTPJmUJpKGlGTdJhT/S3qsOsFn9cJg==" saltValue="GEG4ZlPJqvd2e8WWEl6q4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56.337138300604238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39.842199870999643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387.87092573663659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6.2265350403132853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1.6153600000000001E-2</v>
      </c>
      <c r="C10" s="98">
        <v>0.95</v>
      </c>
      <c r="D10" s="56">
        <v>12.974499314795549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12.974499314795549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12.974499314795549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12.974499314795549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1.6153600000000001E-2</v>
      </c>
      <c r="C14" s="98">
        <v>0.95</v>
      </c>
      <c r="D14" s="56">
        <v>12.974499314795549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12.974499314795549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</v>
      </c>
      <c r="C16" s="98">
        <v>0.95</v>
      </c>
      <c r="D16" s="56">
        <v>0.68126511469090134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0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8.5698500000000011E-2</v>
      </c>
      <c r="C18" s="98">
        <v>0.95</v>
      </c>
      <c r="D18" s="56">
        <v>8.9498000901640609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8.5698500000000011E-2</v>
      </c>
      <c r="C19" s="98">
        <v>0.95</v>
      </c>
      <c r="D19" s="56">
        <v>8.9498000901640609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</v>
      </c>
      <c r="C21" s="98">
        <v>0.95</v>
      </c>
      <c r="D21" s="56">
        <v>69.283092298354532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22.370086288750748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4.2557875816009592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0.55540145219353199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1.6153600000000001E-2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18.535649720195959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0.21083840000000001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0.34978969999999998</v>
      </c>
      <c r="C29" s="98">
        <v>0.95</v>
      </c>
      <c r="D29" s="56">
        <v>109.78567093836929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1.2514852015075351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0.41</v>
      </c>
      <c r="C32" s="98">
        <v>0.95</v>
      </c>
      <c r="D32" s="56">
        <v>1.45890481734541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0.89304019999999995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1.33188E-2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0.93835589999999991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2.24059070083436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l5WvGwZo8LEUcl0MFvXJNpxjt8rPZgAXYTKP9Kxk/1xg34QbMYZQkspna5NWCUvkMGIlPa1mWR3ebiOFXs/Qpg==" saltValue="vLCpkpWJh8Mu51PQfsddJ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ht="13.25" customHeight="1" x14ac:dyDescent="0.25">
      <c r="A2" s="57" t="s">
        <v>180</v>
      </c>
      <c r="B2" s="47" t="s">
        <v>190</v>
      </c>
      <c r="C2" s="47"/>
    </row>
    <row r="3" spans="1:3" ht="13.25" customHeight="1" x14ac:dyDescent="0.25">
      <c r="A3" s="57" t="s">
        <v>181</v>
      </c>
      <c r="B3" s="47" t="s">
        <v>190</v>
      </c>
      <c r="C3" s="47"/>
    </row>
    <row r="4" spans="1:3" ht="13.25" customHeight="1" x14ac:dyDescent="0.25">
      <c r="A4" s="57" t="s">
        <v>192</v>
      </c>
      <c r="B4" s="47" t="s">
        <v>185</v>
      </c>
      <c r="C4" s="47"/>
    </row>
    <row r="5" spans="1:3" ht="13.25" customHeight="1" x14ac:dyDescent="0.25">
      <c r="A5" s="57" t="s">
        <v>189</v>
      </c>
      <c r="B5" s="47" t="s">
        <v>185</v>
      </c>
      <c r="C5" s="47"/>
    </row>
    <row r="6" spans="1:3" ht="13.25" customHeight="1" x14ac:dyDescent="0.25">
      <c r="A6" s="57" t="s">
        <v>192</v>
      </c>
      <c r="B6" s="58" t="s">
        <v>205</v>
      </c>
      <c r="C6" s="58"/>
    </row>
    <row r="7" spans="1:3" ht="13.25" customHeight="1" x14ac:dyDescent="0.25">
      <c r="A7" s="57" t="s">
        <v>189</v>
      </c>
      <c r="B7" s="58" t="s">
        <v>205</v>
      </c>
      <c r="C7" s="58"/>
    </row>
    <row r="8" spans="1:3" ht="13.25" customHeight="1" x14ac:dyDescent="0.25">
      <c r="A8" s="57" t="s">
        <v>200</v>
      </c>
      <c r="B8" s="58" t="s">
        <v>205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fK0k1WJrp3Z3Xb3jJAiq525cJqk461IQgi4Iynf18Lgv5g5fpxP42dmCuOfLre012iLO2hLHtmPezKHV6uDizg==" saltValue="b4B9d+YsCHlOWwwYXN2Lg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ht="13.25" customHeight="1" x14ac:dyDescent="0.25">
      <c r="A2" s="33" t="s">
        <v>172</v>
      </c>
    </row>
    <row r="3" spans="1:1" ht="13.25" customHeight="1" x14ac:dyDescent="0.25">
      <c r="A3" s="33" t="s">
        <v>182</v>
      </c>
    </row>
    <row r="4" spans="1:1" ht="13.25" customHeight="1" x14ac:dyDescent="0.25">
      <c r="A4" s="33" t="s">
        <v>186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161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eqP/ohhWwqysFrj4uXXpDOIN6CYwtzr6ZIzr1v6qta97tiALljckpv4GwqG2ceP2O0ZY4npd7KYwrkGBGolOkA==" saltValue="OI7361X3BgpcbR1vzZ/bH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2.8</v>
      </c>
      <c r="C2" s="21">
        <f>'Données pop de l''année de ref'!C52</f>
        <v>2.8</v>
      </c>
      <c r="D2" s="21">
        <f>'Données pop de l''année de ref'!C53</f>
        <v>2.8</v>
      </c>
      <c r="E2" s="21">
        <f>'Données pop de l''année de ref'!C54</f>
        <v>2.8</v>
      </c>
      <c r="F2" s="21">
        <f>'Données pop de l''année de ref'!C55</f>
        <v>2.8</v>
      </c>
    </row>
    <row r="3" spans="1:6" ht="15.75" customHeight="1" x14ac:dyDescent="0.25">
      <c r="A3" s="3" t="s">
        <v>209</v>
      </c>
      <c r="B3" s="21">
        <f>frac_mam_1month * 2.6</f>
        <v>0.33032766000000002</v>
      </c>
      <c r="C3" s="21">
        <f>frac_mam_1_5months * 2.6</f>
        <v>0.33032766000000002</v>
      </c>
      <c r="D3" s="21">
        <f>frac_mam_6_11months * 2.6</f>
        <v>0.31036200000000003</v>
      </c>
      <c r="E3" s="21">
        <f>frac_mam_12_23months * 2.6</f>
        <v>8.0802539999999992E-2</v>
      </c>
      <c r="F3" s="21">
        <f>frac_mam_24_59months * 2.6</f>
        <v>5.962398E-2</v>
      </c>
    </row>
    <row r="4" spans="1:6" ht="15.75" customHeight="1" x14ac:dyDescent="0.25">
      <c r="A4" s="3" t="s">
        <v>208</v>
      </c>
      <c r="B4" s="21">
        <f>frac_sam_1month * 2.6</f>
        <v>0.13362908000000001</v>
      </c>
      <c r="C4" s="21">
        <f>frac_sam_1_5months * 2.6</f>
        <v>0.13362908000000001</v>
      </c>
      <c r="D4" s="21">
        <f>frac_sam_6_11months * 2.6</f>
        <v>7.2666100000000011E-2</v>
      </c>
      <c r="E4" s="21">
        <f>frac_sam_12_23months * 2.6</f>
        <v>7.3116939999999991E-2</v>
      </c>
      <c r="F4" s="21">
        <f>frac_sam_24_59months * 2.6</f>
        <v>3.4678540000000001E-2</v>
      </c>
    </row>
  </sheetData>
  <sheetProtection algorithmName="SHA-512" hashValue="/P0G/6KWd9mLZKhfDZR2BzDqy0wI0iKVC+U+15zzalv1WyFwRcNhK+6f5nKaaZY3XQ9SXV0ZPaf1B5XD8JNGcQ==" saltValue="u+Tqe4BMhvGQEWZqDp4ng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0</v>
      </c>
      <c r="E2" s="60">
        <f>food_insecure</f>
        <v>0</v>
      </c>
      <c r="F2" s="60">
        <f>food_insecure</f>
        <v>0</v>
      </c>
      <c r="G2" s="60">
        <f>food_insecure</f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0</v>
      </c>
      <c r="F5" s="60">
        <f>food_insecure</f>
        <v>0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4.6000000000000006E-2</v>
      </c>
      <c r="D7" s="60">
        <f>diarrhoea_1_5mo*frac_diarrhea_severe</f>
        <v>4.6000000000000006E-2</v>
      </c>
      <c r="E7" s="60">
        <f>diarrhoea_6_11mo*frac_diarrhea_severe</f>
        <v>4.6000000000000006E-2</v>
      </c>
      <c r="F7" s="60">
        <f>diarrhoea_12_23mo*frac_diarrhea_severe</f>
        <v>4.6000000000000006E-2</v>
      </c>
      <c r="G7" s="60">
        <f>diarrhoea_24_59mo*frac_diarrhea_severe</f>
        <v>4.6000000000000006E-2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0</v>
      </c>
      <c r="F8" s="60">
        <f>food_insecure</f>
        <v>0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0</v>
      </c>
      <c r="F9" s="60">
        <f>food_insecure</f>
        <v>0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4.6000000000000006E-2</v>
      </c>
      <c r="D12" s="60">
        <f>diarrhoea_1_5mo*frac_diarrhea_severe</f>
        <v>4.6000000000000006E-2</v>
      </c>
      <c r="E12" s="60">
        <f>diarrhoea_6_11mo*frac_diarrhea_severe</f>
        <v>4.6000000000000006E-2</v>
      </c>
      <c r="F12" s="60">
        <f>diarrhoea_12_23mo*frac_diarrhea_severe</f>
        <v>4.6000000000000006E-2</v>
      </c>
      <c r="G12" s="60">
        <f>diarrhoea_24_59mo*frac_diarrhea_severe</f>
        <v>4.6000000000000006E-2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</v>
      </c>
      <c r="I15" s="60">
        <f>food_insecure</f>
        <v>0</v>
      </c>
      <c r="J15" s="60">
        <f>food_insecure</f>
        <v>0</v>
      </c>
      <c r="K15" s="60">
        <f>food_insecure</f>
        <v>0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0.249</v>
      </c>
      <c r="M24" s="60">
        <f>famplan_unmet_need</f>
        <v>0.249</v>
      </c>
      <c r="N24" s="60">
        <f>famplan_unmet_need</f>
        <v>0.249</v>
      </c>
      <c r="O24" s="60">
        <f>famplan_unmet_need</f>
        <v>0.249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4.3175231182999992E-2</v>
      </c>
      <c r="M25" s="60">
        <f>(1-food_insecure)*(0.49)+food_insecure*(0.7)</f>
        <v>0.49</v>
      </c>
      <c r="N25" s="60">
        <f>(1-food_insecure)*(0.49)+food_insecure*(0.7)</f>
        <v>0.49</v>
      </c>
      <c r="O25" s="60">
        <f>(1-food_insecure)*(0.49)+food_insecure*(0.7)</f>
        <v>0.49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1.8503670506999994E-2</v>
      </c>
      <c r="M26" s="60">
        <f>(1-food_insecure)*(0.21)+food_insecure*(0.3)</f>
        <v>0.21</v>
      </c>
      <c r="N26" s="60">
        <f>(1-food_insecure)*(0.21)+food_insecure*(0.3)</f>
        <v>0.21</v>
      </c>
      <c r="O26" s="60">
        <f>(1-food_insecure)*(0.21)+food_insecure*(0.3)</f>
        <v>0.21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2.6433815009999993E-2</v>
      </c>
      <c r="M27" s="60">
        <f>(1-food_insecure)*(0.3)</f>
        <v>0.3</v>
      </c>
      <c r="N27" s="60">
        <f>(1-food_insecure)*(0.3)</f>
        <v>0.3</v>
      </c>
      <c r="O27" s="60">
        <f>(1-food_insecure)*(0.3)</f>
        <v>0.3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0.91188728330000002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3VBgxzA5doYjf8zv85wBhrJnd75SScH6WMwPnLBF4E9h2lhnlYcMW+jTjwYl6KIPnm2IvGrJJZUdttAkKM0+lg==" saltValue="NmH2MXkPQGAFUkeFB5lYw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YXndRUtWh2uICtjtPYiLywvwS80j9GHuMhQwibpkJAe0TK77+JVTxpa4KUS7vBtbxyhBXg8wNPX+nh23GKQ/ng==" saltValue="U46AC9HhiQ4YFv4zjJPUO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Ljxix4ULsdMIi0agzCt5c96VcwHdKGnkWfdmaJlaY76+i2vL/J1mQDAGhdhvZq65xS2Y/0/mbcS4zdZldvSsdw==" saltValue="QBrU7duuwSJZ5cwIfuy+O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SuOVShhdStuIhMMzJc0g/8K7YMGYn3IxXM59LuWTm0vDsAxlPrHbMbcWY2mo3/i0B5gyuhdCuc3ppfDydqGVMw==" saltValue="WJeTd78bXcNoeDuUWYvSF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hbz+95FSF18p7c3Wy0CgIwi5ryrbftVrPu4gaUWvdXX3+zBUm+apoiRxoam6VCqNuY1PeQof6UHnWAvFR5iiAQ==" saltValue="q9FK+QWLgqbMXMPlcrpGR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Y1I/OFCl0UrppBH18YhfX2vGyLe7Cia4zd8RL7mxwHPjqt8aKvXu2sVSgOs8a38PeACVovfd6sm8nYtlAh+lIg==" saltValue="pYHbg8l1awBWW+E5Sm/f3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109</v>
      </c>
      <c r="C5" s="8" t="s">
        <v>153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154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96</v>
      </c>
      <c r="C8" s="8" t="s">
        <v>153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154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154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109</v>
      </c>
      <c r="C58" s="8" t="s">
        <v>153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154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96</v>
      </c>
      <c r="C61" s="8" t="s">
        <v>153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154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109</v>
      </c>
      <c r="C111" s="8" t="s">
        <v>153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154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96</v>
      </c>
      <c r="C114" s="8" t="s">
        <v>153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154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97</v>
      </c>
      <c r="C117" s="8" t="s">
        <v>153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154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98</v>
      </c>
      <c r="C120" s="8" t="s">
        <v>153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154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154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109</v>
      </c>
      <c r="C128" s="8" t="s">
        <v>153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154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96</v>
      </c>
      <c r="C131" s="8" t="s">
        <v>153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154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97</v>
      </c>
      <c r="C134" s="8" t="s">
        <v>153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154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98</v>
      </c>
      <c r="C137" s="8" t="s">
        <v>153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154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154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109</v>
      </c>
      <c r="C145" s="8" t="s">
        <v>153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154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96</v>
      </c>
      <c r="C148" s="8" t="s">
        <v>153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154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97</v>
      </c>
      <c r="C151" s="8" t="s">
        <v>153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154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98</v>
      </c>
      <c r="C154" s="8" t="s">
        <v>153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154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vPYAtHr6hbstRK1rdCSRwMsPU8jacf2ZbcNcUI3GfQkwnvPgndwEBvEtuRL2Ta8sP8nCpv9avGyXhQvtUxZerQ==" saltValue="+YnuH+rImm9BCTvWS5XAIw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1jtvJaXhbPDvHpDz/8FoRh8R3ovBtZNaHf9D29EPpt7H/OxXX/BYn/s+KLCI/iN+FmedPOO2K3qLwB9ddvQMyA==" saltValue="ZlkGZblNOBPKr6AAVFP2S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YNoaww4mXFgjWbfc9D6gRsc7hIjhyXysugwTEeqkfBCHjrrbN5t31bsYBCVjkBKXgWICPmenoUkrJsfWf5t7+Q==" saltValue="QEH0Vn8V3rfuViSbA1k4Z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287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298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121</v>
      </c>
      <c r="B40" s="11" t="s">
        <v>299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303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311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121</v>
      </c>
      <c r="B63" s="11" t="s">
        <v>312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VaENBR3NkLtGQ6MKOp5rowFc0u0tPABd87odHMComQ6rJJPpN5455H9mZJHfZohpfpw0niC8y9gT9DeoxvqIuw==" saltValue="3fDBBcvIU36XkOWEvA1+V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oaCltzMpY97cn0CPHfK94YQKiaFYAPXc08xetvAlTl8H0Uv1Y/KGdBsi0ENH4AXWARGiaTxki6ey6kSzM6mQyA==" saltValue="2jOUmSo5sxLGZWPKpFfsz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176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177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178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179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180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174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183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176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177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178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179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180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174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183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wr42bASMSw3O8b/Q8MtEJwCa9tXEbDOPFRJAkwpDQLRcWpd1X/nfKjtQ7EwgYP9DSF9tTdyPmKVoGFDIimtd4Q==" saltValue="seqA+8atGR1VdMSV1euno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ht="13.25" customHeight="1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ht="13.25" customHeight="1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ht="13.25" customHeight="1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nhL/aXJfYP9DljRE0bSA0XzZOTtFjc1tpqH7A7APcRzr2utAzD1i9ui1AsCq0VdXNAGNsovgUSq6I1g24cr69A==" saltValue="NuJbR0rwhnxEHU2b1p60q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ht="13.25" customHeight="1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336</v>
      </c>
      <c r="D18" s="90">
        <v>0</v>
      </c>
      <c r="E18" s="90">
        <v>0</v>
      </c>
      <c r="F18" s="90">
        <f>MIN(MAX(1-0.89/(1-frac_sam_6_11months+(frac_sam_6_11months*0.89)),0),1)</f>
        <v>0.10725540404258715</v>
      </c>
      <c r="G18" s="90">
        <f>MIN(MAX(1-0.89/(1-frac_sam_12_23months+(frac_sam_12_23months*0.89)),0),1)</f>
        <v>0.10723832299349301</v>
      </c>
      <c r="H18" s="90">
        <f>MIN(MAX(1-0.89/(1-frac_sam_24_59months+(frac_sam_24_59months*0.89)),0),1)</f>
        <v>0.10869230097452853</v>
      </c>
    </row>
    <row r="19" spans="1:8" ht="13.25" customHeight="1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336</v>
      </c>
      <c r="D20" s="90">
        <v>0</v>
      </c>
      <c r="E20" s="90">
        <v>0</v>
      </c>
      <c r="F20" s="90">
        <f>MIN(MAX(1-0.89/(1-frac_mam_6_11months+(frac_mam_6_11months*0.89)),0),1)</f>
        <v>9.8158185688824284E-2</v>
      </c>
      <c r="G20" s="90">
        <f>MIN(MAX(1-0.89/(1-frac_mam_12_23months+(frac_mam_12_23months*0.89)),0),1)</f>
        <v>0.10694703682473083</v>
      </c>
      <c r="H20" s="90">
        <f>MIN(MAX(1-0.89/(1-frac_mam_24_59months+(frac_mam_24_59months*0.89)),0),1)</f>
        <v>0.10774925019432535</v>
      </c>
    </row>
    <row r="21" spans="1:8" ht="13.25" customHeight="1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335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9.7232324976345152E-3</v>
      </c>
      <c r="G73" s="90">
        <f>MIN(MAX(1-0.99/(1-frac_sam_12_23months+(frac_sam_12_23months*0.99)),0),1)</f>
        <v>9.7215148746915281E-3</v>
      </c>
      <c r="H73" s="90">
        <f>MIN(MAX(1-0.99/(1-frac_sam_24_59months+(frac_sam_24_59months*0.99)),0),1)</f>
        <v>9.8679371755925338E-3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8.8168246435771369E-3</v>
      </c>
      <c r="G75" s="90">
        <f>MIN(MAX(1-0.99/(1-frac_mam_12_23months+(frac_mam_12_23months*0.99)),0),1)</f>
        <v>9.6922331425238761E-3</v>
      </c>
      <c r="H75" s="90">
        <f>MIN(MAX(1-0.99/(1-frac_mam_24_59months+(frac_mam_24_59months*0.99)),0),1)</f>
        <v>9.772918154909993E-3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0.1955031036987448</v>
      </c>
      <c r="G128" s="90">
        <f>MIN(MAX(1-0.8/(1-frac_sam_12_23months+(frac_sam_12_23months*0.8)),0),1)</f>
        <v>0.19547504593887766</v>
      </c>
      <c r="H128" s="90">
        <f>MIN(MAX(1-0.8/(1-frac_sam_24_59months+(frac_sam_24_59months*0.8)),0),1)</f>
        <v>0.19786022798697345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0.18043367352165596</v>
      </c>
      <c r="G130" s="90">
        <f>MIN(MAX(1-0.8/(1-frac_mam_12_23months+(frac_mam_12_23months*0.8)),0),1)</f>
        <v>0.19499643594734561</v>
      </c>
      <c r="H130" s="90">
        <f>MIN(MAX(1-0.8/(1-frac_mam_24_59months+(frac_mam_24_59months*0.8)),0),1)</f>
        <v>0.19631392596889918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E+5UXSH2vaC3xi+zqQkx5709lRt8UaV7j3f9tfkPnWUXllQGVhPVP/b60DVAD94/gnIx1b0292fFyUr0a4+k/w==" saltValue="GI55UHK5ZPO2Ut44LYxI5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ht="13.25" customHeight="1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335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ht="13.25" customHeight="1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ht="13.25" customHeight="1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335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IddFK457/mdxwqp+LOa8gmsU17r7CKW0oxhwmvoMU29CUk2glGH6SnjR4fz1Okhfhs+ahKnB77ZevUs9HbtA4g==" saltValue="zU4NnzcaQ9f3o7AJQxWEs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2024-08-06T08:42:41Z</dcterms:modified>
</cp:coreProperties>
</file>