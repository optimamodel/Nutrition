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D256C8F0-DA97-472F-927F-656029F53EF4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9" i="2" l="1"/>
  <c r="I13" i="2"/>
  <c r="A22" i="2"/>
  <c r="A23" i="2"/>
  <c r="A37" i="2"/>
  <c r="A26" i="2"/>
  <c r="A31" i="2"/>
  <c r="I38" i="2"/>
  <c r="A34" i="2"/>
  <c r="A40" i="2"/>
  <c r="I2" i="2"/>
  <c r="I6" i="2"/>
  <c r="A19" i="2"/>
  <c r="A35" i="2"/>
  <c r="A36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<sst xmlns="http://schemas.openxmlformats.org/spreadsheetml/2006/main" count="2169" uniqueCount="369">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</sst>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4335257.5000000009</v>
      </c>
    </row>
    <row r="8" spans="1:3" ht="15" customHeight="1" x14ac:dyDescent="0.25">
      <c r="B8" s="5" t="s">
        <v>37</v>
      </c>
      <c r="C8" s="44">
        <v>0.77599999999999991</v>
      </c>
    </row>
    <row r="9" spans="1:3" ht="15" customHeight="1" x14ac:dyDescent="0.25">
      <c r="B9" s="5" t="s">
        <v>38</v>
      </c>
      <c r="C9" s="45">
        <v>0.6</v>
      </c>
    </row>
    <row r="10" spans="1:3" ht="15" customHeight="1" x14ac:dyDescent="0.25">
      <c r="B10" s="5" t="s">
        <v>39</v>
      </c>
      <c r="C10" s="45">
        <v>0.31031189999999997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0.14599999999999999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0.13400000000000001</v>
      </c>
    </row>
    <row r="24" spans="1:3" ht="15" customHeight="1" x14ac:dyDescent="0.25">
      <c r="B24" s="15" t="s">
        <v>51</v>
      </c>
      <c r="C24" s="45">
        <v>0.50590000000000002</v>
      </c>
    </row>
    <row r="25" spans="1:3" ht="15" customHeight="1" x14ac:dyDescent="0.25">
      <c r="B25" s="15" t="s">
        <v>52</v>
      </c>
      <c r="C25" s="45">
        <v>0.29549999999999998</v>
      </c>
    </row>
    <row r="26" spans="1:3" ht="15" customHeight="1" x14ac:dyDescent="0.25">
      <c r="B26" s="15" t="s">
        <v>53</v>
      </c>
      <c r="C26" s="45">
        <v>6.4600000000000005E-2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0.28578644131437603</v>
      </c>
    </row>
    <row r="30" spans="1:3" ht="14.25" customHeight="1" x14ac:dyDescent="0.25">
      <c r="B30" s="25" t="s">
        <v>56</v>
      </c>
      <c r="C30" s="97">
        <v>6.9844134891047002E-2</v>
      </c>
    </row>
    <row r="31" spans="1:3" ht="14.25" customHeight="1" x14ac:dyDescent="0.25">
      <c r="B31" s="25" t="s">
        <v>57</v>
      </c>
      <c r="C31" s="97">
        <v>8.7209546463448695E-2</v>
      </c>
    </row>
    <row r="32" spans="1:3" ht="14.25" customHeight="1" x14ac:dyDescent="0.25">
      <c r="B32" s="25" t="s">
        <v>58</v>
      </c>
      <c r="C32" s="97">
        <v>0.55715987733112793</v>
      </c>
    </row>
    <row r="33" spans="1:5" ht="13.25" customHeight="1" x14ac:dyDescent="0.25">
      <c r="B33" s="27" t="s">
        <v>59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24.115670000000001</v>
      </c>
    </row>
    <row r="38" spans="1:5" ht="15" customHeight="1" x14ac:dyDescent="0.25">
      <c r="B38" s="11" t="s">
        <v>63</v>
      </c>
      <c r="C38" s="43">
        <v>45.25882</v>
      </c>
      <c r="D38" s="12"/>
      <c r="E38" s="13"/>
    </row>
    <row r="39" spans="1:5" ht="15" customHeight="1" x14ac:dyDescent="0.25">
      <c r="B39" s="11" t="s">
        <v>64</v>
      </c>
      <c r="C39" s="43">
        <v>66.003</v>
      </c>
      <c r="D39" s="12"/>
      <c r="E39" s="12"/>
    </row>
    <row r="40" spans="1:5" ht="15" customHeight="1" x14ac:dyDescent="0.25">
      <c r="B40" s="11" t="s">
        <v>65</v>
      </c>
      <c r="C40" s="98">
        <v>3.92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18.363099999999999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7.9161000000000006E-3</v>
      </c>
      <c r="D45" s="12"/>
    </row>
    <row r="46" spans="1:5" ht="15.75" customHeight="1" x14ac:dyDescent="0.25">
      <c r="B46" s="11" t="s">
        <v>70</v>
      </c>
      <c r="C46" s="45">
        <v>8.5057899999999992E-2</v>
      </c>
      <c r="D46" s="12"/>
    </row>
    <row r="47" spans="1:5" ht="15.75" customHeight="1" x14ac:dyDescent="0.25">
      <c r="B47" s="11" t="s">
        <v>71</v>
      </c>
      <c r="C47" s="45">
        <v>7.3472599999999999E-2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2.0019999999999998</v>
      </c>
      <c r="D51" s="12"/>
    </row>
    <row r="52" spans="1:4" ht="15" customHeight="1" x14ac:dyDescent="0.25">
      <c r="B52" s="11" t="s">
        <v>75</v>
      </c>
      <c r="C52" s="98">
        <v>2.0019999999999998</v>
      </c>
    </row>
    <row r="53" spans="1:4" ht="15.75" customHeight="1" x14ac:dyDescent="0.25">
      <c r="B53" s="11" t="s">
        <v>76</v>
      </c>
      <c r="C53" s="98">
        <v>4.524</v>
      </c>
    </row>
    <row r="54" spans="1:4" ht="15.75" customHeight="1" x14ac:dyDescent="0.25">
      <c r="B54" s="11" t="s">
        <v>77</v>
      </c>
      <c r="C54" s="98">
        <v>3.9780000000000002</v>
      </c>
    </row>
    <row r="55" spans="1:4" ht="15.75" customHeight="1" x14ac:dyDescent="0.25">
      <c r="B55" s="11" t="s">
        <v>78</v>
      </c>
      <c r="C55" s="98">
        <v>1.5166666666666671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0.52655600000000002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0.18712120469999999</v>
      </c>
    </row>
    <row r="63" spans="1:4" ht="15.75" customHeight="1" x14ac:dyDescent="0.3">
      <c r="A63" s="4"/>
    </row>
  </sheetData>
  <sheetProtection algorithmName="SHA-512" hashValue="6wjcMlN1fKm5NUAsZ4tynhhqRPICpnXRMqwQOmsMufNHKttyhPJhafwd3BgVc3Cd1g2dV75TDHkXg0/QaCz3tA==" saltValue="4QxX0bNzIsAhjtZguDub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4717036</v>
      </c>
      <c r="C2" s="49">
        <v>1108252</v>
      </c>
      <c r="D2" s="49">
        <v>2048083</v>
      </c>
      <c r="E2" s="49">
        <v>3501255.5</v>
      </c>
      <c r="F2" s="49">
        <v>2839299</v>
      </c>
      <c r="G2" s="17">
        <f t="shared" ref="G2:G13" si="0">C2+D2+E2+F2</f>
        <v>9496889.5</v>
      </c>
      <c r="H2" s="17">
        <f t="shared" ref="H2:H13" si="1">(B2 + stillbirth*B2/(1000-stillbirth))/(1-abortion)</f>
        <v>5460540.6355630904</v>
      </c>
      <c r="I2" s="17">
        <f t="shared" ref="I2:I13" si="2">G2-H2</f>
        <v>4036348.8644369096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1013751</v>
      </c>
      <c r="C3" s="50">
        <v>1689273.5</v>
      </c>
      <c r="D3" s="50">
        <v>2853003</v>
      </c>
      <c r="E3" s="50">
        <v>1963261</v>
      </c>
      <c r="F3" s="50">
        <v>1400324</v>
      </c>
      <c r="G3" s="17">
        <f t="shared" si="0"/>
        <v>7905861.5</v>
      </c>
      <c r="H3" s="17">
        <f t="shared" si="1"/>
        <v>1173539.5977140556</v>
      </c>
      <c r="I3" s="17">
        <f t="shared" si="2"/>
        <v>6732321.9022859447</v>
      </c>
    </row>
    <row r="4" spans="1:9" ht="15.75" customHeight="1" x14ac:dyDescent="0.25">
      <c r="A4" s="5">
        <f t="shared" si="3"/>
        <v>2026</v>
      </c>
      <c r="B4" s="49">
        <v>1023320</v>
      </c>
      <c r="C4" s="50">
        <v>1728089.5</v>
      </c>
      <c r="D4" s="50">
        <v>2916805.0000000005</v>
      </c>
      <c r="E4" s="50">
        <v>2038939.5</v>
      </c>
      <c r="F4" s="50">
        <v>1438928.5</v>
      </c>
      <c r="G4" s="17">
        <f t="shared" si="0"/>
        <v>8122762.5</v>
      </c>
      <c r="H4" s="17">
        <f t="shared" si="1"/>
        <v>1184616.8744916134</v>
      </c>
      <c r="I4" s="17">
        <f t="shared" si="2"/>
        <v>6938145.6255083866</v>
      </c>
    </row>
    <row r="5" spans="1:9" ht="15.75" customHeight="1" x14ac:dyDescent="0.25">
      <c r="A5" s="5">
        <f t="shared" si="3"/>
        <v>2027</v>
      </c>
      <c r="B5" s="49">
        <v>1033723</v>
      </c>
      <c r="C5" s="50">
        <v>1763264</v>
      </c>
      <c r="D5" s="50">
        <v>2975900.4999999995</v>
      </c>
      <c r="E5" s="50">
        <v>2121549.5</v>
      </c>
      <c r="F5" s="50">
        <v>1477199</v>
      </c>
      <c r="G5" s="17">
        <f t="shared" si="0"/>
        <v>8337913</v>
      </c>
      <c r="H5" s="17">
        <f t="shared" si="1"/>
        <v>1196659.607307679</v>
      </c>
      <c r="I5" s="17">
        <f t="shared" si="2"/>
        <v>7141253.392692321</v>
      </c>
    </row>
    <row r="6" spans="1:9" ht="15.75" customHeight="1" x14ac:dyDescent="0.25">
      <c r="A6" s="5">
        <f t="shared" si="3"/>
        <v>2028</v>
      </c>
      <c r="B6" s="49">
        <v>1042914</v>
      </c>
      <c r="C6" s="50">
        <v>1792878</v>
      </c>
      <c r="D6" s="50">
        <v>3032283.9999999995</v>
      </c>
      <c r="E6" s="50">
        <v>2209831</v>
      </c>
      <c r="F6" s="50">
        <v>1515620</v>
      </c>
      <c r="G6" s="17">
        <f t="shared" si="0"/>
        <v>8550613</v>
      </c>
      <c r="H6" s="17">
        <f t="shared" si="1"/>
        <v>1207299.3032908048</v>
      </c>
      <c r="I6" s="17">
        <f t="shared" si="2"/>
        <v>7343313.6967091952</v>
      </c>
    </row>
    <row r="7" spans="1:9" ht="15.75" customHeight="1" x14ac:dyDescent="0.25">
      <c r="A7" s="5">
        <f t="shared" si="3"/>
        <v>2029</v>
      </c>
      <c r="B7" s="49">
        <v>1051289</v>
      </c>
      <c r="C7" s="50">
        <v>1818644.5</v>
      </c>
      <c r="D7" s="50">
        <v>3087947.5</v>
      </c>
      <c r="E7" s="50">
        <v>2300742</v>
      </c>
      <c r="F7" s="50">
        <v>1556188.9999999998</v>
      </c>
      <c r="G7" s="17">
        <f t="shared" si="0"/>
        <v>8763523</v>
      </c>
      <c r="H7" s="17">
        <f t="shared" si="1"/>
        <v>1216994.3804161099</v>
      </c>
      <c r="I7" s="17">
        <f t="shared" si="2"/>
        <v>7546528.6195838898</v>
      </c>
    </row>
    <row r="8" spans="1:9" ht="15.75" customHeight="1" x14ac:dyDescent="0.25">
      <c r="A8" s="5">
        <f t="shared" si="3"/>
        <v>2030</v>
      </c>
      <c r="B8" s="49">
        <v>1059649</v>
      </c>
      <c r="C8" s="50">
        <v>1840783.5</v>
      </c>
      <c r="D8" s="50">
        <v>3145892</v>
      </c>
      <c r="E8" s="50">
        <v>2390960.5</v>
      </c>
      <c r="F8" s="50">
        <v>1599925.0000000002</v>
      </c>
      <c r="G8" s="17">
        <f t="shared" si="0"/>
        <v>8977561</v>
      </c>
      <c r="H8" s="17">
        <f t="shared" si="1"/>
        <v>1226672.0932241757</v>
      </c>
      <c r="I8" s="17">
        <f t="shared" si="2"/>
        <v>7750888.9067758247</v>
      </c>
    </row>
    <row r="9" spans="1:9" ht="15.75" customHeight="1" x14ac:dyDescent="0.25">
      <c r="A9" s="5">
        <f t="shared" si="3"/>
        <v>2031</v>
      </c>
      <c r="B9" s="49">
        <v>1068175</v>
      </c>
      <c r="C9" s="50">
        <v>1861104</v>
      </c>
      <c r="D9" s="50">
        <v>3206882.5</v>
      </c>
      <c r="E9" s="50">
        <v>2476861.5</v>
      </c>
      <c r="F9" s="50">
        <v>1648066.5</v>
      </c>
      <c r="G9" s="17">
        <f t="shared" si="0"/>
        <v>9192914.5</v>
      </c>
      <c r="H9" s="17">
        <f t="shared" si="1"/>
        <v>1236541.9711430236</v>
      </c>
      <c r="I9" s="17">
        <f t="shared" si="2"/>
        <v>7956372.528856976</v>
      </c>
    </row>
    <row r="10" spans="1:9" ht="15.75" customHeight="1" x14ac:dyDescent="0.25">
      <c r="A10" s="5">
        <f t="shared" si="3"/>
        <v>2032</v>
      </c>
      <c r="B10" s="49">
        <v>1076930</v>
      </c>
      <c r="C10" s="50">
        <v>1885846</v>
      </c>
      <c r="D10" s="50">
        <v>3266865.5</v>
      </c>
      <c r="E10" s="50">
        <v>2557978</v>
      </c>
      <c r="F10" s="50">
        <v>1701387.5</v>
      </c>
      <c r="G10" s="17">
        <f t="shared" si="0"/>
        <v>9412077</v>
      </c>
      <c r="H10" s="17">
        <f t="shared" si="1"/>
        <v>1246676.944305059</v>
      </c>
      <c r="I10" s="17">
        <f t="shared" si="2"/>
        <v>8165400.0556949414</v>
      </c>
    </row>
    <row r="11" spans="1:9" ht="15.75" customHeight="1" x14ac:dyDescent="0.25">
      <c r="A11" s="5">
        <f t="shared" si="3"/>
        <v>2033</v>
      </c>
      <c r="B11" s="49">
        <v>1083649</v>
      </c>
      <c r="C11" s="50">
        <v>1917984</v>
      </c>
      <c r="D11" s="50">
        <v>3324989.5</v>
      </c>
      <c r="E11" s="50">
        <v>2635129.5</v>
      </c>
      <c r="F11" s="50">
        <v>1759103</v>
      </c>
      <c r="G11" s="17">
        <f t="shared" si="0"/>
        <v>9637206</v>
      </c>
      <c r="H11" s="17">
        <f t="shared" si="1"/>
        <v>1254455.0008071398</v>
      </c>
      <c r="I11" s="17">
        <f t="shared" si="2"/>
        <v>8382750.99919286</v>
      </c>
    </row>
    <row r="12" spans="1:9" ht="15.75" customHeight="1" x14ac:dyDescent="0.25">
      <c r="A12" s="5">
        <f t="shared" si="3"/>
        <v>2034</v>
      </c>
      <c r="B12" s="49">
        <v>1091296</v>
      </c>
      <c r="C12" s="50">
        <v>1956371</v>
      </c>
      <c r="D12" s="50">
        <v>3383741.5</v>
      </c>
      <c r="E12" s="50">
        <v>2707797</v>
      </c>
      <c r="F12" s="50">
        <v>1821539</v>
      </c>
      <c r="G12" s="17">
        <f t="shared" si="0"/>
        <v>9869448.5</v>
      </c>
      <c r="H12" s="17">
        <f t="shared" si="1"/>
        <v>1263307.3297357617</v>
      </c>
      <c r="I12" s="17">
        <f t="shared" si="2"/>
        <v>8606141.1702642385</v>
      </c>
    </row>
    <row r="13" spans="1:9" ht="15.75" customHeight="1" x14ac:dyDescent="0.25">
      <c r="A13" s="5">
        <f t="shared" si="3"/>
        <v>2035</v>
      </c>
      <c r="B13" s="49">
        <v>1099269</v>
      </c>
      <c r="C13" s="50">
        <v>2000299</v>
      </c>
      <c r="D13" s="50">
        <v>3442757</v>
      </c>
      <c r="E13" s="50">
        <v>2775911.5</v>
      </c>
      <c r="F13" s="50">
        <v>1889556.5</v>
      </c>
      <c r="G13" s="17">
        <f t="shared" si="0"/>
        <v>10108524</v>
      </c>
      <c r="H13" s="17">
        <f t="shared" si="1"/>
        <v>1272537.043159052</v>
      </c>
      <c r="I13" s="17">
        <f t="shared" si="2"/>
        <v>8835986.9568409473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/XoPQTlJiRlzyy5osRvPC8WW1V/CQ+ICkTzUOIWv8DU+roSoeQw/t8TNszvuB2W15En3tCBKC5OH8cg2NfSQA==" saltValue="S9bKHtbHuvoD3X853D6dM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1.2181401218140131E-2</v>
      </c>
    </row>
    <row r="4" spans="1:8" ht="15.75" customHeight="1" x14ac:dyDescent="0.25">
      <c r="B4" s="19" t="s">
        <v>97</v>
      </c>
      <c r="C4" s="99">
        <v>7.1480107148010633E-2</v>
      </c>
    </row>
    <row r="5" spans="1:8" ht="15.75" customHeight="1" x14ac:dyDescent="0.25">
      <c r="B5" s="19" t="s">
        <v>98</v>
      </c>
      <c r="C5" s="99">
        <v>0.105523710552371</v>
      </c>
    </row>
    <row r="6" spans="1:8" ht="15.75" customHeight="1" x14ac:dyDescent="0.25">
      <c r="B6" s="19" t="s">
        <v>99</v>
      </c>
      <c r="C6" s="99">
        <v>0.25522302552230253</v>
      </c>
    </row>
    <row r="7" spans="1:8" ht="15.75" customHeight="1" x14ac:dyDescent="0.25">
      <c r="B7" s="19" t="s">
        <v>100</v>
      </c>
      <c r="C7" s="99">
        <v>0.37572243757224411</v>
      </c>
    </row>
    <row r="8" spans="1:8" ht="15.75" customHeight="1" x14ac:dyDescent="0.25">
      <c r="B8" s="19" t="s">
        <v>101</v>
      </c>
      <c r="C8" s="99">
        <v>3.1590003159000352E-3</v>
      </c>
    </row>
    <row r="9" spans="1:8" ht="15.75" customHeight="1" x14ac:dyDescent="0.25">
      <c r="B9" s="19" t="s">
        <v>102</v>
      </c>
      <c r="C9" s="99">
        <v>5.5272605527260543E-2</v>
      </c>
    </row>
    <row r="10" spans="1:8" ht="15.75" customHeight="1" x14ac:dyDescent="0.25">
      <c r="B10" s="19" t="s">
        <v>103</v>
      </c>
      <c r="C10" s="99">
        <v>0.1214377121437713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0.12519808072152641</v>
      </c>
      <c r="D14" s="55">
        <v>0.12519808072152641</v>
      </c>
      <c r="E14" s="55">
        <v>0.12519808072152641</v>
      </c>
      <c r="F14" s="55">
        <v>0.12519808072152641</v>
      </c>
    </row>
    <row r="15" spans="1:8" ht="15.75" customHeight="1" x14ac:dyDescent="0.25">
      <c r="B15" s="19" t="s">
        <v>106</v>
      </c>
      <c r="C15" s="99">
        <v>0.1612690439744941</v>
      </c>
      <c r="D15" s="99">
        <v>0.1612690439744941</v>
      </c>
      <c r="E15" s="99">
        <v>0.1612690439744941</v>
      </c>
      <c r="F15" s="99">
        <v>0.1612690439744941</v>
      </c>
    </row>
    <row r="16" spans="1:8" ht="15.75" customHeight="1" x14ac:dyDescent="0.25">
      <c r="B16" s="19" t="s">
        <v>107</v>
      </c>
      <c r="C16" s="99">
        <v>2.05544624250979E-2</v>
      </c>
      <c r="D16" s="99">
        <v>2.05544624250979E-2</v>
      </c>
      <c r="E16" s="99">
        <v>2.05544624250979E-2</v>
      </c>
      <c r="F16" s="99">
        <v>2.05544624250979E-2</v>
      </c>
    </row>
    <row r="17" spans="1:8" ht="15.75" customHeight="1" x14ac:dyDescent="0.25">
      <c r="B17" s="19" t="s">
        <v>108</v>
      </c>
      <c r="C17" s="99">
        <v>0.38184603296141229</v>
      </c>
      <c r="D17" s="99">
        <v>0.38184603296141229</v>
      </c>
      <c r="E17" s="99">
        <v>0.38184603296141229</v>
      </c>
      <c r="F17" s="99">
        <v>0.38184603296141229</v>
      </c>
    </row>
    <row r="18" spans="1:8" ht="15.75" customHeight="1" x14ac:dyDescent="0.25">
      <c r="B18" s="19" t="s">
        <v>109</v>
      </c>
      <c r="C18" s="99">
        <v>5.4711808826019823E-2</v>
      </c>
      <c r="D18" s="99">
        <v>5.4711808826019823E-2</v>
      </c>
      <c r="E18" s="99">
        <v>5.4711808826019823E-2</v>
      </c>
      <c r="F18" s="99">
        <v>5.4711808826019823E-2</v>
      </c>
    </row>
    <row r="19" spans="1:8" ht="15.75" customHeight="1" x14ac:dyDescent="0.25">
      <c r="B19" s="19" t="s">
        <v>110</v>
      </c>
      <c r="C19" s="99">
        <v>3.0265539065716909E-2</v>
      </c>
      <c r="D19" s="99">
        <v>3.0265539065716909E-2</v>
      </c>
      <c r="E19" s="99">
        <v>3.0265539065716909E-2</v>
      </c>
      <c r="F19" s="99">
        <v>3.0265539065716909E-2</v>
      </c>
    </row>
    <row r="20" spans="1:8" ht="15.75" customHeight="1" x14ac:dyDescent="0.25">
      <c r="B20" s="19" t="s">
        <v>111</v>
      </c>
      <c r="C20" s="99">
        <v>1.0857241974918601E-2</v>
      </c>
      <c r="D20" s="99">
        <v>1.0857241974918601E-2</v>
      </c>
      <c r="E20" s="99">
        <v>1.0857241974918601E-2</v>
      </c>
      <c r="F20" s="99">
        <v>1.0857241974918601E-2</v>
      </c>
    </row>
    <row r="21" spans="1:8" ht="15.75" customHeight="1" x14ac:dyDescent="0.25">
      <c r="B21" s="19" t="s">
        <v>112</v>
      </c>
      <c r="C21" s="99">
        <v>6.308013052669835E-2</v>
      </c>
      <c r="D21" s="99">
        <v>6.308013052669835E-2</v>
      </c>
      <c r="E21" s="99">
        <v>6.308013052669835E-2</v>
      </c>
      <c r="F21" s="99">
        <v>6.308013052669835E-2</v>
      </c>
    </row>
    <row r="22" spans="1:8" ht="15.75" customHeight="1" x14ac:dyDescent="0.25">
      <c r="B22" s="19" t="s">
        <v>113</v>
      </c>
      <c r="C22" s="99">
        <v>0.15221765952411559</v>
      </c>
      <c r="D22" s="99">
        <v>0.15221765952411559</v>
      </c>
      <c r="E22" s="99">
        <v>0.15221765952411559</v>
      </c>
      <c r="F22" s="99">
        <v>0.15221765952411559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8.7985991E-2</v>
      </c>
    </row>
    <row r="27" spans="1:8" ht="15.75" customHeight="1" x14ac:dyDescent="0.25">
      <c r="B27" s="19" t="s">
        <v>120</v>
      </c>
      <c r="C27" s="99">
        <v>9.0154729999999995E-3</v>
      </c>
    </row>
    <row r="28" spans="1:8" ht="15.75" customHeight="1" x14ac:dyDescent="0.25">
      <c r="B28" s="19" t="s">
        <v>121</v>
      </c>
      <c r="C28" s="99">
        <v>0.15676572499999999</v>
      </c>
    </row>
    <row r="29" spans="1:8" ht="15.75" customHeight="1" x14ac:dyDescent="0.25">
      <c r="B29" s="19" t="s">
        <v>122</v>
      </c>
      <c r="C29" s="99">
        <v>0.168756885</v>
      </c>
    </row>
    <row r="30" spans="1:8" ht="15.75" customHeight="1" x14ac:dyDescent="0.25">
      <c r="B30" s="19" t="s">
        <v>2</v>
      </c>
      <c r="C30" s="99">
        <v>0.105851448</v>
      </c>
    </row>
    <row r="31" spans="1:8" ht="15.75" customHeight="1" x14ac:dyDescent="0.25">
      <c r="B31" s="19" t="s">
        <v>123</v>
      </c>
      <c r="C31" s="99">
        <v>0.11038854400000001</v>
      </c>
    </row>
    <row r="32" spans="1:8" ht="15.75" customHeight="1" x14ac:dyDescent="0.25">
      <c r="B32" s="19" t="s">
        <v>124</v>
      </c>
      <c r="C32" s="99">
        <v>1.8940327999999999E-2</v>
      </c>
    </row>
    <row r="33" spans="2:3" ht="15.75" customHeight="1" x14ac:dyDescent="0.25">
      <c r="B33" s="19" t="s">
        <v>125</v>
      </c>
      <c r="C33" s="99">
        <v>8.4923389999999987E-2</v>
      </c>
    </row>
    <row r="34" spans="2:3" ht="15.75" customHeight="1" x14ac:dyDescent="0.25">
      <c r="B34" s="19" t="s">
        <v>126</v>
      </c>
      <c r="C34" s="99">
        <v>0.25737221700000001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Qe7JriznH1VUlbQdnomS1rzEGra1aCegejxU0lxDj+pL6XYLIK0398T550O2wnJ0/PE3eW8nZTlB6HZWoNgALA==" saltValue="N1Qbb4HGOqzm+oUAbX4JR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0.36831192422814019</v>
      </c>
      <c r="D2" s="52">
        <f>IFERROR(1-_xlfn.NORM.DIST(_xlfn.NORM.INV(SUM(D4:D5), 0, 1) + 1, 0, 1, TRUE), "")</f>
        <v>0.36831192422814019</v>
      </c>
      <c r="E2" s="52">
        <f>IFERROR(1-_xlfn.NORM.DIST(_xlfn.NORM.INV(SUM(E4:E5), 0, 1) + 1, 0, 1, TRUE), "")</f>
        <v>0.32883514057661167</v>
      </c>
      <c r="F2" s="52">
        <f>IFERROR(1-_xlfn.NORM.DIST(_xlfn.NORM.INV(SUM(F4:F5), 0, 1) + 1, 0, 1, TRUE), "")</f>
        <v>0.1932907776715993</v>
      </c>
      <c r="G2" s="52">
        <f>IFERROR(1-_xlfn.NORM.DIST(_xlfn.NORM.INV(SUM(G4:G5), 0, 1) + 1, 0, 1, TRUE), "")</f>
        <v>0.20437976545780612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0.37823807577185981</v>
      </c>
      <c r="D3" s="52">
        <f>IFERROR(_xlfn.NORM.DIST(_xlfn.NORM.INV(SUM(D4:D5), 0, 1) + 1, 0, 1, TRUE) - SUM(D4:D5), "")</f>
        <v>0.37823807577185981</v>
      </c>
      <c r="E3" s="52">
        <f>IFERROR(_xlfn.NORM.DIST(_xlfn.NORM.INV(SUM(E4:E5), 0, 1) + 1, 0, 1, TRUE) - SUM(E4:E5), "")</f>
        <v>0.38235605942338835</v>
      </c>
      <c r="F3" s="52">
        <f>IFERROR(_xlfn.NORM.DIST(_xlfn.NORM.INV(SUM(F4:F5), 0, 1) + 1, 0, 1, TRUE) - SUM(F4:F5), "")</f>
        <v>0.36007382232840068</v>
      </c>
      <c r="G3" s="52">
        <f>IFERROR(_xlfn.NORM.DIST(_xlfn.NORM.INV(SUM(G4:G5), 0, 1) + 1, 0, 1, TRUE) - SUM(G4:G5), "")</f>
        <v>0.36465663454219388</v>
      </c>
    </row>
    <row r="4" spans="1:15" ht="15.75" customHeight="1" x14ac:dyDescent="0.25">
      <c r="B4" s="5" t="s">
        <v>132</v>
      </c>
      <c r="C4" s="45">
        <v>0.1782513</v>
      </c>
      <c r="D4" s="53">
        <v>0.1782513</v>
      </c>
      <c r="E4" s="53">
        <v>0.19796159999999999</v>
      </c>
      <c r="F4" s="53">
        <v>0.30888330000000003</v>
      </c>
      <c r="G4" s="53">
        <v>0.28817120000000002</v>
      </c>
    </row>
    <row r="5" spans="1:15" ht="15.75" customHeight="1" x14ac:dyDescent="0.25">
      <c r="B5" s="5" t="s">
        <v>133</v>
      </c>
      <c r="C5" s="45">
        <v>7.5198700000000007E-2</v>
      </c>
      <c r="D5" s="53">
        <v>7.5198700000000007E-2</v>
      </c>
      <c r="E5" s="53">
        <v>9.0847200000000003E-2</v>
      </c>
      <c r="F5" s="53">
        <v>0.13775209999999999</v>
      </c>
      <c r="G5" s="53">
        <v>0.14279240000000001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0.70106104366323019</v>
      </c>
      <c r="D8" s="52">
        <f>IFERROR(1-_xlfn.NORM.DIST(_xlfn.NORM.INV(SUM(D10:D11), 0, 1) + 1, 0, 1, TRUE), "")</f>
        <v>0.70106104366323019</v>
      </c>
      <c r="E8" s="52">
        <f>IFERROR(1-_xlfn.NORM.DIST(_xlfn.NORM.INV(SUM(E10:E11), 0, 1) + 1, 0, 1, TRUE), "")</f>
        <v>0.65546271899326058</v>
      </c>
      <c r="F8" s="52">
        <f>IFERROR(1-_xlfn.NORM.DIST(_xlfn.NORM.INV(SUM(F10:F11), 0, 1) + 1, 0, 1, TRUE), "")</f>
        <v>0.63818750394628487</v>
      </c>
      <c r="G8" s="52">
        <f>IFERROR(1-_xlfn.NORM.DIST(_xlfn.NORM.INV(SUM(G10:G11), 0, 1) + 1, 0, 1, TRUE), "")</f>
        <v>0.68956019015790471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0.23561495633676979</v>
      </c>
      <c r="D9" s="52">
        <f>IFERROR(_xlfn.NORM.DIST(_xlfn.NORM.INV(SUM(D10:D11), 0, 1) + 1, 0, 1, TRUE) - SUM(D10:D11), "")</f>
        <v>0.23561495633676979</v>
      </c>
      <c r="E9" s="52">
        <f>IFERROR(_xlfn.NORM.DIST(_xlfn.NORM.INV(SUM(E10:E11), 0, 1) + 1, 0, 1, TRUE) - SUM(E10:E11), "")</f>
        <v>0.26379728100673938</v>
      </c>
      <c r="F9" s="52">
        <f>IFERROR(_xlfn.NORM.DIST(_xlfn.NORM.INV(SUM(F10:F11), 0, 1) + 1, 0, 1, TRUE) - SUM(F10:F11), "")</f>
        <v>0.27388339605371514</v>
      </c>
      <c r="G9" s="52">
        <f>IFERROR(_xlfn.NORM.DIST(_xlfn.NORM.INV(SUM(G10:G11), 0, 1) + 1, 0, 1, TRUE) - SUM(G10:G11), "")</f>
        <v>0.24293090984209531</v>
      </c>
    </row>
    <row r="10" spans="1:15" ht="15.75" customHeight="1" x14ac:dyDescent="0.25">
      <c r="B10" s="5" t="s">
        <v>137</v>
      </c>
      <c r="C10" s="45">
        <v>4.4328000000000013E-2</v>
      </c>
      <c r="D10" s="53">
        <v>4.4328000000000013E-2</v>
      </c>
      <c r="E10" s="53">
        <v>6.4751400000000001E-2</v>
      </c>
      <c r="F10" s="53">
        <v>7.2286900000000001E-2</v>
      </c>
      <c r="G10" s="53">
        <v>5.3947799999999997E-2</v>
      </c>
    </row>
    <row r="11" spans="1:15" ht="15.75" customHeight="1" x14ac:dyDescent="0.25">
      <c r="B11" s="5" t="s">
        <v>138</v>
      </c>
      <c r="C11" s="45">
        <v>1.8995999999999999E-2</v>
      </c>
      <c r="D11" s="53">
        <v>1.8995999999999999E-2</v>
      </c>
      <c r="E11" s="53">
        <v>1.5988599999999999E-2</v>
      </c>
      <c r="F11" s="53">
        <v>1.5642199999999998E-2</v>
      </c>
      <c r="G11" s="53">
        <v>1.35611E-2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0.78465574125000004</v>
      </c>
      <c r="D14" s="54">
        <v>0.77095435153199998</v>
      </c>
      <c r="E14" s="54">
        <v>0.77095435153199998</v>
      </c>
      <c r="F14" s="54">
        <v>0.43645716483000002</v>
      </c>
      <c r="G14" s="54">
        <v>0.43645716483000002</v>
      </c>
      <c r="H14" s="45">
        <v>0.35599999999999998</v>
      </c>
      <c r="I14" s="55">
        <v>0.35599999999999998</v>
      </c>
      <c r="J14" s="55">
        <v>0.35599999999999998</v>
      </c>
      <c r="K14" s="55">
        <v>0.35599999999999998</v>
      </c>
      <c r="L14" s="45">
        <v>0.37</v>
      </c>
      <c r="M14" s="55">
        <v>0.37</v>
      </c>
      <c r="N14" s="55">
        <v>0.37</v>
      </c>
      <c r="O14" s="55">
        <v>0.37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0.41316518848963502</v>
      </c>
      <c r="D15" s="52">
        <f t="shared" si="0"/>
        <v>0.40595063952528382</v>
      </c>
      <c r="E15" s="52">
        <f t="shared" si="0"/>
        <v>0.40595063952528382</v>
      </c>
      <c r="F15" s="52">
        <f t="shared" si="0"/>
        <v>0.2298191388842255</v>
      </c>
      <c r="G15" s="52">
        <f t="shared" si="0"/>
        <v>0.2298191388842255</v>
      </c>
      <c r="H15" s="52">
        <f t="shared" si="0"/>
        <v>0.18745393599999999</v>
      </c>
      <c r="I15" s="52">
        <f t="shared" si="0"/>
        <v>0.18745393599999999</v>
      </c>
      <c r="J15" s="52">
        <f t="shared" si="0"/>
        <v>0.18745393599999999</v>
      </c>
      <c r="K15" s="52">
        <f t="shared" si="0"/>
        <v>0.18745393599999999</v>
      </c>
      <c r="L15" s="52">
        <f t="shared" si="0"/>
        <v>0.19482572000000001</v>
      </c>
      <c r="M15" s="52">
        <f t="shared" si="0"/>
        <v>0.19482572000000001</v>
      </c>
      <c r="N15" s="52">
        <f t="shared" si="0"/>
        <v>0.19482572000000001</v>
      </c>
      <c r="O15" s="52">
        <f t="shared" si="0"/>
        <v>0.19482572000000001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klEHPiDG+yovZn+6GdKjiW9zeaF1xSUcAvDdG0NRwcI5DLVFBbIfpDv6pA7rF2sbPxrPZZ/4P95wPUbtrSgZw==" saltValue="Ezr3ger6ogzrC8/jDplT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0.78292569999999995</v>
      </c>
      <c r="D2" s="53">
        <v>0.49888320000000003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0.14835699999999999</v>
      </c>
      <c r="D3" s="53">
        <v>0.23214389999999999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3.6864300000000003E-2</v>
      </c>
      <c r="D4" s="53">
        <v>0.24762819999999999</v>
      </c>
      <c r="E4" s="53">
        <v>0.9764003</v>
      </c>
      <c r="F4" s="53">
        <v>0.79047749999999994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3.1853000000000131E-2</v>
      </c>
      <c r="D5" s="52">
        <f t="shared" si="0"/>
        <v>2.1344699999999994E-2</v>
      </c>
      <c r="E5" s="52">
        <f>1-SUM(E2:E4)</f>
        <v>2.3599700000000001E-2</v>
      </c>
      <c r="F5" s="52">
        <f>1-SUM(F2:F4)</f>
        <v>0.20952250000000006</v>
      </c>
      <c r="G5" s="52">
        <f>1-SUM(G2:G4)</f>
        <v>1</v>
      </c>
    </row>
  </sheetData>
  <sheetProtection algorithmName="SHA-512" hashValue="REJirF7h64aHMOLr0aBh7I14oZyZwTwbbmAS/L1SB5ghKrBVDAGKNqA/syZ/tBPIm7xkNamIgVYhGVUwvQXJMA==" saltValue="au3UQgdsTriFVVJs+scdG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cfFW3g+XPz6kM1MvW/f8ElHCR626k1CZgtvtP3aIdSm6Tu9KvdHVTHHb4wS3F+KWF3Gd5oIFaXDFrNIGL3O/g==" saltValue="tc7C7WMEnZDqWzLffKifY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516.59261598221303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0.39831000000000005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0.84050000000000002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1.9956495890291692E-2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95018.873500000002</v>
      </c>
      <c r="C22" s="107">
        <v>93989.943039999998</v>
      </c>
      <c r="D22" s="107">
        <v>93279.994089999993</v>
      </c>
      <c r="E22" s="107">
        <v>92729.862550000005</v>
      </c>
      <c r="F22" s="107">
        <v>91922.246459999995</v>
      </c>
      <c r="G22" s="107">
        <v>90939.894149999993</v>
      </c>
      <c r="H22" s="107">
        <v>89703.018169999996</v>
      </c>
      <c r="I22" s="107">
        <v>88046.452510000003</v>
      </c>
      <c r="J22" s="107">
        <v>85691.779200000004</v>
      </c>
      <c r="K22" s="107">
        <v>82504.241510000007</v>
      </c>
      <c r="L22" s="107">
        <v>77993.704169999997</v>
      </c>
      <c r="M22" s="107">
        <v>71837.377550000005</v>
      </c>
      <c r="N22" s="107">
        <v>63420.783750000002</v>
      </c>
      <c r="O22" s="107">
        <v>53031.643949999998</v>
      </c>
    </row>
  </sheetData>
  <sheetProtection algorithmName="SHA-512" hashValue="2BHq6xlCuR6AvhrY//e+59EMUj58iQNql0k+uB4y0mMOE40kRArRuMszWlTB4u/r3CjVFzHHsBuCoWnvC4SUOQ==" saltValue="tNryILdPn18OlQnXSsiUd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QippOnKA9N64TRUgy6FiJJrfW8ddivRP6FHs5ddIcQFBCzxsesgj42t2Hj68ui+Uff2K/U7/G0H5ZsjQcd9qlw==" saltValue="3lxzwQ//w1EoIkQV41S2S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zYL/GEQAP7WvidxkeN/WueAE8p6PTX/uE9P30O7cdCDzDVyeSRXrAcadNE9tNnPb7AOX3JoQxPfbLjNCKTofsQ==" saltValue="OBz5Ni17dgocp5Xl/GvtU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1.74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0.2139553248340432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0.20096420000000001</v>
      </c>
      <c r="C10" s="96">
        <v>0.95</v>
      </c>
      <c r="D10" s="56">
        <v>14.144906987123459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14.144906987123459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14.144906987123459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14.144906987123459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0.2021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14.144906987123459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0.53998999999999997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0.38100000000000001</v>
      </c>
      <c r="C18" s="96">
        <v>0.95</v>
      </c>
      <c r="D18" s="56">
        <v>1.7392913600436088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0.49888320000000003</v>
      </c>
      <c r="C19" s="96">
        <v>0.95</v>
      </c>
      <c r="D19" s="56">
        <v>1.0387950708930269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1.74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0.6758495000000001</v>
      </c>
      <c r="C23" s="96">
        <v>0.95</v>
      </c>
      <c r="D23" s="56">
        <v>4.6309332646724153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0.27543303141174003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2.9000000000000001E-2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3.8721449986372307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0.19636580000000001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0.26000139999999999</v>
      </c>
      <c r="C29" s="96">
        <v>0.95</v>
      </c>
      <c r="D29" s="56">
        <v>48.649233418724378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1.37E-2</v>
      </c>
      <c r="C31" s="96">
        <v>0.95</v>
      </c>
      <c r="D31" s="56">
        <v>83.790678659035166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0.378</v>
      </c>
      <c r="C32" s="96">
        <v>0.95</v>
      </c>
      <c r="D32" s="56">
        <v>5.0782229490324342E-2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0.23435629999999999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0.34356619999999999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7.9883999999999997E-3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0.36189339999999998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6.2E-2</v>
      </c>
      <c r="C38" s="96">
        <v>0.95</v>
      </c>
      <c r="D38" s="56">
        <v>0.48243118015808123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3.4278004905968933</v>
      </c>
      <c r="E39" s="56" t="s">
        <v>230</v>
      </c>
      <c r="F39" s="96">
        <v>1</v>
      </c>
      <c r="G39" s="96">
        <v>1</v>
      </c>
    </row>
  </sheetData>
  <sheetProtection algorithmName="SHA-512" hashValue="4Nh3yGP5VcCMzOe9R4kE7D2VcRdjzEaHNtXSjox6DXpDJgOa6FA2hYZkSZ+ThjqlWcU2xoU1QxNQvKmfCb2T0w==" saltValue="EFb4hKBk/Al+plncrTxU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uX7IIenTZqlm3Ahxw9UmSPiN2i/zMfzbIxmkJvgiztGAkUSIrnSgYfp+oGM/E6YstxCLYBORaTR+vvoWvx2/g==" saltValue="3EeKkyAwReopBET7ohLe6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xUAoS0TFmLdRaZn3Ki8zyOMj7kjs/TjADbHijtmGdt/1NyI8gLvWnHwIoeNZ8K6SzQYsnxvn7vJ9xAcIYlux/Q==" saltValue="zKWtV1mln6d7eE+PH5fH4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2.0019999999999998</v>
      </c>
      <c r="C2" s="21">
        <f>'Données pop de l''année de ref'!C52</f>
        <v>2.0019999999999998</v>
      </c>
      <c r="D2" s="21">
        <f>'Données pop de l''année de ref'!C53</f>
        <v>4.524</v>
      </c>
      <c r="E2" s="21">
        <f>'Données pop de l''année de ref'!C54</f>
        <v>3.9780000000000002</v>
      </c>
      <c r="F2" s="21">
        <f>'Données pop de l''année de ref'!C55</f>
        <v>1.5166666666666671</v>
      </c>
    </row>
    <row r="3" spans="1:6" ht="15.75" customHeight="1" x14ac:dyDescent="0.25">
      <c r="A3" s="3" t="s">
        <v>238</v>
      </c>
      <c r="B3" s="21">
        <f>frac_mam_1month * 2.6</f>
        <v>0.11525280000000004</v>
      </c>
      <c r="C3" s="21">
        <f>frac_mam_1_5months * 2.6</f>
        <v>0.11525280000000004</v>
      </c>
      <c r="D3" s="21">
        <f>frac_mam_6_11months * 2.6</f>
        <v>0.16835364</v>
      </c>
      <c r="E3" s="21">
        <f>frac_mam_12_23months * 2.6</f>
        <v>0.18794594000000001</v>
      </c>
      <c r="F3" s="21">
        <f>frac_mam_24_59months * 2.6</f>
        <v>0.14026427999999999</v>
      </c>
    </row>
    <row r="4" spans="1:6" ht="15.75" customHeight="1" x14ac:dyDescent="0.25">
      <c r="A4" s="3" t="s">
        <v>237</v>
      </c>
      <c r="B4" s="21">
        <f>frac_sam_1month * 2.6</f>
        <v>4.9389599999999999E-2</v>
      </c>
      <c r="C4" s="21">
        <f>frac_sam_1_5months * 2.6</f>
        <v>4.9389599999999999E-2</v>
      </c>
      <c r="D4" s="21">
        <f>frac_sam_6_11months * 2.6</f>
        <v>4.1570360000000001E-2</v>
      </c>
      <c r="E4" s="21">
        <f>frac_sam_12_23months * 2.6</f>
        <v>4.0669719999999999E-2</v>
      </c>
      <c r="F4" s="21">
        <f>frac_sam_24_59months * 2.6</f>
        <v>3.5258860000000003E-2</v>
      </c>
    </row>
  </sheetData>
  <sheetProtection algorithmName="SHA-512" hashValue="/yA33HzQy0uI7dIzWQ8r7ySoL89vUPVhHExwmmSwoYitJhrxVynzH4A3n8T8Y3n4nVSWmDNmZCG2LOQiv/zx7A==" saltValue="U5YuOhrqqtsup7eoz76H1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0.77599999999999991</v>
      </c>
      <c r="F2" s="60">
        <f>food_insecure</f>
        <v>0.77599999999999991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0.77599999999999991</v>
      </c>
      <c r="F5" s="60">
        <f>food_insecure</f>
        <v>0.77599999999999991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4.3679999999999997E-2</v>
      </c>
      <c r="D7" s="60">
        <f>diarrhoea_1_5mo*frac_diarrhea_severe</f>
        <v>4.3679999999999997E-2</v>
      </c>
      <c r="E7" s="60">
        <f>diarrhoea_6_11mo*frac_diarrhea_severe</f>
        <v>9.8705454545454555E-2</v>
      </c>
      <c r="F7" s="60">
        <f>diarrhoea_12_23mo*frac_diarrhea_severe</f>
        <v>8.6792727272727285E-2</v>
      </c>
      <c r="G7" s="60">
        <f>diarrhoea_24_59mo*frac_diarrhea_severe</f>
        <v>3.3090909090909101E-2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0.77599999999999991</v>
      </c>
      <c r="F8" s="60">
        <f>food_insecure</f>
        <v>0.77599999999999991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0.77599999999999991</v>
      </c>
      <c r="F9" s="60">
        <f>food_insecure</f>
        <v>0.77599999999999991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4.3679999999999997E-2</v>
      </c>
      <c r="D12" s="60">
        <f>diarrhoea_1_5mo*frac_diarrhea_severe</f>
        <v>4.3679999999999997E-2</v>
      </c>
      <c r="E12" s="60">
        <f>diarrhoea_6_11mo*frac_diarrhea_severe</f>
        <v>9.8705454545454555E-2</v>
      </c>
      <c r="F12" s="60">
        <f>diarrhoea_12_23mo*frac_diarrhea_severe</f>
        <v>8.6792727272727285E-2</v>
      </c>
      <c r="G12" s="60">
        <f>diarrhoea_24_59mo*frac_diarrhea_severe</f>
        <v>3.3090909090909101E-2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0.77599999999999991</v>
      </c>
      <c r="I15" s="60">
        <f t="shared" si="0"/>
        <v>0.77599999999999991</v>
      </c>
      <c r="J15" s="60">
        <f t="shared" si="0"/>
        <v>0.77599999999999991</v>
      </c>
      <c r="K15" s="60">
        <f t="shared" si="0"/>
        <v>0.77599999999999991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0.77599999999999991</v>
      </c>
      <c r="I16" s="60">
        <f t="shared" si="0"/>
        <v>0.77599999999999991</v>
      </c>
      <c r="J16" s="60">
        <f t="shared" si="0"/>
        <v>0.77599999999999991</v>
      </c>
      <c r="K16" s="60">
        <f t="shared" si="0"/>
        <v>0.77599999999999991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0.6</v>
      </c>
      <c r="I19" s="60">
        <f>frac_malaria_risk</f>
        <v>0.6</v>
      </c>
      <c r="J19" s="60">
        <f>frac_malaria_risk</f>
        <v>0.6</v>
      </c>
      <c r="K19" s="60">
        <f>frac_malaria_risk</f>
        <v>0.6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0.14599999999999999</v>
      </c>
      <c r="M24" s="60">
        <f>famplan_unmet_need</f>
        <v>0.14599999999999999</v>
      </c>
      <c r="N24" s="60">
        <f>famplan_unmet_need</f>
        <v>0.14599999999999999</v>
      </c>
      <c r="O24" s="60">
        <f>famplan_unmet_need</f>
        <v>0.14599999999999999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0.45033874177599997</v>
      </c>
      <c r="M25" s="60">
        <f>(1-food_insecure)*(0.49)+food_insecure*(0.7)</f>
        <v>0.65295999999999998</v>
      </c>
      <c r="N25" s="60">
        <f>(1-food_insecure)*(0.49)+food_insecure*(0.7)</f>
        <v>0.65295999999999998</v>
      </c>
      <c r="O25" s="60">
        <f>(1-food_insecure)*(0.49)+food_insecure*(0.7)</f>
        <v>0.65295999999999998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0.19300231790399999</v>
      </c>
      <c r="M26" s="60">
        <f>(1-food_insecure)*(0.21)+food_insecure*(0.3)</f>
        <v>0.27983999999999998</v>
      </c>
      <c r="N26" s="60">
        <f>(1-food_insecure)*(0.21)+food_insecure*(0.3)</f>
        <v>0.27983999999999998</v>
      </c>
      <c r="O26" s="60">
        <f>(1-food_insecure)*(0.21)+food_insecure*(0.3)</f>
        <v>0.27983999999999998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4.6347040320000019E-2</v>
      </c>
      <c r="M27" s="60">
        <f>(1-food_insecure)*(0.3)</f>
        <v>6.7200000000000024E-2</v>
      </c>
      <c r="N27" s="60">
        <f>(1-food_insecure)*(0.3)</f>
        <v>6.7200000000000024E-2</v>
      </c>
      <c r="O27" s="60">
        <f>(1-food_insecure)*(0.3)</f>
        <v>6.7200000000000024E-2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0.31031189999999997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0.6</v>
      </c>
      <c r="D34" s="60">
        <f t="shared" si="4"/>
        <v>0.6</v>
      </c>
      <c r="E34" s="60">
        <f t="shared" si="4"/>
        <v>0.6</v>
      </c>
      <c r="F34" s="60">
        <f t="shared" si="4"/>
        <v>0.6</v>
      </c>
      <c r="G34" s="60">
        <f t="shared" si="4"/>
        <v>0.6</v>
      </c>
      <c r="H34" s="60">
        <f t="shared" si="4"/>
        <v>0.6</v>
      </c>
      <c r="I34" s="60">
        <f t="shared" si="4"/>
        <v>0.6</v>
      </c>
      <c r="J34" s="60">
        <f t="shared" si="4"/>
        <v>0.6</v>
      </c>
      <c r="K34" s="60">
        <f t="shared" si="4"/>
        <v>0.6</v>
      </c>
      <c r="L34" s="60">
        <f t="shared" si="4"/>
        <v>0.6</v>
      </c>
      <c r="M34" s="60">
        <f t="shared" si="4"/>
        <v>0.6</v>
      </c>
      <c r="N34" s="60">
        <f t="shared" si="4"/>
        <v>0.6</v>
      </c>
      <c r="O34" s="60">
        <f t="shared" si="4"/>
        <v>0.6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iWe67Ze2QCnp4kXud6apdiDMdIr6Yngh98ghhIY1+TCFubH61syQ/pk1zk+SWeAGxy/meA/F8HK+E0XAXg5bw==" saltValue="Dt/Mbi/v0eOl3oAI8+hMS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PZbODNzxbYUOkerElSafSfHJNxSy7ARXZ5R5CzmDroVJu8Kf84PR4oREI5BCz+UbSZko9ZW3GF+3+dAI7MfJVw==" saltValue="cqHiAe0ExnGgO+gdHOouQ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0h6jBDaf3WRJCwOd6ZGl1D+DFKsY0ZfIFI5Dv1M6B4/SgXsM3lCqDw1Thz59T5k5+IOlwtpaVCLE2cUhxpaoJw==" saltValue="sktrlLgEXyEn2xMEEKdaU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/+Pu4PxTmxA23o1IkvXoMeMRveezgp5ZgXSs3An3vsR2CAp8SZOIIRsGfTg4XWiuY3e4I7ejoU6eg4ojzLX5Q==" saltValue="SR5bKtRYG5xjt/ysuiSRS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9cX14pvMvL4e1qbh7OTxhKpAwDjkLpGe5hz1AQ3CLkxNdYhab3mHpa28ZA1gga+0kdv/L5igsiar4dDJ3DtVhQ==" saltValue="Li+1UtL5Y9Vg8viNr+DgE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lYD9PoU7vCQFPIWddsqN7qZCgbe+shyZlFcZNJLYBqgnY9r5FQJYcb62htjs1NO/LC1ZB7NRezKP8KVmM+JnyQ==" saltValue="JkL/WfwSiFgarK+NyAm6p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aqrsAia/kqOo77qjqd+Fq76IdE2sk7PvHznHUfrwZ3X0rt2OwB/rZQNVJ1peqogjTL7SvPcv1u8fUjpBJbeEA==" saltValue="G5XpuQsnHoYf5jZFxw6tf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XZg9cIuerBSe7Tvj5Wl95yEGhqZYcIVVjTkjjZLMR/nXW5SCdfJJ3apk6QA6DuV0toRyQ+kCyVKzV66TLAYQfQ==" saltValue="cxosV3ShBkGEHddFpO+i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r1UD2XQVfXqzxnDndYAEtqoT5pFyXKF2elfak0UwwH6n17CWdmzr8/y1Ozxdr+TgChgPsEXcyfkkExYgoCbBkA==" saltValue="djAf39wlZzHQmhknr24G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qmwPks79rYTX2xYPYEHAoWSpjaBX9B1555gUaMYGLAeix1dQbewwfVrqcSHewtGP8ZSKXdjRrX9f5ic9zYFKw==" saltValue="JyHGiTmYsM32lQs93L7B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880Zs06fDLEFHWdunuLUw+PJvWM35gLAlV4qdkTvRR9bc5x9KAKsmdaMa0X9SocKMue5SYSLxblyYp4L72Zv8A==" saltValue="q9r9L48yO3TQnAnnSer9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X8P7Ka/VHeaMYVUhUenr7pvfiK5HE3LL4iI7/pikkDQRFECkHEwiYgK9mKokcaOV5OzKVpiZ5KzAe3IerzbNg==" saltValue="vEcOrJI1OlY6NRK1u3u2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f3CPA0G7ayUCASW4P6fmNPmcTxmB1W6/33cecMlDeKGQY0R9oU6SzEWn1koeIwpPI+4i+YY3p6wjhuUHYvTvbQ==" saltValue="AZdpWh6j90hbMrGkhPSFt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86WtmjRofo4uydY/LLHwcAREttuufAcwzVDBG4/OmbPBEA7T6yG+BRw7tQAArT7fQaJkgsAqgOfldoyQhmbUDQ==" saltValue="AInCFE74o1UZunTjyPND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Q3oOxSUoaOhZdJVMwwJjHgMqSqDRjjl/tFYMnzltGx1J7D4A00MExd4lJWzsxuPxpFgquajf1YXTOdaLMUFUYA==" saltValue="ii5qvxowArCQA6D9/xlK1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2025-07-30T02:48:53Z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