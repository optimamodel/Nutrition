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FA6684F-27FB-46C9-946B-6C088E0162E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9" i="2"/>
  <c r="A28" i="2"/>
  <c r="A23" i="2"/>
  <c r="A21" i="2"/>
  <c r="A20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A31" i="2" l="1"/>
  <c r="A36" i="2"/>
  <c r="I2" i="2"/>
  <c r="I6" i="2"/>
  <c r="I10" i="2"/>
  <c r="A15" i="2"/>
  <c r="A37" i="2"/>
  <c r="A16" i="2"/>
  <c r="A24" i="2"/>
  <c r="A32" i="2"/>
  <c r="A17" i="2"/>
  <c r="A25" i="2"/>
  <c r="A33" i="2"/>
  <c r="A18" i="2"/>
  <c r="A34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<sst xmlns="http://schemas.openxmlformats.org/spreadsheetml/2006/main" count="2101" uniqueCount="337">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</sst>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4354785.1875</v>
      </c>
    </row>
    <row r="8" spans="1:3" ht="15" customHeight="1" x14ac:dyDescent="0.25">
      <c r="B8" s="5" t="s">
        <v>19</v>
      </c>
      <c r="C8" s="44">
        <v>0.77599999999999991</v>
      </c>
    </row>
    <row r="9" spans="1:3" ht="15" customHeight="1" x14ac:dyDescent="0.25">
      <c r="B9" s="5" t="s">
        <v>20</v>
      </c>
      <c r="C9" s="45">
        <v>0.6</v>
      </c>
    </row>
    <row r="10" spans="1:3" ht="15" customHeight="1" x14ac:dyDescent="0.25">
      <c r="B10" s="5" t="s">
        <v>21</v>
      </c>
      <c r="C10" s="45">
        <v>0.30287649154663099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0.13400000000000001</v>
      </c>
    </row>
    <row r="24" spans="1:3" ht="15" customHeight="1" x14ac:dyDescent="0.25">
      <c r="B24" s="15" t="s">
        <v>33</v>
      </c>
      <c r="C24" s="45">
        <v>0.50590000000000002</v>
      </c>
    </row>
    <row r="25" spans="1:3" ht="15" customHeight="1" x14ac:dyDescent="0.25">
      <c r="B25" s="15" t="s">
        <v>34</v>
      </c>
      <c r="C25" s="45">
        <v>0.29549999999999998</v>
      </c>
    </row>
    <row r="26" spans="1:3" ht="15" customHeight="1" x14ac:dyDescent="0.25">
      <c r="B26" s="15" t="s">
        <v>35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0.28578644131437603</v>
      </c>
    </row>
    <row r="30" spans="1:3" ht="14.25" customHeight="1" x14ac:dyDescent="0.25">
      <c r="B30" s="25" t="s">
        <v>38</v>
      </c>
      <c r="C30" s="99">
        <v>6.9844134891047002E-2</v>
      </c>
    </row>
    <row r="31" spans="1:3" ht="14.25" customHeight="1" x14ac:dyDescent="0.25">
      <c r="B31" s="25" t="s">
        <v>39</v>
      </c>
      <c r="C31" s="99">
        <v>8.7209546463448695E-2</v>
      </c>
    </row>
    <row r="32" spans="1:3" ht="14.25" customHeight="1" x14ac:dyDescent="0.25">
      <c r="B32" s="25" t="s">
        <v>40</v>
      </c>
      <c r="C32" s="99">
        <v>0.55715987733112793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24.115670000000001</v>
      </c>
    </row>
    <row r="38" spans="1:5" ht="15" customHeight="1" x14ac:dyDescent="0.25">
      <c r="B38" s="11" t="s">
        <v>45</v>
      </c>
      <c r="C38" s="43">
        <v>45.25882</v>
      </c>
      <c r="D38" s="12"/>
      <c r="E38" s="13"/>
    </row>
    <row r="39" spans="1:5" ht="15" customHeight="1" x14ac:dyDescent="0.25">
      <c r="B39" s="11" t="s">
        <v>46</v>
      </c>
      <c r="C39" s="43">
        <v>66.003</v>
      </c>
      <c r="D39" s="12"/>
      <c r="E39" s="12"/>
    </row>
    <row r="40" spans="1:5" ht="15" customHeight="1" x14ac:dyDescent="0.25">
      <c r="B40" s="11" t="s">
        <v>47</v>
      </c>
      <c r="C40" s="100">
        <v>3.92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7.9161000000000006E-3</v>
      </c>
      <c r="D45" s="12"/>
    </row>
    <row r="46" spans="1:5" ht="15.75" customHeight="1" x14ac:dyDescent="0.25">
      <c r="B46" s="11" t="s">
        <v>52</v>
      </c>
      <c r="C46" s="45">
        <v>8.5057899999999992E-2</v>
      </c>
      <c r="D46" s="12"/>
    </row>
    <row r="47" spans="1:5" ht="15.75" customHeight="1" x14ac:dyDescent="0.25">
      <c r="B47" s="11" t="s">
        <v>53</v>
      </c>
      <c r="C47" s="45">
        <v>7.3472599999999999E-2</v>
      </c>
      <c r="D47" s="12"/>
      <c r="E47" s="13"/>
    </row>
    <row r="48" spans="1:5" ht="15" customHeight="1" x14ac:dyDescent="0.25">
      <c r="B48" s="11" t="s">
        <v>54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0.52655600000000002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kz1N4jmfjA4hrNa07qMOU9Q5Z4T/xCnFdYUHiFb6bCb+WZ5RlDt+x7btcINl++3gYbNbCyuk8AqZjvZGV/OQBA==" saltValue="4FmnilbMtos4mLTgeUtu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V6tqBK1rm5botVhO03m7AUny/MK9pvxGK9UY6u35MF+hoY6bFShKRSxBMIUZWek7TmIhNzsZJp0uVnl/E1R6A==" saltValue="58MA2SBBQ1TKKLrlYhyO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1.2181401218140131E-2</v>
      </c>
    </row>
    <row r="4" spans="1:8" ht="15.75" customHeight="1" x14ac:dyDescent="0.25">
      <c r="B4" s="19" t="s">
        <v>79</v>
      </c>
      <c r="C4" s="101">
        <v>7.1480107148010633E-2</v>
      </c>
    </row>
    <row r="5" spans="1:8" ht="15.75" customHeight="1" x14ac:dyDescent="0.25">
      <c r="B5" s="19" t="s">
        <v>80</v>
      </c>
      <c r="C5" s="101">
        <v>0.105523710552371</v>
      </c>
    </row>
    <row r="6" spans="1:8" ht="15.75" customHeight="1" x14ac:dyDescent="0.25">
      <c r="B6" s="19" t="s">
        <v>81</v>
      </c>
      <c r="C6" s="101">
        <v>0.25522302552230253</v>
      </c>
    </row>
    <row r="7" spans="1:8" ht="15.75" customHeight="1" x14ac:dyDescent="0.25">
      <c r="B7" s="19" t="s">
        <v>82</v>
      </c>
      <c r="C7" s="101">
        <v>0.37572243757224411</v>
      </c>
    </row>
    <row r="8" spans="1:8" ht="15.75" customHeight="1" x14ac:dyDescent="0.25">
      <c r="B8" s="19" t="s">
        <v>83</v>
      </c>
      <c r="C8" s="101">
        <v>3.1590003159000352E-3</v>
      </c>
    </row>
    <row r="9" spans="1:8" ht="15.75" customHeight="1" x14ac:dyDescent="0.25">
      <c r="B9" s="19" t="s">
        <v>84</v>
      </c>
      <c r="C9" s="101">
        <v>5.5272605527260543E-2</v>
      </c>
    </row>
    <row r="10" spans="1:8" ht="15.75" customHeight="1" x14ac:dyDescent="0.25">
      <c r="B10" s="19" t="s">
        <v>85</v>
      </c>
      <c r="C10" s="101">
        <v>0.1214377121437713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88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89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90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91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92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93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94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95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8.7985991E-2</v>
      </c>
    </row>
    <row r="27" spans="1:8" ht="15.75" customHeight="1" x14ac:dyDescent="0.25">
      <c r="B27" s="19" t="s">
        <v>102</v>
      </c>
      <c r="C27" s="101">
        <v>9.0154729999999995E-3</v>
      </c>
    </row>
    <row r="28" spans="1:8" ht="15.75" customHeight="1" x14ac:dyDescent="0.25">
      <c r="B28" s="19" t="s">
        <v>103</v>
      </c>
      <c r="C28" s="101">
        <v>0.15676572499999999</v>
      </c>
    </row>
    <row r="29" spans="1:8" ht="15.75" customHeight="1" x14ac:dyDescent="0.25">
      <c r="B29" s="19" t="s">
        <v>104</v>
      </c>
      <c r="C29" s="101">
        <v>0.168756885</v>
      </c>
    </row>
    <row r="30" spans="1:8" ht="15.75" customHeight="1" x14ac:dyDescent="0.25">
      <c r="B30" s="19" t="s">
        <v>2</v>
      </c>
      <c r="C30" s="101">
        <v>0.105851448</v>
      </c>
    </row>
    <row r="31" spans="1:8" ht="15.75" customHeight="1" x14ac:dyDescent="0.25">
      <c r="B31" s="19" t="s">
        <v>105</v>
      </c>
      <c r="C31" s="101">
        <v>0.11038854400000001</v>
      </c>
    </row>
    <row r="32" spans="1:8" ht="15.75" customHeight="1" x14ac:dyDescent="0.25">
      <c r="B32" s="19" t="s">
        <v>106</v>
      </c>
      <c r="C32" s="101">
        <v>1.8940327999999999E-2</v>
      </c>
    </row>
    <row r="33" spans="2:3" ht="15.75" customHeight="1" x14ac:dyDescent="0.25">
      <c r="B33" s="19" t="s">
        <v>107</v>
      </c>
      <c r="C33" s="101">
        <v>8.4923389999999987E-2</v>
      </c>
    </row>
    <row r="34" spans="2:3" ht="15.75" customHeight="1" x14ac:dyDescent="0.25">
      <c r="B34" s="19" t="s">
        <v>108</v>
      </c>
      <c r="C34" s="101">
        <v>0.25737221700000001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SQplvUbE4NNX2K41I9WeKkqo7FnkW7CL52ETr5say/xsDqVCvZI633P0vbgzgZZ0fCefmhpow47itnZZHRAABQ==" saltValue="UQXp6k3/Bps49UAFCtaf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114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115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119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120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IUWDpMTTBKrBsPBwuk3WfNj7nneNFfgroeI+qyOI+Apo0xu/xVukmU5otrUh3nBuzT6UQq9VTmPRlpyJlAerQ==" saltValue="IMYoj4hT5qjlR1YX8Qst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132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KRBY1/3of9zEhWrxDIaQBi1hFDOWVwiV7uOQTdd8nT1EkuXNpflAjp2ztJNyOTyfw19DXkp5VTj+Gau1YuP8Ig==" saltValue="O5BOJi00EhwPkUDTJilO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1T6uEET/FxCAjb5SwMzgL4+MuXJ/F3rN1QU/aWOpvVfrckmFjE3Vw5YOhX5Rh7ugp6Ooyc01M2+2jJ8zHycQA==" saltValue="MJlxxKYlRCUMep1XTJHF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d4Ceo1tl/6POXrb5HmED4RxioZGC8RvWNFfy1OIrSt9ORfe/OvhPH0nLv+fbwZmoqtYx7OEWH/lf2PThzHfVjg==" saltValue="eyA8xanaAEExNCJZz0w7D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vz8LDhiSkAEKuyDUDFom8o95LiqWfE4tq3oYkgkd+p2jZyh6dhaYdi8b3R1JCLZW9o+YOP0/LEuH0VN7dgL3zA==" saltValue="VtiESHx2C0JbJbIOKgqJ7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KkTKyNj+DuGg+ClJxR3eVFlJbMDvfpumdVGKbz+F1+aNccYWoe3Vohv48B33UFXarpdDULDw5HagMU9vswRoA==" saltValue="2BqBypy5h1RwbSyQ35p1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75.462172087916926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19.380454267979939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3.478572535681232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0.12057311705742579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0.20096420000000001</v>
      </c>
      <c r="C10" s="98">
        <v>0.95</v>
      </c>
      <c r="D10" s="56">
        <v>14.144906987123459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14.144906987123459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14.144906987123459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14.144906987123459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0.20096420000000001</v>
      </c>
      <c r="C14" s="98">
        <v>0.95</v>
      </c>
      <c r="D14" s="56">
        <v>14.144906987123459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14.144906987123459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0.53998999999999997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0.38100000000000001</v>
      </c>
      <c r="C18" s="98">
        <v>0.95</v>
      </c>
      <c r="D18" s="56">
        <v>3.478572535681232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0.49888320000000003</v>
      </c>
      <c r="C19" s="98">
        <v>0.95</v>
      </c>
      <c r="D19" s="56">
        <v>3.478572535681232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24.087514764837451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0.6758495000000001</v>
      </c>
      <c r="C23" s="98">
        <v>0.95</v>
      </c>
      <c r="D23" s="56">
        <v>4.6309332646724153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0.27543303141174003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2.9000000000000001E-2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3.872133661980933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0.19636580000000001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0.26000139999999999</v>
      </c>
      <c r="C29" s="98">
        <v>0.95</v>
      </c>
      <c r="D29" s="56">
        <v>48.649233418724378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1.37E-2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0.24</v>
      </c>
      <c r="C32" s="98">
        <v>0.95</v>
      </c>
      <c r="D32" s="56">
        <v>5.0782080812864692E-2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0.23435629999999999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0.34356619999999999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7.9883999999999997E-3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0.36189339999999998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6.2E-2</v>
      </c>
      <c r="C38" s="98">
        <v>0.95</v>
      </c>
      <c r="D38" s="56">
        <v>0.48242976772221458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RiRKAnnIgYD7vNRWyYPfuqpYpQJT87DaE+MOYmaI0lOXW2GbgTFOhvKj9StO4/1pUmURYqnCu6LeuDGasi9H8Q==" saltValue="HZAGDIQB+Yde6Wsak1FB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7yfbsSkzLar1nAvxmGiM1OosnZy9K9nkgjttBTz12V432PQABrGKS9Fzvz4QI0qOnW+1f5C3a0D8f777SpqaA==" saltValue="K0w5qBExbO7nGFUnbVqC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vcDU3U7r0gMlgI4C3qXPVr0bTn8GuMDHVakdkRYsYyundbCmXhJroqzzuWK3LN3wCGdRk6hQAGc4Q6gaTeZ48w==" saltValue="GAauwBsC/q7i394Xnpzw3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208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eQHS41+fyCfkOtMV3wN2FMISaiGO6WoS5HYD8XU35K5V1z44nWKulL1J7SUls5ZMLGsGJqgi//X5zr1WKWZBQQ==" saltValue="B1RNofpc/F6QbK+e9Xgj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WM9X+5cnZW6/JKkJS/14bfT7mVYXrK8tfc3HdRLWGBiYh9Q/0kiytGq6j8tUHUjkiSob1IOaAB4I8wKS7rNfw==" saltValue="gW+YI32bu5MU6MeGUJ4m9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EcnGGe/Zh7OP//tQYEFFedmtRRVkD/2wKtx6wONiGvgFQ8ULPZaV0Nu2P9jiU6hcExYEnFOuVJAd0gPbqZAow==" saltValue="/lB8ZtBYHPp1Lg+a451d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BUyd83nVROflijc/8LHxN6PokGFX1NnCi5xQmpmEyHpg1fgDuR9SVBt/ojQyQqU+K7UP6hyH94NMAcJYCjBIA==" saltValue="mZlFf/XUHGgRtQcAyWAx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7rAEHmSwhWHKLlspjrng2y4sVnohlefjrDpgZ72n8hdx3lqdsVJiaBMsTjxNUtitu/2Hpj+WjZK8j5rtUg6kw==" saltValue="lsPNwX593jAZAKfQ45nq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17TdvRPw/M70fd0SHVuenmGupURYoeQrKlk0eeuOFml2JTZb9sXpevL13QsS/RB8HbQuKHA7if+wnATvzP1csQ==" saltValue="7d0raHyzEuhzQH8Ci9v2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eU3PSY22hpRLwVel3u8man7Qp+K9jkvfp6peJv7QYSjVvoq3gMXnUaY4Y57XMr77YZnCKf7uuE3qMWtku+1bA==" saltValue="iphh7V018YarKeSxUAYQ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czcHeKYpJ05HhxfuXYo00sn0zm4QQ23wWsXMdr9cBy1T1+LdZWmtxqMhPjtLEyqhHKmsoic3yxNYi7jW2g6rQ==" saltValue="IM/81pyG4a9rX8HDa0XTM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KKqVX183CaI2TCtBXg86ln8RSKvflnW3KKAtNbL0nRF+mhoxLG8yhLWxcFUEqNHCIJdL7xew/aZcKrXTAz1wQ==" saltValue="R+jCn2QUWfQB1+pyKEUa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6hO+xrYug0fEI/9vuv4evG8A6qCHZ1WxysH2YNhVT/zpUm9nGBWEAYqzfO8qbh27iVV/A6k4mcmwpmJgj03+w==" saltValue="fY/Qyrk+aO17R4BKYtM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WI53NOvqwGhigNKjdOui3s9ntLMviMz29Luar/LW7Lw/Fd1oglfgF3r1QpXHwZ/+c3MA2w6F8bmnqIQKp4lyQ==" saltValue="NN/G4y9ykCATRQ44vgI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gygm5lsRkXaFfX36RHYQkKoF1R8D6TmC/CrYw6rluWjhDH5HkWVeXLZ5CJSlnFL05N/eYWGsdxwa/7vjEzRrg==" saltValue="r7WkSZQjmqL8xQP23asM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um+A2nltXWkzLZ7OsmJZowNVnEEdOvssrXcLmuHAf/Z2KQmnszeTnRrNaFn18e4u/J3EApIvaTnJ7v+KrTasQ==" saltValue="QZPUELxLCWtwMZ4K1zIr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1EwUVmQViP6oa5Y9BjBvox4pHSW/k1MZuKncbVzxU5Cf+B3PYJ5VkihfJ9m8YoPhtzL0JbBNtmCgP3tJhIVVA==" saltValue="EK6OlAlmrovwBGxElwSm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0.10843195827288454</v>
      </c>
      <c r="G18" s="90">
        <f>MIN(MAX(1-0.89/(1-frac_sam_12_23months+(frac_sam_12_23months*0.89)),0),1)</f>
        <v>0.10846598913647965</v>
      </c>
      <c r="H18" s="90">
        <f>MIN(MAX(1-0.89/(1-frac_sam_24_59months+(frac_sam_24_59months*0.89)),0),1)</f>
        <v>0.10867038489522629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0.10361536237528379</v>
      </c>
      <c r="G20" s="90">
        <f>MIN(MAX(1-0.89/(1-frac_mam_12_23months+(frac_mam_12_23months*0.89)),0),1)</f>
        <v>0.10286638916254287</v>
      </c>
      <c r="H20" s="90">
        <f>MIN(MAX(1-0.89/(1-frac_mam_24_59months+(frac_mam_24_59months*0.89)),0),1)</f>
        <v>0.1046869815578052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9.8416875480552557E-3</v>
      </c>
      <c r="G73" s="90">
        <f>MIN(MAX(1-0.99/(1-frac_sam_12_23months+(frac_sam_12_23months*0.99)),0),1)</f>
        <v>9.8451179930466592E-3</v>
      </c>
      <c r="H73" s="90">
        <f>MIN(MAX(1-0.99/(1-frac_sam_24_59months+(frac_sam_24_59months*0.99)),0),1)</f>
        <v>9.8657269010907767E-3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9.3585457894183044E-3</v>
      </c>
      <c r="G75" s="90">
        <f>MIN(MAX(1-0.99/(1-frac_mam_12_23months+(frac_mam_12_23months*0.99)),0),1)</f>
        <v>9.2838420015838308E-3</v>
      </c>
      <c r="H75" s="90">
        <f>MIN(MAX(1-0.99/(1-frac_mam_24_59months+(frac_mam_24_59months*0.99)),0),1)</f>
        <v>9.4656284983311023E-3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0.19743361742711896</v>
      </c>
      <c r="G128" s="90">
        <f>MIN(MAX(1-0.8/(1-frac_sam_12_23months+(frac_sam_12_23months*0.8)),0),1)</f>
        <v>0.19748939371888585</v>
      </c>
      <c r="H128" s="90">
        <f>MIN(MAX(1-0.8/(1-frac_sam_24_59months+(frac_sam_24_59months*0.8)),0),1)</f>
        <v>0.19782432308555908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0.18950384789126928</v>
      </c>
      <c r="G130" s="90">
        <f>MIN(MAX(1-0.8/(1-frac_mam_12_23months+(frac_mam_12_23months*0.8)),0),1)</f>
        <v>0.18826443041093432</v>
      </c>
      <c r="H130" s="90">
        <f>MIN(MAX(1-0.8/(1-frac_mam_24_59months+(frac_mam_24_59months*0.8)),0),1)</f>
        <v>0.19127420450596944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9VLG9EX7Srm6ZR5wxfX1vFm/0qkuwQ6998t9vbceqU4Z5I9LQQ01B/IidBNN+kkTqEGFUotpuZIsS3ff/wLSw==" saltValue="1N/t9ZftCaE6/3kAYAPW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+Fvnv1mfuUO77nYWA/8KEqja4OGRfilzbvgbVz9sBUpuxJHYcie4n+kp0X2OxOqI0s1xJiX6IbhNsNVYsyqQw==" saltValue="lrslfMLYtsPfW+7A593EU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2024-08-06T09:23:48Z</dcterms:modified>
</cp:coreProperties>
</file>