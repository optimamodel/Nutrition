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fr\LiST countries\"/>
    </mc:Choice>
  </mc:AlternateContent>
  <xr:revisionPtr revIDLastSave="0" documentId="8_{88F88EF6-5EB6-47ED-A3D8-9EA290B42664}" xr6:coauthVersionLast="47" xr6:coauthVersionMax="47" xr10:uidLastSave="{00000000-0000-0000-0000-000000000000}"/>
  <bookViews>
    <workbookView xWindow="20" yWindow="20" windowWidth="19180" windowHeight="1018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Données économiques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apports des cotes" sheetId="23" state="hidden" r:id="rId21"/>
    <sheet name="Programmes-rés. des naissances" sheetId="24" state="hidden" r:id="rId22"/>
    <sheet name="Risques des rés. des naissances" sheetId="21" state="hidden" r:id="rId23"/>
    <sheet name="Risques relatifs" sheetId="22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H153" i="27"/>
  <c r="G153" i="27"/>
  <c r="F153" i="27"/>
  <c r="E153" i="27"/>
  <c r="D153" i="27"/>
  <c r="G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E130" i="27"/>
  <c r="D130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E112" i="27"/>
  <c r="D112" i="27"/>
  <c r="H97" i="27"/>
  <c r="H152" i="27" s="1"/>
  <c r="G97" i="27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G112" i="27" s="1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H38" i="2"/>
  <c r="G38" i="2"/>
  <c r="A37" i="2"/>
  <c r="A36" i="2"/>
  <c r="A23" i="2"/>
  <c r="A22" i="2"/>
  <c r="H13" i="2"/>
  <c r="G13" i="2"/>
  <c r="I13" i="2" s="1"/>
  <c r="H12" i="2"/>
  <c r="G12" i="2"/>
  <c r="H11" i="2"/>
  <c r="G11" i="2"/>
  <c r="I11" i="2" s="1"/>
  <c r="H10" i="2"/>
  <c r="G10" i="2"/>
  <c r="H9" i="2"/>
  <c r="G9" i="2"/>
  <c r="I9" i="2" s="1"/>
  <c r="H8" i="2"/>
  <c r="G8" i="2"/>
  <c r="H7" i="2"/>
  <c r="G7" i="2"/>
  <c r="I7" i="2" s="1"/>
  <c r="H6" i="2"/>
  <c r="G6" i="2"/>
  <c r="H5" i="2"/>
  <c r="G5" i="2"/>
  <c r="H4" i="2"/>
  <c r="G4" i="2"/>
  <c r="H3" i="2"/>
  <c r="G3" i="2"/>
  <c r="I3" i="2" s="1"/>
  <c r="H2" i="2"/>
  <c r="G2" i="2"/>
  <c r="A2" i="2"/>
  <c r="A39" i="2" s="1"/>
  <c r="C33" i="1"/>
  <c r="C20" i="1"/>
  <c r="I4" i="2" l="1"/>
  <c r="I8" i="2"/>
  <c r="I12" i="2"/>
  <c r="A25" i="2"/>
  <c r="A26" i="2"/>
  <c r="I39" i="2"/>
  <c r="A31" i="2"/>
  <c r="A34" i="2"/>
  <c r="A40" i="2"/>
  <c r="I2" i="2"/>
  <c r="I6" i="2"/>
  <c r="A19" i="2"/>
  <c r="A35" i="2"/>
  <c r="A24" i="2"/>
  <c r="I38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00000000-0006-0000-1A00-00000C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00000000-0006-0000-1A00-00000D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00000000-0006-0000-1A00-00000E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0000000-0006-0000-1A00-00000F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0000000-0006-0000-1A00-000010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0000000-0006-0000-1A00-000011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00000000-0006-0000-1A00-000012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00000000-0006-0000-1A00-000013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1" shapeId="0" xr:uid="{00000000-0006-0000-1A00-000015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0" authorId="1" shapeId="0" xr:uid="{00000000-0006-0000-1A00-000016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2" authorId="0" shapeId="0" xr:uid="{00000000-0006-0000-1A00-000017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8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9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A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B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C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D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E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F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3" authorId="0" shapeId="0" xr:uid="{00000000-0006-0000-1A00-000020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3" authorId="0" shapeId="0" xr:uid="{00000000-0006-0000-1A00-000021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3" authorId="0" shapeId="0" xr:uid="{00000000-0006-0000-1A00-000022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3" authorId="0" shapeId="0" xr:uid="{00000000-0006-0000-1A00-000023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4" authorId="0" shapeId="0" xr:uid="{00000000-0006-0000-1A00-000024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4" authorId="0" shapeId="0" xr:uid="{00000000-0006-0000-1A00-00002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4" authorId="0" shapeId="0" xr:uid="{00000000-0006-0000-1A00-00002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4" authorId="0" shapeId="0" xr:uid="{00000000-0006-0000-1A00-00002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4" authorId="0" shapeId="0" xr:uid="{00000000-0006-0000-1A00-00002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7" authorId="0" shapeId="0" xr:uid="{00000000-0006-0000-1A00-000029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E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3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3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3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1" authorId="0" shapeId="0" xr:uid="{00000000-0006-0000-1A00-00003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1" authorId="0" shapeId="0" xr:uid="{00000000-0006-0000-1A00-00003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1" authorId="0" shapeId="0" xr:uid="{00000000-0006-0000-1A00-00003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1" authorId="0" shapeId="0" xr:uid="{00000000-0006-0000-1A00-00003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3" authorId="1" shapeId="0" xr:uid="{00000000-0006-0000-1A00-000038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58" authorId="0" shapeId="0" xr:uid="{00000000-0006-0000-1A00-000039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58" authorId="0" shapeId="0" xr:uid="{00000000-0006-0000-1A00-00003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58" authorId="0" shapeId="0" xr:uid="{00000000-0006-0000-1A00-00003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59" authorId="0" shapeId="0" xr:uid="{00000000-0006-0000-1A00-00003C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59" authorId="0" shapeId="0" xr:uid="{00000000-0006-0000-1A00-00003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59" authorId="0" shapeId="0" xr:uid="{00000000-0006-0000-1A00-00003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1" authorId="1" shapeId="0" xr:uid="{00000000-0006-0000-1A00-00003F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1" authorId="1" shapeId="0" xr:uid="{00000000-0006-0000-1A00-00004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3" authorId="1" shapeId="0" xr:uid="{00000000-0006-0000-1A00-00004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00000000-0006-0000-1A00-00004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00000000-0006-0000-1A00-000043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5" authorId="1" shapeId="0" xr:uid="{00000000-0006-0000-1A00-00004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7" authorId="1" shapeId="0" xr:uid="{00000000-0006-0000-1A00-00004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0000000-0006-0000-1A00-00004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0" shapeId="0" xr:uid="{00000000-0006-0000-1A00-000047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69" authorId="0" shapeId="0" xr:uid="{00000000-0006-0000-1A00-00004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1" authorId="0" shapeId="0" xr:uid="{00000000-0006-0000-1A00-000049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1" authorId="0" shapeId="0" xr:uid="{00000000-0006-0000-1A00-00004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3" authorId="1" shapeId="0" xr:uid="{00000000-0006-0000-1A00-00004B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D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50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5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99" authorId="0" shapeId="0" xr:uid="{00000000-0006-0000-1A00-00005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99" authorId="0" shapeId="0" xr:uid="{00000000-0006-0000-1A00-00005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99" authorId="0" shapeId="0" xr:uid="{00000000-0006-0000-1A00-00005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99" authorId="0" shapeId="0" xr:uid="{00000000-0006-0000-1A00-00005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2" authorId="0" shapeId="0" xr:uid="{00000000-0006-0000-1A00-00005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6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6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06" authorId="0" shapeId="0" xr:uid="{00000000-0006-0000-1A00-00006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06" authorId="0" shapeId="0" xr:uid="{00000000-0006-0000-1A00-00006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06" authorId="0" shapeId="0" xr:uid="{00000000-0006-0000-1A00-00006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06" authorId="0" shapeId="0" xr:uid="{00000000-0006-0000-1A00-00006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08" authorId="1" shapeId="0" xr:uid="{00000000-0006-0000-1A00-000069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3" authorId="0" shapeId="0" xr:uid="{00000000-0006-0000-1A00-00006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3" authorId="0" shapeId="0" xr:uid="{00000000-0006-0000-1A00-00006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3" authorId="0" shapeId="0" xr:uid="{00000000-0006-0000-1A00-00006C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4" authorId="0" shapeId="0" xr:uid="{00000000-0006-0000-1A00-00006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4" authorId="0" shapeId="0" xr:uid="{00000000-0006-0000-1A00-00006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4" authorId="0" shapeId="0" xr:uid="{00000000-0006-0000-1A00-00006F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16" authorId="1" shapeId="0" xr:uid="{00000000-0006-0000-1A00-00007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6" authorId="1" shapeId="0" xr:uid="{00000000-0006-0000-1A00-00007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18" authorId="1" shapeId="0" xr:uid="{00000000-0006-0000-1A00-00007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8" authorId="1" shapeId="0" xr:uid="{00000000-0006-0000-1A00-000073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0" authorId="1" shapeId="0" xr:uid="{00000000-0006-0000-1A00-00007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0" authorId="1" shapeId="0" xr:uid="{00000000-0006-0000-1A00-00007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2" authorId="1" shapeId="0" xr:uid="{00000000-0006-0000-1A00-00007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2" authorId="1" shapeId="0" xr:uid="{00000000-0006-0000-1A00-000077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4" authorId="0" shapeId="0" xr:uid="{00000000-0006-0000-1A00-00007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4" authorId="0" shapeId="0" xr:uid="{00000000-0006-0000-1A00-000079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26" authorId="0" shapeId="0" xr:uid="{00000000-0006-0000-1A00-00007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26" authorId="0" shapeId="0" xr:uid="{00000000-0006-0000-1A00-00007B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28" authorId="1" shapeId="0" xr:uid="{00000000-0006-0000-1A00-00007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D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8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5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54" authorId="0" shapeId="0" xr:uid="{00000000-0006-0000-1A00-00008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54" authorId="0" shapeId="0" xr:uid="{00000000-0006-0000-1A00-00008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54" authorId="0" shapeId="0" xr:uid="{00000000-0006-0000-1A00-00008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54" authorId="0" shapeId="0" xr:uid="{00000000-0006-0000-1A00-00008A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57" authorId="0" shapeId="0" xr:uid="{00000000-0006-0000-1A00-00008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F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9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9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4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1" authorId="0" shapeId="0" xr:uid="{00000000-0006-0000-1A00-00009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1" authorId="0" shapeId="0" xr:uid="{00000000-0006-0000-1A00-00009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1" authorId="0" shapeId="0" xr:uid="{00000000-0006-0000-1A00-00009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1" authorId="0" shapeId="0" xr:uid="{00000000-0006-0000-1A00-000099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3" authorId="1" shapeId="0" xr:uid="{00000000-0006-0000-1A00-00009A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<sst xmlns="http://schemas.openxmlformats.org/spreadsheetml/2006/main" count="2159" uniqueCount="368">
  <si>
    <t>Field</t>
  </si>
  <si>
    <t>Causes</t>
  </si>
  <si>
    <t>Sepsis</t>
  </si>
  <si>
    <t>Population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</si>
  <si>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</si>
  <si>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</si>
  <si>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</si>
  <si>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</si>
  <si>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</si>
  <si>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</si>
  <si>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</si>
  <si>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</si>
  <si>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</si>
  <si>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</si>
  <si>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</si>
  <si>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</si>
  <si>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</si>
  <si>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</si>
  <si>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</si>
  <si>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</si>
  <si>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</si>
  <si>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</si>
  <si>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</si>
  <si>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</si>
  <si>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</si>
  <si>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</si>
  <si>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</si>
  <si>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</si>
  <si>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</si>
  <si>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</si>
  <si>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</si>
  <si>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</si>
  <si>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</si>
  <si>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</si>
  <si>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</si>
  <si>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</si>
  <si>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</si>
  <si>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</si>
  <si>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</si>
  <si>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</si>
  <si>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</si>
  <si>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</si>
  <si>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</si>
  <si>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</si>
  <si>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</si>
  <si>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</si>
  <si>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</si>
  <si>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</si>
  <si>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</si>
  <si>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</si>
  <si>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</si>
  <si>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</si>
  <si>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</si>
  <si>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</si>
  <si>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</si>
  <si>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</si>
  <si>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</si>
  <si>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</si>
  <si>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</si>
  <si>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</si>
  <si>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</si>
  <si>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</si>
  <si>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</si>
  <si>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</si>
  <si>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</si>
  <si>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</si>
  <si>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</si>
  <si>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</si>
  <si>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</si>
  <si>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</si>
  <si>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</si>
  <si>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</si>
  <si>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</si>
  <si>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</si>
  <si>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</si>
  <si>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</si>
  <si>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</si>
  <si>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</si>
  <si>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</si>
  <si>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</si>
  <si>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</si>
  <si>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</si>
  <si>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</si>
  <si>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</si>
  <si>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</si>
  <si>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</si>
  <si>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</si>
  <si>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</si>
  <si>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</si>
  <si>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</si>
  <si>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</si>
  <si>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</si>
  <si>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</si>
  <si>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</si>
  <si>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</si>
  <si>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</si>
  <si>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</si>
  <si>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</si>
  <si>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</si>
  <si>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</si>
  <si>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</si>
  <si>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</si>
  <si>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</si>
  <si>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</si>
  <si>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</si>
  <si>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</si>
  <si>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</si>
  <si>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</si>
  <si>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</si>
  <si>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</si>
  <si>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</si>
  <si>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</si>
  <si>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</si>
  <si>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</si>
  <si>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</si>
  <si>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</si>
  <si>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</si>
  <si>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</si>
  <si>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</si>
  <si>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</si>
  <si>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</si>
  <si>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</si>
  <si>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</si>
  <si>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</si>
  <si>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</si>
  <si>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</si>
  <si>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</si>
  <si>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</si>
  <si>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</si>
  <si>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</si>
  <si>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</si>
  <si>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</si>
  <si>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</si>
  <si>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</si>
  <si>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</si>
  <si>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</si>
  <si>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</si>
  <si>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</si>
  <si>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</si>
  <si>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</si>
  <si>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</si>
  <si>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</si>
  <si>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</si>
  <si>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</si>
  <si>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</si>
  <si>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</si>
  <si>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</si>
  <si>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</si>
  <si>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</si>
  <si>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</si>
  <si>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</si>
  <si>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</si>
  <si>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</si>
  <si>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</si>
  <si>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</si>
  <si>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</si>
  <si>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</si>
  <si>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</si>
  <si>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</si>
  <si>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</si>
  <si>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</si>
  <si>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</si>
  <si>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Taux de croissance du PIB</t>
  </si>
  <si>
    <t>PIB par habitant</t>
  </si>
  <si>
    <t>Actualisation (coûts)</t>
  </si>
  <si>
    <t>Actualisation (avantages)</t>
  </si>
  <si>
    <t>Pourcentage des gains à vie réellement réalisés</t>
  </si>
  <si>
    <t>Âge de départ de la population active</t>
  </si>
  <si>
    <t>Âge d’entrée dans la population active</t>
  </si>
  <si>
    <t>Participation des femmes à la population active</t>
  </si>
  <si>
    <t>Pourcentage de la grossesse auquel attribuer la perte de productivité imputée à l’anémie maternelle</t>
  </si>
  <si>
    <t>Augmentation des points QI grâce à l’allaitement maternel</t>
  </si>
  <si>
    <t>Augmentation de gains grâce à une augmentation d’un point du QI</t>
  </si>
  <si>
    <t>Part du travail du PIB</t>
  </si>
  <si>
    <t>Pourcentage de réduction des gains à vie pour un individu avec un retard de croissance</t>
  </si>
  <si>
    <t>Pourcentage de la perte de productivité imputable à l’anémie infantile</t>
  </si>
  <si>
    <t>Pourcentage de la perte de productivité imputable à l’insuffisance pondérale à la naissance</t>
  </si>
  <si>
    <t>Pourcentage de la perte de productivité imputable à l’anémie maternelle</t>
  </si>
  <si>
    <t>Pourcentage des mortinaissances à inclure pour la perte de productivité</t>
  </si>
  <si>
    <t>Nombre de personnes qui restent en vie (Avec un point de départ de 100.000 naissances)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</si>
  <si>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</si>
  <si>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</si>
  <si>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</si>
  <si>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</si>
  <si>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</si>
  <si>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</si>
  <si>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</si>
  <si>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</si>
  <si>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</si>
  <si>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</si>
  <si>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</si>
  <si>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</si>
  <si>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</si>
  <si>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</si>
  <si>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</si>
  <si>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</si>
  <si>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</si>
  <si>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</si>
  <si>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</si>
  <si>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</si>
  <si>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</si>
  <si>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</si>
  <si>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</si>
  <si>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</si>
  <si>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</si>
  <si>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</si>
  <si>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</si>
  <si>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</si>
  <si>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</si>
  <si>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</si>
  <si>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</si>
  <si>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</si>
  <si>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</si>
  <si>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</si>
  <si>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</si>
  <si>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</si>
  <si>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</si>
  <si>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</si>
  <si>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</si>
  <si>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</si>
  <si>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</si>
  <si>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</si>
  <si>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</si>
  <si>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</si>
  <si>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</si>
  <si>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</si>
  <si>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</si>
  <si>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</si>
  <si>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</si>
  <si>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</si>
  <si>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</si>
  <si>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</si>
  <si>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</si>
  <si>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</si>
  <si>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</si>
  <si>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</si>
  <si>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</si>
  <si>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</si>
  <si>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</si>
  <si>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</si>
  <si>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</si>
  <si>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</si>
  <si>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</si>
  <si>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</si>
  <si>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</si>
  <si>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</si>
  <si>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</si>
  <si>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</si>
  <si>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</si>
  <si>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</si>
  <si>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</si>
  <si>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</si>
  <si>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</si>
  <si>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</si>
  <si>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</si>
  <si>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</si>
  <si>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</si>
  <si>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</si>
  <si>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</si>
  <si>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</si>
  <si>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Mortinaissances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</si>
  <si>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</si>
  <si>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</si>
  <si>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</si>
  <si>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</si>
  <si>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</si>
  <si>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</si>
  <si>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</si>
  <si>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</si>
  <si>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</si>
  <si>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</si>
  <si>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</si>
  <si>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</si>
  <si>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</si>
  <si>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</si>
  <si>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</si>
  <si>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</si>
  <si>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</si>
  <si>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</si>
  <si>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</si>
  <si>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</si>
  <si>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</si>
  <si>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</si>
  <si>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Émaciation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</si>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</sst>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2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31</v>
      </c>
      <c r="B1" s="29" t="s">
        <v>0</v>
      </c>
      <c r="C1" s="29" t="s">
        <v>84</v>
      </c>
    </row>
    <row r="2" spans="1:3" ht="15.9" customHeight="1" x14ac:dyDescent="0.3">
      <c r="A2" s="8" t="s">
        <v>32</v>
      </c>
      <c r="B2" s="29"/>
      <c r="C2" s="29"/>
    </row>
    <row r="3" spans="1:3" ht="15.9" customHeight="1" x14ac:dyDescent="0.3">
      <c r="A3" s="1"/>
      <c r="B3" s="5" t="s">
        <v>33</v>
      </c>
      <c r="C3" s="41">
        <v>2024</v>
      </c>
    </row>
    <row r="4" spans="1:3" ht="15.9" customHeight="1" x14ac:dyDescent="0.3">
      <c r="A4" s="1"/>
      <c r="B4" s="5" t="s">
        <v>34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35</v>
      </c>
    </row>
    <row r="7" spans="1:3" ht="15" customHeight="1" x14ac:dyDescent="0.25">
      <c r="B7" s="11" t="s">
        <v>36</v>
      </c>
      <c r="C7" s="43">
        <v>1851093</v>
      </c>
    </row>
    <row r="8" spans="1:3" ht="15" customHeight="1" x14ac:dyDescent="0.25">
      <c r="B8" s="5" t="s">
        <v>37</v>
      </c>
      <c r="C8" s="44">
        <v>0.59299999999999997</v>
      </c>
    </row>
    <row r="9" spans="1:3" ht="15" customHeight="1" x14ac:dyDescent="0.25">
      <c r="B9" s="5" t="s">
        <v>38</v>
      </c>
      <c r="C9" s="45">
        <v>2.5000000000000001E-2</v>
      </c>
    </row>
    <row r="10" spans="1:3" ht="15" customHeight="1" x14ac:dyDescent="0.25">
      <c r="B10" s="5" t="s">
        <v>39</v>
      </c>
      <c r="C10" s="45">
        <v>0.42979260000000002</v>
      </c>
    </row>
    <row r="11" spans="1:3" ht="15" customHeight="1" x14ac:dyDescent="0.25">
      <c r="B11" s="5" t="s">
        <v>40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42</v>
      </c>
      <c r="C13" s="45">
        <v>0.13900000000000001</v>
      </c>
    </row>
    <row r="14" spans="1:3" ht="15" customHeight="1" x14ac:dyDescent="0.25">
      <c r="B14" s="8"/>
    </row>
    <row r="15" spans="1:3" ht="15" customHeight="1" x14ac:dyDescent="0.3">
      <c r="A15" s="8" t="s">
        <v>43</v>
      </c>
      <c r="B15" s="14"/>
      <c r="C15" s="3"/>
    </row>
    <row r="16" spans="1:3" ht="15" customHeight="1" x14ac:dyDescent="0.25">
      <c r="B16" s="5" t="s">
        <v>44</v>
      </c>
      <c r="C16" s="45">
        <v>0.1</v>
      </c>
    </row>
    <row r="17" spans="1:3" ht="15" customHeight="1" x14ac:dyDescent="0.25">
      <c r="B17" s="5" t="s">
        <v>45</v>
      </c>
      <c r="C17" s="45">
        <v>0.01</v>
      </c>
    </row>
    <row r="18" spans="1:3" ht="15" customHeight="1" x14ac:dyDescent="0.25">
      <c r="B18" s="5" t="s">
        <v>46</v>
      </c>
      <c r="C18" s="45">
        <v>0.98</v>
      </c>
    </row>
    <row r="19" spans="1:3" ht="15" customHeight="1" x14ac:dyDescent="0.25">
      <c r="B19" s="5" t="s">
        <v>47</v>
      </c>
      <c r="C19" s="45">
        <v>0.01</v>
      </c>
    </row>
    <row r="20" spans="1:3" ht="15" customHeight="1" x14ac:dyDescent="0.25">
      <c r="B20" s="5" t="s">
        <v>48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49</v>
      </c>
    </row>
    <row r="23" spans="1:3" ht="15" customHeight="1" x14ac:dyDescent="0.25">
      <c r="B23" s="15" t="s">
        <v>50</v>
      </c>
      <c r="C23" s="45">
        <v>0.1226</v>
      </c>
    </row>
    <row r="24" spans="1:3" ht="15" customHeight="1" x14ac:dyDescent="0.25">
      <c r="B24" s="15" t="s">
        <v>51</v>
      </c>
      <c r="C24" s="45">
        <v>0.47810000000000002</v>
      </c>
    </row>
    <row r="25" spans="1:3" ht="15" customHeight="1" x14ac:dyDescent="0.25">
      <c r="B25" s="15" t="s">
        <v>52</v>
      </c>
      <c r="C25" s="45">
        <v>0.32329999999999998</v>
      </c>
    </row>
    <row r="26" spans="1:3" ht="15" customHeight="1" x14ac:dyDescent="0.25">
      <c r="B26" s="15" t="s">
        <v>53</v>
      </c>
      <c r="C26" s="45">
        <v>7.5999999999999998E-2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54</v>
      </c>
      <c r="B28" s="15"/>
      <c r="C28" s="15"/>
    </row>
    <row r="29" spans="1:3" ht="14.25" customHeight="1" x14ac:dyDescent="0.25">
      <c r="B29" s="25" t="s">
        <v>55</v>
      </c>
      <c r="C29" s="45">
        <v>0.31902004302312198</v>
      </c>
    </row>
    <row r="30" spans="1:3" ht="14.25" customHeight="1" x14ac:dyDescent="0.25">
      <c r="B30" s="25" t="s">
        <v>56</v>
      </c>
      <c r="C30" s="99">
        <v>3.89276953654537E-2</v>
      </c>
    </row>
    <row r="31" spans="1:3" ht="14.25" customHeight="1" x14ac:dyDescent="0.25">
      <c r="B31" s="25" t="s">
        <v>57</v>
      </c>
      <c r="C31" s="99">
        <v>8.8909302097760101E-2</v>
      </c>
    </row>
    <row r="32" spans="1:3" ht="14.25" customHeight="1" x14ac:dyDescent="0.25">
      <c r="B32" s="25" t="s">
        <v>58</v>
      </c>
      <c r="C32" s="99">
        <v>0.55314295951366399</v>
      </c>
    </row>
    <row r="33" spans="1:5" ht="13.25" customHeight="1" x14ac:dyDescent="0.25">
      <c r="B33" s="27" t="s">
        <v>59</v>
      </c>
      <c r="C33" s="48">
        <f>SUM(C29:C32)</f>
        <v>0.99999999999999978</v>
      </c>
    </row>
    <row r="34" spans="1:5" ht="15" customHeight="1" x14ac:dyDescent="0.25"/>
    <row r="35" spans="1:5" ht="15" customHeight="1" x14ac:dyDescent="0.3">
      <c r="A35" s="4" t="s">
        <v>60</v>
      </c>
    </row>
    <row r="36" spans="1:5" ht="15" customHeight="1" x14ac:dyDescent="0.25">
      <c r="A36" s="8" t="s">
        <v>61</v>
      </c>
      <c r="B36" s="5"/>
    </row>
    <row r="37" spans="1:5" ht="15" customHeight="1" x14ac:dyDescent="0.25">
      <c r="B37" s="11" t="s">
        <v>62</v>
      </c>
      <c r="C37" s="43">
        <v>10.801</v>
      </c>
    </row>
    <row r="38" spans="1:5" ht="15" customHeight="1" x14ac:dyDescent="0.25">
      <c r="B38" s="11" t="s">
        <v>63</v>
      </c>
      <c r="C38" s="43">
        <v>19.559259999999998</v>
      </c>
      <c r="D38" s="12"/>
      <c r="E38" s="13"/>
    </row>
    <row r="39" spans="1:5" ht="15" customHeight="1" x14ac:dyDescent="0.25">
      <c r="B39" s="11" t="s">
        <v>64</v>
      </c>
      <c r="C39" s="43">
        <v>23.019259999999999</v>
      </c>
      <c r="D39" s="12"/>
      <c r="E39" s="12"/>
    </row>
    <row r="40" spans="1:5" ht="15" customHeight="1" x14ac:dyDescent="0.25">
      <c r="B40" s="11" t="s">
        <v>65</v>
      </c>
      <c r="C40" s="100">
        <v>0.96</v>
      </c>
    </row>
    <row r="41" spans="1:5" ht="15" customHeight="1" x14ac:dyDescent="0.25">
      <c r="B41" s="11" t="s">
        <v>66</v>
      </c>
      <c r="C41" s="45">
        <v>0.12</v>
      </c>
    </row>
    <row r="42" spans="1:5" ht="15" customHeight="1" x14ac:dyDescent="0.25">
      <c r="B42" s="11" t="s">
        <v>67</v>
      </c>
      <c r="C42" s="43">
        <v>13.336930000000001</v>
      </c>
    </row>
    <row r="43" spans="1:5" ht="15.75" customHeight="1" x14ac:dyDescent="0.25">
      <c r="D43" s="12"/>
    </row>
    <row r="44" spans="1:5" ht="15.75" customHeight="1" x14ac:dyDescent="0.25">
      <c r="A44" s="8" t="s">
        <v>68</v>
      </c>
      <c r="D44" s="12"/>
    </row>
    <row r="45" spans="1:5" ht="15.75" customHeight="1" x14ac:dyDescent="0.25">
      <c r="B45" s="11" t="s">
        <v>69</v>
      </c>
      <c r="C45" s="45">
        <v>8.9353000000000002E-3</v>
      </c>
      <c r="D45" s="12"/>
    </row>
    <row r="46" spans="1:5" ht="15.75" customHeight="1" x14ac:dyDescent="0.25">
      <c r="B46" s="11" t="s">
        <v>70</v>
      </c>
      <c r="C46" s="45">
        <v>9.5860400000000012E-2</v>
      </c>
      <c r="D46" s="12"/>
    </row>
    <row r="47" spans="1:5" ht="15.75" customHeight="1" x14ac:dyDescent="0.25">
      <c r="B47" s="11" t="s">
        <v>71</v>
      </c>
      <c r="C47" s="45">
        <v>0.16790920000000001</v>
      </c>
      <c r="D47" s="12"/>
      <c r="E47" s="13"/>
    </row>
    <row r="48" spans="1:5" ht="15" customHeight="1" x14ac:dyDescent="0.25">
      <c r="B48" s="11" t="s">
        <v>72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73</v>
      </c>
      <c r="D50" s="12"/>
    </row>
    <row r="51" spans="1:4" ht="15.75" customHeight="1" x14ac:dyDescent="0.25">
      <c r="B51" s="11" t="s">
        <v>74</v>
      </c>
      <c r="C51" s="100">
        <v>2.99</v>
      </c>
      <c r="D51" s="12"/>
    </row>
    <row r="52" spans="1:4" ht="15" customHeight="1" x14ac:dyDescent="0.25">
      <c r="B52" s="11" t="s">
        <v>75</v>
      </c>
      <c r="C52" s="100">
        <v>2.99</v>
      </c>
    </row>
    <row r="53" spans="1:4" ht="15.75" customHeight="1" x14ac:dyDescent="0.25">
      <c r="B53" s="11" t="s">
        <v>76</v>
      </c>
      <c r="C53" s="100">
        <v>6.7080000000000002</v>
      </c>
    </row>
    <row r="54" spans="1:4" ht="15.75" customHeight="1" x14ac:dyDescent="0.25">
      <c r="B54" s="11" t="s">
        <v>77</v>
      </c>
      <c r="C54" s="100">
        <v>8.0079999999999991</v>
      </c>
    </row>
    <row r="55" spans="1:4" ht="15.75" customHeight="1" x14ac:dyDescent="0.25">
      <c r="B55" s="11" t="s">
        <v>78</v>
      </c>
      <c r="C55" s="100">
        <v>4.012666666666667</v>
      </c>
    </row>
    <row r="57" spans="1:4" ht="15.75" customHeight="1" x14ac:dyDescent="0.25">
      <c r="A57" s="8" t="s">
        <v>79</v>
      </c>
    </row>
    <row r="58" spans="1:4" ht="15.75" customHeight="1" x14ac:dyDescent="0.25">
      <c r="B58" s="5" t="s">
        <v>80</v>
      </c>
      <c r="C58" s="45">
        <v>1.9375E-2</v>
      </c>
    </row>
    <row r="59" spans="1:4" ht="15.75" customHeight="1" x14ac:dyDescent="0.25">
      <c r="B59" s="11" t="s">
        <v>81</v>
      </c>
      <c r="C59" s="45">
        <v>0.55069000000000001</v>
      </c>
    </row>
    <row r="60" spans="1:4" ht="15.75" customHeight="1" x14ac:dyDescent="0.25">
      <c r="B60" s="11" t="s">
        <v>82</v>
      </c>
      <c r="C60" s="45">
        <v>4.5999999999999999E-2</v>
      </c>
    </row>
    <row r="61" spans="1:4" ht="15.75" customHeight="1" x14ac:dyDescent="0.25">
      <c r="B61" s="11" t="s">
        <v>83</v>
      </c>
      <c r="C61" s="45">
        <v>1.4E-2</v>
      </c>
    </row>
    <row r="62" spans="1:4" ht="15.75" customHeight="1" x14ac:dyDescent="0.25">
      <c r="B62" s="11" t="s">
        <v>85</v>
      </c>
      <c r="C62" s="44">
        <v>0.1449437989</v>
      </c>
    </row>
    <row r="63" spans="1:4" ht="15.75" customHeight="1" x14ac:dyDescent="0.3">
      <c r="A63" s="4"/>
    </row>
  </sheetData>
  <sheetProtection algorithmName="SHA-512" hashValue="SIAv1/Lgfgb7uTAg5Z1p1UlABqK8NoqRMsO2c+eUdICX8mxDEm5MseMyQdib6hXk3BD5kaZcFC50FB8UBDNLvQ==" saltValue="/3ckAEyHtR86DuLdDGzrn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94</v>
      </c>
      <c r="B1" s="20" t="s">
        <v>86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91</v>
      </c>
      <c r="H1" s="18" t="s">
        <v>92</v>
      </c>
      <c r="I1" s="18" t="s">
        <v>93</v>
      </c>
    </row>
    <row r="2" spans="1:9" ht="15.75" customHeight="1" x14ac:dyDescent="0.25">
      <c r="A2" s="5">
        <f>start_year</f>
        <v>2024</v>
      </c>
      <c r="B2" s="49">
        <v>379512</v>
      </c>
      <c r="C2" s="49">
        <v>935128</v>
      </c>
      <c r="D2" s="49">
        <v>1771206.0000000002</v>
      </c>
      <c r="E2" s="49">
        <v>1396143.5000000002</v>
      </c>
      <c r="F2" s="49">
        <v>960161</v>
      </c>
      <c r="G2" s="17">
        <f t="shared" ref="G2:G13" si="0">C2+D2+E2+F2</f>
        <v>5062638.5</v>
      </c>
      <c r="H2" s="17">
        <f t="shared" ref="H2:H13" si="1">(B2 + stillbirth*B2/(1000-stillbirth))/(1-abortion)</f>
        <v>437093.11666406685</v>
      </c>
      <c r="I2" s="17">
        <f t="shared" ref="I2:I13" si="2">G2-H2</f>
        <v>4625545.3833359331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380110</v>
      </c>
      <c r="C3" s="50">
        <v>936564.5</v>
      </c>
      <c r="D3" s="50">
        <v>1790677.0000000002</v>
      </c>
      <c r="E3" s="50">
        <v>1439926</v>
      </c>
      <c r="F3" s="50">
        <v>996925.99999999988</v>
      </c>
      <c r="G3" s="17">
        <f t="shared" si="0"/>
        <v>5164093.5</v>
      </c>
      <c r="H3" s="17">
        <f t="shared" si="1"/>
        <v>437781.84767590609</v>
      </c>
      <c r="I3" s="17">
        <f t="shared" si="2"/>
        <v>4726311.6523240935</v>
      </c>
    </row>
    <row r="4" spans="1:9" ht="15.75" customHeight="1" x14ac:dyDescent="0.25">
      <c r="A4" s="5">
        <f t="shared" si="3"/>
        <v>2026</v>
      </c>
      <c r="B4" s="49">
        <v>380396</v>
      </c>
      <c r="C4" s="50">
        <v>940151</v>
      </c>
      <c r="D4" s="50">
        <v>1806676</v>
      </c>
      <c r="E4" s="50">
        <v>1483100</v>
      </c>
      <c r="F4" s="50">
        <v>1034217.5</v>
      </c>
      <c r="G4" s="17">
        <f t="shared" si="0"/>
        <v>5264144.5</v>
      </c>
      <c r="H4" s="17">
        <f t="shared" si="1"/>
        <v>438111.24076852476</v>
      </c>
      <c r="I4" s="17">
        <f t="shared" si="2"/>
        <v>4826033.2592314752</v>
      </c>
    </row>
    <row r="5" spans="1:9" ht="15.75" customHeight="1" x14ac:dyDescent="0.25">
      <c r="A5" s="5">
        <f t="shared" si="3"/>
        <v>2027</v>
      </c>
      <c r="B5" s="49">
        <v>379917</v>
      </c>
      <c r="C5" s="50">
        <v>945451</v>
      </c>
      <c r="D5" s="50">
        <v>1820328.5</v>
      </c>
      <c r="E5" s="50">
        <v>1523877.5</v>
      </c>
      <c r="F5" s="50">
        <v>1073030</v>
      </c>
      <c r="G5" s="17">
        <f t="shared" si="0"/>
        <v>5362687</v>
      </c>
      <c r="H5" s="17">
        <f t="shared" si="1"/>
        <v>437559.56492459337</v>
      </c>
      <c r="I5" s="17">
        <f t="shared" si="2"/>
        <v>4925127.4350754069</v>
      </c>
    </row>
    <row r="6" spans="1:9" ht="15.75" customHeight="1" x14ac:dyDescent="0.25">
      <c r="A6" s="5">
        <f t="shared" si="3"/>
        <v>2028</v>
      </c>
      <c r="B6" s="49">
        <v>379832</v>
      </c>
      <c r="C6" s="50">
        <v>951913.5</v>
      </c>
      <c r="D6" s="50">
        <v>1831287.5</v>
      </c>
      <c r="E6" s="50">
        <v>1561428.5</v>
      </c>
      <c r="F6" s="50">
        <v>1113917</v>
      </c>
      <c r="G6" s="17">
        <f t="shared" si="0"/>
        <v>5458546.5</v>
      </c>
      <c r="H6" s="17">
        <f t="shared" si="1"/>
        <v>437461.66837608779</v>
      </c>
      <c r="I6" s="17">
        <f t="shared" si="2"/>
        <v>5021084.8316239119</v>
      </c>
    </row>
    <row r="7" spans="1:9" ht="15.75" customHeight="1" x14ac:dyDescent="0.25">
      <c r="A7" s="5">
        <f t="shared" si="3"/>
        <v>2029</v>
      </c>
      <c r="B7" s="49">
        <v>380289</v>
      </c>
      <c r="C7" s="50">
        <v>959321</v>
      </c>
      <c r="D7" s="50">
        <v>1839987.9999999998</v>
      </c>
      <c r="E7" s="50">
        <v>1596152.5000000002</v>
      </c>
      <c r="F7" s="50">
        <v>1156245</v>
      </c>
      <c r="G7" s="17">
        <f t="shared" si="0"/>
        <v>5551706.5</v>
      </c>
      <c r="H7" s="17">
        <f t="shared" si="1"/>
        <v>437988.0062898178</v>
      </c>
      <c r="I7" s="17">
        <f t="shared" si="2"/>
        <v>5113718.4937101826</v>
      </c>
    </row>
    <row r="8" spans="1:9" ht="15.75" customHeight="1" x14ac:dyDescent="0.25">
      <c r="A8" s="5">
        <f t="shared" si="3"/>
        <v>2030</v>
      </c>
      <c r="B8" s="49">
        <v>380934</v>
      </c>
      <c r="C8" s="50">
        <v>967504.5</v>
      </c>
      <c r="D8" s="50">
        <v>1847443</v>
      </c>
      <c r="E8" s="50">
        <v>1629331.0000000002</v>
      </c>
      <c r="F8" s="50">
        <v>1198373</v>
      </c>
      <c r="G8" s="17">
        <f t="shared" si="0"/>
        <v>5642651.5</v>
      </c>
      <c r="H8" s="17">
        <f t="shared" si="1"/>
        <v>438730.86833436001</v>
      </c>
      <c r="I8" s="17">
        <f t="shared" si="2"/>
        <v>5203920.6316656396</v>
      </c>
    </row>
    <row r="9" spans="1:9" ht="15.75" customHeight="1" x14ac:dyDescent="0.25">
      <c r="A9" s="5">
        <f t="shared" si="3"/>
        <v>2031</v>
      </c>
      <c r="B9" s="49">
        <v>381066</v>
      </c>
      <c r="C9" s="50">
        <v>975929</v>
      </c>
      <c r="D9" s="50">
        <v>1853922</v>
      </c>
      <c r="E9" s="50">
        <v>1661827.4999999998</v>
      </c>
      <c r="F9" s="50">
        <v>1239626</v>
      </c>
      <c r="G9" s="17">
        <f t="shared" si="0"/>
        <v>5731304.5</v>
      </c>
      <c r="H9" s="17">
        <f t="shared" si="1"/>
        <v>438882.89591556869</v>
      </c>
      <c r="I9" s="17">
        <f t="shared" si="2"/>
        <v>5292421.6040844312</v>
      </c>
    </row>
    <row r="10" spans="1:9" ht="15.75" customHeight="1" x14ac:dyDescent="0.25">
      <c r="A10" s="5">
        <f t="shared" si="3"/>
        <v>2032</v>
      </c>
      <c r="B10" s="49">
        <v>381085</v>
      </c>
      <c r="C10" s="50">
        <v>982083.5</v>
      </c>
      <c r="D10" s="50">
        <v>1860906</v>
      </c>
      <c r="E10" s="50">
        <v>1692331.5</v>
      </c>
      <c r="F10" s="50">
        <v>1280559.4999999998</v>
      </c>
      <c r="G10" s="17">
        <f t="shared" si="0"/>
        <v>5815880.5</v>
      </c>
      <c r="H10" s="17">
        <f t="shared" si="1"/>
        <v>438904.7786734699</v>
      </c>
      <c r="I10" s="17">
        <f t="shared" si="2"/>
        <v>5376975.72132653</v>
      </c>
    </row>
    <row r="11" spans="1:9" ht="15.75" customHeight="1" x14ac:dyDescent="0.25">
      <c r="A11" s="5">
        <f t="shared" si="3"/>
        <v>2033</v>
      </c>
      <c r="B11" s="49">
        <v>381185</v>
      </c>
      <c r="C11" s="50">
        <v>984177.5</v>
      </c>
      <c r="D11" s="50">
        <v>1868418.0000000002</v>
      </c>
      <c r="E11" s="50">
        <v>1719353</v>
      </c>
      <c r="F11" s="50">
        <v>1321652.9999999998</v>
      </c>
      <c r="G11" s="17">
        <f t="shared" si="0"/>
        <v>5893601.5</v>
      </c>
      <c r="H11" s="17">
        <f t="shared" si="1"/>
        <v>439019.95108347648</v>
      </c>
      <c r="I11" s="17">
        <f t="shared" si="2"/>
        <v>5454581.5489165233</v>
      </c>
    </row>
    <row r="12" spans="1:9" ht="15.75" customHeight="1" x14ac:dyDescent="0.25">
      <c r="A12" s="5">
        <f t="shared" si="3"/>
        <v>2034</v>
      </c>
      <c r="B12" s="49">
        <v>380511</v>
      </c>
      <c r="C12" s="50">
        <v>980150.5</v>
      </c>
      <c r="D12" s="50">
        <v>1876258.5</v>
      </c>
      <c r="E12" s="50">
        <v>1742833</v>
      </c>
      <c r="F12" s="50">
        <v>1363764.0000000002</v>
      </c>
      <c r="G12" s="17">
        <f t="shared" si="0"/>
        <v>5963006</v>
      </c>
      <c r="H12" s="17">
        <f t="shared" si="1"/>
        <v>438243.68904003233</v>
      </c>
      <c r="I12" s="17">
        <f t="shared" si="2"/>
        <v>5524762.3109599678</v>
      </c>
    </row>
    <row r="13" spans="1:9" ht="15.75" customHeight="1" x14ac:dyDescent="0.25">
      <c r="A13" s="5">
        <f t="shared" si="3"/>
        <v>2035</v>
      </c>
      <c r="B13" s="49">
        <v>379805</v>
      </c>
      <c r="C13" s="50">
        <v>968053.5</v>
      </c>
      <c r="D13" s="50">
        <v>1886132.5000000002</v>
      </c>
      <c r="E13" s="50">
        <v>1762467</v>
      </c>
      <c r="F13" s="50">
        <v>1407083</v>
      </c>
      <c r="G13" s="17">
        <f t="shared" si="0"/>
        <v>6023736</v>
      </c>
      <c r="H13" s="17">
        <f t="shared" si="1"/>
        <v>437430.57182538608</v>
      </c>
      <c r="I13" s="17">
        <f t="shared" si="2"/>
        <v>5586305.428174614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PgC4jXeiV3JBvRxbqxg1qwwmS+65+Gl/r6152taFRNZwZeTgyPiNNBmzspia3nBY7h8NDWobDH9YcNa1bFB+yw==" saltValue="B2UvzxEOvGBIrDiNv+OHNA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95</v>
      </c>
      <c r="B2" s="29" t="s">
        <v>1</v>
      </c>
      <c r="C2" s="29" t="s">
        <v>127</v>
      </c>
      <c r="D2" s="29"/>
      <c r="E2" s="29"/>
      <c r="F2" s="29"/>
      <c r="G2" s="29"/>
    </row>
    <row r="3" spans="1:8" ht="15.75" customHeight="1" x14ac:dyDescent="0.25">
      <c r="B3" s="19" t="s">
        <v>96</v>
      </c>
      <c r="C3" s="55">
        <v>2.3424999999999969E-3</v>
      </c>
    </row>
    <row r="4" spans="1:8" ht="15.75" customHeight="1" x14ac:dyDescent="0.25">
      <c r="B4" s="19" t="s">
        <v>97</v>
      </c>
      <c r="C4" s="101">
        <v>6.6525100000000059E-2</v>
      </c>
    </row>
    <row r="5" spans="1:8" ht="15.75" customHeight="1" x14ac:dyDescent="0.25">
      <c r="B5" s="19" t="s">
        <v>98</v>
      </c>
      <c r="C5" s="101">
        <v>3.4683200000000032E-2</v>
      </c>
    </row>
    <row r="6" spans="1:8" ht="15.75" customHeight="1" x14ac:dyDescent="0.25">
      <c r="B6" s="19" t="s">
        <v>99</v>
      </c>
      <c r="C6" s="101">
        <v>0.1965487000000001</v>
      </c>
    </row>
    <row r="7" spans="1:8" ht="15.75" customHeight="1" x14ac:dyDescent="0.25">
      <c r="B7" s="19" t="s">
        <v>100</v>
      </c>
      <c r="C7" s="101">
        <v>0.44584979999999957</v>
      </c>
    </row>
    <row r="8" spans="1:8" ht="15.75" customHeight="1" x14ac:dyDescent="0.25">
      <c r="B8" s="19" t="s">
        <v>101</v>
      </c>
      <c r="C8" s="101">
        <v>3.6609999999999979E-4</v>
      </c>
    </row>
    <row r="9" spans="1:8" ht="15.75" customHeight="1" x14ac:dyDescent="0.25">
      <c r="B9" s="19" t="s">
        <v>102</v>
      </c>
      <c r="C9" s="101">
        <v>0.17018749999999999</v>
      </c>
    </row>
    <row r="10" spans="1:8" ht="15.75" customHeight="1" x14ac:dyDescent="0.25">
      <c r="B10" s="19" t="s">
        <v>103</v>
      </c>
      <c r="C10" s="101">
        <v>8.349710000000013E-2</v>
      </c>
    </row>
    <row r="11" spans="1:8" ht="15.75" customHeight="1" x14ac:dyDescent="0.25">
      <c r="B11" s="27" t="s">
        <v>59</v>
      </c>
      <c r="C11" s="48">
        <f>SUM(C3:C10)</f>
        <v>0.99999999999999989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104</v>
      </c>
      <c r="B13" s="29" t="s">
        <v>1</v>
      </c>
      <c r="C13" s="102" t="s">
        <v>114</v>
      </c>
      <c r="D13" s="102" t="s">
        <v>115</v>
      </c>
      <c r="E13" s="102" t="s">
        <v>116</v>
      </c>
      <c r="F13" s="102" t="s">
        <v>117</v>
      </c>
      <c r="G13" s="19"/>
    </row>
    <row r="14" spans="1:8" ht="15.75" customHeight="1" x14ac:dyDescent="0.25">
      <c r="B14" s="19" t="s">
        <v>105</v>
      </c>
      <c r="C14" s="55">
        <v>0.32204468469638381</v>
      </c>
      <c r="D14" s="55">
        <v>0.32204468469638381</v>
      </c>
      <c r="E14" s="55">
        <v>0.32204468469638381</v>
      </c>
      <c r="F14" s="55">
        <v>0.32204468469638381</v>
      </c>
    </row>
    <row r="15" spans="1:8" ht="15.75" customHeight="1" x14ac:dyDescent="0.25">
      <c r="B15" s="19" t="s">
        <v>106</v>
      </c>
      <c r="C15" s="101">
        <v>0.3757329104636849</v>
      </c>
      <c r="D15" s="101">
        <v>0.3757329104636849</v>
      </c>
      <c r="E15" s="101">
        <v>0.3757329104636849</v>
      </c>
      <c r="F15" s="101">
        <v>0.3757329104636849</v>
      </c>
    </row>
    <row r="16" spans="1:8" ht="15.75" customHeight="1" x14ac:dyDescent="0.25">
      <c r="B16" s="19" t="s">
        <v>107</v>
      </c>
      <c r="C16" s="101">
        <v>8.3301158821975311E-3</v>
      </c>
      <c r="D16" s="101">
        <v>8.3301158821975311E-3</v>
      </c>
      <c r="E16" s="101">
        <v>8.3301158821975311E-3</v>
      </c>
      <c r="F16" s="101">
        <v>8.3301158821975311E-3</v>
      </c>
    </row>
    <row r="17" spans="1:8" ht="15.75" customHeight="1" x14ac:dyDescent="0.25">
      <c r="B17" s="19" t="s">
        <v>108</v>
      </c>
      <c r="C17" s="101">
        <v>0</v>
      </c>
      <c r="D17" s="101">
        <v>0</v>
      </c>
      <c r="E17" s="101">
        <v>0</v>
      </c>
      <c r="F17" s="101">
        <v>0</v>
      </c>
    </row>
    <row r="18" spans="1:8" ht="15.75" customHeight="1" x14ac:dyDescent="0.25">
      <c r="B18" s="19" t="s">
        <v>109</v>
      </c>
      <c r="C18" s="101">
        <v>2.6718060387780372E-4</v>
      </c>
      <c r="D18" s="101">
        <v>2.6718060387780372E-4</v>
      </c>
      <c r="E18" s="101">
        <v>2.6718060387780372E-4</v>
      </c>
      <c r="F18" s="101">
        <v>2.6718060387780372E-4</v>
      </c>
    </row>
    <row r="19" spans="1:8" ht="15.75" customHeight="1" x14ac:dyDescent="0.25">
      <c r="B19" s="19" t="s">
        <v>110</v>
      </c>
      <c r="C19" s="101">
        <v>1.0574113139588261E-2</v>
      </c>
      <c r="D19" s="101">
        <v>1.0574113139588261E-2</v>
      </c>
      <c r="E19" s="101">
        <v>1.0574113139588261E-2</v>
      </c>
      <c r="F19" s="101">
        <v>1.0574113139588261E-2</v>
      </c>
    </row>
    <row r="20" spans="1:8" ht="15.75" customHeight="1" x14ac:dyDescent="0.25">
      <c r="B20" s="19" t="s">
        <v>111</v>
      </c>
      <c r="C20" s="101">
        <v>3.9243099520798568E-2</v>
      </c>
      <c r="D20" s="101">
        <v>3.9243099520798568E-2</v>
      </c>
      <c r="E20" s="101">
        <v>3.9243099520798568E-2</v>
      </c>
      <c r="F20" s="101">
        <v>3.9243099520798568E-2</v>
      </c>
    </row>
    <row r="21" spans="1:8" ht="15.75" customHeight="1" x14ac:dyDescent="0.25">
      <c r="B21" s="19" t="s">
        <v>112</v>
      </c>
      <c r="C21" s="101">
        <v>0.1172818518600829</v>
      </c>
      <c r="D21" s="101">
        <v>0.1172818518600829</v>
      </c>
      <c r="E21" s="101">
        <v>0.1172818518600829</v>
      </c>
      <c r="F21" s="101">
        <v>0.1172818518600829</v>
      </c>
    </row>
    <row r="22" spans="1:8" ht="15.75" customHeight="1" x14ac:dyDescent="0.25">
      <c r="B22" s="19" t="s">
        <v>113</v>
      </c>
      <c r="C22" s="101">
        <v>0.12652604383338609</v>
      </c>
      <c r="D22" s="101">
        <v>0.12652604383338609</v>
      </c>
      <c r="E22" s="101">
        <v>0.12652604383338609</v>
      </c>
      <c r="F22" s="101">
        <v>0.12652604383338609</v>
      </c>
    </row>
    <row r="23" spans="1:8" ht="15.75" customHeight="1" x14ac:dyDescent="0.25">
      <c r="B23" s="27" t="s">
        <v>59</v>
      </c>
      <c r="C23" s="48">
        <f>SUM(C14:C22)</f>
        <v>0.99999999999999967</v>
      </c>
      <c r="D23" s="48">
        <f>SUM(D14:D22)</f>
        <v>0.99999999999999967</v>
      </c>
      <c r="E23" s="48">
        <f>SUM(E14:E22)</f>
        <v>0.99999999999999967</v>
      </c>
      <c r="F23" s="48">
        <f>SUM(F14:F22)</f>
        <v>0.99999999999999967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118</v>
      </c>
      <c r="B25" s="29" t="s">
        <v>1</v>
      </c>
      <c r="C25" s="29" t="s">
        <v>118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119</v>
      </c>
      <c r="C26" s="55">
        <v>4.9290206000000003E-2</v>
      </c>
    </row>
    <row r="27" spans="1:8" ht="15.75" customHeight="1" x14ac:dyDescent="0.25">
      <c r="B27" s="19" t="s">
        <v>120</v>
      </c>
      <c r="C27" s="101">
        <v>2.8242382999999999E-2</v>
      </c>
    </row>
    <row r="28" spans="1:8" ht="15.75" customHeight="1" x14ac:dyDescent="0.25">
      <c r="B28" s="19" t="s">
        <v>121</v>
      </c>
      <c r="C28" s="101">
        <v>0.34948395100000001</v>
      </c>
    </row>
    <row r="29" spans="1:8" ht="15.75" customHeight="1" x14ac:dyDescent="0.25">
      <c r="B29" s="19" t="s">
        <v>122</v>
      </c>
      <c r="C29" s="101">
        <v>0.20214362399999999</v>
      </c>
    </row>
    <row r="30" spans="1:8" ht="15.75" customHeight="1" x14ac:dyDescent="0.25">
      <c r="B30" s="19" t="s">
        <v>2</v>
      </c>
      <c r="C30" s="101">
        <v>0.105324062</v>
      </c>
    </row>
    <row r="31" spans="1:8" ht="15.75" customHeight="1" x14ac:dyDescent="0.25">
      <c r="B31" s="19" t="s">
        <v>123</v>
      </c>
      <c r="C31" s="101">
        <v>5.5211837999999999E-2</v>
      </c>
    </row>
    <row r="32" spans="1:8" ht="15.75" customHeight="1" x14ac:dyDescent="0.25">
      <c r="B32" s="19" t="s">
        <v>124</v>
      </c>
      <c r="C32" s="101">
        <v>8.5237639999999996E-3</v>
      </c>
    </row>
    <row r="33" spans="2:3" ht="15.75" customHeight="1" x14ac:dyDescent="0.25">
      <c r="B33" s="19" t="s">
        <v>125</v>
      </c>
      <c r="C33" s="101">
        <v>0.16815316199999999</v>
      </c>
    </row>
    <row r="34" spans="2:3" ht="15.75" customHeight="1" x14ac:dyDescent="0.25">
      <c r="B34" s="19" t="s">
        <v>126</v>
      </c>
      <c r="C34" s="101">
        <v>3.3627008999999999E-2</v>
      </c>
    </row>
    <row r="35" spans="2:3" ht="15.75" customHeight="1" x14ac:dyDescent="0.25">
      <c r="B35" s="27" t="s">
        <v>59</v>
      </c>
      <c r="C35" s="48">
        <f>SUM(C26:C34)</f>
        <v>0.99999999899999992</v>
      </c>
    </row>
  </sheetData>
  <sheetProtection algorithmName="SHA-512" hashValue="clCV4KkGWUdmdG4/zvob8DAK1kYX66HnWGVOV34Ct/b/l7/sDqjLkWRp9uOJoCcWi3lkZWfNGSIZ4hp7Xmij2w==" saltValue="o3KAM9DrZK5JQMBcp3CrTg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128</v>
      </c>
      <c r="C1" s="11" t="s">
        <v>127</v>
      </c>
      <c r="D1" s="11" t="s">
        <v>114</v>
      </c>
      <c r="E1" s="11" t="s">
        <v>115</v>
      </c>
      <c r="F1" s="11" t="s">
        <v>116</v>
      </c>
      <c r="G1" s="11" t="s">
        <v>117</v>
      </c>
    </row>
    <row r="2" spans="1:15" ht="15.75" customHeight="1" x14ac:dyDescent="0.25">
      <c r="A2" s="3" t="s">
        <v>129</v>
      </c>
      <c r="B2" s="5" t="s">
        <v>130</v>
      </c>
      <c r="C2" s="52">
        <f>IFERROR(1-_xlfn.NORM.DIST(_xlfn.NORM.INV(SUM(C4:C5), 0, 1) + 1, 0, 1, TRUE), "")</f>
        <v>0.30287646133877688</v>
      </c>
      <c r="D2" s="52">
        <f>IFERROR(1-_xlfn.NORM.DIST(_xlfn.NORM.INV(SUM(D4:D5), 0, 1) + 1, 0, 1, TRUE), "")</f>
        <v>0.30287646133877688</v>
      </c>
      <c r="E2" s="52">
        <f>IFERROR(1-_xlfn.NORM.DIST(_xlfn.NORM.INV(SUM(E4:E5), 0, 1) + 1, 0, 1, TRUE), "")</f>
        <v>0.26872002098883241</v>
      </c>
      <c r="F2" s="52">
        <f>IFERROR(1-_xlfn.NORM.DIST(_xlfn.NORM.INV(SUM(F4:F5), 0, 1) + 1, 0, 1, TRUE), "")</f>
        <v>0.15078540460114109</v>
      </c>
      <c r="G2" s="52">
        <f>IFERROR(1-_xlfn.NORM.DIST(_xlfn.NORM.INV(SUM(G4:G5), 0, 1) + 1, 0, 1, TRUE), "")</f>
        <v>0.16095228438042852</v>
      </c>
    </row>
    <row r="3" spans="1:15" ht="15.75" customHeight="1" x14ac:dyDescent="0.25">
      <c r="B3" s="5" t="s">
        <v>131</v>
      </c>
      <c r="C3" s="52">
        <f>IFERROR(_xlfn.NORM.DIST(_xlfn.NORM.INV(SUM(C4:C5), 0, 1) + 1, 0, 1, TRUE) - SUM(C4:C5), "")</f>
        <v>0.38287903866122308</v>
      </c>
      <c r="D3" s="52">
        <f>IFERROR(_xlfn.NORM.DIST(_xlfn.NORM.INV(SUM(D4:D5), 0, 1) + 1, 0, 1, TRUE) - SUM(D4:D5), "")</f>
        <v>0.38287903866122308</v>
      </c>
      <c r="E3" s="52">
        <f>IFERROR(_xlfn.NORM.DIST(_xlfn.NORM.INV(SUM(E4:E5), 0, 1) + 1, 0, 1, TRUE) - SUM(E4:E5), "")</f>
        <v>0.38053547901116758</v>
      </c>
      <c r="F3" s="52">
        <f>IFERROR(_xlfn.NORM.DIST(_xlfn.NORM.INV(SUM(F4:F5), 0, 1) + 1, 0, 1, TRUE) - SUM(F4:F5), "")</f>
        <v>0.3360236953988589</v>
      </c>
      <c r="G3" s="52">
        <f>IFERROR(_xlfn.NORM.DIST(_xlfn.NORM.INV(SUM(G4:G5), 0, 1) + 1, 0, 1, TRUE) - SUM(G4:G5), "")</f>
        <v>0.34281701561957145</v>
      </c>
    </row>
    <row r="4" spans="1:15" ht="15.75" customHeight="1" x14ac:dyDescent="0.25">
      <c r="B4" s="5" t="s">
        <v>132</v>
      </c>
      <c r="C4" s="45">
        <v>0.22817280000000001</v>
      </c>
      <c r="D4" s="53">
        <v>0.22817280000000001</v>
      </c>
      <c r="E4" s="53">
        <v>0.2445852</v>
      </c>
      <c r="F4" s="53">
        <v>0.30018359999999999</v>
      </c>
      <c r="G4" s="53">
        <v>0.31933080000000003</v>
      </c>
    </row>
    <row r="5" spans="1:15" ht="15.75" customHeight="1" x14ac:dyDescent="0.25">
      <c r="B5" s="5" t="s">
        <v>133</v>
      </c>
      <c r="C5" s="45">
        <v>8.6071700000000001E-2</v>
      </c>
      <c r="D5" s="53">
        <v>8.6071700000000001E-2</v>
      </c>
      <c r="E5" s="53">
        <v>0.1061593</v>
      </c>
      <c r="F5" s="53">
        <v>0.21300730000000001</v>
      </c>
      <c r="G5" s="53">
        <v>0.1768999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134</v>
      </c>
      <c r="B8" s="5" t="s">
        <v>135</v>
      </c>
      <c r="C8" s="52">
        <f>IFERROR(1-_xlfn.NORM.DIST(_xlfn.NORM.INV(SUM(C10:C11), 0, 1) + 1, 0, 1, TRUE), "")</f>
        <v>0.91001320031227306</v>
      </c>
      <c r="D8" s="52">
        <f>IFERROR(1-_xlfn.NORM.DIST(_xlfn.NORM.INV(SUM(D10:D11), 0, 1) + 1, 0, 1, TRUE), "")</f>
        <v>0.91001320031227306</v>
      </c>
      <c r="E8" s="52">
        <f>IFERROR(1-_xlfn.NORM.DIST(_xlfn.NORM.INV(SUM(E10:E11), 0, 1) + 1, 0, 1, TRUE), "")</f>
        <v>0.91472366966221252</v>
      </c>
      <c r="F8" s="52">
        <f>IFERROR(1-_xlfn.NORM.DIST(_xlfn.NORM.INV(SUM(F10:F11), 0, 1) + 1, 0, 1, TRUE), "")</f>
        <v>0.90238842198608749</v>
      </c>
      <c r="G8" s="52">
        <f>IFERROR(1-_xlfn.NORM.DIST(_xlfn.NORM.INV(SUM(G10:G11), 0, 1) + 1, 0, 1, TRUE), "")</f>
        <v>0.93550232588005555</v>
      </c>
    </row>
    <row r="9" spans="1:15" ht="15.75" customHeight="1" x14ac:dyDescent="0.25">
      <c r="B9" s="5" t="s">
        <v>136</v>
      </c>
      <c r="C9" s="52">
        <f>IFERROR(_xlfn.NORM.DIST(_xlfn.NORM.INV(SUM(C10:C11), 0, 1) + 1, 0, 1, TRUE) - SUM(C10:C11), "")</f>
        <v>8.0366499687726911E-2</v>
      </c>
      <c r="D9" s="52">
        <f>IFERROR(_xlfn.NORM.DIST(_xlfn.NORM.INV(SUM(D10:D11), 0, 1) + 1, 0, 1, TRUE) - SUM(D10:D11), "")</f>
        <v>8.0366499687726911E-2</v>
      </c>
      <c r="E9" s="52">
        <f>IFERROR(_xlfn.NORM.DIST(_xlfn.NORM.INV(SUM(E10:E11), 0, 1) + 1, 0, 1, TRUE) - SUM(E10:E11), "")</f>
        <v>7.6392630337787482E-2</v>
      </c>
      <c r="F9" s="52">
        <f>IFERROR(_xlfn.NORM.DIST(_xlfn.NORM.INV(SUM(F10:F11), 0, 1) + 1, 0, 1, TRUE) - SUM(F10:F11), "")</f>
        <v>8.6753078013912466E-2</v>
      </c>
      <c r="G9" s="52">
        <f>IFERROR(_xlfn.NORM.DIST(_xlfn.NORM.INV(SUM(G10:G11), 0, 1) + 1, 0, 1, TRUE) - SUM(G10:G11), "")</f>
        <v>5.8597774119944407E-2</v>
      </c>
    </row>
    <row r="10" spans="1:15" ht="15.75" customHeight="1" x14ac:dyDescent="0.25">
      <c r="B10" s="5" t="s">
        <v>137</v>
      </c>
      <c r="C10" s="45">
        <v>7.3385000000000004E-3</v>
      </c>
      <c r="D10" s="53">
        <v>7.3385000000000004E-3</v>
      </c>
      <c r="E10" s="53">
        <v>8.3902000000000004E-3</v>
      </c>
      <c r="F10" s="53">
        <v>1.03783E-2</v>
      </c>
      <c r="G10" s="53">
        <v>4.1657999999999999E-3</v>
      </c>
    </row>
    <row r="11" spans="1:15" ht="15.75" customHeight="1" x14ac:dyDescent="0.25">
      <c r="B11" s="5" t="s">
        <v>138</v>
      </c>
      <c r="C11" s="45">
        <v>2.2818000000000001E-3</v>
      </c>
      <c r="D11" s="53">
        <v>2.2818000000000001E-3</v>
      </c>
      <c r="E11" s="53">
        <v>4.9350000000000002E-4</v>
      </c>
      <c r="F11" s="53">
        <v>4.8020000000000002E-4</v>
      </c>
      <c r="G11" s="53">
        <v>1.7340999999999999E-3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139</v>
      </c>
      <c r="C13" s="11" t="s">
        <v>127</v>
      </c>
      <c r="D13" s="11" t="s">
        <v>114</v>
      </c>
      <c r="E13" s="11" t="s">
        <v>115</v>
      </c>
      <c r="F13" s="11" t="s">
        <v>116</v>
      </c>
      <c r="G13" s="11" t="s">
        <v>117</v>
      </c>
      <c r="H13" s="18" t="s">
        <v>140</v>
      </c>
      <c r="I13" s="18" t="s">
        <v>141</v>
      </c>
      <c r="J13" s="18" t="s">
        <v>142</v>
      </c>
      <c r="K13" s="18" t="s">
        <v>143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144</v>
      </c>
      <c r="C14" s="51">
        <v>0.66242282200000024</v>
      </c>
      <c r="D14" s="54">
        <v>0.62910825079199995</v>
      </c>
      <c r="E14" s="54">
        <v>0.62910825079199995</v>
      </c>
      <c r="F14" s="54">
        <v>0.35119943787399999</v>
      </c>
      <c r="G14" s="54">
        <v>0.35119943787399999</v>
      </c>
      <c r="H14" s="45">
        <v>0.25</v>
      </c>
      <c r="I14" s="55">
        <v>0.25</v>
      </c>
      <c r="J14" s="55">
        <v>0.25</v>
      </c>
      <c r="K14" s="55">
        <v>0.25</v>
      </c>
      <c r="L14" s="45">
        <v>0.159</v>
      </c>
      <c r="M14" s="55">
        <v>0.159</v>
      </c>
      <c r="N14" s="55">
        <v>0.159</v>
      </c>
      <c r="O14" s="55">
        <v>0.159</v>
      </c>
    </row>
    <row r="15" spans="1:15" ht="15.75" customHeight="1" x14ac:dyDescent="0.25">
      <c r="B15" s="11" t="s">
        <v>145</v>
      </c>
      <c r="C15" s="52">
        <f t="shared" ref="C15:O15" si="0">iron_deficiency_anaemia*C14</f>
        <v>0.36478962384718017</v>
      </c>
      <c r="D15" s="52">
        <f t="shared" si="0"/>
        <v>0.34644362262864647</v>
      </c>
      <c r="E15" s="52">
        <f t="shared" si="0"/>
        <v>0.34644362262864647</v>
      </c>
      <c r="F15" s="52">
        <f t="shared" si="0"/>
        <v>0.19340201844283306</v>
      </c>
      <c r="G15" s="52">
        <f t="shared" si="0"/>
        <v>0.19340201844283306</v>
      </c>
      <c r="H15" s="52">
        <f t="shared" si="0"/>
        <v>0.1376725</v>
      </c>
      <c r="I15" s="52">
        <f t="shared" si="0"/>
        <v>0.1376725</v>
      </c>
      <c r="J15" s="52">
        <f t="shared" si="0"/>
        <v>0.1376725</v>
      </c>
      <c r="K15" s="52">
        <f t="shared" si="0"/>
        <v>0.1376725</v>
      </c>
      <c r="L15" s="52">
        <f t="shared" si="0"/>
        <v>8.7559709999999999E-2</v>
      </c>
      <c r="M15" s="52">
        <f t="shared" si="0"/>
        <v>8.7559709999999999E-2</v>
      </c>
      <c r="N15" s="52">
        <f t="shared" si="0"/>
        <v>8.7559709999999999E-2</v>
      </c>
      <c r="O15" s="52">
        <f t="shared" si="0"/>
        <v>8.7559709999999999E-2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BiEc+Fg7rc6tNqpnwbIrU1sqdadNbcskfoXjeO2DtcND9jg9Am+jpd4GotC9R56bZGYbcw+vsF/7osh+MKt4yA==" saltValue="QeafRAkOGNVS8NnlextmO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128</v>
      </c>
      <c r="C1" s="8" t="s">
        <v>127</v>
      </c>
      <c r="D1" s="8" t="s">
        <v>114</v>
      </c>
      <c r="E1" s="8" t="s">
        <v>115</v>
      </c>
      <c r="F1" s="8" t="s">
        <v>116</v>
      </c>
      <c r="G1" s="8" t="s">
        <v>117</v>
      </c>
    </row>
    <row r="2" spans="1:7" x14ac:dyDescent="0.25">
      <c r="A2" s="3" t="s">
        <v>146</v>
      </c>
      <c r="B2" s="3" t="s">
        <v>147</v>
      </c>
      <c r="C2" s="45">
        <v>0.63745839999999998</v>
      </c>
      <c r="D2" s="53">
        <v>0.51996969999999998</v>
      </c>
      <c r="E2" s="53">
        <v>0</v>
      </c>
      <c r="F2" s="53">
        <v>0</v>
      </c>
      <c r="G2" s="53">
        <v>0</v>
      </c>
    </row>
    <row r="3" spans="1:7" x14ac:dyDescent="0.25">
      <c r="B3" s="3" t="s">
        <v>148</v>
      </c>
      <c r="C3" s="53">
        <v>0.1352931</v>
      </c>
      <c r="D3" s="53">
        <v>0.1694262</v>
      </c>
      <c r="E3" s="53">
        <v>0</v>
      </c>
      <c r="F3" s="53">
        <v>0</v>
      </c>
      <c r="G3" s="53">
        <v>0</v>
      </c>
    </row>
    <row r="4" spans="1:7" x14ac:dyDescent="0.25">
      <c r="B4" s="3" t="s">
        <v>149</v>
      </c>
      <c r="C4" s="53">
        <v>0.19128139999999999</v>
      </c>
      <c r="D4" s="53">
        <v>0.25796720000000001</v>
      </c>
      <c r="E4" s="53">
        <v>0.90781040000000002</v>
      </c>
      <c r="F4" s="53">
        <v>0.72040629999999994</v>
      </c>
      <c r="G4" s="53">
        <v>0</v>
      </c>
    </row>
    <row r="5" spans="1:7" x14ac:dyDescent="0.25">
      <c r="B5" s="3" t="s">
        <v>150</v>
      </c>
      <c r="C5" s="52">
        <f t="shared" ref="C5:D5" si="0">1-SUM(C2:C4)</f>
        <v>3.5967099999999919E-2</v>
      </c>
      <c r="D5" s="52">
        <f t="shared" si="0"/>
        <v>5.2636899999999986E-2</v>
      </c>
      <c r="E5" s="52">
        <f>1-SUM(E2:E4)</f>
        <v>9.2189599999999983E-2</v>
      </c>
      <c r="F5" s="52">
        <f>1-SUM(F2:F4)</f>
        <v>0.27959370000000006</v>
      </c>
      <c r="G5" s="52">
        <f>1-SUM(G2:G4)</f>
        <v>1</v>
      </c>
    </row>
  </sheetData>
  <sheetProtection algorithmName="SHA-512" hashValue="i8fab/HTrHgUeFmdgE+nGZg70EpOxvRW1kaa4ZgHYgYFgKz1cbi7CFk3c3KL520a6Bnhx1Cn2Rp5mf/21EsqzQ==" saltValue="Twf5ETRMctp4nZMbGYZtRg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151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152</v>
      </c>
      <c r="B2" s="9" t="s">
        <v>161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153</v>
      </c>
      <c r="B4" s="9" t="s">
        <v>161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154</v>
      </c>
      <c r="B6" s="9" t="s">
        <v>161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118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155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156</v>
      </c>
      <c r="B10" s="11" t="s">
        <v>157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158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61</v>
      </c>
      <c r="B13" s="11" t="s">
        <v>159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160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qytd2yb4W/JIMJzEK+T3GyJ2qAo2rmB/VNO0Jk7Q8O5tlgcLPcKoz9JoWzHwx8NWShqiFr7Z1G32n+7PWfyxYQ==" saltValue="xuUThybIY58xJuWzhfesWw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5" t="s">
        <v>12</v>
      </c>
      <c r="B1" s="105" t="s">
        <v>13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</row>
    <row r="2" spans="1:15" x14ac:dyDescent="0.25">
      <c r="A2" t="s">
        <v>163</v>
      </c>
      <c r="B2" s="109">
        <v>5473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15" x14ac:dyDescent="0.25">
      <c r="A3" t="s">
        <v>162</v>
      </c>
      <c r="B3" s="110">
        <v>0.03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15" x14ac:dyDescent="0.25">
      <c r="A4" t="s">
        <v>173</v>
      </c>
      <c r="B4" s="110">
        <v>0.47659000000000001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</row>
    <row r="5" spans="1:15" x14ac:dyDescent="0.25">
      <c r="A5" t="s">
        <v>164</v>
      </c>
      <c r="B5" s="110">
        <v>0.03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</row>
    <row r="6" spans="1:15" x14ac:dyDescent="0.25">
      <c r="A6" t="s">
        <v>165</v>
      </c>
      <c r="B6" s="110">
        <v>0.03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</row>
    <row r="7" spans="1:15" x14ac:dyDescent="0.25">
      <c r="A7" t="s">
        <v>168</v>
      </c>
      <c r="B7" s="111">
        <v>18</v>
      </c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</row>
    <row r="8" spans="1:15" x14ac:dyDescent="0.25">
      <c r="A8" t="s">
        <v>167</v>
      </c>
      <c r="B8" s="111">
        <v>65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</row>
    <row r="9" spans="1:15" x14ac:dyDescent="0.25">
      <c r="A9" t="s">
        <v>169</v>
      </c>
      <c r="B9" s="110">
        <v>0.42270000000000002</v>
      </c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</row>
    <row r="10" spans="1:15" x14ac:dyDescent="0.25">
      <c r="A10" t="s">
        <v>166</v>
      </c>
      <c r="B10" s="110">
        <v>0.9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</row>
    <row r="11" spans="1:15" x14ac:dyDescent="0.25">
      <c r="A11" t="s">
        <v>174</v>
      </c>
      <c r="B11" s="110">
        <v>0.66</v>
      </c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</row>
    <row r="12" spans="1:15" x14ac:dyDescent="0.25">
      <c r="A12" t="s">
        <v>175</v>
      </c>
      <c r="B12" s="110">
        <v>2.5000000000000001E-2</v>
      </c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</row>
    <row r="13" spans="1:15" x14ac:dyDescent="0.25">
      <c r="A13" t="s">
        <v>176</v>
      </c>
      <c r="B13" s="110">
        <v>7.4999999999999997E-2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</row>
    <row r="14" spans="1:15" x14ac:dyDescent="0.25">
      <c r="A14" t="s">
        <v>177</v>
      </c>
      <c r="B14" s="112">
        <v>1.4975176239732619E-2</v>
      </c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</row>
    <row r="15" spans="1:15" x14ac:dyDescent="0.25">
      <c r="A15" t="s">
        <v>170</v>
      </c>
      <c r="B15" s="111">
        <v>0.5</v>
      </c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</row>
    <row r="16" spans="1:15" x14ac:dyDescent="0.25">
      <c r="A16" t="s">
        <v>171</v>
      </c>
      <c r="B16" s="111">
        <v>0.8</v>
      </c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</row>
    <row r="17" spans="1:15" x14ac:dyDescent="0.25">
      <c r="A17" t="s">
        <v>172</v>
      </c>
      <c r="B17" s="113">
        <v>1.0666666666666666E-2</v>
      </c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</row>
    <row r="18" spans="1:15" x14ac:dyDescent="0.25">
      <c r="A18" t="s">
        <v>178</v>
      </c>
      <c r="B18" s="110">
        <v>0</v>
      </c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</row>
    <row r="19" spans="1:15" x14ac:dyDescent="0.25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</row>
    <row r="20" spans="1:1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</row>
    <row r="21" spans="1:15" ht="13" x14ac:dyDescent="0.3">
      <c r="A21" s="107" t="s">
        <v>14</v>
      </c>
      <c r="B21" s="108" t="s">
        <v>15</v>
      </c>
      <c r="C21" s="108" t="s">
        <v>16</v>
      </c>
      <c r="D21" s="108" t="s">
        <v>17</v>
      </c>
      <c r="E21" s="108" t="s">
        <v>18</v>
      </c>
      <c r="F21" s="108" t="s">
        <v>19</v>
      </c>
      <c r="G21" s="108" t="s">
        <v>20</v>
      </c>
      <c r="H21" s="108" t="s">
        <v>21</v>
      </c>
      <c r="I21" s="108" t="s">
        <v>22</v>
      </c>
      <c r="J21" s="108" t="s">
        <v>23</v>
      </c>
      <c r="K21" s="108" t="s">
        <v>24</v>
      </c>
      <c r="L21" s="108" t="s">
        <v>25</v>
      </c>
      <c r="M21" s="108" t="s">
        <v>26</v>
      </c>
      <c r="N21" s="108" t="s">
        <v>27</v>
      </c>
      <c r="O21" s="108" t="s">
        <v>28</v>
      </c>
    </row>
    <row r="22" spans="1:15" x14ac:dyDescent="0.25">
      <c r="A22" s="108" t="s">
        <v>179</v>
      </c>
      <c r="B22" s="109">
        <v>97575.427049999998</v>
      </c>
      <c r="C22" s="109">
        <v>97418.053369999994</v>
      </c>
      <c r="D22" s="109">
        <v>97217.393450000003</v>
      </c>
      <c r="E22" s="109">
        <v>96540.964479999995</v>
      </c>
      <c r="F22" s="109">
        <v>95575.929019999996</v>
      </c>
      <c r="G22" s="109">
        <v>94481.133749999994</v>
      </c>
      <c r="H22" s="109">
        <v>93369.910749999995</v>
      </c>
      <c r="I22" s="109">
        <v>91950.033089999997</v>
      </c>
      <c r="J22" s="109">
        <v>90188.068660000004</v>
      </c>
      <c r="K22" s="109">
        <v>87877.820219999994</v>
      </c>
      <c r="L22" s="109">
        <v>84424.451419999998</v>
      </c>
      <c r="M22" s="109">
        <v>79380.982839999997</v>
      </c>
      <c r="N22" s="109">
        <v>73489.285189999995</v>
      </c>
      <c r="O22" s="109">
        <v>64752.964059999998</v>
      </c>
    </row>
  </sheetData>
  <sheetProtection algorithmName="SHA-512" hashValue="bNLMhdhne1agV1bipkENfjHZGlgDmsZWJZSI3iw78aJX+xI9IWFGpvNH4sC6LqhR/A7sTIGzK9J0qGEKWN94fQ==" saltValue="2jR6A2sNngoNxd6l+Y57Rw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180</v>
      </c>
      <c r="B1" s="36" t="s">
        <v>181</v>
      </c>
      <c r="C1" s="36" t="s">
        <v>182</v>
      </c>
      <c r="D1" s="36" t="s">
        <v>183</v>
      </c>
      <c r="E1" s="36" t="s">
        <v>184</v>
      </c>
    </row>
    <row r="2" spans="1:5" ht="13" x14ac:dyDescent="0.3">
      <c r="A2" s="34" t="s">
        <v>186</v>
      </c>
      <c r="B2" s="32" t="s">
        <v>118</v>
      </c>
      <c r="C2" s="47"/>
      <c r="D2" s="47"/>
      <c r="E2" s="38" t="str">
        <f>IF(E$7="","",E$7)</f>
        <v/>
      </c>
    </row>
    <row r="3" spans="1:5" x14ac:dyDescent="0.25">
      <c r="B3" s="32" t="s">
        <v>127</v>
      </c>
      <c r="C3" s="47"/>
      <c r="D3" s="47" t="s">
        <v>4</v>
      </c>
      <c r="E3" s="38" t="str">
        <f>IF(E$7="","",E$7)</f>
        <v/>
      </c>
    </row>
    <row r="4" spans="1:5" x14ac:dyDescent="0.25">
      <c r="B4" s="32" t="s">
        <v>114</v>
      </c>
      <c r="C4" s="47"/>
      <c r="D4" s="47" t="s">
        <v>4</v>
      </c>
      <c r="E4" s="38" t="str">
        <f>IF(E$7="","",E$7)</f>
        <v/>
      </c>
    </row>
    <row r="5" spans="1:5" x14ac:dyDescent="0.25">
      <c r="B5" s="32" t="s">
        <v>115</v>
      </c>
      <c r="C5" s="47"/>
      <c r="D5" s="47" t="s">
        <v>4</v>
      </c>
      <c r="E5" s="38" t="str">
        <f>IF(E$7="","",E$7)</f>
        <v/>
      </c>
    </row>
    <row r="6" spans="1:5" x14ac:dyDescent="0.25">
      <c r="B6" s="32" t="s">
        <v>116</v>
      </c>
      <c r="C6" s="47"/>
      <c r="D6" s="47" t="s">
        <v>4</v>
      </c>
      <c r="E6" s="38" t="str">
        <f>IF(E$7="","",E$7)</f>
        <v/>
      </c>
    </row>
    <row r="7" spans="1:5" x14ac:dyDescent="0.25">
      <c r="B7" s="32" t="s">
        <v>185</v>
      </c>
      <c r="C7" s="31"/>
      <c r="D7" s="30"/>
      <c r="E7" s="47"/>
    </row>
    <row r="9" spans="1:5" ht="13" x14ac:dyDescent="0.3">
      <c r="A9" s="34" t="s">
        <v>187</v>
      </c>
      <c r="B9" s="32" t="s">
        <v>118</v>
      </c>
      <c r="C9" s="47"/>
      <c r="D9" s="47"/>
      <c r="E9" s="38" t="str">
        <f>IF(E$7="","",E$7)</f>
        <v/>
      </c>
    </row>
    <row r="10" spans="1:5" x14ac:dyDescent="0.25">
      <c r="B10" s="32" t="s">
        <v>127</v>
      </c>
      <c r="C10" s="47"/>
      <c r="D10" s="47"/>
      <c r="E10" s="38" t="str">
        <f>IF(E$7="","",E$7)</f>
        <v/>
      </c>
    </row>
    <row r="11" spans="1:5" x14ac:dyDescent="0.25">
      <c r="B11" s="32" t="s">
        <v>114</v>
      </c>
      <c r="C11" s="47"/>
      <c r="D11" s="47"/>
      <c r="E11" s="38" t="str">
        <f>IF(E$7="","",E$7)</f>
        <v/>
      </c>
    </row>
    <row r="12" spans="1:5" x14ac:dyDescent="0.25">
      <c r="B12" s="32" t="s">
        <v>115</v>
      </c>
      <c r="C12" s="47"/>
      <c r="D12" s="47" t="s">
        <v>4</v>
      </c>
      <c r="E12" s="38" t="str">
        <f>IF(E$7="","",E$7)</f>
        <v/>
      </c>
    </row>
    <row r="13" spans="1:5" x14ac:dyDescent="0.25">
      <c r="B13" s="32" t="s">
        <v>116</v>
      </c>
      <c r="C13" s="47"/>
      <c r="D13" s="47" t="s">
        <v>4</v>
      </c>
      <c r="E13" s="38" t="str">
        <f>IF(E$7="","",E$7)</f>
        <v/>
      </c>
    </row>
    <row r="14" spans="1:5" x14ac:dyDescent="0.25">
      <c r="B14" s="32" t="s">
        <v>185</v>
      </c>
      <c r="C14" s="31"/>
      <c r="D14" s="30"/>
      <c r="E14" s="47"/>
    </row>
    <row r="16" spans="1:5" ht="13" x14ac:dyDescent="0.3">
      <c r="A16" s="34" t="s">
        <v>188</v>
      </c>
      <c r="B16" s="32" t="s">
        <v>118</v>
      </c>
      <c r="C16" s="47"/>
      <c r="D16" s="47" t="s">
        <v>4</v>
      </c>
      <c r="E16" s="38" t="str">
        <f>IF(E$7="","",E$7)</f>
        <v/>
      </c>
    </row>
    <row r="17" spans="2:5" x14ac:dyDescent="0.25">
      <c r="B17" s="32" t="s">
        <v>127</v>
      </c>
      <c r="C17" s="47"/>
      <c r="D17" s="47" t="s">
        <v>4</v>
      </c>
      <c r="E17" s="38" t="str">
        <f>IF(E$7="","",E$7)</f>
        <v/>
      </c>
    </row>
    <row r="18" spans="2:5" x14ac:dyDescent="0.25">
      <c r="B18" s="32" t="s">
        <v>114</v>
      </c>
      <c r="C18" s="47"/>
      <c r="D18" s="47" t="s">
        <v>4</v>
      </c>
      <c r="E18" s="38" t="str">
        <f>IF(E$7="","",E$7)</f>
        <v/>
      </c>
    </row>
    <row r="19" spans="2:5" x14ac:dyDescent="0.25">
      <c r="B19" s="32" t="s">
        <v>115</v>
      </c>
      <c r="C19" s="47"/>
      <c r="D19" s="47" t="s">
        <v>4</v>
      </c>
      <c r="E19" s="38" t="str">
        <f>IF(E$7="","",E$7)</f>
        <v/>
      </c>
    </row>
    <row r="20" spans="2:5" x14ac:dyDescent="0.25">
      <c r="B20" s="32" t="s">
        <v>116</v>
      </c>
      <c r="C20" s="47"/>
      <c r="D20" s="47" t="s">
        <v>4</v>
      </c>
      <c r="E20" s="38" t="str">
        <f>IF(E$7="","",E$7)</f>
        <v/>
      </c>
    </row>
    <row r="21" spans="2:5" x14ac:dyDescent="0.25">
      <c r="B21" s="32" t="s">
        <v>185</v>
      </c>
      <c r="C21" s="31"/>
      <c r="D21" s="30"/>
      <c r="E21" s="47"/>
    </row>
  </sheetData>
  <sheetProtection algorithmName="SHA-512" hashValue="w2W32l36D5tURWhs8nI0gnwmImGRe+ubFKfL785AhCCgp73wKVlDP6et1s+f4WuZgx7nU/rg9dZjv8KjNIYPiw==" saltValue="JJ3LmghTA77+sGUpSJfEFA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191</v>
      </c>
      <c r="C1" s="40" t="s">
        <v>5</v>
      </c>
      <c r="D1" s="40" t="s">
        <v>192</v>
      </c>
    </row>
    <row r="2" spans="1:4" ht="13" x14ac:dyDescent="0.3">
      <c r="A2" s="40" t="s">
        <v>189</v>
      </c>
      <c r="B2" s="32" t="s">
        <v>190</v>
      </c>
      <c r="C2" s="32" t="s">
        <v>194</v>
      </c>
      <c r="D2" s="47"/>
    </row>
    <row r="3" spans="1:4" ht="13" x14ac:dyDescent="0.3">
      <c r="A3" s="40" t="s">
        <v>193</v>
      </c>
      <c r="B3" s="32" t="s">
        <v>182</v>
      </c>
      <c r="C3" s="32" t="s">
        <v>183</v>
      </c>
      <c r="D3" s="47"/>
    </row>
  </sheetData>
  <sheetProtection algorithmName="SHA-512" hashValue="XZHbRPTJCVF08DRhzCH6AluEzd5Obb1cWDiWtU+/5r/M8fl7HQR/Bc17NQDem8Kb8r1bUaA3JUoVjUYwatk+FQ==" saltValue="Wy6stxl+hn6nGTockS0oCw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189</v>
      </c>
      <c r="B1" s="22" t="str">
        <f>"Couverture de l'année de référence ("&amp;start_year&amp;")"</f>
        <v>Couverture de l'année de référence (2024)</v>
      </c>
      <c r="C1" s="22" t="s">
        <v>195</v>
      </c>
      <c r="D1" s="22" t="s">
        <v>231</v>
      </c>
      <c r="E1" s="22" t="s">
        <v>196</v>
      </c>
      <c r="F1" s="22" t="s">
        <v>232</v>
      </c>
      <c r="G1" s="22" t="s">
        <v>233</v>
      </c>
    </row>
    <row r="2" spans="1:7" ht="15.75" customHeight="1" x14ac:dyDescent="0.25">
      <c r="A2" s="5" t="s">
        <v>197</v>
      </c>
      <c r="B2" s="45">
        <v>0</v>
      </c>
      <c r="C2" s="98">
        <v>0.95</v>
      </c>
      <c r="D2" s="56">
        <v>19.75</v>
      </c>
      <c r="E2" s="56" t="s">
        <v>230</v>
      </c>
      <c r="F2" s="98">
        <v>1</v>
      </c>
      <c r="G2" s="98">
        <v>1</v>
      </c>
    </row>
    <row r="3" spans="1:7" ht="15.75" customHeight="1" x14ac:dyDescent="0.25">
      <c r="A3" s="5" t="s">
        <v>198</v>
      </c>
      <c r="B3" s="45">
        <v>0</v>
      </c>
      <c r="C3" s="98">
        <v>0.95</v>
      </c>
      <c r="D3" s="56">
        <v>19.75</v>
      </c>
      <c r="E3" s="56" t="s">
        <v>230</v>
      </c>
      <c r="F3" s="98">
        <v>1</v>
      </c>
      <c r="G3" s="98">
        <v>1</v>
      </c>
    </row>
    <row r="4" spans="1:7" ht="15.75" customHeight="1" x14ac:dyDescent="0.25">
      <c r="A4" s="5" t="s">
        <v>199</v>
      </c>
      <c r="B4" s="98">
        <v>0</v>
      </c>
      <c r="C4" s="98">
        <v>0.95</v>
      </c>
      <c r="D4" s="56">
        <v>21.195</v>
      </c>
      <c r="E4" s="56" t="s">
        <v>230</v>
      </c>
      <c r="F4" s="98">
        <v>1</v>
      </c>
      <c r="G4" s="98">
        <v>1</v>
      </c>
    </row>
    <row r="5" spans="1:7" ht="15.75" customHeight="1" x14ac:dyDescent="0.25">
      <c r="A5" s="5" t="s">
        <v>200</v>
      </c>
      <c r="B5" s="98">
        <v>0</v>
      </c>
      <c r="C5" s="98">
        <v>0.95</v>
      </c>
      <c r="D5" s="56">
        <v>0.48</v>
      </c>
      <c r="E5" s="56" t="s">
        <v>230</v>
      </c>
      <c r="F5" s="98">
        <v>1</v>
      </c>
      <c r="G5" s="98">
        <v>1</v>
      </c>
    </row>
    <row r="6" spans="1:7" ht="15.75" customHeight="1" x14ac:dyDescent="0.25">
      <c r="A6" s="5" t="s">
        <v>201</v>
      </c>
      <c r="B6" s="98">
        <v>0</v>
      </c>
      <c r="C6" s="98">
        <v>0.95</v>
      </c>
      <c r="D6" s="56">
        <v>99.99</v>
      </c>
      <c r="E6" s="56" t="s">
        <v>230</v>
      </c>
      <c r="F6" s="98">
        <v>1</v>
      </c>
      <c r="G6" s="98">
        <v>1</v>
      </c>
    </row>
    <row r="7" spans="1:7" ht="15.75" customHeight="1" x14ac:dyDescent="0.25">
      <c r="A7" s="5" t="s">
        <v>202</v>
      </c>
      <c r="B7" s="98">
        <v>0</v>
      </c>
      <c r="C7" s="98">
        <v>0.95</v>
      </c>
      <c r="D7" s="56">
        <v>0.44994896638918952</v>
      </c>
      <c r="E7" s="56" t="s">
        <v>230</v>
      </c>
      <c r="F7" s="98">
        <v>1</v>
      </c>
      <c r="G7" s="98">
        <v>1</v>
      </c>
    </row>
    <row r="8" spans="1:7" ht="15.75" customHeight="1" x14ac:dyDescent="0.25">
      <c r="A8" s="5" t="s">
        <v>203</v>
      </c>
      <c r="B8" s="98">
        <v>0</v>
      </c>
      <c r="C8" s="98">
        <v>0.95</v>
      </c>
      <c r="D8" s="56">
        <v>1.516970800969268</v>
      </c>
      <c r="E8" s="56" t="s">
        <v>230</v>
      </c>
      <c r="F8" s="98">
        <v>1</v>
      </c>
      <c r="G8" s="98">
        <v>1</v>
      </c>
    </row>
    <row r="9" spans="1:7" ht="15.75" customHeight="1" x14ac:dyDescent="0.25">
      <c r="A9" s="5" t="s">
        <v>204</v>
      </c>
      <c r="B9" s="98">
        <v>0.5</v>
      </c>
      <c r="C9" s="98">
        <v>0.95</v>
      </c>
      <c r="D9" s="56">
        <v>0.32855565777368906</v>
      </c>
      <c r="E9" s="56" t="s">
        <v>230</v>
      </c>
      <c r="F9" s="98">
        <v>1</v>
      </c>
      <c r="G9" s="98">
        <v>1</v>
      </c>
    </row>
    <row r="10" spans="1:7" ht="15.75" customHeight="1" x14ac:dyDescent="0.25">
      <c r="A10" s="11" t="s">
        <v>205</v>
      </c>
      <c r="B10" s="45">
        <v>0.2933268</v>
      </c>
      <c r="C10" s="98">
        <v>0.95</v>
      </c>
      <c r="D10" s="56">
        <v>13.01281925603921</v>
      </c>
      <c r="E10" s="56" t="s">
        <v>230</v>
      </c>
      <c r="F10" s="98">
        <v>1</v>
      </c>
      <c r="G10" s="98">
        <v>1</v>
      </c>
    </row>
    <row r="11" spans="1:7" ht="15.75" customHeight="1" x14ac:dyDescent="0.25">
      <c r="A11" s="11" t="s">
        <v>206</v>
      </c>
      <c r="B11" s="98">
        <v>0</v>
      </c>
      <c r="C11" s="98">
        <v>0.95</v>
      </c>
      <c r="D11" s="56">
        <v>13.01281925603921</v>
      </c>
      <c r="E11" s="56" t="s">
        <v>230</v>
      </c>
      <c r="F11" s="98">
        <v>1</v>
      </c>
      <c r="G11" s="98">
        <v>1</v>
      </c>
    </row>
    <row r="12" spans="1:7" ht="15.75" customHeight="1" x14ac:dyDescent="0.25">
      <c r="A12" s="11" t="s">
        <v>207</v>
      </c>
      <c r="B12" s="98">
        <v>0</v>
      </c>
      <c r="C12" s="98">
        <v>0.95</v>
      </c>
      <c r="D12" s="56">
        <v>13.01281925603921</v>
      </c>
      <c r="E12" s="56" t="s">
        <v>230</v>
      </c>
      <c r="F12" s="98">
        <v>1</v>
      </c>
      <c r="G12" s="98">
        <v>1</v>
      </c>
    </row>
    <row r="13" spans="1:7" ht="15.75" customHeight="1" x14ac:dyDescent="0.25">
      <c r="A13" s="11" t="s">
        <v>208</v>
      </c>
      <c r="B13" s="98">
        <v>0</v>
      </c>
      <c r="C13" s="98">
        <v>0.95</v>
      </c>
      <c r="D13" s="56">
        <v>13.01281925603921</v>
      </c>
      <c r="E13" s="56" t="s">
        <v>230</v>
      </c>
      <c r="F13" s="98">
        <v>1</v>
      </c>
      <c r="G13" s="98">
        <v>1</v>
      </c>
    </row>
    <row r="14" spans="1:7" ht="15.75" customHeight="1" x14ac:dyDescent="0.25">
      <c r="A14" s="5" t="s">
        <v>209</v>
      </c>
      <c r="B14" s="45">
        <v>0.2933268</v>
      </c>
      <c r="C14" s="98">
        <v>0.95</v>
      </c>
      <c r="D14" s="56">
        <v>13.01281925603921</v>
      </c>
      <c r="E14" s="56" t="s">
        <v>230</v>
      </c>
      <c r="F14" s="98">
        <v>1</v>
      </c>
      <c r="G14" s="98">
        <v>1</v>
      </c>
    </row>
    <row r="15" spans="1:7" ht="15.75" customHeight="1" x14ac:dyDescent="0.25">
      <c r="A15" s="5" t="s">
        <v>210</v>
      </c>
      <c r="B15" s="98">
        <v>0</v>
      </c>
      <c r="C15" s="98">
        <v>0.95</v>
      </c>
      <c r="D15" s="56">
        <v>13.01281925603921</v>
      </c>
      <c r="E15" s="56" t="s">
        <v>230</v>
      </c>
      <c r="F15" s="98">
        <v>1</v>
      </c>
      <c r="G15" s="98">
        <v>1</v>
      </c>
    </row>
    <row r="16" spans="1:7" ht="15.75" customHeight="1" x14ac:dyDescent="0.25">
      <c r="A16" s="5" t="s">
        <v>211</v>
      </c>
      <c r="B16" s="45">
        <v>0</v>
      </c>
      <c r="C16" s="98">
        <v>0.95</v>
      </c>
      <c r="D16" s="56">
        <v>5.8835597567123799</v>
      </c>
      <c r="E16" s="56" t="s">
        <v>230</v>
      </c>
      <c r="F16" s="98">
        <v>1</v>
      </c>
      <c r="G16" s="98">
        <v>1</v>
      </c>
    </row>
    <row r="17" spans="1:7" ht="15.75" customHeight="1" x14ac:dyDescent="0.25">
      <c r="A17" s="5" t="s">
        <v>212</v>
      </c>
      <c r="B17" s="98">
        <v>0.35743333333333299</v>
      </c>
      <c r="C17" s="98">
        <v>0.95</v>
      </c>
      <c r="D17" s="56">
        <v>0.14000000000000001</v>
      </c>
      <c r="E17" s="56" t="s">
        <v>230</v>
      </c>
      <c r="F17" s="98">
        <v>1</v>
      </c>
      <c r="G17" s="98">
        <v>1</v>
      </c>
    </row>
    <row r="18" spans="1:7" ht="15.9" customHeight="1" x14ac:dyDescent="0.25">
      <c r="A18" s="5" t="s">
        <v>186</v>
      </c>
      <c r="B18" s="98">
        <v>0.59</v>
      </c>
      <c r="C18" s="98">
        <v>0.95</v>
      </c>
      <c r="D18" s="56">
        <v>21.195</v>
      </c>
      <c r="E18" s="56" t="s">
        <v>230</v>
      </c>
      <c r="F18" s="98">
        <v>1</v>
      </c>
      <c r="G18" s="98">
        <v>1</v>
      </c>
    </row>
    <row r="19" spans="1:7" ht="15.75" customHeight="1" x14ac:dyDescent="0.25">
      <c r="A19" s="5" t="s">
        <v>187</v>
      </c>
      <c r="B19" s="98">
        <v>0.51996969999999998</v>
      </c>
      <c r="C19" s="98">
        <v>0.95</v>
      </c>
      <c r="D19" s="56">
        <v>9.5596491969757462</v>
      </c>
      <c r="E19" s="56" t="s">
        <v>230</v>
      </c>
      <c r="F19" s="98">
        <v>1</v>
      </c>
      <c r="G19" s="98">
        <v>1</v>
      </c>
    </row>
    <row r="20" spans="1:7" ht="15.75" customHeight="1" x14ac:dyDescent="0.25">
      <c r="A20" s="5" t="s">
        <v>188</v>
      </c>
      <c r="B20" s="98">
        <v>0</v>
      </c>
      <c r="C20" s="98">
        <v>0.95</v>
      </c>
      <c r="D20" s="56">
        <v>99.99</v>
      </c>
      <c r="E20" s="56" t="s">
        <v>230</v>
      </c>
      <c r="F20" s="98">
        <v>1</v>
      </c>
      <c r="G20" s="98">
        <v>1</v>
      </c>
    </row>
    <row r="21" spans="1:7" ht="15.75" customHeight="1" x14ac:dyDescent="0.25">
      <c r="A21" s="5" t="s">
        <v>213</v>
      </c>
      <c r="B21" s="45">
        <v>0</v>
      </c>
      <c r="C21" s="98">
        <v>0.95</v>
      </c>
      <c r="D21" s="56">
        <v>7.48</v>
      </c>
      <c r="E21" s="56" t="s">
        <v>230</v>
      </c>
      <c r="F21" s="98">
        <v>1</v>
      </c>
      <c r="G21" s="98">
        <v>1</v>
      </c>
    </row>
    <row r="22" spans="1:7" ht="15.75" customHeight="1" x14ac:dyDescent="0.25">
      <c r="A22" s="5" t="s">
        <v>214</v>
      </c>
      <c r="B22" s="98">
        <v>0</v>
      </c>
      <c r="C22" s="98">
        <v>0.95</v>
      </c>
      <c r="D22" s="56">
        <v>21.195</v>
      </c>
      <c r="E22" s="56" t="s">
        <v>230</v>
      </c>
      <c r="F22" s="98">
        <v>1</v>
      </c>
      <c r="G22" s="98">
        <v>1</v>
      </c>
    </row>
    <row r="23" spans="1:7" ht="15.75" customHeight="1" x14ac:dyDescent="0.25">
      <c r="A23" s="5" t="s">
        <v>215</v>
      </c>
      <c r="B23" s="98">
        <v>0</v>
      </c>
      <c r="C23" s="98">
        <v>0.95</v>
      </c>
      <c r="D23" s="56">
        <v>4.2797375448782464</v>
      </c>
      <c r="E23" s="56" t="s">
        <v>230</v>
      </c>
      <c r="F23" s="98">
        <v>1</v>
      </c>
      <c r="G23" s="98">
        <v>1</v>
      </c>
    </row>
    <row r="24" spans="1:7" ht="15.75" customHeight="1" x14ac:dyDescent="0.25">
      <c r="A24" s="5" t="s">
        <v>216</v>
      </c>
      <c r="B24" s="45">
        <v>0.46481329675995198</v>
      </c>
      <c r="C24" s="98">
        <v>0.95</v>
      </c>
      <c r="D24" s="56">
        <v>99.99</v>
      </c>
      <c r="E24" s="56" t="s">
        <v>230</v>
      </c>
      <c r="F24" s="98">
        <v>1</v>
      </c>
      <c r="G24" s="98">
        <v>1</v>
      </c>
    </row>
    <row r="25" spans="1:7" ht="15.75" customHeight="1" x14ac:dyDescent="0.25">
      <c r="A25" s="5" t="s">
        <v>217</v>
      </c>
      <c r="B25" s="98">
        <v>0</v>
      </c>
      <c r="C25" s="98">
        <v>0.95</v>
      </c>
      <c r="D25" s="56">
        <v>99.99</v>
      </c>
      <c r="E25" s="56" t="s">
        <v>230</v>
      </c>
      <c r="F25" s="98">
        <v>1</v>
      </c>
      <c r="G25" s="98">
        <v>1</v>
      </c>
    </row>
    <row r="26" spans="1:7" ht="15.75" customHeight="1" x14ac:dyDescent="0.25">
      <c r="A26" s="5" t="s">
        <v>218</v>
      </c>
      <c r="B26" s="45">
        <v>0</v>
      </c>
      <c r="C26" s="98">
        <v>0.95</v>
      </c>
      <c r="D26" s="56">
        <v>4.4421306161984946</v>
      </c>
      <c r="E26" s="56" t="s">
        <v>230</v>
      </c>
      <c r="F26" s="98">
        <v>1</v>
      </c>
      <c r="G26" s="98">
        <v>1</v>
      </c>
    </row>
    <row r="27" spans="1:7" ht="15.75" customHeight="1" x14ac:dyDescent="0.25">
      <c r="A27" s="5" t="s">
        <v>219</v>
      </c>
      <c r="B27" s="45">
        <v>0</v>
      </c>
      <c r="C27" s="98">
        <v>0.95</v>
      </c>
      <c r="D27" s="56">
        <v>9.2958524157825622</v>
      </c>
      <c r="E27" s="56" t="s">
        <v>230</v>
      </c>
      <c r="F27" s="98">
        <v>1</v>
      </c>
      <c r="G27" s="98">
        <v>1</v>
      </c>
    </row>
    <row r="28" spans="1:7" ht="15.75" customHeight="1" x14ac:dyDescent="0.25">
      <c r="A28" s="5" t="s">
        <v>220</v>
      </c>
      <c r="B28" s="45">
        <v>0.48848520000000001</v>
      </c>
      <c r="C28" s="98">
        <v>0.95</v>
      </c>
      <c r="D28" s="56">
        <v>99.99</v>
      </c>
      <c r="E28" s="56" t="s">
        <v>230</v>
      </c>
      <c r="F28" s="98">
        <v>1</v>
      </c>
      <c r="G28" s="98">
        <v>1</v>
      </c>
    </row>
    <row r="29" spans="1:7" ht="15.75" customHeight="1" x14ac:dyDescent="0.25">
      <c r="A29" s="5" t="s">
        <v>221</v>
      </c>
      <c r="B29" s="45">
        <v>0.59367320000000001</v>
      </c>
      <c r="C29" s="98">
        <v>0.95</v>
      </c>
      <c r="D29" s="56">
        <v>206.81375092158379</v>
      </c>
      <c r="E29" s="56" t="s">
        <v>230</v>
      </c>
      <c r="F29" s="98">
        <v>1</v>
      </c>
      <c r="G29" s="98">
        <v>1</v>
      </c>
    </row>
    <row r="30" spans="1:7" ht="15.75" customHeight="1" x14ac:dyDescent="0.25">
      <c r="A30" s="5" t="s">
        <v>234</v>
      </c>
      <c r="B30" s="98">
        <v>0</v>
      </c>
      <c r="C30" s="98">
        <v>0.95</v>
      </c>
      <c r="D30" s="56">
        <v>124.66848615801089</v>
      </c>
      <c r="E30" s="56" t="s">
        <v>230</v>
      </c>
      <c r="F30" s="98">
        <v>1</v>
      </c>
      <c r="G30" s="98">
        <v>1</v>
      </c>
    </row>
    <row r="31" spans="1:7" ht="15.75" customHeight="1" x14ac:dyDescent="0.25">
      <c r="A31" s="5" t="s">
        <v>190</v>
      </c>
      <c r="B31" s="45">
        <v>1.3899999999999999E-2</v>
      </c>
      <c r="C31" s="98">
        <v>0.95</v>
      </c>
      <c r="D31" s="56">
        <v>123.05968780269725</v>
      </c>
      <c r="E31" s="56" t="s">
        <v>230</v>
      </c>
      <c r="F31" s="98">
        <v>1</v>
      </c>
      <c r="G31" s="98">
        <v>1</v>
      </c>
    </row>
    <row r="32" spans="1:7" ht="15.75" customHeight="1" x14ac:dyDescent="0.25">
      <c r="A32" s="5" t="s">
        <v>222</v>
      </c>
      <c r="B32" s="45">
        <v>0.26</v>
      </c>
      <c r="C32" s="98">
        <v>0.95</v>
      </c>
      <c r="D32" s="56">
        <v>3.86952529898804</v>
      </c>
      <c r="E32" s="56" t="s">
        <v>230</v>
      </c>
      <c r="F32" s="98">
        <v>1</v>
      </c>
      <c r="G32" s="98">
        <v>1</v>
      </c>
    </row>
    <row r="33" spans="1:7" ht="15.75" customHeight="1" x14ac:dyDescent="0.25">
      <c r="A33" s="5" t="s">
        <v>223</v>
      </c>
      <c r="B33" s="45">
        <v>0.76766420000000002</v>
      </c>
      <c r="C33" s="98">
        <v>0.95</v>
      </c>
      <c r="D33" s="56">
        <v>99.99</v>
      </c>
      <c r="E33" s="56" t="s">
        <v>230</v>
      </c>
      <c r="F33" s="98">
        <v>1</v>
      </c>
      <c r="G33" s="98">
        <v>1</v>
      </c>
    </row>
    <row r="34" spans="1:7" ht="15.75" customHeight="1" x14ac:dyDescent="0.25">
      <c r="A34" s="5" t="s">
        <v>224</v>
      </c>
      <c r="B34" s="45">
        <v>5.8038399999999997E-2</v>
      </c>
      <c r="C34" s="98">
        <v>0.95</v>
      </c>
      <c r="D34" s="56">
        <v>99.99</v>
      </c>
      <c r="E34" s="56" t="s">
        <v>230</v>
      </c>
      <c r="F34" s="98">
        <v>1</v>
      </c>
      <c r="G34" s="98">
        <v>1</v>
      </c>
    </row>
    <row r="35" spans="1:7" ht="15.75" customHeight="1" x14ac:dyDescent="0.25">
      <c r="A35" s="5" t="s">
        <v>225</v>
      </c>
      <c r="B35" s="98">
        <v>0</v>
      </c>
      <c r="C35" s="98">
        <v>0.95</v>
      </c>
      <c r="D35" s="56">
        <v>99.99</v>
      </c>
      <c r="E35" s="56" t="s">
        <v>230</v>
      </c>
      <c r="F35" s="98">
        <v>1</v>
      </c>
      <c r="G35" s="98">
        <v>1</v>
      </c>
    </row>
    <row r="36" spans="1:7" ht="15.75" customHeight="1" x14ac:dyDescent="0.25">
      <c r="A36" s="5" t="s">
        <v>226</v>
      </c>
      <c r="B36" s="45">
        <v>4.2000000000000003E-2</v>
      </c>
      <c r="C36" s="98">
        <v>0.95</v>
      </c>
      <c r="D36" s="56">
        <v>99.99</v>
      </c>
      <c r="E36" s="56" t="s">
        <v>230</v>
      </c>
      <c r="F36" s="98">
        <v>1</v>
      </c>
      <c r="G36" s="98">
        <v>1</v>
      </c>
    </row>
    <row r="37" spans="1:7" ht="15.75" customHeight="1" x14ac:dyDescent="0.25">
      <c r="A37" s="5" t="s">
        <v>227</v>
      </c>
      <c r="B37" s="45">
        <v>0.77731530000000004</v>
      </c>
      <c r="C37" s="98">
        <v>0.95</v>
      </c>
      <c r="D37" s="56">
        <v>99.99</v>
      </c>
      <c r="E37" s="56" t="s">
        <v>230</v>
      </c>
      <c r="F37" s="98">
        <v>1</v>
      </c>
      <c r="G37" s="98">
        <v>1</v>
      </c>
    </row>
    <row r="38" spans="1:7" ht="15.75" customHeight="1" x14ac:dyDescent="0.25">
      <c r="A38" s="5" t="s">
        <v>228</v>
      </c>
      <c r="B38" s="45">
        <v>0.01</v>
      </c>
      <c r="C38" s="98">
        <v>0.95</v>
      </c>
      <c r="D38" s="56">
        <v>2.4500000000000002</v>
      </c>
      <c r="E38" s="56" t="s">
        <v>230</v>
      </c>
      <c r="F38" s="98">
        <v>1</v>
      </c>
      <c r="G38" s="98">
        <v>1</v>
      </c>
    </row>
    <row r="39" spans="1:7" ht="15.75" customHeight="1" x14ac:dyDescent="0.25">
      <c r="A39" s="5" t="s">
        <v>229</v>
      </c>
      <c r="B39" s="45">
        <v>0</v>
      </c>
      <c r="C39" s="98">
        <v>0.95</v>
      </c>
      <c r="D39" s="56">
        <v>3.43</v>
      </c>
      <c r="E39" s="56" t="s">
        <v>230</v>
      </c>
      <c r="F39" s="98">
        <v>1</v>
      </c>
      <c r="G39" s="98">
        <v>1</v>
      </c>
    </row>
  </sheetData>
  <sheetProtection algorithmName="SHA-512" hashValue="KjaH9CPBHA3vIj3lUqZlFuQ8kOXLc0lmVcJFZSQKeIb1HKTbq7sFCQM9JyU+/YtTCgAA/kBZTyzhpIhJFepazg==" saltValue="a5vT/Gk9VP75up+AziY59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189</v>
      </c>
      <c r="B1" s="4" t="s">
        <v>235</v>
      </c>
      <c r="C1" s="4" t="s">
        <v>236</v>
      </c>
    </row>
    <row r="2" spans="1:3" x14ac:dyDescent="0.25">
      <c r="A2" s="57" t="s">
        <v>209</v>
      </c>
      <c r="B2" s="47" t="s">
        <v>219</v>
      </c>
      <c r="C2" s="47"/>
    </row>
    <row r="3" spans="1:3" x14ac:dyDescent="0.25">
      <c r="A3" s="57" t="s">
        <v>210</v>
      </c>
      <c r="B3" s="47" t="s">
        <v>219</v>
      </c>
      <c r="C3" s="47"/>
    </row>
    <row r="4" spans="1:3" x14ac:dyDescent="0.25">
      <c r="A4" s="57" t="s">
        <v>221</v>
      </c>
      <c r="B4" s="47" t="s">
        <v>214</v>
      </c>
      <c r="C4" s="47"/>
    </row>
    <row r="5" spans="1:3" x14ac:dyDescent="0.25">
      <c r="A5" s="57" t="s">
        <v>221</v>
      </c>
      <c r="B5" s="47" t="s">
        <v>234</v>
      </c>
      <c r="C5" s="47"/>
    </row>
    <row r="6" spans="1:3" x14ac:dyDescent="0.25">
      <c r="A6" s="57" t="s">
        <v>218</v>
      </c>
      <c r="B6" s="58" t="s">
        <v>234</v>
      </c>
      <c r="C6" s="58"/>
    </row>
    <row r="7" spans="1:3" x14ac:dyDescent="0.25">
      <c r="A7" s="57" t="s">
        <v>229</v>
      </c>
      <c r="B7" s="58" t="s">
        <v>234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4nkS3Y4iDvE21zxwTR7ievlU6o6qXKr8dq57N6/zJ6DN9rcwiMTjOipq5CmT5i9l+85FnvER1qxR44gk9kPklw==" saltValue="hHY7q05jlci5UVpUrcsja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189</v>
      </c>
    </row>
    <row r="2" spans="1:1" x14ac:dyDescent="0.25">
      <c r="A2" s="33" t="s">
        <v>201</v>
      </c>
    </row>
    <row r="3" spans="1:1" x14ac:dyDescent="0.25">
      <c r="A3" s="33" t="s">
        <v>211</v>
      </c>
    </row>
    <row r="4" spans="1:1" x14ac:dyDescent="0.25">
      <c r="A4" s="33" t="s">
        <v>215</v>
      </c>
    </row>
    <row r="5" spans="1:1" x14ac:dyDescent="0.25">
      <c r="A5" s="33" t="s">
        <v>223</v>
      </c>
    </row>
    <row r="6" spans="1:1" x14ac:dyDescent="0.25">
      <c r="A6" s="33" t="s">
        <v>224</v>
      </c>
    </row>
    <row r="7" spans="1:1" x14ac:dyDescent="0.25">
      <c r="A7" s="33" t="s">
        <v>225</v>
      </c>
    </row>
    <row r="8" spans="1:1" x14ac:dyDescent="0.25">
      <c r="A8" s="33" t="s">
        <v>226</v>
      </c>
    </row>
    <row r="9" spans="1:1" x14ac:dyDescent="0.25">
      <c r="A9" s="33" t="s">
        <v>227</v>
      </c>
    </row>
    <row r="10" spans="1:1" x14ac:dyDescent="0.25">
      <c r="A10" s="33" t="s">
        <v>190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s97o3EP1gUx+7D55f0ynunH9ed6eP/Qf13vK5R7ACaJjmKjH1l66kaDvcpC5Cfv3T3LTPTYrEr47E79NkDv43A==" saltValue="U+OfBLI18L9I4jAlT/pXjQ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6</v>
      </c>
      <c r="B1" t="s">
        <v>127</v>
      </c>
      <c r="C1" t="s">
        <v>114</v>
      </c>
      <c r="D1" t="s">
        <v>115</v>
      </c>
      <c r="E1" t="s">
        <v>116</v>
      </c>
      <c r="F1" t="s">
        <v>117</v>
      </c>
    </row>
    <row r="2" spans="1:6" ht="15.75" customHeight="1" x14ac:dyDescent="0.25">
      <c r="A2" s="3" t="s">
        <v>105</v>
      </c>
      <c r="B2" s="21">
        <f>'Données pop de l''année de ref'!C51</f>
        <v>2.99</v>
      </c>
      <c r="C2" s="21">
        <f>'Données pop de l''année de ref'!C52</f>
        <v>2.99</v>
      </c>
      <c r="D2" s="21">
        <f>'Données pop de l''année de ref'!C53</f>
        <v>6.7080000000000002</v>
      </c>
      <c r="E2" s="21">
        <f>'Données pop de l''année de ref'!C54</f>
        <v>8.0079999999999991</v>
      </c>
      <c r="F2" s="21">
        <f>'Données pop de l''année de ref'!C55</f>
        <v>4.012666666666667</v>
      </c>
    </row>
    <row r="3" spans="1:6" ht="15.75" customHeight="1" x14ac:dyDescent="0.25">
      <c r="A3" s="3" t="s">
        <v>238</v>
      </c>
      <c r="B3" s="21">
        <f>frac_mam_1month * 2.6</f>
        <v>1.9080100000000003E-2</v>
      </c>
      <c r="C3" s="21">
        <f>frac_mam_1_5months * 2.6</f>
        <v>1.9080100000000003E-2</v>
      </c>
      <c r="D3" s="21">
        <f>frac_mam_6_11months * 2.6</f>
        <v>2.181452E-2</v>
      </c>
      <c r="E3" s="21">
        <f>frac_mam_12_23months * 2.6</f>
        <v>2.698358E-2</v>
      </c>
      <c r="F3" s="21">
        <f>frac_mam_24_59months * 2.6</f>
        <v>1.083108E-2</v>
      </c>
    </row>
    <row r="4" spans="1:6" ht="15.75" customHeight="1" x14ac:dyDescent="0.25">
      <c r="A4" s="3" t="s">
        <v>237</v>
      </c>
      <c r="B4" s="21">
        <f>frac_sam_1month * 2.6</f>
        <v>5.9326800000000001E-3</v>
      </c>
      <c r="C4" s="21">
        <f>frac_sam_1_5months * 2.6</f>
        <v>5.9326800000000001E-3</v>
      </c>
      <c r="D4" s="21">
        <f>frac_sam_6_11months * 2.6</f>
        <v>1.2831000000000001E-3</v>
      </c>
      <c r="E4" s="21">
        <f>frac_sam_12_23months * 2.6</f>
        <v>1.2485200000000001E-3</v>
      </c>
      <c r="F4" s="21">
        <f>frac_sam_24_59months * 2.6</f>
        <v>4.5086600000000003E-3</v>
      </c>
    </row>
  </sheetData>
  <sheetProtection algorithmName="SHA-512" hashValue="Ibb9OsCHWNziC46obnfa3Pqtn5OUeYP11kn2zVSboNs/O2jiRQJ+NAuO3PZb0ocYtsS67v9cX3K7cWsER3azmA==" saltValue="ztqAJ484qfzNhMl+5JFQ0A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104</v>
      </c>
      <c r="B2" s="5" t="s">
        <v>199</v>
      </c>
      <c r="C2" s="60">
        <v>0</v>
      </c>
      <c r="D2" s="60">
        <v>0</v>
      </c>
      <c r="E2" s="60">
        <f>food_insecure</f>
        <v>0.59299999999999997</v>
      </c>
      <c r="F2" s="60">
        <f>food_insecure</f>
        <v>0.59299999999999997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200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214</v>
      </c>
      <c r="C5" s="60">
        <v>0</v>
      </c>
      <c r="D5" s="60">
        <v>0</v>
      </c>
      <c r="E5" s="60">
        <f>food_insecure</f>
        <v>0.59299999999999997</v>
      </c>
      <c r="F5" s="60">
        <f>food_insecure</f>
        <v>0.59299999999999997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220</v>
      </c>
      <c r="C7" s="60">
        <f>diarrhoea_1mo*frac_diarrhea_severe</f>
        <v>5.7931250000000004E-2</v>
      </c>
      <c r="D7" s="60">
        <f>diarrhoea_1_5mo*frac_diarrhea_severe</f>
        <v>5.7931250000000004E-2</v>
      </c>
      <c r="E7" s="60">
        <f>diarrhoea_6_11mo*frac_diarrhea_severe</f>
        <v>0.12996750000000001</v>
      </c>
      <c r="F7" s="60">
        <f>diarrhoea_12_23mo*frac_diarrhea_severe</f>
        <v>0.15515499999999999</v>
      </c>
      <c r="G7" s="60">
        <f>diarrhoea_24_59mo*frac_diarrhea_severe</f>
        <v>7.7745416666666678E-2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221</v>
      </c>
      <c r="C8" s="60">
        <v>0</v>
      </c>
      <c r="D8" s="60">
        <v>0</v>
      </c>
      <c r="E8" s="60">
        <f>food_insecure</f>
        <v>0.59299999999999997</v>
      </c>
      <c r="F8" s="60">
        <f>food_insecure</f>
        <v>0.59299999999999997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234</v>
      </c>
      <c r="C9" s="60">
        <v>0</v>
      </c>
      <c r="D9" s="60">
        <v>0</v>
      </c>
      <c r="E9" s="60">
        <f>food_insecure</f>
        <v>0.59299999999999997</v>
      </c>
      <c r="F9" s="60">
        <f>food_insecure</f>
        <v>0.59299999999999997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222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228</v>
      </c>
      <c r="C12" s="60">
        <f>diarrhoea_1mo*frac_diarrhea_severe</f>
        <v>5.7931250000000004E-2</v>
      </c>
      <c r="D12" s="60">
        <f>diarrhoea_1_5mo*frac_diarrhea_severe</f>
        <v>5.7931250000000004E-2</v>
      </c>
      <c r="E12" s="60">
        <f>diarrhoea_6_11mo*frac_diarrhea_severe</f>
        <v>0.12996750000000001</v>
      </c>
      <c r="F12" s="60">
        <f>diarrhoea_12_23mo*frac_diarrhea_severe</f>
        <v>0.15515499999999999</v>
      </c>
      <c r="G12" s="60">
        <f>diarrhoea_24_59mo*frac_diarrhea_severe</f>
        <v>7.7745416666666678E-2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229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118</v>
      </c>
      <c r="B15" s="9" t="s">
        <v>197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0.59299999999999997</v>
      </c>
      <c r="I15" s="60">
        <f t="shared" si="0"/>
        <v>0.59299999999999997</v>
      </c>
      <c r="J15" s="60">
        <f t="shared" si="0"/>
        <v>0.59299999999999997</v>
      </c>
      <c r="K15" s="60">
        <f t="shared" si="0"/>
        <v>0.59299999999999997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0.59299999999999997</v>
      </c>
      <c r="I16" s="60">
        <f t="shared" si="0"/>
        <v>0.59299999999999997</v>
      </c>
      <c r="J16" s="60">
        <f t="shared" si="0"/>
        <v>0.59299999999999997</v>
      </c>
      <c r="K16" s="60">
        <f t="shared" si="0"/>
        <v>0.59299999999999997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210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211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2.5000000000000001E-2</v>
      </c>
      <c r="I19" s="60">
        <f>frac_malaria_risk</f>
        <v>2.5000000000000001E-2</v>
      </c>
      <c r="J19" s="60">
        <f>frac_malaria_risk</f>
        <v>2.5000000000000001E-2</v>
      </c>
      <c r="K19" s="60">
        <f>frac_malaria_risk</f>
        <v>2.5000000000000001E-2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219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93</v>
      </c>
      <c r="B24" s="11" t="s">
        <v>201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0.13900000000000001</v>
      </c>
      <c r="M24" s="60">
        <f>famplan_unmet_need</f>
        <v>0.13900000000000001</v>
      </c>
      <c r="N24" s="60">
        <f>famplan_unmet_need</f>
        <v>0.13900000000000001</v>
      </c>
      <c r="O24" s="60">
        <f>famplan_unmet_need</f>
        <v>0.13900000000000001</v>
      </c>
    </row>
    <row r="25" spans="1:15" ht="15.75" customHeight="1" x14ac:dyDescent="0.25">
      <c r="B25" s="11" t="s">
        <v>205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0.35040955352199993</v>
      </c>
      <c r="M25" s="60">
        <f>(1-food_insecure)*(0.49)+food_insecure*(0.7)</f>
        <v>0.61453000000000002</v>
      </c>
      <c r="N25" s="60">
        <f>(1-food_insecure)*(0.49)+food_insecure*(0.7)</f>
        <v>0.61453000000000002</v>
      </c>
      <c r="O25" s="60">
        <f>(1-food_insecure)*(0.49)+food_insecure*(0.7)</f>
        <v>0.61453000000000002</v>
      </c>
    </row>
    <row r="26" spans="1:15" ht="15.75" customHeight="1" x14ac:dyDescent="0.25">
      <c r="B26" s="11" t="s">
        <v>206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0.15017552293799996</v>
      </c>
      <c r="M26" s="60">
        <f>(1-food_insecure)*(0.21)+food_insecure*(0.3)</f>
        <v>0.26336999999999999</v>
      </c>
      <c r="N26" s="60">
        <f>(1-food_insecure)*(0.21)+food_insecure*(0.3)</f>
        <v>0.26336999999999999</v>
      </c>
      <c r="O26" s="60">
        <f>(1-food_insecure)*(0.21)+food_insecure*(0.3)</f>
        <v>0.26336999999999999</v>
      </c>
    </row>
    <row r="27" spans="1:15" ht="15.75" customHeight="1" x14ac:dyDescent="0.25">
      <c r="B27" s="11" t="s">
        <v>207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6.9622323539999989E-2</v>
      </c>
      <c r="M27" s="60">
        <f>(1-food_insecure)*(0.3)</f>
        <v>0.1221</v>
      </c>
      <c r="N27" s="60">
        <f>(1-food_insecure)*(0.3)</f>
        <v>0.1221</v>
      </c>
      <c r="O27" s="60">
        <f>(1-food_insecure)*(0.3)</f>
        <v>0.1221</v>
      </c>
    </row>
    <row r="28" spans="1:15" ht="15.75" customHeight="1" x14ac:dyDescent="0.25">
      <c r="B28" s="11" t="s">
        <v>208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0.42979259999999997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202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203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204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215</v>
      </c>
      <c r="C34" s="60">
        <f t="shared" ref="C34:O34" si="4">frac_malaria_risk</f>
        <v>2.5000000000000001E-2</v>
      </c>
      <c r="D34" s="60">
        <f t="shared" si="4"/>
        <v>2.5000000000000001E-2</v>
      </c>
      <c r="E34" s="60">
        <f t="shared" si="4"/>
        <v>2.5000000000000001E-2</v>
      </c>
      <c r="F34" s="60">
        <f t="shared" si="4"/>
        <v>2.5000000000000001E-2</v>
      </c>
      <c r="G34" s="60">
        <f t="shared" si="4"/>
        <v>2.5000000000000001E-2</v>
      </c>
      <c r="H34" s="60">
        <f t="shared" si="4"/>
        <v>2.5000000000000001E-2</v>
      </c>
      <c r="I34" s="60">
        <f t="shared" si="4"/>
        <v>2.5000000000000001E-2</v>
      </c>
      <c r="J34" s="60">
        <f t="shared" si="4"/>
        <v>2.5000000000000001E-2</v>
      </c>
      <c r="K34" s="60">
        <f t="shared" si="4"/>
        <v>2.5000000000000001E-2</v>
      </c>
      <c r="L34" s="60">
        <f t="shared" si="4"/>
        <v>2.5000000000000001E-2</v>
      </c>
      <c r="M34" s="60">
        <f t="shared" si="4"/>
        <v>2.5000000000000001E-2</v>
      </c>
      <c r="N34" s="60">
        <f t="shared" si="4"/>
        <v>2.5000000000000001E-2</v>
      </c>
      <c r="O34" s="60">
        <f t="shared" si="4"/>
        <v>2.5000000000000001E-2</v>
      </c>
    </row>
    <row r="35" spans="2:15" ht="15.75" customHeight="1" x14ac:dyDescent="0.25">
      <c r="B35" s="9" t="s">
        <v>223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224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225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226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227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ASFW0wMZWMFHwhpdtIiSxU9CwVihG5PzSgz1kp+xFNEg0TF4ZuAcyBZVVaT6KNC4lssluXK0sFzuW4ep7jSMEw==" saltValue="JRGEha7bUzWdO1SvvGewFw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230</v>
      </c>
    </row>
    <row r="2" spans="1:1" x14ac:dyDescent="0.25">
      <c r="A2" s="8" t="s">
        <v>241</v>
      </c>
    </row>
    <row r="3" spans="1:1" x14ac:dyDescent="0.25">
      <c r="A3" s="8" t="s">
        <v>242</v>
      </c>
    </row>
    <row r="4" spans="1:1" x14ac:dyDescent="0.25">
      <c r="A4" s="8" t="s">
        <v>243</v>
      </c>
    </row>
  </sheetData>
  <sheetProtection algorithmName="SHA-512" hashValue="NY0RFTcAjdU85FCQIRbKV2QCGnGw8IJwLgNhax/afNbQkNg/Z8wCC371OPkTjw0yYKq6mznai+IjNx9ePDh59w==" saltValue="LOnrtzz6wP4L+hBeKxM/Ig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245</v>
      </c>
      <c r="B1" s="4" t="s">
        <v>244</v>
      </c>
      <c r="C1" s="4" t="s">
        <v>7</v>
      </c>
      <c r="D1" s="4" t="s">
        <v>254</v>
      </c>
      <c r="E1" s="4" t="s">
        <v>255</v>
      </c>
    </row>
    <row r="2" spans="1:5" ht="14" customHeight="1" x14ac:dyDescent="0.3">
      <c r="A2" s="28" t="s">
        <v>246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247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249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8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250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251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252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253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2HjU0foluhCsbkX41a8gp6IgsEVzM/ZiTAx3bgAvJFqLU9SUBkgz4w1bddWsENE98LdFP0qESt4K/SNlevqOYw==" saltValue="l7WLphNG8xmaNy1/b6clzA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104</v>
      </c>
      <c r="B2" s="5" t="s">
        <v>199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200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186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187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188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222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228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229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118</v>
      </c>
      <c r="B18" s="5" t="s">
        <v>197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210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211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219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93</v>
      </c>
      <c r="B27" s="5" t="s">
        <v>201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223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224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225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226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227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O9l8U9iKPK4UtqOr9Qq1Q8HtOBIOZVs93qAZ2HcuAQM30D3xP9lcAHYNw1aJF5O2r2I9VYvHmhdvnfnB4hoPwg==" saltValue="WGZ1HrxBIuXXY925oT7AWA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workbookViewId="0">
      <selection activeCell="H15" sqref="H15"/>
    </sheetView>
  </sheetViews>
  <sheetFormatPr defaultColWidth="12.7265625" defaultRowHeight="12.5" x14ac:dyDescent="0.25"/>
  <cols>
    <col min="1" max="1" width="58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189</v>
      </c>
      <c r="B1" s="108" t="s">
        <v>256</v>
      </c>
      <c r="C1" s="108" t="s">
        <v>139</v>
      </c>
      <c r="D1" s="108" t="s">
        <v>257</v>
      </c>
      <c r="E1" s="108" t="s">
        <v>258</v>
      </c>
      <c r="F1" s="108" t="s">
        <v>146</v>
      </c>
      <c r="G1" s="108" t="s">
        <v>105</v>
      </c>
      <c r="H1" s="108" t="s">
        <v>61</v>
      </c>
      <c r="I1" s="108" t="s">
        <v>259</v>
      </c>
      <c r="J1" s="108" t="s">
        <v>54</v>
      </c>
      <c r="K1" s="108" t="s">
        <v>86</v>
      </c>
      <c r="L1" s="108" t="s">
        <v>260</v>
      </c>
    </row>
    <row r="2" spans="1:12" x14ac:dyDescent="0.25">
      <c r="A2" s="115" t="s">
        <v>197</v>
      </c>
      <c r="B2" s="116"/>
      <c r="C2" s="116"/>
      <c r="D2" s="116"/>
      <c r="E2" s="116"/>
      <c r="F2" s="116"/>
      <c r="G2" s="116"/>
      <c r="H2" s="116"/>
      <c r="I2" s="116" t="s">
        <v>4</v>
      </c>
      <c r="J2" s="116"/>
      <c r="K2" s="116"/>
      <c r="L2" s="116"/>
    </row>
    <row r="3" spans="1:12" x14ac:dyDescent="0.25">
      <c r="A3" s="115" t="s">
        <v>198</v>
      </c>
      <c r="B3" s="116"/>
      <c r="C3" s="116"/>
      <c r="D3" s="116"/>
      <c r="E3" s="116"/>
      <c r="F3" s="116"/>
      <c r="G3" s="116"/>
      <c r="H3" s="116" t="s">
        <v>4</v>
      </c>
      <c r="I3" s="116" t="s">
        <v>4</v>
      </c>
      <c r="J3" s="116"/>
      <c r="K3" s="116"/>
      <c r="L3" s="116"/>
    </row>
    <row r="4" spans="1:12" x14ac:dyDescent="0.25">
      <c r="A4" s="115" t="s">
        <v>199</v>
      </c>
      <c r="B4" s="116" t="s">
        <v>4</v>
      </c>
      <c r="C4" s="116"/>
      <c r="D4" s="116" t="s">
        <v>4</v>
      </c>
      <c r="E4" s="116"/>
      <c r="F4" s="116"/>
      <c r="G4" s="116"/>
      <c r="H4" s="116"/>
      <c r="I4" s="116"/>
      <c r="J4" s="116"/>
      <c r="K4" s="116"/>
      <c r="L4" s="116"/>
    </row>
    <row r="5" spans="1:12" x14ac:dyDescent="0.25">
      <c r="A5" s="115" t="s">
        <v>200</v>
      </c>
      <c r="B5" s="116"/>
      <c r="C5" s="116" t="s">
        <v>4</v>
      </c>
      <c r="D5" s="116"/>
      <c r="E5" s="116"/>
      <c r="F5" s="116"/>
      <c r="G5" s="116"/>
      <c r="H5" s="116"/>
      <c r="I5" s="116"/>
      <c r="J5" s="116"/>
      <c r="K5" s="116"/>
      <c r="L5" s="116"/>
    </row>
    <row r="6" spans="1:12" x14ac:dyDescent="0.25">
      <c r="A6" s="115" t="s">
        <v>201</v>
      </c>
      <c r="B6" s="116"/>
      <c r="C6" s="116"/>
      <c r="D6" s="116"/>
      <c r="E6" s="116"/>
      <c r="F6" s="116"/>
      <c r="G6" s="116"/>
      <c r="H6" s="116"/>
      <c r="I6" s="116"/>
      <c r="J6" s="116" t="s">
        <v>4</v>
      </c>
      <c r="K6" s="116" t="s">
        <v>4</v>
      </c>
      <c r="L6" s="116"/>
    </row>
    <row r="7" spans="1:12" x14ac:dyDescent="0.25">
      <c r="A7" s="115" t="s">
        <v>202</v>
      </c>
      <c r="B7" s="116"/>
      <c r="C7" s="116" t="s">
        <v>4</v>
      </c>
      <c r="D7" s="116"/>
      <c r="E7" s="116"/>
      <c r="F7" s="116"/>
      <c r="G7" s="116"/>
      <c r="H7" s="116" t="s">
        <v>4</v>
      </c>
      <c r="I7" s="116"/>
      <c r="J7" s="116"/>
      <c r="K7" s="116"/>
      <c r="L7" s="116"/>
    </row>
    <row r="8" spans="1:12" x14ac:dyDescent="0.25">
      <c r="A8" s="115" t="s">
        <v>203</v>
      </c>
      <c r="B8" s="116"/>
      <c r="C8" s="116" t="s">
        <v>4</v>
      </c>
      <c r="D8" s="116"/>
      <c r="E8" s="116"/>
      <c r="F8" s="116"/>
      <c r="G8" s="116"/>
      <c r="H8" s="116" t="s">
        <v>4</v>
      </c>
      <c r="I8" s="116"/>
      <c r="J8" s="116"/>
      <c r="K8" s="116"/>
      <c r="L8" s="116"/>
    </row>
    <row r="9" spans="1:12" x14ac:dyDescent="0.25">
      <c r="A9" s="115" t="s">
        <v>204</v>
      </c>
      <c r="B9" s="116"/>
      <c r="C9" s="116" t="s">
        <v>4</v>
      </c>
      <c r="D9" s="116"/>
      <c r="E9" s="116"/>
      <c r="F9" s="116"/>
      <c r="G9" s="116"/>
      <c r="H9" s="116" t="s">
        <v>4</v>
      </c>
      <c r="I9" s="116"/>
      <c r="J9" s="116"/>
      <c r="K9" s="116"/>
      <c r="L9" s="116"/>
    </row>
    <row r="10" spans="1:12" x14ac:dyDescent="0.25">
      <c r="A10" s="115" t="s">
        <v>205</v>
      </c>
      <c r="B10" s="116"/>
      <c r="C10" s="116" t="s">
        <v>4</v>
      </c>
      <c r="D10" s="116"/>
      <c r="E10" s="116"/>
      <c r="F10" s="116"/>
      <c r="G10" s="116"/>
      <c r="H10" s="116"/>
      <c r="I10" s="116"/>
      <c r="J10" s="116"/>
      <c r="K10" s="116"/>
      <c r="L10" s="116"/>
    </row>
    <row r="11" spans="1:12" x14ac:dyDescent="0.25">
      <c r="A11" s="115" t="s">
        <v>206</v>
      </c>
      <c r="B11" s="116"/>
      <c r="C11" s="116" t="s">
        <v>4</v>
      </c>
      <c r="D11" s="116"/>
      <c r="E11" s="116"/>
      <c r="F11" s="116"/>
      <c r="G11" s="116"/>
      <c r="H11" s="116"/>
      <c r="I11" s="116"/>
      <c r="J11" s="116"/>
      <c r="K11" s="116"/>
      <c r="L11" s="116"/>
    </row>
    <row r="12" spans="1:12" x14ac:dyDescent="0.25">
      <c r="A12" s="115" t="s">
        <v>207</v>
      </c>
      <c r="B12" s="116"/>
      <c r="C12" s="116" t="s">
        <v>4</v>
      </c>
      <c r="D12" s="116"/>
      <c r="E12" s="116"/>
      <c r="F12" s="116"/>
      <c r="G12" s="116"/>
      <c r="H12" s="116"/>
      <c r="I12" s="116"/>
      <c r="J12" s="116"/>
      <c r="K12" s="116"/>
      <c r="L12" s="116"/>
    </row>
    <row r="13" spans="1:12" x14ac:dyDescent="0.25">
      <c r="A13" s="115" t="s">
        <v>208</v>
      </c>
      <c r="B13" s="116"/>
      <c r="C13" s="116" t="s">
        <v>4</v>
      </c>
      <c r="D13" s="116"/>
      <c r="E13" s="116"/>
      <c r="F13" s="116"/>
      <c r="G13" s="116"/>
      <c r="H13" s="116"/>
      <c r="I13" s="116"/>
      <c r="J13" s="116"/>
      <c r="K13" s="116"/>
      <c r="L13" s="116"/>
    </row>
    <row r="14" spans="1:12" x14ac:dyDescent="0.25">
      <c r="A14" s="117" t="s">
        <v>209</v>
      </c>
      <c r="B14" s="116"/>
      <c r="C14" s="116" t="s">
        <v>4</v>
      </c>
      <c r="D14" s="116"/>
      <c r="E14" s="116"/>
      <c r="F14" s="116"/>
      <c r="G14" s="116"/>
      <c r="H14" s="116"/>
      <c r="I14" s="116" t="s">
        <v>4</v>
      </c>
      <c r="J14" s="116"/>
      <c r="K14" s="116"/>
      <c r="L14" s="116"/>
    </row>
    <row r="15" spans="1:12" x14ac:dyDescent="0.25">
      <c r="A15" s="117" t="s">
        <v>210</v>
      </c>
      <c r="B15" s="116"/>
      <c r="C15" s="116" t="s">
        <v>4</v>
      </c>
      <c r="D15" s="116"/>
      <c r="E15" s="116"/>
      <c r="F15" s="116"/>
      <c r="G15" s="116"/>
      <c r="H15" s="116"/>
      <c r="I15" s="116" t="s">
        <v>4</v>
      </c>
      <c r="J15" s="116"/>
      <c r="K15" s="116"/>
      <c r="L15" s="116"/>
    </row>
    <row r="16" spans="1:12" x14ac:dyDescent="0.25">
      <c r="A16" s="115" t="s">
        <v>211</v>
      </c>
      <c r="B16" s="116"/>
      <c r="C16" s="116" t="s">
        <v>4</v>
      </c>
      <c r="D16" s="116"/>
      <c r="E16" s="116"/>
      <c r="F16" s="116"/>
      <c r="G16" s="116"/>
      <c r="H16" s="116" t="s">
        <v>4</v>
      </c>
      <c r="I16" s="116" t="s">
        <v>4</v>
      </c>
      <c r="J16" s="116"/>
      <c r="K16" s="116"/>
      <c r="L16" s="116"/>
    </row>
    <row r="17" spans="1:12" x14ac:dyDescent="0.25">
      <c r="A17" s="115" t="s">
        <v>212</v>
      </c>
      <c r="B17" s="116"/>
      <c r="C17" s="116" t="s">
        <v>4</v>
      </c>
      <c r="D17" s="116"/>
      <c r="E17" s="116"/>
      <c r="F17" s="116"/>
      <c r="G17" s="116"/>
      <c r="H17" s="116"/>
      <c r="I17" s="116"/>
      <c r="J17" s="116"/>
      <c r="K17" s="116"/>
      <c r="L17" s="116"/>
    </row>
    <row r="18" spans="1:12" x14ac:dyDescent="0.25">
      <c r="A18" s="115" t="s">
        <v>186</v>
      </c>
      <c r="B18" s="116" t="s">
        <v>4</v>
      </c>
      <c r="C18" s="116"/>
      <c r="D18" s="116"/>
      <c r="E18" s="116"/>
      <c r="F18" s="116" t="s">
        <v>4</v>
      </c>
      <c r="G18" s="116"/>
      <c r="H18" s="116"/>
      <c r="I18" s="116"/>
      <c r="J18" s="116"/>
      <c r="K18" s="116"/>
      <c r="L18" s="116"/>
    </row>
    <row r="19" spans="1:12" x14ac:dyDescent="0.25">
      <c r="A19" s="115" t="s">
        <v>187</v>
      </c>
      <c r="B19" s="116" t="s">
        <v>4</v>
      </c>
      <c r="C19" s="116"/>
      <c r="D19" s="116"/>
      <c r="E19" s="116"/>
      <c r="F19" s="116" t="s">
        <v>4</v>
      </c>
      <c r="G19" s="116"/>
      <c r="H19" s="116"/>
      <c r="I19" s="116"/>
      <c r="J19" s="116"/>
      <c r="K19" s="116"/>
      <c r="L19" s="116"/>
    </row>
    <row r="20" spans="1:12" x14ac:dyDescent="0.25">
      <c r="A20" s="115" t="s">
        <v>188</v>
      </c>
      <c r="B20" s="116" t="s">
        <v>4</v>
      </c>
      <c r="C20" s="116"/>
      <c r="D20" s="116"/>
      <c r="E20" s="116"/>
      <c r="F20" s="116" t="s">
        <v>4</v>
      </c>
      <c r="G20" s="116"/>
      <c r="H20" s="116"/>
      <c r="I20" s="116"/>
      <c r="J20" s="116"/>
      <c r="K20" s="116"/>
      <c r="L20" s="116"/>
    </row>
    <row r="21" spans="1:12" x14ac:dyDescent="0.25">
      <c r="A21" s="115" t="s">
        <v>213</v>
      </c>
      <c r="B21" s="116"/>
      <c r="C21" s="116"/>
      <c r="D21" s="116"/>
      <c r="E21" s="116"/>
      <c r="F21" s="116"/>
      <c r="G21" s="116"/>
      <c r="H21" s="116" t="s">
        <v>4</v>
      </c>
      <c r="I21" s="116" t="s">
        <v>4</v>
      </c>
      <c r="J21" s="116"/>
      <c r="K21" s="116"/>
      <c r="L21" s="116"/>
    </row>
    <row r="22" spans="1:12" x14ac:dyDescent="0.25">
      <c r="A22" s="115" t="s">
        <v>214</v>
      </c>
      <c r="B22" s="116" t="s">
        <v>4</v>
      </c>
      <c r="C22" s="116" t="s">
        <v>4</v>
      </c>
      <c r="D22" s="116" t="s">
        <v>4</v>
      </c>
      <c r="E22" s="116"/>
      <c r="F22" s="116"/>
      <c r="G22" s="116"/>
      <c r="H22" s="116"/>
      <c r="I22" s="116"/>
      <c r="J22" s="116"/>
      <c r="K22" s="116"/>
      <c r="L22" s="116"/>
    </row>
    <row r="23" spans="1:12" x14ac:dyDescent="0.25">
      <c r="A23" s="115" t="s">
        <v>215</v>
      </c>
      <c r="B23" s="116"/>
      <c r="C23" s="116" t="s">
        <v>4</v>
      </c>
      <c r="D23" s="116"/>
      <c r="E23" s="116"/>
      <c r="F23" s="116"/>
      <c r="G23" s="116"/>
      <c r="H23" s="116"/>
      <c r="I23" s="116" t="s">
        <v>4</v>
      </c>
      <c r="J23" s="116"/>
      <c r="K23" s="116"/>
      <c r="L23" s="116"/>
    </row>
    <row r="24" spans="1:12" x14ac:dyDescent="0.25">
      <c r="A24" s="115" t="s">
        <v>216</v>
      </c>
      <c r="B24" s="116"/>
      <c r="C24" s="116"/>
      <c r="D24" s="116"/>
      <c r="E24" s="116"/>
      <c r="F24" s="116"/>
      <c r="G24" s="116"/>
      <c r="H24" s="116" t="s">
        <v>4</v>
      </c>
      <c r="I24" s="116"/>
      <c r="J24" s="116"/>
      <c r="K24" s="116"/>
      <c r="L24" s="116"/>
    </row>
    <row r="25" spans="1:12" x14ac:dyDescent="0.25">
      <c r="A25" s="115" t="s">
        <v>217</v>
      </c>
      <c r="B25" s="116"/>
      <c r="C25" s="116"/>
      <c r="D25" s="116"/>
      <c r="E25" s="116"/>
      <c r="F25" s="116"/>
      <c r="G25" s="116"/>
      <c r="H25" s="116" t="s">
        <v>4</v>
      </c>
      <c r="I25" s="116"/>
      <c r="J25" s="116"/>
      <c r="K25" s="116"/>
      <c r="L25" s="116"/>
    </row>
    <row r="26" spans="1:12" x14ac:dyDescent="0.25">
      <c r="A26" s="115" t="s">
        <v>218</v>
      </c>
      <c r="B26" s="116"/>
      <c r="C26" s="116" t="s">
        <v>4</v>
      </c>
      <c r="D26" s="116"/>
      <c r="E26" s="116"/>
      <c r="F26" s="116"/>
      <c r="G26" s="116"/>
      <c r="H26" s="116"/>
      <c r="I26" s="116"/>
      <c r="J26" s="116"/>
      <c r="K26" s="116"/>
      <c r="L26" s="116"/>
    </row>
    <row r="27" spans="1:12" x14ac:dyDescent="0.25">
      <c r="A27" s="115" t="s">
        <v>219</v>
      </c>
      <c r="B27" s="116"/>
      <c r="C27" s="116" t="s">
        <v>4</v>
      </c>
      <c r="D27" s="116"/>
      <c r="E27" s="116"/>
      <c r="F27" s="116"/>
      <c r="G27" s="116"/>
      <c r="H27" s="116"/>
      <c r="I27" s="116" t="s">
        <v>4</v>
      </c>
      <c r="J27" s="116"/>
      <c r="K27" s="116"/>
      <c r="L27" s="116" t="s">
        <v>4</v>
      </c>
    </row>
    <row r="28" spans="1:12" x14ac:dyDescent="0.25">
      <c r="A28" s="115" t="s">
        <v>220</v>
      </c>
      <c r="B28" s="116"/>
      <c r="C28" s="116"/>
      <c r="D28" s="116"/>
      <c r="E28" s="116"/>
      <c r="F28" s="116"/>
      <c r="G28" s="116"/>
      <c r="H28" s="116" t="s">
        <v>4</v>
      </c>
      <c r="I28" s="116"/>
      <c r="J28" s="116"/>
      <c r="K28" s="116"/>
      <c r="L28" s="116"/>
    </row>
    <row r="29" spans="1:12" x14ac:dyDescent="0.25">
      <c r="A29" s="115" t="s">
        <v>221</v>
      </c>
      <c r="B29" s="116" t="s">
        <v>4</v>
      </c>
      <c r="C29" s="116"/>
      <c r="D29" s="116" t="s">
        <v>4</v>
      </c>
      <c r="E29" s="116"/>
      <c r="F29" s="116"/>
      <c r="G29" s="116"/>
      <c r="H29" s="116"/>
      <c r="I29" s="116"/>
      <c r="J29" s="116"/>
      <c r="K29" s="116"/>
      <c r="L29" s="116"/>
    </row>
    <row r="30" spans="1:12" x14ac:dyDescent="0.25">
      <c r="A30" s="115" t="s">
        <v>234</v>
      </c>
      <c r="B30" s="116" t="s">
        <v>4</v>
      </c>
      <c r="C30" s="116" t="s">
        <v>4</v>
      </c>
      <c r="D30" s="116" t="s">
        <v>4</v>
      </c>
      <c r="E30" s="116"/>
      <c r="F30" s="116"/>
      <c r="G30" s="116"/>
      <c r="H30" s="116"/>
      <c r="I30" s="116"/>
      <c r="J30" s="116"/>
      <c r="K30" s="116"/>
      <c r="L30" s="116"/>
    </row>
    <row r="31" spans="1:12" x14ac:dyDescent="0.25">
      <c r="A31" s="115" t="s">
        <v>190</v>
      </c>
      <c r="B31" s="116"/>
      <c r="C31" s="116"/>
      <c r="D31" s="116"/>
      <c r="E31" s="116" t="s">
        <v>4</v>
      </c>
      <c r="F31" s="116"/>
      <c r="G31" s="116"/>
      <c r="H31" s="116"/>
      <c r="I31" s="116"/>
      <c r="J31" s="116"/>
      <c r="K31" s="116"/>
      <c r="L31" s="116"/>
    </row>
    <row r="32" spans="1:12" x14ac:dyDescent="0.25">
      <c r="A32" s="115" t="s">
        <v>222</v>
      </c>
      <c r="B32" s="116"/>
      <c r="C32" s="116"/>
      <c r="D32" s="116"/>
      <c r="E32" s="116"/>
      <c r="F32" s="116"/>
      <c r="G32" s="116" t="s">
        <v>4</v>
      </c>
      <c r="H32" s="116" t="s">
        <v>4</v>
      </c>
      <c r="I32" s="116"/>
      <c r="J32" s="116"/>
      <c r="K32" s="116"/>
      <c r="L32" s="116"/>
    </row>
    <row r="33" spans="1:12" x14ac:dyDescent="0.25">
      <c r="A33" s="115" t="s">
        <v>223</v>
      </c>
      <c r="B33" s="116"/>
      <c r="C33" s="116"/>
      <c r="D33" s="116"/>
      <c r="E33" s="116"/>
      <c r="F33" s="116"/>
      <c r="G33" s="116" t="s">
        <v>4</v>
      </c>
      <c r="H33" s="116" t="s">
        <v>4</v>
      </c>
      <c r="I33" s="116"/>
      <c r="J33" s="116"/>
      <c r="K33" s="116"/>
      <c r="L33" s="116"/>
    </row>
    <row r="34" spans="1:12" x14ac:dyDescent="0.25">
      <c r="A34" s="115" t="s">
        <v>224</v>
      </c>
      <c r="B34" s="116"/>
      <c r="C34" s="116"/>
      <c r="D34" s="116"/>
      <c r="E34" s="116"/>
      <c r="F34" s="116"/>
      <c r="G34" s="116" t="s">
        <v>4</v>
      </c>
      <c r="H34" s="116" t="s">
        <v>4</v>
      </c>
      <c r="I34" s="116"/>
      <c r="J34" s="116"/>
      <c r="K34" s="116"/>
      <c r="L34" s="116"/>
    </row>
    <row r="35" spans="1:12" x14ac:dyDescent="0.25">
      <c r="A35" s="115" t="s">
        <v>225</v>
      </c>
      <c r="B35" s="116"/>
      <c r="C35" s="116"/>
      <c r="D35" s="116"/>
      <c r="E35" s="116"/>
      <c r="F35" s="116"/>
      <c r="G35" s="116" t="s">
        <v>4</v>
      </c>
      <c r="H35" s="116" t="s">
        <v>4</v>
      </c>
      <c r="I35" s="116"/>
      <c r="J35" s="116"/>
      <c r="K35" s="116"/>
      <c r="L35" s="116"/>
    </row>
    <row r="36" spans="1:12" x14ac:dyDescent="0.25">
      <c r="A36" s="115" t="s">
        <v>226</v>
      </c>
      <c r="B36" s="116"/>
      <c r="C36" s="116"/>
      <c r="D36" s="116"/>
      <c r="E36" s="116"/>
      <c r="F36" s="116"/>
      <c r="G36" s="116" t="s">
        <v>4</v>
      </c>
      <c r="H36" s="116" t="s">
        <v>4</v>
      </c>
      <c r="I36" s="116"/>
      <c r="J36" s="116"/>
      <c r="K36" s="116"/>
      <c r="L36" s="116"/>
    </row>
    <row r="37" spans="1:12" x14ac:dyDescent="0.25">
      <c r="A37" s="115" t="s">
        <v>227</v>
      </c>
      <c r="B37" s="116"/>
      <c r="C37" s="116"/>
      <c r="D37" s="116"/>
      <c r="E37" s="116"/>
      <c r="F37" s="116"/>
      <c r="G37" s="116" t="s">
        <v>4</v>
      </c>
      <c r="H37" s="116" t="s">
        <v>4</v>
      </c>
      <c r="I37" s="116"/>
      <c r="J37" s="116"/>
      <c r="K37" s="116"/>
      <c r="L37" s="116"/>
    </row>
    <row r="38" spans="1:12" x14ac:dyDescent="0.25">
      <c r="A38" s="115" t="s">
        <v>228</v>
      </c>
      <c r="B38" s="116"/>
      <c r="C38" s="116"/>
      <c r="D38" s="116"/>
      <c r="E38" s="116"/>
      <c r="F38" s="116"/>
      <c r="G38" s="116"/>
      <c r="H38" s="116" t="s">
        <v>4</v>
      </c>
      <c r="I38" s="116"/>
      <c r="J38" s="116"/>
      <c r="K38" s="116"/>
      <c r="L38" s="116"/>
    </row>
    <row r="39" spans="1:12" x14ac:dyDescent="0.25">
      <c r="A39" s="115" t="s">
        <v>229</v>
      </c>
      <c r="B39" s="116" t="s">
        <v>4</v>
      </c>
      <c r="C39" s="116"/>
      <c r="D39" s="116"/>
      <c r="E39" s="116"/>
      <c r="F39" s="116"/>
      <c r="G39" s="116" t="s">
        <v>4</v>
      </c>
      <c r="H39" s="116" t="s">
        <v>4</v>
      </c>
      <c r="I39" s="116"/>
      <c r="J39" s="116"/>
      <c r="K39" s="116"/>
      <c r="L39" s="116"/>
    </row>
  </sheetData>
  <sheetProtection algorithmName="SHA-512" hashValue="wT5ICcdzXFe3bV5LR4xfaDTOJMHOq+ZfwU8iAWcf1hCSKlcKEfm8iHkcXh2w0+c37tApv4EIU9BJryJcCViz4g==" saltValue="tRjNlbaN5cmcM0XJRX27sQ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261</v>
      </c>
      <c r="B1" s="108" t="s">
        <v>256</v>
      </c>
      <c r="C1" s="108" t="s">
        <v>139</v>
      </c>
      <c r="D1" s="108" t="s">
        <v>257</v>
      </c>
      <c r="E1" s="108" t="s">
        <v>258</v>
      </c>
      <c r="F1" s="108" t="s">
        <v>146</v>
      </c>
      <c r="G1" s="108" t="s">
        <v>105</v>
      </c>
      <c r="H1" s="108" t="s">
        <v>61</v>
      </c>
      <c r="I1" s="108" t="s">
        <v>259</v>
      </c>
      <c r="J1" s="108" t="s">
        <v>54</v>
      </c>
      <c r="K1" s="108" t="s">
        <v>86</v>
      </c>
      <c r="L1" s="108" t="s">
        <v>260</v>
      </c>
    </row>
    <row r="2" spans="1:12" x14ac:dyDescent="0.25">
      <c r="A2" s="108" t="s">
        <v>127</v>
      </c>
      <c r="B2" s="116" t="s">
        <v>4</v>
      </c>
      <c r="C2" s="116" t="s">
        <v>4</v>
      </c>
      <c r="D2" s="116" t="s">
        <v>4</v>
      </c>
      <c r="E2" s="116" t="s">
        <v>4</v>
      </c>
      <c r="F2" s="116" t="s">
        <v>4</v>
      </c>
      <c r="G2" s="116" t="s">
        <v>4</v>
      </c>
      <c r="H2" s="116" t="s">
        <v>4</v>
      </c>
      <c r="I2" s="116"/>
      <c r="J2" s="116"/>
      <c r="K2" s="116"/>
      <c r="L2" s="116"/>
    </row>
    <row r="3" spans="1:12" x14ac:dyDescent="0.25">
      <c r="A3" s="108" t="s">
        <v>114</v>
      </c>
      <c r="B3" s="116" t="s">
        <v>4</v>
      </c>
      <c r="C3" s="116" t="s">
        <v>4</v>
      </c>
      <c r="D3" s="116" t="s">
        <v>4</v>
      </c>
      <c r="E3" s="116" t="s">
        <v>4</v>
      </c>
      <c r="F3" s="116" t="s">
        <v>4</v>
      </c>
      <c r="G3" s="116" t="s">
        <v>4</v>
      </c>
      <c r="H3" s="116" t="s">
        <v>4</v>
      </c>
      <c r="I3" s="116"/>
      <c r="J3" s="116"/>
      <c r="K3" s="116"/>
      <c r="L3" s="116"/>
    </row>
    <row r="4" spans="1:12" x14ac:dyDescent="0.25">
      <c r="A4" s="108" t="s">
        <v>115</v>
      </c>
      <c r="B4" s="116" t="s">
        <v>4</v>
      </c>
      <c r="C4" s="116" t="s">
        <v>4</v>
      </c>
      <c r="D4" s="116" t="s">
        <v>4</v>
      </c>
      <c r="E4" s="116" t="s">
        <v>4</v>
      </c>
      <c r="F4" s="116" t="s">
        <v>4</v>
      </c>
      <c r="G4" s="116" t="s">
        <v>4</v>
      </c>
      <c r="H4" s="116" t="s">
        <v>4</v>
      </c>
      <c r="I4" s="116"/>
      <c r="J4" s="116"/>
      <c r="K4" s="116"/>
      <c r="L4" s="116"/>
    </row>
    <row r="5" spans="1:12" x14ac:dyDescent="0.25">
      <c r="A5" s="108" t="s">
        <v>116</v>
      </c>
      <c r="B5" s="116" t="s">
        <v>4</v>
      </c>
      <c r="C5" s="116" t="s">
        <v>4</v>
      </c>
      <c r="D5" s="116" t="s">
        <v>4</v>
      </c>
      <c r="E5" s="116" t="s">
        <v>4</v>
      </c>
      <c r="F5" s="116" t="s">
        <v>4</v>
      </c>
      <c r="G5" s="116" t="s">
        <v>4</v>
      </c>
      <c r="H5" s="116" t="s">
        <v>4</v>
      </c>
      <c r="I5" s="116"/>
      <c r="J5" s="116"/>
      <c r="K5" s="116"/>
      <c r="L5" s="116"/>
    </row>
    <row r="6" spans="1:12" x14ac:dyDescent="0.25">
      <c r="A6" s="108" t="s">
        <v>117</v>
      </c>
      <c r="B6" s="116" t="s">
        <v>4</v>
      </c>
      <c r="C6" s="116" t="s">
        <v>4</v>
      </c>
      <c r="D6" s="116" t="s">
        <v>4</v>
      </c>
      <c r="E6" s="116" t="s">
        <v>4</v>
      </c>
      <c r="F6" s="116" t="s">
        <v>4</v>
      </c>
      <c r="G6" s="116" t="s">
        <v>4</v>
      </c>
      <c r="H6" s="116" t="s">
        <v>4</v>
      </c>
      <c r="I6" s="116"/>
      <c r="J6" s="116"/>
      <c r="K6" s="116"/>
      <c r="L6" s="116"/>
    </row>
    <row r="7" spans="1:12" x14ac:dyDescent="0.25">
      <c r="A7" s="108" t="s">
        <v>140</v>
      </c>
      <c r="B7" s="116"/>
      <c r="C7" s="116" t="s">
        <v>4</v>
      </c>
      <c r="D7" s="116"/>
      <c r="E7" s="116"/>
      <c r="F7" s="116"/>
      <c r="G7" s="116"/>
      <c r="H7" s="116" t="s">
        <v>4</v>
      </c>
      <c r="I7" s="116" t="s">
        <v>4</v>
      </c>
      <c r="J7" s="116"/>
      <c r="K7" s="116"/>
      <c r="L7" s="116" t="s">
        <v>4</v>
      </c>
    </row>
    <row r="8" spans="1:12" x14ac:dyDescent="0.25">
      <c r="A8" s="108" t="s">
        <v>141</v>
      </c>
      <c r="B8" s="116"/>
      <c r="C8" s="116" t="s">
        <v>4</v>
      </c>
      <c r="D8" s="116"/>
      <c r="E8" s="116"/>
      <c r="F8" s="116"/>
      <c r="G8" s="116"/>
      <c r="H8" s="116" t="s">
        <v>4</v>
      </c>
      <c r="I8" s="116" t="s">
        <v>4</v>
      </c>
      <c r="J8" s="116"/>
      <c r="K8" s="116"/>
      <c r="L8" s="116" t="s">
        <v>4</v>
      </c>
    </row>
    <row r="9" spans="1:12" x14ac:dyDescent="0.25">
      <c r="A9" s="108" t="s">
        <v>142</v>
      </c>
      <c r="B9" s="116"/>
      <c r="C9" s="116" t="s">
        <v>4</v>
      </c>
      <c r="D9" s="116"/>
      <c r="E9" s="116"/>
      <c r="F9" s="116"/>
      <c r="G9" s="116"/>
      <c r="H9" s="116" t="s">
        <v>4</v>
      </c>
      <c r="I9" s="116" t="s">
        <v>4</v>
      </c>
      <c r="J9" s="116"/>
      <c r="K9" s="116"/>
      <c r="L9" s="116" t="s">
        <v>4</v>
      </c>
    </row>
    <row r="10" spans="1:12" x14ac:dyDescent="0.25">
      <c r="A10" s="108" t="s">
        <v>143</v>
      </c>
      <c r="B10" s="116"/>
      <c r="C10" s="116" t="s">
        <v>4</v>
      </c>
      <c r="D10" s="116"/>
      <c r="E10" s="116"/>
      <c r="F10" s="116"/>
      <c r="G10" s="116"/>
      <c r="H10" s="116" t="s">
        <v>4</v>
      </c>
      <c r="I10" s="116" t="s">
        <v>4</v>
      </c>
      <c r="J10" s="116"/>
      <c r="K10" s="116"/>
      <c r="L10" s="116" t="s">
        <v>4</v>
      </c>
    </row>
    <row r="11" spans="1:12" x14ac:dyDescent="0.25">
      <c r="A11" s="108" t="s">
        <v>87</v>
      </c>
      <c r="B11" s="116"/>
      <c r="C11" s="116" t="s">
        <v>4</v>
      </c>
      <c r="D11" s="116"/>
      <c r="E11" s="116"/>
      <c r="F11" s="116"/>
      <c r="G11" s="116"/>
      <c r="H11" s="116"/>
      <c r="I11" s="116"/>
      <c r="J11" s="116" t="s">
        <v>4</v>
      </c>
      <c r="K11" s="116" t="s">
        <v>4</v>
      </c>
      <c r="L11" s="116"/>
    </row>
    <row r="12" spans="1:12" x14ac:dyDescent="0.25">
      <c r="A12" s="108" t="s">
        <v>88</v>
      </c>
      <c r="B12" s="116"/>
      <c r="C12" s="116" t="s">
        <v>4</v>
      </c>
      <c r="D12" s="116"/>
      <c r="E12" s="116"/>
      <c r="F12" s="116"/>
      <c r="G12" s="116"/>
      <c r="H12" s="116"/>
      <c r="I12" s="116"/>
      <c r="J12" s="116"/>
      <c r="K12" s="116" t="s">
        <v>4</v>
      </c>
      <c r="L12" s="116"/>
    </row>
    <row r="13" spans="1:12" x14ac:dyDescent="0.25">
      <c r="A13" s="108" t="s">
        <v>89</v>
      </c>
      <c r="B13" s="116"/>
      <c r="C13" s="116" t="s">
        <v>4</v>
      </c>
      <c r="D13" s="116"/>
      <c r="E13" s="116"/>
      <c r="F13" s="116"/>
      <c r="G13" s="116"/>
      <c r="H13" s="116"/>
      <c r="I13" s="116"/>
      <c r="J13" s="116"/>
      <c r="K13" s="116" t="s">
        <v>4</v>
      </c>
      <c r="L13" s="116"/>
    </row>
    <row r="14" spans="1:12" x14ac:dyDescent="0.25">
      <c r="A14" s="108" t="s">
        <v>90</v>
      </c>
      <c r="B14" s="116"/>
      <c r="C14" s="116" t="s">
        <v>4</v>
      </c>
      <c r="D14" s="116"/>
      <c r="E14" s="116"/>
      <c r="F14" s="116"/>
      <c r="G14" s="116"/>
      <c r="H14" s="116"/>
      <c r="I14" s="116"/>
      <c r="J14" s="116"/>
      <c r="K14" s="116" t="s">
        <v>4</v>
      </c>
      <c r="L14" s="116"/>
    </row>
  </sheetData>
  <sheetProtection algorithmName="SHA-512" hashValue="Ya7hQshUZZSpfcEI13UNAklrSeY0wTV7kx0yMY839/rbsfiVHtApylBKhRBAxIkHCX1ayRs0Yy8/pr92WVlwMQ==" saltValue="jpU2558JP2AsOAWeUYKt6Q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262</v>
      </c>
      <c r="B1" s="4" t="s">
        <v>181</v>
      </c>
      <c r="C1" s="4" t="s">
        <v>193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10" ht="13" x14ac:dyDescent="0.3">
      <c r="A2" s="4" t="s">
        <v>263</v>
      </c>
      <c r="B2" s="125" t="s">
        <v>118</v>
      </c>
      <c r="C2" s="8" t="s">
        <v>182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6"/>
      <c r="C3" s="8" t="s">
        <v>183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6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5" t="s">
        <v>127</v>
      </c>
      <c r="C5" s="8" t="s">
        <v>182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6"/>
      <c r="C6" s="8" t="s">
        <v>183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6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5" t="s">
        <v>114</v>
      </c>
      <c r="C8" s="8" t="s">
        <v>182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6"/>
      <c r="C9" s="8" t="s">
        <v>183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6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5" t="s">
        <v>115</v>
      </c>
      <c r="C11" s="8" t="s">
        <v>182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6"/>
      <c r="C12" s="8" t="s">
        <v>183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6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5" t="s">
        <v>116</v>
      </c>
      <c r="C14" s="8" t="s">
        <v>182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6"/>
      <c r="C15" s="8" t="s">
        <v>183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6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185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264</v>
      </c>
      <c r="B19" s="125" t="s">
        <v>118</v>
      </c>
      <c r="C19" s="8" t="s">
        <v>182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6"/>
      <c r="C20" s="8" t="s">
        <v>183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6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5" t="s">
        <v>127</v>
      </c>
      <c r="C22" s="8" t="s">
        <v>182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6"/>
      <c r="C23" s="8" t="s">
        <v>183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6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5" t="s">
        <v>114</v>
      </c>
      <c r="C25" s="8" t="s">
        <v>182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6"/>
      <c r="C26" s="8" t="s">
        <v>183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6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5" t="s">
        <v>115</v>
      </c>
      <c r="C28" s="8" t="s">
        <v>182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6"/>
      <c r="C29" s="8" t="s">
        <v>183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6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5" t="s">
        <v>116</v>
      </c>
      <c r="C31" s="8" t="s">
        <v>182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6"/>
      <c r="C32" s="8" t="s">
        <v>183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6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185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265</v>
      </c>
      <c r="B36" s="125" t="s">
        <v>118</v>
      </c>
      <c r="C36" s="8" t="s">
        <v>182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6"/>
      <c r="C37" s="8" t="s">
        <v>183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6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5" t="s">
        <v>127</v>
      </c>
      <c r="C39" s="8" t="s">
        <v>182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6"/>
      <c r="C40" s="8" t="s">
        <v>183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6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5" t="s">
        <v>114</v>
      </c>
      <c r="C42" s="8" t="s">
        <v>182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6"/>
      <c r="C43" s="8" t="s">
        <v>183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6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5" t="s">
        <v>115</v>
      </c>
      <c r="C45" s="8" t="s">
        <v>182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6"/>
      <c r="C46" s="8" t="s">
        <v>183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6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5" t="s">
        <v>116</v>
      </c>
      <c r="C48" s="8" t="s">
        <v>182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6"/>
      <c r="C49" s="8" t="s">
        <v>183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6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185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262</v>
      </c>
      <c r="B54" s="4" t="s">
        <v>181</v>
      </c>
      <c r="C54" s="4" t="s">
        <v>193</v>
      </c>
      <c r="D54" s="4" t="s">
        <v>127</v>
      </c>
      <c r="E54" s="4" t="s">
        <v>114</v>
      </c>
      <c r="F54" s="4" t="s">
        <v>115</v>
      </c>
      <c r="G54" s="4" t="s">
        <v>116</v>
      </c>
      <c r="H54" s="4" t="s">
        <v>117</v>
      </c>
    </row>
    <row r="55" spans="1:8" ht="13" x14ac:dyDescent="0.3">
      <c r="A55" s="4" t="s">
        <v>267</v>
      </c>
      <c r="B55" s="125" t="s">
        <v>118</v>
      </c>
      <c r="C55" s="8" t="s">
        <v>182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6"/>
      <c r="C56" s="8" t="s">
        <v>183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6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5" t="s">
        <v>127</v>
      </c>
      <c r="C58" s="8" t="s">
        <v>182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6"/>
      <c r="C59" s="8" t="s">
        <v>183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6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5" t="s">
        <v>114</v>
      </c>
      <c r="C61" s="8" t="s">
        <v>182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6"/>
      <c r="C62" s="8" t="s">
        <v>183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6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5" t="s">
        <v>115</v>
      </c>
      <c r="C64" s="8" t="s">
        <v>182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6"/>
      <c r="C65" s="8" t="s">
        <v>183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6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5" t="s">
        <v>116</v>
      </c>
      <c r="C67" s="8" t="s">
        <v>182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6"/>
      <c r="C68" s="8" t="s">
        <v>183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6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185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268</v>
      </c>
      <c r="B72" s="125" t="s">
        <v>118</v>
      </c>
      <c r="C72" s="8" t="s">
        <v>182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6"/>
      <c r="C73" s="8" t="s">
        <v>183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6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5" t="s">
        <v>127</v>
      </c>
      <c r="C75" s="8" t="s">
        <v>182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6"/>
      <c r="C76" s="8" t="s">
        <v>183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6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5" t="s">
        <v>114</v>
      </c>
      <c r="C78" s="8" t="s">
        <v>182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6"/>
      <c r="C79" s="8" t="s">
        <v>183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6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5" t="s">
        <v>115</v>
      </c>
      <c r="C81" s="8" t="s">
        <v>182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6"/>
      <c r="C82" s="8" t="s">
        <v>183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6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5" t="s">
        <v>116</v>
      </c>
      <c r="C84" s="8" t="s">
        <v>182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6"/>
      <c r="C85" s="8" t="s">
        <v>183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6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185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269</v>
      </c>
      <c r="B89" s="125" t="s">
        <v>118</v>
      </c>
      <c r="C89" s="8" t="s">
        <v>182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6"/>
      <c r="C90" s="8" t="s">
        <v>183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6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5" t="s">
        <v>127</v>
      </c>
      <c r="C92" s="8" t="s">
        <v>182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6"/>
      <c r="C93" s="8" t="s">
        <v>183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6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5" t="s">
        <v>114</v>
      </c>
      <c r="C95" s="8" t="s">
        <v>182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6"/>
      <c r="C96" s="8" t="s">
        <v>183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6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5" t="s">
        <v>115</v>
      </c>
      <c r="C98" s="8" t="s">
        <v>182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6"/>
      <c r="C99" s="8" t="s">
        <v>183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6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5" t="s">
        <v>116</v>
      </c>
      <c r="C101" s="8" t="s">
        <v>182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6"/>
      <c r="C102" s="8" t="s">
        <v>183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6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185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270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262</v>
      </c>
      <c r="B107" s="4" t="s">
        <v>181</v>
      </c>
      <c r="C107" s="4" t="s">
        <v>193</v>
      </c>
      <c r="D107" s="4" t="s">
        <v>127</v>
      </c>
      <c r="E107" s="4" t="s">
        <v>114</v>
      </c>
      <c r="F107" s="4" t="s">
        <v>115</v>
      </c>
      <c r="G107" s="4" t="s">
        <v>116</v>
      </c>
      <c r="H107" s="4" t="s">
        <v>117</v>
      </c>
    </row>
    <row r="108" spans="1:8" ht="13" x14ac:dyDescent="0.3">
      <c r="A108" s="4" t="s">
        <v>271</v>
      </c>
      <c r="B108" s="125" t="s">
        <v>118</v>
      </c>
      <c r="C108" s="8" t="s">
        <v>182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6"/>
      <c r="C109" s="8" t="s">
        <v>183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6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5" t="s">
        <v>127</v>
      </c>
      <c r="C111" s="8" t="s">
        <v>182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6"/>
      <c r="C112" s="8" t="s">
        <v>183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6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5" t="s">
        <v>114</v>
      </c>
      <c r="C114" s="8" t="s">
        <v>182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6"/>
      <c r="C115" s="8" t="s">
        <v>183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6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5" t="s">
        <v>115</v>
      </c>
      <c r="C117" s="8" t="s">
        <v>182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6"/>
      <c r="C118" s="8" t="s">
        <v>183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6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5" t="s">
        <v>116</v>
      </c>
      <c r="C120" s="8" t="s">
        <v>182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6"/>
      <c r="C121" s="8" t="s">
        <v>183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6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185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272</v>
      </c>
      <c r="B125" s="125" t="s">
        <v>118</v>
      </c>
      <c r="C125" s="8" t="s">
        <v>182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6"/>
      <c r="C126" s="8" t="s">
        <v>183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6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5" t="s">
        <v>127</v>
      </c>
      <c r="C128" s="8" t="s">
        <v>182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6"/>
      <c r="C129" s="8" t="s">
        <v>183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6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5" t="s">
        <v>114</v>
      </c>
      <c r="C131" s="8" t="s">
        <v>182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6"/>
      <c r="C132" s="8" t="s">
        <v>183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6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5" t="s">
        <v>115</v>
      </c>
      <c r="C134" s="8" t="s">
        <v>182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6"/>
      <c r="C135" s="8" t="s">
        <v>183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6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5" t="s">
        <v>116</v>
      </c>
      <c r="C137" s="8" t="s">
        <v>182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6"/>
      <c r="C138" s="8" t="s">
        <v>183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6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185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273</v>
      </c>
      <c r="B142" s="125" t="s">
        <v>118</v>
      </c>
      <c r="C142" s="8" t="s">
        <v>182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6"/>
      <c r="C143" s="8" t="s">
        <v>183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6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5" t="s">
        <v>127</v>
      </c>
      <c r="C145" s="8" t="s">
        <v>182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6"/>
      <c r="C146" s="8" t="s">
        <v>183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6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5" t="s">
        <v>114</v>
      </c>
      <c r="C148" s="8" t="s">
        <v>182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6"/>
      <c r="C149" s="8" t="s">
        <v>183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6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5" t="s">
        <v>115</v>
      </c>
      <c r="C151" s="8" t="s">
        <v>182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6"/>
      <c r="C152" s="8" t="s">
        <v>183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6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5" t="s">
        <v>116</v>
      </c>
      <c r="C154" s="8" t="s">
        <v>182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6"/>
      <c r="C155" s="8" t="s">
        <v>183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6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185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mCb374CsUUZ5qOE77RyXa5kLvpcAGnohkEbZYCS+sIAXL2fun79JQKakg3CAYUCWZZB/GWsgS4PujjUQ/dG1Bg==" saltValue="WnSFrvVLxLlFRcI3VqauwA==" spinCount="100000" sheet="1" objects="1" scenarios="1" selectLockedCells="1"/>
  <mergeCells count="45"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6" customWidth="1"/>
    <col min="2" max="2" width="44.453125" style="106" customWidth="1"/>
    <col min="3" max="3" width="17.7265625" style="106" customWidth="1"/>
    <col min="4" max="4" width="17.54296875" style="106" customWidth="1"/>
    <col min="5" max="5" width="17.26953125" style="106" customWidth="1"/>
    <col min="6" max="6" width="15" style="106" customWidth="1"/>
    <col min="7" max="7" width="13.7265625" style="106" customWidth="1"/>
    <col min="8" max="16384" width="12.7265625" style="106"/>
  </cols>
  <sheetData>
    <row r="1" spans="1:7" s="121" customFormat="1" ht="14.25" customHeight="1" x14ac:dyDescent="0.3">
      <c r="A1" s="120" t="s">
        <v>264</v>
      </c>
    </row>
    <row r="2" spans="1:7" ht="14.25" customHeight="1" x14ac:dyDescent="0.3">
      <c r="A2" s="122" t="s">
        <v>6</v>
      </c>
      <c r="B2" s="107"/>
      <c r="C2" s="105" t="s">
        <v>127</v>
      </c>
      <c r="D2" s="105" t="s">
        <v>114</v>
      </c>
      <c r="E2" s="105" t="s">
        <v>115</v>
      </c>
      <c r="F2" s="105" t="s">
        <v>116</v>
      </c>
      <c r="G2" s="105" t="s">
        <v>117</v>
      </c>
    </row>
    <row r="3" spans="1:7" ht="14.25" customHeight="1" x14ac:dyDescent="0.25">
      <c r="B3" s="117" t="s">
        <v>274</v>
      </c>
      <c r="C3" s="118" t="s">
        <v>10</v>
      </c>
      <c r="D3" s="118">
        <v>45</v>
      </c>
      <c r="E3" s="118">
        <v>361.6</v>
      </c>
      <c r="F3" s="118">
        <v>174.7</v>
      </c>
      <c r="G3" s="118">
        <v>174.7</v>
      </c>
    </row>
    <row r="4" spans="1:7" ht="14.25" customHeight="1" x14ac:dyDescent="0.3">
      <c r="A4" s="105"/>
      <c r="B4" s="117" t="s">
        <v>275</v>
      </c>
      <c r="C4" s="118">
        <v>1.0249999999999999</v>
      </c>
      <c r="D4" s="118">
        <v>1.0249999999999999</v>
      </c>
      <c r="E4" s="118">
        <v>1.0249999999999999</v>
      </c>
      <c r="F4" s="118">
        <v>1.0249999999999999</v>
      </c>
      <c r="G4" s="118">
        <v>1.0249999999999999</v>
      </c>
    </row>
    <row r="5" spans="1:7" ht="14.25" customHeight="1" x14ac:dyDescent="0.3">
      <c r="A5" s="123" t="s">
        <v>276</v>
      </c>
    </row>
    <row r="6" spans="1:7" ht="14.25" customHeight="1" x14ac:dyDescent="0.25">
      <c r="B6" s="117" t="s">
        <v>221</v>
      </c>
      <c r="C6" s="118">
        <v>1</v>
      </c>
      <c r="D6" s="118">
        <v>1</v>
      </c>
      <c r="E6" s="118">
        <v>0.89</v>
      </c>
      <c r="F6" s="118">
        <v>0.89</v>
      </c>
      <c r="G6" s="118">
        <v>1</v>
      </c>
    </row>
    <row r="7" spans="1:7" ht="14.25" customHeight="1" x14ac:dyDescent="0.25">
      <c r="B7" s="117" t="s">
        <v>214</v>
      </c>
      <c r="C7" s="118">
        <v>1</v>
      </c>
      <c r="D7" s="118">
        <v>1</v>
      </c>
      <c r="E7" s="118">
        <v>0.88</v>
      </c>
      <c r="F7" s="118">
        <v>0.88</v>
      </c>
      <c r="G7" s="118">
        <v>1</v>
      </c>
    </row>
    <row r="8" spans="1:7" ht="14.25" customHeight="1" x14ac:dyDescent="0.25">
      <c r="B8" s="117" t="s">
        <v>199</v>
      </c>
      <c r="C8" s="118">
        <v>1</v>
      </c>
      <c r="D8" s="118">
        <v>1</v>
      </c>
      <c r="E8" s="118">
        <v>1</v>
      </c>
      <c r="F8" s="118">
        <v>0.80800000000000005</v>
      </c>
      <c r="G8" s="118">
        <v>0.80800000000000005</v>
      </c>
    </row>
    <row r="9" spans="1:7" ht="14.25" customHeight="1" x14ac:dyDescent="0.25">
      <c r="B9" s="117" t="s">
        <v>234</v>
      </c>
      <c r="C9" s="118">
        <v>1</v>
      </c>
      <c r="D9" s="118">
        <v>1</v>
      </c>
      <c r="E9" s="118">
        <v>0.88</v>
      </c>
      <c r="F9" s="118">
        <v>0.88</v>
      </c>
      <c r="G9" s="118">
        <v>1</v>
      </c>
    </row>
    <row r="10" spans="1:7" ht="14.25" customHeight="1" x14ac:dyDescent="0.25">
      <c r="B10" s="117" t="s">
        <v>229</v>
      </c>
      <c r="C10" s="118">
        <v>1</v>
      </c>
      <c r="D10" s="118">
        <v>1</v>
      </c>
      <c r="E10" s="118">
        <v>1</v>
      </c>
      <c r="F10" s="118">
        <v>1</v>
      </c>
      <c r="G10" s="118">
        <v>1</v>
      </c>
    </row>
    <row r="11" spans="1:7" ht="14.25" customHeight="1" x14ac:dyDescent="0.25">
      <c r="B11" s="117"/>
      <c r="C11" s="117"/>
      <c r="D11" s="117"/>
      <c r="E11" s="117"/>
      <c r="F11" s="117"/>
      <c r="G11" s="117"/>
    </row>
    <row r="12" spans="1:7" s="121" customFormat="1" ht="14.25" customHeight="1" x14ac:dyDescent="0.3">
      <c r="A12" s="120" t="s">
        <v>280</v>
      </c>
    </row>
    <row r="13" spans="1:7" ht="14.25" customHeight="1" x14ac:dyDescent="0.3">
      <c r="A13" s="123"/>
      <c r="B13" s="117" t="s">
        <v>213</v>
      </c>
      <c r="C13" s="118">
        <v>1</v>
      </c>
      <c r="D13" s="118">
        <v>1.39</v>
      </c>
      <c r="E13" s="118">
        <v>1</v>
      </c>
      <c r="F13" s="118">
        <v>1</v>
      </c>
      <c r="G13" s="118">
        <v>1</v>
      </c>
    </row>
    <row r="14" spans="1:7" ht="14.25" customHeight="1" x14ac:dyDescent="0.3">
      <c r="A14" s="123"/>
      <c r="B14" s="114"/>
    </row>
    <row r="15" spans="1:7" s="121" customFormat="1" ht="14.25" customHeight="1" x14ac:dyDescent="0.3">
      <c r="A15" s="120" t="s">
        <v>277</v>
      </c>
    </row>
    <row r="16" spans="1:7" ht="14.25" customHeight="1" x14ac:dyDescent="0.3">
      <c r="A16" s="122" t="s">
        <v>283</v>
      </c>
      <c r="B16" s="117" t="s">
        <v>278</v>
      </c>
      <c r="C16" s="118">
        <v>1.024</v>
      </c>
      <c r="D16" s="118">
        <v>1.024</v>
      </c>
      <c r="E16" s="118">
        <v>1.024</v>
      </c>
      <c r="F16" s="118">
        <v>1.024</v>
      </c>
      <c r="G16" s="118">
        <v>1.024</v>
      </c>
    </row>
    <row r="17" spans="1:7" ht="14.25" customHeight="1" x14ac:dyDescent="0.3">
      <c r="A17" s="105"/>
      <c r="B17" s="117" t="s">
        <v>281</v>
      </c>
      <c r="C17" s="118">
        <v>1.024</v>
      </c>
      <c r="D17" s="118">
        <v>1.024</v>
      </c>
      <c r="E17" s="118">
        <v>1.024</v>
      </c>
      <c r="F17" s="118">
        <v>1.024</v>
      </c>
      <c r="G17" s="118">
        <v>1.024</v>
      </c>
    </row>
    <row r="18" spans="1:7" ht="14.25" customHeight="1" x14ac:dyDescent="0.3">
      <c r="A18" s="122" t="s">
        <v>139</v>
      </c>
      <c r="B18" s="117" t="s">
        <v>279</v>
      </c>
      <c r="C18" s="118">
        <v>1</v>
      </c>
      <c r="D18" s="118">
        <v>1</v>
      </c>
      <c r="E18" s="118">
        <v>1</v>
      </c>
      <c r="F18" s="118">
        <v>1</v>
      </c>
      <c r="G18" s="118">
        <v>1</v>
      </c>
    </row>
    <row r="19" spans="1:7" ht="14.25" customHeight="1" x14ac:dyDescent="0.25"/>
    <row r="20" spans="1:7" s="121" customFormat="1" ht="14.25" customHeight="1" x14ac:dyDescent="0.3">
      <c r="A20" s="120" t="s">
        <v>282</v>
      </c>
    </row>
    <row r="21" spans="1:7" s="123" customFormat="1" ht="14.25" customHeight="1" x14ac:dyDescent="0.3">
      <c r="C21" s="124" t="s">
        <v>87</v>
      </c>
      <c r="D21" s="124" t="s">
        <v>88</v>
      </c>
      <c r="E21" s="124" t="s">
        <v>89</v>
      </c>
      <c r="F21" s="124" t="s">
        <v>90</v>
      </c>
    </row>
    <row r="22" spans="1:7" x14ac:dyDescent="0.25">
      <c r="B22" s="117" t="s">
        <v>201</v>
      </c>
      <c r="C22" s="118">
        <v>1.52</v>
      </c>
      <c r="D22" s="118">
        <v>1</v>
      </c>
      <c r="E22" s="118">
        <v>1</v>
      </c>
      <c r="F22" s="118">
        <v>1</v>
      </c>
    </row>
    <row r="24" spans="1:7" s="119" customFormat="1" ht="13" x14ac:dyDescent="0.3">
      <c r="A24" s="119" t="s">
        <v>266</v>
      </c>
    </row>
    <row r="25" spans="1:7" ht="13" x14ac:dyDescent="0.3">
      <c r="A25" s="120" t="s">
        <v>264</v>
      </c>
      <c r="B25" s="121"/>
      <c r="C25" s="121"/>
      <c r="D25" s="121"/>
      <c r="E25" s="121"/>
      <c r="F25" s="121"/>
      <c r="G25" s="121"/>
    </row>
    <row r="26" spans="1:7" ht="13" x14ac:dyDescent="0.3">
      <c r="A26" s="122" t="s">
        <v>6</v>
      </c>
      <c r="B26" s="107"/>
      <c r="C26" s="105" t="s">
        <v>127</v>
      </c>
      <c r="D26" s="105" t="s">
        <v>114</v>
      </c>
      <c r="E26" s="105" t="s">
        <v>115</v>
      </c>
      <c r="F26" s="105" t="s">
        <v>116</v>
      </c>
      <c r="G26" s="105" t="s">
        <v>117</v>
      </c>
    </row>
    <row r="27" spans="1:7" x14ac:dyDescent="0.25">
      <c r="B27" s="117" t="s">
        <v>284</v>
      </c>
      <c r="C27" s="118" t="s">
        <v>10</v>
      </c>
      <c r="D27" s="118">
        <f t="shared" ref="D27:G27" si="0">D3*0.9</f>
        <v>40.5</v>
      </c>
      <c r="E27" s="118">
        <f t="shared" si="0"/>
        <v>325.44000000000005</v>
      </c>
      <c r="F27" s="118">
        <f t="shared" si="0"/>
        <v>157.22999999999999</v>
      </c>
      <c r="G27" s="118">
        <f t="shared" si="0"/>
        <v>157.22999999999999</v>
      </c>
    </row>
    <row r="28" spans="1:7" ht="13" x14ac:dyDescent="0.3">
      <c r="A28" s="105"/>
      <c r="B28" s="117" t="s">
        <v>285</v>
      </c>
      <c r="C28" s="118">
        <v>1.014</v>
      </c>
      <c r="D28" s="118">
        <v>1.014</v>
      </c>
      <c r="E28" s="118">
        <v>1.014</v>
      </c>
      <c r="F28" s="118">
        <v>1.014</v>
      </c>
      <c r="G28" s="118">
        <v>1.014</v>
      </c>
    </row>
    <row r="29" spans="1:7" ht="13" x14ac:dyDescent="0.3">
      <c r="A29" s="123" t="s">
        <v>286</v>
      </c>
    </row>
    <row r="30" spans="1:7" x14ac:dyDescent="0.25">
      <c r="B30" s="117" t="s">
        <v>287</v>
      </c>
      <c r="C30" s="118">
        <f>IF(C6=1,1,C6*0.9)</f>
        <v>1</v>
      </c>
      <c r="D30" s="118">
        <f t="shared" ref="D30:G30" si="1">IF(D6=1,1,D6*0.9)</f>
        <v>1</v>
      </c>
      <c r="E30" s="118">
        <f>E6*0.9</f>
        <v>0.80100000000000005</v>
      </c>
      <c r="F30" s="118">
        <f>F6*0.9</f>
        <v>0.80100000000000005</v>
      </c>
      <c r="G30" s="118">
        <f t="shared" si="1"/>
        <v>1</v>
      </c>
    </row>
    <row r="31" spans="1:7" x14ac:dyDescent="0.25">
      <c r="B31" s="117" t="s">
        <v>288</v>
      </c>
      <c r="C31" s="118">
        <f>IF(C7=1,1,C7*0.9)</f>
        <v>1</v>
      </c>
      <c r="D31" s="118">
        <f>IF(D7=1,1,D7*0.9)</f>
        <v>1</v>
      </c>
      <c r="E31" s="118">
        <v>0.85</v>
      </c>
      <c r="F31" s="118">
        <v>0.85</v>
      </c>
      <c r="G31" s="118">
        <f>IF(G7=1,1,G7*0.9)</f>
        <v>1</v>
      </c>
    </row>
    <row r="32" spans="1:7" x14ac:dyDescent="0.25">
      <c r="B32" s="117" t="s">
        <v>29</v>
      </c>
      <c r="C32" s="118">
        <f>IF(C8=1,1,C8*0.9)</f>
        <v>1</v>
      </c>
      <c r="D32" s="118">
        <f>IF(D8=1,1,D8*0.9)</f>
        <v>1</v>
      </c>
      <c r="E32" s="118">
        <v>1</v>
      </c>
      <c r="F32" s="90">
        <v>0.39500000000000002</v>
      </c>
      <c r="G32" s="90">
        <v>0.39500000000000002</v>
      </c>
    </row>
    <row r="33" spans="1:7" x14ac:dyDescent="0.25">
      <c r="B33" s="117" t="s">
        <v>310</v>
      </c>
      <c r="C33" s="118">
        <f t="shared" ref="C33:G33" si="2">IF(C9=1,1,C9*0.9)</f>
        <v>1</v>
      </c>
      <c r="D33" s="118">
        <f t="shared" si="2"/>
        <v>1</v>
      </c>
      <c r="E33" s="118">
        <v>0.85</v>
      </c>
      <c r="F33" s="118">
        <v>0.85</v>
      </c>
      <c r="G33" s="118">
        <f t="shared" si="2"/>
        <v>1</v>
      </c>
    </row>
    <row r="34" spans="1:7" x14ac:dyDescent="0.25">
      <c r="B34" s="117" t="s">
        <v>289</v>
      </c>
      <c r="C34" s="118">
        <f>IF(C10=1,1,C10*0.9)</f>
        <v>1</v>
      </c>
      <c r="D34" s="118">
        <f>IF(D10=1,1,D10*0.9)</f>
        <v>1</v>
      </c>
      <c r="E34" s="118">
        <f>IF(E10=1,1,E10*0.9)</f>
        <v>1</v>
      </c>
      <c r="F34" s="118">
        <f>IF(F10=1,1,F10*0.9)</f>
        <v>1</v>
      </c>
      <c r="G34" s="118">
        <f>IF(G10=1,1,G10*0.9)</f>
        <v>1</v>
      </c>
    </row>
    <row r="35" spans="1:7" x14ac:dyDescent="0.25">
      <c r="B35" s="117"/>
      <c r="C35" s="117"/>
      <c r="D35" s="117"/>
      <c r="E35" s="117"/>
      <c r="F35" s="117"/>
      <c r="G35" s="117"/>
    </row>
    <row r="36" spans="1:7" ht="13" x14ac:dyDescent="0.3">
      <c r="A36" s="120" t="s">
        <v>290</v>
      </c>
      <c r="B36" s="121"/>
      <c r="C36" s="121"/>
      <c r="D36" s="121"/>
      <c r="E36" s="121"/>
      <c r="F36" s="121"/>
      <c r="G36" s="121"/>
    </row>
    <row r="37" spans="1:7" ht="13" x14ac:dyDescent="0.3">
      <c r="A37" s="123"/>
      <c r="B37" s="117" t="s">
        <v>291</v>
      </c>
      <c r="C37" s="118">
        <v>1</v>
      </c>
      <c r="D37" s="118">
        <v>1.1100000000000001</v>
      </c>
      <c r="E37" s="118">
        <v>1</v>
      </c>
      <c r="F37" s="118">
        <v>1</v>
      </c>
      <c r="G37" s="118">
        <v>1</v>
      </c>
    </row>
    <row r="38" spans="1:7" ht="13" x14ac:dyDescent="0.3">
      <c r="A38" s="123"/>
      <c r="B38" s="114"/>
    </row>
    <row r="39" spans="1:7" ht="13" x14ac:dyDescent="0.3">
      <c r="A39" s="120" t="s">
        <v>277</v>
      </c>
      <c r="B39" s="121"/>
      <c r="C39" s="121"/>
      <c r="D39" s="121"/>
      <c r="E39" s="121"/>
      <c r="F39" s="121"/>
      <c r="G39" s="121"/>
    </row>
    <row r="40" spans="1:7" ht="13" x14ac:dyDescent="0.3">
      <c r="A40" s="122" t="s">
        <v>283</v>
      </c>
      <c r="B40" s="117" t="s">
        <v>292</v>
      </c>
      <c r="C40" s="118">
        <v>1.016</v>
      </c>
      <c r="D40" s="118">
        <v>1.016</v>
      </c>
      <c r="E40" s="118">
        <v>1.016</v>
      </c>
      <c r="F40" s="118">
        <v>1.016</v>
      </c>
      <c r="G40" s="118">
        <v>1.016</v>
      </c>
    </row>
    <row r="41" spans="1:7" ht="13" x14ac:dyDescent="0.3">
      <c r="A41" s="105"/>
      <c r="B41" s="117" t="s">
        <v>293</v>
      </c>
      <c r="C41" s="118">
        <v>1.016</v>
      </c>
      <c r="D41" s="118">
        <v>1.016</v>
      </c>
      <c r="E41" s="118">
        <v>1.016</v>
      </c>
      <c r="F41" s="118">
        <v>1.016</v>
      </c>
      <c r="G41" s="118">
        <v>1.016</v>
      </c>
    </row>
    <row r="42" spans="1:7" ht="13" x14ac:dyDescent="0.3">
      <c r="A42" s="122" t="s">
        <v>139</v>
      </c>
      <c r="B42" s="117" t="s">
        <v>294</v>
      </c>
      <c r="C42" s="118">
        <f t="shared" ref="C42:G42" si="3">IF(C18=1,1,C18*0.9)</f>
        <v>1</v>
      </c>
      <c r="D42" s="118">
        <f t="shared" si="3"/>
        <v>1</v>
      </c>
      <c r="E42" s="118">
        <f t="shared" si="3"/>
        <v>1</v>
      </c>
      <c r="F42" s="118">
        <f t="shared" si="3"/>
        <v>1</v>
      </c>
      <c r="G42" s="118">
        <f t="shared" si="3"/>
        <v>1</v>
      </c>
    </row>
    <row r="44" spans="1:7" ht="13" x14ac:dyDescent="0.3">
      <c r="A44" s="120" t="s">
        <v>295</v>
      </c>
      <c r="B44" s="121"/>
      <c r="C44" s="121"/>
      <c r="D44" s="121"/>
      <c r="E44" s="121"/>
      <c r="F44" s="121"/>
      <c r="G44" s="121"/>
    </row>
    <row r="45" spans="1:7" ht="13" x14ac:dyDescent="0.3">
      <c r="A45" s="123"/>
      <c r="B45" s="123"/>
      <c r="C45" s="124" t="s">
        <v>87</v>
      </c>
      <c r="D45" s="124" t="s">
        <v>88</v>
      </c>
      <c r="E45" s="124" t="s">
        <v>89</v>
      </c>
      <c r="F45" s="124" t="s">
        <v>90</v>
      </c>
      <c r="G45" s="123"/>
    </row>
    <row r="46" spans="1:7" x14ac:dyDescent="0.25">
      <c r="B46" s="117" t="s">
        <v>296</v>
      </c>
      <c r="C46" s="118">
        <f>C22*0.9</f>
        <v>1.3680000000000001</v>
      </c>
      <c r="D46" s="118">
        <v>1</v>
      </c>
      <c r="E46" s="118">
        <v>1</v>
      </c>
      <c r="F46" s="118">
        <v>1</v>
      </c>
    </row>
    <row r="48" spans="1:7" s="119" customFormat="1" ht="13" x14ac:dyDescent="0.3">
      <c r="A48" s="119" t="s">
        <v>270</v>
      </c>
    </row>
    <row r="49" spans="1:7" ht="13" x14ac:dyDescent="0.3">
      <c r="A49" s="120" t="s">
        <v>264</v>
      </c>
      <c r="B49" s="121"/>
      <c r="C49" s="121"/>
      <c r="D49" s="121"/>
      <c r="E49" s="121"/>
      <c r="F49" s="121"/>
      <c r="G49" s="121"/>
    </row>
    <row r="50" spans="1:7" ht="13" x14ac:dyDescent="0.3">
      <c r="A50" s="122" t="s">
        <v>6</v>
      </c>
      <c r="B50" s="107"/>
      <c r="C50" s="105" t="s">
        <v>127</v>
      </c>
      <c r="D50" s="105" t="s">
        <v>114</v>
      </c>
      <c r="E50" s="105" t="s">
        <v>115</v>
      </c>
      <c r="F50" s="105" t="s">
        <v>116</v>
      </c>
      <c r="G50" s="105" t="s">
        <v>117</v>
      </c>
    </row>
    <row r="51" spans="1:7" x14ac:dyDescent="0.25">
      <c r="B51" s="117" t="s">
        <v>297</v>
      </c>
      <c r="C51" s="118" t="s">
        <v>10</v>
      </c>
      <c r="D51" s="118">
        <f t="shared" ref="D51:G51" si="4">D3*1.05</f>
        <v>47.25</v>
      </c>
      <c r="E51" s="118">
        <f t="shared" si="4"/>
        <v>379.68000000000006</v>
      </c>
      <c r="F51" s="118">
        <f t="shared" si="4"/>
        <v>183.435</v>
      </c>
      <c r="G51" s="118">
        <f t="shared" si="4"/>
        <v>183.435</v>
      </c>
    </row>
    <row r="52" spans="1:7" ht="13" x14ac:dyDescent="0.3">
      <c r="A52" s="105"/>
      <c r="B52" s="117" t="s">
        <v>298</v>
      </c>
      <c r="C52" s="118">
        <v>1.0349999999999999</v>
      </c>
      <c r="D52" s="118">
        <v>1.0349999999999999</v>
      </c>
      <c r="E52" s="118">
        <v>1.0349999999999999</v>
      </c>
      <c r="F52" s="118">
        <v>1.0349999999999999</v>
      </c>
      <c r="G52" s="118">
        <v>1.0349999999999999</v>
      </c>
    </row>
    <row r="53" spans="1:7" ht="13" x14ac:dyDescent="0.3">
      <c r="A53" s="123" t="s">
        <v>299</v>
      </c>
    </row>
    <row r="54" spans="1:7" x14ac:dyDescent="0.25">
      <c r="B54" s="117" t="s">
        <v>300</v>
      </c>
      <c r="C54" s="118">
        <f>IF(C6=1,1,C6*1.1)</f>
        <v>1</v>
      </c>
      <c r="D54" s="118">
        <f t="shared" ref="D54:G54" si="5">IF(D6=1,1,D6*1.1)</f>
        <v>1</v>
      </c>
      <c r="E54" s="118">
        <f>E6*1.05</f>
        <v>0.93450000000000011</v>
      </c>
      <c r="F54" s="118">
        <f>F6*1.05</f>
        <v>0.93450000000000011</v>
      </c>
      <c r="G54" s="118">
        <f t="shared" si="5"/>
        <v>1</v>
      </c>
    </row>
    <row r="55" spans="1:7" x14ac:dyDescent="0.25">
      <c r="B55" s="117" t="s">
        <v>301</v>
      </c>
      <c r="C55" s="118">
        <f>IF(C7=1,1,C7*1.1)</f>
        <v>1</v>
      </c>
      <c r="D55" s="118">
        <f>IF(D7=1,1,D7*1.1)</f>
        <v>1</v>
      </c>
      <c r="E55" s="118">
        <v>0.91</v>
      </c>
      <c r="F55" s="118">
        <v>0.91</v>
      </c>
      <c r="G55" s="118">
        <f>IF(G7=1,1,G7*1.1)</f>
        <v>1</v>
      </c>
    </row>
    <row r="56" spans="1:7" x14ac:dyDescent="0.25">
      <c r="B56" s="117" t="s">
        <v>30</v>
      </c>
      <c r="C56" s="118">
        <f>IF(C8=1,1,C8*1.1)</f>
        <v>1</v>
      </c>
      <c r="D56" s="118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7" t="s">
        <v>311</v>
      </c>
      <c r="C57" s="118">
        <f t="shared" ref="C57:G58" si="6">IF(C9=1,1,C9*1.1)</f>
        <v>1</v>
      </c>
      <c r="D57" s="118">
        <f t="shared" si="6"/>
        <v>1</v>
      </c>
      <c r="E57" s="118">
        <v>0.91</v>
      </c>
      <c r="F57" s="118">
        <v>0.91</v>
      </c>
      <c r="G57" s="118">
        <f t="shared" si="6"/>
        <v>1</v>
      </c>
    </row>
    <row r="58" spans="1:7" x14ac:dyDescent="0.25">
      <c r="B58" s="117" t="s">
        <v>302</v>
      </c>
      <c r="C58" s="118">
        <f t="shared" si="6"/>
        <v>1</v>
      </c>
      <c r="D58" s="118">
        <f t="shared" si="6"/>
        <v>1</v>
      </c>
      <c r="E58" s="118">
        <f t="shared" si="6"/>
        <v>1</v>
      </c>
      <c r="F58" s="118">
        <f t="shared" si="6"/>
        <v>1</v>
      </c>
      <c r="G58" s="118">
        <f t="shared" si="6"/>
        <v>1</v>
      </c>
    </row>
    <row r="59" spans="1:7" x14ac:dyDescent="0.25">
      <c r="B59" s="117"/>
      <c r="C59" s="117"/>
      <c r="D59" s="117"/>
      <c r="E59" s="117"/>
      <c r="F59" s="117"/>
      <c r="G59" s="117"/>
    </row>
    <row r="60" spans="1:7" ht="13" x14ac:dyDescent="0.3">
      <c r="A60" s="120" t="s">
        <v>303</v>
      </c>
      <c r="B60" s="121"/>
      <c r="C60" s="121"/>
      <c r="D60" s="121"/>
      <c r="E60" s="121"/>
      <c r="F60" s="121"/>
      <c r="G60" s="121"/>
    </row>
    <row r="61" spans="1:7" ht="13" x14ac:dyDescent="0.3">
      <c r="A61" s="123"/>
      <c r="B61" s="117" t="s">
        <v>304</v>
      </c>
      <c r="C61" s="118">
        <v>1</v>
      </c>
      <c r="D61" s="118">
        <v>1.74</v>
      </c>
      <c r="E61" s="118">
        <v>1</v>
      </c>
      <c r="F61" s="118">
        <v>1</v>
      </c>
      <c r="G61" s="118">
        <v>1</v>
      </c>
    </row>
    <row r="62" spans="1:7" ht="13" x14ac:dyDescent="0.3">
      <c r="A62" s="123"/>
      <c r="B62" s="114"/>
    </row>
    <row r="63" spans="1:7" ht="13" x14ac:dyDescent="0.3">
      <c r="A63" s="120" t="s">
        <v>277</v>
      </c>
      <c r="B63" s="121"/>
      <c r="C63" s="121"/>
      <c r="D63" s="121"/>
      <c r="E63" s="121"/>
      <c r="F63" s="121"/>
      <c r="G63" s="121"/>
    </row>
    <row r="64" spans="1:7" ht="13" x14ac:dyDescent="0.3">
      <c r="A64" s="122" t="s">
        <v>283</v>
      </c>
      <c r="B64" s="117" t="s">
        <v>305</v>
      </c>
      <c r="C64" s="118">
        <v>1.0309999999999999</v>
      </c>
      <c r="D64" s="118">
        <v>1.0309999999999999</v>
      </c>
      <c r="E64" s="118">
        <v>1.0309999999999999</v>
      </c>
      <c r="F64" s="118">
        <v>1.0309999999999999</v>
      </c>
      <c r="G64" s="118">
        <v>1.0309999999999999</v>
      </c>
    </row>
    <row r="65" spans="1:7" ht="13" x14ac:dyDescent="0.3">
      <c r="A65" s="105"/>
      <c r="B65" s="117" t="s">
        <v>306</v>
      </c>
      <c r="C65" s="118">
        <v>1.0309999999999999</v>
      </c>
      <c r="D65" s="118">
        <v>1.0309999999999999</v>
      </c>
      <c r="E65" s="118">
        <v>1.0309999999999999</v>
      </c>
      <c r="F65" s="118">
        <v>1.0309999999999999</v>
      </c>
      <c r="G65" s="118">
        <v>1.0309999999999999</v>
      </c>
    </row>
    <row r="66" spans="1:7" ht="13" x14ac:dyDescent="0.3">
      <c r="A66" s="122" t="s">
        <v>139</v>
      </c>
      <c r="B66" s="117" t="s">
        <v>307</v>
      </c>
      <c r="C66" s="118">
        <f t="shared" ref="C66:G66" si="7">IF(C18=1,1,C18*1.1)</f>
        <v>1</v>
      </c>
      <c r="D66" s="118">
        <f t="shared" si="7"/>
        <v>1</v>
      </c>
      <c r="E66" s="118">
        <f t="shared" si="7"/>
        <v>1</v>
      </c>
      <c r="F66" s="118">
        <f t="shared" si="7"/>
        <v>1</v>
      </c>
      <c r="G66" s="118">
        <f t="shared" si="7"/>
        <v>1</v>
      </c>
    </row>
    <row r="68" spans="1:7" ht="13" x14ac:dyDescent="0.3">
      <c r="A68" s="120" t="s">
        <v>308</v>
      </c>
      <c r="B68" s="121"/>
      <c r="C68" s="121"/>
      <c r="D68" s="121"/>
      <c r="E68" s="121"/>
      <c r="F68" s="121"/>
      <c r="G68" s="121"/>
    </row>
    <row r="69" spans="1:7" ht="13" x14ac:dyDescent="0.3">
      <c r="A69" s="123"/>
      <c r="B69" s="123"/>
      <c r="C69" s="124" t="s">
        <v>87</v>
      </c>
      <c r="D69" s="124" t="s">
        <v>88</v>
      </c>
      <c r="E69" s="124" t="s">
        <v>89</v>
      </c>
      <c r="F69" s="124" t="s">
        <v>90</v>
      </c>
      <c r="G69" s="123"/>
    </row>
    <row r="70" spans="1:7" x14ac:dyDescent="0.25">
      <c r="B70" s="117" t="s">
        <v>309</v>
      </c>
      <c r="C70" s="118">
        <f>C22*1.1</f>
        <v>1.6720000000000002</v>
      </c>
      <c r="D70" s="118">
        <v>1</v>
      </c>
      <c r="E70" s="118">
        <v>1</v>
      </c>
      <c r="F70" s="118">
        <v>1</v>
      </c>
    </row>
  </sheetData>
  <sheetProtection algorithmName="SHA-512" hashValue="G3w+4XWfSRp08PDXBhpGK1p+3uYyvJG/14yDBO/vrpraU32+YJvNiAb5KwpFhDAf29GH6z75cfAViLeaPPsjrw==" saltValue="kUty85utE196zSzzApvjo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6" customWidth="1"/>
    <col min="2" max="6" width="16.1796875" style="106"/>
    <col min="7" max="7" width="17.26953125" style="106" customWidth="1"/>
    <col min="8" max="8" width="16.1796875" style="106" customWidth="1"/>
    <col min="9" max="16384" width="16.1796875" style="106"/>
  </cols>
  <sheetData>
    <row r="1" spans="1:6" ht="15.75" customHeight="1" x14ac:dyDescent="0.3">
      <c r="A1" s="107" t="s">
        <v>189</v>
      </c>
      <c r="B1" s="105"/>
      <c r="C1" s="105" t="s">
        <v>69</v>
      </c>
      <c r="D1" s="105" t="s">
        <v>71</v>
      </c>
      <c r="E1" s="105" t="s">
        <v>70</v>
      </c>
      <c r="F1" s="107" t="s">
        <v>72</v>
      </c>
    </row>
    <row r="2" spans="1:6" ht="15.75" customHeight="1" x14ac:dyDescent="0.25">
      <c r="A2" s="117" t="s">
        <v>197</v>
      </c>
      <c r="B2" s="117" t="s">
        <v>312</v>
      </c>
      <c r="C2" s="118">
        <v>0.28999999999999998</v>
      </c>
      <c r="D2" s="118">
        <v>0.28999999999999998</v>
      </c>
      <c r="E2" s="118">
        <v>0</v>
      </c>
      <c r="F2" s="118">
        <v>0</v>
      </c>
    </row>
    <row r="3" spans="1:6" ht="15.75" customHeight="1" x14ac:dyDescent="0.25">
      <c r="A3" s="117"/>
      <c r="B3" s="117" t="s">
        <v>313</v>
      </c>
      <c r="C3" s="118">
        <v>1</v>
      </c>
      <c r="D3" s="118">
        <v>1</v>
      </c>
      <c r="E3" s="118">
        <v>1</v>
      </c>
      <c r="F3" s="118">
        <v>1</v>
      </c>
    </row>
    <row r="4" spans="1:6" ht="15.75" customHeight="1" x14ac:dyDescent="0.25">
      <c r="A4" s="117" t="s">
        <v>198</v>
      </c>
      <c r="B4" s="117" t="s">
        <v>312</v>
      </c>
      <c r="C4" s="118">
        <f>1-0.76</f>
        <v>0.24</v>
      </c>
      <c r="D4" s="118">
        <v>0</v>
      </c>
      <c r="E4" s="118">
        <f>1-0.76</f>
        <v>0.24</v>
      </c>
      <c r="F4" s="118">
        <v>0</v>
      </c>
    </row>
    <row r="5" spans="1:6" ht="15.75" customHeight="1" x14ac:dyDescent="0.25">
      <c r="A5" s="117"/>
      <c r="B5" s="117" t="s">
        <v>313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7" t="s">
        <v>209</v>
      </c>
      <c r="B6" s="117" t="s">
        <v>312</v>
      </c>
      <c r="C6" s="118">
        <v>0.61</v>
      </c>
      <c r="D6" s="118">
        <v>0.61</v>
      </c>
      <c r="E6" s="118">
        <v>0</v>
      </c>
      <c r="F6" s="118">
        <v>0</v>
      </c>
    </row>
    <row r="7" spans="1:6" ht="15.75" customHeight="1" x14ac:dyDescent="0.25">
      <c r="A7" s="117"/>
      <c r="B7" s="117" t="s">
        <v>313</v>
      </c>
      <c r="C7" s="118">
        <v>1</v>
      </c>
      <c r="D7" s="118">
        <v>1</v>
      </c>
      <c r="E7" s="118">
        <v>1</v>
      </c>
      <c r="F7" s="118">
        <v>1</v>
      </c>
    </row>
    <row r="8" spans="1:6" ht="15.75" customHeight="1" x14ac:dyDescent="0.25">
      <c r="A8" s="117" t="s">
        <v>210</v>
      </c>
      <c r="B8" s="117" t="s">
        <v>312</v>
      </c>
      <c r="C8" s="118">
        <v>0.61</v>
      </c>
      <c r="D8" s="118">
        <v>0.61</v>
      </c>
      <c r="E8" s="118">
        <v>0</v>
      </c>
      <c r="F8" s="118">
        <v>0</v>
      </c>
    </row>
    <row r="9" spans="1:6" ht="15.75" customHeight="1" x14ac:dyDescent="0.25">
      <c r="A9" s="117"/>
      <c r="B9" s="117" t="s">
        <v>313</v>
      </c>
      <c r="C9" s="118">
        <v>1</v>
      </c>
      <c r="D9" s="118">
        <v>1</v>
      </c>
      <c r="E9" s="118">
        <v>1</v>
      </c>
      <c r="F9" s="118">
        <v>1</v>
      </c>
    </row>
    <row r="10" spans="1:6" ht="15.75" customHeight="1" x14ac:dyDescent="0.25">
      <c r="A10" s="117" t="s">
        <v>211</v>
      </c>
      <c r="B10" s="117" t="s">
        <v>312</v>
      </c>
      <c r="C10" s="118">
        <v>0.35</v>
      </c>
      <c r="D10" s="118">
        <v>0.35</v>
      </c>
      <c r="E10" s="118">
        <v>0</v>
      </c>
      <c r="F10" s="118">
        <v>0</v>
      </c>
    </row>
    <row r="11" spans="1:6" ht="15.75" customHeight="1" x14ac:dyDescent="0.25">
      <c r="A11" s="117"/>
      <c r="B11" s="117" t="s">
        <v>313</v>
      </c>
      <c r="C11" s="118">
        <v>1</v>
      </c>
      <c r="D11" s="118">
        <v>1</v>
      </c>
      <c r="E11" s="118">
        <v>0</v>
      </c>
      <c r="F11" s="118">
        <v>0</v>
      </c>
    </row>
    <row r="12" spans="1:6" ht="15.75" customHeight="1" x14ac:dyDescent="0.25">
      <c r="A12" s="117" t="s">
        <v>215</v>
      </c>
      <c r="B12" s="117" t="s">
        <v>312</v>
      </c>
      <c r="C12" s="118">
        <v>0.35</v>
      </c>
      <c r="D12" s="118">
        <v>0.35</v>
      </c>
      <c r="E12" s="118">
        <v>0</v>
      </c>
      <c r="F12" s="118">
        <v>0</v>
      </c>
    </row>
    <row r="13" spans="1:6" ht="15.75" customHeight="1" x14ac:dyDescent="0.25">
      <c r="A13" s="117"/>
      <c r="B13" s="117" t="s">
        <v>313</v>
      </c>
      <c r="C13" s="118">
        <v>1</v>
      </c>
      <c r="D13" s="118">
        <v>1</v>
      </c>
      <c r="E13" s="118">
        <v>0</v>
      </c>
      <c r="F13" s="118">
        <v>0</v>
      </c>
    </row>
    <row r="14" spans="1:6" ht="15.75" customHeight="1" x14ac:dyDescent="0.25">
      <c r="A14" s="117" t="s">
        <v>219</v>
      </c>
      <c r="B14" s="117" t="s">
        <v>312</v>
      </c>
      <c r="C14" s="118">
        <f>1-0.9*0.39</f>
        <v>0.64900000000000002</v>
      </c>
      <c r="D14" s="118">
        <f>1-0.9*0.39</f>
        <v>0.64900000000000002</v>
      </c>
      <c r="E14" s="118">
        <v>0</v>
      </c>
      <c r="F14" s="118">
        <v>0</v>
      </c>
    </row>
    <row r="15" spans="1:6" ht="15.75" customHeight="1" x14ac:dyDescent="0.25">
      <c r="A15" s="117"/>
      <c r="B15" s="117" t="s">
        <v>313</v>
      </c>
      <c r="C15" s="118">
        <v>1</v>
      </c>
      <c r="D15" s="118">
        <v>1</v>
      </c>
      <c r="E15" s="118">
        <v>1</v>
      </c>
      <c r="F15" s="118">
        <v>1</v>
      </c>
    </row>
    <row r="17" spans="1:6" s="119" customFormat="1" ht="15.75" customHeight="1" x14ac:dyDescent="0.3">
      <c r="A17" s="119" t="s">
        <v>266</v>
      </c>
    </row>
    <row r="18" spans="1:6" ht="15.75" customHeight="1" x14ac:dyDescent="0.3">
      <c r="A18" s="107" t="s">
        <v>189</v>
      </c>
      <c r="B18" s="105"/>
      <c r="C18" s="105" t="s">
        <v>69</v>
      </c>
      <c r="D18" s="105" t="s">
        <v>71</v>
      </c>
      <c r="E18" s="105" t="s">
        <v>70</v>
      </c>
      <c r="F18" s="107" t="s">
        <v>72</v>
      </c>
    </row>
    <row r="19" spans="1:6" ht="15.75" customHeight="1" x14ac:dyDescent="0.25">
      <c r="A19" s="117" t="s">
        <v>197</v>
      </c>
      <c r="B19" s="117" t="s">
        <v>312</v>
      </c>
      <c r="C19" s="118">
        <f>1-0.94</f>
        <v>6.0000000000000053E-2</v>
      </c>
      <c r="D19" s="118">
        <f>1-0.94</f>
        <v>6.0000000000000053E-2</v>
      </c>
      <c r="E19" s="118">
        <f t="shared" ref="E19:F19" si="0">E2*0.9</f>
        <v>0</v>
      </c>
      <c r="F19" s="118">
        <f t="shared" si="0"/>
        <v>0</v>
      </c>
    </row>
    <row r="20" spans="1:6" ht="15.75" customHeight="1" x14ac:dyDescent="0.25">
      <c r="A20" s="117"/>
      <c r="B20" s="117" t="s">
        <v>313</v>
      </c>
      <c r="C20" s="118">
        <v>1</v>
      </c>
      <c r="D20" s="118">
        <v>1</v>
      </c>
      <c r="E20" s="118">
        <v>1</v>
      </c>
      <c r="F20" s="118">
        <v>1</v>
      </c>
    </row>
    <row r="21" spans="1:6" ht="15.75" customHeight="1" x14ac:dyDescent="0.25">
      <c r="A21" s="117" t="s">
        <v>198</v>
      </c>
      <c r="B21" s="117" t="s">
        <v>312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7"/>
      <c r="B22" s="117" t="s">
        <v>313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7" t="s">
        <v>209</v>
      </c>
      <c r="B23" s="117" t="s">
        <v>312</v>
      </c>
      <c r="C23" s="118">
        <f>1-0.86</f>
        <v>0.14000000000000001</v>
      </c>
      <c r="D23" s="118">
        <f>1-0.86</f>
        <v>0.14000000000000001</v>
      </c>
      <c r="E23" s="118">
        <f t="shared" ref="E23:F23" si="1">E6*0.9</f>
        <v>0</v>
      </c>
      <c r="F23" s="118">
        <f t="shared" si="1"/>
        <v>0</v>
      </c>
    </row>
    <row r="24" spans="1:6" ht="15.75" customHeight="1" x14ac:dyDescent="0.25">
      <c r="A24" s="117"/>
      <c r="B24" s="117" t="s">
        <v>313</v>
      </c>
      <c r="C24" s="118">
        <v>1</v>
      </c>
      <c r="D24" s="118">
        <v>1</v>
      </c>
      <c r="E24" s="118">
        <v>1</v>
      </c>
      <c r="F24" s="118">
        <v>1</v>
      </c>
    </row>
    <row r="25" spans="1:6" ht="15.75" customHeight="1" x14ac:dyDescent="0.25">
      <c r="A25" s="117" t="s">
        <v>210</v>
      </c>
      <c r="B25" s="117" t="s">
        <v>312</v>
      </c>
      <c r="C25" s="118">
        <f>1-0.86</f>
        <v>0.14000000000000001</v>
      </c>
      <c r="D25" s="118">
        <f>1-0.86</f>
        <v>0.14000000000000001</v>
      </c>
      <c r="E25" s="118">
        <f t="shared" ref="E25:F25" si="2">E8*0.9</f>
        <v>0</v>
      </c>
      <c r="F25" s="118">
        <f t="shared" si="2"/>
        <v>0</v>
      </c>
    </row>
    <row r="26" spans="1:6" ht="15.75" customHeight="1" x14ac:dyDescent="0.25">
      <c r="A26" s="117"/>
      <c r="B26" s="117" t="s">
        <v>313</v>
      </c>
      <c r="C26" s="118">
        <v>1</v>
      </c>
      <c r="D26" s="118">
        <v>1</v>
      </c>
      <c r="E26" s="118">
        <v>1</v>
      </c>
      <c r="F26" s="118">
        <v>1</v>
      </c>
    </row>
    <row r="27" spans="1:6" ht="15.75" customHeight="1" x14ac:dyDescent="0.25">
      <c r="A27" s="117" t="s">
        <v>211</v>
      </c>
      <c r="B27" s="117" t="s">
        <v>312</v>
      </c>
      <c r="C27" s="118">
        <f>1-0.77</f>
        <v>0.22999999999999998</v>
      </c>
      <c r="D27" s="118">
        <f>1-0.77</f>
        <v>0.22999999999999998</v>
      </c>
      <c r="E27" s="118">
        <f t="shared" ref="E27:F27" si="3">E12*0.9</f>
        <v>0</v>
      </c>
      <c r="F27" s="118">
        <f t="shared" si="3"/>
        <v>0</v>
      </c>
    </row>
    <row r="28" spans="1:6" ht="15.75" customHeight="1" x14ac:dyDescent="0.25">
      <c r="A28" s="117"/>
      <c r="B28" s="117" t="s">
        <v>313</v>
      </c>
      <c r="C28" s="118">
        <v>1</v>
      </c>
      <c r="D28" s="118">
        <v>1</v>
      </c>
      <c r="E28" s="118">
        <v>1</v>
      </c>
      <c r="F28" s="118">
        <v>1</v>
      </c>
    </row>
    <row r="29" spans="1:6" ht="15.75" customHeight="1" x14ac:dyDescent="0.25">
      <c r="A29" s="117" t="s">
        <v>215</v>
      </c>
      <c r="B29" s="117" t="s">
        <v>312</v>
      </c>
      <c r="C29" s="118">
        <f>1-0.77</f>
        <v>0.22999999999999998</v>
      </c>
      <c r="D29" s="118">
        <f>1-0.77</f>
        <v>0.22999999999999998</v>
      </c>
      <c r="E29" s="118">
        <f t="shared" ref="E29:F29" si="4">E12*0.9</f>
        <v>0</v>
      </c>
      <c r="F29" s="118">
        <f t="shared" si="4"/>
        <v>0</v>
      </c>
    </row>
    <row r="30" spans="1:6" ht="15.75" customHeight="1" x14ac:dyDescent="0.25">
      <c r="A30" s="117"/>
      <c r="B30" s="117" t="s">
        <v>313</v>
      </c>
      <c r="C30" s="118">
        <v>1</v>
      </c>
      <c r="D30" s="118">
        <v>1</v>
      </c>
      <c r="E30" s="118">
        <v>1</v>
      </c>
      <c r="F30" s="118">
        <v>1</v>
      </c>
    </row>
    <row r="31" spans="1:6" ht="15.75" customHeight="1" x14ac:dyDescent="0.25">
      <c r="A31" s="117" t="s">
        <v>219</v>
      </c>
      <c r="B31" s="117" t="s">
        <v>312</v>
      </c>
      <c r="C31" s="118">
        <f>1-0.96*0.86</f>
        <v>0.1744</v>
      </c>
      <c r="D31" s="118">
        <f>1-0.96*0.86</f>
        <v>0.1744</v>
      </c>
      <c r="E31" s="118">
        <f t="shared" ref="E31:F31" si="5">E14*0.9</f>
        <v>0</v>
      </c>
      <c r="F31" s="118">
        <f t="shared" si="5"/>
        <v>0</v>
      </c>
    </row>
    <row r="32" spans="1:6" ht="15.75" customHeight="1" x14ac:dyDescent="0.25">
      <c r="A32" s="117"/>
      <c r="B32" s="117" t="s">
        <v>313</v>
      </c>
      <c r="C32" s="118">
        <v>1</v>
      </c>
      <c r="D32" s="118">
        <v>1</v>
      </c>
      <c r="E32" s="118">
        <v>1</v>
      </c>
      <c r="F32" s="118">
        <v>1</v>
      </c>
    </row>
    <row r="34" spans="1:6" s="119" customFormat="1" ht="15.75" customHeight="1" x14ac:dyDescent="0.3">
      <c r="A34" s="119" t="s">
        <v>270</v>
      </c>
    </row>
    <row r="35" spans="1:6" ht="15.75" customHeight="1" x14ac:dyDescent="0.3">
      <c r="A35" s="107" t="s">
        <v>189</v>
      </c>
      <c r="B35" s="105"/>
      <c r="C35" s="105" t="s">
        <v>69</v>
      </c>
      <c r="D35" s="105" t="s">
        <v>71</v>
      </c>
      <c r="E35" s="105" t="s">
        <v>70</v>
      </c>
      <c r="F35" s="107" t="s">
        <v>72</v>
      </c>
    </row>
    <row r="36" spans="1:6" ht="15.75" customHeight="1" x14ac:dyDescent="0.25">
      <c r="A36" s="117" t="s">
        <v>197</v>
      </c>
      <c r="B36" s="117" t="s">
        <v>312</v>
      </c>
      <c r="C36" s="118">
        <f>1-0.54</f>
        <v>0.45999999999999996</v>
      </c>
      <c r="D36" s="118">
        <f>1-0.54</f>
        <v>0.45999999999999996</v>
      </c>
      <c r="E36" s="118">
        <f t="shared" ref="E36:F36" si="6">E2*1.1</f>
        <v>0</v>
      </c>
      <c r="F36" s="118">
        <f t="shared" si="6"/>
        <v>0</v>
      </c>
    </row>
    <row r="37" spans="1:6" ht="15.75" customHeight="1" x14ac:dyDescent="0.25">
      <c r="A37" s="117"/>
      <c r="B37" s="117" t="s">
        <v>313</v>
      </c>
      <c r="C37" s="118">
        <v>1</v>
      </c>
      <c r="D37" s="118">
        <v>1</v>
      </c>
      <c r="E37" s="118">
        <v>1</v>
      </c>
      <c r="F37" s="118">
        <v>1</v>
      </c>
    </row>
    <row r="38" spans="1:6" ht="15.75" customHeight="1" x14ac:dyDescent="0.25">
      <c r="A38" s="117" t="s">
        <v>198</v>
      </c>
      <c r="B38" s="117" t="s">
        <v>312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7"/>
      <c r="B39" s="117" t="s">
        <v>313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7" t="s">
        <v>209</v>
      </c>
      <c r="B40" s="117" t="s">
        <v>312</v>
      </c>
      <c r="C40" s="118">
        <f>1-0.17</f>
        <v>0.83</v>
      </c>
      <c r="D40" s="118">
        <f>1-0.17</f>
        <v>0.83</v>
      </c>
      <c r="E40" s="118">
        <f t="shared" ref="E40:F40" si="7">E6*1.1</f>
        <v>0</v>
      </c>
      <c r="F40" s="118">
        <f t="shared" si="7"/>
        <v>0</v>
      </c>
    </row>
    <row r="41" spans="1:6" ht="15.75" customHeight="1" x14ac:dyDescent="0.25">
      <c r="A41" s="117"/>
      <c r="B41" s="117" t="s">
        <v>313</v>
      </c>
      <c r="C41" s="118">
        <v>1</v>
      </c>
      <c r="D41" s="118">
        <v>1</v>
      </c>
      <c r="E41" s="118">
        <v>1</v>
      </c>
      <c r="F41" s="118">
        <v>1</v>
      </c>
    </row>
    <row r="42" spans="1:6" ht="15.75" customHeight="1" x14ac:dyDescent="0.25">
      <c r="A42" s="117" t="s">
        <v>210</v>
      </c>
      <c r="B42" s="117" t="s">
        <v>312</v>
      </c>
      <c r="C42" s="118">
        <f>1-0.17</f>
        <v>0.83</v>
      </c>
      <c r="D42" s="118">
        <f>1-0.17</f>
        <v>0.83</v>
      </c>
      <c r="E42" s="118">
        <f t="shared" ref="E42:F42" si="8">E8*1.1</f>
        <v>0</v>
      </c>
      <c r="F42" s="118">
        <f t="shared" si="8"/>
        <v>0</v>
      </c>
    </row>
    <row r="43" spans="1:6" ht="15.75" customHeight="1" x14ac:dyDescent="0.25">
      <c r="A43" s="117"/>
      <c r="B43" s="117" t="s">
        <v>313</v>
      </c>
      <c r="C43" s="118">
        <v>1</v>
      </c>
      <c r="D43" s="118">
        <v>1</v>
      </c>
      <c r="E43" s="118">
        <v>1</v>
      </c>
      <c r="F43" s="118">
        <v>1</v>
      </c>
    </row>
    <row r="44" spans="1:6" ht="15.75" customHeight="1" x14ac:dyDescent="0.25">
      <c r="A44" s="117" t="s">
        <v>211</v>
      </c>
      <c r="B44" s="117" t="s">
        <v>312</v>
      </c>
      <c r="C44" s="118">
        <f>1-0.55</f>
        <v>0.44999999999999996</v>
      </c>
      <c r="D44" s="118">
        <f>1-0.55</f>
        <v>0.44999999999999996</v>
      </c>
      <c r="E44" s="118">
        <f t="shared" ref="E44:F44" si="9">E10*1.1</f>
        <v>0</v>
      </c>
      <c r="F44" s="118">
        <f t="shared" si="9"/>
        <v>0</v>
      </c>
    </row>
    <row r="45" spans="1:6" ht="15.75" customHeight="1" x14ac:dyDescent="0.25">
      <c r="A45" s="117"/>
      <c r="B45" s="117" t="s">
        <v>313</v>
      </c>
      <c r="C45" s="118">
        <v>1</v>
      </c>
      <c r="D45" s="118">
        <v>1</v>
      </c>
      <c r="E45" s="118">
        <v>1</v>
      </c>
      <c r="F45" s="118">
        <v>1</v>
      </c>
    </row>
    <row r="46" spans="1:6" ht="15.75" customHeight="1" x14ac:dyDescent="0.25">
      <c r="A46" s="117" t="s">
        <v>215</v>
      </c>
      <c r="B46" s="117" t="s">
        <v>312</v>
      </c>
      <c r="C46" s="118">
        <f>1-0.55</f>
        <v>0.44999999999999996</v>
      </c>
      <c r="D46" s="118">
        <f>1-0.55</f>
        <v>0.44999999999999996</v>
      </c>
      <c r="E46" s="118">
        <f t="shared" ref="E46:F46" si="10">E12*1.1</f>
        <v>0</v>
      </c>
      <c r="F46" s="118">
        <f t="shared" si="10"/>
        <v>0</v>
      </c>
    </row>
    <row r="47" spans="1:6" ht="15.75" customHeight="1" x14ac:dyDescent="0.25">
      <c r="A47" s="117"/>
      <c r="B47" s="117" t="s">
        <v>313</v>
      </c>
      <c r="C47" s="118">
        <v>1</v>
      </c>
      <c r="D47" s="118">
        <v>1</v>
      </c>
      <c r="E47" s="118">
        <v>1</v>
      </c>
      <c r="F47" s="118">
        <v>1</v>
      </c>
    </row>
    <row r="48" spans="1:6" ht="15.75" customHeight="1" x14ac:dyDescent="0.25">
      <c r="A48" s="117" t="s">
        <v>219</v>
      </c>
      <c r="B48" s="117" t="s">
        <v>312</v>
      </c>
      <c r="C48" s="118">
        <f>1-0.84*0.17</f>
        <v>0.85719999999999996</v>
      </c>
      <c r="D48" s="118">
        <f>1-0.84*0.17</f>
        <v>0.85719999999999996</v>
      </c>
      <c r="E48" s="118">
        <f t="shared" ref="E48:F48" si="11">E14*1.1</f>
        <v>0</v>
      </c>
      <c r="F48" s="118">
        <f t="shared" si="11"/>
        <v>0</v>
      </c>
    </row>
    <row r="49" spans="1:6" ht="15.75" customHeight="1" x14ac:dyDescent="0.25">
      <c r="A49" s="117"/>
      <c r="B49" s="117" t="s">
        <v>313</v>
      </c>
      <c r="C49" s="118">
        <v>1</v>
      </c>
      <c r="D49" s="118">
        <v>1</v>
      </c>
      <c r="E49" s="118">
        <v>1</v>
      </c>
      <c r="F49" s="118">
        <v>1</v>
      </c>
    </row>
  </sheetData>
  <sheetProtection algorithmName="SHA-512" hashValue="EPJcX4F7SxsMg7Auyc5gCB/fXEQQt6EsT8UJTC7XVNoNUer0aQoIWkzrpQcCpz2oSoec5FpIVViJB9TY3dO8kQ==" saltValue="2E6Kcv9hrrSfJzET78xmR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314</v>
      </c>
    </row>
    <row r="2" spans="1:6" ht="15.75" customHeight="1" x14ac:dyDescent="0.3">
      <c r="B2" s="69"/>
      <c r="C2" s="26" t="s">
        <v>72</v>
      </c>
      <c r="D2" s="70" t="s">
        <v>71</v>
      </c>
      <c r="E2" s="70" t="s">
        <v>70</v>
      </c>
      <c r="F2" s="70" t="s">
        <v>69</v>
      </c>
    </row>
    <row r="3" spans="1:6" ht="15.75" customHeight="1" x14ac:dyDescent="0.3">
      <c r="A3" s="4" t="s">
        <v>315</v>
      </c>
      <c r="B3" s="14"/>
      <c r="C3" s="71"/>
      <c r="D3" s="72"/>
      <c r="E3" s="72"/>
      <c r="F3" s="72"/>
    </row>
    <row r="4" spans="1:6" ht="15.75" customHeight="1" x14ac:dyDescent="0.25">
      <c r="B4" s="5" t="s">
        <v>55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56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57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58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320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316</v>
      </c>
      <c r="C11" s="74"/>
      <c r="D11" s="75"/>
      <c r="E11" s="75"/>
      <c r="F11" s="75"/>
    </row>
    <row r="12" spans="1:6" ht="15.75" customHeight="1" x14ac:dyDescent="0.3">
      <c r="A12" s="4" t="s">
        <v>317</v>
      </c>
      <c r="C12" s="73"/>
      <c r="D12" s="64"/>
      <c r="E12" s="64"/>
      <c r="F12" s="64"/>
    </row>
    <row r="13" spans="1:6" ht="15.75" customHeight="1" x14ac:dyDescent="0.25">
      <c r="B13" s="11" t="s">
        <v>318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137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319</v>
      </c>
      <c r="B17" s="14"/>
      <c r="C17" s="77"/>
      <c r="D17" s="78"/>
      <c r="E17" s="78"/>
      <c r="F17" s="78"/>
    </row>
    <row r="18" spans="1:6" ht="15.75" customHeight="1" x14ac:dyDescent="0.25">
      <c r="B18" s="5" t="s">
        <v>96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98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99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100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101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102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103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314</v>
      </c>
    </row>
    <row r="29" spans="1:6" ht="15.75" customHeight="1" x14ac:dyDescent="0.3">
      <c r="B29" s="69"/>
      <c r="C29" s="26" t="s">
        <v>72</v>
      </c>
      <c r="D29" s="70" t="s">
        <v>71</v>
      </c>
      <c r="E29" s="70" t="s">
        <v>70</v>
      </c>
      <c r="F29" s="70" t="s">
        <v>69</v>
      </c>
    </row>
    <row r="30" spans="1:6" ht="15.75" customHeight="1" x14ac:dyDescent="0.3">
      <c r="A30" s="4" t="s">
        <v>321</v>
      </c>
      <c r="B30" s="14"/>
      <c r="C30" s="71"/>
      <c r="D30" s="72"/>
      <c r="E30" s="72"/>
      <c r="F30" s="72"/>
    </row>
    <row r="31" spans="1:6" ht="15.75" customHeight="1" x14ac:dyDescent="0.25">
      <c r="B31" s="5" t="s">
        <v>55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56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57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58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333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316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327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328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329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323</v>
      </c>
      <c r="B44" s="14"/>
      <c r="C44" s="77"/>
      <c r="D44" s="78"/>
      <c r="E44" s="78"/>
      <c r="F44" s="78"/>
    </row>
    <row r="45" spans="1:6" ht="15.75" customHeight="1" x14ac:dyDescent="0.25">
      <c r="B45" s="5" t="s">
        <v>96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98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99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100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101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102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103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270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314</v>
      </c>
    </row>
    <row r="56" spans="1:6" ht="15.75" customHeight="1" x14ac:dyDescent="0.3">
      <c r="B56" s="69"/>
      <c r="C56" s="26" t="s">
        <v>72</v>
      </c>
      <c r="D56" s="70" t="s">
        <v>71</v>
      </c>
      <c r="E56" s="70" t="s">
        <v>70</v>
      </c>
      <c r="F56" s="70" t="s">
        <v>69</v>
      </c>
    </row>
    <row r="57" spans="1:6" ht="15.75" customHeight="1" x14ac:dyDescent="0.3">
      <c r="A57" s="4" t="s">
        <v>324</v>
      </c>
      <c r="B57" s="14"/>
      <c r="C57" s="71"/>
      <c r="D57" s="72"/>
      <c r="E57" s="72"/>
      <c r="F57" s="72"/>
    </row>
    <row r="58" spans="1:6" ht="15.75" customHeight="1" x14ac:dyDescent="0.25">
      <c r="B58" s="5" t="s">
        <v>55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56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57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58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334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316</v>
      </c>
      <c r="B65" s="68"/>
      <c r="C65" s="74"/>
      <c r="D65" s="75"/>
      <c r="E65" s="75"/>
      <c r="F65" s="75"/>
    </row>
    <row r="66" spans="1:6" ht="15.75" customHeight="1" x14ac:dyDescent="0.3">
      <c r="A66" s="4" t="s">
        <v>325</v>
      </c>
      <c r="C66" s="73"/>
      <c r="D66" s="64"/>
      <c r="E66" s="64"/>
      <c r="F66" s="64"/>
    </row>
    <row r="67" spans="1:6" ht="15.75" customHeight="1" x14ac:dyDescent="0.25">
      <c r="B67" s="11" t="s">
        <v>330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331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326</v>
      </c>
      <c r="B71" s="14"/>
      <c r="C71" s="77"/>
      <c r="D71" s="78"/>
      <c r="E71" s="78"/>
      <c r="F71" s="78"/>
    </row>
    <row r="72" spans="1:6" ht="15.75" customHeight="1" x14ac:dyDescent="0.25">
      <c r="B72" s="5" t="s">
        <v>96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98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99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100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101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102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103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ZWwjEMplVkuLz9bMb90vXDFZ1gxZVLH5j/73tHsla5BolW5MfIfkRyftl2rIoXUWDkOqDrmmaULXf7mNyGoLMg==" saltValue="J/vMaugtwHI4w7KK3zQb/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335</v>
      </c>
    </row>
    <row r="2" spans="1:16" ht="13" x14ac:dyDescent="0.3">
      <c r="A2" s="39" t="s">
        <v>256</v>
      </c>
      <c r="B2" s="1" t="s">
        <v>336</v>
      </c>
      <c r="C2" s="1" t="s">
        <v>337</v>
      </c>
      <c r="D2" s="70" t="s">
        <v>127</v>
      </c>
      <c r="E2" s="70" t="s">
        <v>114</v>
      </c>
      <c r="F2" s="70" t="s">
        <v>115</v>
      </c>
      <c r="G2" s="70" t="s">
        <v>116</v>
      </c>
      <c r="H2" s="70" t="s">
        <v>117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105</v>
      </c>
      <c r="C3" s="3" t="s">
        <v>9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338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339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106</v>
      </c>
      <c r="C7" s="3" t="s">
        <v>9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338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339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108</v>
      </c>
      <c r="C11" s="3" t="s">
        <v>9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338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339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109</v>
      </c>
      <c r="C15" s="3" t="s">
        <v>9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338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339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107</v>
      </c>
      <c r="C19" s="3" t="s">
        <v>9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338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339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113</v>
      </c>
      <c r="C23" s="3" t="s">
        <v>9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338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339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349</v>
      </c>
    </row>
    <row r="29" spans="1:16" ht="13" x14ac:dyDescent="0.3">
      <c r="A29" s="39" t="s">
        <v>283</v>
      </c>
      <c r="B29" s="4" t="s">
        <v>336</v>
      </c>
      <c r="C29" s="4" t="s">
        <v>341</v>
      </c>
      <c r="D29" s="70" t="s">
        <v>127</v>
      </c>
      <c r="E29" s="70" t="s">
        <v>114</v>
      </c>
      <c r="F29" s="70" t="s">
        <v>115</v>
      </c>
      <c r="G29" s="70" t="s">
        <v>116</v>
      </c>
      <c r="H29" s="70" t="s">
        <v>117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105</v>
      </c>
      <c r="C30" s="3" t="s">
        <v>9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338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238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106</v>
      </c>
      <c r="C34" s="3" t="s">
        <v>9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338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238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108</v>
      </c>
      <c r="C38" s="3" t="s">
        <v>9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238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109</v>
      </c>
      <c r="C42" s="3" t="s">
        <v>9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338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238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107</v>
      </c>
      <c r="C46" s="3" t="s">
        <v>9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338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238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113</v>
      </c>
      <c r="C50" s="3" t="s">
        <v>9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338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238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342</v>
      </c>
    </row>
    <row r="56" spans="1:16" ht="26.4" customHeight="1" x14ac:dyDescent="0.3">
      <c r="A56" s="39" t="s">
        <v>139</v>
      </c>
      <c r="B56" s="4" t="s">
        <v>336</v>
      </c>
      <c r="C56" s="69" t="s">
        <v>343</v>
      </c>
      <c r="D56" s="70" t="s">
        <v>140</v>
      </c>
      <c r="E56" s="70" t="s">
        <v>141</v>
      </c>
      <c r="F56" s="70" t="s">
        <v>142</v>
      </c>
      <c r="G56" s="70" t="s">
        <v>143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119</v>
      </c>
      <c r="C57" s="3" t="s">
        <v>344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345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120</v>
      </c>
      <c r="C59" s="3" t="s">
        <v>344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345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121</v>
      </c>
      <c r="C61" s="3" t="s">
        <v>344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345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346</v>
      </c>
    </row>
    <row r="65" spans="1:16" ht="26.4" customHeight="1" x14ac:dyDescent="0.3">
      <c r="A65" s="39" t="s">
        <v>146</v>
      </c>
      <c r="B65" s="4" t="s">
        <v>336</v>
      </c>
      <c r="C65" s="69" t="s">
        <v>347</v>
      </c>
      <c r="D65" s="70" t="s">
        <v>127</v>
      </c>
      <c r="E65" s="70" t="s">
        <v>114</v>
      </c>
      <c r="F65" s="70" t="s">
        <v>115</v>
      </c>
      <c r="G65" s="70" t="s">
        <v>116</v>
      </c>
      <c r="H65" s="81" t="s">
        <v>117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96</v>
      </c>
      <c r="C66" s="3" t="s">
        <v>147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148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149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150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147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148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149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150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98</v>
      </c>
      <c r="C74" s="3" t="s">
        <v>147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148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149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150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100</v>
      </c>
      <c r="C78" s="3" t="s">
        <v>147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148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149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150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105</v>
      </c>
      <c r="C82" s="3" t="s">
        <v>147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148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149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150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106</v>
      </c>
      <c r="C86" s="3" t="s">
        <v>147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148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149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150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108</v>
      </c>
      <c r="C90" s="3" t="s">
        <v>147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148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149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150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107</v>
      </c>
      <c r="C94" s="3" t="s">
        <v>147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148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149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150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110</v>
      </c>
      <c r="C98" s="3" t="s">
        <v>147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148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149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150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348</v>
      </c>
    </row>
    <row r="104" spans="1:16" ht="26.4" customHeight="1" x14ac:dyDescent="0.3">
      <c r="A104" s="39" t="s">
        <v>105</v>
      </c>
      <c r="B104" s="82" t="s">
        <v>150</v>
      </c>
      <c r="C104" s="69" t="s">
        <v>347</v>
      </c>
      <c r="D104" s="70" t="s">
        <v>127</v>
      </c>
      <c r="E104" s="70" t="s">
        <v>114</v>
      </c>
      <c r="F104" s="70" t="s">
        <v>115</v>
      </c>
      <c r="G104" s="70" t="s">
        <v>116</v>
      </c>
      <c r="H104" s="81" t="s">
        <v>117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147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148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149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150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335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256</v>
      </c>
      <c r="B112" s="1" t="s">
        <v>336</v>
      </c>
      <c r="C112" s="1" t="s">
        <v>337</v>
      </c>
      <c r="D112" s="70" t="s">
        <v>127</v>
      </c>
      <c r="E112" s="70" t="s">
        <v>114</v>
      </c>
      <c r="F112" s="70" t="s">
        <v>115</v>
      </c>
      <c r="G112" s="70" t="s">
        <v>116</v>
      </c>
      <c r="H112" s="70" t="s">
        <v>117</v>
      </c>
    </row>
    <row r="113" spans="1:8" ht="13" x14ac:dyDescent="0.3">
      <c r="A113" s="4"/>
      <c r="B113" s="8" t="s">
        <v>105</v>
      </c>
      <c r="C113" s="3" t="s">
        <v>9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338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339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106</v>
      </c>
      <c r="C117" s="3" t="s">
        <v>9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338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339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108</v>
      </c>
      <c r="C121" s="3" t="s">
        <v>9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338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339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109</v>
      </c>
      <c r="C125" s="3" t="s">
        <v>9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338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339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107</v>
      </c>
      <c r="C129" s="3" t="s">
        <v>9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338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339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113</v>
      </c>
      <c r="C133" s="3" t="s">
        <v>9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338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339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349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283</v>
      </c>
      <c r="B139" s="4" t="s">
        <v>336</v>
      </c>
      <c r="C139" s="4" t="s">
        <v>341</v>
      </c>
      <c r="D139" s="70" t="s">
        <v>127</v>
      </c>
      <c r="E139" s="70" t="s">
        <v>114</v>
      </c>
      <c r="F139" s="70" t="s">
        <v>115</v>
      </c>
      <c r="G139" s="70" t="s">
        <v>116</v>
      </c>
      <c r="H139" s="70" t="s">
        <v>117</v>
      </c>
    </row>
    <row r="140" spans="1:8" ht="13" x14ac:dyDescent="0.3">
      <c r="A140" s="4"/>
      <c r="B140" s="8" t="s">
        <v>105</v>
      </c>
      <c r="C140" s="3" t="s">
        <v>9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338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238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106</v>
      </c>
      <c r="C144" s="3" t="s">
        <v>9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338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238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108</v>
      </c>
      <c r="C148" s="3" t="s">
        <v>9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338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238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109</v>
      </c>
      <c r="C152" s="3" t="s">
        <v>9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338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238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107</v>
      </c>
      <c r="C156" s="3" t="s">
        <v>9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338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238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113</v>
      </c>
      <c r="C160" s="3" t="s">
        <v>9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338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238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342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139</v>
      </c>
      <c r="B166" s="4" t="s">
        <v>336</v>
      </c>
      <c r="C166" s="69" t="s">
        <v>343</v>
      </c>
      <c r="D166" s="70" t="s">
        <v>140</v>
      </c>
      <c r="E166" s="70" t="s">
        <v>141</v>
      </c>
      <c r="F166" s="70" t="s">
        <v>142</v>
      </c>
      <c r="G166" s="70" t="s">
        <v>143</v>
      </c>
      <c r="H166" s="79"/>
    </row>
    <row r="167" spans="1:8" ht="13" x14ac:dyDescent="0.3">
      <c r="A167" s="4"/>
      <c r="B167" s="8" t="s">
        <v>119</v>
      </c>
      <c r="C167" s="3" t="s">
        <v>344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345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120</v>
      </c>
      <c r="C169" s="3" t="s">
        <v>344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345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121</v>
      </c>
      <c r="C171" s="3" t="s">
        <v>344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345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346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146</v>
      </c>
      <c r="B175" s="4" t="s">
        <v>336</v>
      </c>
      <c r="C175" s="69" t="s">
        <v>347</v>
      </c>
      <c r="D175" s="70" t="s">
        <v>127</v>
      </c>
      <c r="E175" s="70" t="s">
        <v>114</v>
      </c>
      <c r="F175" s="70" t="s">
        <v>115</v>
      </c>
      <c r="G175" s="70" t="s">
        <v>116</v>
      </c>
      <c r="H175" s="81" t="s">
        <v>117</v>
      </c>
    </row>
    <row r="176" spans="1:8" ht="13" x14ac:dyDescent="0.3">
      <c r="A176" s="82"/>
      <c r="B176" s="8" t="s">
        <v>96</v>
      </c>
      <c r="C176" s="3" t="s">
        <v>147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148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149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150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147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148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149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150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98</v>
      </c>
      <c r="C184" s="3" t="s">
        <v>147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148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149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150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100</v>
      </c>
      <c r="C188" s="3" t="s">
        <v>147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148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149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150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105</v>
      </c>
      <c r="C192" s="3" t="s">
        <v>147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148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149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150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106</v>
      </c>
      <c r="C196" s="3" t="s">
        <v>147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148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149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150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108</v>
      </c>
      <c r="C200" s="3" t="s">
        <v>147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148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149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150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107</v>
      </c>
      <c r="C204" s="3" t="s">
        <v>147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148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149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150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110</v>
      </c>
      <c r="C208" s="3" t="s">
        <v>147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148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149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150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348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105</v>
      </c>
      <c r="B214" s="82" t="s">
        <v>150</v>
      </c>
      <c r="C214" s="69" t="s">
        <v>347</v>
      </c>
      <c r="D214" s="70" t="s">
        <v>127</v>
      </c>
      <c r="E214" s="70" t="s">
        <v>114</v>
      </c>
      <c r="F214" s="70" t="s">
        <v>115</v>
      </c>
      <c r="G214" s="70" t="s">
        <v>116</v>
      </c>
      <c r="H214" s="81" t="s">
        <v>117</v>
      </c>
    </row>
    <row r="215" spans="1:9" ht="13" x14ac:dyDescent="0.3">
      <c r="A215" s="4"/>
      <c r="C215" s="3" t="s">
        <v>147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148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149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150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270</v>
      </c>
      <c r="H220" s="92"/>
    </row>
    <row r="221" spans="1:9" ht="13" x14ac:dyDescent="0.3">
      <c r="A221" s="67" t="s">
        <v>335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256</v>
      </c>
      <c r="B222" s="1" t="s">
        <v>336</v>
      </c>
      <c r="C222" s="1" t="s">
        <v>337</v>
      </c>
      <c r="D222" s="70" t="s">
        <v>127</v>
      </c>
      <c r="E222" s="70" t="s">
        <v>114</v>
      </c>
      <c r="F222" s="70" t="s">
        <v>115</v>
      </c>
      <c r="G222" s="70" t="s">
        <v>116</v>
      </c>
      <c r="H222" s="70" t="s">
        <v>117</v>
      </c>
      <c r="I222" s="79"/>
    </row>
    <row r="223" spans="1:9" ht="13" x14ac:dyDescent="0.3">
      <c r="A223" s="4"/>
      <c r="B223" s="8" t="s">
        <v>105</v>
      </c>
      <c r="C223" s="3" t="s">
        <v>9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338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339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106</v>
      </c>
      <c r="C227" s="3" t="s">
        <v>9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338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339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108</v>
      </c>
      <c r="C231" s="3" t="s">
        <v>9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338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339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109</v>
      </c>
      <c r="C235" s="3" t="s">
        <v>9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338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339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107</v>
      </c>
      <c r="C239" s="3" t="s">
        <v>9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338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339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113</v>
      </c>
      <c r="C243" s="3" t="s">
        <v>9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338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339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349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283</v>
      </c>
      <c r="B249" s="4" t="s">
        <v>336</v>
      </c>
      <c r="C249" s="4" t="s">
        <v>341</v>
      </c>
      <c r="D249" s="70" t="s">
        <v>127</v>
      </c>
      <c r="E249" s="70" t="s">
        <v>114</v>
      </c>
      <c r="F249" s="70" t="s">
        <v>115</v>
      </c>
      <c r="G249" s="70" t="s">
        <v>116</v>
      </c>
      <c r="H249" s="70" t="s">
        <v>117</v>
      </c>
      <c r="I249" s="79"/>
    </row>
    <row r="250" spans="1:9" ht="13" x14ac:dyDescent="0.3">
      <c r="A250" s="4"/>
      <c r="B250" s="8" t="s">
        <v>105</v>
      </c>
      <c r="C250" s="3" t="s">
        <v>9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338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238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106</v>
      </c>
      <c r="C254" s="3" t="s">
        <v>9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338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238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108</v>
      </c>
      <c r="C258" s="3" t="s">
        <v>9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338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238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109</v>
      </c>
      <c r="C262" s="3" t="s">
        <v>9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338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238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107</v>
      </c>
      <c r="C266" s="3" t="s">
        <v>9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338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238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113</v>
      </c>
      <c r="C270" s="3" t="s">
        <v>9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338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238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342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139</v>
      </c>
      <c r="B276" s="4" t="s">
        <v>336</v>
      </c>
      <c r="C276" s="69" t="s">
        <v>343</v>
      </c>
      <c r="D276" s="70" t="s">
        <v>140</v>
      </c>
      <c r="E276" s="70" t="s">
        <v>141</v>
      </c>
      <c r="F276" s="70" t="s">
        <v>142</v>
      </c>
      <c r="G276" s="70" t="s">
        <v>143</v>
      </c>
      <c r="H276" s="79"/>
    </row>
    <row r="277" spans="1:9" ht="13" x14ac:dyDescent="0.3">
      <c r="A277" s="4"/>
      <c r="B277" s="8" t="s">
        <v>119</v>
      </c>
      <c r="C277" s="3" t="s">
        <v>344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345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120</v>
      </c>
      <c r="C279" s="3" t="s">
        <v>344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345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121</v>
      </c>
      <c r="C281" s="3" t="s">
        <v>344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345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346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146</v>
      </c>
      <c r="B285" s="4" t="s">
        <v>336</v>
      </c>
      <c r="C285" s="69" t="s">
        <v>347</v>
      </c>
      <c r="D285" s="70" t="s">
        <v>127</v>
      </c>
      <c r="E285" s="70" t="s">
        <v>114</v>
      </c>
      <c r="F285" s="70" t="s">
        <v>115</v>
      </c>
      <c r="G285" s="70" t="s">
        <v>116</v>
      </c>
      <c r="H285" s="81" t="s">
        <v>117</v>
      </c>
      <c r="I285" s="79"/>
    </row>
    <row r="286" spans="1:9" ht="13" x14ac:dyDescent="0.3">
      <c r="A286" s="82"/>
      <c r="B286" s="8" t="s">
        <v>96</v>
      </c>
      <c r="C286" s="3" t="s">
        <v>147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148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149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150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147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148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149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150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98</v>
      </c>
      <c r="C294" s="3" t="s">
        <v>147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148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149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150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100</v>
      </c>
      <c r="C298" s="3" t="s">
        <v>147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148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149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150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105</v>
      </c>
      <c r="C302" s="3" t="s">
        <v>147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148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149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150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106</v>
      </c>
      <c r="C306" s="3" t="s">
        <v>147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148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149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150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108</v>
      </c>
      <c r="C310" s="3" t="s">
        <v>147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148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149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150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107</v>
      </c>
      <c r="C314" s="3" t="s">
        <v>147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148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149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150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110</v>
      </c>
      <c r="C318" s="3" t="s">
        <v>147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148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149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150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348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105</v>
      </c>
      <c r="B324" s="82" t="s">
        <v>150</v>
      </c>
      <c r="C324" s="69" t="s">
        <v>347</v>
      </c>
      <c r="D324" s="70" t="s">
        <v>127</v>
      </c>
      <c r="E324" s="70" t="s">
        <v>114</v>
      </c>
      <c r="F324" s="70" t="s">
        <v>115</v>
      </c>
      <c r="G324" s="70" t="s">
        <v>116</v>
      </c>
      <c r="H324" s="81" t="s">
        <v>117</v>
      </c>
      <c r="I324" s="79"/>
    </row>
    <row r="325" spans="1:9" ht="13" x14ac:dyDescent="0.3">
      <c r="A325" s="4"/>
      <c r="C325" s="3" t="s">
        <v>147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148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149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150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Zmb4iV9CM/O6rJaz2tkFHVzwrqvLfF37fitsAsy1Z2ScIBE2MbjIplBAcY57uCIADl44yJOAgGzYZxOYFsud8Q==" saltValue="FfeMARl3h9kCGeGSCBfOo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127</v>
      </c>
      <c r="D1" s="70" t="s">
        <v>114</v>
      </c>
      <c r="E1" s="70" t="s">
        <v>115</v>
      </c>
      <c r="F1" s="70" t="s">
        <v>116</v>
      </c>
      <c r="G1" s="70" t="s">
        <v>117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140</v>
      </c>
      <c r="M1" s="70" t="s">
        <v>141</v>
      </c>
      <c r="N1" s="70" t="s">
        <v>142</v>
      </c>
      <c r="O1" s="70" t="s">
        <v>143</v>
      </c>
    </row>
    <row r="2" spans="1:15" ht="13" x14ac:dyDescent="0.3">
      <c r="A2" s="4" t="s">
        <v>350</v>
      </c>
    </row>
    <row r="3" spans="1:15" x14ac:dyDescent="0.25">
      <c r="B3" s="11" t="s">
        <v>200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210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211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3" t="s">
        <v>214</v>
      </c>
      <c r="C11" s="104">
        <v>1</v>
      </c>
      <c r="D11" s="104">
        <v>1</v>
      </c>
      <c r="E11" s="104">
        <v>1</v>
      </c>
      <c r="F11" s="104">
        <v>1</v>
      </c>
      <c r="G11" s="104">
        <v>1</v>
      </c>
      <c r="H11" s="104">
        <v>1</v>
      </c>
      <c r="I11" s="104">
        <v>1</v>
      </c>
      <c r="J11" s="104">
        <v>1</v>
      </c>
      <c r="K11" s="104">
        <v>1</v>
      </c>
      <c r="L11" s="104">
        <v>1</v>
      </c>
      <c r="M11" s="104">
        <v>1</v>
      </c>
      <c r="N11" s="104">
        <v>1</v>
      </c>
      <c r="O11" s="104">
        <v>1</v>
      </c>
    </row>
    <row r="12" spans="1:15" x14ac:dyDescent="0.25">
      <c r="B12" s="11" t="s">
        <v>215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219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351</v>
      </c>
      <c r="B17" s="11"/>
    </row>
    <row r="18" spans="1:15" x14ac:dyDescent="0.25">
      <c r="B18" s="5" t="s">
        <v>202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204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127</v>
      </c>
      <c r="D24" s="70" t="s">
        <v>114</v>
      </c>
      <c r="E24" s="70" t="s">
        <v>115</v>
      </c>
      <c r="F24" s="70" t="s">
        <v>116</v>
      </c>
      <c r="G24" s="70" t="s">
        <v>117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140</v>
      </c>
      <c r="M24" s="70" t="s">
        <v>141</v>
      </c>
      <c r="N24" s="70" t="s">
        <v>142</v>
      </c>
      <c r="O24" s="70" t="s">
        <v>143</v>
      </c>
    </row>
    <row r="25" spans="1:15" ht="13" x14ac:dyDescent="0.3">
      <c r="A25" s="4" t="s">
        <v>352</v>
      </c>
    </row>
    <row r="26" spans="1:15" x14ac:dyDescent="0.25">
      <c r="B26" s="11" t="s">
        <v>200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210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211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214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219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234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354</v>
      </c>
      <c r="B40" s="11"/>
    </row>
    <row r="41" spans="1:15" x14ac:dyDescent="0.25">
      <c r="B41" s="5" t="s">
        <v>202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203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204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212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270</v>
      </c>
    </row>
    <row r="47" spans="1:15" ht="26.4" customHeight="1" x14ac:dyDescent="0.3">
      <c r="A47" s="4"/>
      <c r="B47" s="4"/>
      <c r="C47" s="70" t="s">
        <v>127</v>
      </c>
      <c r="D47" s="70" t="s">
        <v>114</v>
      </c>
      <c r="E47" s="70" t="s">
        <v>115</v>
      </c>
      <c r="F47" s="70" t="s">
        <v>116</v>
      </c>
      <c r="G47" s="70" t="s">
        <v>117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140</v>
      </c>
      <c r="M47" s="70" t="s">
        <v>141</v>
      </c>
      <c r="N47" s="70" t="s">
        <v>142</v>
      </c>
      <c r="O47" s="70" t="s">
        <v>143</v>
      </c>
    </row>
    <row r="48" spans="1:15" ht="13" x14ac:dyDescent="0.3">
      <c r="A48" s="4" t="s">
        <v>353</v>
      </c>
    </row>
    <row r="49" spans="1:15" x14ac:dyDescent="0.25">
      <c r="B49" s="11" t="s">
        <v>200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205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206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207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208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209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210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211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214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218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219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234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355</v>
      </c>
      <c r="B63" s="11"/>
    </row>
    <row r="64" spans="1:15" x14ac:dyDescent="0.25">
      <c r="B64" s="5" t="s">
        <v>202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203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204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212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NYcWMd8VGngTtY33bv9EdV8xdroK7yXMNi915wW0BuSkXSCKMgEhAF99WXvQKrYgVSISryebOuhlLuCR3sl8PQ==" saltValue="3F9vgT12NzdUleqP52zWq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</row>
    <row r="2" spans="1:7" ht="13" x14ac:dyDescent="0.3">
      <c r="A2" s="4" t="s">
        <v>356</v>
      </c>
    </row>
    <row r="3" spans="1:7" x14ac:dyDescent="0.25">
      <c r="B3" s="11" t="s">
        <v>190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357</v>
      </c>
      <c r="B4" s="11"/>
      <c r="C4" s="83"/>
      <c r="D4" s="83"/>
      <c r="E4" s="83"/>
      <c r="F4" s="83"/>
      <c r="G4" s="83"/>
    </row>
    <row r="5" spans="1:7" x14ac:dyDescent="0.25">
      <c r="B5" s="5" t="s">
        <v>194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362</v>
      </c>
    </row>
    <row r="8" spans="1:7" ht="13" x14ac:dyDescent="0.3">
      <c r="A8" s="4"/>
      <c r="B8" s="1"/>
      <c r="C8" s="4" t="s">
        <v>127</v>
      </c>
      <c r="D8" s="4" t="s">
        <v>114</v>
      </c>
      <c r="E8" s="4" t="s">
        <v>115</v>
      </c>
      <c r="F8" s="4" t="s">
        <v>116</v>
      </c>
      <c r="G8" s="4" t="s">
        <v>117</v>
      </c>
    </row>
    <row r="9" spans="1:7" ht="13" x14ac:dyDescent="0.3">
      <c r="A9" s="4" t="s">
        <v>358</v>
      </c>
    </row>
    <row r="10" spans="1:7" x14ac:dyDescent="0.25">
      <c r="B10" s="11" t="s">
        <v>190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359</v>
      </c>
      <c r="B11" s="11"/>
      <c r="C11" s="83"/>
      <c r="D11" s="83"/>
      <c r="E11" s="83"/>
      <c r="F11" s="83"/>
      <c r="G11" s="83"/>
    </row>
    <row r="12" spans="1:7" x14ac:dyDescent="0.25">
      <c r="B12" s="5" t="s">
        <v>194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363</v>
      </c>
    </row>
    <row r="15" spans="1:7" ht="13" x14ac:dyDescent="0.3">
      <c r="A15" s="4"/>
      <c r="B15" s="1"/>
      <c r="C15" s="4" t="s">
        <v>127</v>
      </c>
      <c r="D15" s="4" t="s">
        <v>114</v>
      </c>
      <c r="E15" s="4" t="s">
        <v>115</v>
      </c>
      <c r="F15" s="4" t="s">
        <v>116</v>
      </c>
      <c r="G15" s="4" t="s">
        <v>117</v>
      </c>
    </row>
    <row r="16" spans="1:7" ht="13" x14ac:dyDescent="0.3">
      <c r="A16" s="4" t="s">
        <v>360</v>
      </c>
    </row>
    <row r="17" spans="1:7" x14ac:dyDescent="0.25">
      <c r="B17" s="11" t="s">
        <v>190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361</v>
      </c>
      <c r="B18" s="11"/>
      <c r="C18" s="83"/>
      <c r="D18" s="83"/>
      <c r="E18" s="83"/>
      <c r="F18" s="83"/>
      <c r="G18" s="83"/>
    </row>
    <row r="19" spans="1:7" x14ac:dyDescent="0.25">
      <c r="B19" s="5" t="s">
        <v>194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wE3TugKMazKGiRHY8cHdv9FBRl0ixUVeoktuAHpAJvLLW9IQoQ8QY2LMU7ti81BPcKjWzV0DboFKPWY529vdag==" saltValue="HSQhfu9ojcuue4sC/D0oQ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3"/>
  <sheetViews>
    <sheetView topLeftCell="A124" zoomScale="70" zoomScaleNormal="70" workbookViewId="0">
      <selection activeCell="H75" sqref="H75"/>
    </sheetView>
  </sheetViews>
  <sheetFormatPr defaultColWidth="12.6328125" defaultRowHeight="12.5" x14ac:dyDescent="0.25"/>
  <cols>
    <col min="1" max="1" width="53" style="5" customWidth="1"/>
    <col min="2" max="2" width="30.54296875" style="5" customWidth="1"/>
    <col min="3" max="3" width="24.6328125" style="5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0" width="12.6328125" style="8" customWidth="1"/>
    <col min="11" max="16384" width="12.6328125" style="8"/>
  </cols>
  <sheetData>
    <row r="1" spans="1:8" ht="13" x14ac:dyDescent="0.3">
      <c r="A1" s="4" t="s">
        <v>189</v>
      </c>
      <c r="B1" s="4" t="s">
        <v>364</v>
      </c>
      <c r="C1" s="82" t="s">
        <v>11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8" x14ac:dyDescent="0.25">
      <c r="A2" s="5" t="s">
        <v>222</v>
      </c>
      <c r="B2" s="5" t="s">
        <v>105</v>
      </c>
      <c r="C2" s="5" t="s">
        <v>365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366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367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221</v>
      </c>
      <c r="B5" s="5" t="s">
        <v>237</v>
      </c>
      <c r="C5" s="5" t="s">
        <v>365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367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238</v>
      </c>
      <c r="C7" s="5" t="s">
        <v>365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367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214</v>
      </c>
      <c r="B9" s="5" t="s">
        <v>237</v>
      </c>
      <c r="C9" s="5" t="s">
        <v>365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367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238</v>
      </c>
      <c r="C11" s="5" t="s">
        <v>365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367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234</v>
      </c>
      <c r="B13" s="5" t="s">
        <v>237</v>
      </c>
      <c r="C13" s="5" t="s">
        <v>365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367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238</v>
      </c>
      <c r="C15" s="5" t="s">
        <v>365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367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199</v>
      </c>
      <c r="B17" s="5" t="s">
        <v>237</v>
      </c>
      <c r="C17" s="5" t="s">
        <v>365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367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B19" s="5" t="s">
        <v>238</v>
      </c>
      <c r="C19" s="5" t="s">
        <v>365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367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A21" s="5" t="s">
        <v>204</v>
      </c>
      <c r="B21" s="5" t="s">
        <v>102</v>
      </c>
      <c r="C21" s="5" t="s">
        <v>365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366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202</v>
      </c>
      <c r="B23" s="5" t="s">
        <v>102</v>
      </c>
      <c r="C23" s="5" t="s">
        <v>365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366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203</v>
      </c>
      <c r="B25" s="5" t="s">
        <v>102</v>
      </c>
      <c r="C25" s="5" t="s">
        <v>365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366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226</v>
      </c>
      <c r="B27" s="5" t="s">
        <v>105</v>
      </c>
      <c r="C27" s="5" t="s">
        <v>365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366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x14ac:dyDescent="0.25">
      <c r="C29" s="5" t="s">
        <v>367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227</v>
      </c>
      <c r="B30" s="5" t="s">
        <v>105</v>
      </c>
      <c r="C30" s="5" t="s">
        <v>365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366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367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225</v>
      </c>
      <c r="B33" s="5" t="s">
        <v>105</v>
      </c>
      <c r="C33" s="5" t="s">
        <v>365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366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367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224</v>
      </c>
      <c r="B36" s="5" t="s">
        <v>105</v>
      </c>
      <c r="C36" s="5" t="s">
        <v>365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366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367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223</v>
      </c>
      <c r="B39" s="5" t="s">
        <v>105</v>
      </c>
      <c r="C39" s="5" t="s">
        <v>365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366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367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229</v>
      </c>
      <c r="B42" s="5" t="s">
        <v>105</v>
      </c>
      <c r="C42" s="5" t="s">
        <v>365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366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367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106</v>
      </c>
      <c r="C45" s="5" t="s">
        <v>365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366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367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220</v>
      </c>
      <c r="B48" s="5" t="s">
        <v>105</v>
      </c>
      <c r="C48" s="5" t="s">
        <v>365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366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228</v>
      </c>
      <c r="B50" s="5" t="s">
        <v>105</v>
      </c>
      <c r="C50" s="5" t="s">
        <v>365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366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213</v>
      </c>
      <c r="B52" s="5" t="s">
        <v>100</v>
      </c>
      <c r="C52" s="5" t="s">
        <v>365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366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x14ac:dyDescent="0.3">
      <c r="A55" s="96" t="s">
        <v>362</v>
      </c>
      <c r="B55" s="97"/>
      <c r="C55" s="97"/>
    </row>
    <row r="56" spans="1:8" ht="13" x14ac:dyDescent="0.3">
      <c r="A56" s="4" t="s">
        <v>189</v>
      </c>
      <c r="B56" s="4" t="s">
        <v>364</v>
      </c>
      <c r="C56" s="82" t="s">
        <v>11</v>
      </c>
      <c r="D56" s="4" t="s">
        <v>127</v>
      </c>
      <c r="E56" s="4" t="s">
        <v>114</v>
      </c>
      <c r="F56" s="4" t="s">
        <v>115</v>
      </c>
      <c r="G56" s="4" t="s">
        <v>116</v>
      </c>
      <c r="H56" s="4" t="s">
        <v>117</v>
      </c>
    </row>
    <row r="57" spans="1:8" x14ac:dyDescent="0.25">
      <c r="A57" s="5" t="s">
        <v>222</v>
      </c>
      <c r="B57" s="5" t="s">
        <v>105</v>
      </c>
      <c r="C57" s="5" t="s">
        <v>365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366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367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221</v>
      </c>
      <c r="B60" s="5" t="s">
        <v>237</v>
      </c>
      <c r="C60" s="5" t="s">
        <v>365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367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238</v>
      </c>
      <c r="C62" s="5" t="s">
        <v>365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367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214</v>
      </c>
      <c r="B64" s="5" t="s">
        <v>237</v>
      </c>
      <c r="C64" s="5" t="s">
        <v>365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367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238</v>
      </c>
      <c r="C66" s="5" t="s">
        <v>365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367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234</v>
      </c>
      <c r="B68" s="5" t="s">
        <v>237</v>
      </c>
      <c r="C68" s="5" t="s">
        <v>365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367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238</v>
      </c>
      <c r="C70" s="5" t="s">
        <v>365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367</v>
      </c>
      <c r="D71" s="90">
        <f t="shared" si="0"/>
        <v>0</v>
      </c>
      <c r="E71" s="90">
        <f t="shared" si="0"/>
        <v>0</v>
      </c>
      <c r="F71" s="90">
        <v>0</v>
      </c>
      <c r="G71" s="90">
        <v>0</v>
      </c>
      <c r="H71" s="90">
        <f>IF($C16="Affected fraction",H16,IF(H16=1,1,H16*0.9))</f>
        <v>0</v>
      </c>
    </row>
    <row r="72" spans="1:8" x14ac:dyDescent="0.25">
      <c r="A72" s="5" t="s">
        <v>199</v>
      </c>
      <c r="B72" s="5" t="s">
        <v>237</v>
      </c>
      <c r="C72" s="5" t="s">
        <v>365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367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v>0</v>
      </c>
    </row>
    <row r="74" spans="1:8" x14ac:dyDescent="0.25">
      <c r="B74" s="5" t="s">
        <v>238</v>
      </c>
      <c r="C74" s="5" t="s">
        <v>365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367</v>
      </c>
      <c r="D75" s="90">
        <f t="shared" si="0"/>
        <v>0</v>
      </c>
      <c r="E75" s="90">
        <f t="shared" si="0"/>
        <v>0</v>
      </c>
      <c r="F75" s="90">
        <v>0</v>
      </c>
      <c r="G75" s="90">
        <v>0</v>
      </c>
      <c r="H75" s="90">
        <v>0</v>
      </c>
    </row>
    <row r="76" spans="1:8" x14ac:dyDescent="0.25">
      <c r="A76" s="5" t="s">
        <v>204</v>
      </c>
      <c r="B76" s="5" t="s">
        <v>102</v>
      </c>
      <c r="C76" s="5" t="s">
        <v>365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366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202</v>
      </c>
      <c r="B78" s="5" t="s">
        <v>102</v>
      </c>
      <c r="C78" s="5" t="s">
        <v>365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366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203</v>
      </c>
      <c r="B80" s="5" t="s">
        <v>102</v>
      </c>
      <c r="C80" s="5" t="s">
        <v>365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366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226</v>
      </c>
      <c r="B82" s="5" t="s">
        <v>105</v>
      </c>
      <c r="C82" s="5" t="s">
        <v>365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366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367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227</v>
      </c>
      <c r="B85" s="5" t="s">
        <v>105</v>
      </c>
      <c r="C85" s="5" t="s">
        <v>365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366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367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225</v>
      </c>
      <c r="B88" s="5" t="s">
        <v>105</v>
      </c>
      <c r="C88" s="5" t="s">
        <v>365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366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367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224</v>
      </c>
      <c r="B91" s="5" t="s">
        <v>105</v>
      </c>
      <c r="C91" s="5" t="s">
        <v>365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366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367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223</v>
      </c>
      <c r="B94" s="5" t="s">
        <v>105</v>
      </c>
      <c r="C94" s="5" t="s">
        <v>365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366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367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229</v>
      </c>
      <c r="B97" s="5" t="s">
        <v>105</v>
      </c>
      <c r="C97" s="5" t="s">
        <v>365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366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367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106</v>
      </c>
      <c r="C100" s="5" t="s">
        <v>365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366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367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220</v>
      </c>
      <c r="B103" s="5" t="s">
        <v>105</v>
      </c>
      <c r="C103" s="5" t="s">
        <v>365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366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228</v>
      </c>
      <c r="B105" s="5" t="s">
        <v>105</v>
      </c>
      <c r="C105" s="5" t="s">
        <v>365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366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213</v>
      </c>
      <c r="B107" s="5" t="s">
        <v>100</v>
      </c>
      <c r="C107" s="5" t="s">
        <v>365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366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x14ac:dyDescent="0.3">
      <c r="A110" s="96" t="s">
        <v>363</v>
      </c>
      <c r="B110" s="97"/>
      <c r="C110" s="97"/>
    </row>
    <row r="111" spans="1:8" ht="13" x14ac:dyDescent="0.3">
      <c r="A111" s="4" t="s">
        <v>189</v>
      </c>
      <c r="B111" s="4" t="s">
        <v>364</v>
      </c>
      <c r="C111" s="82" t="s">
        <v>11</v>
      </c>
      <c r="D111" s="4" t="s">
        <v>127</v>
      </c>
      <c r="E111" s="4" t="s">
        <v>114</v>
      </c>
      <c r="F111" s="4" t="s">
        <v>115</v>
      </c>
      <c r="G111" s="4" t="s">
        <v>116</v>
      </c>
      <c r="H111" s="4" t="s">
        <v>117</v>
      </c>
    </row>
    <row r="112" spans="1:8" x14ac:dyDescent="0.25">
      <c r="A112" s="5" t="s">
        <v>222</v>
      </c>
      <c r="B112" s="5" t="s">
        <v>105</v>
      </c>
      <c r="C112" s="5" t="s">
        <v>365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366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367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221</v>
      </c>
      <c r="B115" s="5" t="s">
        <v>237</v>
      </c>
      <c r="C115" s="5" t="s">
        <v>365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367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238</v>
      </c>
      <c r="C117" s="5" t="s">
        <v>365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367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214</v>
      </c>
      <c r="B119" s="5" t="s">
        <v>237</v>
      </c>
      <c r="C119" s="5" t="s">
        <v>365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367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238</v>
      </c>
      <c r="C121" s="5" t="s">
        <v>365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367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234</v>
      </c>
      <c r="B123" s="5" t="s">
        <v>237</v>
      </c>
      <c r="C123" s="5" t="s">
        <v>365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367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238</v>
      </c>
      <c r="C125" s="5" t="s">
        <v>365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367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199</v>
      </c>
      <c r="B127" s="5" t="s">
        <v>237</v>
      </c>
      <c r="C127" s="5" t="s">
        <v>365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367</v>
      </c>
      <c r="D128" s="90">
        <f t="shared" si="3"/>
        <v>0</v>
      </c>
      <c r="E128" s="90">
        <f t="shared" si="3"/>
        <v>0</v>
      </c>
      <c r="F128" s="90">
        <v>0</v>
      </c>
      <c r="G128" s="90">
        <v>0</v>
      </c>
      <c r="H128" s="90">
        <v>0</v>
      </c>
    </row>
    <row r="129" spans="1:8" x14ac:dyDescent="0.25">
      <c r="B129" s="5" t="s">
        <v>238</v>
      </c>
      <c r="C129" s="5" t="s">
        <v>365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367</v>
      </c>
      <c r="D130" s="90">
        <f t="shared" si="3"/>
        <v>0</v>
      </c>
      <c r="E130" s="90">
        <f t="shared" si="3"/>
        <v>0</v>
      </c>
      <c r="F130" s="90">
        <v>0</v>
      </c>
      <c r="G130" s="90">
        <v>0</v>
      </c>
      <c r="H130" s="90">
        <v>0</v>
      </c>
    </row>
    <row r="131" spans="1:8" x14ac:dyDescent="0.25">
      <c r="A131" s="5" t="s">
        <v>204</v>
      </c>
      <c r="B131" s="5" t="s">
        <v>102</v>
      </c>
      <c r="C131" s="5" t="s">
        <v>365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366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202</v>
      </c>
      <c r="B133" s="5" t="s">
        <v>102</v>
      </c>
      <c r="C133" s="5" t="s">
        <v>365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366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203</v>
      </c>
      <c r="B135" s="5" t="s">
        <v>102</v>
      </c>
      <c r="C135" s="5" t="s">
        <v>365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366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226</v>
      </c>
      <c r="B137" s="5" t="s">
        <v>105</v>
      </c>
      <c r="C137" s="5" t="s">
        <v>365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366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367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227</v>
      </c>
      <c r="B140" s="5" t="s">
        <v>105</v>
      </c>
      <c r="C140" s="5" t="s">
        <v>365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366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367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225</v>
      </c>
      <c r="B143" s="5" t="s">
        <v>105</v>
      </c>
      <c r="C143" s="5" t="s">
        <v>365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366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367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224</v>
      </c>
      <c r="B146" s="5" t="s">
        <v>105</v>
      </c>
      <c r="C146" s="5" t="s">
        <v>365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366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367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223</v>
      </c>
      <c r="B149" s="5" t="s">
        <v>105</v>
      </c>
      <c r="C149" s="5" t="s">
        <v>365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366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367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229</v>
      </c>
      <c r="B152" s="5" t="s">
        <v>105</v>
      </c>
      <c r="C152" s="5" t="s">
        <v>365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366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367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106</v>
      </c>
      <c r="C155" s="5" t="s">
        <v>365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366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367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220</v>
      </c>
      <c r="B158" s="5" t="s">
        <v>105</v>
      </c>
      <c r="C158" s="5" t="s">
        <v>365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366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228</v>
      </c>
      <c r="B160" s="5" t="s">
        <v>105</v>
      </c>
      <c r="C160" s="5" t="s">
        <v>365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366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213</v>
      </c>
      <c r="B162" s="5" t="s">
        <v>100</v>
      </c>
      <c r="C162" s="5" t="s">
        <v>365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366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UuTT48ssXcA4Dj2JGo7j6Vmrf1nK2QGDh6EzRkgMIvp2dx8fZBV3qQ7+jZOV/lUInhCDjkdFPkPV058vlWgKmg==" saltValue="j6xaUGbfb7mUdn8wIlMzh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189</v>
      </c>
      <c r="B1" s="1" t="s">
        <v>364</v>
      </c>
      <c r="C1" s="1"/>
      <c r="D1" s="4" t="s">
        <v>140</v>
      </c>
      <c r="E1" s="4" t="s">
        <v>141</v>
      </c>
      <c r="F1" s="4" t="s">
        <v>142</v>
      </c>
      <c r="G1" s="4" t="s">
        <v>143</v>
      </c>
      <c r="H1" s="4"/>
    </row>
    <row r="2" spans="1:8" x14ac:dyDescent="0.25">
      <c r="A2" s="3" t="s">
        <v>198</v>
      </c>
      <c r="B2" s="8" t="s">
        <v>122</v>
      </c>
      <c r="C2" s="3" t="s">
        <v>365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366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217</v>
      </c>
      <c r="B4" s="8" t="s">
        <v>122</v>
      </c>
      <c r="C4" s="3" t="s">
        <v>365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366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216</v>
      </c>
      <c r="B6" s="8" t="s">
        <v>122</v>
      </c>
      <c r="C6" s="3" t="s">
        <v>365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366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219</v>
      </c>
      <c r="B8" s="3" t="s">
        <v>260</v>
      </c>
      <c r="C8" s="3" t="s">
        <v>365</v>
      </c>
      <c r="D8" s="118">
        <v>1</v>
      </c>
      <c r="E8" s="118">
        <v>1</v>
      </c>
      <c r="F8" s="118">
        <v>1</v>
      </c>
      <c r="G8" s="118">
        <v>1</v>
      </c>
      <c r="H8" s="3"/>
    </row>
    <row r="9" spans="1:8" x14ac:dyDescent="0.25">
      <c r="A9" s="3"/>
      <c r="B9" s="3"/>
      <c r="C9" s="3" t="s">
        <v>244</v>
      </c>
      <c r="D9" s="118">
        <v>0.09</v>
      </c>
      <c r="E9" s="118">
        <v>0.09</v>
      </c>
      <c r="F9" s="118">
        <v>0.09</v>
      </c>
      <c r="G9" s="118">
        <v>0.09</v>
      </c>
      <c r="H9" s="3"/>
    </row>
    <row r="11" spans="1:8" s="92" customFormat="1" ht="13" x14ac:dyDescent="0.3">
      <c r="A11" s="92" t="s">
        <v>362</v>
      </c>
    </row>
    <row r="12" spans="1:8" ht="13" x14ac:dyDescent="0.3">
      <c r="A12" s="1" t="s">
        <v>189</v>
      </c>
      <c r="B12" s="1" t="s">
        <v>364</v>
      </c>
      <c r="C12" s="1"/>
      <c r="D12" s="4" t="s">
        <v>140</v>
      </c>
      <c r="E12" s="4" t="s">
        <v>141</v>
      </c>
      <c r="F12" s="4" t="s">
        <v>142</v>
      </c>
      <c r="G12" s="4" t="s">
        <v>143</v>
      </c>
    </row>
    <row r="13" spans="1:8" x14ac:dyDescent="0.25">
      <c r="A13" s="3" t="s">
        <v>198</v>
      </c>
      <c r="B13" s="8" t="s">
        <v>122</v>
      </c>
      <c r="C13" s="3" t="s">
        <v>365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366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217</v>
      </c>
      <c r="B15" s="8" t="s">
        <v>122</v>
      </c>
      <c r="C15" s="3" t="s">
        <v>365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366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216</v>
      </c>
      <c r="B17" s="8" t="s">
        <v>122</v>
      </c>
      <c r="C17" s="3" t="s">
        <v>365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366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219</v>
      </c>
      <c r="B19" s="3" t="s">
        <v>260</v>
      </c>
      <c r="C19" s="3" t="s">
        <v>365</v>
      </c>
      <c r="D19" s="118">
        <f t="shared" si="0"/>
        <v>1</v>
      </c>
      <c r="E19" s="118">
        <f t="shared" si="0"/>
        <v>1</v>
      </c>
      <c r="F19" s="118">
        <f t="shared" si="0"/>
        <v>1</v>
      </c>
      <c r="G19" s="118">
        <f t="shared" si="0"/>
        <v>1</v>
      </c>
    </row>
    <row r="20" spans="1:7" x14ac:dyDescent="0.25">
      <c r="A20" s="3"/>
      <c r="B20" s="3"/>
      <c r="C20" s="3" t="s">
        <v>244</v>
      </c>
      <c r="D20" s="118">
        <v>0.02</v>
      </c>
      <c r="E20" s="118">
        <v>0.02</v>
      </c>
      <c r="F20" s="118">
        <v>0.02</v>
      </c>
      <c r="G20" s="118">
        <v>0.02</v>
      </c>
    </row>
    <row r="22" spans="1:7" s="92" customFormat="1" ht="13" x14ac:dyDescent="0.3">
      <c r="A22" s="92" t="s">
        <v>363</v>
      </c>
    </row>
    <row r="23" spans="1:7" ht="13" x14ac:dyDescent="0.3">
      <c r="A23" s="1" t="s">
        <v>189</v>
      </c>
      <c r="B23" s="1" t="s">
        <v>364</v>
      </c>
      <c r="C23" s="1"/>
      <c r="D23" s="4" t="s">
        <v>140</v>
      </c>
      <c r="E23" s="4" t="s">
        <v>141</v>
      </c>
      <c r="F23" s="4" t="s">
        <v>142</v>
      </c>
      <c r="G23" s="4" t="s">
        <v>143</v>
      </c>
    </row>
    <row r="24" spans="1:7" x14ac:dyDescent="0.25">
      <c r="A24" s="3" t="s">
        <v>198</v>
      </c>
      <c r="B24" s="8" t="s">
        <v>122</v>
      </c>
      <c r="C24" s="3" t="s">
        <v>365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366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217</v>
      </c>
      <c r="B26" s="8" t="s">
        <v>122</v>
      </c>
      <c r="C26" s="3" t="s">
        <v>365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366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216</v>
      </c>
      <c r="B28" s="8" t="s">
        <v>122</v>
      </c>
      <c r="C28" s="3" t="s">
        <v>365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366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219</v>
      </c>
      <c r="B30" s="3" t="s">
        <v>260</v>
      </c>
      <c r="C30" s="3" t="s">
        <v>365</v>
      </c>
      <c r="D30" s="118">
        <f t="shared" ref="D30:G30" si="1">IF($C8="Affected fraction",D8,IF(D8=1,1,D8*1.05))</f>
        <v>1</v>
      </c>
      <c r="E30" s="118">
        <f t="shared" si="1"/>
        <v>1</v>
      </c>
      <c r="F30" s="118">
        <f t="shared" si="1"/>
        <v>1</v>
      </c>
      <c r="G30" s="118">
        <f t="shared" si="1"/>
        <v>1</v>
      </c>
    </row>
    <row r="31" spans="1:7" x14ac:dyDescent="0.25">
      <c r="A31" s="3"/>
      <c r="B31" s="3"/>
      <c r="C31" s="3" t="s">
        <v>244</v>
      </c>
      <c r="D31" s="118">
        <v>0.14000000000000001</v>
      </c>
      <c r="E31" s="118">
        <v>0.14000000000000001</v>
      </c>
      <c r="F31" s="118">
        <v>0.14000000000000001</v>
      </c>
      <c r="G31" s="118">
        <v>0.14000000000000001</v>
      </c>
    </row>
  </sheetData>
  <sheetProtection algorithmName="SHA-512" hashValue="qREb4KP52VRzoGHTQruU/W0jJrAVWMsi+etTMP6/SEayk/O6sf5LwVdt1d3YNuMWn+U/r1FuLcUO4dJqZPv7ow==" saltValue="GPolBgsT+PvK6lEaKj1Zsw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2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Données économiques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Rapports des cotes</vt:lpstr>
      <vt:lpstr>Programmes-rés. des naissances</vt:lpstr>
      <vt:lpstr>Risques des rés. des naissances</vt:lpstr>
      <vt:lpstr>Risques relatifs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lang=fr</cp:keywords>
  <dc:description/>
  <cp:lastModifiedBy>Tharindu Wickramaarachchi</cp:lastModifiedBy>
  <cp:revision/>
  <dcterms:created xsi:type="dcterms:W3CDTF">2017-08-01T10:42:13Z</dcterms:created>
  <dcterms:modified xsi:type="dcterms:W3CDTF">2025-07-04T03:56:13Z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