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35AEF867-3259-4532-928D-BEF0080FBDB8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<sst xmlns="http://schemas.openxmlformats.org/spreadsheetml/2006/main" count="2102" uniqueCount="337">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</sst>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1825228.90625</v>
      </c>
    </row>
    <row r="8" spans="1:3" ht="15" customHeight="1" x14ac:dyDescent="0.25">
      <c r="B8" s="5" t="s">
        <v>19</v>
      </c>
      <c r="C8" s="44">
        <v>8.6999999999999994E-2</v>
      </c>
    </row>
    <row r="9" spans="1:3" ht="15" customHeight="1" x14ac:dyDescent="0.25">
      <c r="B9" s="5" t="s">
        <v>20</v>
      </c>
      <c r="C9" s="45">
        <v>2.5000000000000001E-2</v>
      </c>
    </row>
    <row r="10" spans="1:3" ht="15" customHeight="1" x14ac:dyDescent="0.25">
      <c r="B10" s="5" t="s">
        <v>21</v>
      </c>
      <c r="C10" s="45">
        <v>0.42616619110107401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0.34399999999999997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0.1226</v>
      </c>
    </row>
    <row r="24" spans="1:3" ht="15" customHeight="1" x14ac:dyDescent="0.25">
      <c r="B24" s="15" t="s">
        <v>33</v>
      </c>
      <c r="C24" s="45">
        <v>0.47810000000000002</v>
      </c>
    </row>
    <row r="25" spans="1:3" ht="15" customHeight="1" x14ac:dyDescent="0.25">
      <c r="B25" s="15" t="s">
        <v>34</v>
      </c>
      <c r="C25" s="45">
        <v>0.32329999999999998</v>
      </c>
    </row>
    <row r="26" spans="1:3" ht="15" customHeight="1" x14ac:dyDescent="0.25">
      <c r="B26" s="15" t="s">
        <v>35</v>
      </c>
      <c r="C26" s="45">
        <v>7.5999999999999998E-2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0.31902004302312198</v>
      </c>
    </row>
    <row r="30" spans="1:3" ht="14.25" customHeight="1" x14ac:dyDescent="0.25">
      <c r="B30" s="25" t="s">
        <v>38</v>
      </c>
      <c r="C30" s="99">
        <v>3.89276953654537E-2</v>
      </c>
    </row>
    <row r="31" spans="1:3" ht="14.25" customHeight="1" x14ac:dyDescent="0.25">
      <c r="B31" s="25" t="s">
        <v>39</v>
      </c>
      <c r="C31" s="99">
        <v>8.8909302097760101E-2</v>
      </c>
    </row>
    <row r="32" spans="1:3" ht="14.25" customHeight="1" x14ac:dyDescent="0.25">
      <c r="B32" s="25" t="s">
        <v>40</v>
      </c>
      <c r="C32" s="99">
        <v>0.55314295951366399</v>
      </c>
    </row>
    <row r="33" spans="1:5" ht="13" customHeight="1" x14ac:dyDescent="0.25">
      <c r="B33" s="27" t="s">
        <v>41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10.801</v>
      </c>
    </row>
    <row r="38" spans="1:5" ht="15" customHeight="1" x14ac:dyDescent="0.25">
      <c r="B38" s="11" t="s">
        <v>45</v>
      </c>
      <c r="C38" s="43">
        <v>19.559259999999998</v>
      </c>
      <c r="D38" s="12"/>
      <c r="E38" s="13"/>
    </row>
    <row r="39" spans="1:5" ht="15" customHeight="1" x14ac:dyDescent="0.25">
      <c r="B39" s="11" t="s">
        <v>46</v>
      </c>
      <c r="C39" s="43">
        <v>23.019259999999999</v>
      </c>
      <c r="D39" s="12"/>
      <c r="E39" s="12"/>
    </row>
    <row r="40" spans="1:5" ht="15" customHeight="1" x14ac:dyDescent="0.25">
      <c r="B40" s="11" t="s">
        <v>47</v>
      </c>
      <c r="C40" s="100">
        <v>0.96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13.336930000000001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8.9353000000000002E-3</v>
      </c>
      <c r="D45" s="12"/>
    </row>
    <row r="46" spans="1:5" ht="15.75" customHeight="1" x14ac:dyDescent="0.25">
      <c r="B46" s="11" t="s">
        <v>52</v>
      </c>
      <c r="C46" s="45">
        <v>9.5860400000000012E-2</v>
      </c>
      <c r="D46" s="12"/>
    </row>
    <row r="47" spans="1:5" ht="15.75" customHeight="1" x14ac:dyDescent="0.25">
      <c r="B47" s="11" t="s">
        <v>53</v>
      </c>
      <c r="C47" s="45">
        <v>0.16790920000000001</v>
      </c>
      <c r="D47" s="12"/>
      <c r="E47" s="13"/>
    </row>
    <row r="48" spans="1:5" ht="15" customHeight="1" x14ac:dyDescent="0.25">
      <c r="B48" s="11" t="s">
        <v>54</v>
      </c>
      <c r="C48" s="46">
        <v>0.72729510000000008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0.55069000000000001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0.10957712999999999</v>
      </c>
    </row>
    <row r="63" spans="1:4" ht="15.75" customHeight="1" x14ac:dyDescent="0.3">
      <c r="A63" s="4"/>
    </row>
  </sheetData>
  <sheetProtection algorithmName="SHA-512" hashValue="a+vsut3WwYD6wsiNo4oesQVPVoPGBO67zidNkglQIc7emPrzvvhSXoJkrz4LCbrj9p1xTRuVKb5X0nSNQB3uFA==" saltValue="QbGuxyQjeDv7rsedrbj5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375341</v>
      </c>
      <c r="C2" s="49">
        <v>1117741</v>
      </c>
      <c r="D2" s="49">
        <v>1766958</v>
      </c>
      <c r="E2" s="49">
        <v>1388712</v>
      </c>
      <c r="F2" s="49">
        <v>863335.5</v>
      </c>
      <c r="G2" s="17">
        <f t="shared" ref="G2:G13" si="0">C2+D2+E2+F2</f>
        <v>5136746.5</v>
      </c>
      <c r="H2" s="17">
        <f t="shared" ref="H2:H13" si="1">(B2 + stillbirth*B2/(1000-stillbirth))/(1-abortion)</f>
        <v>432289.27544269356</v>
      </c>
      <c r="I2" s="17">
        <f t="shared" ref="I2:I13" si="2">G2-H2</f>
        <v>4704457.2245573066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375208</v>
      </c>
      <c r="C3" s="50">
        <v>1120396</v>
      </c>
      <c r="D3" s="50">
        <v>1786123</v>
      </c>
      <c r="E3" s="50">
        <v>1431013.5</v>
      </c>
      <c r="F3" s="50">
        <v>895680</v>
      </c>
      <c r="G3" s="17">
        <f t="shared" si="0"/>
        <v>5233212.5</v>
      </c>
      <c r="H3" s="17">
        <f t="shared" si="1"/>
        <v>432136.09613738483</v>
      </c>
      <c r="I3" s="17">
        <f t="shared" si="2"/>
        <v>4801076.4038626151</v>
      </c>
    </row>
    <row r="4" spans="1:9" ht="15.75" customHeight="1" x14ac:dyDescent="0.25">
      <c r="A4" s="5">
        <f t="shared" si="3"/>
        <v>2026</v>
      </c>
      <c r="B4" s="49">
        <v>377122</v>
      </c>
      <c r="C4" s="50">
        <v>1125589</v>
      </c>
      <c r="D4" s="50">
        <v>1801425</v>
      </c>
      <c r="E4" s="50">
        <v>1473086.5</v>
      </c>
      <c r="F4" s="50">
        <v>926890</v>
      </c>
      <c r="G4" s="17">
        <f t="shared" si="0"/>
        <v>5326990.5</v>
      </c>
      <c r="H4" s="17">
        <f t="shared" si="1"/>
        <v>434340.49606491026</v>
      </c>
      <c r="I4" s="17">
        <f t="shared" si="2"/>
        <v>4892650.0039350893</v>
      </c>
    </row>
    <row r="5" spans="1:9" ht="15.75" customHeight="1" x14ac:dyDescent="0.25">
      <c r="A5" s="5">
        <f t="shared" si="3"/>
        <v>2027</v>
      </c>
      <c r="B5" s="49">
        <v>375439</v>
      </c>
      <c r="C5" s="50">
        <v>1131156</v>
      </c>
      <c r="D5" s="50">
        <v>1814341</v>
      </c>
      <c r="E5" s="50">
        <v>1513193</v>
      </c>
      <c r="F5" s="50">
        <v>957919</v>
      </c>
      <c r="G5" s="17">
        <f t="shared" si="0"/>
        <v>5416609</v>
      </c>
      <c r="H5" s="17">
        <f t="shared" si="1"/>
        <v>432402.14440449997</v>
      </c>
      <c r="I5" s="17">
        <f t="shared" si="2"/>
        <v>4984206.8555955002</v>
      </c>
    </row>
    <row r="6" spans="1:9" ht="15.75" customHeight="1" x14ac:dyDescent="0.25">
      <c r="A6" s="5">
        <f t="shared" si="3"/>
        <v>2028</v>
      </c>
      <c r="B6" s="49">
        <v>375207</v>
      </c>
      <c r="C6" s="50">
        <v>1137287.5</v>
      </c>
      <c r="D6" s="50">
        <v>1824317.5</v>
      </c>
      <c r="E6" s="50">
        <v>1550877</v>
      </c>
      <c r="F6" s="50">
        <v>990135.5</v>
      </c>
      <c r="G6" s="17">
        <f t="shared" si="0"/>
        <v>5502617.5</v>
      </c>
      <c r="H6" s="17">
        <f t="shared" si="1"/>
        <v>432134.94441328477</v>
      </c>
      <c r="I6" s="17">
        <f t="shared" si="2"/>
        <v>5070482.5555867152</v>
      </c>
    </row>
    <row r="7" spans="1:9" ht="15.75" customHeight="1" x14ac:dyDescent="0.25">
      <c r="A7" s="5">
        <f t="shared" si="3"/>
        <v>2029</v>
      </c>
      <c r="B7" s="49">
        <v>376214</v>
      </c>
      <c r="C7" s="50">
        <v>1145409</v>
      </c>
      <c r="D7" s="50">
        <v>1831975.5</v>
      </c>
      <c r="E7" s="50">
        <v>1585612</v>
      </c>
      <c r="F7" s="50">
        <v>1024342.5</v>
      </c>
      <c r="G7" s="17">
        <f t="shared" si="0"/>
        <v>5587339</v>
      </c>
      <c r="H7" s="17">
        <f t="shared" si="1"/>
        <v>433294.7305820508</v>
      </c>
      <c r="I7" s="17">
        <f t="shared" si="2"/>
        <v>5154044.269417949</v>
      </c>
    </row>
    <row r="8" spans="1:9" ht="15.75" customHeight="1" x14ac:dyDescent="0.25">
      <c r="A8" s="5">
        <f t="shared" si="3"/>
        <v>2030</v>
      </c>
      <c r="B8" s="49">
        <v>375783</v>
      </c>
      <c r="C8" s="50">
        <v>1154283.5</v>
      </c>
      <c r="D8" s="50">
        <v>1838305</v>
      </c>
      <c r="E8" s="50">
        <v>1618821</v>
      </c>
      <c r="F8" s="50">
        <v>1059793</v>
      </c>
      <c r="G8" s="17">
        <f t="shared" si="0"/>
        <v>5671202.5</v>
      </c>
      <c r="H8" s="17">
        <f t="shared" si="1"/>
        <v>432798.33749492251</v>
      </c>
      <c r="I8" s="17">
        <f t="shared" si="2"/>
        <v>5238404.1625050772</v>
      </c>
    </row>
    <row r="9" spans="1:9" ht="15.75" customHeight="1" x14ac:dyDescent="0.25">
      <c r="A9" s="5">
        <f t="shared" si="3"/>
        <v>2031</v>
      </c>
      <c r="B9" s="49">
        <v>376184</v>
      </c>
      <c r="C9" s="50">
        <v>1161271</v>
      </c>
      <c r="D9" s="50">
        <v>1842568.5</v>
      </c>
      <c r="E9" s="50">
        <v>1652413.5</v>
      </c>
      <c r="F9" s="50">
        <v>1095113</v>
      </c>
      <c r="G9" s="17">
        <f t="shared" si="0"/>
        <v>5751366</v>
      </c>
      <c r="H9" s="17">
        <f t="shared" si="1"/>
        <v>433260.17885904881</v>
      </c>
      <c r="I9" s="17">
        <f t="shared" si="2"/>
        <v>5318105.8211409515</v>
      </c>
    </row>
    <row r="10" spans="1:9" ht="15.75" customHeight="1" x14ac:dyDescent="0.25">
      <c r="A10" s="5">
        <f t="shared" si="3"/>
        <v>2032</v>
      </c>
      <c r="B10" s="49">
        <v>376343</v>
      </c>
      <c r="C10" s="50">
        <v>1163538</v>
      </c>
      <c r="D10" s="50">
        <v>1846756</v>
      </c>
      <c r="E10" s="50">
        <v>1684216.5</v>
      </c>
      <c r="F10" s="50">
        <v>1130016.5</v>
      </c>
      <c r="G10" s="17">
        <f t="shared" si="0"/>
        <v>5824527</v>
      </c>
      <c r="H10" s="17">
        <f t="shared" si="1"/>
        <v>433443.30299095926</v>
      </c>
      <c r="I10" s="17">
        <f t="shared" si="2"/>
        <v>5391083.697009041</v>
      </c>
    </row>
    <row r="11" spans="1:9" ht="15.75" customHeight="1" x14ac:dyDescent="0.25">
      <c r="A11" s="5">
        <f t="shared" si="3"/>
        <v>2033</v>
      </c>
      <c r="B11" s="49">
        <v>375033</v>
      </c>
      <c r="C11" s="50">
        <v>1160491</v>
      </c>
      <c r="D11" s="50">
        <v>1851820</v>
      </c>
      <c r="E11" s="50">
        <v>1712014</v>
      </c>
      <c r="F11" s="50">
        <v>1164926</v>
      </c>
      <c r="G11" s="17">
        <f t="shared" si="0"/>
        <v>5889251</v>
      </c>
      <c r="H11" s="17">
        <f t="shared" si="1"/>
        <v>431934.54441987333</v>
      </c>
      <c r="I11" s="17">
        <f t="shared" si="2"/>
        <v>5457316.4555801265</v>
      </c>
    </row>
    <row r="12" spans="1:9" ht="15.75" customHeight="1" x14ac:dyDescent="0.25">
      <c r="A12" s="5">
        <f t="shared" si="3"/>
        <v>2034</v>
      </c>
      <c r="B12" s="49">
        <v>375811</v>
      </c>
      <c r="C12" s="50">
        <v>1151083.5</v>
      </c>
      <c r="D12" s="50">
        <v>1857840</v>
      </c>
      <c r="E12" s="50">
        <v>1735631</v>
      </c>
      <c r="F12" s="50">
        <v>1200927.5</v>
      </c>
      <c r="G12" s="17">
        <f t="shared" si="0"/>
        <v>5945482</v>
      </c>
      <c r="H12" s="17">
        <f t="shared" si="1"/>
        <v>432830.58576972439</v>
      </c>
      <c r="I12" s="17">
        <f t="shared" si="2"/>
        <v>5512651.4142302759</v>
      </c>
    </row>
    <row r="13" spans="1:9" ht="15.75" customHeight="1" x14ac:dyDescent="0.25">
      <c r="A13" s="5">
        <f t="shared" si="3"/>
        <v>2035</v>
      </c>
      <c r="B13" s="49">
        <v>374314</v>
      </c>
      <c r="C13" s="50">
        <v>1135336.5</v>
      </c>
      <c r="D13" s="50">
        <v>1866295.5</v>
      </c>
      <c r="E13" s="50">
        <v>1754842.5</v>
      </c>
      <c r="F13" s="50">
        <v>1238824</v>
      </c>
      <c r="G13" s="17">
        <f t="shared" si="0"/>
        <v>5995298.5</v>
      </c>
      <c r="H13" s="17">
        <f t="shared" si="1"/>
        <v>431106.45479192625</v>
      </c>
      <c r="I13" s="17">
        <f t="shared" si="2"/>
        <v>5564192.0452080742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jJM/SFSW7irLvrNSh1vaOSwOI1uoAPDYPGXPdzGborVt6pSnSa1c/PCXDvoCajcn3wVQKTxXwt2Hole0zxNsA==" saltValue="ql+Q4VuWcN1RRn4Ncuhas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2.3424999999999969E-3</v>
      </c>
    </row>
    <row r="4" spans="1:8" ht="15.75" customHeight="1" x14ac:dyDescent="0.25">
      <c r="B4" s="19" t="s">
        <v>79</v>
      </c>
      <c r="C4" s="101">
        <v>6.6525100000000059E-2</v>
      </c>
    </row>
    <row r="5" spans="1:8" ht="15.75" customHeight="1" x14ac:dyDescent="0.25">
      <c r="B5" s="19" t="s">
        <v>80</v>
      </c>
      <c r="C5" s="101">
        <v>3.4683200000000032E-2</v>
      </c>
    </row>
    <row r="6" spans="1:8" ht="15.75" customHeight="1" x14ac:dyDescent="0.25">
      <c r="B6" s="19" t="s">
        <v>81</v>
      </c>
      <c r="C6" s="101">
        <v>0.1965487000000001</v>
      </c>
    </row>
    <row r="7" spans="1:8" ht="15.75" customHeight="1" x14ac:dyDescent="0.25">
      <c r="B7" s="19" t="s">
        <v>82</v>
      </c>
      <c r="C7" s="101">
        <v>0.44584979999999957</v>
      </c>
    </row>
    <row r="8" spans="1:8" ht="15.75" customHeight="1" x14ac:dyDescent="0.25">
      <c r="B8" s="19" t="s">
        <v>83</v>
      </c>
      <c r="C8" s="101">
        <v>3.6609999999999979E-4</v>
      </c>
    </row>
    <row r="9" spans="1:8" ht="15.75" customHeight="1" x14ac:dyDescent="0.25">
      <c r="B9" s="19" t="s">
        <v>84</v>
      </c>
      <c r="C9" s="101">
        <v>0.17018749999999999</v>
      </c>
    </row>
    <row r="10" spans="1:8" ht="15.75" customHeight="1" x14ac:dyDescent="0.25">
      <c r="B10" s="19" t="s">
        <v>85</v>
      </c>
      <c r="C10" s="101">
        <v>8.349710000000013E-2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0.32204468469638381</v>
      </c>
      <c r="D14" s="55">
        <v>0.32204468469638381</v>
      </c>
      <c r="E14" s="55">
        <v>0.32204468469638381</v>
      </c>
      <c r="F14" s="55">
        <v>0.32204468469638381</v>
      </c>
    </row>
    <row r="15" spans="1:8" ht="15.75" customHeight="1" x14ac:dyDescent="0.25">
      <c r="B15" s="19" t="s">
        <v>88</v>
      </c>
      <c r="C15" s="101">
        <v>0.3757329104636849</v>
      </c>
      <c r="D15" s="101">
        <v>0.3757329104636849</v>
      </c>
      <c r="E15" s="101">
        <v>0.3757329104636849</v>
      </c>
      <c r="F15" s="101">
        <v>0.3757329104636849</v>
      </c>
    </row>
    <row r="16" spans="1:8" ht="15.75" customHeight="1" x14ac:dyDescent="0.25">
      <c r="B16" s="19" t="s">
        <v>89</v>
      </c>
      <c r="C16" s="101">
        <v>8.3301158821975311E-3</v>
      </c>
      <c r="D16" s="101">
        <v>8.3301158821975311E-3</v>
      </c>
      <c r="E16" s="101">
        <v>8.3301158821975311E-3</v>
      </c>
      <c r="F16" s="101">
        <v>8.3301158821975311E-3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2.6718060387780372E-4</v>
      </c>
      <c r="D18" s="101">
        <v>2.6718060387780372E-4</v>
      </c>
      <c r="E18" s="101">
        <v>2.6718060387780372E-4</v>
      </c>
      <c r="F18" s="101">
        <v>2.6718060387780372E-4</v>
      </c>
    </row>
    <row r="19" spans="1:8" ht="15.75" customHeight="1" x14ac:dyDescent="0.25">
      <c r="B19" s="19" t="s">
        <v>92</v>
      </c>
      <c r="C19" s="101">
        <v>1.0574113139588261E-2</v>
      </c>
      <c r="D19" s="101">
        <v>1.0574113139588261E-2</v>
      </c>
      <c r="E19" s="101">
        <v>1.0574113139588261E-2</v>
      </c>
      <c r="F19" s="101">
        <v>1.0574113139588261E-2</v>
      </c>
    </row>
    <row r="20" spans="1:8" ht="15.75" customHeight="1" x14ac:dyDescent="0.25">
      <c r="B20" s="19" t="s">
        <v>93</v>
      </c>
      <c r="C20" s="101">
        <v>3.9243099520798568E-2</v>
      </c>
      <c r="D20" s="101">
        <v>3.9243099520798568E-2</v>
      </c>
      <c r="E20" s="101">
        <v>3.9243099520798568E-2</v>
      </c>
      <c r="F20" s="101">
        <v>3.9243099520798568E-2</v>
      </c>
    </row>
    <row r="21" spans="1:8" ht="15.75" customHeight="1" x14ac:dyDescent="0.25">
      <c r="B21" s="19" t="s">
        <v>94</v>
      </c>
      <c r="C21" s="101">
        <v>0.1172818518600829</v>
      </c>
      <c r="D21" s="101">
        <v>0.1172818518600829</v>
      </c>
      <c r="E21" s="101">
        <v>0.1172818518600829</v>
      </c>
      <c r="F21" s="101">
        <v>0.1172818518600829</v>
      </c>
    </row>
    <row r="22" spans="1:8" ht="15.75" customHeight="1" x14ac:dyDescent="0.25">
      <c r="B22" s="19" t="s">
        <v>95</v>
      </c>
      <c r="C22" s="101">
        <v>0.12652604383338609</v>
      </c>
      <c r="D22" s="101">
        <v>0.12652604383338609</v>
      </c>
      <c r="E22" s="101">
        <v>0.12652604383338609</v>
      </c>
      <c r="F22" s="101">
        <v>0.12652604383338609</v>
      </c>
    </row>
    <row r="23" spans="1:8" ht="15.75" customHeight="1" x14ac:dyDescent="0.25">
      <c r="B23" s="27" t="s">
        <v>41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4.9290206000000003E-2</v>
      </c>
    </row>
    <row r="27" spans="1:8" ht="15.75" customHeight="1" x14ac:dyDescent="0.25">
      <c r="B27" s="19" t="s">
        <v>102</v>
      </c>
      <c r="C27" s="101">
        <v>2.8242382999999999E-2</v>
      </c>
    </row>
    <row r="28" spans="1:8" ht="15.75" customHeight="1" x14ac:dyDescent="0.25">
      <c r="B28" s="19" t="s">
        <v>103</v>
      </c>
      <c r="C28" s="101">
        <v>0.34948395100000001</v>
      </c>
    </row>
    <row r="29" spans="1:8" ht="15.75" customHeight="1" x14ac:dyDescent="0.25">
      <c r="B29" s="19" t="s">
        <v>104</v>
      </c>
      <c r="C29" s="101">
        <v>0.20214362399999999</v>
      </c>
    </row>
    <row r="30" spans="1:8" ht="15.75" customHeight="1" x14ac:dyDescent="0.25">
      <c r="B30" s="19" t="s">
        <v>2</v>
      </c>
      <c r="C30" s="101">
        <v>0.105324062</v>
      </c>
    </row>
    <row r="31" spans="1:8" ht="15.75" customHeight="1" x14ac:dyDescent="0.25">
      <c r="B31" s="19" t="s">
        <v>105</v>
      </c>
      <c r="C31" s="101">
        <v>5.5211837999999999E-2</v>
      </c>
    </row>
    <row r="32" spans="1:8" ht="15.75" customHeight="1" x14ac:dyDescent="0.25">
      <c r="B32" s="19" t="s">
        <v>106</v>
      </c>
      <c r="C32" s="101">
        <v>8.5237639999999996E-3</v>
      </c>
    </row>
    <row r="33" spans="2:3" ht="15.75" customHeight="1" x14ac:dyDescent="0.25">
      <c r="B33" s="19" t="s">
        <v>107</v>
      </c>
      <c r="C33" s="101">
        <v>0.16815316199999999</v>
      </c>
    </row>
    <row r="34" spans="2:3" ht="15.75" customHeight="1" x14ac:dyDescent="0.25">
      <c r="B34" s="19" t="s">
        <v>108</v>
      </c>
      <c r="C34" s="101">
        <v>3.3627008999999999E-2</v>
      </c>
    </row>
    <row r="35" spans="2:3" ht="15.75" customHeight="1" x14ac:dyDescent="0.25">
      <c r="B35" s="27" t="s">
        <v>41</v>
      </c>
      <c r="C35" s="48">
        <f>SUM(C26:C34)</f>
        <v>0.99999999899999992</v>
      </c>
    </row>
  </sheetData>
  <sheetProtection algorithmName="SHA-512" hashValue="kpTJJzG4OQ08JsaP5/K7vt7WOIULelp4pU8q162Hz5bGNcQ6sbu0t7POguJS+3yZwdkIPz0sIwyMnSqDeO+Vcw==" saltValue="bpSkw45IfmjrqpusUTVbT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0.30287646133877688</v>
      </c>
      <c r="D2" s="52">
        <f>IFERROR(1-_xlfn.NORM.DIST(_xlfn.NORM.INV(SUM(D4:D5), 0, 1) + 1, 0, 1, TRUE), "")</f>
        <v>0.30287646133877688</v>
      </c>
      <c r="E2" s="52">
        <f>IFERROR(1-_xlfn.NORM.DIST(_xlfn.NORM.INV(SUM(E4:E5), 0, 1) + 1, 0, 1, TRUE), "")</f>
        <v>0.26872002098883241</v>
      </c>
      <c r="F2" s="52">
        <f>IFERROR(1-_xlfn.NORM.DIST(_xlfn.NORM.INV(SUM(F4:F5), 0, 1) + 1, 0, 1, TRUE), "")</f>
        <v>0.15078540460114109</v>
      </c>
      <c r="G2" s="52">
        <f>IFERROR(1-_xlfn.NORM.DIST(_xlfn.NORM.INV(SUM(G4:G5), 0, 1) + 1, 0, 1, TRUE), "")</f>
        <v>0.16095228438042852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0.38287903866122308</v>
      </c>
      <c r="D3" s="52">
        <f>IFERROR(_xlfn.NORM.DIST(_xlfn.NORM.INV(SUM(D4:D5), 0, 1) + 1, 0, 1, TRUE) - SUM(D4:D5), "")</f>
        <v>0.38287903866122308</v>
      </c>
      <c r="E3" s="52">
        <f>IFERROR(_xlfn.NORM.DIST(_xlfn.NORM.INV(SUM(E4:E5), 0, 1) + 1, 0, 1, TRUE) - SUM(E4:E5), "")</f>
        <v>0.38053547901116758</v>
      </c>
      <c r="F3" s="52">
        <f>IFERROR(_xlfn.NORM.DIST(_xlfn.NORM.INV(SUM(F4:F5), 0, 1) + 1, 0, 1, TRUE) - SUM(F4:F5), "")</f>
        <v>0.3360236953988589</v>
      </c>
      <c r="G3" s="52">
        <f>IFERROR(_xlfn.NORM.DIST(_xlfn.NORM.INV(SUM(G4:G5), 0, 1) + 1, 0, 1, TRUE) - SUM(G4:G5), "")</f>
        <v>0.34281701561957145</v>
      </c>
    </row>
    <row r="4" spans="1:15" ht="15.75" customHeight="1" x14ac:dyDescent="0.25">
      <c r="B4" s="5" t="s">
        <v>114</v>
      </c>
      <c r="C4" s="45">
        <v>0.22817280000000001</v>
      </c>
      <c r="D4" s="53">
        <v>0.22817280000000001</v>
      </c>
      <c r="E4" s="53">
        <v>0.2445852</v>
      </c>
      <c r="F4" s="53">
        <v>0.30018359999999999</v>
      </c>
      <c r="G4" s="53">
        <v>0.31933080000000003</v>
      </c>
    </row>
    <row r="5" spans="1:15" ht="15.75" customHeight="1" x14ac:dyDescent="0.25">
      <c r="B5" s="5" t="s">
        <v>115</v>
      </c>
      <c r="C5" s="45">
        <v>8.6071700000000001E-2</v>
      </c>
      <c r="D5" s="53">
        <v>8.6071700000000001E-2</v>
      </c>
      <c r="E5" s="53">
        <v>0.1061593</v>
      </c>
      <c r="F5" s="53">
        <v>0.21300730000000001</v>
      </c>
      <c r="G5" s="53">
        <v>0.1768999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0.91001320031227306</v>
      </c>
      <c r="D8" s="52">
        <f>IFERROR(1-_xlfn.NORM.DIST(_xlfn.NORM.INV(SUM(D10:D11), 0, 1) + 1, 0, 1, TRUE), "")</f>
        <v>0.91001320031227306</v>
      </c>
      <c r="E8" s="52">
        <f>IFERROR(1-_xlfn.NORM.DIST(_xlfn.NORM.INV(SUM(E10:E11), 0, 1) + 1, 0, 1, TRUE), "")</f>
        <v>0.91472366966221252</v>
      </c>
      <c r="F8" s="52">
        <f>IFERROR(1-_xlfn.NORM.DIST(_xlfn.NORM.INV(SUM(F10:F11), 0, 1) + 1, 0, 1, TRUE), "")</f>
        <v>0.90238842198608749</v>
      </c>
      <c r="G8" s="52">
        <f>IFERROR(1-_xlfn.NORM.DIST(_xlfn.NORM.INV(SUM(G10:G11), 0, 1) + 1, 0, 1, TRUE), "")</f>
        <v>0.93550232588005555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8.0366499687726911E-2</v>
      </c>
      <c r="D9" s="52">
        <f>IFERROR(_xlfn.NORM.DIST(_xlfn.NORM.INV(SUM(D10:D11), 0, 1) + 1, 0, 1, TRUE) - SUM(D10:D11), "")</f>
        <v>8.0366499687726911E-2</v>
      </c>
      <c r="E9" s="52">
        <f>IFERROR(_xlfn.NORM.DIST(_xlfn.NORM.INV(SUM(E10:E11), 0, 1) + 1, 0, 1, TRUE) - SUM(E10:E11), "")</f>
        <v>7.6392630337787482E-2</v>
      </c>
      <c r="F9" s="52">
        <f>IFERROR(_xlfn.NORM.DIST(_xlfn.NORM.INV(SUM(F10:F11), 0, 1) + 1, 0, 1, TRUE) - SUM(F10:F11), "")</f>
        <v>8.6753078013912466E-2</v>
      </c>
      <c r="G9" s="52">
        <f>IFERROR(_xlfn.NORM.DIST(_xlfn.NORM.INV(SUM(G10:G11), 0, 1) + 1, 0, 1, TRUE) - SUM(G10:G11), "")</f>
        <v>5.8597774119944407E-2</v>
      </c>
    </row>
    <row r="10" spans="1:15" ht="15.75" customHeight="1" x14ac:dyDescent="0.25">
      <c r="B10" s="5" t="s">
        <v>119</v>
      </c>
      <c r="C10" s="45">
        <v>7.3385000000000004E-3</v>
      </c>
      <c r="D10" s="53">
        <v>7.3385000000000004E-3</v>
      </c>
      <c r="E10" s="53">
        <v>8.3902000000000004E-3</v>
      </c>
      <c r="F10" s="53">
        <v>1.03783E-2</v>
      </c>
      <c r="G10" s="53">
        <v>4.1657999999999999E-3</v>
      </c>
    </row>
    <row r="11" spans="1:15" ht="15.75" customHeight="1" x14ac:dyDescent="0.25">
      <c r="B11" s="5" t="s">
        <v>120</v>
      </c>
      <c r="C11" s="45">
        <v>2.2818000000000001E-3</v>
      </c>
      <c r="D11" s="53">
        <v>2.2818000000000001E-3</v>
      </c>
      <c r="E11" s="53">
        <v>4.9350000000000002E-4</v>
      </c>
      <c r="F11" s="53">
        <v>4.8020000000000002E-4</v>
      </c>
      <c r="G11" s="53">
        <v>1.7340999999999999E-3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0.66242282200000024</v>
      </c>
      <c r="D14" s="54">
        <v>0.62910825079199995</v>
      </c>
      <c r="E14" s="54">
        <v>0.62910825079199995</v>
      </c>
      <c r="F14" s="54">
        <v>0.35119943787399999</v>
      </c>
      <c r="G14" s="54">
        <v>0.35119943787399999</v>
      </c>
      <c r="H14" s="45">
        <v>0.25</v>
      </c>
      <c r="I14" s="55">
        <v>0.25</v>
      </c>
      <c r="J14" s="55">
        <v>0.25</v>
      </c>
      <c r="K14" s="55">
        <v>0.25</v>
      </c>
      <c r="L14" s="45">
        <v>0.159</v>
      </c>
      <c r="M14" s="55">
        <v>0.159</v>
      </c>
      <c r="N14" s="55">
        <v>0.159</v>
      </c>
      <c r="O14" s="55">
        <v>0.159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0.36478962384718017</v>
      </c>
      <c r="D15" s="52">
        <f t="shared" si="0"/>
        <v>0.34644362262864647</v>
      </c>
      <c r="E15" s="52">
        <f t="shared" si="0"/>
        <v>0.34644362262864647</v>
      </c>
      <c r="F15" s="52">
        <f t="shared" si="0"/>
        <v>0.19340201844283306</v>
      </c>
      <c r="G15" s="52">
        <f t="shared" si="0"/>
        <v>0.19340201844283306</v>
      </c>
      <c r="H15" s="52">
        <f t="shared" si="0"/>
        <v>0.1376725</v>
      </c>
      <c r="I15" s="52">
        <f t="shared" si="0"/>
        <v>0.1376725</v>
      </c>
      <c r="J15" s="52">
        <f t="shared" si="0"/>
        <v>0.1376725</v>
      </c>
      <c r="K15" s="52">
        <f t="shared" si="0"/>
        <v>0.1376725</v>
      </c>
      <c r="L15" s="52">
        <f t="shared" si="0"/>
        <v>8.7559709999999999E-2</v>
      </c>
      <c r="M15" s="52">
        <f t="shared" si="0"/>
        <v>8.7559709999999999E-2</v>
      </c>
      <c r="N15" s="52">
        <f t="shared" si="0"/>
        <v>8.7559709999999999E-2</v>
      </c>
      <c r="O15" s="52">
        <f t="shared" si="0"/>
        <v>8.7559709999999999E-2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LHd5QQwuM1waq+/51u+AqDfhNt9TPqG8lhN60EnTHQpHAKlAbZ/jUEpXcpNmemtDs1Jba8+j7h7W8uPSG4rJg==" saltValue="VGcibqbzK476D5royzJo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0.63745839999999998</v>
      </c>
      <c r="D2" s="53">
        <v>0.51996969999999998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0.1352931</v>
      </c>
      <c r="D3" s="53">
        <v>0.1694262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0.19128139999999999</v>
      </c>
      <c r="D4" s="53">
        <v>0.25796720000000001</v>
      </c>
      <c r="E4" s="53">
        <v>0.90781040000000002</v>
      </c>
      <c r="F4" s="53">
        <v>0.72040629999999994</v>
      </c>
      <c r="G4" s="53">
        <v>0</v>
      </c>
    </row>
    <row r="5" spans="1:7" x14ac:dyDescent="0.25">
      <c r="B5" s="3" t="s">
        <v>132</v>
      </c>
      <c r="C5" s="52">
        <v>3.5967199999999998E-2</v>
      </c>
      <c r="D5" s="52">
        <v>5.2636799999999997E-2</v>
      </c>
      <c r="E5" s="52">
        <f>1-SUM(E2:E4)</f>
        <v>9.2189599999999983E-2</v>
      </c>
      <c r="F5" s="52">
        <f>1-SUM(F2:F4)</f>
        <v>0.27959370000000006</v>
      </c>
      <c r="G5" s="52">
        <f>1-SUM(G2:G4)</f>
        <v>1</v>
      </c>
    </row>
  </sheetData>
  <sheetProtection algorithmName="SHA-512" hashValue="11qEX8xr+ynx7XnPKdhF7qouVtDzfZ7dmp0VHKT5UUWRXyxPpXBzbBuKMTtR5mvHWWgBSPdRLgbSMUWkRZybWw==" saltValue="TUC227fxDnTESqUOiwjLP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Q9a8bvx0QA+ZZyqWiiayahiivs3jsgHDy2wfOFlxotn+9vnJJzoxOcSFvcrncgvMDjLp/eR5OlUeTxs2HtaWg==" saltValue="01grP1bId9E8kqo/I5w7V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oEPDUtd8wNH7ZWQNmEZh9dE/sak+F4pU+v0EKZrIdfNjtus58qHEZY7Si5ZwzGIHhIw81vQpu1udnTu3TOu/5Q==" saltValue="ARdL/qa5Z6mNx/6Bolx+I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Gs4hzzPySlemPB17yhLaSZ/ohfMEEbwMCjS4OhGn5bOU1fdzYqguxI5gTUxP6qnuJ8Y2yp7Rp/I3GDT4to47KQ==" saltValue="PEahxXnUTiXd9lrfZN1m+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g83JAzIBgCLBV5J8fAALIq1I4Mx17zAcxG8/B2cVBbm8EnD2BJg7akPgHOpr/HJL0gdKm3LoQnQGlOXWh0Gm6A==" saltValue="lZie/sgOqPH2miscW/oAI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58.046796887133439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0.22623392060814199</v>
      </c>
      <c r="C3" s="98">
        <v>0.95</v>
      </c>
      <c r="D3" s="56">
        <v>39.880519812243307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414.67441286273032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0.60896058055806912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0.2933268</v>
      </c>
      <c r="C10" s="98">
        <v>0.95</v>
      </c>
      <c r="D10" s="56">
        <v>13.01281925603921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0.2933268</v>
      </c>
      <c r="C11" s="98">
        <v>0.95</v>
      </c>
      <c r="D11" s="56">
        <v>13.01281925603921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0.2933268</v>
      </c>
      <c r="C12" s="98">
        <v>0.95</v>
      </c>
      <c r="D12" s="56">
        <v>13.01281925603921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0.2933268</v>
      </c>
      <c r="C13" s="98">
        <v>0.95</v>
      </c>
      <c r="D13" s="56">
        <v>13.01281925603921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0.2933268</v>
      </c>
      <c r="C14" s="98">
        <v>0.95</v>
      </c>
      <c r="D14" s="56">
        <v>13.01281925603921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0.2933268</v>
      </c>
      <c r="C15" s="98">
        <v>0.95</v>
      </c>
      <c r="D15" s="56">
        <v>13.01281925603921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0.9</v>
      </c>
      <c r="C16" s="98">
        <v>0.95</v>
      </c>
      <c r="D16" s="56">
        <v>0.71958505593456223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0.35743333333333299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9.3404655119999999E-2</v>
      </c>
      <c r="C18" s="98">
        <v>0.95</v>
      </c>
      <c r="D18" s="56">
        <v>9.5596491969757462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0.69621730000000004</v>
      </c>
      <c r="C19" s="98">
        <v>0.95</v>
      </c>
      <c r="D19" s="56">
        <v>9.5596491969757462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0.77731530000000004</v>
      </c>
      <c r="C21" s="98">
        <v>0.95</v>
      </c>
      <c r="D21" s="56">
        <v>7.0854510124004477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22.45630615654899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4.2797375448782464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0.62022769692004798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0.2933268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18.574405815047299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0.48639321707995198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113.6877099192675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0.26</v>
      </c>
      <c r="C31" s="98">
        <v>0.95</v>
      </c>
      <c r="D31" s="56">
        <v>0.15047472246892171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1.545126983877527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0.26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0.59367320000000001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0.48848520000000001</v>
      </c>
      <c r="C38" s="98">
        <v>0.95</v>
      </c>
      <c r="D38" s="56">
        <v>7.1150145338447288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4Q4p60vvr0isapMdUpk45yKGWChCQpGCSwq75ObN91KhYppQFGzIFbjpnNr8TS9EXARCTUXCfA6sOgyGFXcYtA==" saltValue="SN3Lcb5bN8GxRc40cuBW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0VhmIfwvZr59OND7t+tW1WDNEG+Zr3ersMud8SN+lXDvAYN+IFggJS1Q4z8WgH/Eb77G8TZwk1FCUDximYOMnA==" saltValue="K+/72JbQC2naMxA44VAP6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e7tKMmfGLj6y0gWWPPKrnkqx9aKjmdV5mek2Z+9yLIj88vkFG/zp1uJl3SIDhie7bfK4yAjdjAhqTNdqRxqwg==" saltValue="nulLUw/OyPUzXHmbT96dE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1.9080100000000003E-2</v>
      </c>
      <c r="C3" s="21">
        <f>frac_mam_1_5months * 2.6</f>
        <v>1.9080100000000003E-2</v>
      </c>
      <c r="D3" s="21">
        <f>frac_mam_6_11months * 2.6</f>
        <v>2.181452E-2</v>
      </c>
      <c r="E3" s="21">
        <f>frac_mam_12_23months * 2.6</f>
        <v>2.698358E-2</v>
      </c>
      <c r="F3" s="21">
        <f>frac_mam_24_59months * 2.6</f>
        <v>1.083108E-2</v>
      </c>
    </row>
    <row r="4" spans="1:6" ht="15.75" customHeight="1" x14ac:dyDescent="0.25">
      <c r="A4" s="3" t="s">
        <v>208</v>
      </c>
      <c r="B4" s="21">
        <f>frac_sam_1month * 2.6</f>
        <v>5.9326800000000001E-3</v>
      </c>
      <c r="C4" s="21">
        <f>frac_sam_1_5months * 2.6</f>
        <v>5.9326800000000001E-3</v>
      </c>
      <c r="D4" s="21">
        <f>frac_sam_6_11months * 2.6</f>
        <v>1.2831000000000001E-3</v>
      </c>
      <c r="E4" s="21">
        <f>frac_sam_12_23months * 2.6</f>
        <v>1.2485200000000001E-3</v>
      </c>
      <c r="F4" s="21">
        <f>frac_sam_24_59months * 2.6</f>
        <v>4.5086600000000003E-3</v>
      </c>
    </row>
  </sheetData>
  <sheetProtection algorithmName="SHA-512" hashValue="dZWsB0CwTocoo3qqfYrG943PqrbW5vUfY5vCbz3hOjEBMDr8MUQO2K5yGrgLc8eiEOxijGI/Wcd9PwG2m7r+Bg==" saltValue="2qq8dMxf0bQkUhMGoUrNp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8.6999999999999994E-2</v>
      </c>
      <c r="E2" s="60">
        <f>food_insecure</f>
        <v>8.6999999999999994E-2</v>
      </c>
      <c r="F2" s="60">
        <f>food_insecure</f>
        <v>8.6999999999999994E-2</v>
      </c>
      <c r="G2" s="60">
        <f>food_insecure</f>
        <v>8.6999999999999994E-2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8.6999999999999994E-2</v>
      </c>
      <c r="F5" s="60">
        <f>food_insecure</f>
        <v>8.6999999999999994E-2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8.6999999999999994E-2</v>
      </c>
      <c r="F8" s="60">
        <f>food_insecure</f>
        <v>8.6999999999999994E-2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8.6999999999999994E-2</v>
      </c>
      <c r="F9" s="60">
        <f>food_insecure</f>
        <v>8.6999999999999994E-2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8.6999999999999994E-2</v>
      </c>
      <c r="I15" s="60">
        <f>food_insecure</f>
        <v>8.6999999999999994E-2</v>
      </c>
      <c r="J15" s="60">
        <f>food_insecure</f>
        <v>8.6999999999999994E-2</v>
      </c>
      <c r="K15" s="60">
        <f>food_insecure</f>
        <v>8.6999999999999994E-2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2.5000000000000001E-2</v>
      </c>
      <c r="I19" s="60">
        <f>frac_malaria_risk</f>
        <v>2.5000000000000001E-2</v>
      </c>
      <c r="J19" s="60">
        <f>frac_malaria_risk</f>
        <v>2.5000000000000001E-2</v>
      </c>
      <c r="K19" s="60">
        <f>frac_malaria_risk</f>
        <v>2.5000000000000001E-2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0.34399999999999997</v>
      </c>
      <c r="M24" s="60">
        <f>famplan_unmet_need</f>
        <v>0.34399999999999997</v>
      </c>
      <c r="N24" s="60">
        <f>famplan_unmet_need</f>
        <v>0.34399999999999997</v>
      </c>
      <c r="O24" s="60">
        <f>famplan_unmet_need</f>
        <v>0.34399999999999997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0.29166251004905708</v>
      </c>
      <c r="M25" s="60">
        <f>(1-food_insecure)*(0.49)+food_insecure*(0.7)</f>
        <v>0.50827</v>
      </c>
      <c r="N25" s="60">
        <f>(1-food_insecure)*(0.49)+food_insecure*(0.7)</f>
        <v>0.50827</v>
      </c>
      <c r="O25" s="60">
        <f>(1-food_insecure)*(0.49)+food_insecure*(0.7)</f>
        <v>0.50827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0.12499821859245305</v>
      </c>
      <c r="M26" s="60">
        <f>(1-food_insecure)*(0.21)+food_insecure*(0.3)</f>
        <v>0.21783000000000002</v>
      </c>
      <c r="N26" s="60">
        <f>(1-food_insecure)*(0.21)+food_insecure*(0.3)</f>
        <v>0.21783000000000002</v>
      </c>
      <c r="O26" s="60">
        <f>(1-food_insecure)*(0.21)+food_insecure*(0.3)</f>
        <v>0.21783000000000002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0.1571730802574158</v>
      </c>
      <c r="M27" s="60">
        <f>(1-food_insecure)*(0.3)</f>
        <v>0.27389999999999998</v>
      </c>
      <c r="N27" s="60">
        <f>(1-food_insecure)*(0.3)</f>
        <v>0.27389999999999998</v>
      </c>
      <c r="O27" s="60">
        <f>(1-food_insecure)*(0.3)</f>
        <v>0.27389999999999998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0.42616619110107401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2.5000000000000001E-2</v>
      </c>
      <c r="D34" s="60">
        <f t="shared" si="3"/>
        <v>2.5000000000000001E-2</v>
      </c>
      <c r="E34" s="60">
        <f t="shared" si="3"/>
        <v>2.5000000000000001E-2</v>
      </c>
      <c r="F34" s="60">
        <f t="shared" si="3"/>
        <v>2.5000000000000001E-2</v>
      </c>
      <c r="G34" s="60">
        <f t="shared" si="3"/>
        <v>2.5000000000000001E-2</v>
      </c>
      <c r="H34" s="60">
        <f t="shared" si="3"/>
        <v>2.5000000000000001E-2</v>
      </c>
      <c r="I34" s="60">
        <f t="shared" si="3"/>
        <v>2.5000000000000001E-2</v>
      </c>
      <c r="J34" s="60">
        <f t="shared" si="3"/>
        <v>2.5000000000000001E-2</v>
      </c>
      <c r="K34" s="60">
        <f t="shared" si="3"/>
        <v>2.5000000000000001E-2</v>
      </c>
      <c r="L34" s="60">
        <f t="shared" si="3"/>
        <v>2.5000000000000001E-2</v>
      </c>
      <c r="M34" s="60">
        <f t="shared" si="3"/>
        <v>2.5000000000000001E-2</v>
      </c>
      <c r="N34" s="60">
        <f t="shared" si="3"/>
        <v>2.5000000000000001E-2</v>
      </c>
      <c r="O34" s="60">
        <f t="shared" si="3"/>
        <v>2.5000000000000001E-2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HYOnXB/Y7PBdcbCW1xtl6/xTzSXT9TPR0xJwIxalMWpBvbQuLRPEjN/mPlsVsE+t56pIFs8MLHT0p/7s18ebxA==" saltValue="m8OkZ9htX4BHcufYXHVDk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BL18GgfrSwULZzFTDuODEBaHxiJ642NDH7zM8X2uEQ6dg1lYpfwtw1Yyx7cKOurCBxeD0xv5obtkqxB40IegFg==" saltValue="FE5pP7tTq4Cz5FAk7r+Bf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8PtTbXJPFOsRZ8LvgXpWpC8cYGSRPw/QNhstEhb5TweeCP8jRHBrCaqwizK8ax2QVHWwaH8aLzipbe0Q4ns4xQ==" saltValue="iuzWeujrOc3t572RZVAcs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9eHo7XO/Q1+/UyputG1RHeEZvgYLeR9KMeiwZKOwZ18kA3whysYLsCj3nrUgW+skQUjGWOgx5SRG/3HSiM7KwA==" saltValue="RXvtzYHPC3XVecJcJoq+2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OvrBD1AJQ08DqsS2gt2aaNlpw0UXjQg8t0hpyAoeBlvUywonumfo5S8E7KBPe5WcvXtVhTSoV/Gg/QYKc0Iedw==" saltValue="7l/KUIKyQ30/+n9xCJjer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wAGzjwHxouW+Uoqgd2VU2yp3HdV8XmeEBxOC4mhxo9k3xi3qQKsDtmy6cDgPKitQCoCONWs/D4+oF9bO9jtKGQ==" saltValue="ztpNwTI9kTgsItOH/B4K3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VuFBV2dpstIe+T6v2TBKFsq4PMQ7M3/5xXyyrXEws5ReHrOP7yz8xIc0SMWyEHequk8MJp1wRqqws41ZJ1Mggg==" saltValue="h0nvTpfYTesZB1YOed4XY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bGCps5J0cbQjUa/NTq9liOUIs/CNdB3GHJ+pp9vtlpY6ErwxNTTyCmZ58obd2FE/3oFunHTsC9fCbtIDPbzhg==" saltValue="u6PxBCAR+4BkG9SLGPJ44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jLw8sqJrS98RgnGmI7+QW0SRsJbixNIVmWzzFYFKv2/Ucx4FmjFooulA/CYFPX00muNVezCk1weKCT5c0RfVGw==" saltValue="Kiybz3bVSE1Wj4EK3/Q7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tpaZn7GmXty/9Zub54OelZXKH8Xe+ix0+K5g6tqRqK/ASiiCAMs4oE2ga+K8J0R+gBi7qaU0N+r28aFfkiISxA==" saltValue="201v2WaCEgq566PmZ/DB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71HD3Wp5QOniDcnoDC7zymxLVON/QuFS619r2UQsJI/V5CJjST89YoKqpsxzkz9MMfBjWv/M/X0sxXuekwG3nQ==" saltValue="LBOwcJCtP30yRFAG5/og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3RBLecbGM7neMHMK/TopL5lofQlY8e6zGtxt7if/+iAABhGH1Mn5/zSSAQj2TrX9NMe8wadQKTLjas7B/CPjQ==" saltValue="e5nkIMAlceTp3IXZc2Tc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vTXsK5004SO3iQa8o+sFDbjMydXxSmbSGIGAouevxaejCeNhlblpGAv4CwsWDXCtAZc4r3uTCmbXAjhYoArlQ==" saltValue="VI1JzNB2yZGWyguMg+L4r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a0+saLTMSZuH/CsoasosNi4flOr8Y8TL176cghVtqsvmHuFj6G9DaOsDBjUAAFeM9rLKJmmKtgOAiaYoiB9Qg==" saltValue="C2HoEfTy1Y1uR9DHKWnr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i6rp+889mLLewB2J0cozCbm+ENKqG/sY/Bpkis/AVVFpGZU2EI1u+6PVLpzYrhVZCHPt6lj++2qxq/JiyD/xdw==" saltValue="OuoNyuuxvIKkAnmCTP6lq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2024-05-17T00:28:32Z</dcterms:modified>
</cp:coreProperties>
</file>