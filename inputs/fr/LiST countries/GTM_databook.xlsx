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36FB6A6-57AA-4252-9BBE-586F43D0484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5" i="2"/>
  <c r="A37" i="2"/>
  <c r="A23" i="2"/>
  <c r="A24" i="2"/>
  <c r="A36" i="2"/>
  <c r="I9" i="2"/>
  <c r="I13" i="2"/>
  <c r="A26" i="2"/>
  <c r="I39" i="2"/>
  <c r="A34" i="2"/>
  <c r="A40" i="2"/>
  <c r="A31" i="2"/>
  <c r="I2" i="2"/>
  <c r="I6" i="2"/>
  <c r="A19" i="2"/>
  <c r="A35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<sst xmlns="http://schemas.openxmlformats.org/spreadsheetml/2006/main" count="2169" uniqueCount="369">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</sst>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1851093</v>
      </c>
    </row>
    <row r="8" spans="1:3" ht="15" customHeight="1" x14ac:dyDescent="0.25">
      <c r="B8" s="5" t="s">
        <v>37</v>
      </c>
      <c r="C8" s="44">
        <v>0.59299999999999997</v>
      </c>
    </row>
    <row r="9" spans="1:3" ht="15" customHeight="1" x14ac:dyDescent="0.25">
      <c r="B9" s="5" t="s">
        <v>38</v>
      </c>
      <c r="C9" s="45">
        <v>2.5000000000000001E-2</v>
      </c>
    </row>
    <row r="10" spans="1:3" ht="15" customHeight="1" x14ac:dyDescent="0.25">
      <c r="B10" s="5" t="s">
        <v>39</v>
      </c>
      <c r="C10" s="45">
        <v>0.42979260000000002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0.1226</v>
      </c>
    </row>
    <row r="24" spans="1:3" ht="15" customHeight="1" x14ac:dyDescent="0.25">
      <c r="B24" s="15" t="s">
        <v>51</v>
      </c>
      <c r="C24" s="45">
        <v>0.47810000000000002</v>
      </c>
    </row>
    <row r="25" spans="1:3" ht="15" customHeight="1" x14ac:dyDescent="0.25">
      <c r="B25" s="15" t="s">
        <v>52</v>
      </c>
      <c r="C25" s="45">
        <v>0.32329999999999998</v>
      </c>
    </row>
    <row r="26" spans="1:3" ht="15" customHeight="1" x14ac:dyDescent="0.25">
      <c r="B26" s="15" t="s">
        <v>53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0.31902004302312198</v>
      </c>
    </row>
    <row r="30" spans="1:3" ht="14.25" customHeight="1" x14ac:dyDescent="0.25">
      <c r="B30" s="25" t="s">
        <v>56</v>
      </c>
      <c r="C30" s="97">
        <v>3.89276953654537E-2</v>
      </c>
    </row>
    <row r="31" spans="1:3" ht="14.25" customHeight="1" x14ac:dyDescent="0.25">
      <c r="B31" s="25" t="s">
        <v>57</v>
      </c>
      <c r="C31" s="97">
        <v>8.8909302097760101E-2</v>
      </c>
    </row>
    <row r="32" spans="1:3" ht="14.25" customHeight="1" x14ac:dyDescent="0.25">
      <c r="B32" s="25" t="s">
        <v>58</v>
      </c>
      <c r="C32" s="97">
        <v>0.55314295951366399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10.801</v>
      </c>
    </row>
    <row r="38" spans="1:5" ht="15" customHeight="1" x14ac:dyDescent="0.25">
      <c r="B38" s="11" t="s">
        <v>63</v>
      </c>
      <c r="C38" s="43">
        <v>19.559259999999998</v>
      </c>
      <c r="D38" s="12"/>
      <c r="E38" s="13"/>
    </row>
    <row r="39" spans="1:5" ht="15" customHeight="1" x14ac:dyDescent="0.25">
      <c r="B39" s="11" t="s">
        <v>64</v>
      </c>
      <c r="C39" s="43">
        <v>23.019259999999999</v>
      </c>
      <c r="D39" s="12"/>
      <c r="E39" s="12"/>
    </row>
    <row r="40" spans="1:5" ht="15" customHeight="1" x14ac:dyDescent="0.25">
      <c r="B40" s="11" t="s">
        <v>65</v>
      </c>
      <c r="C40" s="98">
        <v>0.96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8.9353000000000002E-3</v>
      </c>
      <c r="D45" s="12"/>
    </row>
    <row r="46" spans="1:5" ht="15.75" customHeight="1" x14ac:dyDescent="0.25">
      <c r="B46" s="11" t="s">
        <v>70</v>
      </c>
      <c r="C46" s="45">
        <v>9.5860400000000012E-2</v>
      </c>
      <c r="D46" s="12"/>
    </row>
    <row r="47" spans="1:5" ht="15.75" customHeight="1" x14ac:dyDescent="0.25">
      <c r="B47" s="11" t="s">
        <v>71</v>
      </c>
      <c r="C47" s="45">
        <v>0.16790920000000001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2.99</v>
      </c>
      <c r="D51" s="12"/>
    </row>
    <row r="52" spans="1:4" ht="15" customHeight="1" x14ac:dyDescent="0.25">
      <c r="B52" s="11" t="s">
        <v>75</v>
      </c>
      <c r="C52" s="98">
        <v>2.99</v>
      </c>
    </row>
    <row r="53" spans="1:4" ht="15.75" customHeight="1" x14ac:dyDescent="0.25">
      <c r="B53" s="11" t="s">
        <v>76</v>
      </c>
      <c r="C53" s="98">
        <v>6.7080000000000002</v>
      </c>
    </row>
    <row r="54" spans="1:4" ht="15.75" customHeight="1" x14ac:dyDescent="0.25">
      <c r="B54" s="11" t="s">
        <v>77</v>
      </c>
      <c r="C54" s="98">
        <v>8.0079999999999991</v>
      </c>
    </row>
    <row r="55" spans="1:4" ht="15.75" customHeight="1" x14ac:dyDescent="0.25">
      <c r="B55" s="11" t="s">
        <v>78</v>
      </c>
      <c r="C55" s="98">
        <v>4.012666666666667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0.55069000000000001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0.1449437989</v>
      </c>
    </row>
    <row r="63" spans="1:4" ht="15.75" customHeight="1" x14ac:dyDescent="0.3">
      <c r="A63" s="4"/>
    </row>
  </sheetData>
  <sheetProtection algorithmName="SHA-512" hashValue="C4iCgMUTW6aa09Hl09zNoIaxn9VemNYuwkw27/qJ7rU38ozWg6CM1sI/d4htUxjeh4+C1ZwR1r7zx6MHPbxCzQ==" saltValue="jvr1xFoDnAhM39EOCLtP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OrM9cm4Jr6+wvHWxwDM15mMF8eNeByzcV2T38NAEF2PCUq8nHn/hVBXE+r3GC8VyrDmBdqa831E54XZrqpzaQ==" saltValue="waXN+7wPd09a+gB7F/pJ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2.3424999999999969E-3</v>
      </c>
    </row>
    <row r="4" spans="1:8" ht="15.75" customHeight="1" x14ac:dyDescent="0.25">
      <c r="B4" s="19" t="s">
        <v>97</v>
      </c>
      <c r="C4" s="99">
        <v>6.6525100000000059E-2</v>
      </c>
    </row>
    <row r="5" spans="1:8" ht="15.75" customHeight="1" x14ac:dyDescent="0.25">
      <c r="B5" s="19" t="s">
        <v>98</v>
      </c>
      <c r="C5" s="99">
        <v>3.4683200000000032E-2</v>
      </c>
    </row>
    <row r="6" spans="1:8" ht="15.75" customHeight="1" x14ac:dyDescent="0.25">
      <c r="B6" s="19" t="s">
        <v>99</v>
      </c>
      <c r="C6" s="99">
        <v>0.1965487000000001</v>
      </c>
    </row>
    <row r="7" spans="1:8" ht="15.75" customHeight="1" x14ac:dyDescent="0.25">
      <c r="B7" s="19" t="s">
        <v>100</v>
      </c>
      <c r="C7" s="99">
        <v>0.44584979999999957</v>
      </c>
    </row>
    <row r="8" spans="1:8" ht="15.75" customHeight="1" x14ac:dyDescent="0.25">
      <c r="B8" s="19" t="s">
        <v>101</v>
      </c>
      <c r="C8" s="99">
        <v>3.6609999999999979E-4</v>
      </c>
    </row>
    <row r="9" spans="1:8" ht="15.75" customHeight="1" x14ac:dyDescent="0.25">
      <c r="B9" s="19" t="s">
        <v>102</v>
      </c>
      <c r="C9" s="99">
        <v>0.17018749999999999</v>
      </c>
    </row>
    <row r="10" spans="1:8" ht="15.75" customHeight="1" x14ac:dyDescent="0.25">
      <c r="B10" s="19" t="s">
        <v>103</v>
      </c>
      <c r="C10" s="99">
        <v>8.349710000000013E-2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106</v>
      </c>
      <c r="C15" s="99">
        <v>0.3757329104636849</v>
      </c>
      <c r="D15" s="99">
        <v>0.3757329104636849</v>
      </c>
      <c r="E15" s="99">
        <v>0.3757329104636849</v>
      </c>
      <c r="F15" s="99">
        <v>0.3757329104636849</v>
      </c>
    </row>
    <row r="16" spans="1:8" ht="15.75" customHeight="1" x14ac:dyDescent="0.25">
      <c r="B16" s="19" t="s">
        <v>107</v>
      </c>
      <c r="C16" s="99">
        <v>8.3301158821975311E-3</v>
      </c>
      <c r="D16" s="99">
        <v>8.3301158821975311E-3</v>
      </c>
      <c r="E16" s="99">
        <v>8.3301158821975311E-3</v>
      </c>
      <c r="F16" s="99">
        <v>8.3301158821975311E-3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2.6718060387780372E-4</v>
      </c>
      <c r="D18" s="99">
        <v>2.6718060387780372E-4</v>
      </c>
      <c r="E18" s="99">
        <v>2.6718060387780372E-4</v>
      </c>
      <c r="F18" s="99">
        <v>2.6718060387780372E-4</v>
      </c>
    </row>
    <row r="19" spans="1:8" ht="15.75" customHeight="1" x14ac:dyDescent="0.25">
      <c r="B19" s="19" t="s">
        <v>110</v>
      </c>
      <c r="C19" s="99">
        <v>1.0574113139588261E-2</v>
      </c>
      <c r="D19" s="99">
        <v>1.0574113139588261E-2</v>
      </c>
      <c r="E19" s="99">
        <v>1.0574113139588261E-2</v>
      </c>
      <c r="F19" s="99">
        <v>1.0574113139588261E-2</v>
      </c>
    </row>
    <row r="20" spans="1:8" ht="15.75" customHeight="1" x14ac:dyDescent="0.25">
      <c r="B20" s="19" t="s">
        <v>111</v>
      </c>
      <c r="C20" s="99">
        <v>3.9243099520798568E-2</v>
      </c>
      <c r="D20" s="99">
        <v>3.9243099520798568E-2</v>
      </c>
      <c r="E20" s="99">
        <v>3.9243099520798568E-2</v>
      </c>
      <c r="F20" s="99">
        <v>3.9243099520798568E-2</v>
      </c>
    </row>
    <row r="21" spans="1:8" ht="15.75" customHeight="1" x14ac:dyDescent="0.25">
      <c r="B21" s="19" t="s">
        <v>112</v>
      </c>
      <c r="C21" s="99">
        <v>0.1172818518600829</v>
      </c>
      <c r="D21" s="99">
        <v>0.1172818518600829</v>
      </c>
      <c r="E21" s="99">
        <v>0.1172818518600829</v>
      </c>
      <c r="F21" s="99">
        <v>0.1172818518600829</v>
      </c>
    </row>
    <row r="22" spans="1:8" ht="15.75" customHeight="1" x14ac:dyDescent="0.25">
      <c r="B22" s="19" t="s">
        <v>113</v>
      </c>
      <c r="C22" s="99">
        <v>0.12652604383338609</v>
      </c>
      <c r="D22" s="99">
        <v>0.12652604383338609</v>
      </c>
      <c r="E22" s="99">
        <v>0.12652604383338609</v>
      </c>
      <c r="F22" s="99">
        <v>0.12652604383338609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4.9290206000000003E-2</v>
      </c>
    </row>
    <row r="27" spans="1:8" ht="15.75" customHeight="1" x14ac:dyDescent="0.25">
      <c r="B27" s="19" t="s">
        <v>120</v>
      </c>
      <c r="C27" s="99">
        <v>2.8242382999999999E-2</v>
      </c>
    </row>
    <row r="28" spans="1:8" ht="15.75" customHeight="1" x14ac:dyDescent="0.25">
      <c r="B28" s="19" t="s">
        <v>121</v>
      </c>
      <c r="C28" s="99">
        <v>0.34948395100000001</v>
      </c>
    </row>
    <row r="29" spans="1:8" ht="15.75" customHeight="1" x14ac:dyDescent="0.25">
      <c r="B29" s="19" t="s">
        <v>122</v>
      </c>
      <c r="C29" s="99">
        <v>0.20214362399999999</v>
      </c>
    </row>
    <row r="30" spans="1:8" ht="15.75" customHeight="1" x14ac:dyDescent="0.25">
      <c r="B30" s="19" t="s">
        <v>2</v>
      </c>
      <c r="C30" s="99">
        <v>0.105324062</v>
      </c>
    </row>
    <row r="31" spans="1:8" ht="15.75" customHeight="1" x14ac:dyDescent="0.25">
      <c r="B31" s="19" t="s">
        <v>123</v>
      </c>
      <c r="C31" s="99">
        <v>5.5211837999999999E-2</v>
      </c>
    </row>
    <row r="32" spans="1:8" ht="15.75" customHeight="1" x14ac:dyDescent="0.25">
      <c r="B32" s="19" t="s">
        <v>124</v>
      </c>
      <c r="C32" s="99">
        <v>8.5237639999999996E-3</v>
      </c>
    </row>
    <row r="33" spans="2:3" ht="15.75" customHeight="1" x14ac:dyDescent="0.25">
      <c r="B33" s="19" t="s">
        <v>125</v>
      </c>
      <c r="C33" s="99">
        <v>0.16815316199999999</v>
      </c>
    </row>
    <row r="34" spans="2:3" ht="15.75" customHeight="1" x14ac:dyDescent="0.25">
      <c r="B34" s="19" t="s">
        <v>126</v>
      </c>
      <c r="C34" s="99">
        <v>3.3627008999999999E-2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TznglF4eqbWoWAxj6E7QKnMtP1OLCBTpCGPscYFKbMOLu6K0H75v4RjWXyNXMiClEu2OsgX50IgfwaGiRQzPtQ==" saltValue="6kyGYxA8/S77Y74AiSFH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132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133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137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138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apQtaFm5tt7dvqafaE3tZgBMPsIL+HLc3MpmxkuqpDE0vZAqi8oDIAPDZx2BapkxuqPtVBZCLsPdvMFuRSLPQ==" saltValue="ADsVGcRJuWu41QWQeZZ+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x+gdemE2+Y49Aa71H6oU7ZBVAzvumAPlnQP+LbgHnjouk27+3ZRZMIfHC+s69gYAm+KWH8Tbz/ioqktLbu/ucw==" saltValue="TWB2mm04FuqEqMG5G3P27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aOqeTGjC1KaRiaX4OpXcTViJAT8c/c2lrxRXQrpciUFR9UgUHfg5DPBDxCf5kWol4gguPfHXdZ6LQqn3HWQqw==" saltValue="htAzZim/HVn9TzrZIQa0x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5473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0.47659000000000001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0.42270000000000002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1.4975176239732619E-2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97575.427049999998</v>
      </c>
      <c r="C22" s="107">
        <v>97418.053369999994</v>
      </c>
      <c r="D22" s="107">
        <v>97217.393450000003</v>
      </c>
      <c r="E22" s="107">
        <v>96540.964479999995</v>
      </c>
      <c r="F22" s="107">
        <v>95575.929019999996</v>
      </c>
      <c r="G22" s="107">
        <v>94481.133749999994</v>
      </c>
      <c r="H22" s="107">
        <v>93369.910749999995</v>
      </c>
      <c r="I22" s="107">
        <v>91950.033089999997</v>
      </c>
      <c r="J22" s="107">
        <v>90188.068660000004</v>
      </c>
      <c r="K22" s="107">
        <v>87877.820219999994</v>
      </c>
      <c r="L22" s="107">
        <v>84424.451419999998</v>
      </c>
      <c r="M22" s="107">
        <v>79380.982839999997</v>
      </c>
      <c r="N22" s="107">
        <v>73489.285189999995</v>
      </c>
      <c r="O22" s="107">
        <v>64752.964059999998</v>
      </c>
    </row>
  </sheetData>
  <sheetProtection algorithmName="SHA-512" hashValue="BEowT9fl0QOShVMyUlVhJTglRM2t1MqbFzP4rXMH4Ir75bYt0QMiztczS3fTfJtR6KUsUlyAoFDPKotQ7/K0NA==" saltValue="jMv0r8A82LlizgLnymSR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/LkltU0DkyNhRkNXx/V7/F4L+IaVV7hCSU2afphvTGDyHMGhLPGXT3yiscp5cesHltrEbV1oRHYaOnARE3GYg==" saltValue="HIZqa6nINW4zzFpKmejK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4AxUEGSf+C3sXVIW/p93b5KTN/H8f5KQEf2KbgxeJbo1f6MqY2PjZAZdClBDyDteoEql3zyTuJZvZULaCJwnA==" saltValue="22i+iRNRKMt+nAhDZzfR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0.2933268</v>
      </c>
      <c r="C10" s="96">
        <v>0.95</v>
      </c>
      <c r="D10" s="56">
        <v>13.01281925603921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13.01281925603921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13.01281925603921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13.01281925603921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0.2933268</v>
      </c>
      <c r="C14" s="96">
        <v>0.95</v>
      </c>
      <c r="D14" s="56">
        <v>13.01281925603921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13.01281925603921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0.35743333333333299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0.51996969999999998</v>
      </c>
      <c r="C19" s="96">
        <v>0.95</v>
      </c>
      <c r="D19" s="56">
        <v>9.5596491969757462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4.2797375448782464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0.46481329675995198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0.48848520000000001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0.59367320000000001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1.3899999999999999E-2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0.26</v>
      </c>
      <c r="C32" s="96">
        <v>0.95</v>
      </c>
      <c r="D32" s="56">
        <v>3.86952529898804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0.76766420000000002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5.8038399999999997E-2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4.2000000000000003E-2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0.77731530000000004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0.01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yVSCEFDBXvs5kH1Baf1pOivnsxnCnPPHnUGbVWtQuBa1fqVp/XRS3lKoFFcXhJQ+BR2vOwRv/iOvriwOouBtxw==" saltValue="GONtM/WUbXuCmCA/Y1RM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S5y1B9iKjMwiTdFO8Q6gOycL5qvhMbEvPLZr9J3Qay5ayvylLZWVmESQ4Hxz15a6FhILM+0OCQJ9uclt0vm5g==" saltValue="AjGDMI4Y1eYGWL2FrP9F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750SXYOlUhJq2zcefE7c6AIcL8vTUfmAy26sVyM2qMjLqKHQnBnVONRZVqBJ4FWpe/MlkC5VVlGwKzHH2PjnQ==" saltValue="YRyHKZIyKMqZNM2l9ZbJO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2.99</v>
      </c>
      <c r="C2" s="21">
        <f>'Données pop de l''année de ref'!C52</f>
        <v>2.99</v>
      </c>
      <c r="D2" s="21">
        <f>'Données pop de l''année de ref'!C53</f>
        <v>6.7080000000000002</v>
      </c>
      <c r="E2" s="21">
        <f>'Données pop de l''année de ref'!C54</f>
        <v>8.0079999999999991</v>
      </c>
      <c r="F2" s="21">
        <f>'Données pop de l''année de ref'!C55</f>
        <v>4.012666666666667</v>
      </c>
    </row>
    <row r="3" spans="1:6" ht="15.75" customHeight="1" x14ac:dyDescent="0.25">
      <c r="A3" s="3" t="s">
        <v>238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237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CHPHCRw4cWWDXzl6mFnJ65Mt0alm/b/4/HK1qurSeIDRCoM0lbsoLPil4MsYGpvxf2tGgwCg1SczKsO+2ol9wQ==" saltValue="wi2oDlqfmAFhHGhsRsLX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cFWtkFbjHruF6DEgX4fK6sZQQc6qJUFkyt/uo6ovyhRB2YsXfTwwKYdudK2fpZa5aLl1ikGoIMnT1lqsRu7wA==" saltValue="C1PZRocV7QmzzBlcLToL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lYxmMJmoTcuwoyCrWp/BuCESy6okQ6J5aDTkADejMaiWPxFUzx9eGqwZ17xcHWJC5jjjUsr06MnfsKSR9bd/A==" saltValue="am0ReT5NYhXIXic2wUP6+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3ZVBCXn7WfXlGo3rj9lTkUc6V/ljqu7yznP9Trxaoy/OT6PD7VtYyyrk2xsIlwJ79saBTVCo4y59xNPWvm/pQ==" saltValue="cjjFwbwitjJ5obIsyuum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fM7/gWrZWOjNcHg9ZBejpT2a2ko1emieKLsKMV2sOBmig1BcSCfqxnLrsZm/dZ31hoQpt/Ki+Pjc2U9RNMZ+g==" saltValue="nb5esLb6aQlPMsDCiC7d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6MwOyHV9/aMXr2KEolimcWseXprFhejysDGk6gBFAxL/RzQnws+nsiGQC1yVxRde5aWx1m4CrAF+cExkEfLUjA==" saltValue="h142I7NPOFTf7DYrOT+V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05UnRKU8dILt8rbSqWzSTF7QHM+XOHgX2kXG2AWJPn5SngWoUMzmxppN+O4r8V8EBGXNS5AWg8kkaqfcB9zEw==" saltValue="WUyX2QdNIvL49Riktvwo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pbHrH5ZMAvKWvvUKPeuIk0z3C3/MLrWhIVLhE7ZtY3Rn8VeD44bfB6GgrYldz7ga5oEBN9TAfxx9Pd8Bzdxig==" saltValue="KEQ5agNougjAOlf+90Etf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4xjG3lyEoBb0DxcuiGYGErmmOR0xxepzFbSYQkz6qKZW5RbSe0cUgVH8HVNTmtjqCIL8AAr4aJ05jDEfDsgGg==" saltValue="4mq3z9/+dxGYazyX2Lw3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yIwlZA53QC6Kt4hso6nyjrnjo6rmVtZelVh9L4bNi/GF55NGsRZ8fvMGHAF/LDl/r2ZvPacn4J/0FONfO24Ew==" saltValue="9a99fyMeZ3joHqhd0bhM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0FQRtHxObHq33LRbyI3og+DydP35535itnKKuh8pp3QssuVrUW47Yo9Jrcv/RE2Fjw28MCB7Z7it30z5hTXyg==" saltValue="Xz72FIKgiagbVWrKXbet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gzRFLleRGAc8AOiXlr+Te438lvFz+qIgB7E1t08xL9A9hKw68rDa/ZEth1i2hbwy7xvo+RDN3lAP4PN7h8Hdg==" saltValue="VxmWNDIPKIYapzOKh8B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u3iIZvyyI+Dj/eGtOTEnPujuoJx9Exk2gPZiQ9dKlWF4NVJKz7YXU6he4chDpEFjQJo2G+A5q6MQciwpxPeZg==" saltValue="SKUW6W1tB0BkrhJfG3YD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wH2jUXSEbKmFVCFIJpGpifhlZiGME3qwRw6CDzp4LUHS8aqp/jmJ0e/776fMUgdkZKfwEerrUenccbIHG16gg==" saltValue="uJiDeJgBBcTXOoVtU/rI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9Chs+7rF6W+CABuyBWPDCCeVS9lQQTlbHEAm8L590vikgWGuIIWJK13jfn3A8HcnrDa/F87mRruFIlRFOqRmA==" saltValue="x0HlRG4m30VCEZJSEpIe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YHD10MOwRd2knGHTJOCG+jMC2zoSCgvNyECihqhCbPfukWclvkDdwqzjWFQdcO9IckdcWMpVME4NqprrAzpyA==" saltValue="Tolvc6OOoLiWI4AyC0LSh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