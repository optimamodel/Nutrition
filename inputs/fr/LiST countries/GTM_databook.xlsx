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DB1F31D-57A4-470E-A3E1-AB954E923EE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7" i="2" l="1"/>
  <c r="I6" i="2"/>
  <c r="A35" i="2"/>
  <c r="A19" i="2"/>
  <c r="I39" i="2"/>
  <c r="A36" i="2"/>
  <c r="A23" i="2"/>
  <c r="A24" i="2"/>
  <c r="A40" i="2"/>
  <c r="I12" i="2"/>
  <c r="A22" i="2"/>
  <c r="I4" i="2"/>
  <c r="A25" i="2"/>
  <c r="A26" i="2"/>
  <c r="I11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<sst xmlns="http://schemas.openxmlformats.org/spreadsheetml/2006/main" count="2169" uniqueCount="369">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</sst>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1851093</v>
      </c>
    </row>
    <row r="8" spans="1:3" ht="15" customHeight="1" x14ac:dyDescent="0.25">
      <c r="B8" s="5" t="s">
        <v>37</v>
      </c>
      <c r="C8" s="44">
        <v>0.59299999999999997</v>
      </c>
    </row>
    <row r="9" spans="1:3" ht="15" customHeight="1" x14ac:dyDescent="0.25">
      <c r="B9" s="5" t="s">
        <v>38</v>
      </c>
      <c r="C9" s="45">
        <v>2.5000000000000001E-2</v>
      </c>
    </row>
    <row r="10" spans="1:3" ht="15" customHeight="1" x14ac:dyDescent="0.25">
      <c r="B10" s="5" t="s">
        <v>39</v>
      </c>
      <c r="C10" s="45">
        <v>0.42979260000000002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0.1226</v>
      </c>
    </row>
    <row r="24" spans="1:3" ht="15" customHeight="1" x14ac:dyDescent="0.25">
      <c r="B24" s="15" t="s">
        <v>51</v>
      </c>
      <c r="C24" s="45">
        <v>0.47810000000000002</v>
      </c>
    </row>
    <row r="25" spans="1:3" ht="15" customHeight="1" x14ac:dyDescent="0.25">
      <c r="B25" s="15" t="s">
        <v>52</v>
      </c>
      <c r="C25" s="45">
        <v>0.32329999999999998</v>
      </c>
    </row>
    <row r="26" spans="1:3" ht="15" customHeight="1" x14ac:dyDescent="0.25">
      <c r="B26" s="15" t="s">
        <v>53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0.31902004302312198</v>
      </c>
    </row>
    <row r="30" spans="1:3" ht="14.25" customHeight="1" x14ac:dyDescent="0.25">
      <c r="B30" s="25" t="s">
        <v>56</v>
      </c>
      <c r="C30" s="97">
        <v>3.89276953654537E-2</v>
      </c>
    </row>
    <row r="31" spans="1:3" ht="14.25" customHeight="1" x14ac:dyDescent="0.25">
      <c r="B31" s="25" t="s">
        <v>57</v>
      </c>
      <c r="C31" s="97">
        <v>8.8909302097760101E-2</v>
      </c>
    </row>
    <row r="32" spans="1:3" ht="14.25" customHeight="1" x14ac:dyDescent="0.25">
      <c r="B32" s="25" t="s">
        <v>58</v>
      </c>
      <c r="C32" s="97">
        <v>0.55314295951366399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10.801</v>
      </c>
    </row>
    <row r="38" spans="1:5" ht="15" customHeight="1" x14ac:dyDescent="0.25">
      <c r="B38" s="11" t="s">
        <v>63</v>
      </c>
      <c r="C38" s="43">
        <v>19.559259999999998</v>
      </c>
      <c r="D38" s="12"/>
      <c r="E38" s="13"/>
    </row>
    <row r="39" spans="1:5" ht="15" customHeight="1" x14ac:dyDescent="0.25">
      <c r="B39" s="11" t="s">
        <v>64</v>
      </c>
      <c r="C39" s="43">
        <v>23.019259999999999</v>
      </c>
      <c r="D39" s="12"/>
      <c r="E39" s="12"/>
    </row>
    <row r="40" spans="1:5" ht="15" customHeight="1" x14ac:dyDescent="0.25">
      <c r="B40" s="11" t="s">
        <v>65</v>
      </c>
      <c r="C40" s="98">
        <v>0.96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8.9353000000000002E-3</v>
      </c>
      <c r="D45" s="12"/>
    </row>
    <row r="46" spans="1:5" ht="15.75" customHeight="1" x14ac:dyDescent="0.25">
      <c r="B46" s="11" t="s">
        <v>70</v>
      </c>
      <c r="C46" s="45">
        <v>9.5860400000000012E-2</v>
      </c>
      <c r="D46" s="12"/>
    </row>
    <row r="47" spans="1:5" ht="15.75" customHeight="1" x14ac:dyDescent="0.25">
      <c r="B47" s="11" t="s">
        <v>71</v>
      </c>
      <c r="C47" s="45">
        <v>0.16790920000000001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2.99</v>
      </c>
      <c r="D51" s="12"/>
    </row>
    <row r="52" spans="1:4" ht="15" customHeight="1" x14ac:dyDescent="0.25">
      <c r="B52" s="11" t="s">
        <v>75</v>
      </c>
      <c r="C52" s="98">
        <v>2.99</v>
      </c>
    </row>
    <row r="53" spans="1:4" ht="15.75" customHeight="1" x14ac:dyDescent="0.25">
      <c r="B53" s="11" t="s">
        <v>76</v>
      </c>
      <c r="C53" s="98">
        <v>6.7080000000000002</v>
      </c>
    </row>
    <row r="54" spans="1:4" ht="15.75" customHeight="1" x14ac:dyDescent="0.25">
      <c r="B54" s="11" t="s">
        <v>77</v>
      </c>
      <c r="C54" s="98">
        <v>8.0079999999999991</v>
      </c>
    </row>
    <row r="55" spans="1:4" ht="15.75" customHeight="1" x14ac:dyDescent="0.25">
      <c r="B55" s="11" t="s">
        <v>78</v>
      </c>
      <c r="C55" s="98">
        <v>4.012666666666667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0.55069000000000001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0.1449437989</v>
      </c>
    </row>
    <row r="63" spans="1:4" ht="15.75" customHeight="1" x14ac:dyDescent="0.3">
      <c r="A63" s="4"/>
    </row>
  </sheetData>
  <sheetProtection algorithmName="SHA-512" hashValue="rumboYs+bCKoLUww1Ky/cUP01E9qhikYO5kmA635WpcWl0tfKumnWnAHpC2U38NmV/5IFbhpTW128wKuIO0+NA==" saltValue="0zh2ENwYRh0rGxCDCd7x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c9F/gOg89b9KPD02NzHfmOYu55oJOT9lUtDubRsKYjdxtmAb3/16/pR6O2ARX+W5gA2Kw7EBPQzC9whK0AtkQ==" saltValue="uNASWUAjzdzZYhcAxQlb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2.3424999999999969E-3</v>
      </c>
    </row>
    <row r="4" spans="1:8" ht="15.75" customHeight="1" x14ac:dyDescent="0.25">
      <c r="B4" s="19" t="s">
        <v>97</v>
      </c>
      <c r="C4" s="99">
        <v>6.6525100000000059E-2</v>
      </c>
    </row>
    <row r="5" spans="1:8" ht="15.75" customHeight="1" x14ac:dyDescent="0.25">
      <c r="B5" s="19" t="s">
        <v>98</v>
      </c>
      <c r="C5" s="99">
        <v>3.4683200000000032E-2</v>
      </c>
    </row>
    <row r="6" spans="1:8" ht="15.75" customHeight="1" x14ac:dyDescent="0.25">
      <c r="B6" s="19" t="s">
        <v>99</v>
      </c>
      <c r="C6" s="99">
        <v>0.1965487000000001</v>
      </c>
    </row>
    <row r="7" spans="1:8" ht="15.75" customHeight="1" x14ac:dyDescent="0.25">
      <c r="B7" s="19" t="s">
        <v>100</v>
      </c>
      <c r="C7" s="99">
        <v>0.44584979999999957</v>
      </c>
    </row>
    <row r="8" spans="1:8" ht="15.75" customHeight="1" x14ac:dyDescent="0.25">
      <c r="B8" s="19" t="s">
        <v>101</v>
      </c>
      <c r="C8" s="99">
        <v>3.6609999999999979E-4</v>
      </c>
    </row>
    <row r="9" spans="1:8" ht="15.75" customHeight="1" x14ac:dyDescent="0.25">
      <c r="B9" s="19" t="s">
        <v>102</v>
      </c>
      <c r="C9" s="99">
        <v>0.17018749999999999</v>
      </c>
    </row>
    <row r="10" spans="1:8" ht="15.75" customHeight="1" x14ac:dyDescent="0.25">
      <c r="B10" s="19" t="s">
        <v>103</v>
      </c>
      <c r="C10" s="99">
        <v>8.349710000000013E-2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106</v>
      </c>
      <c r="C15" s="99">
        <v>0.3757329104636849</v>
      </c>
      <c r="D15" s="99">
        <v>0.3757329104636849</v>
      </c>
      <c r="E15" s="99">
        <v>0.3757329104636849</v>
      </c>
      <c r="F15" s="99">
        <v>0.3757329104636849</v>
      </c>
    </row>
    <row r="16" spans="1:8" ht="15.75" customHeight="1" x14ac:dyDescent="0.25">
      <c r="B16" s="19" t="s">
        <v>107</v>
      </c>
      <c r="C16" s="99">
        <v>8.3301158821975311E-3</v>
      </c>
      <c r="D16" s="99">
        <v>8.3301158821975311E-3</v>
      </c>
      <c r="E16" s="99">
        <v>8.3301158821975311E-3</v>
      </c>
      <c r="F16" s="99">
        <v>8.3301158821975311E-3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2.6718060387780372E-4</v>
      </c>
      <c r="D18" s="99">
        <v>2.6718060387780372E-4</v>
      </c>
      <c r="E18" s="99">
        <v>2.6718060387780372E-4</v>
      </c>
      <c r="F18" s="99">
        <v>2.6718060387780372E-4</v>
      </c>
    </row>
    <row r="19" spans="1:8" ht="15.75" customHeight="1" x14ac:dyDescent="0.25">
      <c r="B19" s="19" t="s">
        <v>110</v>
      </c>
      <c r="C19" s="99">
        <v>1.0574113139588261E-2</v>
      </c>
      <c r="D19" s="99">
        <v>1.0574113139588261E-2</v>
      </c>
      <c r="E19" s="99">
        <v>1.0574113139588261E-2</v>
      </c>
      <c r="F19" s="99">
        <v>1.0574113139588261E-2</v>
      </c>
    </row>
    <row r="20" spans="1:8" ht="15.75" customHeight="1" x14ac:dyDescent="0.25">
      <c r="B20" s="19" t="s">
        <v>111</v>
      </c>
      <c r="C20" s="99">
        <v>3.9243099520798568E-2</v>
      </c>
      <c r="D20" s="99">
        <v>3.9243099520798568E-2</v>
      </c>
      <c r="E20" s="99">
        <v>3.9243099520798568E-2</v>
      </c>
      <c r="F20" s="99">
        <v>3.9243099520798568E-2</v>
      </c>
    </row>
    <row r="21" spans="1:8" ht="15.75" customHeight="1" x14ac:dyDescent="0.25">
      <c r="B21" s="19" t="s">
        <v>112</v>
      </c>
      <c r="C21" s="99">
        <v>0.1172818518600829</v>
      </c>
      <c r="D21" s="99">
        <v>0.1172818518600829</v>
      </c>
      <c r="E21" s="99">
        <v>0.1172818518600829</v>
      </c>
      <c r="F21" s="99">
        <v>0.1172818518600829</v>
      </c>
    </row>
    <row r="22" spans="1:8" ht="15.75" customHeight="1" x14ac:dyDescent="0.25">
      <c r="B22" s="19" t="s">
        <v>113</v>
      </c>
      <c r="C22" s="99">
        <v>0.12652604383338609</v>
      </c>
      <c r="D22" s="99">
        <v>0.12652604383338609</v>
      </c>
      <c r="E22" s="99">
        <v>0.12652604383338609</v>
      </c>
      <c r="F22" s="99">
        <v>0.12652604383338609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4.9290206000000003E-2</v>
      </c>
    </row>
    <row r="27" spans="1:8" ht="15.75" customHeight="1" x14ac:dyDescent="0.25">
      <c r="B27" s="19" t="s">
        <v>120</v>
      </c>
      <c r="C27" s="99">
        <v>2.8242382999999999E-2</v>
      </c>
    </row>
    <row r="28" spans="1:8" ht="15.75" customHeight="1" x14ac:dyDescent="0.25">
      <c r="B28" s="19" t="s">
        <v>121</v>
      </c>
      <c r="C28" s="99">
        <v>0.34948395100000001</v>
      </c>
    </row>
    <row r="29" spans="1:8" ht="15.75" customHeight="1" x14ac:dyDescent="0.25">
      <c r="B29" s="19" t="s">
        <v>122</v>
      </c>
      <c r="C29" s="99">
        <v>0.20214362399999999</v>
      </c>
    </row>
    <row r="30" spans="1:8" ht="15.75" customHeight="1" x14ac:dyDescent="0.25">
      <c r="B30" s="19" t="s">
        <v>2</v>
      </c>
      <c r="C30" s="99">
        <v>0.105324062</v>
      </c>
    </row>
    <row r="31" spans="1:8" ht="15.75" customHeight="1" x14ac:dyDescent="0.25">
      <c r="B31" s="19" t="s">
        <v>123</v>
      </c>
      <c r="C31" s="99">
        <v>5.5211837999999999E-2</v>
      </c>
    </row>
    <row r="32" spans="1:8" ht="15.75" customHeight="1" x14ac:dyDescent="0.25">
      <c r="B32" s="19" t="s">
        <v>124</v>
      </c>
      <c r="C32" s="99">
        <v>8.5237639999999996E-3</v>
      </c>
    </row>
    <row r="33" spans="2:3" ht="15.75" customHeight="1" x14ac:dyDescent="0.25">
      <c r="B33" s="19" t="s">
        <v>125</v>
      </c>
      <c r="C33" s="99">
        <v>0.16815316199999999</v>
      </c>
    </row>
    <row r="34" spans="2:3" ht="15.75" customHeight="1" x14ac:dyDescent="0.25">
      <c r="B34" s="19" t="s">
        <v>126</v>
      </c>
      <c r="C34" s="99">
        <v>3.3627008999999999E-2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u8+ey5JZOj4xew9jUWxlxkE/Zb/5WVcOf+5dzTDsHakXpSpijg8h2pXzuSpjHd8YfzaEM9qJCbWhfcIOtgh/pg==" saltValue="zk8arZl/FGdYW8R5dRywY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132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133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137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138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MTmi0S7FH1FP3p1uIclZFmcmuQ9+YwWnDK4dsTAhyVJl78pj5+sp0WJGFcJ0W8JI07v/gxrAqbmcjslt9KPCg==" saltValue="Mn6nnT90hBvxLalC08L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DJFTZGZlVGgmIrCxtQkkC1Yb09NktGrogaOjP2cmBzwhoyFEAuhUHZ9z4QAbqws1W3UqC42hINjBQ2I2/rWcVQ==" saltValue="ZQPhQnUMIg7k3xvy3/wv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l3dyHHhBSf9xQQ2oD5dPionm4mZrRBS4YDJjh28gqVSlbG1jVZ3V+EqyN7z7pobJIxN9iye2817OjrITeAEAA==" saltValue="zpuXartIEEkiAsnPbV0kt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5473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0.47659000000000001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0.42270000000000002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1.4975176239732619E-2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97575.427049999998</v>
      </c>
      <c r="C22" s="107">
        <v>97418.053369999994</v>
      </c>
      <c r="D22" s="107">
        <v>97217.393450000003</v>
      </c>
      <c r="E22" s="107">
        <v>96540.964479999995</v>
      </c>
      <c r="F22" s="107">
        <v>95575.929019999996</v>
      </c>
      <c r="G22" s="107">
        <v>94481.133749999994</v>
      </c>
      <c r="H22" s="107">
        <v>93369.910749999995</v>
      </c>
      <c r="I22" s="107">
        <v>91950.033089999997</v>
      </c>
      <c r="J22" s="107">
        <v>90188.068660000004</v>
      </c>
      <c r="K22" s="107">
        <v>87877.820219999994</v>
      </c>
      <c r="L22" s="107">
        <v>84424.451419999998</v>
      </c>
      <c r="M22" s="107">
        <v>79380.982839999997</v>
      </c>
      <c r="N22" s="107">
        <v>73489.285189999995</v>
      </c>
      <c r="O22" s="107">
        <v>64752.964059999998</v>
      </c>
    </row>
  </sheetData>
  <sheetProtection algorithmName="SHA-512" hashValue="FcOIsw9rkxXsbuoU4NZQAVvQQtfOskOKr3geSzibgQBed1TV/AanbEcctnxXLPmSFYZTKz6G1GmPKUfXC5MsbA==" saltValue="c85Dk2hLWJrZIC7DZsYP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uWoHvFad8cdgU/fLo1NUZB6us0xPv7k29n/f0b7fQLF5rvgW+9QgDZUz83C4C6XjvAW7NTpC7IG/e+7pGB2rg==" saltValue="6BuYXKyiaVTbp3sC2/Bb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N4Rout6gv0KSVqbgTpo0fvJCQgK6NRB6FWfpuDjE0U/rLxKAhVRKucV5GJgGrJc1rKQNEuLv8hIvQNls5tGXKQ==" saltValue="zF+7y+ZbBIsyUmm0iJoE2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0.2933268</v>
      </c>
      <c r="C10" s="96">
        <v>0.95</v>
      </c>
      <c r="D10" s="56">
        <v>13.01281925603921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13.01281925603921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13.01281925603921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13.01281925603921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0.2933268</v>
      </c>
      <c r="C14" s="96">
        <v>0.95</v>
      </c>
      <c r="D14" s="56">
        <v>13.01281925603921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13.01281925603921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0.35743333333333299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0.51996969999999998</v>
      </c>
      <c r="C19" s="96">
        <v>0.95</v>
      </c>
      <c r="D19" s="56">
        <v>9.5596491969757462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4.2797375448782464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0.46481329675995198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0.48848520000000001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0.59367320000000001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1.3899999999999999E-2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0.26</v>
      </c>
      <c r="C32" s="96">
        <v>0.95</v>
      </c>
      <c r="D32" s="56">
        <v>3.86952529898804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0.76766420000000002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5.8038399999999997E-2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4.2000000000000003E-2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0.77731530000000004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0.01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Csg6gmRGW6Or/mWXA8Tt9VLDftB42WWnYETa3Fi7Eh4ByNsbD1T322GlRLg27+xubcmxW2gt0cZ96i0qKa6Xlg==" saltValue="s/2667O9CezuIukyUX07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1OppEUue5l61U6trjDmpmhjkKRfheSNa0JNxGLu55MGDJB/+XNhz1JoHcrBJg4O1aF3paZwsDa1p6uCMPv//Q==" saltValue="eTBPxQsmtyKy2yext+0D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0unI/gBg5439PmVt+0onYVaINEn4o1uI6WY3J9XodV4yfeVSRLYqVcfAfYjkEmJMpyOsiSfK96v+nkya6tPEg==" saltValue="WQ6cRAC0YQ72SumbJAeKF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2.99</v>
      </c>
      <c r="C2" s="21">
        <f>'Données pop de l''année de ref'!C52</f>
        <v>2.99</v>
      </c>
      <c r="D2" s="21">
        <f>'Données pop de l''année de ref'!C53</f>
        <v>6.7080000000000002</v>
      </c>
      <c r="E2" s="21">
        <f>'Données pop de l''année de ref'!C54</f>
        <v>8.0079999999999991</v>
      </c>
      <c r="F2" s="21">
        <f>'Données pop de l''année de ref'!C55</f>
        <v>4.012666666666667</v>
      </c>
    </row>
    <row r="3" spans="1:6" ht="15.75" customHeight="1" x14ac:dyDescent="0.25">
      <c r="A3" s="3" t="s">
        <v>238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237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x5cqAkGnK3Y2BKGa4sxt0Qhs3Ix0q36vhs9YBnlS98KYEqV5h/RoCRJ2H/nBKwKY448b3KL5oDzgR2H5S4fNQg==" saltValue="FsplAmmgbuXaXAfFAYan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3T4dEZC9whiEjt93kvk1jch/neFnq9v074s86nmFNxOQAFZT2GpuukE0RYAwZiJ355v0qTEjSjgQXIQqyddgw==" saltValue="uB30+XdvPWFDkz1ncJeS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XjR/gNzlEGKU5K/d0PMlGkt1+IHgDqWkxICemzsP2Bc4WNXIEABPAJltPSUxfbL3uZyvQfguWRJIg+uD7uGHg==" saltValue="kI3pRDV1xm41lo3a78u0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s4XbGPzQiYXN4ubiCl1ya/pZZLYJV3jBTUJR0Hopx9um6X/HUP0z3w96y8O8dwoy8Yv3ebyGGNEJeHHazI5Yg==" saltValue="9ELdXyuZL1WlIujwtmTG8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qLXb7Oo1ypt8TaoQag7k0rTqSIb2JreOvNv9HEtaolAhNcl85S3UeedCddS0LPSIW9dRySAggcWSGXiuZQrnA==" saltValue="MIQLvWpJNEf5UYgbZyaS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TKd2MC4AD3bXxSAn3wmxoHRj5GBqhjFMDW/n/3YEDqZ4Mb5zE7r425PouksdWcWChKXZXQv9N3MdEC6Zud7tw==" saltValue="hHLBudFrhOXGVH/ELQOL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GvHddjLY+ljA3uxpXwJH9Wl/ogobHicl2FfrWeOatsTWGR3fGf3AkyU31AIdjqt+K4Asj9ln7hQ3iUGld0QYw==" saltValue="qqRGYlxhkb1HbWoCBf4J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ebksFccNHRXm4wAtz5kkfFqd8kXmVpwABdPii30o4+KTS3bofl0OHS7jHBNLvgHvK8Ecjh9jf7VlH6Y5QDb+g==" saltValue="4WMb2rWN0fhS0Emo+ZaOU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gAdriZgwMEJ2dhl2mLy2PQpZo54KG6q3lqmJoR1eEmPmBt+WaBcFSEljP+/EMyw2WCj2dFU9Zt7LUF1lewFUw==" saltValue="gHXD2VNSTm7NvA8mFJeY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J/WoxB/GGMOrGPlS4cdab7kysyy54oLHH1VJa+kbrmLGUtZ1crWa42F7S2Dz83v6ZUK5i/9/muNZMD57hBtDw==" saltValue="envtkR1bZRq/V9zXKGgU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9SVaemznbEUs+MJ2u+d+0updjH7EmzZy4IzKre+t1YYjuc/4pFUVkBSQjxBarB1vJshWRmBBpxtpqJRlqSxlA==" saltValue="IyWE1uWb9FMq643knXbG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fbkFabqxIXIxfpWlErb7NeSHREDMcr8N238z7jcXD2qYDGTThjHmu1zxI7IzpKjjWoIUnmewb4uwGdXZpdcEw==" saltValue="st6LSrYwEUR9Pe9w3PKg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x1zwQnp+pEKHWpUKCdrh+ojYnczinKIh8RAM1oFPTDWvtFdVcf+Nzxd5M4dlAr6Q5UpAnodb4Mo91VXSk/awg==" saltValue="U8pfvlbUrdPrgBTVfxyr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jbwa7qqjCKRzxtV6dNSU4bKgU7s86GDCUUVTnEJ2fcoqFnoP/ebv31bwiNIjJa5Yn9yih1lHz4zZMAmBdSqZg==" saltValue="oCaXmI3VSuavXoYfGTn5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71/jaIi7hJogJ88lKUEg6xKuxwJFkz3XxsHCakUEZcftmLZihyHL7mw11QsumGu1f3SL2PV5DQXGqUz3lxcVcA==" saltValue="qI/UyLoa67KpSQGwC3vn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hcUdxSyxGhZEtl9I5O+mBxbSoiWMPCeT3rDj9JdxS4B9AH2Ji6klJUkmMKe5S7OQ/9WcfJWmoWC5O/XDAl8zA==" saltValue="vf7IaC+0qphOsV8gRMInf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