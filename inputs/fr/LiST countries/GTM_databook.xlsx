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B7A9232-C23D-4DFD-8592-A5D8BC83189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I39" i="2"/>
  <c r="H39" i="2"/>
  <c r="G39" i="2"/>
  <c r="H38" i="2"/>
  <c r="G38" i="2"/>
  <c r="I13" i="2"/>
  <c r="H13" i="2"/>
  <c r="G13" i="2"/>
  <c r="H12" i="2"/>
  <c r="G12" i="2"/>
  <c r="H11" i="2"/>
  <c r="I11" i="2" s="1"/>
  <c r="G11" i="2"/>
  <c r="H10" i="2"/>
  <c r="G10" i="2"/>
  <c r="H9" i="2"/>
  <c r="I9" i="2" s="1"/>
  <c r="G9" i="2"/>
  <c r="H8" i="2"/>
  <c r="G8" i="2"/>
  <c r="I8" i="2" s="1"/>
  <c r="I7" i="2"/>
  <c r="H7" i="2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15" i="2" l="1"/>
  <c r="A28" i="2"/>
  <c r="A17" i="2"/>
  <c r="A18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I12" i="2"/>
  <c r="A20" i="2"/>
  <c r="A33" i="2"/>
  <c r="A29" i="2"/>
  <c r="A39" i="2"/>
  <c r="A21" i="2"/>
  <c r="A34" i="2"/>
  <c r="A23" i="2"/>
  <c r="I10" i="2"/>
  <c r="A25" i="2"/>
  <c r="A37" i="2"/>
  <c r="A36" i="2"/>
  <c r="I4" i="2"/>
  <c r="A26" i="2"/>
  <c r="I38" i="2"/>
  <c r="A16" i="2"/>
  <c r="A24" i="2"/>
  <c r="A32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<sst xmlns="http://schemas.openxmlformats.org/spreadsheetml/2006/main" count="2101" uniqueCount="337">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</sst>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1825228.90625</v>
      </c>
    </row>
    <row r="8" spans="1:3" ht="15" customHeight="1" x14ac:dyDescent="0.25">
      <c r="B8" s="5" t="s">
        <v>19</v>
      </c>
      <c r="C8" s="44">
        <v>8.6999999999999994E-2</v>
      </c>
    </row>
    <row r="9" spans="1:3" ht="15" customHeight="1" x14ac:dyDescent="0.25">
      <c r="B9" s="5" t="s">
        <v>20</v>
      </c>
      <c r="C9" s="45">
        <v>2.5000000000000001E-2</v>
      </c>
    </row>
    <row r="10" spans="1:3" ht="15" customHeight="1" x14ac:dyDescent="0.25">
      <c r="B10" s="5" t="s">
        <v>21</v>
      </c>
      <c r="C10" s="45">
        <v>0.42616619110107401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0.34399999999999997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0.1226</v>
      </c>
    </row>
    <row r="24" spans="1:3" ht="15" customHeight="1" x14ac:dyDescent="0.25">
      <c r="B24" s="15" t="s">
        <v>33</v>
      </c>
      <c r="C24" s="45">
        <v>0.47810000000000002</v>
      </c>
    </row>
    <row r="25" spans="1:3" ht="15" customHeight="1" x14ac:dyDescent="0.25">
      <c r="B25" s="15" t="s">
        <v>34</v>
      </c>
      <c r="C25" s="45">
        <v>0.32329999999999998</v>
      </c>
    </row>
    <row r="26" spans="1:3" ht="15" customHeight="1" x14ac:dyDescent="0.25">
      <c r="B26" s="15" t="s">
        <v>35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0.31902004302312198</v>
      </c>
    </row>
    <row r="30" spans="1:3" ht="14.25" customHeight="1" x14ac:dyDescent="0.25">
      <c r="B30" s="25" t="s">
        <v>38</v>
      </c>
      <c r="C30" s="99">
        <v>3.89276953654537E-2</v>
      </c>
    </row>
    <row r="31" spans="1:3" ht="14.25" customHeight="1" x14ac:dyDescent="0.25">
      <c r="B31" s="25" t="s">
        <v>39</v>
      </c>
      <c r="C31" s="99">
        <v>8.8909302097760101E-2</v>
      </c>
    </row>
    <row r="32" spans="1:3" ht="14.25" customHeight="1" x14ac:dyDescent="0.25">
      <c r="B32" s="25" t="s">
        <v>40</v>
      </c>
      <c r="C32" s="99">
        <v>0.55314295951366399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10.801</v>
      </c>
    </row>
    <row r="38" spans="1:5" ht="15" customHeight="1" x14ac:dyDescent="0.25">
      <c r="B38" s="11" t="s">
        <v>45</v>
      </c>
      <c r="C38" s="43">
        <v>19.559259999999998</v>
      </c>
      <c r="D38" s="12"/>
      <c r="E38" s="13"/>
    </row>
    <row r="39" spans="1:5" ht="15" customHeight="1" x14ac:dyDescent="0.25">
      <c r="B39" s="11" t="s">
        <v>46</v>
      </c>
      <c r="C39" s="43">
        <v>23.019259999999999</v>
      </c>
      <c r="D39" s="12"/>
      <c r="E39" s="12"/>
    </row>
    <row r="40" spans="1:5" ht="15" customHeight="1" x14ac:dyDescent="0.25">
      <c r="B40" s="11" t="s">
        <v>47</v>
      </c>
      <c r="C40" s="100">
        <v>0.96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8.9353000000000002E-3</v>
      </c>
      <c r="D45" s="12"/>
    </row>
    <row r="46" spans="1:5" ht="15.75" customHeight="1" x14ac:dyDescent="0.25">
      <c r="B46" s="11" t="s">
        <v>52</v>
      </c>
      <c r="C46" s="45">
        <v>9.5860400000000012E-2</v>
      </c>
      <c r="D46" s="12"/>
    </row>
    <row r="47" spans="1:5" ht="15.75" customHeight="1" x14ac:dyDescent="0.25">
      <c r="B47" s="11" t="s">
        <v>53</v>
      </c>
      <c r="C47" s="45">
        <v>0.16790920000000001</v>
      </c>
      <c r="D47" s="12"/>
      <c r="E47" s="13"/>
    </row>
    <row r="48" spans="1:5" ht="15" customHeight="1" x14ac:dyDescent="0.25">
      <c r="B48" s="11" t="s">
        <v>54</v>
      </c>
      <c r="C48" s="46">
        <v>0.72729510000000008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0.55069000000000001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0.10957712999999999</v>
      </c>
    </row>
    <row r="63" spans="1:4" ht="15.75" customHeight="1" x14ac:dyDescent="0.3">
      <c r="A63" s="4"/>
    </row>
  </sheetData>
  <sheetProtection algorithmName="SHA-512" hashValue="dEP2P80BRqCjDeQI79YaTBbFYtS1OtfuaB7swSb7OaC8Grx2sl0gSQO34jFGTK2WH30D68FPbCmyuE8iRjphkg==" saltValue="XD8oAPoFhPoPaSiZq2vn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375341</v>
      </c>
      <c r="C2" s="49">
        <v>1117741</v>
      </c>
      <c r="D2" s="49">
        <v>1766958</v>
      </c>
      <c r="E2" s="49">
        <v>1388712</v>
      </c>
      <c r="F2" s="49">
        <v>863335.5</v>
      </c>
      <c r="G2" s="17">
        <f t="shared" ref="G2:G13" si="0">C2+D2+E2+F2</f>
        <v>5136746.5</v>
      </c>
      <c r="H2" s="17">
        <f t="shared" ref="H2:H13" si="1">(B2 + stillbirth*B2/(1000-stillbirth))/(1-abortion)</f>
        <v>432289.27544269356</v>
      </c>
      <c r="I2" s="17">
        <f t="shared" ref="I2:I13" si="2">G2-H2</f>
        <v>4704457.2245573066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375208</v>
      </c>
      <c r="C3" s="50">
        <v>1120396</v>
      </c>
      <c r="D3" s="50">
        <v>1786123</v>
      </c>
      <c r="E3" s="50">
        <v>1431013.5</v>
      </c>
      <c r="F3" s="50">
        <v>895680</v>
      </c>
      <c r="G3" s="17">
        <f t="shared" si="0"/>
        <v>5233212.5</v>
      </c>
      <c r="H3" s="17">
        <f t="shared" si="1"/>
        <v>432136.09613738483</v>
      </c>
      <c r="I3" s="17">
        <f t="shared" si="2"/>
        <v>4801076.4038626151</v>
      </c>
    </row>
    <row r="4" spans="1:9" ht="15.75" customHeight="1" x14ac:dyDescent="0.25">
      <c r="A4" s="5">
        <f t="shared" si="3"/>
        <v>2026</v>
      </c>
      <c r="B4" s="49">
        <v>377122</v>
      </c>
      <c r="C4" s="50">
        <v>1125589</v>
      </c>
      <c r="D4" s="50">
        <v>1801425</v>
      </c>
      <c r="E4" s="50">
        <v>1473086.5</v>
      </c>
      <c r="F4" s="50">
        <v>926890</v>
      </c>
      <c r="G4" s="17">
        <f t="shared" si="0"/>
        <v>5326990.5</v>
      </c>
      <c r="H4" s="17">
        <f t="shared" si="1"/>
        <v>434340.49606491026</v>
      </c>
      <c r="I4" s="17">
        <f t="shared" si="2"/>
        <v>4892650.0039350893</v>
      </c>
    </row>
    <row r="5" spans="1:9" ht="15.75" customHeight="1" x14ac:dyDescent="0.25">
      <c r="A5" s="5">
        <f t="shared" si="3"/>
        <v>2027</v>
      </c>
      <c r="B5" s="49">
        <v>375439</v>
      </c>
      <c r="C5" s="50">
        <v>1131156</v>
      </c>
      <c r="D5" s="50">
        <v>1814341</v>
      </c>
      <c r="E5" s="50">
        <v>1513193</v>
      </c>
      <c r="F5" s="50">
        <v>957919</v>
      </c>
      <c r="G5" s="17">
        <f t="shared" si="0"/>
        <v>5416609</v>
      </c>
      <c r="H5" s="17">
        <f t="shared" si="1"/>
        <v>432402.14440449997</v>
      </c>
      <c r="I5" s="17">
        <f t="shared" si="2"/>
        <v>4984206.8555955002</v>
      </c>
    </row>
    <row r="6" spans="1:9" ht="15.75" customHeight="1" x14ac:dyDescent="0.25">
      <c r="A6" s="5">
        <f t="shared" si="3"/>
        <v>2028</v>
      </c>
      <c r="B6" s="49">
        <v>375207</v>
      </c>
      <c r="C6" s="50">
        <v>1137287.5</v>
      </c>
      <c r="D6" s="50">
        <v>1824317.5</v>
      </c>
      <c r="E6" s="50">
        <v>1550877</v>
      </c>
      <c r="F6" s="50">
        <v>990135.5</v>
      </c>
      <c r="G6" s="17">
        <f t="shared" si="0"/>
        <v>5502617.5</v>
      </c>
      <c r="H6" s="17">
        <f t="shared" si="1"/>
        <v>432134.94441328477</v>
      </c>
      <c r="I6" s="17">
        <f t="shared" si="2"/>
        <v>5070482.5555867152</v>
      </c>
    </row>
    <row r="7" spans="1:9" ht="15.75" customHeight="1" x14ac:dyDescent="0.25">
      <c r="A7" s="5">
        <f t="shared" si="3"/>
        <v>2029</v>
      </c>
      <c r="B7" s="49">
        <v>376214</v>
      </c>
      <c r="C7" s="50">
        <v>1145409</v>
      </c>
      <c r="D7" s="50">
        <v>1831975.5</v>
      </c>
      <c r="E7" s="50">
        <v>1585612</v>
      </c>
      <c r="F7" s="50">
        <v>1024342.5</v>
      </c>
      <c r="G7" s="17">
        <f t="shared" si="0"/>
        <v>5587339</v>
      </c>
      <c r="H7" s="17">
        <f t="shared" si="1"/>
        <v>433294.7305820508</v>
      </c>
      <c r="I7" s="17">
        <f t="shared" si="2"/>
        <v>5154044.269417949</v>
      </c>
    </row>
    <row r="8" spans="1:9" ht="15.75" customHeight="1" x14ac:dyDescent="0.25">
      <c r="A8" s="5">
        <f t="shared" si="3"/>
        <v>2030</v>
      </c>
      <c r="B8" s="49">
        <v>375783</v>
      </c>
      <c r="C8" s="50">
        <v>1154283.5</v>
      </c>
      <c r="D8" s="50">
        <v>1838305</v>
      </c>
      <c r="E8" s="50">
        <v>1618821</v>
      </c>
      <c r="F8" s="50">
        <v>1059793</v>
      </c>
      <c r="G8" s="17">
        <f t="shared" si="0"/>
        <v>5671202.5</v>
      </c>
      <c r="H8" s="17">
        <f t="shared" si="1"/>
        <v>432798.33749492251</v>
      </c>
      <c r="I8" s="17">
        <f t="shared" si="2"/>
        <v>5238404.1625050772</v>
      </c>
    </row>
    <row r="9" spans="1:9" ht="15.75" customHeight="1" x14ac:dyDescent="0.25">
      <c r="A9" s="5">
        <f t="shared" si="3"/>
        <v>2031</v>
      </c>
      <c r="B9" s="49">
        <v>376184</v>
      </c>
      <c r="C9" s="50">
        <v>1161271</v>
      </c>
      <c r="D9" s="50">
        <v>1842568.5</v>
      </c>
      <c r="E9" s="50">
        <v>1652413.5</v>
      </c>
      <c r="F9" s="50">
        <v>1095113</v>
      </c>
      <c r="G9" s="17">
        <f t="shared" si="0"/>
        <v>5751366</v>
      </c>
      <c r="H9" s="17">
        <f t="shared" si="1"/>
        <v>433260.17885904881</v>
      </c>
      <c r="I9" s="17">
        <f t="shared" si="2"/>
        <v>5318105.8211409515</v>
      </c>
    </row>
    <row r="10" spans="1:9" ht="15.75" customHeight="1" x14ac:dyDescent="0.25">
      <c r="A10" s="5">
        <f t="shared" si="3"/>
        <v>2032</v>
      </c>
      <c r="B10" s="49">
        <v>376343</v>
      </c>
      <c r="C10" s="50">
        <v>1163538</v>
      </c>
      <c r="D10" s="50">
        <v>1846756</v>
      </c>
      <c r="E10" s="50">
        <v>1684216.5</v>
      </c>
      <c r="F10" s="50">
        <v>1130016.5</v>
      </c>
      <c r="G10" s="17">
        <f t="shared" si="0"/>
        <v>5824527</v>
      </c>
      <c r="H10" s="17">
        <f t="shared" si="1"/>
        <v>433443.30299095926</v>
      </c>
      <c r="I10" s="17">
        <f t="shared" si="2"/>
        <v>5391083.697009041</v>
      </c>
    </row>
    <row r="11" spans="1:9" ht="15.75" customHeight="1" x14ac:dyDescent="0.25">
      <c r="A11" s="5">
        <f t="shared" si="3"/>
        <v>2033</v>
      </c>
      <c r="B11" s="49">
        <v>375033</v>
      </c>
      <c r="C11" s="50">
        <v>1160491</v>
      </c>
      <c r="D11" s="50">
        <v>1851820</v>
      </c>
      <c r="E11" s="50">
        <v>1712014</v>
      </c>
      <c r="F11" s="50">
        <v>1164926</v>
      </c>
      <c r="G11" s="17">
        <f t="shared" si="0"/>
        <v>5889251</v>
      </c>
      <c r="H11" s="17">
        <f t="shared" si="1"/>
        <v>431934.54441987333</v>
      </c>
      <c r="I11" s="17">
        <f t="shared" si="2"/>
        <v>5457316.4555801265</v>
      </c>
    </row>
    <row r="12" spans="1:9" ht="15.75" customHeight="1" x14ac:dyDescent="0.25">
      <c r="A12" s="5">
        <f t="shared" si="3"/>
        <v>2034</v>
      </c>
      <c r="B12" s="49">
        <v>375811</v>
      </c>
      <c r="C12" s="50">
        <v>1151083.5</v>
      </c>
      <c r="D12" s="50">
        <v>1857840</v>
      </c>
      <c r="E12" s="50">
        <v>1735631</v>
      </c>
      <c r="F12" s="50">
        <v>1200927.5</v>
      </c>
      <c r="G12" s="17">
        <f t="shared" si="0"/>
        <v>5945482</v>
      </c>
      <c r="H12" s="17">
        <f t="shared" si="1"/>
        <v>432830.58576972439</v>
      </c>
      <c r="I12" s="17">
        <f t="shared" si="2"/>
        <v>5512651.4142302759</v>
      </c>
    </row>
    <row r="13" spans="1:9" ht="15.75" customHeight="1" x14ac:dyDescent="0.25">
      <c r="A13" s="5">
        <f t="shared" si="3"/>
        <v>2035</v>
      </c>
      <c r="B13" s="49">
        <v>374314</v>
      </c>
      <c r="C13" s="50">
        <v>1135336.5</v>
      </c>
      <c r="D13" s="50">
        <v>1866295.5</v>
      </c>
      <c r="E13" s="50">
        <v>1754842.5</v>
      </c>
      <c r="F13" s="50">
        <v>1238824</v>
      </c>
      <c r="G13" s="17">
        <f t="shared" si="0"/>
        <v>5995298.5</v>
      </c>
      <c r="H13" s="17">
        <f t="shared" si="1"/>
        <v>431106.45479192625</v>
      </c>
      <c r="I13" s="17">
        <f t="shared" si="2"/>
        <v>5564192.0452080742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ewENCvhdV3BUhMylgWGsBiYtOWLdCxi7CoHKzujzsP522zLCdLqOVlbY1jhFolsK1AEfW5O/7reNqAWS+MhFQ==" saltValue="8GMRdSI2FMJ8NCU6UNr/h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2.3424999999999969E-3</v>
      </c>
    </row>
    <row r="4" spans="1:8" ht="15.75" customHeight="1" x14ac:dyDescent="0.25">
      <c r="B4" s="19" t="s">
        <v>79</v>
      </c>
      <c r="C4" s="101">
        <v>6.6525100000000059E-2</v>
      </c>
    </row>
    <row r="5" spans="1:8" ht="15.75" customHeight="1" x14ac:dyDescent="0.25">
      <c r="B5" s="19" t="s">
        <v>80</v>
      </c>
      <c r="C5" s="101">
        <v>3.4683200000000032E-2</v>
      </c>
    </row>
    <row r="6" spans="1:8" ht="15.75" customHeight="1" x14ac:dyDescent="0.25">
      <c r="B6" s="19" t="s">
        <v>81</v>
      </c>
      <c r="C6" s="101">
        <v>0.1965487000000001</v>
      </c>
    </row>
    <row r="7" spans="1:8" ht="15.75" customHeight="1" x14ac:dyDescent="0.25">
      <c r="B7" s="19" t="s">
        <v>82</v>
      </c>
      <c r="C7" s="101">
        <v>0.44584979999999957</v>
      </c>
    </row>
    <row r="8" spans="1:8" ht="15.75" customHeight="1" x14ac:dyDescent="0.25">
      <c r="B8" s="19" t="s">
        <v>83</v>
      </c>
      <c r="C8" s="101">
        <v>3.6609999999999979E-4</v>
      </c>
    </row>
    <row r="9" spans="1:8" ht="15.75" customHeight="1" x14ac:dyDescent="0.25">
      <c r="B9" s="19" t="s">
        <v>84</v>
      </c>
      <c r="C9" s="101">
        <v>0.17018749999999999</v>
      </c>
    </row>
    <row r="10" spans="1:8" ht="15.75" customHeight="1" x14ac:dyDescent="0.25">
      <c r="B10" s="19" t="s">
        <v>85</v>
      </c>
      <c r="C10" s="101">
        <v>8.349710000000013E-2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88</v>
      </c>
      <c r="C15" s="101">
        <v>0.3757329104636849</v>
      </c>
      <c r="D15" s="101">
        <v>0.3757329104636849</v>
      </c>
      <c r="E15" s="101">
        <v>0.3757329104636849</v>
      </c>
      <c r="F15" s="101">
        <v>0.3757329104636849</v>
      </c>
    </row>
    <row r="16" spans="1:8" ht="15.75" customHeight="1" x14ac:dyDescent="0.25">
      <c r="B16" s="19" t="s">
        <v>89</v>
      </c>
      <c r="C16" s="101">
        <v>8.3301158821975311E-3</v>
      </c>
      <c r="D16" s="101">
        <v>8.3301158821975311E-3</v>
      </c>
      <c r="E16" s="101">
        <v>8.3301158821975311E-3</v>
      </c>
      <c r="F16" s="101">
        <v>8.3301158821975311E-3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2.6718060387780372E-4</v>
      </c>
      <c r="D18" s="101">
        <v>2.6718060387780372E-4</v>
      </c>
      <c r="E18" s="101">
        <v>2.6718060387780372E-4</v>
      </c>
      <c r="F18" s="101">
        <v>2.6718060387780372E-4</v>
      </c>
    </row>
    <row r="19" spans="1:8" ht="15.75" customHeight="1" x14ac:dyDescent="0.25">
      <c r="B19" s="19" t="s">
        <v>92</v>
      </c>
      <c r="C19" s="101">
        <v>1.0574113139588261E-2</v>
      </c>
      <c r="D19" s="101">
        <v>1.0574113139588261E-2</v>
      </c>
      <c r="E19" s="101">
        <v>1.0574113139588261E-2</v>
      </c>
      <c r="F19" s="101">
        <v>1.0574113139588261E-2</v>
      </c>
    </row>
    <row r="20" spans="1:8" ht="15.75" customHeight="1" x14ac:dyDescent="0.25">
      <c r="B20" s="19" t="s">
        <v>93</v>
      </c>
      <c r="C20" s="101">
        <v>3.9243099520798568E-2</v>
      </c>
      <c r="D20" s="101">
        <v>3.9243099520798568E-2</v>
      </c>
      <c r="E20" s="101">
        <v>3.9243099520798568E-2</v>
      </c>
      <c r="F20" s="101">
        <v>3.9243099520798568E-2</v>
      </c>
    </row>
    <row r="21" spans="1:8" ht="15.75" customHeight="1" x14ac:dyDescent="0.25">
      <c r="B21" s="19" t="s">
        <v>94</v>
      </c>
      <c r="C21" s="101">
        <v>0.1172818518600829</v>
      </c>
      <c r="D21" s="101">
        <v>0.1172818518600829</v>
      </c>
      <c r="E21" s="101">
        <v>0.1172818518600829</v>
      </c>
      <c r="F21" s="101">
        <v>0.1172818518600829</v>
      </c>
    </row>
    <row r="22" spans="1:8" ht="15.75" customHeight="1" x14ac:dyDescent="0.25">
      <c r="B22" s="19" t="s">
        <v>95</v>
      </c>
      <c r="C22" s="101">
        <v>0.12652604383338609</v>
      </c>
      <c r="D22" s="101">
        <v>0.12652604383338609</v>
      </c>
      <c r="E22" s="101">
        <v>0.12652604383338609</v>
      </c>
      <c r="F22" s="101">
        <v>0.12652604383338609</v>
      </c>
    </row>
    <row r="23" spans="1:8" ht="15.75" customHeight="1" x14ac:dyDescent="0.25">
      <c r="B23" s="27" t="s">
        <v>41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4.9290206000000003E-2</v>
      </c>
    </row>
    <row r="27" spans="1:8" ht="15.75" customHeight="1" x14ac:dyDescent="0.25">
      <c r="B27" s="19" t="s">
        <v>102</v>
      </c>
      <c r="C27" s="101">
        <v>2.8242382999999999E-2</v>
      </c>
    </row>
    <row r="28" spans="1:8" ht="15.75" customHeight="1" x14ac:dyDescent="0.25">
      <c r="B28" s="19" t="s">
        <v>103</v>
      </c>
      <c r="C28" s="101">
        <v>0.34948395100000001</v>
      </c>
    </row>
    <row r="29" spans="1:8" ht="15.75" customHeight="1" x14ac:dyDescent="0.25">
      <c r="B29" s="19" t="s">
        <v>104</v>
      </c>
      <c r="C29" s="101">
        <v>0.20214362399999999</v>
      </c>
    </row>
    <row r="30" spans="1:8" ht="15.75" customHeight="1" x14ac:dyDescent="0.25">
      <c r="B30" s="19" t="s">
        <v>2</v>
      </c>
      <c r="C30" s="101">
        <v>0.105324062</v>
      </c>
    </row>
    <row r="31" spans="1:8" ht="15.75" customHeight="1" x14ac:dyDescent="0.25">
      <c r="B31" s="19" t="s">
        <v>105</v>
      </c>
      <c r="C31" s="101">
        <v>5.5211837999999999E-2</v>
      </c>
    </row>
    <row r="32" spans="1:8" ht="15.75" customHeight="1" x14ac:dyDescent="0.25">
      <c r="B32" s="19" t="s">
        <v>106</v>
      </c>
      <c r="C32" s="101">
        <v>8.5237639999999996E-3</v>
      </c>
    </row>
    <row r="33" spans="2:3" ht="15.75" customHeight="1" x14ac:dyDescent="0.25">
      <c r="B33" s="19" t="s">
        <v>107</v>
      </c>
      <c r="C33" s="101">
        <v>0.16815316199999999</v>
      </c>
    </row>
    <row r="34" spans="2:3" ht="15.75" customHeight="1" x14ac:dyDescent="0.25">
      <c r="B34" s="19" t="s">
        <v>108</v>
      </c>
      <c r="C34" s="101">
        <v>3.3627008999999999E-2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qDa6pdxgEny3Ac7IjDhmt04nhuqo4r27hi1FGmsOQ+umsl2RfE8s9lo5iHpIw2DVI2GRHubzh166VJN9ZTasdg==" saltValue="eXchJfJ5ANoXFwqqanw6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114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115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119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120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wy4ekumzS2YkyIJnqksCML9VHvxtejTSNBRr8vzh7bsVjJqiD6M2FXe1JLI1lMnoU4vHiuFBD2AFlY3uuHwJw==" saltValue="Zexw4j76Gfb1H99xoVt7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132</v>
      </c>
      <c r="C5" s="52">
        <v>3.5967199999999998E-2</v>
      </c>
      <c r="D5" s="52">
        <v>5.2636799999999997E-2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/WulWwL6UvsYsgLAbYUV6EfzNhckQvK7dj2tfz9jUYigR246YQieU7oqhKxkbF20DdndvemUQILGJJL4tUFSqg==" saltValue="0Bt9EJmpZQL+1V3YMVMwg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/Yq5qcW1jxCBbAnLxqB3Je7MM6VBepanI+CqZl4f1zVZeo70bfgvbBlN5CS+bOUOcsQS9hjr8DfZaYz81NK4w==" saltValue="B3fon6rMZ1uOMqhxMe0yr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jE9PeTSRA6Sh6YfAw1VCxMYdktc4M6Ert7RiLrhA2HJgPpdQHvZBjTVgEnoMsIX4pfWl72USFEUAFbTQY62Lsg==" saltValue="aHTl9bA+Fb8R/j3srMN/w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nAiSKqfnSdjcNsVMESyb5g0ycQi2uz3+t5PCVXmVZ/frufpqygiopkb7tp5xgMI/AyNsATq7Ma2j7/yIOUladw==" saltValue="Ba2iy9ppb8QcN8tc3tcbs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aYyF9KZcbEJhPKwEPzO5YZA15KLjZHezohGThDwEu+W86Z5rRdHcyXJKlwwIMfc4WhxdUhzdH7Wwe02CkMbZbQ==" saltValue="PUMyovOlKatXciQPwHVAj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154.17725521634259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17.535747523574951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36.544834772694642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0.60896058055806912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0.44994896638918952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1.516970800969268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0.83347689488283194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0.2933268</v>
      </c>
      <c r="C10" s="98">
        <v>0.95</v>
      </c>
      <c r="D10" s="56">
        <v>13.01281925603921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13.01281925603921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13.01281925603921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13.01281925603921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0.2933268</v>
      </c>
      <c r="C14" s="98">
        <v>0.95</v>
      </c>
      <c r="D14" s="56">
        <v>13.01281925603921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13.01281925603921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5.8835597567123799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0.35743333333333299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0.59</v>
      </c>
      <c r="C18" s="98">
        <v>0.95</v>
      </c>
      <c r="D18" s="56">
        <v>36.544834772694642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0.51996969999999998</v>
      </c>
      <c r="C19" s="98">
        <v>0.95</v>
      </c>
      <c r="D19" s="56">
        <v>36.544834772694642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17.588891180900539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22.45630615654899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4.2797375448782464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0.46481329675995198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0.2933268</v>
      </c>
      <c r="C26" s="98">
        <v>0.95</v>
      </c>
      <c r="D26" s="56">
        <v>8.1464668622096941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5.5181659343385068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0.48848520000000001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0.59367320000000001</v>
      </c>
      <c r="C29" s="98">
        <v>0.95</v>
      </c>
      <c r="D29" s="56">
        <v>206.81375092158379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1.3899999999999999E-2</v>
      </c>
      <c r="C31" s="98">
        <v>0.95</v>
      </c>
      <c r="D31" s="56">
        <v>65.176827828224631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0.26</v>
      </c>
      <c r="C32" s="98">
        <v>0.95</v>
      </c>
      <c r="D32" s="56">
        <v>3.8695611109470298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0.76766420000000002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5.8038399999999997E-2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4.2000000000000003E-2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0.77731530000000004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0.01</v>
      </c>
      <c r="C38" s="98">
        <v>0.95</v>
      </c>
      <c r="D38" s="56">
        <v>5.754815016497699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8.0553075689406626</v>
      </c>
      <c r="E39" s="56" t="s">
        <v>201</v>
      </c>
      <c r="F39" s="98">
        <v>1</v>
      </c>
      <c r="G39" s="98">
        <v>1</v>
      </c>
    </row>
  </sheetData>
  <sheetProtection algorithmName="SHA-512" hashValue="J1qnls5BIgK0McX2UmNWaQ+y3ubUhCJ+oc5v7ESHTIzoi3YeWVzIv295LrE7WuNwNk2XmXKSdr3SnuHfiXk04g==" saltValue="hxcTUtjsOBmcqEcAJl/J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hEC4ZvKfu98Rsb8C/Pqy1Pw0ECzkckMXu8BziW2nUYunQrcOBsk1ep9I7pUE0XWXoTyFz3wBYtUCC5WkOGVL4Q==" saltValue="tRIFYfUO9fxh8kHJqfEN7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qbnXp2cv1OBThpPEMBaT3RKI29u7gztPSiX4vic8WFdu48yyx+6eALL0q+8zMLsARffSgj/orwkKX5Suyym8+w==" saltValue="4Lux6gCQmKP+6FimLVHTj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208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sheetProtection algorithmName="SHA-512" hashValue="wPlcdTVlD1KcYyzORed+SCmij8jMNbH2fWC/hBaUaTtvU18A8W1WL8R43+zdSCqgGqvblvrpX1eZp6ajLbWihw==" saltValue="dua+puyjzra8Da4YIU4ly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8.6999999999999994E-2</v>
      </c>
      <c r="E2" s="60">
        <f>food_insecure</f>
        <v>8.6999999999999994E-2</v>
      </c>
      <c r="F2" s="60">
        <f>food_insecure</f>
        <v>8.6999999999999994E-2</v>
      </c>
      <c r="G2" s="60">
        <f>food_insecure</f>
        <v>8.6999999999999994E-2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8.6999999999999994E-2</v>
      </c>
      <c r="F5" s="60">
        <f>food_insecure</f>
        <v>8.6999999999999994E-2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8.6999999999999994E-2</v>
      </c>
      <c r="F8" s="60">
        <f>food_insecure</f>
        <v>8.6999999999999994E-2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8.6999999999999994E-2</v>
      </c>
      <c r="F9" s="60">
        <f>food_insecure</f>
        <v>8.6999999999999994E-2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8.6999999999999994E-2</v>
      </c>
      <c r="I15" s="60">
        <f>food_insecure</f>
        <v>8.6999999999999994E-2</v>
      </c>
      <c r="J15" s="60">
        <f>food_insecure</f>
        <v>8.6999999999999994E-2</v>
      </c>
      <c r="K15" s="60">
        <f>food_insecure</f>
        <v>8.6999999999999994E-2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0.34399999999999997</v>
      </c>
      <c r="M24" s="60">
        <f>famplan_unmet_need</f>
        <v>0.34399999999999997</v>
      </c>
      <c r="N24" s="60">
        <f>famplan_unmet_need</f>
        <v>0.34399999999999997</v>
      </c>
      <c r="O24" s="60">
        <f>famplan_unmet_need</f>
        <v>0.34399999999999997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0.29166251004905708</v>
      </c>
      <c r="M25" s="60">
        <f>(1-food_insecure)*(0.49)+food_insecure*(0.7)</f>
        <v>0.50827</v>
      </c>
      <c r="N25" s="60">
        <f>(1-food_insecure)*(0.49)+food_insecure*(0.7)</f>
        <v>0.50827</v>
      </c>
      <c r="O25" s="60">
        <f>(1-food_insecure)*(0.49)+food_insecure*(0.7)</f>
        <v>0.50827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0.12499821859245305</v>
      </c>
      <c r="M26" s="60">
        <f>(1-food_insecure)*(0.21)+food_insecure*(0.3)</f>
        <v>0.21783000000000002</v>
      </c>
      <c r="N26" s="60">
        <f>(1-food_insecure)*(0.21)+food_insecure*(0.3)</f>
        <v>0.21783000000000002</v>
      </c>
      <c r="O26" s="60">
        <f>(1-food_insecure)*(0.21)+food_insecure*(0.3)</f>
        <v>0.21783000000000002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0.1571730802574158</v>
      </c>
      <c r="M27" s="60">
        <f>(1-food_insecure)*(0.3)</f>
        <v>0.27389999999999998</v>
      </c>
      <c r="N27" s="60">
        <f>(1-food_insecure)*(0.3)</f>
        <v>0.27389999999999998</v>
      </c>
      <c r="O27" s="60">
        <f>(1-food_insecure)*(0.3)</f>
        <v>0.27389999999999998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0.42616619110107401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2.5000000000000001E-2</v>
      </c>
      <c r="D34" s="60">
        <f t="shared" si="3"/>
        <v>2.5000000000000001E-2</v>
      </c>
      <c r="E34" s="60">
        <f t="shared" si="3"/>
        <v>2.5000000000000001E-2</v>
      </c>
      <c r="F34" s="60">
        <f t="shared" si="3"/>
        <v>2.5000000000000001E-2</v>
      </c>
      <c r="G34" s="60">
        <f t="shared" si="3"/>
        <v>2.5000000000000001E-2</v>
      </c>
      <c r="H34" s="60">
        <f t="shared" si="3"/>
        <v>2.5000000000000001E-2</v>
      </c>
      <c r="I34" s="60">
        <f t="shared" si="3"/>
        <v>2.5000000000000001E-2</v>
      </c>
      <c r="J34" s="60">
        <f t="shared" si="3"/>
        <v>2.5000000000000001E-2</v>
      </c>
      <c r="K34" s="60">
        <f t="shared" si="3"/>
        <v>2.5000000000000001E-2</v>
      </c>
      <c r="L34" s="60">
        <f t="shared" si="3"/>
        <v>2.5000000000000001E-2</v>
      </c>
      <c r="M34" s="60">
        <f t="shared" si="3"/>
        <v>2.5000000000000001E-2</v>
      </c>
      <c r="N34" s="60">
        <f t="shared" si="3"/>
        <v>2.5000000000000001E-2</v>
      </c>
      <c r="O34" s="60">
        <f t="shared" si="3"/>
        <v>2.5000000000000001E-2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pI0lqVi01XtVYXFtFYCYHOdEqKdI9hW5iQXtg9yneVyMngcm8dQ+bLIp2VQ1dPCvGmpVwGVA/6sPW1iLtf/Wg==" saltValue="xe++DkMkkmR07R5edus3r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CfbDY++xLT+8BA4+wHU0mIFFYmlpANBHYFKexUsXNdlcVbY4OlB9IraxTm5/vvlgi3O1yHox1MNVW42I22HgSQ==" saltValue="eINqXq/y7NtQuU/5P3Tb2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bNfCYQh7f5pWdNtmRMUVbiRvuNLCxpDuWAwxHTRAfoQzQW2E2KDxKDO5iitVcHoxIutiyMMbL6v8y0J1Hx+4Q==" saltValue="ZEhhMSLAaBYxRUon1JwV9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PkGUJaCHkrkxCM//nmERs/huFodZtKODVDsuYebFShmdd/Xif0DHwf9hY0Tzsh/wEWsbPZUClrkvOVblWdWbg==" saltValue="Atp4Hp2/ZES9NDv0+bz8I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/VPTq7kS6Z6nEZJAUuuyoRVpksaVDhGSpSwMbEWWWilJSPmnIs7gDoKT4Oew6fqVzmL5pKci0+aaThQF4ikNw==" saltValue="6olnmufas57AyguIRNTlV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Js0yl2LsMyXezOROPea7Ng7N9E4tbhqOQcOBKFDRc+9iPa5YiVBPfEf0QcdyKXnmpGijQx8oFKKykxJ9HZmPkg==" saltValue="DHPScC3b8MwWSsbWFbntS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EXAPU2SGCARiYkSj/g4h5X6uObNmu/tJTuegnViufV/CzK1MlCq/yRpzaYilE/iaw1psONmvC7ZFh+Jy95WIQ==" saltValue="twd6MZGeOkSvbkwLDZLQT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VqsRncERY2lQoac05crRIAyWlBHhlwN5ejLNzMnUh7+IV/BK3oynMfHUjl2KXuSJl3SzwRFlxvnN+RwjsW6Ag==" saltValue="73rJyJHhi5JbtnodO1aa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s5z2f8zeEZVcTQ/bGE0JpczPnKfQGE72yIy6L2WvLzpz7Tpu81l1I81yQIRQ+i0rBSml2z8/X/2VJdSnP7aiA==" saltValue="O8vAcM8FMklJjuHGxU7w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TnJieKSsKEeFag5bZMPatOddYzDCtSL8jG4w4EtmJV+4ZZweN0g8h5s4zaqmZYA5lA5D0U7xGfv3ac/EIcHyQ==" saltValue="jWCT6VCwDMpSjGXD1wqJ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waRe9jCtxqhV7mm5Z58Bck3evRUwklltlaQ2BaNEs8+gWLsc2AiZ+ENKhtVHd2MfPyBlIQv0t/UvdxFYL3ByZw==" saltValue="BM2pyxTqB9zjmTMTt+C7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MKIaXRpyHuoapDh8q1afGIUeF8fDjr89aTkSeZDdGR68zGgxpvsMfioog4OO8gPmX+Onl9j+C1jByBwSXB+ig==" saltValue="e70dPtyAuzLNqrgfXbXG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fUqHJM+fu7rthLBxXDqGP/Ghjjb7iYzV7BZDhzKLBI21IVv3ocjrR8c0/aBS3lsfixezJAvbfLx+nCJFdetlQ==" saltValue="Asypi1+zIOT4YecKjoI6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0.10995168372715103</v>
      </c>
      <c r="G18" s="90">
        <f>MIN(MAX(1-0.89/(1-frac_sam_12_23months+(frac_sam_12_23months*0.89)),0),1)</f>
        <v>0.10995298593662317</v>
      </c>
      <c r="H18" s="90">
        <f>MIN(MAX(1-0.89/(1-frac_sam_24_59months+(frac_sam_24_59months*0.89)),0),1)</f>
        <v>0.10983019922033144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0.10917784063103086</v>
      </c>
      <c r="G20" s="90">
        <f>MIN(MAX(1-0.89/(1-frac_mam_12_23months+(frac_mam_12_23months*0.89)),0),1)</f>
        <v>0.1089828031848924</v>
      </c>
      <c r="H20" s="90">
        <f>MIN(MAX(1-0.89/(1-frac_mam_24_59months+(frac_mam_24_59months*0.89)),0),1)</f>
        <v>0.10959198121028579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9.9951143258891761E-3</v>
      </c>
      <c r="G73" s="90">
        <f>MIN(MAX(1-0.99/(1-frac_sam_12_23months+(frac_sam_12_23months*0.99)),0),1)</f>
        <v>9.9952459971711649E-3</v>
      </c>
      <c r="H73" s="90">
        <f>MIN(MAX(1-0.99/(1-frac_sam_24_59months+(frac_sam_24_59months*0.99)),0),1)</f>
        <v>9.982832112291673E-3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9.9169300502651714E-3</v>
      </c>
      <c r="G75" s="90">
        <f>MIN(MAX(1-0.99/(1-frac_mam_12_23months+(frac_mam_12_23months*0.99)),0),1)</f>
        <v>9.8972441656913768E-3</v>
      </c>
      <c r="H75" s="90">
        <f>MIN(MAX(1-0.99/(1-frac_mam_24_59months+(frac_mam_24_59months*0.99)),0),1)</f>
        <v>9.958756861893403E-3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0.19992103220587865</v>
      </c>
      <c r="G128" s="90">
        <f>MIN(MAX(1-0.8/(1-frac_sam_12_23months+(frac_sam_12_23months*0.8)),0),1)</f>
        <v>0.19992316062034587</v>
      </c>
      <c r="H128" s="90">
        <f>MIN(MAX(1-0.8/(1-frac_sam_24_59months+(frac_sam_24_59months*0.8)),0),1)</f>
        <v>0.1997224477393249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0.1986553115590084</v>
      </c>
      <c r="G130" s="90">
        <f>MIN(MAX(1-0.8/(1-frac_mam_12_23months+(frac_mam_12_23months*0.8)),0),1)</f>
        <v>0.19833601813941126</v>
      </c>
      <c r="H130" s="90">
        <f>MIN(MAX(1-0.8/(1-frac_mam_24_59months+(frac_mam_24_59months*0.8)),0),1)</f>
        <v>0.19933291621247151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OsnkAnURnkF6OlBHURfdxXCJa7xE1MEuZLmVBs6WmrCegTdPk7c2JoRdQP2yYzS3VQGUssllIVK7lXLppT14Q==" saltValue="JlLy5UlEekddc8TUtOhe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8Vv798iMCtK7aMfXZgJcwsg3UUajWSPqXC0rBWDAzl8T+xlFiUlJ8ViiAWoo03OJqCBr39KMVasdAuY2f1ESQ==" saltValue="MsXLLbQk6qSOzQuAOifN1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2024-08-06T09:09:03Z</dcterms:modified>
</cp:coreProperties>
</file>