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040866AF-3C9D-4D87-B877-85CBCF2FCDBD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A37" i="2"/>
  <c r="A35" i="2"/>
  <c r="A32" i="2"/>
  <c r="A29" i="2"/>
  <c r="A28" i="2"/>
  <c r="A27" i="2"/>
  <c r="A24" i="2"/>
  <c r="A21" i="2"/>
  <c r="A19" i="2"/>
  <c r="A17" i="2"/>
  <c r="A16" i="2"/>
  <c r="H13" i="2"/>
  <c r="G13" i="2"/>
  <c r="H12" i="2"/>
  <c r="G12" i="2"/>
  <c r="H11" i="2"/>
  <c r="G11" i="2"/>
  <c r="I11" i="2" s="1"/>
  <c r="H10" i="2"/>
  <c r="G10" i="2"/>
  <c r="H9" i="2"/>
  <c r="G9" i="2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A3" i="2"/>
  <c r="H2" i="2"/>
  <c r="G2" i="2"/>
  <c r="I2" i="2" s="1"/>
  <c r="A2" i="2"/>
  <c r="A40" i="2" s="1"/>
  <c r="C33" i="1"/>
  <c r="C20" i="1"/>
  <c r="I4" i="2" l="1"/>
  <c r="I8" i="2"/>
  <c r="I12" i="2"/>
  <c r="A20" i="2"/>
  <c r="A31" i="2"/>
  <c r="I39" i="2"/>
  <c r="I5" i="2"/>
  <c r="I9" i="2"/>
  <c r="I13" i="2"/>
  <c r="A23" i="2"/>
  <c r="A33" i="2"/>
  <c r="I40" i="2"/>
  <c r="I6" i="2"/>
  <c r="I10" i="2"/>
  <c r="A15" i="2"/>
  <c r="A25" i="2"/>
  <c r="A36" i="2"/>
  <c r="A18" i="2"/>
  <c r="A26" i="2"/>
  <c r="A34" i="2"/>
  <c r="A39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<sst xmlns="http://schemas.openxmlformats.org/spreadsheetml/2006/main" count="2101" uniqueCount="337">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</sst>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1988148.15625</v>
      </c>
    </row>
    <row r="8" spans="1:3" ht="15" customHeight="1" x14ac:dyDescent="0.25">
      <c r="B8" s="5" t="s">
        <v>19</v>
      </c>
      <c r="C8" s="44">
        <v>0.55500000000000005</v>
      </c>
    </row>
    <row r="9" spans="1:3" ht="15" customHeight="1" x14ac:dyDescent="0.25">
      <c r="B9" s="5" t="s">
        <v>20</v>
      </c>
      <c r="C9" s="45">
        <v>7.0000000000000007E-2</v>
      </c>
    </row>
    <row r="10" spans="1:3" ht="15" customHeight="1" x14ac:dyDescent="0.25">
      <c r="B10" s="5" t="s">
        <v>21</v>
      </c>
      <c r="C10" s="45">
        <v>0.29895069122314499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0.34100000000000003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4.6199999999999998E-2</v>
      </c>
    </row>
    <row r="24" spans="1:3" ht="15" customHeight="1" x14ac:dyDescent="0.25">
      <c r="B24" s="15" t="s">
        <v>33</v>
      </c>
      <c r="C24" s="45">
        <v>0.50180000000000002</v>
      </c>
    </row>
    <row r="25" spans="1:3" ht="15" customHeight="1" x14ac:dyDescent="0.25">
      <c r="B25" s="15" t="s">
        <v>34</v>
      </c>
      <c r="C25" s="45">
        <v>0.36330000000000001</v>
      </c>
    </row>
    <row r="26" spans="1:3" ht="15" customHeight="1" x14ac:dyDescent="0.25">
      <c r="B26" s="15" t="s">
        <v>35</v>
      </c>
      <c r="C26" s="45">
        <v>8.8699999999999987E-2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0.254787647396997</v>
      </c>
    </row>
    <row r="30" spans="1:3" ht="14.25" customHeight="1" x14ac:dyDescent="0.25">
      <c r="B30" s="25" t="s">
        <v>38</v>
      </c>
      <c r="C30" s="99">
        <v>3.6806607194084101E-2</v>
      </c>
    </row>
    <row r="31" spans="1:3" ht="14.25" customHeight="1" x14ac:dyDescent="0.25">
      <c r="B31" s="25" t="s">
        <v>39</v>
      </c>
      <c r="C31" s="99">
        <v>7.3852638350173999E-2</v>
      </c>
    </row>
    <row r="32" spans="1:3" ht="14.25" customHeight="1" x14ac:dyDescent="0.25">
      <c r="B32" s="25" t="s">
        <v>40</v>
      </c>
      <c r="C32" s="99">
        <v>0.63455310705874501</v>
      </c>
    </row>
    <row r="33" spans="1:5" ht="13" customHeight="1" x14ac:dyDescent="0.25">
      <c r="B33" s="27" t="s">
        <v>41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17.52411</v>
      </c>
    </row>
    <row r="38" spans="1:5" ht="15" customHeight="1" x14ac:dyDescent="0.25">
      <c r="B38" s="11" t="s">
        <v>45</v>
      </c>
      <c r="C38" s="43">
        <v>29.650749999999999</v>
      </c>
      <c r="D38" s="12"/>
      <c r="E38" s="13"/>
    </row>
    <row r="39" spans="1:5" ht="15" customHeight="1" x14ac:dyDescent="0.25">
      <c r="B39" s="11" t="s">
        <v>46</v>
      </c>
      <c r="C39" s="43">
        <v>39.438879999999997</v>
      </c>
      <c r="D39" s="12"/>
      <c r="E39" s="12"/>
    </row>
    <row r="40" spans="1:5" ht="15" customHeight="1" x14ac:dyDescent="0.25">
      <c r="B40" s="11" t="s">
        <v>47</v>
      </c>
      <c r="C40" s="100">
        <v>2.59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16.748660000000001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7.9924000000000002E-3</v>
      </c>
      <c r="D45" s="12"/>
    </row>
    <row r="46" spans="1:5" ht="15.75" customHeight="1" x14ac:dyDescent="0.25">
      <c r="B46" s="11" t="s">
        <v>52</v>
      </c>
      <c r="C46" s="45">
        <v>8.54993E-2</v>
      </c>
      <c r="D46" s="12"/>
    </row>
    <row r="47" spans="1:5" ht="15.75" customHeight="1" x14ac:dyDescent="0.25">
      <c r="B47" s="11" t="s">
        <v>53</v>
      </c>
      <c r="C47" s="45">
        <v>0.16339429999999999</v>
      </c>
      <c r="D47" s="12"/>
      <c r="E47" s="13"/>
    </row>
    <row r="48" spans="1:5" ht="15" customHeight="1" x14ac:dyDescent="0.25">
      <c r="B48" s="11" t="s">
        <v>54</v>
      </c>
      <c r="C48" s="46">
        <v>0.74311400000000005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3.3</v>
      </c>
      <c r="D51" s="12"/>
    </row>
    <row r="52" spans="1:4" ht="15" customHeight="1" x14ac:dyDescent="0.25">
      <c r="B52" s="11" t="s">
        <v>57</v>
      </c>
      <c r="C52" s="100">
        <v>3.3</v>
      </c>
    </row>
    <row r="53" spans="1:4" ht="15.75" customHeight="1" x14ac:dyDescent="0.25">
      <c r="B53" s="11" t="s">
        <v>58</v>
      </c>
      <c r="C53" s="100">
        <v>3.3</v>
      </c>
    </row>
    <row r="54" spans="1:4" ht="15.75" customHeight="1" x14ac:dyDescent="0.25">
      <c r="B54" s="11" t="s">
        <v>59</v>
      </c>
      <c r="C54" s="100">
        <v>3.3</v>
      </c>
    </row>
    <row r="55" spans="1:4" ht="15.75" customHeight="1" x14ac:dyDescent="0.25">
      <c r="B55" s="11" t="s">
        <v>60</v>
      </c>
      <c r="C55" s="100">
        <v>3.3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2.181818181818182E-2</v>
      </c>
    </row>
    <row r="59" spans="1:4" ht="15.75" customHeight="1" x14ac:dyDescent="0.25">
      <c r="B59" s="11" t="s">
        <v>63</v>
      </c>
      <c r="C59" s="45">
        <v>0.62000600000000006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7.87070039999999E-2</v>
      </c>
    </row>
    <row r="63" spans="1:4" ht="15.75" customHeight="1" x14ac:dyDescent="0.3">
      <c r="A63" s="4"/>
    </row>
  </sheetData>
  <sheetProtection algorithmName="SHA-512" hashValue="WLMGOlWsf7idfOTsdQ6mavxNxT/ulM4hUSy7QVKLu591D+/N/OkbLX6Jl7Rw6lTBaPeCPzy2V2ScdDXNIiDXDA==" saltValue="puA0e7Dr8IpEVq5fUUQml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412709</v>
      </c>
      <c r="C2" s="49">
        <v>953624</v>
      </c>
      <c r="D2" s="49">
        <v>1283702.5</v>
      </c>
      <c r="E2" s="49">
        <v>1025523.5</v>
      </c>
      <c r="F2" s="49">
        <v>614913.5</v>
      </c>
      <c r="G2" s="17">
        <f t="shared" ref="G2:G13" si="0">C2+D2+E2+F2</f>
        <v>3877763.5</v>
      </c>
      <c r="H2" s="17">
        <f t="shared" ref="H2:H13" si="1">(B2 + stillbirth*B2/(1000-stillbirth))/(1-abortion)</f>
        <v>476976.21240973851</v>
      </c>
      <c r="I2" s="17">
        <f t="shared" ref="I2:I13" si="2">G2-H2</f>
        <v>3400787.2875902615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416307</v>
      </c>
      <c r="C3" s="50">
        <v>960952</v>
      </c>
      <c r="D3" s="50">
        <v>1321044.5</v>
      </c>
      <c r="E3" s="50">
        <v>1040532</v>
      </c>
      <c r="F3" s="50">
        <v>650892.5</v>
      </c>
      <c r="G3" s="17">
        <f t="shared" si="0"/>
        <v>3973421</v>
      </c>
      <c r="H3" s="17">
        <f t="shared" si="1"/>
        <v>481134.49442503316</v>
      </c>
      <c r="I3" s="17">
        <f t="shared" si="2"/>
        <v>3492286.5055749668</v>
      </c>
    </row>
    <row r="4" spans="1:9" ht="15.75" customHeight="1" x14ac:dyDescent="0.25">
      <c r="A4" s="5">
        <f t="shared" si="3"/>
        <v>2026</v>
      </c>
      <c r="B4" s="49">
        <v>419664</v>
      </c>
      <c r="C4" s="50">
        <v>966958.5</v>
      </c>
      <c r="D4" s="50">
        <v>1359706</v>
      </c>
      <c r="E4" s="50">
        <v>1055665</v>
      </c>
      <c r="F4" s="50">
        <v>686977</v>
      </c>
      <c r="G4" s="17">
        <f t="shared" si="0"/>
        <v>4069306.5</v>
      </c>
      <c r="H4" s="17">
        <f t="shared" si="1"/>
        <v>485014.24782284978</v>
      </c>
      <c r="I4" s="17">
        <f t="shared" si="2"/>
        <v>3584292.25217715</v>
      </c>
    </row>
    <row r="5" spans="1:9" ht="15.75" customHeight="1" x14ac:dyDescent="0.25">
      <c r="A5" s="5">
        <f t="shared" si="3"/>
        <v>2027</v>
      </c>
      <c r="B5" s="49">
        <v>421585</v>
      </c>
      <c r="C5" s="50">
        <v>973243.5</v>
      </c>
      <c r="D5" s="50">
        <v>1399314.5</v>
      </c>
      <c r="E5" s="50">
        <v>1070122</v>
      </c>
      <c r="F5" s="50">
        <v>722118.5</v>
      </c>
      <c r="G5" s="17">
        <f t="shared" si="0"/>
        <v>4164798.5</v>
      </c>
      <c r="H5" s="17">
        <f t="shared" si="1"/>
        <v>487234.38671984279</v>
      </c>
      <c r="I5" s="17">
        <f t="shared" si="2"/>
        <v>3677564.1132801571</v>
      </c>
    </row>
    <row r="6" spans="1:9" ht="15.75" customHeight="1" x14ac:dyDescent="0.25">
      <c r="A6" s="5">
        <f t="shared" si="3"/>
        <v>2028</v>
      </c>
      <c r="B6" s="49">
        <v>426039</v>
      </c>
      <c r="C6" s="50">
        <v>981622.5</v>
      </c>
      <c r="D6" s="50">
        <v>1437282</v>
      </c>
      <c r="E6" s="50">
        <v>1085023</v>
      </c>
      <c r="F6" s="50">
        <v>755421</v>
      </c>
      <c r="G6" s="17">
        <f t="shared" si="0"/>
        <v>4259348.5</v>
      </c>
      <c r="H6" s="17">
        <f t="shared" si="1"/>
        <v>492381.96540136653</v>
      </c>
      <c r="I6" s="17">
        <f t="shared" si="2"/>
        <v>3766966.5345986336</v>
      </c>
    </row>
    <row r="7" spans="1:9" ht="15.75" customHeight="1" x14ac:dyDescent="0.25">
      <c r="A7" s="5">
        <f t="shared" si="3"/>
        <v>2029</v>
      </c>
      <c r="B7" s="49">
        <v>428239</v>
      </c>
      <c r="C7" s="50">
        <v>992999.49999999988</v>
      </c>
      <c r="D7" s="50">
        <v>1471537</v>
      </c>
      <c r="E7" s="50">
        <v>1102331</v>
      </c>
      <c r="F7" s="50">
        <v>785408.5</v>
      </c>
      <c r="G7" s="17">
        <f t="shared" si="0"/>
        <v>4352276</v>
      </c>
      <c r="H7" s="17">
        <f t="shared" si="1"/>
        <v>494924.55029120762</v>
      </c>
      <c r="I7" s="17">
        <f t="shared" si="2"/>
        <v>3857351.4497087924</v>
      </c>
    </row>
    <row r="8" spans="1:9" ht="15.75" customHeight="1" x14ac:dyDescent="0.25">
      <c r="A8" s="5">
        <f t="shared" si="3"/>
        <v>2030</v>
      </c>
      <c r="B8" s="49">
        <v>430732</v>
      </c>
      <c r="C8" s="50">
        <v>1007133.5</v>
      </c>
      <c r="D8" s="50">
        <v>1501488.5</v>
      </c>
      <c r="E8" s="50">
        <v>1123533.5</v>
      </c>
      <c r="F8" s="50">
        <v>811213.5</v>
      </c>
      <c r="G8" s="17">
        <f t="shared" si="0"/>
        <v>4443369</v>
      </c>
      <c r="H8" s="17">
        <f t="shared" si="1"/>
        <v>497805.76125955937</v>
      </c>
      <c r="I8" s="17">
        <f t="shared" si="2"/>
        <v>3945563.2387404405</v>
      </c>
    </row>
    <row r="9" spans="1:9" ht="15.75" customHeight="1" x14ac:dyDescent="0.25">
      <c r="A9" s="5">
        <f t="shared" si="3"/>
        <v>2031</v>
      </c>
      <c r="B9" s="49">
        <v>432695</v>
      </c>
      <c r="C9" s="50">
        <v>1023584.5</v>
      </c>
      <c r="D9" s="50">
        <v>1526553</v>
      </c>
      <c r="E9" s="50">
        <v>1149899</v>
      </c>
      <c r="F9" s="50">
        <v>833106</v>
      </c>
      <c r="G9" s="17">
        <f t="shared" si="0"/>
        <v>4533142.5</v>
      </c>
      <c r="H9" s="17">
        <f t="shared" si="1"/>
        <v>500074.44041354029</v>
      </c>
      <c r="I9" s="17">
        <f t="shared" si="2"/>
        <v>4033068.0595864598</v>
      </c>
    </row>
    <row r="10" spans="1:9" ht="15.75" customHeight="1" x14ac:dyDescent="0.25">
      <c r="A10" s="5">
        <f t="shared" si="3"/>
        <v>2032</v>
      </c>
      <c r="B10" s="49">
        <v>435814</v>
      </c>
      <c r="C10" s="50">
        <v>1041457</v>
      </c>
      <c r="D10" s="50">
        <v>1548802</v>
      </c>
      <c r="E10" s="50">
        <v>1180081</v>
      </c>
      <c r="F10" s="50">
        <v>851287.5</v>
      </c>
      <c r="G10" s="17">
        <f t="shared" si="0"/>
        <v>4621627.5</v>
      </c>
      <c r="H10" s="17">
        <f t="shared" si="1"/>
        <v>503679.13235509227</v>
      </c>
      <c r="I10" s="17">
        <f t="shared" si="2"/>
        <v>4117948.3676449079</v>
      </c>
    </row>
    <row r="11" spans="1:9" ht="15.75" customHeight="1" x14ac:dyDescent="0.25">
      <c r="A11" s="5">
        <f t="shared" si="3"/>
        <v>2033</v>
      </c>
      <c r="B11" s="49">
        <v>438657</v>
      </c>
      <c r="C11" s="50">
        <v>1059871.5</v>
      </c>
      <c r="D11" s="50">
        <v>1569845.5</v>
      </c>
      <c r="E11" s="50">
        <v>1212617</v>
      </c>
      <c r="F11" s="50">
        <v>866315.5</v>
      </c>
      <c r="G11" s="17">
        <f t="shared" si="0"/>
        <v>4708649.5</v>
      </c>
      <c r="H11" s="17">
        <f t="shared" si="1"/>
        <v>506964.84546500962</v>
      </c>
      <c r="I11" s="17">
        <f t="shared" si="2"/>
        <v>4201684.65453499</v>
      </c>
    </row>
    <row r="12" spans="1:9" ht="15.75" customHeight="1" x14ac:dyDescent="0.25">
      <c r="A12" s="5">
        <f t="shared" si="3"/>
        <v>2034</v>
      </c>
      <c r="B12" s="49">
        <v>441535</v>
      </c>
      <c r="C12" s="50">
        <v>1077927.5</v>
      </c>
      <c r="D12" s="50">
        <v>1588575</v>
      </c>
      <c r="E12" s="50">
        <v>1247943</v>
      </c>
      <c r="F12" s="50">
        <v>879299.5</v>
      </c>
      <c r="G12" s="17">
        <f t="shared" si="0"/>
        <v>4793745</v>
      </c>
      <c r="H12" s="17">
        <f t="shared" si="1"/>
        <v>510291.00878908357</v>
      </c>
      <c r="I12" s="17">
        <f t="shared" si="2"/>
        <v>4283453.9912109161</v>
      </c>
    </row>
    <row r="13" spans="1:9" ht="15.75" customHeight="1" x14ac:dyDescent="0.25">
      <c r="A13" s="5">
        <f t="shared" si="3"/>
        <v>2035</v>
      </c>
      <c r="B13" s="49">
        <v>444544</v>
      </c>
      <c r="C13" s="50">
        <v>1095299.5</v>
      </c>
      <c r="D13" s="50">
        <v>1605814.5</v>
      </c>
      <c r="E13" s="50">
        <v>1285188</v>
      </c>
      <c r="F13" s="50">
        <v>891926.5</v>
      </c>
      <c r="G13" s="17">
        <f t="shared" si="0"/>
        <v>4878228.5</v>
      </c>
      <c r="H13" s="17">
        <f t="shared" si="1"/>
        <v>513768.57148614351</v>
      </c>
      <c r="I13" s="17">
        <f t="shared" si="2"/>
        <v>4364459.9285138566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lsI+Xw8JqST6wKOUdAZ92IarH5y78271a4hFK5eqVzzJfPeUrZF/+0iCAJkVYLzrsLo5kEtb6SuKCTGAhjiyg==" saltValue="K+783Jyyz3udPCwYfyEO8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6.0182990146353584E-3</v>
      </c>
    </row>
    <row r="4" spans="1:8" ht="15.75" customHeight="1" x14ac:dyDescent="0.25">
      <c r="B4" s="19" t="s">
        <v>79</v>
      </c>
      <c r="C4" s="101">
        <v>4.6453576687890671E-2</v>
      </c>
    </row>
    <row r="5" spans="1:8" ht="15.75" customHeight="1" x14ac:dyDescent="0.25">
      <c r="B5" s="19" t="s">
        <v>80</v>
      </c>
      <c r="C5" s="101">
        <v>5.2706888908387282E-2</v>
      </c>
    </row>
    <row r="6" spans="1:8" ht="15.75" customHeight="1" x14ac:dyDescent="0.25">
      <c r="B6" s="19" t="s">
        <v>81</v>
      </c>
      <c r="C6" s="101">
        <v>0.21486660124181831</v>
      </c>
    </row>
    <row r="7" spans="1:8" ht="15.75" customHeight="1" x14ac:dyDescent="0.25">
      <c r="B7" s="19" t="s">
        <v>82</v>
      </c>
      <c r="C7" s="101">
        <v>0.48309890874434158</v>
      </c>
    </row>
    <row r="8" spans="1:8" ht="15.75" customHeight="1" x14ac:dyDescent="0.25">
      <c r="B8" s="19" t="s">
        <v>83</v>
      </c>
      <c r="C8" s="101">
        <v>6.8292896688334896E-4</v>
      </c>
    </row>
    <row r="9" spans="1:8" ht="15.75" customHeight="1" x14ac:dyDescent="0.25">
      <c r="B9" s="19" t="s">
        <v>84</v>
      </c>
      <c r="C9" s="101">
        <v>0.11159575567550881</v>
      </c>
    </row>
    <row r="10" spans="1:8" ht="15.75" customHeight="1" x14ac:dyDescent="0.25">
      <c r="B10" s="19" t="s">
        <v>85</v>
      </c>
      <c r="C10" s="101">
        <v>8.4577040760534461E-2</v>
      </c>
    </row>
    <row r="11" spans="1:8" ht="15.75" customHeight="1" x14ac:dyDescent="0.25">
      <c r="B11" s="27" t="s">
        <v>41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0.1660695973537461</v>
      </c>
      <c r="D14" s="55">
        <v>0.1660695973537461</v>
      </c>
      <c r="E14" s="55">
        <v>0.1660695973537461</v>
      </c>
      <c r="F14" s="55">
        <v>0.1660695973537461</v>
      </c>
    </row>
    <row r="15" spans="1:8" ht="15.75" customHeight="1" x14ac:dyDescent="0.25">
      <c r="B15" s="19" t="s">
        <v>88</v>
      </c>
      <c r="C15" s="101">
        <v>0.26625517984174851</v>
      </c>
      <c r="D15" s="101">
        <v>0.26625517984174851</v>
      </c>
      <c r="E15" s="101">
        <v>0.26625517984174851</v>
      </c>
      <c r="F15" s="101">
        <v>0.26625517984174851</v>
      </c>
    </row>
    <row r="16" spans="1:8" ht="15.75" customHeight="1" x14ac:dyDescent="0.25">
      <c r="B16" s="19" t="s">
        <v>89</v>
      </c>
      <c r="C16" s="101">
        <v>1.333089552501393E-2</v>
      </c>
      <c r="D16" s="101">
        <v>1.333089552501393E-2</v>
      </c>
      <c r="E16" s="101">
        <v>1.333089552501393E-2</v>
      </c>
      <c r="F16" s="101">
        <v>1.333089552501393E-2</v>
      </c>
    </row>
    <row r="17" spans="1:8" ht="15.75" customHeight="1" x14ac:dyDescent="0.25">
      <c r="B17" s="19" t="s">
        <v>90</v>
      </c>
      <c r="C17" s="101">
        <v>8.7282404598570933E-3</v>
      </c>
      <c r="D17" s="101">
        <v>8.7282404598570933E-3</v>
      </c>
      <c r="E17" s="101">
        <v>8.7282404598570933E-3</v>
      </c>
      <c r="F17" s="101">
        <v>8.7282404598570933E-3</v>
      </c>
    </row>
    <row r="18" spans="1:8" ht="15.75" customHeight="1" x14ac:dyDescent="0.25">
      <c r="B18" s="19" t="s">
        <v>91</v>
      </c>
      <c r="C18" s="101">
        <v>8.9974197817541915E-2</v>
      </c>
      <c r="D18" s="101">
        <v>8.9974197817541915E-2</v>
      </c>
      <c r="E18" s="101">
        <v>8.9974197817541915E-2</v>
      </c>
      <c r="F18" s="101">
        <v>8.9974197817541915E-2</v>
      </c>
    </row>
    <row r="19" spans="1:8" ht="15.75" customHeight="1" x14ac:dyDescent="0.25">
      <c r="B19" s="19" t="s">
        <v>92</v>
      </c>
      <c r="C19" s="101">
        <v>4.0866747820799708E-2</v>
      </c>
      <c r="D19" s="101">
        <v>4.0866747820799708E-2</v>
      </c>
      <c r="E19" s="101">
        <v>4.0866747820799708E-2</v>
      </c>
      <c r="F19" s="101">
        <v>4.0866747820799708E-2</v>
      </c>
    </row>
    <row r="20" spans="1:8" ht="15.75" customHeight="1" x14ac:dyDescent="0.25">
      <c r="B20" s="19" t="s">
        <v>93</v>
      </c>
      <c r="C20" s="101">
        <v>5.6648497277709368E-2</v>
      </c>
      <c r="D20" s="101">
        <v>5.6648497277709368E-2</v>
      </c>
      <c r="E20" s="101">
        <v>5.6648497277709368E-2</v>
      </c>
      <c r="F20" s="101">
        <v>5.6648497277709368E-2</v>
      </c>
    </row>
    <row r="21" spans="1:8" ht="15.75" customHeight="1" x14ac:dyDescent="0.25">
      <c r="B21" s="19" t="s">
        <v>94</v>
      </c>
      <c r="C21" s="101">
        <v>0.1894963149331233</v>
      </c>
      <c r="D21" s="101">
        <v>0.1894963149331233</v>
      </c>
      <c r="E21" s="101">
        <v>0.1894963149331233</v>
      </c>
      <c r="F21" s="101">
        <v>0.1894963149331233</v>
      </c>
    </row>
    <row r="22" spans="1:8" ht="15.75" customHeight="1" x14ac:dyDescent="0.25">
      <c r="B22" s="19" t="s">
        <v>95</v>
      </c>
      <c r="C22" s="101">
        <v>0.16863032897045999</v>
      </c>
      <c r="D22" s="101">
        <v>0.16863032897045999</v>
      </c>
      <c r="E22" s="101">
        <v>0.16863032897045999</v>
      </c>
      <c r="F22" s="101">
        <v>0.16863032897045999</v>
      </c>
    </row>
    <row r="23" spans="1:8" ht="15.75" customHeight="1" x14ac:dyDescent="0.25">
      <c r="B23" s="27" t="s">
        <v>41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8.8012850000000004E-2</v>
      </c>
    </row>
    <row r="27" spans="1:8" ht="15.75" customHeight="1" x14ac:dyDescent="0.25">
      <c r="B27" s="19" t="s">
        <v>102</v>
      </c>
      <c r="C27" s="101">
        <v>8.9249900000000007E-3</v>
      </c>
    </row>
    <row r="28" spans="1:8" ht="15.75" customHeight="1" x14ac:dyDescent="0.25">
      <c r="B28" s="19" t="s">
        <v>103</v>
      </c>
      <c r="C28" s="101">
        <v>0.15479583299999999</v>
      </c>
    </row>
    <row r="29" spans="1:8" ht="15.75" customHeight="1" x14ac:dyDescent="0.25">
      <c r="B29" s="19" t="s">
        <v>104</v>
      </c>
      <c r="C29" s="101">
        <v>0.168002662</v>
      </c>
    </row>
    <row r="30" spans="1:8" ht="15.75" customHeight="1" x14ac:dyDescent="0.25">
      <c r="B30" s="19" t="s">
        <v>2</v>
      </c>
      <c r="C30" s="101">
        <v>0.104541704</v>
      </c>
    </row>
    <row r="31" spans="1:8" ht="15.75" customHeight="1" x14ac:dyDescent="0.25">
      <c r="B31" s="19" t="s">
        <v>105</v>
      </c>
      <c r="C31" s="101">
        <v>0.10832760499999999</v>
      </c>
    </row>
    <row r="32" spans="1:8" ht="15.75" customHeight="1" x14ac:dyDescent="0.25">
      <c r="B32" s="19" t="s">
        <v>106</v>
      </c>
      <c r="C32" s="101">
        <v>1.8696531999999998E-2</v>
      </c>
    </row>
    <row r="33" spans="2:3" ht="15.75" customHeight="1" x14ac:dyDescent="0.25">
      <c r="B33" s="19" t="s">
        <v>107</v>
      </c>
      <c r="C33" s="101">
        <v>8.4083039999999998E-2</v>
      </c>
    </row>
    <row r="34" spans="2:3" ht="15.75" customHeight="1" x14ac:dyDescent="0.25">
      <c r="B34" s="19" t="s">
        <v>108</v>
      </c>
      <c r="C34" s="101">
        <v>0.26461478300000002</v>
      </c>
    </row>
    <row r="35" spans="2:3" ht="15.75" customHeight="1" x14ac:dyDescent="0.25">
      <c r="B35" s="27" t="s">
        <v>41</v>
      </c>
      <c r="C35" s="48">
        <f>SUM(C26:C34)</f>
        <v>0.99999999899999992</v>
      </c>
    </row>
  </sheetData>
  <sheetProtection algorithmName="SHA-512" hashValue="DfFDy+rVpBNwjMxopZBKMXqsbP2OgptmTxEiFr4EW1MUNNbOWhtTosBIuSJadc5aXsYEdO3lUfoyikMbjQKo6A==" saltValue="uJNVoUDB0k+orD/MVN9kP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0.4940275172089843</v>
      </c>
      <c r="D2" s="52">
        <f>IFERROR(1-_xlfn.NORM.DIST(_xlfn.NORM.INV(SUM(D4:D5), 0, 1) + 1, 0, 1, TRUE), "")</f>
        <v>0.4940275172089843</v>
      </c>
      <c r="E2" s="52">
        <f>IFERROR(1-_xlfn.NORM.DIST(_xlfn.NORM.INV(SUM(E4:E5), 0, 1) + 1, 0, 1, TRUE), "")</f>
        <v>0.41826682079391031</v>
      </c>
      <c r="F2" s="52">
        <f>IFERROR(1-_xlfn.NORM.DIST(_xlfn.NORM.INV(SUM(F4:F5), 0, 1) + 1, 0, 1, TRUE), "")</f>
        <v>0.26123661760025274</v>
      </c>
      <c r="G2" s="52">
        <f>IFERROR(1-_xlfn.NORM.DIST(_xlfn.NORM.INV(SUM(G4:G5), 0, 1) + 1, 0, 1, TRUE), "")</f>
        <v>0.25257570689057673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0.34366748279101567</v>
      </c>
      <c r="D3" s="52">
        <f>IFERROR(_xlfn.NORM.DIST(_xlfn.NORM.INV(SUM(D4:D5), 0, 1) + 1, 0, 1, TRUE) - SUM(D4:D5), "")</f>
        <v>0.34366748279101567</v>
      </c>
      <c r="E3" s="52">
        <f>IFERROR(_xlfn.NORM.DIST(_xlfn.NORM.INV(SUM(E4:E5), 0, 1) + 1, 0, 1, TRUE) - SUM(E4:E5), "")</f>
        <v>0.36803957920608971</v>
      </c>
      <c r="F3" s="52">
        <f>IFERROR(_xlfn.NORM.DIST(_xlfn.NORM.INV(SUM(F4:F5), 0, 1) + 1, 0, 1, TRUE) - SUM(F4:F5), "")</f>
        <v>0.37951268239974723</v>
      </c>
      <c r="G3" s="52">
        <f>IFERROR(_xlfn.NORM.DIST(_xlfn.NORM.INV(SUM(G4:G5), 0, 1) + 1, 0, 1, TRUE) - SUM(G4:G5), "")</f>
        <v>0.37808119310942323</v>
      </c>
    </row>
    <row r="4" spans="1:15" ht="15.75" customHeight="1" x14ac:dyDescent="0.25">
      <c r="B4" s="5" t="s">
        <v>114</v>
      </c>
      <c r="C4" s="45">
        <v>0.1173162</v>
      </c>
      <c r="D4" s="53">
        <v>0.1173162</v>
      </c>
      <c r="E4" s="53">
        <v>0.159605</v>
      </c>
      <c r="F4" s="53">
        <v>0.26786270000000001</v>
      </c>
      <c r="G4" s="53">
        <v>0.2625538</v>
      </c>
    </row>
    <row r="5" spans="1:15" ht="15.75" customHeight="1" x14ac:dyDescent="0.25">
      <c r="B5" s="5" t="s">
        <v>115</v>
      </c>
      <c r="C5" s="45">
        <v>4.4988800000000002E-2</v>
      </c>
      <c r="D5" s="53">
        <v>4.4988800000000002E-2</v>
      </c>
      <c r="E5" s="53">
        <v>5.4088600000000001E-2</v>
      </c>
      <c r="F5" s="53">
        <v>9.1387999999999997E-2</v>
      </c>
      <c r="G5" s="53">
        <v>0.1067893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0.87763531477205214</v>
      </c>
      <c r="D8" s="52">
        <f>IFERROR(1-_xlfn.NORM.DIST(_xlfn.NORM.INV(SUM(D10:D11), 0, 1) + 1, 0, 1, TRUE), "")</f>
        <v>0.87763531477205214</v>
      </c>
      <c r="E8" s="52">
        <f>IFERROR(1-_xlfn.NORM.DIST(_xlfn.NORM.INV(SUM(E10:E11), 0, 1) + 1, 0, 1, TRUE), "")</f>
        <v>0.85479504017083729</v>
      </c>
      <c r="F8" s="52">
        <f>IFERROR(1-_xlfn.NORM.DIST(_xlfn.NORM.INV(SUM(F10:F11), 0, 1) + 1, 0, 1, TRUE), "")</f>
        <v>0.88326271839159742</v>
      </c>
      <c r="G8" s="52">
        <f>IFERROR(1-_xlfn.NORM.DIST(_xlfn.NORM.INV(SUM(G10:G11), 0, 1) + 1, 0, 1, TRUE), "")</f>
        <v>0.92036904142394294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0.10710358522794784</v>
      </c>
      <c r="D9" s="52">
        <f>IFERROR(_xlfn.NORM.DIST(_xlfn.NORM.INV(SUM(D10:D11), 0, 1) + 1, 0, 1, TRUE) - SUM(D10:D11), "")</f>
        <v>0.10710358522794784</v>
      </c>
      <c r="E9" s="52">
        <f>IFERROR(_xlfn.NORM.DIST(_xlfn.NORM.INV(SUM(E10:E11), 0, 1) + 1, 0, 1, TRUE) - SUM(E10:E11), "")</f>
        <v>0.12537255982916276</v>
      </c>
      <c r="F9" s="52">
        <f>IFERROR(_xlfn.NORM.DIST(_xlfn.NORM.INV(SUM(F10:F11), 0, 1) + 1, 0, 1, TRUE) - SUM(F10:F11), "")</f>
        <v>0.10252788160840259</v>
      </c>
      <c r="G9" s="52">
        <f>IFERROR(_xlfn.NORM.DIST(_xlfn.NORM.INV(SUM(G10:G11), 0, 1) + 1, 0, 1, TRUE) - SUM(G10:G11), "")</f>
        <v>7.1601158576057006E-2</v>
      </c>
    </row>
    <row r="10" spans="1:15" ht="15.75" customHeight="1" x14ac:dyDescent="0.25">
      <c r="B10" s="5" t="s">
        <v>119</v>
      </c>
      <c r="C10" s="45">
        <v>9.1525000000000009E-3</v>
      </c>
      <c r="D10" s="53">
        <v>9.1525000000000009E-3</v>
      </c>
      <c r="E10" s="53">
        <v>1.40543E-2</v>
      </c>
      <c r="F10" s="53">
        <v>1.18117E-2</v>
      </c>
      <c r="G10" s="53">
        <v>7.5318E-3</v>
      </c>
    </row>
    <row r="11" spans="1:15" ht="15.75" customHeight="1" x14ac:dyDescent="0.25">
      <c r="B11" s="5" t="s">
        <v>120</v>
      </c>
      <c r="C11" s="45">
        <v>6.1085999999999996E-3</v>
      </c>
      <c r="D11" s="53">
        <v>6.1085999999999996E-3</v>
      </c>
      <c r="E11" s="53">
        <v>5.7781000000000004E-3</v>
      </c>
      <c r="F11" s="53">
        <v>2.3977E-3</v>
      </c>
      <c r="G11" s="53">
        <v>4.9799999999999996E-4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0.7628772305</v>
      </c>
      <c r="D14" s="54">
        <v>0.73898727781200013</v>
      </c>
      <c r="E14" s="54">
        <v>0.73898727781200013</v>
      </c>
      <c r="F14" s="54">
        <v>0.45575443164700002</v>
      </c>
      <c r="G14" s="54">
        <v>0.45575443164700002</v>
      </c>
      <c r="H14" s="45">
        <v>0.24399999999999999</v>
      </c>
      <c r="I14" s="55">
        <v>0.24399999999999999</v>
      </c>
      <c r="J14" s="55">
        <v>0.24399999999999999</v>
      </c>
      <c r="K14" s="55">
        <v>0.24399999999999999</v>
      </c>
      <c r="L14" s="45">
        <v>0.221</v>
      </c>
      <c r="M14" s="55">
        <v>0.221</v>
      </c>
      <c r="N14" s="55">
        <v>0.221</v>
      </c>
      <c r="O14" s="55">
        <v>0.221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0.47298846017338303</v>
      </c>
      <c r="D15" s="52">
        <f t="shared" si="0"/>
        <v>0.45817654616710701</v>
      </c>
      <c r="E15" s="52">
        <f t="shared" si="0"/>
        <v>0.45817654616710701</v>
      </c>
      <c r="F15" s="52">
        <f t="shared" si="0"/>
        <v>0.2825704821477299</v>
      </c>
      <c r="G15" s="52">
        <f t="shared" si="0"/>
        <v>0.2825704821477299</v>
      </c>
      <c r="H15" s="52">
        <f t="shared" si="0"/>
        <v>0.151281464</v>
      </c>
      <c r="I15" s="52">
        <f t="shared" si="0"/>
        <v>0.151281464</v>
      </c>
      <c r="J15" s="52">
        <f t="shared" si="0"/>
        <v>0.151281464</v>
      </c>
      <c r="K15" s="52">
        <f t="shared" si="0"/>
        <v>0.151281464</v>
      </c>
      <c r="L15" s="52">
        <f t="shared" si="0"/>
        <v>0.13702132600000003</v>
      </c>
      <c r="M15" s="52">
        <f t="shared" si="0"/>
        <v>0.13702132600000003</v>
      </c>
      <c r="N15" s="52">
        <f t="shared" si="0"/>
        <v>0.13702132600000003</v>
      </c>
      <c r="O15" s="52">
        <f t="shared" si="0"/>
        <v>0.13702132600000003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5FeEHsitqGi/BWwpckhRV1gi3NRlr69JDerttq8lEwpJllwSTYyYf6X46GWEwq8J5zjMaQyG+k71xkx76aCCkg==" saltValue="AtVAW7+N3vDdGDvOvNJ9w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0.86949749999999992</v>
      </c>
      <c r="D2" s="53">
        <v>0.78899600000000003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8.3859900000000001E-2</v>
      </c>
      <c r="D3" s="53">
        <v>0.1030933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3.8673300000000001E-2</v>
      </c>
      <c r="D4" s="53">
        <v>9.6228200000000014E-2</v>
      </c>
      <c r="E4" s="53">
        <v>0.97447069999999991</v>
      </c>
      <c r="F4" s="53">
        <v>0.90395999999999999</v>
      </c>
      <c r="G4" s="53">
        <v>0</v>
      </c>
    </row>
    <row r="5" spans="1:7" x14ac:dyDescent="0.25">
      <c r="B5" s="3" t="s">
        <v>132</v>
      </c>
      <c r="C5" s="52">
        <v>7.9693000000000003E-3</v>
      </c>
      <c r="D5" s="52">
        <v>1.16825E-2</v>
      </c>
      <c r="E5" s="52">
        <f>1-SUM(E2:E4)</f>
        <v>2.5529300000000088E-2</v>
      </c>
      <c r="F5" s="52">
        <f>1-SUM(F2:F4)</f>
        <v>9.6040000000000014E-2</v>
      </c>
      <c r="G5" s="52">
        <f>1-SUM(G2:G4)</f>
        <v>1</v>
      </c>
    </row>
  </sheetData>
  <sheetProtection algorithmName="SHA-512" hashValue="WRVo8S+7E4JCDEYzlN3qu2PakAqKHKxWrPZJyGQcbj7viSQWyKns3uR3PtSQSRymxWGAMolBLtcmWZM19vChlw==" saltValue="UB9WdolI10xYRkmo07/5t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aHc7VZ8TloRi/1/e0WFe2UFm579SBc76eJnSZ8r1HAZtLBzcR+lELdRtGOH5r7++DKMawf8nrZOHIFm2vcUHQQ==" saltValue="i8cNGqEXkcA2KF2Xpts4z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ht="13.25" customHeight="1" x14ac:dyDescent="0.25">
      <c r="A2" s="8" t="s">
        <v>145</v>
      </c>
      <c r="B2" s="41">
        <v>10</v>
      </c>
    </row>
    <row r="3" spans="1:2" ht="13.25" customHeight="1" x14ac:dyDescent="0.25">
      <c r="A3" s="8" t="s">
        <v>150</v>
      </c>
      <c r="B3" s="41">
        <v>10</v>
      </c>
    </row>
    <row r="4" spans="1:2" ht="13.25" customHeight="1" x14ac:dyDescent="0.25">
      <c r="A4" s="8" t="s">
        <v>146</v>
      </c>
      <c r="B4" s="41">
        <v>10</v>
      </c>
    </row>
    <row r="5" spans="1:2" ht="13.25" customHeight="1" x14ac:dyDescent="0.25">
      <c r="A5" s="8" t="s">
        <v>147</v>
      </c>
      <c r="B5" s="41">
        <v>10</v>
      </c>
    </row>
    <row r="6" spans="1:2" ht="13.25" customHeight="1" x14ac:dyDescent="0.25">
      <c r="A6" s="8" t="s">
        <v>148</v>
      </c>
      <c r="B6" s="41">
        <v>10</v>
      </c>
    </row>
    <row r="7" spans="1:2" ht="13.25" customHeight="1" x14ac:dyDescent="0.25">
      <c r="A7" s="8" t="s">
        <v>149</v>
      </c>
      <c r="B7" s="41">
        <v>10</v>
      </c>
    </row>
  </sheetData>
  <sheetProtection algorithmName="SHA-512" hashValue="d1noti+DLPBS0638SDJFBKyT6L8LbHPnTy8JAXnzIbRWevoxRNmuvNmMeB0Rrx0pe0Wh88Zseth9rEK+vIWbzw==" saltValue="UD3oA8sgi/n82mDUdxEzC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109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96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M3WVu7jyBWcZjTE/GJRz37ZzivjIAAUFNvUdkOg0N97p1LlDKt+ARsCUDAX9GiMZCVveE+8nznkvpxuOPeRw0g==" saltValue="7MPonpeTnWK07aIuflhOY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runvElDbEM7aUmfkywazDLNbSlDp7hlJBvCTlneiQ23omKsW6Cd0Em//fVyhFTBH5fPmFYseAOzjpVfYKBaTGg==" saltValue="BE2ndNmNN16+3eikVrU87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36.079849986609638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</v>
      </c>
      <c r="C3" s="98">
        <v>0.95</v>
      </c>
      <c r="D3" s="56">
        <v>47.391202091117947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70.283560158574318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0.40054500108515723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0.1563252</v>
      </c>
      <c r="C10" s="98">
        <v>0.95</v>
      </c>
      <c r="D10" s="56">
        <v>15.05045142161304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15.05045142161304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15.05045142161304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15.05045142161304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0.1563252</v>
      </c>
      <c r="C14" s="98">
        <v>0.95</v>
      </c>
      <c r="D14" s="56">
        <v>15.05045142161304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15.05045142161304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0.48628949999999999</v>
      </c>
      <c r="C16" s="98">
        <v>0.95</v>
      </c>
      <c r="D16" s="56">
        <v>0.2530143942324673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5.58755555555556E-3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0.78899600000000003</v>
      </c>
      <c r="C18" s="98">
        <v>0.95</v>
      </c>
      <c r="D18" s="56">
        <v>1.723860781546777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0.78899600000000003</v>
      </c>
      <c r="C19" s="98">
        <v>0.95</v>
      </c>
      <c r="D19" s="56">
        <v>1.723860781546777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</v>
      </c>
      <c r="C21" s="98">
        <v>0.95</v>
      </c>
      <c r="D21" s="56">
        <v>4.0598209789868394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25.651202438998769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0.56296439999999992</v>
      </c>
      <c r="C23" s="98">
        <v>0.95</v>
      </c>
      <c r="D23" s="56">
        <v>4.9321676394351552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0.61747921546045004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0.1563252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21.74274730131463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0.2796807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0.34426630000000003</v>
      </c>
      <c r="C29" s="98">
        <v>0.95</v>
      </c>
      <c r="D29" s="56">
        <v>63.551452439241622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</v>
      </c>
      <c r="C31" s="98">
        <v>0.95</v>
      </c>
      <c r="D31" s="56">
        <v>0.46670911326684161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0.92</v>
      </c>
      <c r="C32" s="98">
        <v>0.95</v>
      </c>
      <c r="D32" s="56">
        <v>0.48033470148423679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0.18402009999999999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0.82192539999999992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1.9060199999999999E-2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0.45494020000000002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0.36523810000000001</v>
      </c>
      <c r="C38" s="98">
        <v>0.95</v>
      </c>
      <c r="D38" s="56">
        <v>4.0283775058915356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gh4iZ3nK/kdbroFou1MJ9u8y0/ihqdG1V3hjyrqSBQcQKPyFeWKp8gtR0MZx/DP9AH6GrgwETHBu/nfgF9Kncw==" saltValue="ebZXJKodBDXTqKWy5kj+O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ht="13.25" customHeight="1" x14ac:dyDescent="0.25">
      <c r="A2" s="57" t="s">
        <v>180</v>
      </c>
      <c r="B2" s="47" t="s">
        <v>190</v>
      </c>
      <c r="C2" s="47"/>
    </row>
    <row r="3" spans="1:3" ht="13.25" customHeight="1" x14ac:dyDescent="0.25">
      <c r="A3" s="57" t="s">
        <v>181</v>
      </c>
      <c r="B3" s="47" t="s">
        <v>190</v>
      </c>
      <c r="C3" s="47"/>
    </row>
    <row r="4" spans="1:3" ht="13.25" customHeight="1" x14ac:dyDescent="0.25">
      <c r="A4" s="57" t="s">
        <v>192</v>
      </c>
      <c r="B4" s="47" t="s">
        <v>185</v>
      </c>
      <c r="C4" s="47"/>
    </row>
    <row r="5" spans="1:3" ht="13.25" customHeight="1" x14ac:dyDescent="0.25">
      <c r="A5" s="57" t="s">
        <v>189</v>
      </c>
      <c r="B5" s="47" t="s">
        <v>185</v>
      </c>
      <c r="C5" s="47"/>
    </row>
    <row r="6" spans="1:3" ht="13.25" customHeight="1" x14ac:dyDescent="0.25">
      <c r="A6" s="57" t="s">
        <v>192</v>
      </c>
      <c r="B6" s="58" t="s">
        <v>205</v>
      </c>
      <c r="C6" s="58"/>
    </row>
    <row r="7" spans="1:3" ht="13.25" customHeight="1" x14ac:dyDescent="0.25">
      <c r="A7" s="57" t="s">
        <v>189</v>
      </c>
      <c r="B7" s="58" t="s">
        <v>205</v>
      </c>
      <c r="C7" s="58"/>
    </row>
    <row r="8" spans="1:3" ht="13.25" customHeight="1" x14ac:dyDescent="0.25">
      <c r="A8" s="57" t="s">
        <v>200</v>
      </c>
      <c r="B8" s="58" t="s">
        <v>205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hb8owhh7OUx7PdryiMlIV/xwvXY0ZcoThC0zkRsdQTKWqkUTn9SQCd4MQIWUViZFuJcHHlHSOC+pXGlrVPD4/A==" saltValue="1uI3j64oohNNp8sjMMWEz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ht="13.25" customHeight="1" x14ac:dyDescent="0.25">
      <c r="A2" s="33" t="s">
        <v>172</v>
      </c>
    </row>
    <row r="3" spans="1:1" ht="13.25" customHeight="1" x14ac:dyDescent="0.25">
      <c r="A3" s="33" t="s">
        <v>182</v>
      </c>
    </row>
    <row r="4" spans="1:1" ht="13.25" customHeight="1" x14ac:dyDescent="0.25">
      <c r="A4" s="33" t="s">
        <v>186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161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HoJ8I3RtB07NnClC3fyoVq/m1cf2dpw9+Mqq5BGhXlq1OKnDa4B04jRdh451/MqhBYlsIHd7YnyeK1ar84+usw==" saltValue="TjRPLGVC6XyBGjzd/TPXK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3.3</v>
      </c>
      <c r="C2" s="21">
        <f>'Données pop de l''année de ref'!C52</f>
        <v>3.3</v>
      </c>
      <c r="D2" s="21">
        <f>'Données pop de l''année de ref'!C53</f>
        <v>3.3</v>
      </c>
      <c r="E2" s="21">
        <f>'Données pop de l''année de ref'!C54</f>
        <v>3.3</v>
      </c>
      <c r="F2" s="21">
        <f>'Données pop de l''année de ref'!C55</f>
        <v>3.3</v>
      </c>
    </row>
    <row r="3" spans="1:6" ht="15.75" customHeight="1" x14ac:dyDescent="0.25">
      <c r="A3" s="3" t="s">
        <v>209</v>
      </c>
      <c r="B3" s="21">
        <f>frac_mam_1month * 2.6</f>
        <v>2.3796500000000002E-2</v>
      </c>
      <c r="C3" s="21">
        <f>frac_mam_1_5months * 2.6</f>
        <v>2.3796500000000002E-2</v>
      </c>
      <c r="D3" s="21">
        <f>frac_mam_6_11months * 2.6</f>
        <v>3.6541179999999999E-2</v>
      </c>
      <c r="E3" s="21">
        <f>frac_mam_12_23months * 2.6</f>
        <v>3.0710419999999999E-2</v>
      </c>
      <c r="F3" s="21">
        <f>frac_mam_24_59months * 2.6</f>
        <v>1.9582680000000002E-2</v>
      </c>
    </row>
    <row r="4" spans="1:6" ht="15.75" customHeight="1" x14ac:dyDescent="0.25">
      <c r="A4" s="3" t="s">
        <v>208</v>
      </c>
      <c r="B4" s="21">
        <f>frac_sam_1month * 2.6</f>
        <v>1.5882359999999998E-2</v>
      </c>
      <c r="C4" s="21">
        <f>frac_sam_1_5months * 2.6</f>
        <v>1.5882359999999998E-2</v>
      </c>
      <c r="D4" s="21">
        <f>frac_sam_6_11months * 2.6</f>
        <v>1.5023060000000001E-2</v>
      </c>
      <c r="E4" s="21">
        <f>frac_sam_12_23months * 2.6</f>
        <v>6.2340199999999998E-3</v>
      </c>
      <c r="F4" s="21">
        <f>frac_sam_24_59months * 2.6</f>
        <v>1.2948E-3</v>
      </c>
    </row>
  </sheetData>
  <sheetProtection algorithmName="SHA-512" hashValue="5GnICUlO81KIaSKTIgAASYuVJUKKvRTuiuUZ9wfY3er13NNI2UXwDKJh1LfJe0qsZfAUJ7bNVGTMWuswTFTvWw==" saltValue="HvBSioPAc207bu7i2Seru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0.55500000000000005</v>
      </c>
      <c r="E2" s="60">
        <f>food_insecure</f>
        <v>0.55500000000000005</v>
      </c>
      <c r="F2" s="60">
        <f>food_insecure</f>
        <v>0.55500000000000005</v>
      </c>
      <c r="G2" s="60">
        <f>food_insecure</f>
        <v>0.55500000000000005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0.55500000000000005</v>
      </c>
      <c r="F5" s="60">
        <f>food_insecure</f>
        <v>0.55500000000000005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0.55500000000000005</v>
      </c>
      <c r="F8" s="60">
        <f>food_insecure</f>
        <v>0.55500000000000005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0.55500000000000005</v>
      </c>
      <c r="F9" s="60">
        <f>food_insecure</f>
        <v>0.55500000000000005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0.55500000000000005</v>
      </c>
      <c r="I15" s="60">
        <f>food_insecure</f>
        <v>0.55500000000000005</v>
      </c>
      <c r="J15" s="60">
        <f>food_insecure</f>
        <v>0.55500000000000005</v>
      </c>
      <c r="K15" s="60">
        <f>food_insecure</f>
        <v>0.55500000000000005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7.0000000000000007E-2</v>
      </c>
      <c r="I19" s="60">
        <f>frac_malaria_risk</f>
        <v>7.0000000000000007E-2</v>
      </c>
      <c r="J19" s="60">
        <f>frac_malaria_risk</f>
        <v>7.0000000000000007E-2</v>
      </c>
      <c r="K19" s="60">
        <f>frac_malaria_risk</f>
        <v>7.0000000000000007E-2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0.34100000000000003</v>
      </c>
      <c r="M24" s="60">
        <f>famplan_unmet_need</f>
        <v>0.34100000000000003</v>
      </c>
      <c r="N24" s="60">
        <f>famplan_unmet_need</f>
        <v>0.34100000000000003</v>
      </c>
      <c r="O24" s="60">
        <f>famplan_unmet_need</f>
        <v>0.34100000000000003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0.42522145823860141</v>
      </c>
      <c r="M25" s="60">
        <f>(1-food_insecure)*(0.49)+food_insecure*(0.7)</f>
        <v>0.60654999999999992</v>
      </c>
      <c r="N25" s="60">
        <f>(1-food_insecure)*(0.49)+food_insecure*(0.7)</f>
        <v>0.60654999999999992</v>
      </c>
      <c r="O25" s="60">
        <f>(1-food_insecure)*(0.49)+food_insecure*(0.7)</f>
        <v>0.60654999999999992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0.18223776781654347</v>
      </c>
      <c r="M26" s="60">
        <f>(1-food_insecure)*(0.21)+food_insecure*(0.3)</f>
        <v>0.25995000000000001</v>
      </c>
      <c r="N26" s="60">
        <f>(1-food_insecure)*(0.21)+food_insecure*(0.3)</f>
        <v>0.25995000000000001</v>
      </c>
      <c r="O26" s="60">
        <f>(1-food_insecure)*(0.21)+food_insecure*(0.3)</f>
        <v>0.25995000000000001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9.3590082721710127E-2</v>
      </c>
      <c r="M27" s="60">
        <f>(1-food_insecure)*(0.3)</f>
        <v>0.13349999999999998</v>
      </c>
      <c r="N27" s="60">
        <f>(1-food_insecure)*(0.3)</f>
        <v>0.13349999999999998</v>
      </c>
      <c r="O27" s="60">
        <f>(1-food_insecure)*(0.3)</f>
        <v>0.13349999999999998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0.29895069122314499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7.0000000000000007E-2</v>
      </c>
      <c r="D34" s="60">
        <f t="shared" si="3"/>
        <v>7.0000000000000007E-2</v>
      </c>
      <c r="E34" s="60">
        <f t="shared" si="3"/>
        <v>7.0000000000000007E-2</v>
      </c>
      <c r="F34" s="60">
        <f t="shared" si="3"/>
        <v>7.0000000000000007E-2</v>
      </c>
      <c r="G34" s="60">
        <f t="shared" si="3"/>
        <v>7.0000000000000007E-2</v>
      </c>
      <c r="H34" s="60">
        <f t="shared" si="3"/>
        <v>7.0000000000000007E-2</v>
      </c>
      <c r="I34" s="60">
        <f t="shared" si="3"/>
        <v>7.0000000000000007E-2</v>
      </c>
      <c r="J34" s="60">
        <f t="shared" si="3"/>
        <v>7.0000000000000007E-2</v>
      </c>
      <c r="K34" s="60">
        <f t="shared" si="3"/>
        <v>7.0000000000000007E-2</v>
      </c>
      <c r="L34" s="60">
        <f t="shared" si="3"/>
        <v>7.0000000000000007E-2</v>
      </c>
      <c r="M34" s="60">
        <f t="shared" si="3"/>
        <v>7.0000000000000007E-2</v>
      </c>
      <c r="N34" s="60">
        <f t="shared" si="3"/>
        <v>7.0000000000000007E-2</v>
      </c>
      <c r="O34" s="60">
        <f t="shared" si="3"/>
        <v>7.0000000000000007E-2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amOlnmRYtvlXGhbUiShlSJRgkiUMT099kUsMKMa5A0JfaljtZAkUOzdiuBXYkav5x6PAkryqeb71iHVxnuuJA==" saltValue="C2qtBYUbHvoa+TeWq+Olx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g37Gx1/8D6dpQO4BgIjVC9tNra+NEjpX7OmBYPcbkl+3euvQIndkZTpzgxvLwEE9UW50E14fgzvQ1h8+4q43BA==" saltValue="zZQqQtt0vwW2hg1LXaWLk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LiHrEI5J65se+okkqkx8XqgUznnKt9M78YYRyglQ46ABg+mQHXucP+G0qtBQn4drAQoMNxdHm3DL6RtfAI0O0w==" saltValue="m6gTmva6Jl4fJECfhNKd1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zEYP/B5ureKMBzlPDuLNQDoV5qKl6lyMeuDVg+M2X1zJdZ+X1BlVkOxS3IP6cKl5LjkodAF/Zf9HTEZmEywP5g==" saltValue="kwLw4kMGnZK642nWVMPvN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KhBfWCo2gJimaFkQQhic3bjtgprqdUFrPKkXZZn0Dcm6KeRbP0qL9yzk6cAckKhDLwM5hGDidk4q/SNF3l2HXA==" saltValue="SA+1a4bfGTmj8hQLdjsF+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dZICMJQMY2vyDvWr80LBojRQipxK3LcKTPyZo/3Pu254okOom+qcweomwraeQPR7HwB/8A2nRrN2kLhz1dLQnQ==" saltValue="Osn1FpvWwb8p/2/ypE5Mk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109</v>
      </c>
      <c r="C5" s="8" t="s">
        <v>153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154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96</v>
      </c>
      <c r="C8" s="8" t="s">
        <v>153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154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154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109</v>
      </c>
      <c r="C58" s="8" t="s">
        <v>153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154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96</v>
      </c>
      <c r="C61" s="8" t="s">
        <v>153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154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109</v>
      </c>
      <c r="C111" s="8" t="s">
        <v>153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154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96</v>
      </c>
      <c r="C114" s="8" t="s">
        <v>153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154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97</v>
      </c>
      <c r="C117" s="8" t="s">
        <v>153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154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98</v>
      </c>
      <c r="C120" s="8" t="s">
        <v>153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154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154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109</v>
      </c>
      <c r="C128" s="8" t="s">
        <v>153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154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96</v>
      </c>
      <c r="C131" s="8" t="s">
        <v>153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154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97</v>
      </c>
      <c r="C134" s="8" t="s">
        <v>153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154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98</v>
      </c>
      <c r="C137" s="8" t="s">
        <v>153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154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154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109</v>
      </c>
      <c r="C145" s="8" t="s">
        <v>153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154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96</v>
      </c>
      <c r="C148" s="8" t="s">
        <v>153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154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97</v>
      </c>
      <c r="C151" s="8" t="s">
        <v>153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154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98</v>
      </c>
      <c r="C154" s="8" t="s">
        <v>153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154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OmHf3OIasMpSgAN0QUREwl50d3W5rGF5teg5dlhq1Lo1XP77+RbWDSrmPTKIslwLVb6Dc3ifKtQi4HmzPkRCXA==" saltValue="+ZnB++8Gw6+oOQC/7Ums2A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uLPGzalu8FBcqE5UQL+oyNWGfkKc3qjtCTUHUC4AlOWlct8+N/n2xiM+bJfWx17U/ZE5zARMJHbaN9zKPBsfsQ==" saltValue="7nOB2MhqqDFKD2gzY3qUO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2YJhaozGd7nq/bzbTEA0zcooBpYxF9XMJRMWspICMJu8U7GQwm4gFB0xxvUCNK7S3i/mEUnm0GsRBBcfY4TQ==" saltValue="f/8Re/KLFq4slw9SXCzh9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287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298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121</v>
      </c>
      <c r="B40" s="11" t="s">
        <v>299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303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311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121</v>
      </c>
      <c r="B63" s="11" t="s">
        <v>312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R4v07nI3KZ7LlnLJWb06/ThEoU6GkHaL9iHX7gNiXeuZoSOmlrZAJY3l8S1XXy8yDPuO037rPQIvqL68txh9Zg==" saltValue="e1xoRrryiUvIkhbSbyO9K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VSJcfLsckyhv50f4/o58NsgpbzIK9EICMD8P86SfzbjQdN0YjS5bDEdfc296fmv9xliB4LLR8p5g0Ig34prruA==" saltValue="u6riaD0fg3Q/arERZ+2RQ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176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177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178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179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180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174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183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176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177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178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179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180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174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183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umROBUJcdHHzT6sMn/IZ4411PHFrzXsn4JUenT91ARcrl+71M7yo/db4eBdwv1DnZg4+WdkWfobe22se8JrdCw==" saltValue="qqrnfndBrxv2y8gkhFbM0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ht="13.25" customHeight="1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ht="13.25" customHeight="1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ht="13.25" customHeight="1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FsHtR32tT0hVj2GgyIGxCLUouU2/yuKSPf2ueVEfdU5dEege6MAJ0SRPx8WX/fblWw3o/9vK4zESlpRDtLMfBQ==" saltValue="Lax70O+g379q42oj47uyq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ht="13.25" customHeight="1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336</v>
      </c>
      <c r="D18" s="90">
        <v>0</v>
      </c>
      <c r="E18" s="90">
        <v>0</v>
      </c>
      <c r="F18" s="90">
        <f>MIN(MAX(1-0.89/(1-frac_sam_6_11months+(frac_sam_6_11months*0.89)),0),1)</f>
        <v>0.10943396424276697</v>
      </c>
      <c r="G18" s="90">
        <f>MIN(MAX(1-0.89/(1-frac_sam_12_23months+(frac_sam_12_23months*0.89)),0),1)</f>
        <v>0.10976520324305972</v>
      </c>
      <c r="H18" s="90">
        <f>MIN(MAX(1-0.89/(1-frac_sam_24_59months+(frac_sam_24_59months*0.89)),0),1)</f>
        <v>0.10995124312909854</v>
      </c>
    </row>
    <row r="19" spans="1:8" ht="13.25" customHeight="1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336</v>
      </c>
      <c r="D20" s="90">
        <v>0</v>
      </c>
      <c r="E20" s="90">
        <v>0</v>
      </c>
      <c r="F20" s="90">
        <f>MIN(MAX(1-0.89/(1-frac_mam_6_11months+(frac_mam_6_11months*0.89)),0),1)</f>
        <v>0.1086219536074845</v>
      </c>
      <c r="G20" s="90">
        <f>MIN(MAX(1-0.89/(1-frac_mam_12_23months+(frac_mam_12_23months*0.89)),0),1)</f>
        <v>0.10884213016477551</v>
      </c>
      <c r="H20" s="90">
        <f>MIN(MAX(1-0.89/(1-frac_mam_24_59months+(frac_mam_24_59months*0.89)),0),1)</f>
        <v>0.10926202536949459</v>
      </c>
    </row>
    <row r="21" spans="1:8" ht="13.25" customHeight="1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335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9.942793504551517E-3</v>
      </c>
      <c r="G73" s="90">
        <f>MIN(MAX(1-0.99/(1-frac_sam_12_23months+(frac_sam_12_23months*0.99)),0),1)</f>
        <v>9.9762622008389146E-3</v>
      </c>
      <c r="H73" s="90">
        <f>MIN(MAX(1-0.99/(1-frac_sam_24_59months+(frac_sam_24_59months*0.99)),0),1)</f>
        <v>9.9950697754473961E-3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9.8608428724398234E-3</v>
      </c>
      <c r="G75" s="90">
        <f>MIN(MAX(1-0.99/(1-frac_mam_12_23months+(frac_mam_12_23months*0.99)),0),1)</f>
        <v>9.8830503562589156E-3</v>
      </c>
      <c r="H75" s="90">
        <f>MIN(MAX(1-0.99/(1-frac_mam_24_59months+(frac_mam_24_59months*0.99)),0),1)</f>
        <v>9.9254295635039513E-3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0.19907443439787886</v>
      </c>
      <c r="G128" s="90">
        <f>MIN(MAX(1-0.8/(1-frac_sam_12_23months+(frac_sam_12_23months*0.8)),0),1)</f>
        <v>0.19961618394484892</v>
      </c>
      <c r="H128" s="90">
        <f>MIN(MAX(1-0.8/(1-frac_sam_24_59months+(frac_sam_24_59months*0.8)),0),1)</f>
        <v>0.19992031206308147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0.19774497343603237</v>
      </c>
      <c r="G130" s="90">
        <f>MIN(MAX(1-0.8/(1-frac_mam_12_23months+(frac_mam_12_23months*0.8)),0),1)</f>
        <v>0.19810565290809079</v>
      </c>
      <c r="H130" s="90">
        <f>MIN(MAX(1-0.8/(1-frac_mam_24_59months+(frac_mam_24_59months*0.8)),0),1)</f>
        <v>0.1987930939650252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8rm76Bem4GVyTQSJhMfXkWRyH0ahrDFFMTR6LhHL1yl9Ntl5iRCUPvaU2CSDeh1dbcVfr5QHqkjvg1TDfKyp0A==" saltValue="2EqZLYxYqV2POvRNgGmHO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ht="13.25" customHeight="1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335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ht="13.25" customHeight="1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ht="13.25" customHeight="1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335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TqYpZVwYiIHf0u/K/Qw53UDrMIR4CrLgAalWm+loe1QQ7YVToNuQKHz1enYqj9ExN+4AAri5sd6z7WRZGRSz0Q==" saltValue="tYBh23/mEQuKKup9a3khbw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2024-08-06T09:40:42Z</dcterms:modified>
</cp:coreProperties>
</file>