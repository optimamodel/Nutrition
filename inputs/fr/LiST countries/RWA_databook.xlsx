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4B393F2D-EF46-4400-8DC2-645E9F0509B7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<sst xmlns="http://schemas.openxmlformats.org/spreadsheetml/2006/main" count="2102" uniqueCount="337">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</sst>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1988148.15625</v>
      </c>
    </row>
    <row r="8" spans="1:3" ht="15" customHeight="1" x14ac:dyDescent="0.25">
      <c r="B8" s="5" t="s">
        <v>19</v>
      </c>
      <c r="C8" s="44">
        <v>0.55500000000000005</v>
      </c>
    </row>
    <row r="9" spans="1:3" ht="15" customHeight="1" x14ac:dyDescent="0.25">
      <c r="B9" s="5" t="s">
        <v>20</v>
      </c>
      <c r="C9" s="45">
        <v>7.0000000000000007E-2</v>
      </c>
    </row>
    <row r="10" spans="1:3" ht="15" customHeight="1" x14ac:dyDescent="0.25">
      <c r="B10" s="5" t="s">
        <v>21</v>
      </c>
      <c r="C10" s="45">
        <v>0.29895069122314499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0.34100000000000003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4.6199999999999998E-2</v>
      </c>
    </row>
    <row r="24" spans="1:3" ht="15" customHeight="1" x14ac:dyDescent="0.25">
      <c r="B24" s="15" t="s">
        <v>33</v>
      </c>
      <c r="C24" s="45">
        <v>0.50180000000000002</v>
      </c>
    </row>
    <row r="25" spans="1:3" ht="15" customHeight="1" x14ac:dyDescent="0.25">
      <c r="B25" s="15" t="s">
        <v>34</v>
      </c>
      <c r="C25" s="45">
        <v>0.36330000000000001</v>
      </c>
    </row>
    <row r="26" spans="1:3" ht="15" customHeight="1" x14ac:dyDescent="0.25">
      <c r="B26" s="15" t="s">
        <v>35</v>
      </c>
      <c r="C26" s="45">
        <v>8.8699999999999987E-2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0.254787647396997</v>
      </c>
    </row>
    <row r="30" spans="1:3" ht="14.25" customHeight="1" x14ac:dyDescent="0.25">
      <c r="B30" s="25" t="s">
        <v>38</v>
      </c>
      <c r="C30" s="99">
        <v>3.6806607194084101E-2</v>
      </c>
    </row>
    <row r="31" spans="1:3" ht="14.25" customHeight="1" x14ac:dyDescent="0.25">
      <c r="B31" s="25" t="s">
        <v>39</v>
      </c>
      <c r="C31" s="99">
        <v>7.3852638350173999E-2</v>
      </c>
    </row>
    <row r="32" spans="1:3" ht="14.25" customHeight="1" x14ac:dyDescent="0.25">
      <c r="B32" s="25" t="s">
        <v>40</v>
      </c>
      <c r="C32" s="99">
        <v>0.63455310705874501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17.52411</v>
      </c>
    </row>
    <row r="38" spans="1:5" ht="15" customHeight="1" x14ac:dyDescent="0.25">
      <c r="B38" s="11" t="s">
        <v>45</v>
      </c>
      <c r="C38" s="43">
        <v>29.650749999999999</v>
      </c>
      <c r="D38" s="12"/>
      <c r="E38" s="13"/>
    </row>
    <row r="39" spans="1:5" ht="15" customHeight="1" x14ac:dyDescent="0.25">
      <c r="B39" s="11" t="s">
        <v>46</v>
      </c>
      <c r="C39" s="43">
        <v>39.438879999999997</v>
      </c>
      <c r="D39" s="12"/>
      <c r="E39" s="12"/>
    </row>
    <row r="40" spans="1:5" ht="15" customHeight="1" x14ac:dyDescent="0.25">
      <c r="B40" s="11" t="s">
        <v>47</v>
      </c>
      <c r="C40" s="100">
        <v>2.59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16.748660000000001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7.9924000000000002E-3</v>
      </c>
      <c r="D45" s="12"/>
    </row>
    <row r="46" spans="1:5" ht="15.75" customHeight="1" x14ac:dyDescent="0.25">
      <c r="B46" s="11" t="s">
        <v>52</v>
      </c>
      <c r="C46" s="45">
        <v>8.54993E-2</v>
      </c>
      <c r="D46" s="12"/>
    </row>
    <row r="47" spans="1:5" ht="15.75" customHeight="1" x14ac:dyDescent="0.25">
      <c r="B47" s="11" t="s">
        <v>53</v>
      </c>
      <c r="C47" s="45">
        <v>0.16339429999999999</v>
      </c>
      <c r="D47" s="12"/>
      <c r="E47" s="13"/>
    </row>
    <row r="48" spans="1:5" ht="15" customHeight="1" x14ac:dyDescent="0.25">
      <c r="B48" s="11" t="s">
        <v>54</v>
      </c>
      <c r="C48" s="46">
        <v>0.74311400000000005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0.62000600000000006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7.87070039999999E-2</v>
      </c>
    </row>
    <row r="63" spans="1:4" ht="15.75" customHeight="1" x14ac:dyDescent="0.3">
      <c r="A63" s="4"/>
    </row>
  </sheetData>
  <sheetProtection algorithmName="SHA-512" hashValue="pTMjkildBUsf+8RpmRD8jHFJ7ogfaBdcoutQwRzuyIRDs78pdz0ydmDx2sVHetYzlCCl/i7ur0uLvIeGNwQNTg==" saltValue="srGRDjFgaaCrTNraHvvl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412709</v>
      </c>
      <c r="C2" s="49">
        <v>953624</v>
      </c>
      <c r="D2" s="49">
        <v>1283702.5</v>
      </c>
      <c r="E2" s="49">
        <v>1025523.5</v>
      </c>
      <c r="F2" s="49">
        <v>614913.5</v>
      </c>
      <c r="G2" s="17">
        <f t="shared" ref="G2:G13" si="0">C2+D2+E2+F2</f>
        <v>3877763.5</v>
      </c>
      <c r="H2" s="17">
        <f t="shared" ref="H2:H13" si="1">(B2 + stillbirth*B2/(1000-stillbirth))/(1-abortion)</f>
        <v>476976.21240973851</v>
      </c>
      <c r="I2" s="17">
        <f t="shared" ref="I2:I13" si="2">G2-H2</f>
        <v>3400787.2875902615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416307</v>
      </c>
      <c r="C3" s="50">
        <v>960952</v>
      </c>
      <c r="D3" s="50">
        <v>1321044.5</v>
      </c>
      <c r="E3" s="50">
        <v>1040532</v>
      </c>
      <c r="F3" s="50">
        <v>650892.5</v>
      </c>
      <c r="G3" s="17">
        <f t="shared" si="0"/>
        <v>3973421</v>
      </c>
      <c r="H3" s="17">
        <f t="shared" si="1"/>
        <v>481134.49442503316</v>
      </c>
      <c r="I3" s="17">
        <f t="shared" si="2"/>
        <v>3492286.5055749668</v>
      </c>
    </row>
    <row r="4" spans="1:9" ht="15.75" customHeight="1" x14ac:dyDescent="0.25">
      <c r="A4" s="5">
        <f t="shared" si="3"/>
        <v>2026</v>
      </c>
      <c r="B4" s="49">
        <v>419664</v>
      </c>
      <c r="C4" s="50">
        <v>966958.5</v>
      </c>
      <c r="D4" s="50">
        <v>1359706</v>
      </c>
      <c r="E4" s="50">
        <v>1055665</v>
      </c>
      <c r="F4" s="50">
        <v>686977</v>
      </c>
      <c r="G4" s="17">
        <f t="shared" si="0"/>
        <v>4069306.5</v>
      </c>
      <c r="H4" s="17">
        <f t="shared" si="1"/>
        <v>485014.24782284978</v>
      </c>
      <c r="I4" s="17">
        <f t="shared" si="2"/>
        <v>3584292.25217715</v>
      </c>
    </row>
    <row r="5" spans="1:9" ht="15.75" customHeight="1" x14ac:dyDescent="0.25">
      <c r="A5" s="5">
        <f t="shared" si="3"/>
        <v>2027</v>
      </c>
      <c r="B5" s="49">
        <v>421585</v>
      </c>
      <c r="C5" s="50">
        <v>973243.5</v>
      </c>
      <c r="D5" s="50">
        <v>1399314.5</v>
      </c>
      <c r="E5" s="50">
        <v>1070122</v>
      </c>
      <c r="F5" s="50">
        <v>722118.5</v>
      </c>
      <c r="G5" s="17">
        <f t="shared" si="0"/>
        <v>4164798.5</v>
      </c>
      <c r="H5" s="17">
        <f t="shared" si="1"/>
        <v>487234.38671984279</v>
      </c>
      <c r="I5" s="17">
        <f t="shared" si="2"/>
        <v>3677564.1132801571</v>
      </c>
    </row>
    <row r="6" spans="1:9" ht="15.75" customHeight="1" x14ac:dyDescent="0.25">
      <c r="A6" s="5">
        <f t="shared" si="3"/>
        <v>2028</v>
      </c>
      <c r="B6" s="49">
        <v>426039</v>
      </c>
      <c r="C6" s="50">
        <v>981622.5</v>
      </c>
      <c r="D6" s="50">
        <v>1437282</v>
      </c>
      <c r="E6" s="50">
        <v>1085023</v>
      </c>
      <c r="F6" s="50">
        <v>755421</v>
      </c>
      <c r="G6" s="17">
        <f t="shared" si="0"/>
        <v>4259348.5</v>
      </c>
      <c r="H6" s="17">
        <f t="shared" si="1"/>
        <v>492381.96540136653</v>
      </c>
      <c r="I6" s="17">
        <f t="shared" si="2"/>
        <v>3766966.5345986336</v>
      </c>
    </row>
    <row r="7" spans="1:9" ht="15.75" customHeight="1" x14ac:dyDescent="0.25">
      <c r="A7" s="5">
        <f t="shared" si="3"/>
        <v>2029</v>
      </c>
      <c r="B7" s="49">
        <v>428239</v>
      </c>
      <c r="C7" s="50">
        <v>992999.49999999988</v>
      </c>
      <c r="D7" s="50">
        <v>1471537</v>
      </c>
      <c r="E7" s="50">
        <v>1102331</v>
      </c>
      <c r="F7" s="50">
        <v>785408.5</v>
      </c>
      <c r="G7" s="17">
        <f t="shared" si="0"/>
        <v>4352276</v>
      </c>
      <c r="H7" s="17">
        <f t="shared" si="1"/>
        <v>494924.55029120762</v>
      </c>
      <c r="I7" s="17">
        <f t="shared" si="2"/>
        <v>3857351.4497087924</v>
      </c>
    </row>
    <row r="8" spans="1:9" ht="15.75" customHeight="1" x14ac:dyDescent="0.25">
      <c r="A8" s="5">
        <f t="shared" si="3"/>
        <v>2030</v>
      </c>
      <c r="B8" s="49">
        <v>430732</v>
      </c>
      <c r="C8" s="50">
        <v>1007133.5</v>
      </c>
      <c r="D8" s="50">
        <v>1501488.5</v>
      </c>
      <c r="E8" s="50">
        <v>1123533.5</v>
      </c>
      <c r="F8" s="50">
        <v>811213.5</v>
      </c>
      <c r="G8" s="17">
        <f t="shared" si="0"/>
        <v>4443369</v>
      </c>
      <c r="H8" s="17">
        <f t="shared" si="1"/>
        <v>497805.76125955937</v>
      </c>
      <c r="I8" s="17">
        <f t="shared" si="2"/>
        <v>3945563.2387404405</v>
      </c>
    </row>
    <row r="9" spans="1:9" ht="15.75" customHeight="1" x14ac:dyDescent="0.25">
      <c r="A9" s="5">
        <f t="shared" si="3"/>
        <v>2031</v>
      </c>
      <c r="B9" s="49">
        <v>432695</v>
      </c>
      <c r="C9" s="50">
        <v>1023584.5</v>
      </c>
      <c r="D9" s="50">
        <v>1526553</v>
      </c>
      <c r="E9" s="50">
        <v>1149899</v>
      </c>
      <c r="F9" s="50">
        <v>833106</v>
      </c>
      <c r="G9" s="17">
        <f t="shared" si="0"/>
        <v>4533142.5</v>
      </c>
      <c r="H9" s="17">
        <f t="shared" si="1"/>
        <v>500074.44041354029</v>
      </c>
      <c r="I9" s="17">
        <f t="shared" si="2"/>
        <v>4033068.0595864598</v>
      </c>
    </row>
    <row r="10" spans="1:9" ht="15.75" customHeight="1" x14ac:dyDescent="0.25">
      <c r="A10" s="5">
        <f t="shared" si="3"/>
        <v>2032</v>
      </c>
      <c r="B10" s="49">
        <v>435814</v>
      </c>
      <c r="C10" s="50">
        <v>1041457</v>
      </c>
      <c r="D10" s="50">
        <v>1548802</v>
      </c>
      <c r="E10" s="50">
        <v>1180081</v>
      </c>
      <c r="F10" s="50">
        <v>851287.5</v>
      </c>
      <c r="G10" s="17">
        <f t="shared" si="0"/>
        <v>4621627.5</v>
      </c>
      <c r="H10" s="17">
        <f t="shared" si="1"/>
        <v>503679.13235509227</v>
      </c>
      <c r="I10" s="17">
        <f t="shared" si="2"/>
        <v>4117948.3676449079</v>
      </c>
    </row>
    <row r="11" spans="1:9" ht="15.75" customHeight="1" x14ac:dyDescent="0.25">
      <c r="A11" s="5">
        <f t="shared" si="3"/>
        <v>2033</v>
      </c>
      <c r="B11" s="49">
        <v>438657</v>
      </c>
      <c r="C11" s="50">
        <v>1059871.5</v>
      </c>
      <c r="D11" s="50">
        <v>1569845.5</v>
      </c>
      <c r="E11" s="50">
        <v>1212617</v>
      </c>
      <c r="F11" s="50">
        <v>866315.5</v>
      </c>
      <c r="G11" s="17">
        <f t="shared" si="0"/>
        <v>4708649.5</v>
      </c>
      <c r="H11" s="17">
        <f t="shared" si="1"/>
        <v>506964.84546500962</v>
      </c>
      <c r="I11" s="17">
        <f t="shared" si="2"/>
        <v>4201684.65453499</v>
      </c>
    </row>
    <row r="12" spans="1:9" ht="15.75" customHeight="1" x14ac:dyDescent="0.25">
      <c r="A12" s="5">
        <f t="shared" si="3"/>
        <v>2034</v>
      </c>
      <c r="B12" s="49">
        <v>441535</v>
      </c>
      <c r="C12" s="50">
        <v>1077927.5</v>
      </c>
      <c r="D12" s="50">
        <v>1588575</v>
      </c>
      <c r="E12" s="50">
        <v>1247943</v>
      </c>
      <c r="F12" s="50">
        <v>879299.5</v>
      </c>
      <c r="G12" s="17">
        <f t="shared" si="0"/>
        <v>4793745</v>
      </c>
      <c r="H12" s="17">
        <f t="shared" si="1"/>
        <v>510291.00878908357</v>
      </c>
      <c r="I12" s="17">
        <f t="shared" si="2"/>
        <v>4283453.9912109161</v>
      </c>
    </row>
    <row r="13" spans="1:9" ht="15.75" customHeight="1" x14ac:dyDescent="0.25">
      <c r="A13" s="5">
        <f t="shared" si="3"/>
        <v>2035</v>
      </c>
      <c r="B13" s="49">
        <v>444544</v>
      </c>
      <c r="C13" s="50">
        <v>1095299.5</v>
      </c>
      <c r="D13" s="50">
        <v>1605814.5</v>
      </c>
      <c r="E13" s="50">
        <v>1285188</v>
      </c>
      <c r="F13" s="50">
        <v>891926.5</v>
      </c>
      <c r="G13" s="17">
        <f t="shared" si="0"/>
        <v>4878228.5</v>
      </c>
      <c r="H13" s="17">
        <f t="shared" si="1"/>
        <v>513768.57148614351</v>
      </c>
      <c r="I13" s="17">
        <f t="shared" si="2"/>
        <v>4364459.9285138566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3f1sMwZesd5jeN8AsDfyG/YkKs4xc7ejL892oF8EYXYCUaG+S6aMVaoLO5lI+diH0JGELNzCUnBABa2BOp0Q0w==" saltValue="vTvtwx/ZTrACxHReEC/fk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6.0182990146353584E-3</v>
      </c>
    </row>
    <row r="4" spans="1:8" ht="15.75" customHeight="1" x14ac:dyDescent="0.25">
      <c r="B4" s="19" t="s">
        <v>79</v>
      </c>
      <c r="C4" s="101">
        <v>4.6453576687890671E-2</v>
      </c>
    </row>
    <row r="5" spans="1:8" ht="15.75" customHeight="1" x14ac:dyDescent="0.25">
      <c r="B5" s="19" t="s">
        <v>80</v>
      </c>
      <c r="C5" s="101">
        <v>5.2706888908387282E-2</v>
      </c>
    </row>
    <row r="6" spans="1:8" ht="15.75" customHeight="1" x14ac:dyDescent="0.25">
      <c r="B6" s="19" t="s">
        <v>81</v>
      </c>
      <c r="C6" s="101">
        <v>0.21486660124181831</v>
      </c>
    </row>
    <row r="7" spans="1:8" ht="15.75" customHeight="1" x14ac:dyDescent="0.25">
      <c r="B7" s="19" t="s">
        <v>82</v>
      </c>
      <c r="C7" s="101">
        <v>0.48309890874434158</v>
      </c>
    </row>
    <row r="8" spans="1:8" ht="15.75" customHeight="1" x14ac:dyDescent="0.25">
      <c r="B8" s="19" t="s">
        <v>83</v>
      </c>
      <c r="C8" s="101">
        <v>6.8292896688334896E-4</v>
      </c>
    </row>
    <row r="9" spans="1:8" ht="15.75" customHeight="1" x14ac:dyDescent="0.25">
      <c r="B9" s="19" t="s">
        <v>84</v>
      </c>
      <c r="C9" s="101">
        <v>0.11159575567550881</v>
      </c>
    </row>
    <row r="10" spans="1:8" ht="15.75" customHeight="1" x14ac:dyDescent="0.25">
      <c r="B10" s="19" t="s">
        <v>85</v>
      </c>
      <c r="C10" s="101">
        <v>8.4577040760534461E-2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0.1660695973537461</v>
      </c>
      <c r="D14" s="55">
        <v>0.1660695973537461</v>
      </c>
      <c r="E14" s="55">
        <v>0.1660695973537461</v>
      </c>
      <c r="F14" s="55">
        <v>0.1660695973537461</v>
      </c>
    </row>
    <row r="15" spans="1:8" ht="15.75" customHeight="1" x14ac:dyDescent="0.25">
      <c r="B15" s="19" t="s">
        <v>88</v>
      </c>
      <c r="C15" s="101">
        <v>0.26625517984174851</v>
      </c>
      <c r="D15" s="101">
        <v>0.26625517984174851</v>
      </c>
      <c r="E15" s="101">
        <v>0.26625517984174851</v>
      </c>
      <c r="F15" s="101">
        <v>0.26625517984174851</v>
      </c>
    </row>
    <row r="16" spans="1:8" ht="15.75" customHeight="1" x14ac:dyDescent="0.25">
      <c r="B16" s="19" t="s">
        <v>89</v>
      </c>
      <c r="C16" s="101">
        <v>1.333089552501393E-2</v>
      </c>
      <c r="D16" s="101">
        <v>1.333089552501393E-2</v>
      </c>
      <c r="E16" s="101">
        <v>1.333089552501393E-2</v>
      </c>
      <c r="F16" s="101">
        <v>1.333089552501393E-2</v>
      </c>
    </row>
    <row r="17" spans="1:8" ht="15.75" customHeight="1" x14ac:dyDescent="0.25">
      <c r="B17" s="19" t="s">
        <v>90</v>
      </c>
      <c r="C17" s="101">
        <v>8.7282404598570933E-3</v>
      </c>
      <c r="D17" s="101">
        <v>8.7282404598570933E-3</v>
      </c>
      <c r="E17" s="101">
        <v>8.7282404598570933E-3</v>
      </c>
      <c r="F17" s="101">
        <v>8.7282404598570933E-3</v>
      </c>
    </row>
    <row r="18" spans="1:8" ht="15.75" customHeight="1" x14ac:dyDescent="0.25">
      <c r="B18" s="19" t="s">
        <v>91</v>
      </c>
      <c r="C18" s="101">
        <v>8.9974197817541915E-2</v>
      </c>
      <c r="D18" s="101">
        <v>8.9974197817541915E-2</v>
      </c>
      <c r="E18" s="101">
        <v>8.9974197817541915E-2</v>
      </c>
      <c r="F18" s="101">
        <v>8.9974197817541915E-2</v>
      </c>
    </row>
    <row r="19" spans="1:8" ht="15.75" customHeight="1" x14ac:dyDescent="0.25">
      <c r="B19" s="19" t="s">
        <v>92</v>
      </c>
      <c r="C19" s="101">
        <v>4.0866747820799708E-2</v>
      </c>
      <c r="D19" s="101">
        <v>4.0866747820799708E-2</v>
      </c>
      <c r="E19" s="101">
        <v>4.0866747820799708E-2</v>
      </c>
      <c r="F19" s="101">
        <v>4.0866747820799708E-2</v>
      </c>
    </row>
    <row r="20" spans="1:8" ht="15.75" customHeight="1" x14ac:dyDescent="0.25">
      <c r="B20" s="19" t="s">
        <v>93</v>
      </c>
      <c r="C20" s="101">
        <v>5.6648497277709368E-2</v>
      </c>
      <c r="D20" s="101">
        <v>5.6648497277709368E-2</v>
      </c>
      <c r="E20" s="101">
        <v>5.6648497277709368E-2</v>
      </c>
      <c r="F20" s="101">
        <v>5.6648497277709368E-2</v>
      </c>
    </row>
    <row r="21" spans="1:8" ht="15.75" customHeight="1" x14ac:dyDescent="0.25">
      <c r="B21" s="19" t="s">
        <v>94</v>
      </c>
      <c r="C21" s="101">
        <v>0.1894963149331233</v>
      </c>
      <c r="D21" s="101">
        <v>0.1894963149331233</v>
      </c>
      <c r="E21" s="101">
        <v>0.1894963149331233</v>
      </c>
      <c r="F21" s="101">
        <v>0.1894963149331233</v>
      </c>
    </row>
    <row r="22" spans="1:8" ht="15.75" customHeight="1" x14ac:dyDescent="0.25">
      <c r="B22" s="19" t="s">
        <v>95</v>
      </c>
      <c r="C22" s="101">
        <v>0.16863032897045999</v>
      </c>
      <c r="D22" s="101">
        <v>0.16863032897045999</v>
      </c>
      <c r="E22" s="101">
        <v>0.16863032897045999</v>
      </c>
      <c r="F22" s="101">
        <v>0.16863032897045999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8.8012850000000004E-2</v>
      </c>
    </row>
    <row r="27" spans="1:8" ht="15.75" customHeight="1" x14ac:dyDescent="0.25">
      <c r="B27" s="19" t="s">
        <v>102</v>
      </c>
      <c r="C27" s="101">
        <v>8.9249900000000007E-3</v>
      </c>
    </row>
    <row r="28" spans="1:8" ht="15.75" customHeight="1" x14ac:dyDescent="0.25">
      <c r="B28" s="19" t="s">
        <v>103</v>
      </c>
      <c r="C28" s="101">
        <v>0.15479583299999999</v>
      </c>
    </row>
    <row r="29" spans="1:8" ht="15.75" customHeight="1" x14ac:dyDescent="0.25">
      <c r="B29" s="19" t="s">
        <v>104</v>
      </c>
      <c r="C29" s="101">
        <v>0.168002662</v>
      </c>
    </row>
    <row r="30" spans="1:8" ht="15.75" customHeight="1" x14ac:dyDescent="0.25">
      <c r="B30" s="19" t="s">
        <v>2</v>
      </c>
      <c r="C30" s="101">
        <v>0.104541704</v>
      </c>
    </row>
    <row r="31" spans="1:8" ht="15.75" customHeight="1" x14ac:dyDescent="0.25">
      <c r="B31" s="19" t="s">
        <v>105</v>
      </c>
      <c r="C31" s="101">
        <v>0.10832760499999999</v>
      </c>
    </row>
    <row r="32" spans="1:8" ht="15.75" customHeight="1" x14ac:dyDescent="0.25">
      <c r="B32" s="19" t="s">
        <v>106</v>
      </c>
      <c r="C32" s="101">
        <v>1.8696531999999998E-2</v>
      </c>
    </row>
    <row r="33" spans="2:3" ht="15.75" customHeight="1" x14ac:dyDescent="0.25">
      <c r="B33" s="19" t="s">
        <v>107</v>
      </c>
      <c r="C33" s="101">
        <v>8.4083039999999998E-2</v>
      </c>
    </row>
    <row r="34" spans="2:3" ht="15.75" customHeight="1" x14ac:dyDescent="0.25">
      <c r="B34" s="19" t="s">
        <v>108</v>
      </c>
      <c r="C34" s="101">
        <v>0.26461478300000002</v>
      </c>
    </row>
    <row r="35" spans="2:3" ht="15.75" customHeight="1" x14ac:dyDescent="0.25">
      <c r="B35" s="27" t="s">
        <v>41</v>
      </c>
      <c r="C35" s="48">
        <f>SUM(C26:C34)</f>
        <v>0.99999999899999992</v>
      </c>
    </row>
  </sheetData>
  <sheetProtection algorithmName="SHA-512" hashValue="ZkfGNvd7wFSByA1Ip4cBxXRZkd/WRGHf20dJCoZSnKWJfOnB/3sx622S4fh07OyE94XtMxEJosJTrfGqFzv7BQ==" saltValue="sBPfvkp/3+dO/VLm5kONm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0.4940275172089843</v>
      </c>
      <c r="D2" s="52">
        <f>IFERROR(1-_xlfn.NORM.DIST(_xlfn.NORM.INV(SUM(D4:D5), 0, 1) + 1, 0, 1, TRUE), "")</f>
        <v>0.4940275172089843</v>
      </c>
      <c r="E2" s="52">
        <f>IFERROR(1-_xlfn.NORM.DIST(_xlfn.NORM.INV(SUM(E4:E5), 0, 1) + 1, 0, 1, TRUE), "")</f>
        <v>0.41826682079391031</v>
      </c>
      <c r="F2" s="52">
        <f>IFERROR(1-_xlfn.NORM.DIST(_xlfn.NORM.INV(SUM(F4:F5), 0, 1) + 1, 0, 1, TRUE), "")</f>
        <v>0.26123661760025274</v>
      </c>
      <c r="G2" s="52">
        <f>IFERROR(1-_xlfn.NORM.DIST(_xlfn.NORM.INV(SUM(G4:G5), 0, 1) + 1, 0, 1, TRUE), "")</f>
        <v>0.25257570689057673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0.34366748279101567</v>
      </c>
      <c r="D3" s="52">
        <f>IFERROR(_xlfn.NORM.DIST(_xlfn.NORM.INV(SUM(D4:D5), 0, 1) + 1, 0, 1, TRUE) - SUM(D4:D5), "")</f>
        <v>0.34366748279101567</v>
      </c>
      <c r="E3" s="52">
        <f>IFERROR(_xlfn.NORM.DIST(_xlfn.NORM.INV(SUM(E4:E5), 0, 1) + 1, 0, 1, TRUE) - SUM(E4:E5), "")</f>
        <v>0.36803957920608971</v>
      </c>
      <c r="F3" s="52">
        <f>IFERROR(_xlfn.NORM.DIST(_xlfn.NORM.INV(SUM(F4:F5), 0, 1) + 1, 0, 1, TRUE) - SUM(F4:F5), "")</f>
        <v>0.37951268239974723</v>
      </c>
      <c r="G3" s="52">
        <f>IFERROR(_xlfn.NORM.DIST(_xlfn.NORM.INV(SUM(G4:G5), 0, 1) + 1, 0, 1, TRUE) - SUM(G4:G5), "")</f>
        <v>0.37808119310942323</v>
      </c>
    </row>
    <row r="4" spans="1:15" ht="15.75" customHeight="1" x14ac:dyDescent="0.25">
      <c r="B4" s="5" t="s">
        <v>114</v>
      </c>
      <c r="C4" s="45">
        <v>0.1173162</v>
      </c>
      <c r="D4" s="53">
        <v>0.1173162</v>
      </c>
      <c r="E4" s="53">
        <v>0.159605</v>
      </c>
      <c r="F4" s="53">
        <v>0.26786270000000001</v>
      </c>
      <c r="G4" s="53">
        <v>0.2625538</v>
      </c>
    </row>
    <row r="5" spans="1:15" ht="15.75" customHeight="1" x14ac:dyDescent="0.25">
      <c r="B5" s="5" t="s">
        <v>115</v>
      </c>
      <c r="C5" s="45">
        <v>4.4988800000000002E-2</v>
      </c>
      <c r="D5" s="53">
        <v>4.4988800000000002E-2</v>
      </c>
      <c r="E5" s="53">
        <v>5.4088600000000001E-2</v>
      </c>
      <c r="F5" s="53">
        <v>9.1387999999999997E-2</v>
      </c>
      <c r="G5" s="53">
        <v>0.1067893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0.87763531477205214</v>
      </c>
      <c r="D8" s="52">
        <f>IFERROR(1-_xlfn.NORM.DIST(_xlfn.NORM.INV(SUM(D10:D11), 0, 1) + 1, 0, 1, TRUE), "")</f>
        <v>0.87763531477205214</v>
      </c>
      <c r="E8" s="52">
        <f>IFERROR(1-_xlfn.NORM.DIST(_xlfn.NORM.INV(SUM(E10:E11), 0, 1) + 1, 0, 1, TRUE), "")</f>
        <v>0.85479504017083729</v>
      </c>
      <c r="F8" s="52">
        <f>IFERROR(1-_xlfn.NORM.DIST(_xlfn.NORM.INV(SUM(F10:F11), 0, 1) + 1, 0, 1, TRUE), "")</f>
        <v>0.88326271839159742</v>
      </c>
      <c r="G8" s="52">
        <f>IFERROR(1-_xlfn.NORM.DIST(_xlfn.NORM.INV(SUM(G10:G11), 0, 1) + 1, 0, 1, TRUE), "")</f>
        <v>0.92036904142394294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0.10710358522794784</v>
      </c>
      <c r="D9" s="52">
        <f>IFERROR(_xlfn.NORM.DIST(_xlfn.NORM.INV(SUM(D10:D11), 0, 1) + 1, 0, 1, TRUE) - SUM(D10:D11), "")</f>
        <v>0.10710358522794784</v>
      </c>
      <c r="E9" s="52">
        <f>IFERROR(_xlfn.NORM.DIST(_xlfn.NORM.INV(SUM(E10:E11), 0, 1) + 1, 0, 1, TRUE) - SUM(E10:E11), "")</f>
        <v>0.12537255982916276</v>
      </c>
      <c r="F9" s="52">
        <f>IFERROR(_xlfn.NORM.DIST(_xlfn.NORM.INV(SUM(F10:F11), 0, 1) + 1, 0, 1, TRUE) - SUM(F10:F11), "")</f>
        <v>0.10252788160840259</v>
      </c>
      <c r="G9" s="52">
        <f>IFERROR(_xlfn.NORM.DIST(_xlfn.NORM.INV(SUM(G10:G11), 0, 1) + 1, 0, 1, TRUE) - SUM(G10:G11), "")</f>
        <v>7.1601158576057006E-2</v>
      </c>
    </row>
    <row r="10" spans="1:15" ht="15.75" customHeight="1" x14ac:dyDescent="0.25">
      <c r="B10" s="5" t="s">
        <v>119</v>
      </c>
      <c r="C10" s="45">
        <v>9.1525000000000009E-3</v>
      </c>
      <c r="D10" s="53">
        <v>9.1525000000000009E-3</v>
      </c>
      <c r="E10" s="53">
        <v>1.40543E-2</v>
      </c>
      <c r="F10" s="53">
        <v>1.18117E-2</v>
      </c>
      <c r="G10" s="53">
        <v>7.5318E-3</v>
      </c>
    </row>
    <row r="11" spans="1:15" ht="15.75" customHeight="1" x14ac:dyDescent="0.25">
      <c r="B11" s="5" t="s">
        <v>120</v>
      </c>
      <c r="C11" s="45">
        <v>6.1085999999999996E-3</v>
      </c>
      <c r="D11" s="53">
        <v>6.1085999999999996E-3</v>
      </c>
      <c r="E11" s="53">
        <v>5.7781000000000004E-3</v>
      </c>
      <c r="F11" s="53">
        <v>2.3977E-3</v>
      </c>
      <c r="G11" s="53">
        <v>4.9799999999999996E-4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0.7628772305</v>
      </c>
      <c r="D14" s="54">
        <v>0.73898727781200013</v>
      </c>
      <c r="E14" s="54">
        <v>0.73898727781200013</v>
      </c>
      <c r="F14" s="54">
        <v>0.45575443164700002</v>
      </c>
      <c r="G14" s="54">
        <v>0.45575443164700002</v>
      </c>
      <c r="H14" s="45">
        <v>0.24399999999999999</v>
      </c>
      <c r="I14" s="55">
        <v>0.24399999999999999</v>
      </c>
      <c r="J14" s="55">
        <v>0.24399999999999999</v>
      </c>
      <c r="K14" s="55">
        <v>0.24399999999999999</v>
      </c>
      <c r="L14" s="45">
        <v>0.221</v>
      </c>
      <c r="M14" s="55">
        <v>0.221</v>
      </c>
      <c r="N14" s="55">
        <v>0.221</v>
      </c>
      <c r="O14" s="55">
        <v>0.221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0.47298846017338303</v>
      </c>
      <c r="D15" s="52">
        <f t="shared" si="0"/>
        <v>0.45817654616710701</v>
      </c>
      <c r="E15" s="52">
        <f t="shared" si="0"/>
        <v>0.45817654616710701</v>
      </c>
      <c r="F15" s="52">
        <f t="shared" si="0"/>
        <v>0.2825704821477299</v>
      </c>
      <c r="G15" s="52">
        <f t="shared" si="0"/>
        <v>0.2825704821477299</v>
      </c>
      <c r="H15" s="52">
        <f t="shared" si="0"/>
        <v>0.151281464</v>
      </c>
      <c r="I15" s="52">
        <f t="shared" si="0"/>
        <v>0.151281464</v>
      </c>
      <c r="J15" s="52">
        <f t="shared" si="0"/>
        <v>0.151281464</v>
      </c>
      <c r="K15" s="52">
        <f t="shared" si="0"/>
        <v>0.151281464</v>
      </c>
      <c r="L15" s="52">
        <f t="shared" si="0"/>
        <v>0.13702132600000003</v>
      </c>
      <c r="M15" s="52">
        <f t="shared" si="0"/>
        <v>0.13702132600000003</v>
      </c>
      <c r="N15" s="52">
        <f t="shared" si="0"/>
        <v>0.13702132600000003</v>
      </c>
      <c r="O15" s="52">
        <f t="shared" si="0"/>
        <v>0.13702132600000003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//Dl987FtZKAxy56AFQuePBYNV625MGEFyTzMOrjnw9iE3fkJ0+KIGyfksL0xbsJYBzBaQ43jjhV+02pZWD3g==" saltValue="vUrh+cNMW+gaZmMXr5pI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0.86949749999999992</v>
      </c>
      <c r="D2" s="53">
        <v>0.78899600000000003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8.3859900000000001E-2</v>
      </c>
      <c r="D3" s="53">
        <v>0.1030933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3.8673300000000001E-2</v>
      </c>
      <c r="D4" s="53">
        <v>9.6228200000000014E-2</v>
      </c>
      <c r="E4" s="53">
        <v>0.97447069999999991</v>
      </c>
      <c r="F4" s="53">
        <v>0.90395999999999999</v>
      </c>
      <c r="G4" s="53">
        <v>0</v>
      </c>
    </row>
    <row r="5" spans="1:7" x14ac:dyDescent="0.25">
      <c r="B5" s="3" t="s">
        <v>132</v>
      </c>
      <c r="C5" s="52">
        <v>7.9693000000000003E-3</v>
      </c>
      <c r="D5" s="52">
        <v>1.16825E-2</v>
      </c>
      <c r="E5" s="52">
        <f>1-SUM(E2:E4)</f>
        <v>2.5529300000000088E-2</v>
      </c>
      <c r="F5" s="52">
        <f>1-SUM(F2:F4)</f>
        <v>9.6040000000000014E-2</v>
      </c>
      <c r="G5" s="52">
        <f>1-SUM(G2:G4)</f>
        <v>1</v>
      </c>
    </row>
  </sheetData>
  <sheetProtection algorithmName="SHA-512" hashValue="k1c1+w7B0+h4eS60d2pyuKnARSAnbj+wVmtxBnamyxHAMoJ0nhDu2HjrGT719BoXC5fnOlIKRee3ngeLzwnbmw==" saltValue="K1sucXv5VWluG0D7LadqF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7KukXTHsjhmiYmhqEc9sW9kFwBabPBCckNxAi2b+TjV5vagPWzPonEZIgZQeNZDkAtABWxhjXhPOEFG7ggfww==" saltValue="T0plRt4w7xoGFNDd7qMBR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pRmFl/rX66lTIIXTbE3qEZ4vvb5t2ppXuYKa6CzfMJ4jgAlNP2/VC9t6UR4B5U3HwTfYf8D45M04duqWIgT53g==" saltValue="9anaui1NFxjhY9Pk7n3EB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k0Gp+Ca6ZV5cN+ymA5jNkjFI6HbeLIdB348JchrbVHJGLEOebswukkJXCrDLV7OWTJQf8mtCZtLBEm7QAV0Qbw==" saltValue="OYWRTW9AVyXFg95GsiH+R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U0d1OzVZ9nFQPnDd3uZzH5e2sqpHbj2BnlC7+tgj0h/ArNBshzjV2hwNs6rS8tms4KPbRRAtpB0ns7RgSuFcw==" saltValue="yfbqP2CFmX9UhPxVRFjwz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36.079849986609638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0.50991066898500004</v>
      </c>
      <c r="C3" s="98">
        <v>0.95</v>
      </c>
      <c r="D3" s="56">
        <v>47.391202091117947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70.283560158574318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0.40054500108515723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0.1563252</v>
      </c>
      <c r="C10" s="98">
        <v>0.95</v>
      </c>
      <c r="D10" s="56">
        <v>15.05045142161304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0.1563252</v>
      </c>
      <c r="C11" s="98">
        <v>0.95</v>
      </c>
      <c r="D11" s="56">
        <v>15.05045142161304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0.1563252</v>
      </c>
      <c r="C12" s="98">
        <v>0.95</v>
      </c>
      <c r="D12" s="56">
        <v>15.05045142161304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0.1563252</v>
      </c>
      <c r="C13" s="98">
        <v>0.95</v>
      </c>
      <c r="D13" s="56">
        <v>15.05045142161304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0.1563252</v>
      </c>
      <c r="C14" s="98">
        <v>0.95</v>
      </c>
      <c r="D14" s="56">
        <v>15.05045142161304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0.1563252</v>
      </c>
      <c r="C15" s="98">
        <v>0.95</v>
      </c>
      <c r="D15" s="56">
        <v>15.05045142161304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0.97</v>
      </c>
      <c r="C16" s="98">
        <v>0.95</v>
      </c>
      <c r="D16" s="56">
        <v>0.2530143942324673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5.58755555555556E-3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6.1591492875787003E-2</v>
      </c>
      <c r="C18" s="98">
        <v>0.95</v>
      </c>
      <c r="D18" s="56">
        <v>1.723860781546777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0.73826449999999999</v>
      </c>
      <c r="C19" s="98">
        <v>0.95</v>
      </c>
      <c r="D19" s="56">
        <v>1.723860781546777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0.45494020000000002</v>
      </c>
      <c r="C21" s="98">
        <v>0.95</v>
      </c>
      <c r="D21" s="56">
        <v>4.0598209789868394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25.651202438998769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4.9321676394351552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0.8358901149458301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0.1563252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21.74274730131463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0.37695453305580001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63.551452439241622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0.92</v>
      </c>
      <c r="C31" s="98">
        <v>0.95</v>
      </c>
      <c r="D31" s="56">
        <v>0.46670911326684161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0.48033470148423679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0.92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0.34426630000000003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0.2796807</v>
      </c>
      <c r="C38" s="98">
        <v>0.95</v>
      </c>
      <c r="D38" s="56">
        <v>4.0283775058915356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GwNhsNKWDdwD4mOEkEikGctR7yx6F4yGy2uQyDTZ6Ox6ShHJU4sw5JnN170gouKo7TNewZ+lS2NNSduoaShY9w==" saltValue="lTnBaBalOV9kFk01aPpY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0ffsJtWmcoQ8L6fMDOSY6/8ePzjhvwhIR/AXxpr8W96jyHHgF10f527sv88++hh1K+G41uZrDDDUkbI3cVLRhA==" saltValue="KatIyAdfOCXuUifr/MlQ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8ZiDsN0gbImItmc/AlFj38/zcHwt+7VgtLrZw6ueQ0ixt/uHCTPBmzxJtB3wkhqorlMp8NkGEAkMgd6jUGhGBA==" saltValue="faovCozGdeeaYWOKDwKlN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2.3796500000000002E-2</v>
      </c>
      <c r="C3" s="21">
        <f>frac_mam_1_5months * 2.6</f>
        <v>2.3796500000000002E-2</v>
      </c>
      <c r="D3" s="21">
        <f>frac_mam_6_11months * 2.6</f>
        <v>3.6541179999999999E-2</v>
      </c>
      <c r="E3" s="21">
        <f>frac_mam_12_23months * 2.6</f>
        <v>3.0710419999999999E-2</v>
      </c>
      <c r="F3" s="21">
        <f>frac_mam_24_59months * 2.6</f>
        <v>1.9582680000000002E-2</v>
      </c>
    </row>
    <row r="4" spans="1:6" ht="15.75" customHeight="1" x14ac:dyDescent="0.25">
      <c r="A4" s="3" t="s">
        <v>208</v>
      </c>
      <c r="B4" s="21">
        <f>frac_sam_1month * 2.6</f>
        <v>1.5882359999999998E-2</v>
      </c>
      <c r="C4" s="21">
        <f>frac_sam_1_5months * 2.6</f>
        <v>1.5882359999999998E-2</v>
      </c>
      <c r="D4" s="21">
        <f>frac_sam_6_11months * 2.6</f>
        <v>1.5023060000000001E-2</v>
      </c>
      <c r="E4" s="21">
        <f>frac_sam_12_23months * 2.6</f>
        <v>6.2340199999999998E-3</v>
      </c>
      <c r="F4" s="21">
        <f>frac_sam_24_59months * 2.6</f>
        <v>1.2948E-3</v>
      </c>
    </row>
  </sheetData>
  <sheetProtection algorithmName="SHA-512" hashValue="PEdgk9rN8XiUQG+kkBsu0kY59pPVz5KvYfT33z59MnVxlkOYGDLZZvkXdQZGNW906FG9i9hIMK+FjsD4hyR4fA==" saltValue="lBU7Bc4fVIG4qC2YlH7Wb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0.55500000000000005</v>
      </c>
      <c r="E2" s="60">
        <f>food_insecure</f>
        <v>0.55500000000000005</v>
      </c>
      <c r="F2" s="60">
        <f>food_insecure</f>
        <v>0.55500000000000005</v>
      </c>
      <c r="G2" s="60">
        <f>food_insecure</f>
        <v>0.55500000000000005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0.55500000000000005</v>
      </c>
      <c r="F5" s="60">
        <f>food_insecure</f>
        <v>0.55500000000000005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0.55500000000000005</v>
      </c>
      <c r="F8" s="60">
        <f>food_insecure</f>
        <v>0.55500000000000005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0.55500000000000005</v>
      </c>
      <c r="F9" s="60">
        <f>food_insecure</f>
        <v>0.55500000000000005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0.55500000000000005</v>
      </c>
      <c r="I15" s="60">
        <f>food_insecure</f>
        <v>0.55500000000000005</v>
      </c>
      <c r="J15" s="60">
        <f>food_insecure</f>
        <v>0.55500000000000005</v>
      </c>
      <c r="K15" s="60">
        <f>food_insecure</f>
        <v>0.55500000000000005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7.0000000000000007E-2</v>
      </c>
      <c r="I19" s="60">
        <f>frac_malaria_risk</f>
        <v>7.0000000000000007E-2</v>
      </c>
      <c r="J19" s="60">
        <f>frac_malaria_risk</f>
        <v>7.0000000000000007E-2</v>
      </c>
      <c r="K19" s="60">
        <f>frac_malaria_risk</f>
        <v>7.0000000000000007E-2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0.34100000000000003</v>
      </c>
      <c r="M24" s="60">
        <f>famplan_unmet_need</f>
        <v>0.34100000000000003</v>
      </c>
      <c r="N24" s="60">
        <f>famplan_unmet_need</f>
        <v>0.34100000000000003</v>
      </c>
      <c r="O24" s="60">
        <f>famplan_unmet_need</f>
        <v>0.34100000000000003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0.42522145823860141</v>
      </c>
      <c r="M25" s="60">
        <f>(1-food_insecure)*(0.49)+food_insecure*(0.7)</f>
        <v>0.60654999999999992</v>
      </c>
      <c r="N25" s="60">
        <f>(1-food_insecure)*(0.49)+food_insecure*(0.7)</f>
        <v>0.60654999999999992</v>
      </c>
      <c r="O25" s="60">
        <f>(1-food_insecure)*(0.49)+food_insecure*(0.7)</f>
        <v>0.60654999999999992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0.18223776781654347</v>
      </c>
      <c r="M26" s="60">
        <f>(1-food_insecure)*(0.21)+food_insecure*(0.3)</f>
        <v>0.25995000000000001</v>
      </c>
      <c r="N26" s="60">
        <f>(1-food_insecure)*(0.21)+food_insecure*(0.3)</f>
        <v>0.25995000000000001</v>
      </c>
      <c r="O26" s="60">
        <f>(1-food_insecure)*(0.21)+food_insecure*(0.3)</f>
        <v>0.25995000000000001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9.3590082721710127E-2</v>
      </c>
      <c r="M27" s="60">
        <f>(1-food_insecure)*(0.3)</f>
        <v>0.13349999999999998</v>
      </c>
      <c r="N27" s="60">
        <f>(1-food_insecure)*(0.3)</f>
        <v>0.13349999999999998</v>
      </c>
      <c r="O27" s="60">
        <f>(1-food_insecure)*(0.3)</f>
        <v>0.13349999999999998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0.29895069122314499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7.0000000000000007E-2</v>
      </c>
      <c r="D34" s="60">
        <f t="shared" si="3"/>
        <v>7.0000000000000007E-2</v>
      </c>
      <c r="E34" s="60">
        <f t="shared" si="3"/>
        <v>7.0000000000000007E-2</v>
      </c>
      <c r="F34" s="60">
        <f t="shared" si="3"/>
        <v>7.0000000000000007E-2</v>
      </c>
      <c r="G34" s="60">
        <f t="shared" si="3"/>
        <v>7.0000000000000007E-2</v>
      </c>
      <c r="H34" s="60">
        <f t="shared" si="3"/>
        <v>7.0000000000000007E-2</v>
      </c>
      <c r="I34" s="60">
        <f t="shared" si="3"/>
        <v>7.0000000000000007E-2</v>
      </c>
      <c r="J34" s="60">
        <f t="shared" si="3"/>
        <v>7.0000000000000007E-2</v>
      </c>
      <c r="K34" s="60">
        <f t="shared" si="3"/>
        <v>7.0000000000000007E-2</v>
      </c>
      <c r="L34" s="60">
        <f t="shared" si="3"/>
        <v>7.0000000000000007E-2</v>
      </c>
      <c r="M34" s="60">
        <f t="shared" si="3"/>
        <v>7.0000000000000007E-2</v>
      </c>
      <c r="N34" s="60">
        <f t="shared" si="3"/>
        <v>7.0000000000000007E-2</v>
      </c>
      <c r="O34" s="60">
        <f t="shared" si="3"/>
        <v>7.0000000000000007E-2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w33Ll4uBYssDHvM9ds48HK3vhQUzGHdq1nGqP8N3BbYL5orRPQV5izocKnDSrhOGfk3vEFIUJ1Hik3JQ6xbDQ==" saltValue="AaTGOmGDQYzK3fV1ttc4/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ff+TUexsm5+g4gL88xIz2Sqos5aYQO/jRSOF99rkbrpewcsaBcJ/9RBtfOPZrGiZMEKp3wy47VGA/UqwR3s8hA==" saltValue="SDYyCN4VjIsj0zjr1Y0u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8EWGJgpcoxwoV6axpvNTMnzLVUkBGHm7fCdR6WKi3zdPMZrDlPegir2l9tO5VEClVgKsfHjW5KIGfGy+9oFPJA==" saltValue="7C9ypG2GQPr3SioXH4aFT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8LLUq6PFStEJGT33g2L1U6w+4nZ2Yfi1tyLcD1E3hsWYL758XeHzlNAApqHBS2nyKjeqqzvS6A0meBDNEKtEw==" saltValue="nw9rRBUby5T7Q/QfMFaTP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hf2ymbjDx7kFzTAB/sNZPrVMNXbCBJmN+gaRkwAu411iP2XmaasWUNttopNpNF0ZISaep4F8kpzdqMGZCP4RQ==" saltValue="CrtAWcGU1pAPjBGmjbcDS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8PMUYM/AmGvSeooLAX3E9rSuudwNVOahFGrvNAnNUBmxbenCLm+cOJ9bmAKinoL9+ylCLPAKDQlRtoaFDMokAA==" saltValue="hGs+5h/rxVUcloGQLTrZr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Vln65L+c6jMBgh7+jhX6u9udccU9Ho/UW4dZK00X5I3teGFpiE+Fs0XESEHpk6JtQGTizqIqCdKSbsU4P1DTw==" saltValue="EYOeCEhwQkVa0dNl3XkJL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0qNMrJ67KrEtXo2XAFNYGShHh+OrYsh7Kw17CibmNmOt8LD70GWBJV9rHSlQ+4gke7Qi1AxxKnwXLI0JgzBvAA==" saltValue="+nsm9H1z08pfTqCj189J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zgroYGLknHrcyArosQARLMFcwXimrj9GQQ8MrIUXcWPcUtWoIr7LzS0CKIq7B/+tYq4o5vuCIg6Frz2pnfB7w==" saltValue="xo2XqemW40ElbRdfLi7n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/PAzHatnCZ7EUaonB5eRCZ8kcQmuFUCHryFrniSyQzLnfgHwVM6jMs1g0CdT6ws1gT9vuQkWA4dJ/ucbKhfHqQ==" saltValue="NwMd1J8hOxyzly+Mt4aw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EfwMft6Iv/W5vKmiKk/McD0l7uYr1lPIH9IvPb9nmWqEaB6nAG1BvM1O4w9qJMjjElPF8ixNSkrlDa4q2xFSNw==" saltValue="zfVcOj02AZQzX8rO7AOg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ixdctKLRSQWQgoIOd6w2A19uAtMdlrCqDhY7fEpckAr5NFyBZuJ2vrxqZ4oz4EdhHxe/oM2D2++a3JNIC4mnA==" saltValue="zpRfNVaby3taomhb5UuO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l5K8WgswIljt8wfTtSa9O2t+BHYHmrWU6/nctPbBnY4X8pvqzpaYAJNSs2MVditmokeOXI1KiJlykUFME/g5w==" saltValue="R+Epxjis3vsICnL4SdOAr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05pk9B4eRaFh55aLb7IrIDfETSltk0OW/P7jYx3e6dEbCY1I7tnXOs+zBd+G0arfB8NTDQQXvSIHSPcM3qUqug==" saltValue="kp7jKdi89Z3xW41Nl9Pf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1Pc3mHcYscU+OHwJN6ya+tACBXCgUArfx8V08+3eqmJj60++fdv1iLrUMqN+hib9W6xFePc8rVOUZbV2xLHcIA==" saltValue="pWMFqAf49hgYWHcmsPl4w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2024-05-17T00:49:04Z</dcterms:modified>
</cp:coreProperties>
</file>