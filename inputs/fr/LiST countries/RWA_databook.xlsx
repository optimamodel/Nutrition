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19ABC4A-9EEF-4CC4-AC20-CA7B5572A0B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22" i="2"/>
  <c r="A36" i="2"/>
  <c r="A40" i="2"/>
  <c r="A23" i="2"/>
  <c r="A34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<sst xmlns="http://schemas.openxmlformats.org/spreadsheetml/2006/main" count="2159" uniqueCount="368">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</sst>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1988148.15625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7.0000000000000007E-2</v>
      </c>
    </row>
    <row r="10" spans="1:3" ht="15" customHeight="1" x14ac:dyDescent="0.25">
      <c r="B10" s="5" t="s">
        <v>39</v>
      </c>
      <c r="C10" s="45">
        <v>0.29895069122314499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4.6199999999999998E-2</v>
      </c>
    </row>
    <row r="24" spans="1:3" ht="15" customHeight="1" x14ac:dyDescent="0.25">
      <c r="B24" s="15" t="s">
        <v>51</v>
      </c>
      <c r="C24" s="45">
        <v>0.50180000000000002</v>
      </c>
    </row>
    <row r="25" spans="1:3" ht="15" customHeight="1" x14ac:dyDescent="0.25">
      <c r="B25" s="15" t="s">
        <v>52</v>
      </c>
      <c r="C25" s="45">
        <v>0.36330000000000001</v>
      </c>
    </row>
    <row r="26" spans="1:3" ht="15" customHeight="1" x14ac:dyDescent="0.25">
      <c r="B26" s="15" t="s">
        <v>53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0.254787647396997</v>
      </c>
    </row>
    <row r="30" spans="1:3" ht="14.25" customHeight="1" x14ac:dyDescent="0.25">
      <c r="B30" s="25" t="s">
        <v>56</v>
      </c>
      <c r="C30" s="99">
        <v>3.6806607194084101E-2</v>
      </c>
    </row>
    <row r="31" spans="1:3" ht="14.25" customHeight="1" x14ac:dyDescent="0.25">
      <c r="B31" s="25" t="s">
        <v>57</v>
      </c>
      <c r="C31" s="99">
        <v>7.3852638350173999E-2</v>
      </c>
    </row>
    <row r="32" spans="1:3" ht="14.25" customHeight="1" x14ac:dyDescent="0.25">
      <c r="B32" s="25" t="s">
        <v>58</v>
      </c>
      <c r="C32" s="99">
        <v>0.63455310705874501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17.52411</v>
      </c>
    </row>
    <row r="38" spans="1:5" ht="15" customHeight="1" x14ac:dyDescent="0.25">
      <c r="B38" s="11" t="s">
        <v>63</v>
      </c>
      <c r="C38" s="43">
        <v>29.650749999999999</v>
      </c>
      <c r="D38" s="12"/>
      <c r="E38" s="13"/>
    </row>
    <row r="39" spans="1:5" ht="15" customHeight="1" x14ac:dyDescent="0.25">
      <c r="B39" s="11" t="s">
        <v>64</v>
      </c>
      <c r="C39" s="43">
        <v>39.438879999999997</v>
      </c>
      <c r="D39" s="12"/>
      <c r="E39" s="12"/>
    </row>
    <row r="40" spans="1:5" ht="15" customHeight="1" x14ac:dyDescent="0.25">
      <c r="B40" s="11" t="s">
        <v>65</v>
      </c>
      <c r="C40" s="100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71</v>
      </c>
      <c r="C47" s="45">
        <v>0.16339429999999999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0.62000600000000006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9WciizixURGU79jLkQc9HQf/XqKkI7+nyGGOTxehqsKngxeC2x5d9l4DzZs/zsscNoTZxw4kgvClcV8NYaet3A==" saltValue="ti/gwoNbeGJldNRYkde8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1912448</v>
      </c>
      <c r="C2" s="49">
        <v>439116</v>
      </c>
      <c r="D2" s="49">
        <v>891807</v>
      </c>
      <c r="E2" s="49">
        <v>1591124</v>
      </c>
      <c r="F2" s="49">
        <v>1263084.5</v>
      </c>
      <c r="G2" s="17">
        <f t="shared" ref="G2:G13" si="0">C2+D2+E2+F2</f>
        <v>4185131.5</v>
      </c>
      <c r="H2" s="17">
        <f t="shared" ref="H2:H13" si="1">(B2 + stillbirth*B2/(1000-stillbirth))/(1-abortion)</f>
        <v>2210255.1760940021</v>
      </c>
      <c r="I2" s="17">
        <f t="shared" ref="I2:I13" si="2">G2-H2</f>
        <v>1974876.3239059979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400062</v>
      </c>
      <c r="C3" s="50">
        <v>798499</v>
      </c>
      <c r="D3" s="50">
        <v>1245106</v>
      </c>
      <c r="E3" s="50">
        <v>974518</v>
      </c>
      <c r="F3" s="50">
        <v>716323</v>
      </c>
      <c r="G3" s="17">
        <f t="shared" si="0"/>
        <v>3734446</v>
      </c>
      <c r="H3" s="17">
        <f t="shared" si="1"/>
        <v>462359.81645436567</v>
      </c>
      <c r="I3" s="17">
        <f t="shared" si="2"/>
        <v>3272086.1835456342</v>
      </c>
    </row>
    <row r="4" spans="1:9" ht="15.75" customHeight="1" x14ac:dyDescent="0.25">
      <c r="A4" s="5">
        <f t="shared" si="3"/>
        <v>2026</v>
      </c>
      <c r="B4" s="49">
        <v>404109</v>
      </c>
      <c r="C4" s="50">
        <v>797849.5</v>
      </c>
      <c r="D4" s="50">
        <v>1295305</v>
      </c>
      <c r="E4" s="50">
        <v>987597.50000000012</v>
      </c>
      <c r="F4" s="50">
        <v>751151.00000000012</v>
      </c>
      <c r="G4" s="17">
        <f t="shared" si="0"/>
        <v>3831903</v>
      </c>
      <c r="H4" s="17">
        <f t="shared" si="1"/>
        <v>467037.01693126879</v>
      </c>
      <c r="I4" s="17">
        <f t="shared" si="2"/>
        <v>3364865.9830687311</v>
      </c>
    </row>
    <row r="5" spans="1:9" ht="15.75" customHeight="1" x14ac:dyDescent="0.25">
      <c r="A5" s="5">
        <f t="shared" si="3"/>
        <v>2027</v>
      </c>
      <c r="B5" s="49">
        <v>409278</v>
      </c>
      <c r="C5" s="50">
        <v>796481.5</v>
      </c>
      <c r="D5" s="50">
        <v>1346244.0000000002</v>
      </c>
      <c r="E5" s="50">
        <v>1001450.5</v>
      </c>
      <c r="F5" s="50">
        <v>784349.5</v>
      </c>
      <c r="G5" s="17">
        <f t="shared" si="0"/>
        <v>3928525.5</v>
      </c>
      <c r="H5" s="17">
        <f t="shared" si="1"/>
        <v>473010.93570199091</v>
      </c>
      <c r="I5" s="17">
        <f t="shared" si="2"/>
        <v>3455514.564298009</v>
      </c>
    </row>
    <row r="6" spans="1:9" ht="15.75" customHeight="1" x14ac:dyDescent="0.25">
      <c r="A6" s="5">
        <f t="shared" si="3"/>
        <v>2028</v>
      </c>
      <c r="B6" s="49">
        <v>413705</v>
      </c>
      <c r="C6" s="50">
        <v>797762.5</v>
      </c>
      <c r="D6" s="50">
        <v>1394698.5</v>
      </c>
      <c r="E6" s="50">
        <v>1016251.5000000001</v>
      </c>
      <c r="F6" s="50">
        <v>814842.5</v>
      </c>
      <c r="G6" s="17">
        <f t="shared" si="0"/>
        <v>4023555</v>
      </c>
      <c r="H6" s="17">
        <f t="shared" si="1"/>
        <v>478127.30993259378</v>
      </c>
      <c r="I6" s="17">
        <f t="shared" si="2"/>
        <v>3545427.6900674063</v>
      </c>
    </row>
    <row r="7" spans="1:9" ht="15.75" customHeight="1" x14ac:dyDescent="0.25">
      <c r="A7" s="5">
        <f t="shared" si="3"/>
        <v>2029</v>
      </c>
      <c r="B7" s="49">
        <v>417935</v>
      </c>
      <c r="C7" s="50">
        <v>803970.5</v>
      </c>
      <c r="D7" s="50">
        <v>1437534.9999999998</v>
      </c>
      <c r="E7" s="50">
        <v>1032142</v>
      </c>
      <c r="F7" s="50">
        <v>841696.5</v>
      </c>
      <c r="G7" s="17">
        <f t="shared" si="0"/>
        <v>4115344</v>
      </c>
      <c r="H7" s="17">
        <f t="shared" si="1"/>
        <v>483016.00724351552</v>
      </c>
      <c r="I7" s="17">
        <f t="shared" si="2"/>
        <v>3632327.9927564845</v>
      </c>
    </row>
    <row r="8" spans="1:9" ht="15.75" customHeight="1" x14ac:dyDescent="0.25">
      <c r="A8" s="5">
        <f t="shared" si="3"/>
        <v>2030</v>
      </c>
      <c r="B8" s="49">
        <v>420807</v>
      </c>
      <c r="C8" s="50">
        <v>814791</v>
      </c>
      <c r="D8" s="50">
        <v>1472186</v>
      </c>
      <c r="E8" s="50">
        <v>1049132</v>
      </c>
      <c r="F8" s="50">
        <v>864353.49999999988</v>
      </c>
      <c r="G8" s="17">
        <f t="shared" si="0"/>
        <v>4200462.5</v>
      </c>
      <c r="H8" s="17">
        <f t="shared" si="1"/>
        <v>486335.23624516267</v>
      </c>
      <c r="I8" s="17">
        <f t="shared" si="2"/>
        <v>3714127.2637548372</v>
      </c>
    </row>
    <row r="9" spans="1:9" ht="15.75" customHeight="1" x14ac:dyDescent="0.25">
      <c r="A9" s="5">
        <f t="shared" si="3"/>
        <v>2031</v>
      </c>
      <c r="B9" s="49">
        <v>423412</v>
      </c>
      <c r="C9" s="50">
        <v>829042</v>
      </c>
      <c r="D9" s="50">
        <v>1501513.5</v>
      </c>
      <c r="E9" s="50">
        <v>1070167.5</v>
      </c>
      <c r="F9" s="50">
        <v>883917.5</v>
      </c>
      <c r="G9" s="17">
        <f t="shared" si="0"/>
        <v>4284640.5</v>
      </c>
      <c r="H9" s="17">
        <f t="shared" si="1"/>
        <v>489345.88789881539</v>
      </c>
      <c r="I9" s="17">
        <f t="shared" si="2"/>
        <v>3795294.6121011847</v>
      </c>
    </row>
    <row r="10" spans="1:9" ht="15.75" customHeight="1" x14ac:dyDescent="0.25">
      <c r="A10" s="5">
        <f t="shared" si="3"/>
        <v>2032</v>
      </c>
      <c r="B10" s="49">
        <v>426716</v>
      </c>
      <c r="C10" s="50">
        <v>844915</v>
      </c>
      <c r="D10" s="50">
        <v>1526850.5</v>
      </c>
      <c r="E10" s="50">
        <v>1097290.5</v>
      </c>
      <c r="F10" s="50">
        <v>901214</v>
      </c>
      <c r="G10" s="17">
        <f t="shared" si="0"/>
        <v>4370270</v>
      </c>
      <c r="H10" s="17">
        <f t="shared" si="1"/>
        <v>493164.38811519486</v>
      </c>
      <c r="I10" s="17">
        <f t="shared" si="2"/>
        <v>3877105.6118848054</v>
      </c>
    </row>
    <row r="11" spans="1:9" ht="15.75" customHeight="1" x14ac:dyDescent="0.25">
      <c r="A11" s="5">
        <f t="shared" si="3"/>
        <v>2033</v>
      </c>
      <c r="B11" s="49">
        <v>430303</v>
      </c>
      <c r="C11" s="50">
        <v>859498.5</v>
      </c>
      <c r="D11" s="50">
        <v>1544108.5</v>
      </c>
      <c r="E11" s="50">
        <v>1128634</v>
      </c>
      <c r="F11" s="50">
        <v>915520</v>
      </c>
      <c r="G11" s="17">
        <f t="shared" si="0"/>
        <v>4447761</v>
      </c>
      <c r="H11" s="17">
        <f t="shared" si="1"/>
        <v>497309.95720604033</v>
      </c>
      <c r="I11" s="17">
        <f t="shared" si="2"/>
        <v>3950451.0427939598</v>
      </c>
    </row>
    <row r="12" spans="1:9" ht="15.75" customHeight="1" x14ac:dyDescent="0.25">
      <c r="A12" s="5">
        <f t="shared" si="3"/>
        <v>2034</v>
      </c>
      <c r="B12" s="49">
        <v>431619</v>
      </c>
      <c r="C12" s="50">
        <v>872029</v>
      </c>
      <c r="D12" s="50">
        <v>1558156.5</v>
      </c>
      <c r="E12" s="50">
        <v>1166722</v>
      </c>
      <c r="F12" s="50">
        <v>928370</v>
      </c>
      <c r="G12" s="17">
        <f t="shared" si="0"/>
        <v>4525277.5</v>
      </c>
      <c r="H12" s="17">
        <f t="shared" si="1"/>
        <v>498830.88525832712</v>
      </c>
      <c r="I12" s="17">
        <f t="shared" si="2"/>
        <v>4026446.6147416728</v>
      </c>
    </row>
    <row r="13" spans="1:9" ht="15.75" customHeight="1" x14ac:dyDescent="0.25">
      <c r="A13" s="5">
        <f t="shared" si="3"/>
        <v>2035</v>
      </c>
      <c r="B13" s="49">
        <v>435259</v>
      </c>
      <c r="C13" s="50">
        <v>882784</v>
      </c>
      <c r="D13" s="50">
        <v>1574075</v>
      </c>
      <c r="E13" s="50">
        <v>1212784</v>
      </c>
      <c r="F13" s="50">
        <v>941462</v>
      </c>
      <c r="G13" s="17">
        <f t="shared" si="0"/>
        <v>4611105</v>
      </c>
      <c r="H13" s="17">
        <f t="shared" si="1"/>
        <v>503037.70753060962</v>
      </c>
      <c r="I13" s="17">
        <f t="shared" si="2"/>
        <v>4108067.2924693902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AFKboPv5BGI8QvOgTKuZA3aG9V/XuSWPFHdEDO25dv7m977KC5qnPVfPSroc3tTEdrKlJBEpyMzGyxScsaY8w==" saltValue="lpxObh6WhSLONrFwR7Lc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6.0182990146353584E-3</v>
      </c>
    </row>
    <row r="4" spans="1:8" ht="15.75" customHeight="1" x14ac:dyDescent="0.25">
      <c r="B4" s="19" t="s">
        <v>97</v>
      </c>
      <c r="C4" s="101">
        <v>4.6453576687890671E-2</v>
      </c>
    </row>
    <row r="5" spans="1:8" ht="15.75" customHeight="1" x14ac:dyDescent="0.25">
      <c r="B5" s="19" t="s">
        <v>98</v>
      </c>
      <c r="C5" s="101">
        <v>5.2706888908387282E-2</v>
      </c>
    </row>
    <row r="6" spans="1:8" ht="15.75" customHeight="1" x14ac:dyDescent="0.25">
      <c r="B6" s="19" t="s">
        <v>99</v>
      </c>
      <c r="C6" s="101">
        <v>0.21486660124181831</v>
      </c>
    </row>
    <row r="7" spans="1:8" ht="15.75" customHeight="1" x14ac:dyDescent="0.25">
      <c r="B7" s="19" t="s">
        <v>100</v>
      </c>
      <c r="C7" s="101">
        <v>0.48309890874434158</v>
      </c>
    </row>
    <row r="8" spans="1:8" ht="15.75" customHeight="1" x14ac:dyDescent="0.25">
      <c r="B8" s="19" t="s">
        <v>101</v>
      </c>
      <c r="C8" s="101">
        <v>6.8292896688334896E-4</v>
      </c>
    </row>
    <row r="9" spans="1:8" ht="15.75" customHeight="1" x14ac:dyDescent="0.25">
      <c r="B9" s="19" t="s">
        <v>102</v>
      </c>
      <c r="C9" s="101">
        <v>0.11159575567550881</v>
      </c>
    </row>
    <row r="10" spans="1:8" ht="15.75" customHeight="1" x14ac:dyDescent="0.25">
      <c r="B10" s="19" t="s">
        <v>103</v>
      </c>
      <c r="C10" s="101">
        <v>8.4577040760534461E-2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106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107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108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109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110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111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112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113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8.8012850000000004E-2</v>
      </c>
    </row>
    <row r="27" spans="1:8" ht="15.75" customHeight="1" x14ac:dyDescent="0.25">
      <c r="B27" s="19" t="s">
        <v>120</v>
      </c>
      <c r="C27" s="101">
        <v>8.9249900000000007E-3</v>
      </c>
    </row>
    <row r="28" spans="1:8" ht="15.75" customHeight="1" x14ac:dyDescent="0.25">
      <c r="B28" s="19" t="s">
        <v>121</v>
      </c>
      <c r="C28" s="101">
        <v>0.15479583299999999</v>
      </c>
    </row>
    <row r="29" spans="1:8" ht="15.75" customHeight="1" x14ac:dyDescent="0.25">
      <c r="B29" s="19" t="s">
        <v>122</v>
      </c>
      <c r="C29" s="101">
        <v>0.168002662</v>
      </c>
    </row>
    <row r="30" spans="1:8" ht="15.75" customHeight="1" x14ac:dyDescent="0.25">
      <c r="B30" s="19" t="s">
        <v>2</v>
      </c>
      <c r="C30" s="101">
        <v>0.104541704</v>
      </c>
    </row>
    <row r="31" spans="1:8" ht="15.75" customHeight="1" x14ac:dyDescent="0.25">
      <c r="B31" s="19" t="s">
        <v>123</v>
      </c>
      <c r="C31" s="101">
        <v>0.10832760499999999</v>
      </c>
    </row>
    <row r="32" spans="1:8" ht="15.75" customHeight="1" x14ac:dyDescent="0.25">
      <c r="B32" s="19" t="s">
        <v>124</v>
      </c>
      <c r="C32" s="101">
        <v>1.8696531999999998E-2</v>
      </c>
    </row>
    <row r="33" spans="2:3" ht="15.75" customHeight="1" x14ac:dyDescent="0.25">
      <c r="B33" s="19" t="s">
        <v>125</v>
      </c>
      <c r="C33" s="101">
        <v>8.4083039999999998E-2</v>
      </c>
    </row>
    <row r="34" spans="2:3" ht="15.75" customHeight="1" x14ac:dyDescent="0.25">
      <c r="B34" s="19" t="s">
        <v>126</v>
      </c>
      <c r="C34" s="101">
        <v>0.26461478300000002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fgqnvlpohLGxCf5B0RY/X8utyAcsbo7X/371eCsyiwOskZYTvJa5H1TroEwyI/57D/wII1yRYZgHqWkQgx7MxA==" saltValue="jULjoJziUQaP3eZQQRzZ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132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133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137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AfheDVFKxFmjNrHbg66xy/adCbkDHj85pz56w1zDdEEoIIMgAOLZK+5SPriFT3yk/H01WJr5F+5bLejEXXEqQ==" saltValue="44JGazBE6Psv00lOpsuZ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PNtD2y5J0oSoDV6/E2QQTmLIV7zmh2VPIEqanJwXJF/0hNEojCghnh3ZG26N1R7CdjIVbZXKeQb9u6XUw4+BSA==" saltValue="qIUQxzNxkKY5UIbpmlDS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pj1gD/sJSoPs69HtQvHztK01ZkGVYwspe2oHYFTKi4mlcMu2mRbA84bQMMVzgesLh9Vu6JcLKSbq8Gv4EQuew==" saltValue="S55aiYpl7msZdSnqU7s5w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966.23207136199301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0.38140000000000002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0.56830000000000003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1.990105615194997E-2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96555.94816</v>
      </c>
      <c r="C22" s="109">
        <v>96079.527390000003</v>
      </c>
      <c r="D22" s="109">
        <v>95631.113060000003</v>
      </c>
      <c r="E22" s="109">
        <v>95161.49944</v>
      </c>
      <c r="F22" s="109">
        <v>94502.367230000003</v>
      </c>
      <c r="G22" s="109">
        <v>93739.134999999995</v>
      </c>
      <c r="H22" s="109">
        <v>92757.999790000002</v>
      </c>
      <c r="I22" s="109">
        <v>91429.240390000006</v>
      </c>
      <c r="J22" s="109">
        <v>89478.996429999999</v>
      </c>
      <c r="K22" s="109">
        <v>86804.421950000004</v>
      </c>
      <c r="L22" s="109">
        <v>82864.116859999995</v>
      </c>
      <c r="M22" s="109">
        <v>77545.65367</v>
      </c>
      <c r="N22" s="109">
        <v>70126.617209999997</v>
      </c>
      <c r="O22" s="109">
        <v>60487.517310000003</v>
      </c>
    </row>
  </sheetData>
  <sheetProtection algorithmName="SHA-512" hashValue="36khOasA+hqx3lWZLoFGIZPOIA0VwdlcwoDo+Hn7WayIXz//s0TYPl+odLsfNEOTVzg2qYpEt3cJ3UWJQOQ9Og==" saltValue="vOJ+QZctRtDyThs1xKcI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vwX1o1fwhUaQPRKsKJWMox0z/1GHNuHyuWfYhHvAYlcuRmxQrlmo1GU6dakUJG/yi6ImKrbI9PDqo7cN4khQA==" saltValue="KT4DoDbWIVk4yAjvlaI14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qHIusvgNOCJtwB56MOL9L1EBGbIh4t4lVmLhfQgEbgOyl92m7K1+WQN4tSiQHiPfBJVn1FgYsN7bDCn/XBHOQ==" saltValue="YjnUTICa5eAUpMI1CVXy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6.03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3.7783674513817815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0.1563252</v>
      </c>
      <c r="C10" s="98">
        <v>0.95</v>
      </c>
      <c r="D10" s="56">
        <v>15.05045142161304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15.05045142161304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15.05045142161304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15.05045142161304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0.16389999999999999</v>
      </c>
      <c r="C14" s="98">
        <v>0.95</v>
      </c>
      <c r="D14" s="56">
        <v>1.3111054247697034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15.05045142161304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0.48628949999999999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5.58755555555556E-3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0.78899600000000003</v>
      </c>
      <c r="C18" s="98">
        <v>0.95</v>
      </c>
      <c r="D18" s="56">
        <v>6.0310849539406348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0.78899600000000003</v>
      </c>
      <c r="C19" s="98">
        <v>0.95</v>
      </c>
      <c r="D19" s="56">
        <v>1.723860781546777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3.6234186284544529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6.03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0.56296439999999992</v>
      </c>
      <c r="C23" s="98">
        <v>0.95</v>
      </c>
      <c r="D23" s="56">
        <v>4.9321676394351552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0.61747921546045004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0.184</v>
      </c>
      <c r="C26" s="98">
        <v>0.95</v>
      </c>
      <c r="D26" s="56">
        <v>7.7236028659160709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0.2796807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0.34426630000000003</v>
      </c>
      <c r="C29" s="98">
        <v>0.95</v>
      </c>
      <c r="D29" s="56">
        <v>63.551452439241622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0.86499999999999999</v>
      </c>
      <c r="C32" s="98">
        <v>0.95</v>
      </c>
      <c r="D32" s="56">
        <v>0.46484646878198577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0.18402009999999999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0.82192539999999992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1.9060199999999999E-2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0.45494020000000002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0.188</v>
      </c>
      <c r="C38" s="98">
        <v>0.95</v>
      </c>
      <c r="D38" s="56">
        <v>0.28605936540429888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v7e+TWCqxrjTF593EhS+zxj8rvPwOeQ5ZTCvN6iRC/apYKSIgiIPnTQHAKqC6nIf/RwGmel+4yCLim2dCtW4iw==" saltValue="HKxjw7JSwuPK3Kx38tae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xbNYIzRxzqs7VWskBOEPqGJFpl3vyWwUO5ct8akhn+IGQVE0Ix36fdIpmxcN67+eTCrrci0irYPQE15o1KuDA==" saltValue="0g7+F0ANYqKBjuWCIkty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vAndkCVtHKbmYwSKpknedWAjElcCaWkcE1AKGZdt9CSKP72vg3WLBrREmOFOilcewqMV871dKQbsDdzCcMawg==" saltValue="qPVNsAoMEDFKa0cbN07H0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237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tdrjykqi5ltH1M6o14/dopm0ezF2qumFQViMKJb/XMKW96SdCKccH7KqUoAfrQ5gg1UoDp4PwbFEC/JfppwNIA==" saltValue="2dLCH3ymHvRIVXhVR5Vd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73hQweoDlvfERT/QrUXJdu6G6pk95arUuDjyU2DedNLmBDUc+7js9m1/SJPCrL36c8NUNVs4dr8MSLyK7cNDQ==" saltValue="8/4t87qp4BHNCh4jKEHT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lzGLeWpwQdpe91EtfNKsnRRXQs7Qo821grln7EMM0dq4+ItXxOS4kRO8dIXcCyCHoAGKjq87fa4FOmP3ij8Ow==" saltValue="LoOLjsI3BeZZg19+gFlj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r1/sUcjOPFYjgjqWP/YXIPvR3ar0+hk+BaQ34VeQjOGKFkyFU3JSm7to2ozUCxQHCo2Rq0tIP+HjNzLPnDsCg==" saltValue="VyXgcaepQtkMeL/fiHWj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XLpw4U8vpW/OCf115lD2nIASL6lYfKesVnp6CoKocYkFQReyedtFgUYn3KhxvD6bX8RTtTz8Aacbr84AAH53g==" saltValue="XyAcXp9gHXU6d4gktngY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FIwfYH+5jC5qtHQiEEbicIcRjI4+W5ihNYEBXRPwXKqEZiRDa4QPIDsnrVAZWOIA6i7HgC+cIj0vR6nQlr4OHg==" saltValue="3x8MAPWwG4XGtwDCzis0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uB5BNZn680l2NcR7LdwQ5B1kcHxTVzUzevRXx0nh6TiyL7P65gpIuF/GnEdNkQItuslS9SPssOSMWNkrahHCOA==" saltValue="aZEfQsflDb+3bHImd3NI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QvpmYlaFYn+/t3E8jseL8vSHJ77WiyaQjWcoXRFS2ih3rOlTxELvIPsYGabakX8/Puy62b68cK1EbitF024Aw==" saltValue="LuApH91JdoYTGPwoqqbpb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DGDQ29ZbCFApEOZK8p6z0lNb7+OrXsMTJ9bpsycv8AwKrduQlbtK+TkfdkRLMZfp7sNyKaRLdYRf9zcIk8Lzg==" saltValue="SuDHHJhvov19r9jF/VUp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DzU2qQSKp+kwDzuSt3znW5Lv8WQDYXSndoOuoSMctXIImO+Ftz4P4Wd1dx76eiTJgwnOGlR3XqA7KkE+Yn6AQ==" saltValue="gqFQHCfiKiHa1LiC0QNn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uHyyI17RNueDz495uvodbP7dp1v2/i6X739x0rvLhodkrpBhNSqMfVmyzykIKKtHqU2WypmxaL6LS3UGKieWw==" saltValue="ifGMVxz/CK10imBGQALc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le6rL2RIUAlNlmnfmSpS60FekMOpQ6hk5Jvjdd+ZLe9/u5ucNXrog6DkIYnQhOlSGf9aYUoVriIEgHzgz+HjQ==" saltValue="BCWKn0VpTMxLYzd7BjM/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5qcZWYMr1PcXAsNfgEDmEAUWFEwR6BX/zWYRRkZo8ySheo9+kNMi2FED40WHUNjggaZOUBZ4YWjjII2QZvx4w==" saltValue="MLmf/3JX8Csu6vvZIOFU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x1VwToHHS+vsBxkERytn5SAOi4AYzxRqMBPB94oeAF4TlzSdswQ3XHxzZVpf34uGJHkrZQAdmrRux8PMtdHyg==" saltValue="rtSWvcLi+VAMDDV6iXdP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ptnR9YL950qHfZRxjV6nLPA7mQaewGOM94QiIxFN8oAe3pqH1pvhKz7mJVluRpfR2ThEKeXBpr12M0A7u/JHw==" saltValue="OacchnwrKItRPr5krdE5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D/0jLcgHPVZjqFiE7O9cIWv6lNk4DW0AtKRxHPoluCOyJfFHZdvShBTs1MgLeTkogWJ/Rn8RFqYGEUhvLpSPw==" saltValue="stVBGL6wIxlxi4RYvyvC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