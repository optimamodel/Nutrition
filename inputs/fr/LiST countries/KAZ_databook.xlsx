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402523D0-43EA-455C-AE26-9BD3220B90D2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37" i="2"/>
  <c r="A36" i="2"/>
  <c r="A31" i="2"/>
  <c r="A21" i="2"/>
  <c r="A20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23" i="2" l="1"/>
  <c r="A28" i="2"/>
  <c r="A29" i="2"/>
  <c r="A24" i="2"/>
  <c r="A17" i="2"/>
  <c r="A25" i="2"/>
  <c r="A3" i="2"/>
  <c r="A18" i="2"/>
  <c r="A26" i="2"/>
  <c r="A34" i="2"/>
  <c r="A39" i="2"/>
  <c r="A16" i="2"/>
  <c r="A32" i="2"/>
  <c r="A33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<sst xmlns="http://schemas.openxmlformats.org/spreadsheetml/2006/main" count="2101" uniqueCount="337">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</sst>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2016945.46875</v>
      </c>
    </row>
    <row r="8" spans="1:3" ht="15" customHeight="1" x14ac:dyDescent="0.25">
      <c r="B8" s="5" t="s">
        <v>19</v>
      </c>
      <c r="C8" s="44">
        <v>0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1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0.20399999999999999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8.2799999999999999E-2</v>
      </c>
    </row>
    <row r="24" spans="1:3" ht="15" customHeight="1" x14ac:dyDescent="0.25">
      <c r="B24" s="15" t="s">
        <v>33</v>
      </c>
      <c r="C24" s="45">
        <v>0.55079999999999996</v>
      </c>
    </row>
    <row r="25" spans="1:3" ht="15" customHeight="1" x14ac:dyDescent="0.25">
      <c r="B25" s="15" t="s">
        <v>34</v>
      </c>
      <c r="C25" s="45">
        <v>0.33279999999999998</v>
      </c>
    </row>
    <row r="26" spans="1:3" ht="15" customHeight="1" x14ac:dyDescent="0.25">
      <c r="B26" s="15" t="s">
        <v>35</v>
      </c>
      <c r="C26" s="45">
        <v>3.3599999999999998E-2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0.36614845374562899</v>
      </c>
    </row>
    <row r="30" spans="1:3" ht="14.25" customHeight="1" x14ac:dyDescent="0.25">
      <c r="B30" s="25" t="s">
        <v>38</v>
      </c>
      <c r="C30" s="99">
        <v>8.5813228575563602E-2</v>
      </c>
    </row>
    <row r="31" spans="1:3" ht="14.25" customHeight="1" x14ac:dyDescent="0.25">
      <c r="B31" s="25" t="s">
        <v>39</v>
      </c>
      <c r="C31" s="99">
        <v>0.11932858239091</v>
      </c>
    </row>
    <row r="32" spans="1:3" ht="14.25" customHeight="1" x14ac:dyDescent="0.25">
      <c r="B32" s="25" t="s">
        <v>40</v>
      </c>
      <c r="C32" s="99">
        <v>0.42870973528789802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5.0274900000000002</v>
      </c>
    </row>
    <row r="38" spans="1:5" ht="15" customHeight="1" x14ac:dyDescent="0.25">
      <c r="B38" s="11" t="s">
        <v>45</v>
      </c>
      <c r="C38" s="43">
        <v>9.1445000000000007</v>
      </c>
      <c r="D38" s="12"/>
      <c r="E38" s="13"/>
    </row>
    <row r="39" spans="1:5" ht="15" customHeight="1" x14ac:dyDescent="0.25">
      <c r="B39" s="11" t="s">
        <v>46</v>
      </c>
      <c r="C39" s="43">
        <v>10.274290000000001</v>
      </c>
      <c r="D39" s="12"/>
      <c r="E39" s="12"/>
    </row>
    <row r="40" spans="1:5" ht="15" customHeight="1" x14ac:dyDescent="0.25">
      <c r="B40" s="11" t="s">
        <v>47</v>
      </c>
      <c r="C40" s="100">
        <v>0.13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8.1176200000000005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4.6695E-3</v>
      </c>
      <c r="D45" s="12"/>
    </row>
    <row r="46" spans="1:5" ht="15.75" customHeight="1" x14ac:dyDescent="0.25">
      <c r="B46" s="11" t="s">
        <v>52</v>
      </c>
      <c r="C46" s="45">
        <v>5.0173500000000003E-2</v>
      </c>
      <c r="D46" s="12"/>
    </row>
    <row r="47" spans="1:5" ht="15.75" customHeight="1" x14ac:dyDescent="0.25">
      <c r="B47" s="11" t="s">
        <v>53</v>
      </c>
      <c r="C47" s="45">
        <v>7.6561299999999999E-2</v>
      </c>
      <c r="D47" s="12"/>
      <c r="E47" s="13"/>
    </row>
    <row r="48" spans="1:5" ht="15" customHeight="1" x14ac:dyDescent="0.25">
      <c r="B48" s="11" t="s">
        <v>54</v>
      </c>
      <c r="C48" s="46">
        <v>0.86859570000000008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0.6155790000000001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5.4285702999999901E-2</v>
      </c>
    </row>
    <row r="63" spans="1:4" ht="15.75" customHeight="1" x14ac:dyDescent="0.3">
      <c r="A63" s="4"/>
    </row>
  </sheetData>
  <sheetProtection algorithmName="SHA-512" hashValue="+vjRql00c4Y3waWedqCYNFrcKhuMr3OV58HGj7SZN+lj+nj4QczyxGf3uzUtM0/WOKRKZy1oNRMqr8UQc5Gl4g==" saltValue="UyBUwUh1zfmz/xO/rEHK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388294</v>
      </c>
      <c r="C2" s="49">
        <v>944612.00000000012</v>
      </c>
      <c r="D2" s="49">
        <v>1159228.5</v>
      </c>
      <c r="E2" s="49">
        <v>1528944.5</v>
      </c>
      <c r="F2" s="49">
        <v>1134381</v>
      </c>
      <c r="G2" s="17">
        <f t="shared" ref="G2:G13" si="0">C2+D2+E2+F2</f>
        <v>4767166</v>
      </c>
      <c r="H2" s="17">
        <f t="shared" ref="H2:H13" si="1">(B2 + stillbirth*B2/(1000-stillbirth))/(1-abortion)</f>
        <v>444854.34030815412</v>
      </c>
      <c r="I2" s="17">
        <f t="shared" ref="I2:I13" si="2">G2-H2</f>
        <v>4322311.659691846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384906</v>
      </c>
      <c r="C3" s="50">
        <v>987448.50000000012</v>
      </c>
      <c r="D3" s="50">
        <v>1163755.5</v>
      </c>
      <c r="E3" s="50">
        <v>1502722</v>
      </c>
      <c r="F3" s="50">
        <v>1160204.5</v>
      </c>
      <c r="G3" s="17">
        <f t="shared" si="0"/>
        <v>4814130.5</v>
      </c>
      <c r="H3" s="17">
        <f t="shared" si="1"/>
        <v>440972.83169621567</v>
      </c>
      <c r="I3" s="17">
        <f t="shared" si="2"/>
        <v>4373157.668303784</v>
      </c>
    </row>
    <row r="4" spans="1:9" ht="15.75" customHeight="1" x14ac:dyDescent="0.25">
      <c r="A4" s="5">
        <f t="shared" si="3"/>
        <v>2026</v>
      </c>
      <c r="B4" s="49">
        <v>382439</v>
      </c>
      <c r="C4" s="50">
        <v>1024040</v>
      </c>
      <c r="D4" s="50">
        <v>1186327</v>
      </c>
      <c r="E4" s="50">
        <v>1462682.5</v>
      </c>
      <c r="F4" s="50">
        <v>1191329.5</v>
      </c>
      <c r="G4" s="17">
        <f t="shared" si="0"/>
        <v>4864379</v>
      </c>
      <c r="H4" s="17">
        <f t="shared" si="1"/>
        <v>438146.47935098183</v>
      </c>
      <c r="I4" s="17">
        <f t="shared" si="2"/>
        <v>4426232.5206490178</v>
      </c>
    </row>
    <row r="5" spans="1:9" ht="15.75" customHeight="1" x14ac:dyDescent="0.25">
      <c r="A5" s="5">
        <f t="shared" si="3"/>
        <v>2027</v>
      </c>
      <c r="B5" s="49">
        <v>380506</v>
      </c>
      <c r="C5" s="50">
        <v>1053201</v>
      </c>
      <c r="D5" s="50">
        <v>1226643</v>
      </c>
      <c r="E5" s="50">
        <v>1411790.5</v>
      </c>
      <c r="F5" s="50">
        <v>1226142</v>
      </c>
      <c r="G5" s="17">
        <f t="shared" si="0"/>
        <v>4917776.5</v>
      </c>
      <c r="H5" s="17">
        <f t="shared" si="1"/>
        <v>435931.91142097092</v>
      </c>
      <c r="I5" s="17">
        <f t="shared" si="2"/>
        <v>4481844.5885790288</v>
      </c>
    </row>
    <row r="6" spans="1:9" ht="15.75" customHeight="1" x14ac:dyDescent="0.25">
      <c r="A6" s="5">
        <f t="shared" si="3"/>
        <v>2028</v>
      </c>
      <c r="B6" s="49">
        <v>380476</v>
      </c>
      <c r="C6" s="50">
        <v>1076132.5</v>
      </c>
      <c r="D6" s="50">
        <v>1280601.5</v>
      </c>
      <c r="E6" s="50">
        <v>1356566.5</v>
      </c>
      <c r="F6" s="50">
        <v>1262641</v>
      </c>
      <c r="G6" s="17">
        <f t="shared" si="0"/>
        <v>4975941.5</v>
      </c>
      <c r="H6" s="17">
        <f t="shared" si="1"/>
        <v>435897.54151000333</v>
      </c>
      <c r="I6" s="17">
        <f t="shared" si="2"/>
        <v>4540043.9584899964</v>
      </c>
    </row>
    <row r="7" spans="1:9" ht="15.75" customHeight="1" x14ac:dyDescent="0.25">
      <c r="A7" s="5">
        <f t="shared" si="3"/>
        <v>2029</v>
      </c>
      <c r="B7" s="49">
        <v>382496</v>
      </c>
      <c r="C7" s="50">
        <v>1094937.5</v>
      </c>
      <c r="D7" s="50">
        <v>1342414.5</v>
      </c>
      <c r="E7" s="50">
        <v>1304007</v>
      </c>
      <c r="F7" s="50">
        <v>1299332.5</v>
      </c>
      <c r="G7" s="17">
        <f t="shared" si="0"/>
        <v>5040691.5</v>
      </c>
      <c r="H7" s="17">
        <f t="shared" si="1"/>
        <v>438211.78218182025</v>
      </c>
      <c r="I7" s="17">
        <f t="shared" si="2"/>
        <v>4602479.7178181801</v>
      </c>
    </row>
    <row r="8" spans="1:9" ht="15.75" customHeight="1" x14ac:dyDescent="0.25">
      <c r="A8" s="5">
        <f t="shared" si="3"/>
        <v>2030</v>
      </c>
      <c r="B8" s="49">
        <v>385667</v>
      </c>
      <c r="C8" s="50">
        <v>1111365.5</v>
      </c>
      <c r="D8" s="50">
        <v>1406696.5</v>
      </c>
      <c r="E8" s="50">
        <v>1257632</v>
      </c>
      <c r="F8" s="50">
        <v>1332405.5</v>
      </c>
      <c r="G8" s="17">
        <f t="shared" si="0"/>
        <v>5108099.5</v>
      </c>
      <c r="H8" s="17">
        <f t="shared" si="1"/>
        <v>441844.68177109322</v>
      </c>
      <c r="I8" s="17">
        <f t="shared" si="2"/>
        <v>4666254.818228907</v>
      </c>
    </row>
    <row r="9" spans="1:9" ht="15.75" customHeight="1" x14ac:dyDescent="0.25">
      <c r="A9" s="5">
        <f t="shared" si="3"/>
        <v>2031</v>
      </c>
      <c r="B9" s="49">
        <v>387720</v>
      </c>
      <c r="C9" s="50">
        <v>1123467.5</v>
      </c>
      <c r="D9" s="50">
        <v>1472929</v>
      </c>
      <c r="E9" s="50">
        <v>1216957</v>
      </c>
      <c r="F9" s="50">
        <v>1357922.5</v>
      </c>
      <c r="G9" s="17">
        <f t="shared" si="0"/>
        <v>5171276</v>
      </c>
      <c r="H9" s="17">
        <f t="shared" si="1"/>
        <v>444196.72934497445</v>
      </c>
      <c r="I9" s="17">
        <f t="shared" si="2"/>
        <v>4727079.2706550257</v>
      </c>
    </row>
    <row r="10" spans="1:9" ht="15.75" customHeight="1" x14ac:dyDescent="0.25">
      <c r="A10" s="5">
        <f t="shared" si="3"/>
        <v>2032</v>
      </c>
      <c r="B10" s="49">
        <v>392283</v>
      </c>
      <c r="C10" s="50">
        <v>1132134.5</v>
      </c>
      <c r="D10" s="50">
        <v>1540897.5</v>
      </c>
      <c r="E10" s="50">
        <v>1183327</v>
      </c>
      <c r="F10" s="50">
        <v>1373806</v>
      </c>
      <c r="G10" s="17">
        <f t="shared" si="0"/>
        <v>5230165</v>
      </c>
      <c r="H10" s="17">
        <f t="shared" si="1"/>
        <v>449424.39280314301</v>
      </c>
      <c r="I10" s="17">
        <f t="shared" si="2"/>
        <v>4780740.6071968572</v>
      </c>
    </row>
    <row r="11" spans="1:9" ht="15.75" customHeight="1" x14ac:dyDescent="0.25">
      <c r="A11" s="5">
        <f t="shared" si="3"/>
        <v>2033</v>
      </c>
      <c r="B11" s="49">
        <v>396216</v>
      </c>
      <c r="C11" s="50">
        <v>1140794</v>
      </c>
      <c r="D11" s="50">
        <v>1606466.5</v>
      </c>
      <c r="E11" s="50">
        <v>1160444</v>
      </c>
      <c r="F11" s="50">
        <v>1377805.5</v>
      </c>
      <c r="G11" s="17">
        <f t="shared" si="0"/>
        <v>5285510</v>
      </c>
      <c r="H11" s="17">
        <f t="shared" si="1"/>
        <v>453930.28813099244</v>
      </c>
      <c r="I11" s="17">
        <f t="shared" si="2"/>
        <v>4831579.7118690079</v>
      </c>
    </row>
    <row r="12" spans="1:9" ht="15.75" customHeight="1" x14ac:dyDescent="0.25">
      <c r="A12" s="5">
        <f t="shared" si="3"/>
        <v>2034</v>
      </c>
      <c r="B12" s="49">
        <v>401567</v>
      </c>
      <c r="C12" s="50">
        <v>1151789</v>
      </c>
      <c r="D12" s="50">
        <v>1668205.5</v>
      </c>
      <c r="E12" s="50">
        <v>1150489</v>
      </c>
      <c r="F12" s="50">
        <v>1369756.5</v>
      </c>
      <c r="G12" s="17">
        <f t="shared" si="0"/>
        <v>5340240</v>
      </c>
      <c r="H12" s="17">
        <f t="shared" si="1"/>
        <v>460060.73458390939</v>
      </c>
      <c r="I12" s="17">
        <f t="shared" si="2"/>
        <v>4880179.2654160904</v>
      </c>
    </row>
    <row r="13" spans="1:9" ht="15.75" customHeight="1" x14ac:dyDescent="0.25">
      <c r="A13" s="5">
        <f t="shared" si="3"/>
        <v>2035</v>
      </c>
      <c r="B13" s="49">
        <v>405658</v>
      </c>
      <c r="C13" s="50">
        <v>1162277.5</v>
      </c>
      <c r="D13" s="50">
        <v>1724699</v>
      </c>
      <c r="E13" s="50">
        <v>1155209</v>
      </c>
      <c r="F13" s="50">
        <v>1350579</v>
      </c>
      <c r="G13" s="17">
        <f t="shared" si="0"/>
        <v>5392764.5</v>
      </c>
      <c r="H13" s="17">
        <f t="shared" si="1"/>
        <v>464747.64477618807</v>
      </c>
      <c r="I13" s="17">
        <f t="shared" si="2"/>
        <v>4928016.8552238122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+awKh5CR48KjBHyDrxPd8PIGlKN+zpJ8e0n631srrJSmOwifflFmMA0XJZ+1qUfXQ6YFyQbnTzZhVG55L7n4g==" saltValue="KKTGqbe7PWy9Bgrt+7HlJ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1.760868851984851E-3</v>
      </c>
    </row>
    <row r="4" spans="1:8" ht="15.75" customHeight="1" x14ac:dyDescent="0.25">
      <c r="B4" s="19" t="s">
        <v>79</v>
      </c>
      <c r="C4" s="101">
        <v>4.4030896216346517E-2</v>
      </c>
    </row>
    <row r="5" spans="1:8" ht="15.75" customHeight="1" x14ac:dyDescent="0.25">
      <c r="B5" s="19" t="s">
        <v>80</v>
      </c>
      <c r="C5" s="101">
        <v>1.6053023273165951E-2</v>
      </c>
    </row>
    <row r="6" spans="1:8" ht="15.75" customHeight="1" x14ac:dyDescent="0.25">
      <c r="B6" s="19" t="s">
        <v>81</v>
      </c>
      <c r="C6" s="101">
        <v>0.15322500827529759</v>
      </c>
    </row>
    <row r="7" spans="1:8" ht="15.75" customHeight="1" x14ac:dyDescent="0.25">
      <c r="B7" s="19" t="s">
        <v>82</v>
      </c>
      <c r="C7" s="101">
        <v>0.41398825647937221</v>
      </c>
    </row>
    <row r="8" spans="1:8" ht="15.75" customHeight="1" x14ac:dyDescent="0.25">
      <c r="B8" s="19" t="s">
        <v>83</v>
      </c>
      <c r="C8" s="101">
        <v>1.9861197931209979E-3</v>
      </c>
    </row>
    <row r="9" spans="1:8" ht="15.75" customHeight="1" x14ac:dyDescent="0.25">
      <c r="B9" s="19" t="s">
        <v>84</v>
      </c>
      <c r="C9" s="101">
        <v>0.26293527901943192</v>
      </c>
    </row>
    <row r="10" spans="1:8" ht="15.75" customHeight="1" x14ac:dyDescent="0.25">
      <c r="B10" s="19" t="s">
        <v>85</v>
      </c>
      <c r="C10" s="101">
        <v>0.10602054809128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3.160508359812518E-2</v>
      </c>
      <c r="D14" s="55">
        <v>3.160508359812518E-2</v>
      </c>
      <c r="E14" s="55">
        <v>3.160508359812518E-2</v>
      </c>
      <c r="F14" s="55">
        <v>3.160508359812518E-2</v>
      </c>
    </row>
    <row r="15" spans="1:8" ht="15.75" customHeight="1" x14ac:dyDescent="0.25">
      <c r="B15" s="19" t="s">
        <v>88</v>
      </c>
      <c r="C15" s="101">
        <v>0.28035450442283127</v>
      </c>
      <c r="D15" s="101">
        <v>0.28035450442283127</v>
      </c>
      <c r="E15" s="101">
        <v>0.28035450442283127</v>
      </c>
      <c r="F15" s="101">
        <v>0.28035450442283127</v>
      </c>
    </row>
    <row r="16" spans="1:8" ht="15.75" customHeight="1" x14ac:dyDescent="0.25">
      <c r="B16" s="19" t="s">
        <v>89</v>
      </c>
      <c r="C16" s="101">
        <v>3.0985345785637389E-2</v>
      </c>
      <c r="D16" s="101">
        <v>3.0985345785637389E-2</v>
      </c>
      <c r="E16" s="101">
        <v>3.0985345785637389E-2</v>
      </c>
      <c r="F16" s="101">
        <v>3.0985345785637389E-2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1.89229873405855E-2</v>
      </c>
      <c r="D19" s="101">
        <v>1.89229873405855E-2</v>
      </c>
      <c r="E19" s="101">
        <v>1.89229873405855E-2</v>
      </c>
      <c r="F19" s="101">
        <v>1.89229873405855E-2</v>
      </c>
    </row>
    <row r="20" spans="1:8" ht="15.75" customHeight="1" x14ac:dyDescent="0.25">
      <c r="B20" s="19" t="s">
        <v>93</v>
      </c>
      <c r="C20" s="101">
        <v>8.0875784616822294E-2</v>
      </c>
      <c r="D20" s="101">
        <v>8.0875784616822294E-2</v>
      </c>
      <c r="E20" s="101">
        <v>8.0875784616822294E-2</v>
      </c>
      <c r="F20" s="101">
        <v>8.0875784616822294E-2</v>
      </c>
    </row>
    <row r="21" spans="1:8" ht="15.75" customHeight="1" x14ac:dyDescent="0.25">
      <c r="B21" s="19" t="s">
        <v>94</v>
      </c>
      <c r="C21" s="101">
        <v>0.4862858870445752</v>
      </c>
      <c r="D21" s="101">
        <v>0.4862858870445752</v>
      </c>
      <c r="E21" s="101">
        <v>0.4862858870445752</v>
      </c>
      <c r="F21" s="101">
        <v>0.4862858870445752</v>
      </c>
    </row>
    <row r="22" spans="1:8" ht="15.75" customHeight="1" x14ac:dyDescent="0.25">
      <c r="B22" s="19" t="s">
        <v>95</v>
      </c>
      <c r="C22" s="101">
        <v>7.0970407191423238E-2</v>
      </c>
      <c r="D22" s="101">
        <v>7.0970407191423238E-2</v>
      </c>
      <c r="E22" s="101">
        <v>7.0970407191423238E-2</v>
      </c>
      <c r="F22" s="101">
        <v>7.0970407191423238E-2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1.8716897E-2</v>
      </c>
    </row>
    <row r="27" spans="1:8" ht="15.75" customHeight="1" x14ac:dyDescent="0.25">
      <c r="B27" s="19" t="s">
        <v>102</v>
      </c>
      <c r="C27" s="101">
        <v>2.6342269999999998E-3</v>
      </c>
    </row>
    <row r="28" spans="1:8" ht="15.75" customHeight="1" x14ac:dyDescent="0.25">
      <c r="B28" s="19" t="s">
        <v>103</v>
      </c>
      <c r="C28" s="101">
        <v>0.29297385599999998</v>
      </c>
    </row>
    <row r="29" spans="1:8" ht="15.75" customHeight="1" x14ac:dyDescent="0.25">
      <c r="B29" s="19" t="s">
        <v>104</v>
      </c>
      <c r="C29" s="101">
        <v>7.1156342999999997E-2</v>
      </c>
    </row>
    <row r="30" spans="1:8" ht="15.75" customHeight="1" x14ac:dyDescent="0.25">
      <c r="B30" s="19" t="s">
        <v>2</v>
      </c>
      <c r="C30" s="101">
        <v>0.18743774999999999</v>
      </c>
    </row>
    <row r="31" spans="1:8" ht="15.75" customHeight="1" x14ac:dyDescent="0.25">
      <c r="B31" s="19" t="s">
        <v>105</v>
      </c>
      <c r="C31" s="101">
        <v>5.5795655999999999E-2</v>
      </c>
    </row>
    <row r="32" spans="1:8" ht="15.75" customHeight="1" x14ac:dyDescent="0.25">
      <c r="B32" s="19" t="s">
        <v>106</v>
      </c>
      <c r="C32" s="101">
        <v>3.8825242000000003E-2</v>
      </c>
    </row>
    <row r="33" spans="2:3" ht="15.75" customHeight="1" x14ac:dyDescent="0.25">
      <c r="B33" s="19" t="s">
        <v>107</v>
      </c>
      <c r="C33" s="101">
        <v>1.5145660999999999E-2</v>
      </c>
    </row>
    <row r="34" spans="2:3" ht="15.75" customHeight="1" x14ac:dyDescent="0.25">
      <c r="B34" s="19" t="s">
        <v>108</v>
      </c>
      <c r="C34" s="101">
        <v>0.31731436899999999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5acoc499pbVPrANk1aVstONK+Qr31Z8oYrdINRarqhFo5RWS0kNB6bsfzSd6rZeR9sHMNDfClU0RJYFr66FEEg==" saltValue="/UjCMRWSThLdjMmizxcHI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0.74204106046022589</v>
      </c>
      <c r="D2" s="52">
        <f>IFERROR(1-_xlfn.NORM.DIST(_xlfn.NORM.INV(SUM(D4:D5), 0, 1) + 1, 0, 1, TRUE), "")</f>
        <v>0.74204106046022589</v>
      </c>
      <c r="E2" s="52">
        <f>IFERROR(1-_xlfn.NORM.DIST(_xlfn.NORM.INV(SUM(E4:E5), 0, 1) + 1, 0, 1, TRUE), "")</f>
        <v>0.71612284041262764</v>
      </c>
      <c r="F2" s="52">
        <f>IFERROR(1-_xlfn.NORM.DIST(_xlfn.NORM.INV(SUM(F4:F5), 0, 1) + 1, 0, 1, TRUE), "")</f>
        <v>0.63590877348139452</v>
      </c>
      <c r="G2" s="52">
        <f>IFERROR(1-_xlfn.NORM.DIST(_xlfn.NORM.INV(SUM(G4:G5), 0, 1) + 1, 0, 1, TRUE), "")</f>
        <v>0.64403114313477339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0.20845173953977406</v>
      </c>
      <c r="D3" s="52">
        <f>IFERROR(_xlfn.NORM.DIST(_xlfn.NORM.INV(SUM(D4:D5), 0, 1) + 1, 0, 1, TRUE) - SUM(D4:D5), "")</f>
        <v>0.20845173953977406</v>
      </c>
      <c r="E3" s="52">
        <f>IFERROR(_xlfn.NORM.DIST(_xlfn.NORM.INV(SUM(E4:E5), 0, 1) + 1, 0, 1, TRUE) - SUM(E4:E5), "")</f>
        <v>0.22582785958737236</v>
      </c>
      <c r="F3" s="52">
        <f>IFERROR(_xlfn.NORM.DIST(_xlfn.NORM.INV(SUM(F4:F5), 0, 1) + 1, 0, 1, TRUE) - SUM(F4:F5), "")</f>
        <v>0.27518872651860549</v>
      </c>
      <c r="G3" s="52">
        <f>IFERROR(_xlfn.NORM.DIST(_xlfn.NORM.INV(SUM(G4:G5), 0, 1) + 1, 0, 1, TRUE) - SUM(G4:G5), "")</f>
        <v>0.27050905686522664</v>
      </c>
    </row>
    <row r="4" spans="1:15" ht="15.75" customHeight="1" x14ac:dyDescent="0.25">
      <c r="B4" s="5" t="s">
        <v>114</v>
      </c>
      <c r="C4" s="45">
        <v>3.0190000000000002E-2</v>
      </c>
      <c r="D4" s="53">
        <v>3.0190000000000002E-2</v>
      </c>
      <c r="E4" s="53">
        <v>4.1978399999999999E-2</v>
      </c>
      <c r="F4" s="53">
        <v>4.7891400000000001E-2</v>
      </c>
      <c r="G4" s="53">
        <v>6.4321699999999996E-2</v>
      </c>
    </row>
    <row r="5" spans="1:15" ht="15.75" customHeight="1" x14ac:dyDescent="0.25">
      <c r="B5" s="5" t="s">
        <v>115</v>
      </c>
      <c r="C5" s="45">
        <v>1.93172E-2</v>
      </c>
      <c r="D5" s="53">
        <v>1.93172E-2</v>
      </c>
      <c r="E5" s="53">
        <v>1.6070899999999999E-2</v>
      </c>
      <c r="F5" s="53">
        <v>4.1011100000000002E-2</v>
      </c>
      <c r="G5" s="53">
        <v>2.11381E-2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0.53828633480551757</v>
      </c>
      <c r="D8" s="52">
        <f>IFERROR(1-_xlfn.NORM.DIST(_xlfn.NORM.INV(SUM(D10:D11), 0, 1) + 1, 0, 1, TRUE), "")</f>
        <v>0.53828633480551757</v>
      </c>
      <c r="E8" s="52">
        <f>IFERROR(1-_xlfn.NORM.DIST(_xlfn.NORM.INV(SUM(E10:E11), 0, 1) + 1, 0, 1, TRUE), "")</f>
        <v>0.8176328707347944</v>
      </c>
      <c r="F8" s="52">
        <f>IFERROR(1-_xlfn.NORM.DIST(_xlfn.NORM.INV(SUM(F10:F11), 0, 1) + 1, 0, 1, TRUE), "")</f>
        <v>0.82813924671410355</v>
      </c>
      <c r="G8" s="52">
        <f>IFERROR(1-_xlfn.NORM.DIST(_xlfn.NORM.INV(SUM(G10:G11), 0, 1) + 1, 0, 1, TRUE), "")</f>
        <v>0.86291466626404778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0.32519996519448247</v>
      </c>
      <c r="D9" s="52">
        <f>IFERROR(_xlfn.NORM.DIST(_xlfn.NORM.INV(SUM(D10:D11), 0, 1) + 1, 0, 1, TRUE) - SUM(D10:D11), "")</f>
        <v>0.32519996519448247</v>
      </c>
      <c r="E9" s="52">
        <f>IFERROR(_xlfn.NORM.DIST(_xlfn.NORM.INV(SUM(E10:E11), 0, 1) + 1, 0, 1, TRUE) - SUM(E10:E11), "")</f>
        <v>0.15406672926520554</v>
      </c>
      <c r="F9" s="52">
        <f>IFERROR(_xlfn.NORM.DIST(_xlfn.NORM.INV(SUM(F10:F11), 0, 1) + 1, 0, 1, TRUE) - SUM(F10:F11), "")</f>
        <v>0.14608365328589648</v>
      </c>
      <c r="G9" s="52">
        <f>IFERROR(_xlfn.NORM.DIST(_xlfn.NORM.INV(SUM(G10:G11), 0, 1) + 1, 0, 1, TRUE) - SUM(G10:G11), "")</f>
        <v>0.11893343373595222</v>
      </c>
    </row>
    <row r="10" spans="1:15" ht="15.75" customHeight="1" x14ac:dyDescent="0.25">
      <c r="B10" s="5" t="s">
        <v>119</v>
      </c>
      <c r="C10" s="45">
        <v>8.769360000000001E-2</v>
      </c>
      <c r="D10" s="53">
        <v>8.769360000000001E-2</v>
      </c>
      <c r="E10" s="53">
        <v>1.8754099999999999E-2</v>
      </c>
      <c r="F10" s="53">
        <v>1.7150800000000001E-2</v>
      </c>
      <c r="G10" s="53">
        <v>1.22688E-2</v>
      </c>
    </row>
    <row r="11" spans="1:15" ht="15.75" customHeight="1" x14ac:dyDescent="0.25">
      <c r="B11" s="5" t="s">
        <v>120</v>
      </c>
      <c r="C11" s="45">
        <v>4.8820100000000012E-2</v>
      </c>
      <c r="D11" s="53">
        <v>4.8820100000000012E-2</v>
      </c>
      <c r="E11" s="53">
        <v>9.5463000000000006E-3</v>
      </c>
      <c r="F11" s="53">
        <v>8.6262999999999999E-3</v>
      </c>
      <c r="G11" s="53">
        <v>5.8830999999999996E-3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0.43544833799999999</v>
      </c>
      <c r="D14" s="54">
        <v>0.414763389195</v>
      </c>
      <c r="E14" s="54">
        <v>0.414763389195</v>
      </c>
      <c r="F14" s="54">
        <v>0.239306340073</v>
      </c>
      <c r="G14" s="54">
        <v>0.239306340073</v>
      </c>
      <c r="H14" s="45">
        <v>0.30399999999999999</v>
      </c>
      <c r="I14" s="55">
        <v>0.30399999999999999</v>
      </c>
      <c r="J14" s="55">
        <v>0.30399999999999999</v>
      </c>
      <c r="K14" s="55">
        <v>0.30399999999999999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0.26805285245770205</v>
      </c>
      <c r="D15" s="52">
        <f t="shared" si="0"/>
        <v>0.25531963235726896</v>
      </c>
      <c r="E15" s="52">
        <f t="shared" si="0"/>
        <v>0.25531963235726896</v>
      </c>
      <c r="F15" s="52">
        <f t="shared" si="0"/>
        <v>0.14731195751579729</v>
      </c>
      <c r="G15" s="52">
        <f t="shared" si="0"/>
        <v>0.14731195751579729</v>
      </c>
      <c r="H15" s="52">
        <f t="shared" si="0"/>
        <v>0.18713601600000002</v>
      </c>
      <c r="I15" s="52">
        <f t="shared" si="0"/>
        <v>0.18713601600000002</v>
      </c>
      <c r="J15" s="52">
        <f t="shared" si="0"/>
        <v>0.18713601600000002</v>
      </c>
      <c r="K15" s="52">
        <f t="shared" si="0"/>
        <v>0.18713601600000002</v>
      </c>
      <c r="L15" s="52">
        <f t="shared" si="0"/>
        <v>0.18898275300000003</v>
      </c>
      <c r="M15" s="52">
        <f t="shared" si="0"/>
        <v>0.18898275300000003</v>
      </c>
      <c r="N15" s="52">
        <f t="shared" si="0"/>
        <v>0.18898275300000003</v>
      </c>
      <c r="O15" s="52">
        <f t="shared" si="0"/>
        <v>0.18898275300000003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Qy2S6PP9cknWAABbnT2UZORI4rkxEh4cqIfQoY8i3HikyC3I9T34t7RVeLfl+akk8XQc0gBIhExnYrgnMBKDw==" saltValue="Qn6geakytD3kawSr1gUR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0.69721069999999996</v>
      </c>
      <c r="D2" s="53">
        <v>0.35208210000000001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0.24254590000000001</v>
      </c>
      <c r="D3" s="53">
        <v>0.36556179999999999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2.9348699999999998E-2</v>
      </c>
      <c r="D4" s="53">
        <v>0.1994631</v>
      </c>
      <c r="E4" s="53">
        <v>0.82141649999999999</v>
      </c>
      <c r="F4" s="53">
        <v>0.4078927</v>
      </c>
      <c r="G4" s="53">
        <v>0</v>
      </c>
    </row>
    <row r="5" spans="1:7" x14ac:dyDescent="0.25">
      <c r="B5" s="3" t="s">
        <v>132</v>
      </c>
      <c r="C5" s="52">
        <v>3.08948E-2</v>
      </c>
      <c r="D5" s="52">
        <v>8.2893000000000008E-2</v>
      </c>
      <c r="E5" s="52">
        <f>1-SUM(E2:E4)</f>
        <v>0.17858350000000001</v>
      </c>
      <c r="F5" s="52">
        <f>1-SUM(F2:F4)</f>
        <v>0.5921073</v>
      </c>
      <c r="G5" s="52">
        <f>1-SUM(G2:G4)</f>
        <v>1</v>
      </c>
    </row>
  </sheetData>
  <sheetProtection algorithmName="SHA-512" hashValue="BncSRpkHLZ1NXyOQ45DUteecVqZtaAmIeH6lZTUQNCYk8OdxMdO3xO4sGrZH/iDq2CwB1SfP8oAbZV1NvfBU6g==" saltValue="miB8kne3GcFJ1bDCgWIoL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yERBs4YHnjI8jm9GOfawFuIureD9kYZD4yW0/xZ8sCPUEtflovSEh80E51IVfwxfaHPUE8p4kYnZnVPUZFBDw==" saltValue="IzqplWe9+k6LF2y1yPcee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ZzV8p6CQlS0364gb6RBunMv4tPR4ZTyoh3D5sFYWOi7isZFdTR2858XZuVM9nL6oeT0+DclzheRcmy82nrFbXg==" saltValue="kI+pychYyGFDFXaO9Eh7s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mT/k3ByIMywzJ8x8n3OJHIYD1VqRTARONLew8av4i/9rPCU5TMKx8NSgYmWY2bq0zoZ4/CJADLNoVds7TxZ6qQ==" saltValue="QK2ZZQyNqpesvMYXmGfH3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AFHmLUeA1tvvsTlNzB0ic4TvbKD6p/jYijohZKWU/t8bpNb5hldmN3SVRdFNDSHxX3lT1/dMqdD6LsD9QckRHg==" saltValue="d4MuIO/mKpAEl0A/cl/Wx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80.804937896193479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40.390616174846663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771.46935681029902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5.6454600415379952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13.522915618642561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13.522915618642561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13.522915618642561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13.522915618642561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13.522915618642561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13.522915618642561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1.2296814185379119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0.32737588888888902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0.35208210000000001</v>
      </c>
      <c r="C18" s="98">
        <v>0.95</v>
      </c>
      <c r="D18" s="56">
        <v>17.67766297845575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0.35208210000000001</v>
      </c>
      <c r="C19" s="98">
        <v>0.95</v>
      </c>
      <c r="D19" s="56">
        <v>17.67766297845575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60.730148203505237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23.604022972406518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4.5985477715053404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0.91476330971695807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19.08390202702364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0.61788880000000002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0.48980810000000002</v>
      </c>
      <c r="C29" s="98">
        <v>0.95</v>
      </c>
      <c r="D29" s="56">
        <v>165.62974913682319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1.20038967895152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2.6928411357214559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0.99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0.66691699999999998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0.25818419999999997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0.83941149999999998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2.0061220772807462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ptgYXUtuIih/gwZrHqMh/GcVDVWbDgJLZNjO7aJDzMqBKKlMzMRmge4MqzD9uOtH2zAnbuWB2uWroPSpO0faMg==" saltValue="RP9yffw/v7UmFPrTwuBq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gUtSh1vdBXQgRUxdVz091GhETh8A9cF2RXtc8i+ZUTE+HzyvFzULdzenuo6BhHkdPWn9DamK31Qz8HwAeyKxnA==" saltValue="/p5j7iz4SySR2okTCfxA9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fsRZKMWQ7ldwVtxDJ+GL+wsjOpFzKrIwiKtVnMv1UcytJUceP2mE7pEn7YN5fWPCNxIU1kuRCbYcsaCY3Q+zPA==" saltValue="GOAHIfPavKdU/3mGZse7k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0.22800336000000004</v>
      </c>
      <c r="C3" s="21">
        <f>frac_mam_1_5months * 2.6</f>
        <v>0.22800336000000004</v>
      </c>
      <c r="D3" s="21">
        <f>frac_mam_6_11months * 2.6</f>
        <v>4.8760659999999997E-2</v>
      </c>
      <c r="E3" s="21">
        <f>frac_mam_12_23months * 2.6</f>
        <v>4.4592080000000006E-2</v>
      </c>
      <c r="F3" s="21">
        <f>frac_mam_24_59months * 2.6</f>
        <v>3.1898879999999998E-2</v>
      </c>
    </row>
    <row r="4" spans="1:6" ht="15.75" customHeight="1" x14ac:dyDescent="0.25">
      <c r="A4" s="3" t="s">
        <v>208</v>
      </c>
      <c r="B4" s="21">
        <f>frac_sam_1month * 2.6</f>
        <v>0.12693226000000005</v>
      </c>
      <c r="C4" s="21">
        <f>frac_sam_1_5months * 2.6</f>
        <v>0.12693226000000005</v>
      </c>
      <c r="D4" s="21">
        <f>frac_sam_6_11months * 2.6</f>
        <v>2.4820380000000003E-2</v>
      </c>
      <c r="E4" s="21">
        <f>frac_sam_12_23months * 2.6</f>
        <v>2.2428380000000001E-2</v>
      </c>
      <c r="F4" s="21">
        <f>frac_sam_24_59months * 2.6</f>
        <v>1.529606E-2</v>
      </c>
    </row>
  </sheetData>
  <sheetProtection algorithmName="SHA-512" hashValue="RnDE+jNr9x8/iKwy74kxT/m9mXokqnFhQmFcXC+DcBGbazIWWaRKw3hySTMAZvIekszSJilKC4sbWDFZ3UGTSQ==" saltValue="I2sXewwcPOo0jrrmLOZT2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0.20399999999999999</v>
      </c>
      <c r="M24" s="60">
        <f>famplan_unmet_need</f>
        <v>0.20399999999999999</v>
      </c>
      <c r="N24" s="60">
        <f>famplan_unmet_need</f>
        <v>0.20399999999999999</v>
      </c>
      <c r="O24" s="60">
        <f>famplan_unmet_need</f>
        <v>0.20399999999999999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cjWC4GijX2zi//3W/GtiBX3inEdxhd7xKtc4P5+bHn0fL1zLtw0Jav1Ug/tUFf0bhLqdI4/343Vc+dmpFp3HQ==" saltValue="A4u5qU385PD8hH7XQLPX0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BgMFWobGIAIMfkyPUkYyF15hXkgruHi7zxic05ZdYj7tk/EikSkf2OKcWWqjNMShus9PjgXGPnzkl9mEpKCHjw==" saltValue="+KB2eOtVnrQhSjQtvIkGR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BDpjpZMwcq/z1u5Pn+VkZF5OhjP7NhP5Klx8jPM6h/FnH4SQ4PnVFjRMfHw3ZMP38X3FALPC2W7gaFPxs38qA==" saltValue="uYZHtJpuTyWkuUwERP/6j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ezWMiw+p9GpXk8ru/f1mBxEE67tS5MM5wrf5sq/dMScvwt7b6iRBM2azEuoZoVSakUqysnZj7zz6uppc/HsSA==" saltValue="jv10jkXcXPoEhjKQIDwdU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j5+Vtg/EyrEqXi9EWVmGF3hfItIUYgQJM+8ggr7ujctMfeFpY0ev6w6pB+yfaa9klKgER0HvuB2YY/YLcxEdQw==" saltValue="qd0z+NCcMm6raLyl4PyW3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sviw/Z5q/kJVr8K8onpbS5Y8kC9td8LD9Z7Lp7DKvLufPcmNng+Zwj12EICkKFKEQpr+bQbvIia2N90kz+K7XA==" saltValue="vnw2x4645ozMihlaZhivD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nZ4z5B7RxhKmoogB4I8Z7IrhzHcNucIevMbFG3hVwyitY4qptUw44ZuL7wi+5x7qvtMQJ4ZKWhv371vJA4iig==" saltValue="K3izI6flsF2LbPGSIxxDR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snY5ARblghZBy0Or03EYwrdps/DYYtT5G6fH/dF0fojzve5UGA/Z3HdlRPle6PLEY+2ok2lBhHTMq1hA65ufQ==" saltValue="1Rb9nCBQbhx/sJGWVXed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Cb21mYMAoY5RiCJ0HmqMajJO/veapeCn4ILlgPwk3mWzkLtNEaw1nehstdUBAiZEdYnDSKWzgQ8IEvxbInKuQ==" saltValue="ZOeONAoGZzqdNomeMR52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LyUDzY4ZYsc2kvkT91dcTPTaR/2e+4UsvwCU1p+xvMmvNTNbp1ZA+mLjXjuiXrGaj5+8eO8P+DgT+o9OOxn1/g==" saltValue="iTJWWetBwG85HZ6Kc4sK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oztokW/19JU9k1pu/b56I7kHjLeWjKnHCANl5cplt8rmWcKK5w4iU4y8+TJMUV+zLv76W+MheIN2K58lUuirkQ==" saltValue="49oalVwcQXySTP5MpE/z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mQCkFGEXqURD2iRXaKeKAScrtrma6OkW05Zjart7MwjF0HS4znhKi/qb+UXwNmSUBDdNexAROdywxXmVzawtA==" saltValue="mUcj4o4BdAK4UGSP9D3R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ZGVhA/q0HBp7qx1MttiI8JTZm6ErS7I2g7noj8eYyi6bdcfSSZZWTN1ykMELx8OZhNhi/OYP35WuBdNFkOlig==" saltValue="zZPMsNrZjqVF43M3j+dMN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0.10906443479953187</v>
      </c>
      <c r="G18" s="90">
        <f>MIN(MAX(1-0.89/(1-frac_sam_12_23months+(frac_sam_12_23months*0.89)),0),1)</f>
        <v>0.10915468311472476</v>
      </c>
      <c r="H18" s="90">
        <f>MIN(MAX(1-0.89/(1-frac_sam_24_59months+(frac_sam_24_59months*0.89)),0),1)</f>
        <v>0.10942367154422672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0.10816017814766987</v>
      </c>
      <c r="G20" s="90">
        <f>MIN(MAX(1-0.89/(1-frac_mam_12_23months+(frac_mam_12_23months*0.89)),0),1)</f>
        <v>0.10831776299184726</v>
      </c>
      <c r="H20" s="90">
        <f>MIN(MAX(1-0.89/(1-frac_mam_24_59months+(frac_mam_24_59months*0.89)),0),1)</f>
        <v>0.10879726130234124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9.9054826070861246E-3</v>
      </c>
      <c r="G73" s="90">
        <f>MIN(MAX(1-0.99/(1-frac_sam_12_23months+(frac_sam_12_23months*0.99)),0),1)</f>
        <v>9.914592262472266E-3</v>
      </c>
      <c r="H73" s="90">
        <f>MIN(MAX(1-0.99/(1-frac_sam_24_59months+(frac_sam_24_59months*0.99)),0),1)</f>
        <v>9.9417538833226349E-3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9.8142995835582836E-3</v>
      </c>
      <c r="G75" s="90">
        <f>MIN(MAX(1-0.99/(1-frac_mam_12_23months+(frac_mam_12_23months*0.99)),0),1)</f>
        <v>9.8301779541606349E-3</v>
      </c>
      <c r="H75" s="90">
        <f>MIN(MAX(1-0.99/(1-frac_mam_24_59months+(frac_mam_24_59months*0.99)),0),1)</f>
        <v>9.8785239763496957E-3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0.19846967020253081</v>
      </c>
      <c r="G128" s="90">
        <f>MIN(MAX(1-0.8/(1-frac_sam_12_23months+(frac_sam_12_23months*0.8)),0),1)</f>
        <v>0.19861740666702632</v>
      </c>
      <c r="H128" s="90">
        <f>MIN(MAX(1-0.8/(1-frac_sam_24_59months+(frac_sam_24_59months*0.8)),0),1)</f>
        <v>0.19905759514760246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0.19698804670534331</v>
      </c>
      <c r="G130" s="90">
        <f>MIN(MAX(1-0.8/(1-frac_mam_12_23months+(frac_mam_12_23months*0.8)),0),1)</f>
        <v>0.19724642680336368</v>
      </c>
      <c r="H130" s="90">
        <f>MIN(MAX(1-0.8/(1-frac_mam_24_59months+(frac_mam_24_59months*0.8)),0),1)</f>
        <v>0.1980321634012675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Bk1G16cm1qAcRUTkmEEgvIaLi5ols2aiiov1iaxidjRMjSnL2cTddaMqRKtX9XE+mi33j9bpvKBpXew0HeFQPg==" saltValue="dUx6ruTWPXRIzRbKA2Jp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gycZ+zwwR5Calm1gV8ul0KiM0m5pc7eb5uI8rh+H2OvPqXW5Ao8DRdYxd0CmHXOuVa5F04QvOlLBPcn1MwsmMw==" saltValue="g5avVg+WNxfa6qxZtLCnU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2024-08-06T09:14:15Z</dcterms:modified>
</cp:coreProperties>
</file>