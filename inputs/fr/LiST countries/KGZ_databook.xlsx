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655F1096-2683-4D06-9753-741330E5D9FE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I6" i="2" s="1"/>
  <c r="H5" i="2"/>
  <c r="G5" i="2"/>
  <c r="H4" i="2"/>
  <c r="G4" i="2"/>
  <c r="H3" i="2"/>
  <c r="G3" i="2"/>
  <c r="H2" i="2"/>
  <c r="G2" i="2"/>
  <c r="A2" i="2"/>
  <c r="A39" i="2" s="1"/>
  <c r="C33" i="1"/>
  <c r="C20" i="1"/>
  <c r="I12" i="2" l="1"/>
  <c r="A35" i="2"/>
  <c r="I7" i="2"/>
  <c r="I13" i="2"/>
  <c r="A37" i="2"/>
  <c r="A19" i="2"/>
  <c r="I3" i="2"/>
  <c r="I9" i="2"/>
  <c r="A23" i="2"/>
  <c r="A24" i="2"/>
  <c r="I4" i="2"/>
  <c r="A25" i="2"/>
  <c r="I2" i="2"/>
  <c r="A26" i="2"/>
  <c r="A40" i="2"/>
  <c r="A31" i="2"/>
  <c r="A36" i="2"/>
  <c r="A22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<sst xmlns="http://schemas.openxmlformats.org/spreadsheetml/2006/main" count="2169" uniqueCount="369">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</sst>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751867.5</v>
      </c>
    </row>
    <row r="8" spans="1:3" ht="15" customHeight="1" x14ac:dyDescent="0.25">
      <c r="B8" s="5" t="s">
        <v>37</v>
      </c>
      <c r="C8" s="44">
        <v>9.0000000000000011E-3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0.8706096649169921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0.379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9.9700000000000011E-2</v>
      </c>
    </row>
    <row r="24" spans="1:3" ht="15" customHeight="1" x14ac:dyDescent="0.25">
      <c r="B24" s="15" t="s">
        <v>51</v>
      </c>
      <c r="C24" s="45">
        <v>0.55500000000000005</v>
      </c>
    </row>
    <row r="25" spans="1:3" ht="15" customHeight="1" x14ac:dyDescent="0.25">
      <c r="B25" s="15" t="s">
        <v>52</v>
      </c>
      <c r="C25" s="45">
        <v>0.30480000000000002</v>
      </c>
    </row>
    <row r="26" spans="1:3" ht="15" customHeight="1" x14ac:dyDescent="0.25">
      <c r="B26" s="15" t="s">
        <v>53</v>
      </c>
      <c r="C26" s="45">
        <v>4.0500000000000001E-2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0.33982819653213803</v>
      </c>
    </row>
    <row r="30" spans="1:3" ht="14.25" customHeight="1" x14ac:dyDescent="0.25">
      <c r="B30" s="25" t="s">
        <v>56</v>
      </c>
      <c r="C30" s="97">
        <v>6.2561187920877309E-2</v>
      </c>
    </row>
    <row r="31" spans="1:3" ht="14.25" customHeight="1" x14ac:dyDescent="0.25">
      <c r="B31" s="25" t="s">
        <v>57</v>
      </c>
      <c r="C31" s="97">
        <v>0.10830365564404</v>
      </c>
    </row>
    <row r="32" spans="1:3" ht="14.25" customHeight="1" x14ac:dyDescent="0.25">
      <c r="B32" s="25" t="s">
        <v>58</v>
      </c>
      <c r="C32" s="97">
        <v>0.48930695990294498</v>
      </c>
    </row>
    <row r="33" spans="1:5" ht="13.25" customHeight="1" x14ac:dyDescent="0.25">
      <c r="B33" s="27" t="s">
        <v>59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11.92366</v>
      </c>
    </row>
    <row r="38" spans="1:5" ht="15" customHeight="1" x14ac:dyDescent="0.25">
      <c r="B38" s="11" t="s">
        <v>63</v>
      </c>
      <c r="C38" s="43">
        <v>15.550739999999999</v>
      </c>
      <c r="D38" s="12"/>
      <c r="E38" s="13"/>
    </row>
    <row r="39" spans="1:5" ht="15" customHeight="1" x14ac:dyDescent="0.25">
      <c r="B39" s="11" t="s">
        <v>64</v>
      </c>
      <c r="C39" s="43">
        <v>17.399979999999999</v>
      </c>
      <c r="D39" s="12"/>
      <c r="E39" s="12"/>
    </row>
    <row r="40" spans="1:5" ht="15" customHeight="1" x14ac:dyDescent="0.25">
      <c r="B40" s="11" t="s">
        <v>65</v>
      </c>
      <c r="C40" s="98">
        <v>0.5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6.4134599999999997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5.9365999999999993E-3</v>
      </c>
      <c r="D45" s="12"/>
    </row>
    <row r="46" spans="1:5" ht="15.75" customHeight="1" x14ac:dyDescent="0.25">
      <c r="B46" s="11" t="s">
        <v>70</v>
      </c>
      <c r="C46" s="45">
        <v>6.3787999999999997E-2</v>
      </c>
      <c r="D46" s="12"/>
    </row>
    <row r="47" spans="1:5" ht="15.75" customHeight="1" x14ac:dyDescent="0.25">
      <c r="B47" s="11" t="s">
        <v>71</v>
      </c>
      <c r="C47" s="45">
        <v>7.5355800000000001E-2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2.8</v>
      </c>
      <c r="D51" s="12"/>
    </row>
    <row r="52" spans="1:4" ht="15" customHeight="1" x14ac:dyDescent="0.25">
      <c r="B52" s="11" t="s">
        <v>75</v>
      </c>
      <c r="C52" s="98">
        <v>2.8</v>
      </c>
    </row>
    <row r="53" spans="1:4" ht="15.75" customHeight="1" x14ac:dyDescent="0.25">
      <c r="B53" s="11" t="s">
        <v>76</v>
      </c>
      <c r="C53" s="98">
        <v>2.8</v>
      </c>
    </row>
    <row r="54" spans="1:4" ht="15.75" customHeight="1" x14ac:dyDescent="0.25">
      <c r="B54" s="11" t="s">
        <v>77</v>
      </c>
      <c r="C54" s="98">
        <v>2.8</v>
      </c>
    </row>
    <row r="55" spans="1:4" ht="15.75" customHeight="1" x14ac:dyDescent="0.25">
      <c r="B55" s="11" t="s">
        <v>78</v>
      </c>
      <c r="C55" s="98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0.58899100000000004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5.5305958000000002E-2</v>
      </c>
    </row>
    <row r="63" spans="1:4" ht="15.75" customHeight="1" x14ac:dyDescent="0.3">
      <c r="A63" s="4"/>
    </row>
  </sheetData>
  <sheetProtection algorithmName="SHA-512" hashValue="xxLbtbAbeHC1O/PA0Bk5cYrix6vZn4t0q5/QwXUQfAXzI1fjjzSatB4Cy3URxQjSU0Nroebi2908iUmzlyTqiQ==" saltValue="KQKTeXvBG51lF5ywb0oj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150335</v>
      </c>
      <c r="C2" s="49">
        <v>296027</v>
      </c>
      <c r="D2" s="49">
        <v>540735.5</v>
      </c>
      <c r="E2" s="49">
        <v>545356</v>
      </c>
      <c r="F2" s="49">
        <v>402690.5</v>
      </c>
      <c r="G2" s="17">
        <f t="shared" ref="G2:G13" si="0">C2+D2+E2+F2</f>
        <v>1784809</v>
      </c>
      <c r="H2" s="17">
        <f t="shared" ref="H2:H13" si="1">(B2 + stillbirth*B2/(1000-stillbirth))/(1-abortion)</f>
        <v>171937.94440162936</v>
      </c>
      <c r="I2" s="17">
        <f t="shared" ref="I2:I13" si="2">G2-H2</f>
        <v>1612871.0555983707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149483</v>
      </c>
      <c r="C3" s="50">
        <v>310987.5</v>
      </c>
      <c r="D3" s="50">
        <v>538145.5</v>
      </c>
      <c r="E3" s="50">
        <v>553833.00000000012</v>
      </c>
      <c r="F3" s="50">
        <v>414979.00000000006</v>
      </c>
      <c r="G3" s="17">
        <f t="shared" si="0"/>
        <v>1817945</v>
      </c>
      <c r="H3" s="17">
        <f t="shared" si="1"/>
        <v>170963.51310731872</v>
      </c>
      <c r="I3" s="17">
        <f t="shared" si="2"/>
        <v>1646981.4868926813</v>
      </c>
    </row>
    <row r="4" spans="1:9" ht="15.75" customHeight="1" x14ac:dyDescent="0.25">
      <c r="A4" s="5">
        <f t="shared" si="3"/>
        <v>2026</v>
      </c>
      <c r="B4" s="49">
        <v>148668</v>
      </c>
      <c r="C4" s="50">
        <v>327039.5</v>
      </c>
      <c r="D4" s="50">
        <v>536492.99999999988</v>
      </c>
      <c r="E4" s="50">
        <v>559402</v>
      </c>
      <c r="F4" s="50">
        <v>428397.50000000006</v>
      </c>
      <c r="G4" s="17">
        <f t="shared" si="0"/>
        <v>1851332</v>
      </c>
      <c r="H4" s="17">
        <f t="shared" si="1"/>
        <v>170031.39866499108</v>
      </c>
      <c r="I4" s="17">
        <f t="shared" si="2"/>
        <v>1681300.6013350089</v>
      </c>
    </row>
    <row r="5" spans="1:9" ht="15.75" customHeight="1" x14ac:dyDescent="0.25">
      <c r="A5" s="5">
        <f t="shared" si="3"/>
        <v>2027</v>
      </c>
      <c r="B5" s="49">
        <v>148267</v>
      </c>
      <c r="C5" s="50">
        <v>340812.5</v>
      </c>
      <c r="D5" s="50">
        <v>539191</v>
      </c>
      <c r="E5" s="50">
        <v>561262.99999999988</v>
      </c>
      <c r="F5" s="50">
        <v>442918</v>
      </c>
      <c r="G5" s="17">
        <f t="shared" si="0"/>
        <v>1884184.5</v>
      </c>
      <c r="H5" s="17">
        <f t="shared" si="1"/>
        <v>169572.77548539182</v>
      </c>
      <c r="I5" s="17">
        <f t="shared" si="2"/>
        <v>1714611.7245146083</v>
      </c>
    </row>
    <row r="6" spans="1:9" ht="15.75" customHeight="1" x14ac:dyDescent="0.25">
      <c r="A6" s="5">
        <f t="shared" si="3"/>
        <v>2028</v>
      </c>
      <c r="B6" s="49">
        <v>148207</v>
      </c>
      <c r="C6" s="50">
        <v>351986</v>
      </c>
      <c r="D6" s="50">
        <v>546937</v>
      </c>
      <c r="E6" s="50">
        <v>560208</v>
      </c>
      <c r="F6" s="50">
        <v>458320</v>
      </c>
      <c r="G6" s="17">
        <f t="shared" si="0"/>
        <v>1917451</v>
      </c>
      <c r="H6" s="17">
        <f t="shared" si="1"/>
        <v>169504.15356325728</v>
      </c>
      <c r="I6" s="17">
        <f t="shared" si="2"/>
        <v>1747946.8464367427</v>
      </c>
    </row>
    <row r="7" spans="1:9" ht="15.75" customHeight="1" x14ac:dyDescent="0.25">
      <c r="A7" s="5">
        <f t="shared" si="3"/>
        <v>2029</v>
      </c>
      <c r="B7" s="49">
        <v>148645</v>
      </c>
      <c r="C7" s="50">
        <v>361269.5</v>
      </c>
      <c r="D7" s="50">
        <v>558527</v>
      </c>
      <c r="E7" s="50">
        <v>557851.5</v>
      </c>
      <c r="F7" s="50">
        <v>473937.5</v>
      </c>
      <c r="G7" s="17">
        <f t="shared" si="0"/>
        <v>1951585.5</v>
      </c>
      <c r="H7" s="17">
        <f t="shared" si="1"/>
        <v>170005.09359483948</v>
      </c>
      <c r="I7" s="17">
        <f t="shared" si="2"/>
        <v>1781580.4064051604</v>
      </c>
    </row>
    <row r="8" spans="1:9" ht="15.75" customHeight="1" x14ac:dyDescent="0.25">
      <c r="A8" s="5">
        <f t="shared" si="3"/>
        <v>2030</v>
      </c>
      <c r="B8" s="49">
        <v>149392</v>
      </c>
      <c r="C8" s="50">
        <v>368658</v>
      </c>
      <c r="D8" s="50">
        <v>573977.5</v>
      </c>
      <c r="E8" s="50">
        <v>554585</v>
      </c>
      <c r="F8" s="50">
        <v>489184.5</v>
      </c>
      <c r="G8" s="17">
        <f t="shared" si="0"/>
        <v>1986405</v>
      </c>
      <c r="H8" s="17">
        <f t="shared" si="1"/>
        <v>170859.43652541464</v>
      </c>
      <c r="I8" s="17">
        <f t="shared" si="2"/>
        <v>1815545.5634745853</v>
      </c>
    </row>
    <row r="9" spans="1:9" ht="15.75" customHeight="1" x14ac:dyDescent="0.25">
      <c r="A9" s="5">
        <f t="shared" si="3"/>
        <v>2031</v>
      </c>
      <c r="B9" s="49">
        <v>150421</v>
      </c>
      <c r="C9" s="50">
        <v>374676.5</v>
      </c>
      <c r="D9" s="50">
        <v>591496.00000000012</v>
      </c>
      <c r="E9" s="50">
        <v>550661.49999999988</v>
      </c>
      <c r="F9" s="50">
        <v>503435</v>
      </c>
      <c r="G9" s="17">
        <f t="shared" si="0"/>
        <v>2020269</v>
      </c>
      <c r="H9" s="17">
        <f t="shared" si="1"/>
        <v>172036.30249002218</v>
      </c>
      <c r="I9" s="17">
        <f t="shared" si="2"/>
        <v>1848232.6975099777</v>
      </c>
    </row>
    <row r="10" spans="1:9" ht="15.75" customHeight="1" x14ac:dyDescent="0.25">
      <c r="A10" s="5">
        <f t="shared" si="3"/>
        <v>2032</v>
      </c>
      <c r="B10" s="49">
        <v>151395</v>
      </c>
      <c r="C10" s="50">
        <v>380137</v>
      </c>
      <c r="D10" s="50">
        <v>609725</v>
      </c>
      <c r="E10" s="50">
        <v>546171</v>
      </c>
      <c r="F10" s="50">
        <v>516621.49999999994</v>
      </c>
      <c r="G10" s="17">
        <f t="shared" si="0"/>
        <v>2052654.5</v>
      </c>
      <c r="H10" s="17">
        <f t="shared" si="1"/>
        <v>173150.26502600641</v>
      </c>
      <c r="I10" s="17">
        <f t="shared" si="2"/>
        <v>1879504.2349739936</v>
      </c>
    </row>
    <row r="11" spans="1:9" ht="15.75" customHeight="1" x14ac:dyDescent="0.25">
      <c r="A11" s="5">
        <f t="shared" si="3"/>
        <v>2033</v>
      </c>
      <c r="B11" s="49">
        <v>152829</v>
      </c>
      <c r="C11" s="50">
        <v>386706</v>
      </c>
      <c r="D11" s="50">
        <v>628415</v>
      </c>
      <c r="E11" s="50">
        <v>542123.49999999988</v>
      </c>
      <c r="F11" s="50">
        <v>528350</v>
      </c>
      <c r="G11" s="17">
        <f t="shared" si="0"/>
        <v>2085594.5</v>
      </c>
      <c r="H11" s="17">
        <f t="shared" si="1"/>
        <v>174790.3289650222</v>
      </c>
      <c r="I11" s="17">
        <f t="shared" si="2"/>
        <v>1910804.1710349778</v>
      </c>
    </row>
    <row r="12" spans="1:9" ht="15.75" customHeight="1" x14ac:dyDescent="0.25">
      <c r="A12" s="5">
        <f t="shared" si="3"/>
        <v>2034</v>
      </c>
      <c r="B12" s="49">
        <v>154449</v>
      </c>
      <c r="C12" s="50">
        <v>393270.5</v>
      </c>
      <c r="D12" s="50">
        <v>648161</v>
      </c>
      <c r="E12" s="50">
        <v>538556.5</v>
      </c>
      <c r="F12" s="50">
        <v>538239.49999999988</v>
      </c>
      <c r="G12" s="17">
        <f t="shared" si="0"/>
        <v>2118227.5</v>
      </c>
      <c r="H12" s="17">
        <f t="shared" si="1"/>
        <v>176643.12086265508</v>
      </c>
      <c r="I12" s="17">
        <f t="shared" si="2"/>
        <v>1941584.3791373449</v>
      </c>
    </row>
    <row r="13" spans="1:9" ht="15.75" customHeight="1" x14ac:dyDescent="0.25">
      <c r="A13" s="5">
        <f t="shared" si="3"/>
        <v>2035</v>
      </c>
      <c r="B13" s="49">
        <v>155850</v>
      </c>
      <c r="C13" s="50">
        <v>395648.5</v>
      </c>
      <c r="D13" s="50">
        <v>669603.00000000012</v>
      </c>
      <c r="E13" s="50">
        <v>534877.99999999988</v>
      </c>
      <c r="F13" s="50">
        <v>546140</v>
      </c>
      <c r="G13" s="17">
        <f t="shared" si="0"/>
        <v>2146269.5</v>
      </c>
      <c r="H13" s="17">
        <f t="shared" si="1"/>
        <v>178245.44274449683</v>
      </c>
      <c r="I13" s="17">
        <f t="shared" si="2"/>
        <v>1968024.0572555033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i34TvJUpcnKf28Q+3h4oQ8ZE03ugIMl+A4US3/wuYmJYSgrHQul50l3oz/mOujs5NpozVQMtV/ge+TsN/RdHg==" saltValue="63ALh8ItrPMtTRDXNHp1x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1.5407999999999991E-3</v>
      </c>
    </row>
    <row r="4" spans="1:8" ht="15.75" customHeight="1" x14ac:dyDescent="0.25">
      <c r="B4" s="19" t="s">
        <v>97</v>
      </c>
      <c r="C4" s="99">
        <v>5.5218899999999987E-2</v>
      </c>
    </row>
    <row r="5" spans="1:8" ht="15.75" customHeight="1" x14ac:dyDescent="0.25">
      <c r="B5" s="19" t="s">
        <v>98</v>
      </c>
      <c r="C5" s="99">
        <v>4.9336599999999987E-2</v>
      </c>
    </row>
    <row r="6" spans="1:8" ht="15.75" customHeight="1" x14ac:dyDescent="0.25">
      <c r="B6" s="19" t="s">
        <v>99</v>
      </c>
      <c r="C6" s="99">
        <v>0.19651040000000031</v>
      </c>
    </row>
    <row r="7" spans="1:8" ht="15.75" customHeight="1" x14ac:dyDescent="0.25">
      <c r="B7" s="19" t="s">
        <v>100</v>
      </c>
      <c r="C7" s="99">
        <v>0.41559819999999958</v>
      </c>
    </row>
    <row r="8" spans="1:8" ht="15.75" customHeight="1" x14ac:dyDescent="0.25">
      <c r="B8" s="19" t="s">
        <v>101</v>
      </c>
      <c r="C8" s="99">
        <v>1.9750000000000041E-4</v>
      </c>
    </row>
    <row r="9" spans="1:8" ht="15.75" customHeight="1" x14ac:dyDescent="0.25">
      <c r="B9" s="19" t="s">
        <v>102</v>
      </c>
      <c r="C9" s="99">
        <v>0.19013440000000001</v>
      </c>
    </row>
    <row r="10" spans="1:8" ht="15.75" customHeight="1" x14ac:dyDescent="0.25">
      <c r="B10" s="19" t="s">
        <v>103</v>
      </c>
      <c r="C10" s="99">
        <v>9.1463199999999953E-2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0.11521433516938739</v>
      </c>
      <c r="D14" s="55">
        <v>0.11521433516938739</v>
      </c>
      <c r="E14" s="55">
        <v>0.11521433516938739</v>
      </c>
      <c r="F14" s="55">
        <v>0.11521433516938739</v>
      </c>
    </row>
    <row r="15" spans="1:8" ht="15.75" customHeight="1" x14ac:dyDescent="0.25">
      <c r="B15" s="19" t="s">
        <v>106</v>
      </c>
      <c r="C15" s="99">
        <v>0.54966072134015409</v>
      </c>
      <c r="D15" s="99">
        <v>0.54966072134015409</v>
      </c>
      <c r="E15" s="99">
        <v>0.54966072134015409</v>
      </c>
      <c r="F15" s="99">
        <v>0.54966072134015409</v>
      </c>
    </row>
    <row r="16" spans="1:8" ht="15.75" customHeight="1" x14ac:dyDescent="0.25">
      <c r="B16" s="19" t="s">
        <v>107</v>
      </c>
      <c r="C16" s="99">
        <v>4.0830961878845301E-2</v>
      </c>
      <c r="D16" s="99">
        <v>4.0830961878845301E-2</v>
      </c>
      <c r="E16" s="99">
        <v>4.0830961878845301E-2</v>
      </c>
      <c r="F16" s="99">
        <v>4.0830961878845301E-2</v>
      </c>
    </row>
    <row r="17" spans="1:8" ht="15.75" customHeight="1" x14ac:dyDescent="0.25">
      <c r="B17" s="19" t="s">
        <v>108</v>
      </c>
      <c r="C17" s="99">
        <v>1.353392173711137E-3</v>
      </c>
      <c r="D17" s="99">
        <v>1.353392173711137E-3</v>
      </c>
      <c r="E17" s="99">
        <v>1.353392173711137E-3</v>
      </c>
      <c r="F17" s="99">
        <v>1.353392173711137E-3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6.0295701086369472E-3</v>
      </c>
      <c r="D19" s="99">
        <v>6.0295701086369472E-3</v>
      </c>
      <c r="E19" s="99">
        <v>6.0295701086369472E-3</v>
      </c>
      <c r="F19" s="99">
        <v>6.0295701086369472E-3</v>
      </c>
    </row>
    <row r="20" spans="1:8" ht="15.75" customHeight="1" x14ac:dyDescent="0.25">
      <c r="B20" s="19" t="s">
        <v>111</v>
      </c>
      <c r="C20" s="99">
        <v>2.2324405642405711E-2</v>
      </c>
      <c r="D20" s="99">
        <v>2.2324405642405711E-2</v>
      </c>
      <c r="E20" s="99">
        <v>2.2324405642405711E-2</v>
      </c>
      <c r="F20" s="99">
        <v>2.2324405642405711E-2</v>
      </c>
    </row>
    <row r="21" spans="1:8" ht="15.75" customHeight="1" x14ac:dyDescent="0.25">
      <c r="B21" s="19" t="s">
        <v>112</v>
      </c>
      <c r="C21" s="99">
        <v>0.2122611559734788</v>
      </c>
      <c r="D21" s="99">
        <v>0.2122611559734788</v>
      </c>
      <c r="E21" s="99">
        <v>0.2122611559734788</v>
      </c>
      <c r="F21" s="99">
        <v>0.2122611559734788</v>
      </c>
    </row>
    <row r="22" spans="1:8" ht="15.75" customHeight="1" x14ac:dyDescent="0.25">
      <c r="B22" s="19" t="s">
        <v>113</v>
      </c>
      <c r="C22" s="99">
        <v>5.2325457713380492E-2</v>
      </c>
      <c r="D22" s="99">
        <v>5.2325457713380492E-2</v>
      </c>
      <c r="E22" s="99">
        <v>5.2325457713380492E-2</v>
      </c>
      <c r="F22" s="99">
        <v>5.2325457713380492E-2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8.6989028999999995E-2</v>
      </c>
    </row>
    <row r="27" spans="1:8" ht="15.75" customHeight="1" x14ac:dyDescent="0.25">
      <c r="B27" s="19" t="s">
        <v>120</v>
      </c>
      <c r="C27" s="99">
        <v>5.4674084999999983E-2</v>
      </c>
    </row>
    <row r="28" spans="1:8" ht="15.75" customHeight="1" x14ac:dyDescent="0.25">
      <c r="B28" s="19" t="s">
        <v>121</v>
      </c>
      <c r="C28" s="99">
        <v>7.8007822000000004E-2</v>
      </c>
    </row>
    <row r="29" spans="1:8" ht="15.75" customHeight="1" x14ac:dyDescent="0.25">
      <c r="B29" s="19" t="s">
        <v>122</v>
      </c>
      <c r="C29" s="99">
        <v>0.25304623700000001</v>
      </c>
    </row>
    <row r="30" spans="1:8" ht="15.75" customHeight="1" x14ac:dyDescent="0.25">
      <c r="B30" s="19" t="s">
        <v>2</v>
      </c>
      <c r="C30" s="99">
        <v>6.4168437999999994E-2</v>
      </c>
    </row>
    <row r="31" spans="1:8" ht="15.75" customHeight="1" x14ac:dyDescent="0.25">
      <c r="B31" s="19" t="s">
        <v>123</v>
      </c>
      <c r="C31" s="99">
        <v>3.8459681000000003E-2</v>
      </c>
    </row>
    <row r="32" spans="1:8" ht="15.75" customHeight="1" x14ac:dyDescent="0.25">
      <c r="B32" s="19" t="s">
        <v>124</v>
      </c>
      <c r="C32" s="99">
        <v>7.8795084000000001E-2</v>
      </c>
    </row>
    <row r="33" spans="2:3" ht="15.75" customHeight="1" x14ac:dyDescent="0.25">
      <c r="B33" s="19" t="s">
        <v>125</v>
      </c>
      <c r="C33" s="99">
        <v>6.8855599000000017E-2</v>
      </c>
    </row>
    <row r="34" spans="2:3" ht="15.75" customHeight="1" x14ac:dyDescent="0.25">
      <c r="B34" s="19" t="s">
        <v>126</v>
      </c>
      <c r="C34" s="99">
        <v>0.27700402600000001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lZfaG/5XCrfh3eXrDM8IRDMzOZZlXp136kRmxz4XANpHI4Vtfax/ohD6jojcleRwdrvKtxC0RKpvvx1gTL2ynw==" saltValue="79Emu44v71AvI1iGtMCCS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0.72671771537825036</v>
      </c>
      <c r="D2" s="52">
        <f>IFERROR(1-_xlfn.NORM.DIST(_xlfn.NORM.INV(SUM(D4:D5), 0, 1) + 1, 0, 1, TRUE), "")</f>
        <v>0.72671771537825036</v>
      </c>
      <c r="E2" s="52">
        <f>IFERROR(1-_xlfn.NORM.DIST(_xlfn.NORM.INV(SUM(E4:E5), 0, 1) + 1, 0, 1, TRUE), "")</f>
        <v>0.62659155412491141</v>
      </c>
      <c r="F2" s="52">
        <f>IFERROR(1-_xlfn.NORM.DIST(_xlfn.NORM.INV(SUM(F4:F5), 0, 1) + 1, 0, 1, TRUE), "")</f>
        <v>0.51965388532462375</v>
      </c>
      <c r="G2" s="52">
        <f>IFERROR(1-_xlfn.NORM.DIST(_xlfn.NORM.INV(SUM(G4:G5), 0, 1) + 1, 0, 1, TRUE), "")</f>
        <v>0.56275773337121771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0.21880568462174965</v>
      </c>
      <c r="D3" s="52">
        <f>IFERROR(_xlfn.NORM.DIST(_xlfn.NORM.INV(SUM(D4:D5), 0, 1) + 1, 0, 1, TRUE) - SUM(D4:D5), "")</f>
        <v>0.21880568462174965</v>
      </c>
      <c r="E3" s="52">
        <f>IFERROR(_xlfn.NORM.DIST(_xlfn.NORM.INV(SUM(E4:E5), 0, 1) + 1, 0, 1, TRUE) - SUM(E4:E5), "")</f>
        <v>0.28046404587508861</v>
      </c>
      <c r="F3" s="52">
        <f>IFERROR(_xlfn.NORM.DIST(_xlfn.NORM.INV(SUM(F4:F5), 0, 1) + 1, 0, 1, TRUE) - SUM(F4:F5), "")</f>
        <v>0.33332261467537627</v>
      </c>
      <c r="G3" s="52">
        <f>IFERROR(_xlfn.NORM.DIST(_xlfn.NORM.INV(SUM(G4:G5), 0, 1) + 1, 0, 1, TRUE) - SUM(G4:G5), "")</f>
        <v>0.31380306662878238</v>
      </c>
    </row>
    <row r="4" spans="1:15" ht="15.75" customHeight="1" x14ac:dyDescent="0.25">
      <c r="B4" s="5" t="s">
        <v>132</v>
      </c>
      <c r="C4" s="45">
        <v>3.57805E-2</v>
      </c>
      <c r="D4" s="53">
        <v>3.57805E-2</v>
      </c>
      <c r="E4" s="53">
        <v>3.1043899999999999E-2</v>
      </c>
      <c r="F4" s="53">
        <v>0.11139780000000001</v>
      </c>
      <c r="G4" s="53">
        <v>9.3345199999999989E-2</v>
      </c>
    </row>
    <row r="5" spans="1:15" ht="15.75" customHeight="1" x14ac:dyDescent="0.25">
      <c r="B5" s="5" t="s">
        <v>133</v>
      </c>
      <c r="C5" s="45">
        <v>1.86961E-2</v>
      </c>
      <c r="D5" s="53">
        <v>1.86961E-2</v>
      </c>
      <c r="E5" s="53">
        <v>6.1900499999999997E-2</v>
      </c>
      <c r="F5" s="53">
        <v>3.5625700000000003E-2</v>
      </c>
      <c r="G5" s="53">
        <v>3.0093999999999999E-2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0.73878735174891208</v>
      </c>
      <c r="D8" s="52">
        <f>IFERROR(1-_xlfn.NORM.DIST(_xlfn.NORM.INV(SUM(D10:D11), 0, 1) + 1, 0, 1, TRUE), "")</f>
        <v>0.73878735174891208</v>
      </c>
      <c r="E8" s="52">
        <f>IFERROR(1-_xlfn.NORM.DIST(_xlfn.NORM.INV(SUM(E10:E11), 0, 1) + 1, 0, 1, TRUE), "")</f>
        <v>0.81092131378354604</v>
      </c>
      <c r="F8" s="52">
        <f>IFERROR(1-_xlfn.NORM.DIST(_xlfn.NORM.INV(SUM(F10:F11), 0, 1) + 1, 0, 1, TRUE), "")</f>
        <v>0.85378692413781465</v>
      </c>
      <c r="G8" s="52">
        <f>IFERROR(1-_xlfn.NORM.DIST(_xlfn.NORM.INV(SUM(G10:G11), 0, 1) + 1, 0, 1, TRUE), "")</f>
        <v>0.88685105031614997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0.21066964825108792</v>
      </c>
      <c r="D9" s="52">
        <f>IFERROR(_xlfn.NORM.DIST(_xlfn.NORM.INV(SUM(D10:D11), 0, 1) + 1, 0, 1, TRUE) - SUM(D10:D11), "")</f>
        <v>0.21066964825108792</v>
      </c>
      <c r="E9" s="52">
        <f>IFERROR(_xlfn.NORM.DIST(_xlfn.NORM.INV(SUM(E10:E11), 0, 1) + 1, 0, 1, TRUE) - SUM(E10:E11), "")</f>
        <v>0.15911288621645392</v>
      </c>
      <c r="F9" s="52">
        <f>IFERROR(_xlfn.NORM.DIST(_xlfn.NORM.INV(SUM(F10:F11), 0, 1) + 1, 0, 1, TRUE) - SUM(F10:F11), "")</f>
        <v>0.12616777586218536</v>
      </c>
      <c r="G9" s="52">
        <f>IFERROR(_xlfn.NORM.DIST(_xlfn.NORM.INV(SUM(G10:G11), 0, 1) + 1, 0, 1, TRUE) - SUM(G10:G11), "")</f>
        <v>9.9594649683850053E-2</v>
      </c>
    </row>
    <row r="10" spans="1:15" ht="15.75" customHeight="1" x14ac:dyDescent="0.25">
      <c r="B10" s="5" t="s">
        <v>137</v>
      </c>
      <c r="C10" s="45">
        <v>3.4095800000000002E-2</v>
      </c>
      <c r="D10" s="53">
        <v>3.4095800000000002E-2</v>
      </c>
      <c r="E10" s="53">
        <v>2.0798899999999999E-2</v>
      </c>
      <c r="F10" s="53">
        <v>1.07309E-2</v>
      </c>
      <c r="G10" s="53">
        <v>9.4171000000000012E-3</v>
      </c>
    </row>
    <row r="11" spans="1:15" ht="15.75" customHeight="1" x14ac:dyDescent="0.25">
      <c r="B11" s="5" t="s">
        <v>138</v>
      </c>
      <c r="C11" s="45">
        <v>1.6447199999999999E-2</v>
      </c>
      <c r="D11" s="53">
        <v>1.6447199999999999E-2</v>
      </c>
      <c r="E11" s="53">
        <v>9.1669000000000004E-3</v>
      </c>
      <c r="F11" s="53">
        <v>9.3144000000000005E-3</v>
      </c>
      <c r="G11" s="53">
        <v>4.1371999999999997E-3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0.66876521474999995</v>
      </c>
      <c r="D14" s="54">
        <v>0.63119051921299996</v>
      </c>
      <c r="E14" s="54">
        <v>0.63119051921299996</v>
      </c>
      <c r="F14" s="54">
        <v>0.45397782957600002</v>
      </c>
      <c r="G14" s="54">
        <v>0.45397782957600002</v>
      </c>
      <c r="H14" s="45">
        <v>0.39800000000000002</v>
      </c>
      <c r="I14" s="55">
        <v>0.39800000000000002</v>
      </c>
      <c r="J14" s="55">
        <v>0.39800000000000002</v>
      </c>
      <c r="K14" s="55">
        <v>0.39800000000000002</v>
      </c>
      <c r="L14" s="45">
        <v>0.35899999999999999</v>
      </c>
      <c r="M14" s="55">
        <v>0.35899999999999999</v>
      </c>
      <c r="N14" s="55">
        <v>0.35899999999999999</v>
      </c>
      <c r="O14" s="55">
        <v>0.35899999999999999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0.39389669260081722</v>
      </c>
      <c r="D15" s="52">
        <f t="shared" si="0"/>
        <v>0.37176553510178406</v>
      </c>
      <c r="E15" s="52">
        <f t="shared" si="0"/>
        <v>0.37176553510178406</v>
      </c>
      <c r="F15" s="52">
        <f t="shared" si="0"/>
        <v>0.26738885581979788</v>
      </c>
      <c r="G15" s="52">
        <f t="shared" si="0"/>
        <v>0.26738885581979788</v>
      </c>
      <c r="H15" s="52">
        <f t="shared" si="0"/>
        <v>0.23441841800000002</v>
      </c>
      <c r="I15" s="52">
        <f t="shared" si="0"/>
        <v>0.23441841800000002</v>
      </c>
      <c r="J15" s="52">
        <f t="shared" si="0"/>
        <v>0.23441841800000002</v>
      </c>
      <c r="K15" s="52">
        <f t="shared" si="0"/>
        <v>0.23441841800000002</v>
      </c>
      <c r="L15" s="52">
        <f t="shared" si="0"/>
        <v>0.21144776900000001</v>
      </c>
      <c r="M15" s="52">
        <f t="shared" si="0"/>
        <v>0.21144776900000001</v>
      </c>
      <c r="N15" s="52">
        <f t="shared" si="0"/>
        <v>0.21144776900000001</v>
      </c>
      <c r="O15" s="52">
        <f t="shared" si="0"/>
        <v>0.21144776900000001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cjYmkSt93xiPxODOBzPBC+UTwxGGzp8ooN//fslKgeCAU774yX8scNGduaiBBQuDv7onccJ7X0tVHNEgEoOkA==" saltValue="UEcYmDoXNKBs2vSqksRW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0.70550790000000008</v>
      </c>
      <c r="D2" s="53">
        <v>0.41442689999999999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0.14739630000000001</v>
      </c>
      <c r="D3" s="53">
        <v>0.24610799999999999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0.1441006</v>
      </c>
      <c r="D4" s="53">
        <v>0.319693</v>
      </c>
      <c r="E4" s="53">
        <v>0.90135670000000001</v>
      </c>
      <c r="F4" s="53">
        <v>0.47346310000000003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2.9951999999998646E-3</v>
      </c>
      <c r="D5" s="52">
        <f t="shared" si="0"/>
        <v>1.9772099999999959E-2</v>
      </c>
      <c r="E5" s="52">
        <f>1-SUM(E2:E4)</f>
        <v>9.8643299999999989E-2</v>
      </c>
      <c r="F5" s="52">
        <f>1-SUM(F2:F4)</f>
        <v>0.52653689999999997</v>
      </c>
      <c r="G5" s="52">
        <f>1-SUM(G2:G4)</f>
        <v>1</v>
      </c>
    </row>
  </sheetData>
  <sheetProtection algorithmName="SHA-512" hashValue="K0lqxHRiu0ozcuVgivRwX6/27LWnJ2xA5Ip+UshKmSR4nv6c5iiBzLFkm5IHMnUt0skZnTSYEgBLyFP0WF7Lbg==" saltValue="DeFHtkFH19fS9SmStwsVc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oUXQ/tffMN8xvIuTFZk4H8LxqDw4+1Ibd4Kl4xF/63/Vqfou5v9u8hD+lEdwwBAKcvAFyTCvWkeLDQ0ijozew==" saltValue="uoIq0HYrwawqfIxaGVCOL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1655.07269765044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0.33655000000000002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0.56600000000000006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1.2636041052752059E-2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98042.033899999995</v>
      </c>
      <c r="C22" s="107">
        <v>97912.659759999995</v>
      </c>
      <c r="D22" s="107">
        <v>97749.127779999995</v>
      </c>
      <c r="E22" s="107">
        <v>97479.829180000001</v>
      </c>
      <c r="F22" s="107">
        <v>97136.501770000003</v>
      </c>
      <c r="G22" s="107">
        <v>96707.586909999998</v>
      </c>
      <c r="H22" s="107">
        <v>96198.437900000004</v>
      </c>
      <c r="I22" s="107">
        <v>95237.58829</v>
      </c>
      <c r="J22" s="107">
        <v>93551.134969999999</v>
      </c>
      <c r="K22" s="107">
        <v>91657.480989999996</v>
      </c>
      <c r="L22" s="107">
        <v>89148.463789999994</v>
      </c>
      <c r="M22" s="107">
        <v>85234.066699999996</v>
      </c>
      <c r="N22" s="107">
        <v>79899.282659999997</v>
      </c>
      <c r="O22" s="107">
        <v>71025.679950000005</v>
      </c>
    </row>
  </sheetData>
  <sheetProtection algorithmName="SHA-512" hashValue="6/sBgGf9HPr+OntTtdQXtAj6z8dUqz/uKmQV9ZXoyi/3G5HN2BHXdV95VYEtH/ZcJNGr0LgwnOmTEr2bNSCrxA==" saltValue="v33ssncRdApyrY4IpTQxI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86R43sukSc6h0EGAgZXUpEfQvF+DNL+Sf10qIktbRWcAVf+OnxpaVpdgISnR6Wwr18fG9z57bUEPljXBpgkBkQ==" saltValue="fKLWT/pb8izwvc59Lcu7M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z03r7lzPzf7yzXLhlY298rJs6jTGXtnQKC7m/lLFk0RM8O48MS58CwB/M/wwp7JcXK8/UJ2CGmXGbqyAGnY5xA==" saltValue="PCpPsaxcRvbx3zqAvNBPK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12.008526100307062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12.008526100307062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8.8894216990788131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0.40262538382804508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2.3195500000000001E-2</v>
      </c>
      <c r="C10" s="96">
        <v>0.95</v>
      </c>
      <c r="D10" s="56">
        <v>13.55153367590807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13.55153367590807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13.55153367590807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13.55153367590807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2.3195500000000001E-2</v>
      </c>
      <c r="C14" s="96">
        <v>0.95</v>
      </c>
      <c r="D14" s="56">
        <v>13.55153367590807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13.55153367590807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0.41442689999999999</v>
      </c>
      <c r="C18" s="96">
        <v>0.95</v>
      </c>
      <c r="D18" s="56">
        <v>8.8894216990788131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0.41442689999999999</v>
      </c>
      <c r="C19" s="96">
        <v>0.95</v>
      </c>
      <c r="D19" s="56">
        <v>2.5765543589847759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8.8894216990788131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4.4684305312370904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0.71204221746141994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2.3195500000000001E-2</v>
      </c>
      <c r="C26" s="96">
        <v>0.95</v>
      </c>
      <c r="D26" s="56">
        <v>5.1498336745138182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11.470990276356194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0.36409789999999997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0.59765410000000008</v>
      </c>
      <c r="C29" s="96">
        <v>0.95</v>
      </c>
      <c r="D29" s="56">
        <v>69.007299698442466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170.92419651995908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0.97</v>
      </c>
      <c r="C32" s="96">
        <v>0.95</v>
      </c>
      <c r="D32" s="56">
        <v>1.1057036847492325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0.61718569999999995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7.1143999999999999E-2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0.93661349999999999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0.21817230000000001</v>
      </c>
      <c r="C38" s="96">
        <v>0.95</v>
      </c>
      <c r="D38" s="56">
        <v>2.6374181166837261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6c0J5dw57gxg0e2oNL4/O+7keVZnXN7lgzSre7nBdjWK5ZRvCk5tmUTF3RUgAge26TyY8gtFylVtP5CBiqYECg==" saltValue="WpbN49aTikbo66xGYo3u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JyhuqYsoCfOPSdYefA0UfdZE/qecUVcZISb2aEyJ9JtlfZ6kKFpx/M1cyLCUenUvRf8s1jmkMy8EIIcmZRD3cg==" saltValue="m3Y8Ti7hfZQlIdpMGfZrm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BJirMnleRwnpx1nYUO3v3N+kRqH/w69bEufYKohXBlIwn1oUnWDrK69IRXj34HX5Gpg5LP7pGgssTXcIFe23w==" saltValue="JIc7kD4pSA/fwHb+13pkT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8.8649080000000005E-2</v>
      </c>
      <c r="C3" s="21">
        <f>frac_mam_1_5months * 2.6</f>
        <v>8.8649080000000005E-2</v>
      </c>
      <c r="D3" s="21">
        <f>frac_mam_6_11months * 2.6</f>
        <v>5.4077139999999996E-2</v>
      </c>
      <c r="E3" s="21">
        <f>frac_mam_12_23months * 2.6</f>
        <v>2.7900339999999999E-2</v>
      </c>
      <c r="F3" s="21">
        <f>frac_mam_24_59months * 2.6</f>
        <v>2.4484460000000003E-2</v>
      </c>
    </row>
    <row r="4" spans="1:6" ht="15.75" customHeight="1" x14ac:dyDescent="0.25">
      <c r="A4" s="3" t="s">
        <v>237</v>
      </c>
      <c r="B4" s="21">
        <f>frac_sam_1month * 2.6</f>
        <v>4.2762719999999997E-2</v>
      </c>
      <c r="C4" s="21">
        <f>frac_sam_1_5months * 2.6</f>
        <v>4.2762719999999997E-2</v>
      </c>
      <c r="D4" s="21">
        <f>frac_sam_6_11months * 2.6</f>
        <v>2.3833940000000001E-2</v>
      </c>
      <c r="E4" s="21">
        <f>frac_sam_12_23months * 2.6</f>
        <v>2.4217440000000003E-2</v>
      </c>
      <c r="F4" s="21">
        <f>frac_sam_24_59months * 2.6</f>
        <v>1.0756719999999999E-2</v>
      </c>
    </row>
  </sheetData>
  <sheetProtection algorithmName="SHA-512" hashValue="KfvIWNuzT1pTnAO66GU3JwubM5Q8/Y8ogI7QjihzVpxxt7ACg5Wuwqlp4EqG3M9u9xYp3C4cBAFAH5PT+chIiQ==" saltValue="o2mwzX4KCkbnwpCMbrHRi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9.0000000000000011E-3</v>
      </c>
      <c r="F2" s="60">
        <f>food_insecure</f>
        <v>9.0000000000000011E-3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9.0000000000000011E-3</v>
      </c>
      <c r="F5" s="60">
        <f>food_insecure</f>
        <v>9.0000000000000011E-3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9.0000000000000011E-3</v>
      </c>
      <c r="F8" s="60">
        <f>food_insecure</f>
        <v>9.0000000000000011E-3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9.0000000000000011E-3</v>
      </c>
      <c r="F9" s="60">
        <f>food_insecure</f>
        <v>9.0000000000000011E-3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9.0000000000000011E-3</v>
      </c>
      <c r="I15" s="60">
        <f t="shared" si="0"/>
        <v>9.0000000000000011E-3</v>
      </c>
      <c r="J15" s="60">
        <f t="shared" si="0"/>
        <v>9.0000000000000011E-3</v>
      </c>
      <c r="K15" s="60">
        <f t="shared" si="0"/>
        <v>9.0000000000000011E-3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9.0000000000000011E-3</v>
      </c>
      <c r="I16" s="60">
        <f t="shared" si="0"/>
        <v>9.0000000000000011E-3</v>
      </c>
      <c r="J16" s="60">
        <f t="shared" si="0"/>
        <v>9.0000000000000011E-3</v>
      </c>
      <c r="K16" s="60">
        <f t="shared" si="0"/>
        <v>9.0000000000000011E-3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0.379</v>
      </c>
      <c r="M24" s="60">
        <f>famplan_unmet_need</f>
        <v>0.379</v>
      </c>
      <c r="N24" s="60">
        <f>famplan_unmet_need</f>
        <v>0.379</v>
      </c>
      <c r="O24" s="60">
        <f>famplan_unmet_need</f>
        <v>0.379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6.364581192398075E-2</v>
      </c>
      <c r="M25" s="60">
        <f>(1-food_insecure)*(0.49)+food_insecure*(0.7)</f>
        <v>0.49188999999999994</v>
      </c>
      <c r="N25" s="60">
        <f>(1-food_insecure)*(0.49)+food_insecure*(0.7)</f>
        <v>0.49188999999999994</v>
      </c>
      <c r="O25" s="60">
        <f>(1-food_insecure)*(0.49)+food_insecure*(0.7)</f>
        <v>0.49188999999999994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2.7276776538848895E-2</v>
      </c>
      <c r="M26" s="60">
        <f>(1-food_insecure)*(0.21)+food_insecure*(0.3)</f>
        <v>0.21081</v>
      </c>
      <c r="N26" s="60">
        <f>(1-food_insecure)*(0.21)+food_insecure*(0.3)</f>
        <v>0.21081</v>
      </c>
      <c r="O26" s="60">
        <f>(1-food_insecure)*(0.21)+food_insecure*(0.3)</f>
        <v>0.21081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3.8467746620178253E-2</v>
      </c>
      <c r="M27" s="60">
        <f>(1-food_insecure)*(0.3)</f>
        <v>0.29730000000000001</v>
      </c>
      <c r="N27" s="60">
        <f>(1-food_insecure)*(0.3)</f>
        <v>0.29730000000000001</v>
      </c>
      <c r="O27" s="60">
        <f>(1-food_insecure)*(0.3)</f>
        <v>0.29730000000000001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0.8706096649169921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a2UP1qNE7+0hZMk1fVdLr9s/7lyLxiMuJid7E5Vc3IbTeJdKf41+5tciA2iIURtrZuNf8WARzfmWBsoV4NkTQ==" saltValue="3BVxdCLBBpYAf6iEFfM93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UJlHA5LjbIVMg34IoOAFLIL3ixo81bsHDLW5PsR+itzdLMG7VBxkiFdlDllmdhuVGW1t/sFLDEC7yZvsX71CrQ==" saltValue="f0bWy5aLewywbDGTwF+Co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PeZ1LBtSlKcltQK59uFBNXTvxy42w73nNpfWJnZ8RTYd3EoyZPUYcBx/Y4lSOmR6zJrEwKEMDUSmOSYzdztE4Q==" saltValue="Sc+8hiQSDW8fa1P2CV9+u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9mz7NxGSkVRlhqYi+QDbvlO6q9s8mF9YTjrYNTK4gl63TCsa96mUEd5pHckayTGD6UQt9nlfr7zIllRwcLBfQ==" saltValue="tickI+WRGIGz8SutJtTs9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V+sZSk93Rdjk4djtJmGogxKa4y0xFUftp1Yw8VBMRpNKo/frj3a/d0JSyRBYfBleM0jadhvVBSEZI+ArAp1J5Q==" saltValue="1vyqyRKO80WfXVZKlKzdn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bdnyvqQPg8rzpMkfzv8yhN+4U0knAaYR4zz9RgS2kS04KIp62X8L9jgFpPu8hNswVkJyaFrKG1rK/GjBeJqcpA==" saltValue="qZaDCg3HXzX4JrXg8kyAk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nS0DywmGxzMW+2YJDkCG7N8n8mb8CKWLb7oauxBvxPm6ZSv3wveMEp96ExCCLyjoQpfj8+I705K1PEHv5u104Q==" saltValue="y5yFuKsuJ1Ma8bcRrPH0v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1TUBusVaF1UYbyxFOZywJi0fw7pAZ0WXpn2Hfon5/UGBc0tV2+inmklRwzDzyS7v0iIOo0lWD2T0R6JW7eI2OA==" saltValue="lzdFmlPRbNmEDDqwUJDl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aC2PKCv/CbikwHmyLfsqjKNg1fubt+jrPeJVYwPuoexQ5mEArvjZYk+yGLu8Hu2bDCMZMY6ed2o6PflLa06aKA==" saltValue="yUchMtA8iOzkn9bhhJBe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jhe3DxJUQsWfPyhtPzlxypWIB08vntL/Fc42gtIslx8RsjPIWpuBstJ9jeEzmfNE+jvZ8S1UaLVcQaEPfloUw==" saltValue="3XvzDEcjyCZUd+7VZjeL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3u83ecJ3G2YR/Y9UdXqHpKMI9eNISO4GtuZI4n4LEYlINGsGqgSv9tZPleNQUWm/UxNQlmME9P8Uqhd0p3E3Tw==" saltValue="el+bt3oOFtW8ZB0wnTGu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aLwl8qBh74bsFdUhGJvmXjOgquxxxhUJEBRBLnI2NucfHez8E1HFPDa7oSKGUw8ygyvKHaVQnQ1zNvthzEUaQ==" saltValue="rRa1t0HCtBZjVBvzLU4H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Q05xAQzcPWe02CX0TingO4HTxQAJLPNG8x0PTKn98a4v2dM6hY/KOUn0N5tkwIzp5l1Qwk2OgcYP7ZPQIqNGQ==" saltValue="aX2DRPyF8rQl/R2tXN7Rz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vSYe5UTKVALHlZdvxKcUM8C10VryFpMedUTw8UITVj/UCgNuYd06ZuNMtyF2NEQnWfrhtjYaXsBI5hvF18G7UQ==" saltValue="4HaIE+4X5ux+hHhXplKY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Ks3wd6MS1hDgmjObV22vmR4S8I4ycqH7owDKlm6sja7PxkpU0CJzTpSlagEdwJkHMHxkc3+aOMBd0SXvlw7eA==" saltValue="o2Fo9EE3xMpGf/8V0AGet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2026-04-29T06:11:40Z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