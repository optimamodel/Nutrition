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123D7C27-F6B4-4AA0-B5F3-FA16EA4F3BDC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I6" i="2" s="1"/>
  <c r="H5" i="2"/>
  <c r="G5" i="2"/>
  <c r="H4" i="2"/>
  <c r="G4" i="2"/>
  <c r="I4" i="2" s="1"/>
  <c r="H3" i="2"/>
  <c r="G3" i="2"/>
  <c r="H2" i="2"/>
  <c r="G2" i="2"/>
  <c r="I2" i="2" s="1"/>
  <c r="A2" i="2"/>
  <c r="A39" i="2" s="1"/>
  <c r="C33" i="1"/>
  <c r="C20" i="1"/>
  <c r="A31" i="2" l="1"/>
  <c r="A25" i="2"/>
  <c r="I11" i="2"/>
  <c r="A35" i="2"/>
  <c r="A26" i="2"/>
  <c r="I39" i="2"/>
  <c r="A34" i="2"/>
  <c r="A40" i="2"/>
  <c r="A19" i="2"/>
  <c r="A22" i="2"/>
  <c r="A36" i="2"/>
  <c r="I3" i="2"/>
  <c r="I7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<sst xmlns="http://schemas.openxmlformats.org/spreadsheetml/2006/main" count="2159" uniqueCount="368">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</sst>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47520141.5</v>
      </c>
    </row>
    <row r="8" spans="1:3" ht="15" customHeight="1" x14ac:dyDescent="0.25">
      <c r="B8" s="5" t="s">
        <v>37</v>
      </c>
      <c r="C8" s="44">
        <v>5.0000000000000001E-3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0.81408699039999999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0.10299999999999999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7.980000000000001E-2</v>
      </c>
    </row>
    <row r="24" spans="1:3" ht="15" customHeight="1" x14ac:dyDescent="0.25">
      <c r="B24" s="15" t="s">
        <v>51</v>
      </c>
      <c r="C24" s="45">
        <v>0.68840000000000001</v>
      </c>
    </row>
    <row r="25" spans="1:3" ht="15" customHeight="1" x14ac:dyDescent="0.25">
      <c r="B25" s="15" t="s">
        <v>52</v>
      </c>
      <c r="C25" s="45">
        <v>0.20130000000000001</v>
      </c>
    </row>
    <row r="26" spans="1:3" ht="15" customHeight="1" x14ac:dyDescent="0.25">
      <c r="B26" s="15" t="s">
        <v>53</v>
      </c>
      <c r="C26" s="45">
        <v>3.0499999999999999E-2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0.40385805873750502</v>
      </c>
    </row>
    <row r="30" spans="1:3" ht="14.25" customHeight="1" x14ac:dyDescent="0.25">
      <c r="B30" s="25" t="s">
        <v>56</v>
      </c>
      <c r="C30" s="99">
        <v>3.4597339605538499E-2</v>
      </c>
    </row>
    <row r="31" spans="1:3" ht="14.25" customHeight="1" x14ac:dyDescent="0.25">
      <c r="B31" s="25" t="s">
        <v>57</v>
      </c>
      <c r="C31" s="99">
        <v>5.9568417955223898E-2</v>
      </c>
    </row>
    <row r="32" spans="1:3" ht="14.25" customHeight="1" x14ac:dyDescent="0.25">
      <c r="B32" s="25" t="s">
        <v>58</v>
      </c>
      <c r="C32" s="99">
        <v>0.50197618370173303</v>
      </c>
    </row>
    <row r="33" spans="1:5" ht="13.25" customHeight="1" x14ac:dyDescent="0.25">
      <c r="B33" s="27" t="s">
        <v>59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3.1912600000000002</v>
      </c>
    </row>
    <row r="38" spans="1:5" ht="15" customHeight="1" x14ac:dyDescent="0.25">
      <c r="B38" s="11" t="s">
        <v>63</v>
      </c>
      <c r="C38" s="43">
        <v>5.0500699999999998</v>
      </c>
      <c r="D38" s="12"/>
      <c r="E38" s="13"/>
    </row>
    <row r="39" spans="1:5" ht="15" customHeight="1" x14ac:dyDescent="0.25">
      <c r="B39" s="11" t="s">
        <v>64</v>
      </c>
      <c r="C39" s="43">
        <v>6.93459</v>
      </c>
      <c r="D39" s="12"/>
      <c r="E39" s="12"/>
    </row>
    <row r="40" spans="1:5" ht="15" customHeight="1" x14ac:dyDescent="0.25">
      <c r="B40" s="11" t="s">
        <v>65</v>
      </c>
      <c r="C40" s="100">
        <v>0.23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4.8971999999999998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5.2434999999999999E-3</v>
      </c>
      <c r="D45" s="12"/>
    </row>
    <row r="46" spans="1:5" ht="15.75" customHeight="1" x14ac:dyDescent="0.25">
      <c r="B46" s="11" t="s">
        <v>70</v>
      </c>
      <c r="C46" s="45">
        <v>5.6247199999999997E-2</v>
      </c>
      <c r="D46" s="12"/>
    </row>
    <row r="47" spans="1:5" ht="15.75" customHeight="1" x14ac:dyDescent="0.25">
      <c r="B47" s="11" t="s">
        <v>71</v>
      </c>
      <c r="C47" s="45">
        <v>6.706680000000001E-2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2.2000000000000002</v>
      </c>
      <c r="D51" s="12"/>
    </row>
    <row r="52" spans="1:4" ht="15" customHeight="1" x14ac:dyDescent="0.25">
      <c r="B52" s="11" t="s">
        <v>75</v>
      </c>
      <c r="C52" s="100">
        <v>2.2000000000000002</v>
      </c>
    </row>
    <row r="53" spans="1:4" ht="15.75" customHeight="1" x14ac:dyDescent="0.25">
      <c r="B53" s="11" t="s">
        <v>76</v>
      </c>
      <c r="C53" s="100">
        <v>2.2000000000000002</v>
      </c>
    </row>
    <row r="54" spans="1:4" ht="15.75" customHeight="1" x14ac:dyDescent="0.25">
      <c r="B54" s="11" t="s">
        <v>77</v>
      </c>
      <c r="C54" s="100">
        <v>2.2000000000000002</v>
      </c>
    </row>
    <row r="55" spans="1:4" ht="15.75" customHeight="1" x14ac:dyDescent="0.25">
      <c r="B55" s="11" t="s">
        <v>78</v>
      </c>
      <c r="C55" s="100">
        <v>2.2000000000000002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2.1363636363636359E-2</v>
      </c>
    </row>
    <row r="59" spans="1:4" ht="15.75" customHeight="1" x14ac:dyDescent="0.25">
      <c r="B59" s="11" t="s">
        <v>81</v>
      </c>
      <c r="C59" s="45">
        <v>0.65754500000000005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4.9735185770000002E-2</v>
      </c>
    </row>
    <row r="63" spans="1:4" ht="15.75" customHeight="1" x14ac:dyDescent="0.3">
      <c r="A63" s="4"/>
    </row>
  </sheetData>
  <sheetProtection algorithmName="SHA-512" hashValue="EHYd2fRi55rnkRmAmRALwckTkTgFGBaSOJrmTFZdTmYk8/daWSb3aYfK4atLFXvUMoov7d+gRc1Jl0/NbL7YQQ==" saltValue="23X5wVQhuHzrhduP6VxII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10577046</v>
      </c>
      <c r="C2" s="49">
        <v>46617241.5</v>
      </c>
      <c r="D2" s="49">
        <v>75475910.5</v>
      </c>
      <c r="E2" s="49">
        <v>106915917</v>
      </c>
      <c r="F2" s="49">
        <v>85663749.5</v>
      </c>
      <c r="G2" s="17">
        <f t="shared" ref="G2:G13" si="0">C2+D2+E2+F2</f>
        <v>314672818.5</v>
      </c>
      <c r="H2" s="17">
        <f t="shared" ref="H2:H13" si="1">(B2 + stillbirth*B2/(1000-stillbirth))/(1-abortion)</f>
        <v>12078521.389494086</v>
      </c>
      <c r="I2" s="17">
        <f t="shared" ref="I2:I13" si="2">G2-H2</f>
        <v>302594297.11050594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10441801</v>
      </c>
      <c r="C3" s="50">
        <v>47320188.500000007</v>
      </c>
      <c r="D3" s="50">
        <v>74442793</v>
      </c>
      <c r="E3" s="50">
        <v>104783531.5</v>
      </c>
      <c r="F3" s="50">
        <v>85204412</v>
      </c>
      <c r="G3" s="17">
        <f t="shared" si="0"/>
        <v>311750925</v>
      </c>
      <c r="H3" s="17">
        <f t="shared" si="1"/>
        <v>11924077.547109157</v>
      </c>
      <c r="I3" s="17">
        <f t="shared" si="2"/>
        <v>299826847.45289087</v>
      </c>
    </row>
    <row r="4" spans="1:9" ht="15.75" customHeight="1" x14ac:dyDescent="0.25">
      <c r="A4" s="5">
        <f t="shared" si="3"/>
        <v>2026</v>
      </c>
      <c r="B4" s="49">
        <v>10326067</v>
      </c>
      <c r="C4" s="50">
        <v>48221500.499999993</v>
      </c>
      <c r="D4" s="50">
        <v>73818610.5</v>
      </c>
      <c r="E4" s="50">
        <v>101684567.5</v>
      </c>
      <c r="F4" s="50">
        <v>85995019.5</v>
      </c>
      <c r="G4" s="17">
        <f t="shared" si="0"/>
        <v>309719698</v>
      </c>
      <c r="H4" s="17">
        <f t="shared" si="1"/>
        <v>11791914.408696815</v>
      </c>
      <c r="I4" s="17">
        <f t="shared" si="2"/>
        <v>297927783.59130317</v>
      </c>
    </row>
    <row r="5" spans="1:9" ht="15.75" customHeight="1" x14ac:dyDescent="0.25">
      <c r="A5" s="5">
        <f t="shared" si="3"/>
        <v>2027</v>
      </c>
      <c r="B5" s="49">
        <v>10232622</v>
      </c>
      <c r="C5" s="50">
        <v>49085713.5</v>
      </c>
      <c r="D5" s="50">
        <v>73648810.5</v>
      </c>
      <c r="E5" s="50">
        <v>97559103</v>
      </c>
      <c r="F5" s="50">
        <v>87993306</v>
      </c>
      <c r="G5" s="17">
        <f t="shared" si="0"/>
        <v>308286933</v>
      </c>
      <c r="H5" s="17">
        <f t="shared" si="1"/>
        <v>11685204.328090068</v>
      </c>
      <c r="I5" s="17">
        <f t="shared" si="2"/>
        <v>296601728.67190993</v>
      </c>
    </row>
    <row r="6" spans="1:9" ht="15.75" customHeight="1" x14ac:dyDescent="0.25">
      <c r="A6" s="5">
        <f t="shared" si="3"/>
        <v>2028</v>
      </c>
      <c r="B6" s="49">
        <v>10142147</v>
      </c>
      <c r="C6" s="50">
        <v>49645384.500000007</v>
      </c>
      <c r="D6" s="50">
        <v>73932032</v>
      </c>
      <c r="E6" s="50">
        <v>93168448.5</v>
      </c>
      <c r="F6" s="50">
        <v>91044223.5</v>
      </c>
      <c r="G6" s="17">
        <f t="shared" si="0"/>
        <v>307790088.5</v>
      </c>
      <c r="H6" s="17">
        <f t="shared" si="1"/>
        <v>11581885.856872823</v>
      </c>
      <c r="I6" s="17">
        <f t="shared" si="2"/>
        <v>296208202.6431272</v>
      </c>
    </row>
    <row r="7" spans="1:9" ht="15.75" customHeight="1" x14ac:dyDescent="0.25">
      <c r="A7" s="5">
        <f t="shared" si="3"/>
        <v>2029</v>
      </c>
      <c r="B7" s="49">
        <v>10083803</v>
      </c>
      <c r="C7" s="50">
        <v>49846024.5</v>
      </c>
      <c r="D7" s="50">
        <v>74584499.5</v>
      </c>
      <c r="E7" s="50">
        <v>88738340</v>
      </c>
      <c r="F7" s="50">
        <v>93859745.5</v>
      </c>
      <c r="G7" s="17">
        <f t="shared" si="0"/>
        <v>307028609.5</v>
      </c>
      <c r="H7" s="17">
        <f t="shared" si="1"/>
        <v>11515259.574643489</v>
      </c>
      <c r="I7" s="17">
        <f t="shared" si="2"/>
        <v>295513349.92535651</v>
      </c>
    </row>
    <row r="8" spans="1:9" ht="15.75" customHeight="1" x14ac:dyDescent="0.25">
      <c r="A8" s="5">
        <f t="shared" si="3"/>
        <v>2030</v>
      </c>
      <c r="B8" s="49">
        <v>10016146</v>
      </c>
      <c r="C8" s="50">
        <v>49919150</v>
      </c>
      <c r="D8" s="50">
        <v>75193551</v>
      </c>
      <c r="E8" s="50">
        <v>84038843.5</v>
      </c>
      <c r="F8" s="50">
        <v>96128193.5</v>
      </c>
      <c r="G8" s="17">
        <f t="shared" si="0"/>
        <v>305279738</v>
      </c>
      <c r="H8" s="17">
        <f t="shared" si="1"/>
        <v>11437998.255968219</v>
      </c>
      <c r="I8" s="17">
        <f t="shared" si="2"/>
        <v>293841739.74403179</v>
      </c>
    </row>
    <row r="9" spans="1:9" ht="15.75" customHeight="1" x14ac:dyDescent="0.25">
      <c r="A9" s="5">
        <f t="shared" si="3"/>
        <v>2031</v>
      </c>
      <c r="B9" s="49">
        <v>9983340</v>
      </c>
      <c r="C9" s="50">
        <v>50282071</v>
      </c>
      <c r="D9" s="50">
        <v>75802915.5</v>
      </c>
      <c r="E9" s="50">
        <v>80303426</v>
      </c>
      <c r="F9" s="50">
        <v>98386347</v>
      </c>
      <c r="G9" s="17">
        <f t="shared" si="0"/>
        <v>304774759.5</v>
      </c>
      <c r="H9" s="17">
        <f t="shared" si="1"/>
        <v>11400535.246664509</v>
      </c>
      <c r="I9" s="17">
        <f t="shared" si="2"/>
        <v>293374224.25333548</v>
      </c>
    </row>
    <row r="10" spans="1:9" ht="15.75" customHeight="1" x14ac:dyDescent="0.25">
      <c r="A10" s="5">
        <f t="shared" si="3"/>
        <v>2032</v>
      </c>
      <c r="B10" s="49">
        <v>9975985</v>
      </c>
      <c r="C10" s="50">
        <v>49711249.5</v>
      </c>
      <c r="D10" s="50">
        <v>76952876.5</v>
      </c>
      <c r="E10" s="50">
        <v>77919514.5</v>
      </c>
      <c r="F10" s="50">
        <v>99028005.5</v>
      </c>
      <c r="G10" s="17">
        <f t="shared" si="0"/>
        <v>303611646</v>
      </c>
      <c r="H10" s="17">
        <f t="shared" si="1"/>
        <v>11392136.160112392</v>
      </c>
      <c r="I10" s="17">
        <f t="shared" si="2"/>
        <v>292219509.83988762</v>
      </c>
    </row>
    <row r="11" spans="1:9" ht="15.75" customHeight="1" x14ac:dyDescent="0.25">
      <c r="A11" s="5">
        <f t="shared" si="3"/>
        <v>2033</v>
      </c>
      <c r="B11" s="49">
        <v>9975509</v>
      </c>
      <c r="C11" s="50">
        <v>48164067</v>
      </c>
      <c r="D11" s="50">
        <v>78265715</v>
      </c>
      <c r="E11" s="50">
        <v>76069799</v>
      </c>
      <c r="F11" s="50">
        <v>98301972</v>
      </c>
      <c r="G11" s="17">
        <f t="shared" si="0"/>
        <v>300801553</v>
      </c>
      <c r="H11" s="17">
        <f t="shared" si="1"/>
        <v>11391592.589045255</v>
      </c>
      <c r="I11" s="17">
        <f t="shared" si="2"/>
        <v>289409960.41095477</v>
      </c>
    </row>
    <row r="12" spans="1:9" ht="15.75" customHeight="1" x14ac:dyDescent="0.25">
      <c r="A12" s="5">
        <f t="shared" si="3"/>
        <v>2034</v>
      </c>
      <c r="B12" s="49">
        <v>9945347</v>
      </c>
      <c r="C12" s="50">
        <v>45971958.999999993</v>
      </c>
      <c r="D12" s="50">
        <v>79430886.5</v>
      </c>
      <c r="E12" s="50">
        <v>74644569</v>
      </c>
      <c r="F12" s="50">
        <v>97359475</v>
      </c>
      <c r="G12" s="17">
        <f t="shared" si="0"/>
        <v>297406889.5</v>
      </c>
      <c r="H12" s="17">
        <f t="shared" si="1"/>
        <v>11357148.911467422</v>
      </c>
      <c r="I12" s="17">
        <f t="shared" si="2"/>
        <v>286049740.58853257</v>
      </c>
    </row>
    <row r="13" spans="1:9" ht="15.75" customHeight="1" x14ac:dyDescent="0.25">
      <c r="A13" s="5">
        <f t="shared" si="3"/>
        <v>2035</v>
      </c>
      <c r="B13" s="49">
        <v>9999279</v>
      </c>
      <c r="C13" s="50">
        <v>43080504.499999993</v>
      </c>
      <c r="D13" s="50">
        <v>80318549</v>
      </c>
      <c r="E13" s="50">
        <v>73624062.5</v>
      </c>
      <c r="F13" s="50">
        <v>95535864.5</v>
      </c>
      <c r="G13" s="17">
        <f t="shared" si="0"/>
        <v>292558980.5</v>
      </c>
      <c r="H13" s="17">
        <f t="shared" si="1"/>
        <v>11418736.883721506</v>
      </c>
      <c r="I13" s="17">
        <f t="shared" si="2"/>
        <v>281140243.61627847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D+xpZbudSrc4+XjHDBmI+3ifgwvYcb1LI/v/uo3mWi95BjgwSsPEhxolfJfUZe2dF+NEp6gqLyavOuCEtRfI7g==" saltValue="vDmPCu3R0lEcB9bPu0H0L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4.9413000000000009E-3</v>
      </c>
    </row>
    <row r="4" spans="1:8" ht="15.75" customHeight="1" x14ac:dyDescent="0.25">
      <c r="B4" s="19" t="s">
        <v>97</v>
      </c>
      <c r="C4" s="101">
        <v>2.3830000000000101E-2</v>
      </c>
    </row>
    <row r="5" spans="1:8" ht="15.75" customHeight="1" x14ac:dyDescent="0.25">
      <c r="B5" s="19" t="s">
        <v>98</v>
      </c>
      <c r="C5" s="101">
        <v>5.7832200000000118E-2</v>
      </c>
    </row>
    <row r="6" spans="1:8" ht="15.75" customHeight="1" x14ac:dyDescent="0.25">
      <c r="B6" s="19" t="s">
        <v>99</v>
      </c>
      <c r="C6" s="101">
        <v>0.27551590000000031</v>
      </c>
    </row>
    <row r="7" spans="1:8" ht="15.75" customHeight="1" x14ac:dyDescent="0.25">
      <c r="B7" s="19" t="s">
        <v>100</v>
      </c>
      <c r="C7" s="101">
        <v>0.31112999999999941</v>
      </c>
    </row>
    <row r="8" spans="1:8" ht="15.75" customHeight="1" x14ac:dyDescent="0.25">
      <c r="B8" s="19" t="s">
        <v>101</v>
      </c>
      <c r="C8" s="101">
        <v>4.9439999999999998E-4</v>
      </c>
    </row>
    <row r="9" spans="1:8" ht="15.75" customHeight="1" x14ac:dyDescent="0.25">
      <c r="B9" s="19" t="s">
        <v>102</v>
      </c>
      <c r="C9" s="101">
        <v>0.17996240000000011</v>
      </c>
    </row>
    <row r="10" spans="1:8" ht="15.75" customHeight="1" x14ac:dyDescent="0.25">
      <c r="B10" s="19" t="s">
        <v>103</v>
      </c>
      <c r="C10" s="101">
        <v>0.1462938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9.3615614352048612E-2</v>
      </c>
      <c r="D14" s="55">
        <v>9.3615614352048612E-2</v>
      </c>
      <c r="E14" s="55">
        <v>9.3615614352048612E-2</v>
      </c>
      <c r="F14" s="55">
        <v>9.3615614352048612E-2</v>
      </c>
    </row>
    <row r="15" spans="1:8" ht="15.75" customHeight="1" x14ac:dyDescent="0.25">
      <c r="B15" s="19" t="s">
        <v>106</v>
      </c>
      <c r="C15" s="101">
        <v>0.16932976336606129</v>
      </c>
      <c r="D15" s="101">
        <v>0.16932976336606129</v>
      </c>
      <c r="E15" s="101">
        <v>0.16932976336606129</v>
      </c>
      <c r="F15" s="101">
        <v>0.16932976336606129</v>
      </c>
    </row>
    <row r="16" spans="1:8" ht="15.75" customHeight="1" x14ac:dyDescent="0.25">
      <c r="B16" s="19" t="s">
        <v>107</v>
      </c>
      <c r="C16" s="101">
        <v>4.0391351019369762E-2</v>
      </c>
      <c r="D16" s="101">
        <v>4.0391351019369762E-2</v>
      </c>
      <c r="E16" s="101">
        <v>4.0391351019369762E-2</v>
      </c>
      <c r="F16" s="101">
        <v>4.0391351019369762E-2</v>
      </c>
    </row>
    <row r="17" spans="1:8" ht="15.75" customHeight="1" x14ac:dyDescent="0.25">
      <c r="B17" s="19" t="s">
        <v>108</v>
      </c>
      <c r="C17" s="101">
        <v>4.6859604326945706E-3</v>
      </c>
      <c r="D17" s="101">
        <v>4.6859604326945706E-3</v>
      </c>
      <c r="E17" s="101">
        <v>4.6859604326945706E-3</v>
      </c>
      <c r="F17" s="101">
        <v>4.6859604326945706E-3</v>
      </c>
    </row>
    <row r="18" spans="1:8" ht="15.75" customHeight="1" x14ac:dyDescent="0.25">
      <c r="B18" s="19" t="s">
        <v>109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110</v>
      </c>
      <c r="C19" s="101">
        <v>5.8536834753466688E-2</v>
      </c>
      <c r="D19" s="101">
        <v>5.8536834753466688E-2</v>
      </c>
      <c r="E19" s="101">
        <v>5.8536834753466688E-2</v>
      </c>
      <c r="F19" s="101">
        <v>5.8536834753466688E-2</v>
      </c>
    </row>
    <row r="20" spans="1:8" ht="15.75" customHeight="1" x14ac:dyDescent="0.25">
      <c r="B20" s="19" t="s">
        <v>111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112</v>
      </c>
      <c r="C21" s="101">
        <v>0.42620646579798821</v>
      </c>
      <c r="D21" s="101">
        <v>0.42620646579798821</v>
      </c>
      <c r="E21" s="101">
        <v>0.42620646579798821</v>
      </c>
      <c r="F21" s="101">
        <v>0.42620646579798821</v>
      </c>
    </row>
    <row r="22" spans="1:8" ht="15.75" customHeight="1" x14ac:dyDescent="0.25">
      <c r="B22" s="19" t="s">
        <v>113</v>
      </c>
      <c r="C22" s="101">
        <v>0.20723401027837079</v>
      </c>
      <c r="D22" s="101">
        <v>0.20723401027837079</v>
      </c>
      <c r="E22" s="101">
        <v>0.20723401027837079</v>
      </c>
      <c r="F22" s="101">
        <v>0.20723401027837079</v>
      </c>
    </row>
    <row r="23" spans="1:8" ht="15.75" customHeight="1" x14ac:dyDescent="0.25">
      <c r="B23" s="27" t="s">
        <v>59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6.7517338999999996E-2</v>
      </c>
    </row>
    <row r="27" spans="1:8" ht="15.75" customHeight="1" x14ac:dyDescent="0.25">
      <c r="B27" s="19" t="s">
        <v>120</v>
      </c>
      <c r="C27" s="101">
        <v>2.6177430000000001E-3</v>
      </c>
    </row>
    <row r="28" spans="1:8" ht="15.75" customHeight="1" x14ac:dyDescent="0.25">
      <c r="B28" s="19" t="s">
        <v>121</v>
      </c>
      <c r="C28" s="101">
        <v>0.29081648100000002</v>
      </c>
    </row>
    <row r="29" spans="1:8" ht="15.75" customHeight="1" x14ac:dyDescent="0.25">
      <c r="B29" s="19" t="s">
        <v>122</v>
      </c>
      <c r="C29" s="101">
        <v>0.10208263099999999</v>
      </c>
    </row>
    <row r="30" spans="1:8" ht="15.75" customHeight="1" x14ac:dyDescent="0.25">
      <c r="B30" s="19" t="s">
        <v>2</v>
      </c>
      <c r="C30" s="101">
        <v>2.4702686000000001E-2</v>
      </c>
    </row>
    <row r="31" spans="1:8" ht="15.75" customHeight="1" x14ac:dyDescent="0.25">
      <c r="B31" s="19" t="s">
        <v>123</v>
      </c>
      <c r="C31" s="101">
        <v>4.3597729999999999E-3</v>
      </c>
    </row>
    <row r="32" spans="1:8" ht="15.75" customHeight="1" x14ac:dyDescent="0.25">
      <c r="B32" s="19" t="s">
        <v>124</v>
      </c>
      <c r="C32" s="101">
        <v>0.112627305</v>
      </c>
    </row>
    <row r="33" spans="2:3" ht="15.75" customHeight="1" x14ac:dyDescent="0.25">
      <c r="B33" s="19" t="s">
        <v>125</v>
      </c>
      <c r="C33" s="101">
        <v>0.14088149799999999</v>
      </c>
    </row>
    <row r="34" spans="2:3" ht="15.75" customHeight="1" x14ac:dyDescent="0.25">
      <c r="B34" s="19" t="s">
        <v>126</v>
      </c>
      <c r="C34" s="101">
        <v>0.254394544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u/ae/v+J4C6TiZ5gtRLvsWBR2IBjlV6yTkc5aGuHC8Em3v5JUMtyXMgylt1M5+WSj0l4T0bOoHkRh7v+bbyrkA==" saltValue="ALQEQHUpvseAlRX2A3X1u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132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133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137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138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0.24106760525000001</v>
      </c>
      <c r="D14" s="54">
        <v>0.22647946759500001</v>
      </c>
      <c r="E14" s="54">
        <v>0.22647946759500001</v>
      </c>
      <c r="F14" s="54">
        <v>8.3043017710499989E-2</v>
      </c>
      <c r="G14" s="54">
        <v>8.3043017710499989E-2</v>
      </c>
      <c r="H14" s="45">
        <v>0.32400000000000001</v>
      </c>
      <c r="I14" s="55">
        <v>0.32400000000000001</v>
      </c>
      <c r="J14" s="55">
        <v>0.32400000000000001</v>
      </c>
      <c r="K14" s="55">
        <v>0.32400000000000001</v>
      </c>
      <c r="L14" s="45">
        <v>0.26200000000000001</v>
      </c>
      <c r="M14" s="55">
        <v>0.26200000000000001</v>
      </c>
      <c r="N14" s="55">
        <v>0.26200000000000001</v>
      </c>
      <c r="O14" s="55">
        <v>0.26200000000000001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0.15851279849411126</v>
      </c>
      <c r="D15" s="52">
        <f t="shared" si="0"/>
        <v>0.14892044151975428</v>
      </c>
      <c r="E15" s="52">
        <f t="shared" si="0"/>
        <v>0.14892044151975428</v>
      </c>
      <c r="F15" s="52">
        <f t="shared" si="0"/>
        <v>5.4604521080450719E-2</v>
      </c>
      <c r="G15" s="52">
        <f t="shared" si="0"/>
        <v>5.4604521080450719E-2</v>
      </c>
      <c r="H15" s="52">
        <f t="shared" si="0"/>
        <v>0.21304458000000001</v>
      </c>
      <c r="I15" s="52">
        <f t="shared" si="0"/>
        <v>0.21304458000000001</v>
      </c>
      <c r="J15" s="52">
        <f t="shared" si="0"/>
        <v>0.21304458000000001</v>
      </c>
      <c r="K15" s="52">
        <f t="shared" si="0"/>
        <v>0.21304458000000001</v>
      </c>
      <c r="L15" s="52">
        <f t="shared" si="0"/>
        <v>0.17227679000000001</v>
      </c>
      <c r="M15" s="52">
        <f t="shared" si="0"/>
        <v>0.17227679000000001</v>
      </c>
      <c r="N15" s="52">
        <f t="shared" si="0"/>
        <v>0.17227679000000001</v>
      </c>
      <c r="O15" s="52">
        <f t="shared" si="0"/>
        <v>0.17227679000000001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FfJ2mstN8+3IqD2mJQlX0BDTQ80L3GVT1dUBR40MtlredJ50qjz942JBAFe76kr6I/FTXxa/Cr8R82Zf/e/3dQ==" saltValue="BwoCkZecyQWODDjAiITn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0.63046120140845097</v>
      </c>
      <c r="D2" s="53">
        <v>0.43695124225352111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0.13987543571428601</v>
      </c>
      <c r="D3" s="53">
        <v>0.172720771830986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0.18968471549295801</v>
      </c>
      <c r="D4" s="53">
        <v>0.32114636056337997</v>
      </c>
      <c r="E4" s="53">
        <v>0.86012135342465701</v>
      </c>
      <c r="F4" s="53">
        <v>0.68589079999999991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3.9978647384305122E-2</v>
      </c>
      <c r="D5" s="52">
        <f t="shared" si="0"/>
        <v>6.9181625352112919E-2</v>
      </c>
      <c r="E5" s="52">
        <f>1-SUM(E2:E4)</f>
        <v>0.13987864657534299</v>
      </c>
      <c r="F5" s="52">
        <f>1-SUM(F2:F4)</f>
        <v>0.31410920000000009</v>
      </c>
      <c r="G5" s="52">
        <f>1-SUM(G2:G4)</f>
        <v>1</v>
      </c>
    </row>
  </sheetData>
  <sheetProtection algorithmName="SHA-512" hashValue="AmgVkM3AyOhj0YgW3xuDpPN+PhjhlFiOCGTOtaVOtPieWBh3yAxx6U50Ac5upBePQxX2IpHCXJIXjq1QeMdlPw==" saltValue="ieVyJ3sZANnnTsTVnIT14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h8FZ0zH/WoyFkpQpL/mFFtNgcuJVGJJJewfWjrFO1+DZbRwUO8b9W7+y9GTORArN0RR18HCvHZA7LrgIY4x6zA==" saltValue="fMDY7+N5JY62UeX5a4T07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12720.2163182363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0.51402000000000003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0.70909000000000011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1.5439618538584325E-2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99209.966799999995</v>
      </c>
      <c r="C22" s="109">
        <v>99118.246459999995</v>
      </c>
      <c r="D22" s="109">
        <v>99022.101850000006</v>
      </c>
      <c r="E22" s="109">
        <v>98844.161110000001</v>
      </c>
      <c r="F22" s="109">
        <v>98566.329459999994</v>
      </c>
      <c r="G22" s="109">
        <v>98265.431519999998</v>
      </c>
      <c r="H22" s="109">
        <v>97848.814899999998</v>
      </c>
      <c r="I22" s="109">
        <v>97243.326990000001</v>
      </c>
      <c r="J22" s="109">
        <v>96337.457240000003</v>
      </c>
      <c r="K22" s="109">
        <v>95149.884640000004</v>
      </c>
      <c r="L22" s="109">
        <v>93288.180110000001</v>
      </c>
      <c r="M22" s="109">
        <v>90442.844150000004</v>
      </c>
      <c r="N22" s="109">
        <v>86031.172070000001</v>
      </c>
      <c r="O22" s="109">
        <v>79308.786040000006</v>
      </c>
    </row>
  </sheetData>
  <sheetProtection algorithmName="SHA-512" hashValue="534bEkeIQNorYM0W0Gc64SkFCgIRAGPd+tzAqY55ig17dSZuikp886x2YDR2PGVbqCdV8lJeJzDBsOja2tQffg==" saltValue="Yfmj8pRpYxnUIytK8AhQB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yMiB4UJxxA+S1PhIhXFLE8b6mPY7g3a+ShZbCut9hYIdoepx/3JWDWfbr3UCEUe3mTnxRUHaFqgZTxfpNm2T3Q==" saltValue="jdLHqnWRBzYPrOvJwgLKn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1PAwN26S9n6rOIeQYGHc30EVu0zMZWhFc81g8iak82er6GyXbNGhBuLN5F/7oQrbgvt1XbPkH6Qg5T7253VDMQ==" saltValue="2CYmmXjdJR9h26AweYdH3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23.266651740020471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23.266651740020471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0.80999999999999994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3.1156800607451971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0.19283527130965261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2.1597550386681101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0.25</v>
      </c>
      <c r="C9" s="98">
        <v>0.95</v>
      </c>
      <c r="D9" s="56">
        <v>0.33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</v>
      </c>
      <c r="C10" s="98">
        <v>0.95</v>
      </c>
      <c r="D10" s="56">
        <v>13.58131551799676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13.58131551799676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13.58131551799676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13.58131551799676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</v>
      </c>
      <c r="C14" s="98">
        <v>0.95</v>
      </c>
      <c r="D14" s="56">
        <v>13.58131551799676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13.58131551799676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</v>
      </c>
      <c r="C16" s="98">
        <v>0.95</v>
      </c>
      <c r="D16" s="56">
        <v>1.57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1.7000977777777799E-3</v>
      </c>
      <c r="C17" s="98">
        <v>0.95</v>
      </c>
      <c r="D17" s="56">
        <v>0.1369044839662158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</v>
      </c>
      <c r="C18" s="98">
        <v>0.95</v>
      </c>
      <c r="D18" s="56">
        <v>8.0823886898669404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</v>
      </c>
      <c r="C19" s="98">
        <v>0.95</v>
      </c>
      <c r="D19" s="56">
        <v>18.60707793325918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8.32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0.80999999999999994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</v>
      </c>
      <c r="C23" s="98">
        <v>0.95</v>
      </c>
      <c r="D23" s="56">
        <v>4.6350477086017117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0.70933694079999998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</v>
      </c>
      <c r="C26" s="98">
        <v>0.95</v>
      </c>
      <c r="D26" s="56">
        <v>8.469314227226203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14.964151740020471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0.40699999999999997</v>
      </c>
      <c r="C29" s="98">
        <v>0.95</v>
      </c>
      <c r="D29" s="56">
        <v>33.321934882307978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53.05041964170676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118.83755373592631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</v>
      </c>
      <c r="C32" s="98">
        <v>0.95</v>
      </c>
      <c r="D32" s="56">
        <v>0.69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0.97206789999999998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0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0.85931000000000002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</v>
      </c>
      <c r="C38" s="98">
        <v>0.95</v>
      </c>
      <c r="D38" s="56">
        <v>3.45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3.07</v>
      </c>
      <c r="E39" s="56" t="s">
        <v>230</v>
      </c>
      <c r="F39" s="98">
        <v>1</v>
      </c>
      <c r="G39" s="98">
        <v>1</v>
      </c>
    </row>
  </sheetData>
  <sheetProtection algorithmName="SHA-512" hashValue="nMmb9oXGkvZ8396PZQvcgKO6loWgVyS6dgN0q7WVgzhSSHflz7OZBAlhUpiqn4gVhuKmM9j14K98wHkkLqlWhA==" saltValue="BNB8HekCd6PFkL8lfUzt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5gDjYNIGc6rYjl0+t2iPsSpeGX/jSI9EU8YEDrItGyk9uxxAW2hOcSNbdOGUvrcOwzTdauCfrUar11mWZ/CbmQ==" saltValue="cPt/N0nuBScnSqXeoRrHA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fhu6TToDrf9jBCEz8nk9seKf3HaD4pH1bmpscH4scN3UFVcYYulgG18PYuWkeG0wTlUYuPziFt+aNI2R/DxMSQ==" saltValue="PyRBGLqAlfb0aD1//lV4M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2.2000000000000002</v>
      </c>
      <c r="C2" s="21">
        <f>'Données pop de l''année de ref'!C52</f>
        <v>2.2000000000000002</v>
      </c>
      <c r="D2" s="21">
        <f>'Données pop de l''année de ref'!C53</f>
        <v>2.2000000000000002</v>
      </c>
      <c r="E2" s="21">
        <f>'Données pop de l''année de ref'!C54</f>
        <v>2.2000000000000002</v>
      </c>
      <c r="F2" s="21">
        <f>'Données pop de l''année de ref'!C55</f>
        <v>2.2000000000000002</v>
      </c>
    </row>
    <row r="3" spans="1:6" ht="15.75" customHeight="1" x14ac:dyDescent="0.25">
      <c r="A3" s="3" t="s">
        <v>238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237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sheetProtection algorithmName="SHA-512" hashValue="EztAss1Kt/iB2NCvCPkUozJHTxCF9NFuk13YBTUtB3N4Wb0R5nJ56EDoY0jrjNkhcvYfnnZK2bedmgulRpocOA==" saltValue="NwoCmglq6y8Z09R6jOHxs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5.0000000000000001E-3</v>
      </c>
      <c r="F2" s="60">
        <f>food_insecure</f>
        <v>5.0000000000000001E-3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5.0000000000000001E-3</v>
      </c>
      <c r="F5" s="60">
        <f>food_insecure</f>
        <v>5.0000000000000001E-3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5.0000000000000001E-3</v>
      </c>
      <c r="F8" s="60">
        <f>food_insecure</f>
        <v>5.0000000000000001E-3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5.0000000000000001E-3</v>
      </c>
      <c r="F9" s="60">
        <f>food_insecure</f>
        <v>5.0000000000000001E-3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5.0000000000000001E-3</v>
      </c>
      <c r="I15" s="60">
        <f t="shared" si="0"/>
        <v>5.0000000000000001E-3</v>
      </c>
      <c r="J15" s="60">
        <f t="shared" si="0"/>
        <v>5.0000000000000001E-3</v>
      </c>
      <c r="K15" s="60">
        <f t="shared" si="0"/>
        <v>5.0000000000000001E-3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5.0000000000000001E-3</v>
      </c>
      <c r="I16" s="60">
        <f t="shared" si="0"/>
        <v>5.0000000000000001E-3</v>
      </c>
      <c r="J16" s="60">
        <f t="shared" si="0"/>
        <v>5.0000000000000001E-3</v>
      </c>
      <c r="K16" s="60">
        <f t="shared" si="0"/>
        <v>5.0000000000000001E-3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0.10299999999999999</v>
      </c>
      <c r="M24" s="60">
        <f>famplan_unmet_need</f>
        <v>0.10299999999999999</v>
      </c>
      <c r="N24" s="60">
        <f>famplan_unmet_need</f>
        <v>0.10299999999999999</v>
      </c>
      <c r="O24" s="60">
        <f>famplan_unmet_need</f>
        <v>0.10299999999999999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9.1292583364080013E-2</v>
      </c>
      <c r="M25" s="60">
        <f>(1-food_insecure)*(0.49)+food_insecure*(0.7)</f>
        <v>0.49104999999999999</v>
      </c>
      <c r="N25" s="60">
        <f>(1-food_insecure)*(0.49)+food_insecure*(0.7)</f>
        <v>0.49104999999999999</v>
      </c>
      <c r="O25" s="60">
        <f>(1-food_insecure)*(0.49)+food_insecure*(0.7)</f>
        <v>0.49104999999999999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3.9125392870320005E-2</v>
      </c>
      <c r="M26" s="60">
        <f>(1-food_insecure)*(0.21)+food_insecure*(0.3)</f>
        <v>0.21045</v>
      </c>
      <c r="N26" s="60">
        <f>(1-food_insecure)*(0.21)+food_insecure*(0.3)</f>
        <v>0.21045</v>
      </c>
      <c r="O26" s="60">
        <f>(1-food_insecure)*(0.21)+food_insecure*(0.3)</f>
        <v>0.21045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5.5495033365600001E-2</v>
      </c>
      <c r="M27" s="60">
        <f>(1-food_insecure)*(0.3)</f>
        <v>0.29849999999999999</v>
      </c>
      <c r="N27" s="60">
        <f>(1-food_insecure)*(0.3)</f>
        <v>0.29849999999999999</v>
      </c>
      <c r="O27" s="60">
        <f>(1-food_insecure)*(0.3)</f>
        <v>0.29849999999999999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5Z7he7FizLZajUjnMe5v26Ofp6v8A8x/lwl5DewhB9vSyDx8y4iKJg8v5LFYGXEXuRVD7yzpDJw2ZByjRQIuA==" saltValue="6Gjq9NpfH6iQiQYQF15Fn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hbJza/3NCNXqBJEAq3R9b182V7j1F0gioHmxInJttNIqzRlD7/DHE3Xsqo36dpnno9NIFVnu+iVo6M5kRYey5g==" saltValue="8GSxlGWRTrr5DzsO2CZ5Y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0LUwWBLE7pYXwZLiW/CiTluSjMv3ADjnJfS8CUrrRNNJLRp1eGw5lEj3kNLVqSpVLgVIB++xdpT40ddINgvAkg==" saltValue="HeUNLTO6UVg57A+VEf+bw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chQoZnKQ7K00kEkmVZo5c2JE56rQoIqOCTTyI9jkqcMn4AMglwxCCQvpG9wRx3UbSfivvg8AP/4xF68D3FZ0KA==" saltValue="3jbU53WQTnPPCE9kRIj94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Va0YKYcK9yZns0J8y0xZMs5eRxwq9ffB3U3TbOViHuWQPWZYw9vqvA9wceA8xmzw2IcIbDZGAAhhEPqFBBqlGg==" saltValue="XlSz/CaAbyppr+qYyq32I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oBjOmmWP2aKdf/Er+6We9r/1rVboVqRAgZh7KaprWCs6lrah0Jlln0M1Gv99tREvcqP6MEw48jArpnEOQ0Y6UA==" saltValue="SpG5NcMhx08L/U2SjKJDq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gTeqkZEjw2fuzNT2yuVPRZaLeNxwcnYmj7JJfxzR27za8AbsWwZesP0re75S/dnZ4PR1ZWn/RFDJQ4xCf+IqiQ==" saltValue="umdKqqXNNxbT3nBQPGqDt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eZiJ8Jq4s4lrxLwhmL/KNeIOlJj1+JzIABwI05TyDJx39jTkazU3geKoAqCDTwVWPqE338ozjNOdO2NqGH5gjg==" saltValue="J+G8Onz/41Ky2fveAMCI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O+jv/NGYII/S1S7QZhwP06ckmyLd8IK/ZcYaD3w/7xKD9Iopg4ZU5cRUwcJcpsrwX4JQS4WVCiFdxA9/Rm/s3A==" saltValue="41twwhBhR5GBDyh0rTQC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VWiipP9SI32zCuSqIit0jogb9yQf3mbIoKevrd3EqTAU3DDbwYF/9Xq2Sid3k98DqwMmpirxn4OqABnajZq9Sg==" saltValue="X4EQhoC4J05HIsWiPbi4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Th9GUWEo10HOYk4FkDTBWqK5qx5LnGUdFvi6uKDxtzk/ZLybQrNb8UTKtFNieLB3Vq4w0DMn6F/nYqE4YUgO9w==" saltValue="L7vNwe174Z+ovwlHuDZSP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VnhFy9uMXaxyBJee8v4sOoRouqDUpyFW+/MmRB/3aj7H4ufqt9/eAJ4ybi8OMBkXh/rE86Lvv3enWyfquEFu+w==" saltValue="YRwVpiA9lTCJenRb3VJt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xq+CwhPEfA/yVxW7Ntz/9d/FyhGzDaCX/Lsmmdz42HyuFn5BWjSRkTkSFoOjsGcKg+ozbT81fANQvvq0ibUcgw==" saltValue="C5gAOKkQQ56gI/9pWLYGd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2bYLsQIiZDge7o8vdywWrwu8c5btCEN0Jo4un6FBsv9bvIIyya2BiUsYQzJDl89UXlMA6WydhgO+409EeZEmFQ==" saltValue="rYrImJK7CiLCfWHNKtsH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fXdl0lz9xU0l9RQ02OG+N/MiDENSgtb7w6B5t9OemrWxdfU4wM3Q6CZRKQgm5rFP+MYvmVUO+jizPivike1l/A==" saltValue="cGhcNfCr3FC13w6VJMqvl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2025-07-04T03:28:01Z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