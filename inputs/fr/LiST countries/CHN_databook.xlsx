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9D89CA5-657C-4770-823A-B5D65A4CF86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36" i="2"/>
  <c r="A23" i="2"/>
  <c r="A24" i="2"/>
  <c r="A25" i="2"/>
  <c r="A22" i="2"/>
  <c r="A37" i="2"/>
  <c r="I9" i="2"/>
  <c r="I13" i="2"/>
  <c r="I38" i="2"/>
  <c r="A26" i="2"/>
  <c r="I39" i="2"/>
  <c r="A31" i="2"/>
  <c r="A34" i="2"/>
  <c r="A40" i="2"/>
  <c r="I3" i="2"/>
  <c r="I7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<sst xmlns="http://schemas.openxmlformats.org/spreadsheetml/2006/main" count="2169" uniqueCount="369">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</sst>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47520141.5</v>
      </c>
    </row>
    <row r="8" spans="1:3" ht="15" customHeight="1" x14ac:dyDescent="0.25">
      <c r="B8" s="5" t="s">
        <v>37</v>
      </c>
      <c r="C8" s="44">
        <v>5.0000000000000001E-3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7.980000000000001E-2</v>
      </c>
    </row>
    <row r="24" spans="1:3" ht="15" customHeight="1" x14ac:dyDescent="0.25">
      <c r="B24" s="15" t="s">
        <v>51</v>
      </c>
      <c r="C24" s="45">
        <v>0.68840000000000001</v>
      </c>
    </row>
    <row r="25" spans="1:3" ht="15" customHeight="1" x14ac:dyDescent="0.25">
      <c r="B25" s="15" t="s">
        <v>52</v>
      </c>
      <c r="C25" s="45">
        <v>0.20130000000000001</v>
      </c>
    </row>
    <row r="26" spans="1:3" ht="15" customHeight="1" x14ac:dyDescent="0.25">
      <c r="B26" s="15" t="s">
        <v>53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0.40385805873750502</v>
      </c>
    </row>
    <row r="30" spans="1:3" ht="14.25" customHeight="1" x14ac:dyDescent="0.25">
      <c r="B30" s="25" t="s">
        <v>56</v>
      </c>
      <c r="C30" s="97">
        <v>3.4597339605538499E-2</v>
      </c>
    </row>
    <row r="31" spans="1:3" ht="14.25" customHeight="1" x14ac:dyDescent="0.25">
      <c r="B31" s="25" t="s">
        <v>57</v>
      </c>
      <c r="C31" s="97">
        <v>5.9568417955223898E-2</v>
      </c>
    </row>
    <row r="32" spans="1:3" ht="14.25" customHeight="1" x14ac:dyDescent="0.25">
      <c r="B32" s="25" t="s">
        <v>58</v>
      </c>
      <c r="C32" s="97">
        <v>0.50197618370173303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3.1912600000000002</v>
      </c>
    </row>
    <row r="38" spans="1:5" ht="15" customHeight="1" x14ac:dyDescent="0.25">
      <c r="B38" s="11" t="s">
        <v>63</v>
      </c>
      <c r="C38" s="43">
        <v>5.0500699999999998</v>
      </c>
      <c r="D38" s="12"/>
      <c r="E38" s="13"/>
    </row>
    <row r="39" spans="1:5" ht="15" customHeight="1" x14ac:dyDescent="0.25">
      <c r="B39" s="11" t="s">
        <v>64</v>
      </c>
      <c r="C39" s="43">
        <v>6.93459</v>
      </c>
      <c r="D39" s="12"/>
      <c r="E39" s="12"/>
    </row>
    <row r="40" spans="1:5" ht="15" customHeight="1" x14ac:dyDescent="0.25">
      <c r="B40" s="11" t="s">
        <v>65</v>
      </c>
      <c r="C40" s="98">
        <v>0.23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5.2434999999999999E-3</v>
      </c>
      <c r="D45" s="12"/>
    </row>
    <row r="46" spans="1:5" ht="15.75" customHeight="1" x14ac:dyDescent="0.25">
      <c r="B46" s="11" t="s">
        <v>70</v>
      </c>
      <c r="C46" s="45">
        <v>5.6247199999999997E-2</v>
      </c>
      <c r="D46" s="12"/>
    </row>
    <row r="47" spans="1:5" ht="15.75" customHeight="1" x14ac:dyDescent="0.25">
      <c r="B47" s="11" t="s">
        <v>71</v>
      </c>
      <c r="C47" s="45">
        <v>6.706680000000001E-2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0.65754500000000005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4.9735185770000002E-2</v>
      </c>
    </row>
    <row r="63" spans="1:4" ht="15.75" customHeight="1" x14ac:dyDescent="0.3">
      <c r="A63" s="4"/>
    </row>
  </sheetData>
  <sheetProtection algorithmName="SHA-512" hashValue="pYJl8z2gNXyRd9PBxZlZNsbzfgmB/D+3yVbiQdsDNIx84JkTtN50+I8wCV9wSpcdOnWzfsAxvJ28PMXcrY8TCA==" saltValue="3CvupPJNVbZapkhv+JfF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zKW0kArAMPn1jD6HCThhIkZpaS0zW8MsA/V3MHflVhof77hS68cxB3aKaF2C9yRd7UikM/OR6WZWkx8a2q7aA==" saltValue="wi3kttT22wqKnS9S+tFt3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4.9413000000000009E-3</v>
      </c>
    </row>
    <row r="4" spans="1:8" ht="15.75" customHeight="1" x14ac:dyDescent="0.25">
      <c r="B4" s="19" t="s">
        <v>97</v>
      </c>
      <c r="C4" s="99">
        <v>2.3830000000000101E-2</v>
      </c>
    </row>
    <row r="5" spans="1:8" ht="15.75" customHeight="1" x14ac:dyDescent="0.25">
      <c r="B5" s="19" t="s">
        <v>98</v>
      </c>
      <c r="C5" s="99">
        <v>5.7832200000000118E-2</v>
      </c>
    </row>
    <row r="6" spans="1:8" ht="15.75" customHeight="1" x14ac:dyDescent="0.25">
      <c r="B6" s="19" t="s">
        <v>99</v>
      </c>
      <c r="C6" s="99">
        <v>0.27551590000000031</v>
      </c>
    </row>
    <row r="7" spans="1:8" ht="15.75" customHeight="1" x14ac:dyDescent="0.25">
      <c r="B7" s="19" t="s">
        <v>100</v>
      </c>
      <c r="C7" s="99">
        <v>0.31112999999999941</v>
      </c>
    </row>
    <row r="8" spans="1:8" ht="15.75" customHeight="1" x14ac:dyDescent="0.25">
      <c r="B8" s="19" t="s">
        <v>101</v>
      </c>
      <c r="C8" s="99">
        <v>4.9439999999999998E-4</v>
      </c>
    </row>
    <row r="9" spans="1:8" ht="15.75" customHeight="1" x14ac:dyDescent="0.25">
      <c r="B9" s="19" t="s">
        <v>102</v>
      </c>
      <c r="C9" s="99">
        <v>0.17996240000000011</v>
      </c>
    </row>
    <row r="10" spans="1:8" ht="15.75" customHeight="1" x14ac:dyDescent="0.25">
      <c r="B10" s="19" t="s">
        <v>103</v>
      </c>
      <c r="C10" s="99">
        <v>0.1462938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106</v>
      </c>
      <c r="C15" s="99">
        <v>0.16932976336606129</v>
      </c>
      <c r="D15" s="99">
        <v>0.16932976336606129</v>
      </c>
      <c r="E15" s="99">
        <v>0.16932976336606129</v>
      </c>
      <c r="F15" s="99">
        <v>0.16932976336606129</v>
      </c>
    </row>
    <row r="16" spans="1:8" ht="15.75" customHeight="1" x14ac:dyDescent="0.25">
      <c r="B16" s="19" t="s">
        <v>107</v>
      </c>
      <c r="C16" s="99">
        <v>4.0391351019369762E-2</v>
      </c>
      <c r="D16" s="99">
        <v>4.0391351019369762E-2</v>
      </c>
      <c r="E16" s="99">
        <v>4.0391351019369762E-2</v>
      </c>
      <c r="F16" s="99">
        <v>4.0391351019369762E-2</v>
      </c>
    </row>
    <row r="17" spans="1:8" ht="15.75" customHeight="1" x14ac:dyDescent="0.25">
      <c r="B17" s="19" t="s">
        <v>108</v>
      </c>
      <c r="C17" s="99">
        <v>4.6859604326945706E-3</v>
      </c>
      <c r="D17" s="99">
        <v>4.6859604326945706E-3</v>
      </c>
      <c r="E17" s="99">
        <v>4.6859604326945706E-3</v>
      </c>
      <c r="F17" s="99">
        <v>4.6859604326945706E-3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5.8536834753466688E-2</v>
      </c>
      <c r="D19" s="99">
        <v>5.8536834753466688E-2</v>
      </c>
      <c r="E19" s="99">
        <v>5.8536834753466688E-2</v>
      </c>
      <c r="F19" s="99">
        <v>5.8536834753466688E-2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0.42620646579798821</v>
      </c>
      <c r="D21" s="99">
        <v>0.42620646579798821</v>
      </c>
      <c r="E21" s="99">
        <v>0.42620646579798821</v>
      </c>
      <c r="F21" s="99">
        <v>0.42620646579798821</v>
      </c>
    </row>
    <row r="22" spans="1:8" ht="15.75" customHeight="1" x14ac:dyDescent="0.25">
      <c r="B22" s="19" t="s">
        <v>113</v>
      </c>
      <c r="C22" s="99">
        <v>0.20723401027837079</v>
      </c>
      <c r="D22" s="99">
        <v>0.20723401027837079</v>
      </c>
      <c r="E22" s="99">
        <v>0.20723401027837079</v>
      </c>
      <c r="F22" s="99">
        <v>0.20723401027837079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6.7517338999999996E-2</v>
      </c>
    </row>
    <row r="27" spans="1:8" ht="15.75" customHeight="1" x14ac:dyDescent="0.25">
      <c r="B27" s="19" t="s">
        <v>120</v>
      </c>
      <c r="C27" s="99">
        <v>2.6177430000000001E-3</v>
      </c>
    </row>
    <row r="28" spans="1:8" ht="15.75" customHeight="1" x14ac:dyDescent="0.25">
      <c r="B28" s="19" t="s">
        <v>121</v>
      </c>
      <c r="C28" s="99">
        <v>0.29081648100000002</v>
      </c>
    </row>
    <row r="29" spans="1:8" ht="15.75" customHeight="1" x14ac:dyDescent="0.25">
      <c r="B29" s="19" t="s">
        <v>122</v>
      </c>
      <c r="C29" s="99">
        <v>0.10208263099999999</v>
      </c>
    </row>
    <row r="30" spans="1:8" ht="15.75" customHeight="1" x14ac:dyDescent="0.25">
      <c r="B30" s="19" t="s">
        <v>2</v>
      </c>
      <c r="C30" s="99">
        <v>2.4702686000000001E-2</v>
      </c>
    </row>
    <row r="31" spans="1:8" ht="15.75" customHeight="1" x14ac:dyDescent="0.25">
      <c r="B31" s="19" t="s">
        <v>123</v>
      </c>
      <c r="C31" s="99">
        <v>4.3597729999999999E-3</v>
      </c>
    </row>
    <row r="32" spans="1:8" ht="15.75" customHeight="1" x14ac:dyDescent="0.25">
      <c r="B32" s="19" t="s">
        <v>124</v>
      </c>
      <c r="C32" s="99">
        <v>0.112627305</v>
      </c>
    </row>
    <row r="33" spans="2:3" ht="15.75" customHeight="1" x14ac:dyDescent="0.25">
      <c r="B33" s="19" t="s">
        <v>125</v>
      </c>
      <c r="C33" s="99">
        <v>0.14088149799999999</v>
      </c>
    </row>
    <row r="34" spans="2:3" ht="15.75" customHeight="1" x14ac:dyDescent="0.25">
      <c r="B34" s="19" t="s">
        <v>126</v>
      </c>
      <c r="C34" s="99">
        <v>0.254394544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WDozCFEB9Z1ZPuwQjm76miubNyARXJdGgZVG5RAeQi+8VsaW3Vqr11M7goABaKKFAf0H30RAhEciAr0rnPlLaA==" saltValue="34GE93+pHvO9XIfTRZnmo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33xNU7iV/oDfrMh+vB6atpOXE8CamVu++HvKU1G5JCekZUxGkuicjcNzkSWf/6QxkQ8GSjemHWvLMN3fM3IQg==" saltValue="TsRqI2MJL+jvknd3sv75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Q13OmMpHDQsKZ3WFPXJGOIO3dGfCPWdHY/mwirorYL2jKqJpABI1h1REg6ZvHRPHxYtEGigZYOvxncZ4xknMvg==" saltValue="0agSTRYKjQno3XKj/wDFo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UiOnVvDaium+Yvg7Z9E/ET+AcGgMSv1NTMZO1n7ltI63Zgik9m0WcYNa61I8wvRA7K1Z3HgO/pD93rhF+WGvg==" saltValue="tggnVXSrKrg6FTYAl6V2o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12720.2163182363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0.51402000000000003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0.70909000000000011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1.5439618538584325E-2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99209.966799999995</v>
      </c>
      <c r="C22" s="107">
        <v>99118.246459999995</v>
      </c>
      <c r="D22" s="107">
        <v>99022.101850000006</v>
      </c>
      <c r="E22" s="107">
        <v>98844.161110000001</v>
      </c>
      <c r="F22" s="107">
        <v>98566.329459999994</v>
      </c>
      <c r="G22" s="107">
        <v>98265.431519999998</v>
      </c>
      <c r="H22" s="107">
        <v>97848.814899999998</v>
      </c>
      <c r="I22" s="107">
        <v>97243.326990000001</v>
      </c>
      <c r="J22" s="107">
        <v>96337.457240000003</v>
      </c>
      <c r="K22" s="107">
        <v>95149.884640000004</v>
      </c>
      <c r="L22" s="107">
        <v>93288.180110000001</v>
      </c>
      <c r="M22" s="107">
        <v>90442.844150000004</v>
      </c>
      <c r="N22" s="107">
        <v>86031.172070000001</v>
      </c>
      <c r="O22" s="107">
        <v>79308.786040000006</v>
      </c>
    </row>
  </sheetData>
  <sheetProtection algorithmName="SHA-512" hashValue="DeKVfraUZcsD0lWL0cj2fZWsVUQV1NO8gZ4NiiAaPL+I7YV0v9Yw/74r2idLivCs0WIWZCUStDqZTSEGxJV+WQ==" saltValue="NLtKpv1qaQfIee+hq32w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amB3d0Zi4iwMgIO8V/YTsWJ568WcwntIejRK02fldxCV5OW3n71OEK9ANJ4QQDD/AXEhR+3UKetENQMRWF11g==" saltValue="XmcaLOC2XkalVPwMSh1jz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QAwSBBPuzgeHNXCDus6uPCJeaMpE+67S8yeMisYm2kFzfD5sZwzBrqo7aVG8XsjwhEF7dPWPFocqAbkaXffOYA==" saltValue="af5A2DXzLYXxc2I0R1fq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3.1156800607451971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2.1597550386681101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13.58131551799676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13.58131551799676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13.58131551799676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13.58131551799676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13.58131551799676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13.58131551799676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1.7000977777777799E-3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18.60707793325918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4.6350477086017117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0.70933694079999998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0.40699999999999997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0.97206789999999998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0.85931000000000002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HTKMDcS7a34rSJ+apAShXM9+ScPcB+I6MxyL0WXPzuvSBkTImKLzUAAy772eFuTOcYzVwHoL/CLLJLzf/akZ7w==" saltValue="LMCdkUXG0vF38ilJPm+6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uEMB+NFInIJK00ZHaIRNezzlxU1yPNol/YcQVIMj7EHGDP5KA4UrAewfVE8PYcZVtjlRv1BfLxVGN0PYFWibg==" saltValue="9KzB3aDdTpJ5cUE0TxHt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VOg9vcAAHDM1lN63cxhEwCKIdiDjVv0Fu6Z7MyA0TFOyEdO5IOHL65PWPeSWXbTEgrXMsxfDnZPQ8fOUop/YA==" saltValue="eLQVt7sjGOEpNYrVemyor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ikZCcUNUws2FfgGsPGJjfebgy0N0fsbj5rpFkrfmfPRg89PQnDum4UC4Sn+ejU+E9aZwsn091CakW9mtSeDq+A==" saltValue="h+IFSrS57ntHrxztTWYJI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5.0000000000000001E-3</v>
      </c>
      <c r="F2" s="60">
        <f>food_insecure</f>
        <v>5.0000000000000001E-3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5.0000000000000001E-3</v>
      </c>
      <c r="I15" s="60">
        <f t="shared" si="0"/>
        <v>5.0000000000000001E-3</v>
      </c>
      <c r="J15" s="60">
        <f t="shared" si="0"/>
        <v>5.0000000000000001E-3</v>
      </c>
      <c r="K15" s="60">
        <f t="shared" si="0"/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5.0000000000000001E-3</v>
      </c>
      <c r="I16" s="60">
        <f t="shared" si="0"/>
        <v>5.0000000000000001E-3</v>
      </c>
      <c r="J16" s="60">
        <f t="shared" si="0"/>
        <v>5.0000000000000001E-3</v>
      </c>
      <c r="K16" s="60">
        <f t="shared" si="0"/>
        <v>5.0000000000000001E-3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RF3Vu4vpOUbT1IA5+lXakFH6a6OxVRf/Gtzk7fSlYDMYr9xB6Si43MmEKL0oKv2IocRJCkDchBlyBNRdTOWgg==" saltValue="r/DkUAG7UFHhcrDG0v0c2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f7vtEQjXW82xmSUBbmm+93MxyLtwTPYqvos1lUub6EONnMiUzAFNW1o49+f/Fz3w5oAQ54qUuxMRLdxs2CF33w==" saltValue="5QtDSJeS6cEkszyZhoMxW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GIXvRMMTb9/I89gnxEfy6d5njevtr77PRursmCEtRbEQI0hTitvxz9/33MnQ6UvbNiyl+/EWn/j2tGgSUrfMQ==" saltValue="IhMuMgG2u/t5lAGAmMF1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TmCqUiIYpT+L/q9JV67FkyKg1t1zDtjt2wT2vgZeFlAzfJtYeEIcMHD1G3q43ESz0jEm7NGMB4FefyPDUoFSg==" saltValue="1APNTVhP3T2/aSlT5kLe/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6lFwxb/BPMg/PaJbnQczYbg/H60mFZnyYtdUrlBePTWbKTWomZtjyOenspWl6yhmDGfsXbOpGbTn03Gu3brUqA==" saltValue="ddwZNoRYn1xdar3AQ8ip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YnXSiUajH+nUVFR+o8pLWfLjf1rrju2Ai/aRPKbZSPnjPztgmGNRgOX6gpdqhmf6oHgBX0rWdiLMT/IlWomN7w==" saltValue="ujjInMrNz/4key72BYeE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9qZWCUhFC7BfQNp68E4ATktNdqiwczUTT590cgknCShqrtrDLWQsTmdHPaS0Wkza1LnT9butzgvHtBt36qxsw==" saltValue="ddzaoM7/dwk2qHw4A3wth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klNJrd/+5Zd8WfRIXWMD/0LhKkDsfP8OZ2KXcIRND5DlzXpXT1gRhC/dtQBlKg4PQRVoGE4xNYyVZwrZC7Ozw==" saltValue="hKJUiLfnic2/iv2hGWCr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8xRAVmqWEhPnkol313V7hcR2hG/kAmb8q58QTohb3yFf8X4SBBDoLtmur+Y9colJKIbjbZNa3mgbw7OAGRazBg==" saltValue="M+UHFBTSBxOgTuEhgAqb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pjeHSWf4L0Hje25oVlgUhKpMEaQg9iNEIeQnFC4fUlGutDfAUJ7XNWHBN6xbpjPS5btNxkoIJ83sbK/IkV+cw==" saltValue="UrjqRCRH7qz6UskceQnn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j1AZLuMbO3W1qTEX+xEfhxMD+HOUwLIzAKS4C9/1FwLkfwh9rokuYJU4Hqaf4ynR/Ey7qUQCxLRZ1qiOu0s5Q==" saltValue="RilaFbQjeBcMAiLtCtx0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hoQ66EdkrKhrdqgxWEa3kMSPCT6T2HRFN7H6nTeS4iHhBCk4iQF6dMiq1UOgTL7ZGWU+wFNkEGzEP5seMzXBA==" saltValue="hAiz7DNA+AFXIGH+3ZbI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G9j7gxJgO6qWkX7WhFPHcgL6I2EuRu3Wxe5a3VI0Y85dkumeHILfLWNXkcxOiSdChh+gPzKmXOrZfKyOXypvQ==" saltValue="f4QAFQCmsEXV6ljkjKtRo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4qKivZ3TuVBAL/KjzJSoIFyjC8UAnaNQXePyXJ8VqiSjujwYyZabHrLlAsPT0cBaL0oPSveQ0GAoG0oHD66O9g==" saltValue="nX2EHblNsc/aH0fmPnU3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dpFY21gPZEBXQ5EsTUnVrxnMJigGVzZzefEj8NPifCPMefKKtM7CEnLkSqSyVJ/Gxd8QHmBe0lknTLfzODplw==" saltValue="JZWLmDU7N48vJwFMCh6/e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2025-07-30T01:58:38Z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