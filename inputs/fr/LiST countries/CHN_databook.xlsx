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31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fr\LiST countries\"/>
    </mc:Choice>
  </mc:AlternateContent>
  <xr:revisionPtr revIDLastSave="0" documentId="8_{A6B709A3-1208-4564-9EE7-2D41F7CA47E0}" xr6:coauthVersionLast="47" xr6:coauthVersionMax="47" xr10:uidLastSave="{00000000-0000-0000-0000-000000000000}"/>
  <bookViews>
    <workbookView xWindow="0" yWindow="3670" windowWidth="19200" windowHeight="653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Perte économique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isques des rés. des naissances" sheetId="21" state="hidden" r:id="rId21"/>
    <sheet name="Risques relatifs" sheetId="22" state="hidden" r:id="rId22"/>
    <sheet name="Rapports des cotes" sheetId="23" state="hidden" r:id="rId23"/>
    <sheet name="Programmes-rés. des naissances" sheetId="24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<sst xmlns="http://schemas.openxmlformats.org/spreadsheetml/2006/main" count="2102" uniqueCount="337">
  <si>
    <t>Field</t>
  </si>
  <si>
    <t>Causes</t>
  </si>
  <si>
    <t>Sepsis</t>
  </si>
  <si>
    <t>Population</t>
  </si>
  <si>
    <t>Type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</si>
  <si>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</si>
  <si>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</si>
  <si>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</si>
  <si>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</si>
  <si>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</si>
  <si>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</si>
  <si>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</si>
  <si>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</si>
  <si>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</si>
  <si>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</si>
  <si>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</si>
  <si>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</si>
  <si>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</si>
  <si>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</si>
  <si>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</si>
  <si>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</si>
  <si>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</si>
  <si>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</si>
  <si>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</si>
  <si>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</si>
  <si>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</si>
  <si>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</si>
  <si>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</si>
  <si>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</si>
  <si>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</si>
  <si>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</si>
  <si>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</si>
  <si>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</si>
  <si>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</si>
  <si>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</si>
  <si>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</si>
  <si>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</si>
  <si>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</si>
  <si>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</si>
  <si>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</si>
  <si>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</si>
  <si>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</si>
  <si>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</si>
  <si>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</si>
  <si>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</si>
  <si>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</si>
  <si>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</si>
  <si>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</si>
  <si>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</si>
  <si>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</si>
  <si>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</si>
  <si>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</si>
  <si>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</si>
  <si>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</si>
  <si>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</si>
  <si>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</si>
  <si>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</si>
  <si>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</si>
  <si>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</si>
  <si>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</si>
  <si>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</si>
  <si>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</si>
  <si>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</si>
  <si>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</si>
  <si>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</si>
  <si>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</si>
  <si>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</si>
  <si>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</si>
  <si>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</si>
  <si>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</si>
  <si>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</si>
  <si>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</si>
  <si>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</si>
  <si>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</si>
  <si>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</si>
  <si>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</si>
  <si>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</si>
  <si>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</si>
  <si>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</si>
  <si>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</si>
  <si>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</si>
  <si>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</si>
  <si>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</si>
  <si>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</si>
  <si>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</si>
  <si>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</si>
  <si>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</si>
  <si>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</si>
  <si>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</si>
  <si>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</si>
  <si>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</si>
  <si>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</si>
  <si>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</si>
  <si>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</si>
  <si>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</si>
  <si>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</si>
  <si>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</si>
  <si>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</si>
  <si>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</si>
  <si>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</si>
  <si>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</si>
  <si>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</si>
  <si>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</si>
  <si>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</si>
  <si>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</si>
  <si>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</si>
  <si>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</si>
  <si>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</si>
  <si>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</si>
  <si>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</si>
  <si>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</si>
  <si>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</si>
  <si>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</si>
  <si>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</si>
  <si>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</si>
  <si>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</si>
  <si>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</si>
  <si>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</si>
  <si>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</si>
  <si>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</si>
  <si>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</si>
  <si>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</si>
  <si>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</si>
  <si>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</si>
  <si>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</si>
  <si>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</si>
  <si>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</si>
  <si>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</si>
  <si>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</si>
  <si>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</si>
  <si>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</si>
  <si>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</si>
  <si>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</si>
  <si>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</si>
  <si>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</si>
  <si>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</si>
  <si>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</si>
  <si>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</si>
  <si>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</si>
  <si>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</si>
  <si>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</si>
  <si>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</si>
  <si>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</si>
  <si>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</si>
  <si>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Coût</t>
  </si>
  <si>
    <t>Épisode d'émaciation d'un enfant</t>
  </si>
  <si>
    <t>Décès d'enfant</t>
  </si>
  <si>
    <t>Décès maternel</t>
  </si>
  <si>
    <t>Enfant anémique (par an)</t>
  </si>
  <si>
    <t>Femme enceinte anémique (par grossesse)</t>
  </si>
  <si>
    <t>Enfant souffrant d'un retard de croissance qui aura 5 ans (au cours de sa vie)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</si>
  <si>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</si>
  <si>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</si>
  <si>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</si>
  <si>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</si>
  <si>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</si>
  <si>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</si>
  <si>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</si>
  <si>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</si>
  <si>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</si>
  <si>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</si>
  <si>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</si>
  <si>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</si>
  <si>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</si>
  <si>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</si>
  <si>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</si>
  <si>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</si>
  <si>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</si>
  <si>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</si>
  <si>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</si>
  <si>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</si>
  <si>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</si>
  <si>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</si>
  <si>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</si>
  <si>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</si>
  <si>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</si>
  <si>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</si>
  <si>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</si>
  <si>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</si>
  <si>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</si>
  <si>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</si>
  <si>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</si>
  <si>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</si>
  <si>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</si>
  <si>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</si>
  <si>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</si>
  <si>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</si>
  <si>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</si>
  <si>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</si>
  <si>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</si>
  <si>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</si>
  <si>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</si>
  <si>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</si>
  <si>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</si>
  <si>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</si>
  <si>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</si>
  <si>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</si>
  <si>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</si>
  <si>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</si>
  <si>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</si>
  <si>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</si>
  <si>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</si>
  <si>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</si>
  <si>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</si>
  <si>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</si>
  <si>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</si>
  <si>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</si>
  <si>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</si>
  <si>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</si>
  <si>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</si>
  <si>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</si>
  <si>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</si>
  <si>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</si>
  <si>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</si>
  <si>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</si>
  <si>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</si>
  <si>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</si>
  <si>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</si>
  <si>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</si>
  <si>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</si>
  <si>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</si>
  <si>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</si>
  <si>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</si>
  <si>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</si>
  <si>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</si>
  <si>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</si>
  <si>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</si>
  <si>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</si>
  <si>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</si>
  <si>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</si>
  <si>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</si>
  <si>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</si>
  <si>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</si>
  <si>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</si>
  <si>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</si>
  <si>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</si>
  <si>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</si>
  <si>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</si>
  <si>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</si>
  <si>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</si>
  <si>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</si>
  <si>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</si>
  <si>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</si>
  <si>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</si>
  <si>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</si>
  <si>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</si>
  <si>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</si>
  <si>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</si>
  <si>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</si>
  <si>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</si>
  <si>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</si>
  <si>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</si>
  <si>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</si>
  <si>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</si>
  <si>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</si>
  <si>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</si>
  <si>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</si>
  <si>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</si>
  <si>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</si>
  <si>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</si>
  <si>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</si>
  <si>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</si>
  <si>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</si>
  <si>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</si>
  <si>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</si>
  <si>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</si>
  <si>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</si>
  <si>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</si>
  <si>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</si>
  <si>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</si>
  <si>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</si>
  <si>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</si>
  <si>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</si>
  <si>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</si>
  <si>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</si>
  <si>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</si>
  <si>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</si>
  <si>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</si>
  <si>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</si>
  <si>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Émaciation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</si>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</sst>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13</v>
      </c>
      <c r="B1" s="29" t="s">
        <v>0</v>
      </c>
      <c r="C1" s="29" t="s">
        <v>66</v>
      </c>
    </row>
    <row r="2" spans="1:3" ht="15.9" customHeight="1" x14ac:dyDescent="0.3">
      <c r="A2" s="8" t="s">
        <v>14</v>
      </c>
      <c r="B2" s="29"/>
      <c r="C2" s="29"/>
    </row>
    <row r="3" spans="1:3" ht="15.9" customHeight="1" x14ac:dyDescent="0.3">
      <c r="A3" s="1"/>
      <c r="B3" s="5" t="s">
        <v>15</v>
      </c>
      <c r="C3" s="41">
        <v>2024</v>
      </c>
    </row>
    <row r="4" spans="1:3" ht="15.9" customHeight="1" x14ac:dyDescent="0.3">
      <c r="A4" s="1"/>
      <c r="B4" s="5" t="s">
        <v>16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17</v>
      </c>
    </row>
    <row r="7" spans="1:3" ht="15" customHeight="1" x14ac:dyDescent="0.25">
      <c r="B7" s="11" t="s">
        <v>18</v>
      </c>
      <c r="C7" s="43">
        <v>54492174.5</v>
      </c>
    </row>
    <row r="8" spans="1:3" ht="15" customHeight="1" x14ac:dyDescent="0.25">
      <c r="B8" s="5" t="s">
        <v>19</v>
      </c>
      <c r="C8" s="44">
        <v>5.0000000000000001E-3</v>
      </c>
    </row>
    <row r="9" spans="1:3" ht="15" customHeight="1" x14ac:dyDescent="0.25">
      <c r="B9" s="5" t="s">
        <v>20</v>
      </c>
      <c r="C9" s="45">
        <v>0.01</v>
      </c>
    </row>
    <row r="10" spans="1:3" ht="15" customHeight="1" x14ac:dyDescent="0.25">
      <c r="B10" s="5" t="s">
        <v>21</v>
      </c>
      <c r="C10" s="45">
        <v>0.81408699039999999</v>
      </c>
    </row>
    <row r="11" spans="1:3" ht="15" customHeight="1" x14ac:dyDescent="0.25">
      <c r="B11" s="5" t="s">
        <v>22</v>
      </c>
      <c r="C11" s="45">
        <v>1</v>
      </c>
    </row>
    <row r="12" spans="1:3" ht="15" customHeight="1" x14ac:dyDescent="0.25">
      <c r="B12" s="5" t="s">
        <v>23</v>
      </c>
      <c r="C12" s="45">
        <v>1</v>
      </c>
    </row>
    <row r="13" spans="1:3" ht="15" customHeight="1" x14ac:dyDescent="0.25">
      <c r="B13" s="5" t="s">
        <v>24</v>
      </c>
      <c r="C13" s="45">
        <v>0.10299999999999999</v>
      </c>
    </row>
    <row r="14" spans="1:3" ht="15" customHeight="1" x14ac:dyDescent="0.25">
      <c r="B14" s="8"/>
    </row>
    <row r="15" spans="1:3" ht="15" customHeight="1" x14ac:dyDescent="0.3">
      <c r="A15" s="8" t="s">
        <v>25</v>
      </c>
      <c r="B15" s="14"/>
      <c r="C15" s="3"/>
    </row>
    <row r="16" spans="1:3" ht="15" customHeight="1" x14ac:dyDescent="0.25">
      <c r="B16" s="5" t="s">
        <v>26</v>
      </c>
      <c r="C16" s="45">
        <v>0.1</v>
      </c>
    </row>
    <row r="17" spans="1:3" ht="15" customHeight="1" x14ac:dyDescent="0.25">
      <c r="B17" s="5" t="s">
        <v>27</v>
      </c>
      <c r="C17" s="45">
        <v>0.01</v>
      </c>
    </row>
    <row r="18" spans="1:3" ht="15" customHeight="1" x14ac:dyDescent="0.25">
      <c r="B18" s="5" t="s">
        <v>28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30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32</v>
      </c>
      <c r="C23" s="45">
        <v>7.980000000000001E-2</v>
      </c>
    </row>
    <row r="24" spans="1:3" ht="15" customHeight="1" x14ac:dyDescent="0.25">
      <c r="B24" s="15" t="s">
        <v>33</v>
      </c>
      <c r="C24" s="45">
        <v>0.68840000000000001</v>
      </c>
    </row>
    <row r="25" spans="1:3" ht="15" customHeight="1" x14ac:dyDescent="0.25">
      <c r="B25" s="15" t="s">
        <v>34</v>
      </c>
      <c r="C25" s="45">
        <v>0.20130000000000001</v>
      </c>
    </row>
    <row r="26" spans="1:3" ht="15" customHeight="1" x14ac:dyDescent="0.25">
      <c r="B26" s="15" t="s">
        <v>35</v>
      </c>
      <c r="C26" s="45">
        <v>3.0499999999999999E-2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36</v>
      </c>
      <c r="B28" s="15"/>
      <c r="C28" s="15"/>
    </row>
    <row r="29" spans="1:3" ht="14.25" customHeight="1" x14ac:dyDescent="0.25">
      <c r="B29" s="25" t="s">
        <v>37</v>
      </c>
      <c r="C29" s="45">
        <v>0.40385805873750502</v>
      </c>
    </row>
    <row r="30" spans="1:3" ht="14.25" customHeight="1" x14ac:dyDescent="0.25">
      <c r="B30" s="25" t="s">
        <v>38</v>
      </c>
      <c r="C30" s="99">
        <v>3.4597339605538499E-2</v>
      </c>
    </row>
    <row r="31" spans="1:3" ht="14.25" customHeight="1" x14ac:dyDescent="0.25">
      <c r="B31" s="25" t="s">
        <v>39</v>
      </c>
      <c r="C31" s="99">
        <v>5.9568417955223898E-2</v>
      </c>
    </row>
    <row r="32" spans="1:3" ht="14.25" customHeight="1" x14ac:dyDescent="0.25">
      <c r="B32" s="25" t="s">
        <v>40</v>
      </c>
      <c r="C32" s="99">
        <v>0.50197618370173303</v>
      </c>
    </row>
    <row r="33" spans="1:5" ht="13" customHeight="1" x14ac:dyDescent="0.25">
      <c r="B33" s="27" t="s">
        <v>41</v>
      </c>
      <c r="C33" s="48">
        <f>SUM(C29:C32)</f>
        <v>1.0000000000000004</v>
      </c>
    </row>
    <row r="34" spans="1:5" ht="15" customHeight="1" x14ac:dyDescent="0.25"/>
    <row r="35" spans="1:5" ht="15" customHeight="1" x14ac:dyDescent="0.3">
      <c r="A35" s="4" t="s">
        <v>42</v>
      </c>
    </row>
    <row r="36" spans="1:5" ht="15" customHeight="1" x14ac:dyDescent="0.25">
      <c r="A36" s="8" t="s">
        <v>43</v>
      </c>
      <c r="B36" s="5"/>
    </row>
    <row r="37" spans="1:5" ht="15" customHeight="1" x14ac:dyDescent="0.25">
      <c r="B37" s="11" t="s">
        <v>44</v>
      </c>
      <c r="C37" s="43">
        <v>3.1912600000000002</v>
      </c>
    </row>
    <row r="38" spans="1:5" ht="15" customHeight="1" x14ac:dyDescent="0.25">
      <c r="B38" s="11" t="s">
        <v>45</v>
      </c>
      <c r="C38" s="43">
        <v>5.0500699999999998</v>
      </c>
      <c r="D38" s="12"/>
      <c r="E38" s="13"/>
    </row>
    <row r="39" spans="1:5" ht="15" customHeight="1" x14ac:dyDescent="0.25">
      <c r="B39" s="11" t="s">
        <v>46</v>
      </c>
      <c r="C39" s="43">
        <v>6.93459</v>
      </c>
      <c r="D39" s="12"/>
      <c r="E39" s="12"/>
    </row>
    <row r="40" spans="1:5" ht="15" customHeight="1" x14ac:dyDescent="0.25">
      <c r="B40" s="11" t="s">
        <v>47</v>
      </c>
      <c r="C40" s="100">
        <v>0.23</v>
      </c>
    </row>
    <row r="41" spans="1:5" ht="15" customHeight="1" x14ac:dyDescent="0.25">
      <c r="B41" s="11" t="s">
        <v>48</v>
      </c>
      <c r="C41" s="45">
        <v>0.12</v>
      </c>
    </row>
    <row r="42" spans="1:5" ht="15" customHeight="1" x14ac:dyDescent="0.25">
      <c r="B42" s="11" t="s">
        <v>49</v>
      </c>
      <c r="C42" s="43">
        <v>4.8971999999999998</v>
      </c>
    </row>
    <row r="43" spans="1:5" ht="15.75" customHeight="1" x14ac:dyDescent="0.25">
      <c r="D43" s="12"/>
    </row>
    <row r="44" spans="1:5" ht="15.75" customHeight="1" x14ac:dyDescent="0.25">
      <c r="A44" s="8" t="s">
        <v>50</v>
      </c>
      <c r="D44" s="12"/>
    </row>
    <row r="45" spans="1:5" ht="15.75" customHeight="1" x14ac:dyDescent="0.25">
      <c r="B45" s="11" t="s">
        <v>51</v>
      </c>
      <c r="C45" s="45">
        <v>5.2434999999999999E-3</v>
      </c>
      <c r="D45" s="12"/>
    </row>
    <row r="46" spans="1:5" ht="15.75" customHeight="1" x14ac:dyDescent="0.25">
      <c r="B46" s="11" t="s">
        <v>52</v>
      </c>
      <c r="C46" s="45">
        <v>5.6247199999999997E-2</v>
      </c>
      <c r="D46" s="12"/>
    </row>
    <row r="47" spans="1:5" ht="15.75" customHeight="1" x14ac:dyDescent="0.25">
      <c r="B47" s="11" t="s">
        <v>53</v>
      </c>
      <c r="C47" s="45">
        <v>6.706680000000001E-2</v>
      </c>
      <c r="D47" s="12"/>
      <c r="E47" s="13"/>
    </row>
    <row r="48" spans="1:5" ht="15" customHeight="1" x14ac:dyDescent="0.25">
      <c r="B48" s="11" t="s">
        <v>54</v>
      </c>
      <c r="C48" s="46">
        <v>0.87144250000000001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55</v>
      </c>
      <c r="D50" s="12"/>
    </row>
    <row r="51" spans="1:4" ht="15.75" customHeight="1" x14ac:dyDescent="0.25">
      <c r="B51" s="11" t="s">
        <v>56</v>
      </c>
      <c r="C51" s="100">
        <v>2.2000000000000002</v>
      </c>
      <c r="D51" s="12"/>
    </row>
    <row r="52" spans="1:4" ht="15" customHeight="1" x14ac:dyDescent="0.25">
      <c r="B52" s="11" t="s">
        <v>57</v>
      </c>
      <c r="C52" s="100">
        <v>2.2000000000000002</v>
      </c>
    </row>
    <row r="53" spans="1:4" ht="15.75" customHeight="1" x14ac:dyDescent="0.25">
      <c r="B53" s="11" t="s">
        <v>58</v>
      </c>
      <c r="C53" s="100">
        <v>2.2000000000000002</v>
      </c>
    </row>
    <row r="54" spans="1:4" ht="15.75" customHeight="1" x14ac:dyDescent="0.25">
      <c r="B54" s="11" t="s">
        <v>59</v>
      </c>
      <c r="C54" s="100">
        <v>2.2000000000000002</v>
      </c>
    </row>
    <row r="55" spans="1:4" ht="15.75" customHeight="1" x14ac:dyDescent="0.25">
      <c r="B55" s="11" t="s">
        <v>60</v>
      </c>
      <c r="C55" s="100">
        <v>2.2000000000000002</v>
      </c>
    </row>
    <row r="57" spans="1:4" ht="15.75" customHeight="1" x14ac:dyDescent="0.25">
      <c r="A57" s="8" t="s">
        <v>61</v>
      </c>
    </row>
    <row r="58" spans="1:4" ht="15.75" customHeight="1" x14ac:dyDescent="0.25">
      <c r="B58" s="5" t="s">
        <v>62</v>
      </c>
      <c r="C58" s="45">
        <v>2.1363636363636359E-2</v>
      </c>
    </row>
    <row r="59" spans="1:4" ht="15.75" customHeight="1" x14ac:dyDescent="0.25">
      <c r="B59" s="11" t="s">
        <v>63</v>
      </c>
      <c r="C59" s="45">
        <v>0.65754500000000005</v>
      </c>
    </row>
    <row r="60" spans="1:4" ht="15.75" customHeight="1" x14ac:dyDescent="0.25">
      <c r="B60" s="11" t="s">
        <v>64</v>
      </c>
      <c r="C60" s="45">
        <v>4.5999999999999999E-2</v>
      </c>
    </row>
    <row r="61" spans="1:4" ht="15.75" customHeight="1" x14ac:dyDescent="0.25">
      <c r="B61" s="11" t="s">
        <v>65</v>
      </c>
      <c r="C61" s="45">
        <v>1.4E-2</v>
      </c>
    </row>
    <row r="62" spans="1:4" ht="15.75" customHeight="1" x14ac:dyDescent="0.25">
      <c r="B62" s="11" t="s">
        <v>67</v>
      </c>
      <c r="C62" s="44">
        <v>4.9525832999999901E-2</v>
      </c>
    </row>
    <row r="63" spans="1:4" ht="15.75" customHeight="1" x14ac:dyDescent="0.3">
      <c r="A63" s="4"/>
    </row>
  </sheetData>
  <sheetProtection algorithmName="SHA-512" hashValue="fbtfIC1daSsnaIRkNYrekJNrxXiN0D2lNno+W4BEfZCkemevn225iFjUFrpSNnL3OrtQLPQiUfJqMbi1I6TPgw==" saltValue="eYYxhTEzvp2MjdAd9Zhyu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76</v>
      </c>
      <c r="B1" s="20" t="s">
        <v>68</v>
      </c>
      <c r="C1" s="18" t="s">
        <v>69</v>
      </c>
      <c r="D1" s="18" t="s">
        <v>70</v>
      </c>
      <c r="E1" s="18" t="s">
        <v>71</v>
      </c>
      <c r="F1" s="18" t="s">
        <v>72</v>
      </c>
      <c r="G1" s="18" t="s">
        <v>73</v>
      </c>
      <c r="H1" s="18" t="s">
        <v>74</v>
      </c>
      <c r="I1" s="18" t="s">
        <v>75</v>
      </c>
    </row>
    <row r="2" spans="1:9" ht="15.75" customHeight="1" x14ac:dyDescent="0.25">
      <c r="A2" s="5">
        <f>start_year</f>
        <v>2024</v>
      </c>
      <c r="B2" s="49">
        <v>10577046</v>
      </c>
      <c r="C2" s="49">
        <v>46617241.5</v>
      </c>
      <c r="D2" s="49">
        <v>75475910.5</v>
      </c>
      <c r="E2" s="49">
        <v>106915917</v>
      </c>
      <c r="F2" s="49">
        <v>85663749.5</v>
      </c>
      <c r="G2" s="17">
        <f t="shared" ref="G2:G13" si="0">C2+D2+E2+F2</f>
        <v>314672818.5</v>
      </c>
      <c r="H2" s="17">
        <f t="shared" ref="H2:H13" si="1">(B2 + stillbirth*B2/(1000-stillbirth))/(1-abortion)</f>
        <v>12078521.389494086</v>
      </c>
      <c r="I2" s="17">
        <f t="shared" ref="I2:I13" si="2">G2-H2</f>
        <v>302594297.11050594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10441801</v>
      </c>
      <c r="C3" s="50">
        <v>47320188.500000007</v>
      </c>
      <c r="D3" s="50">
        <v>74442793</v>
      </c>
      <c r="E3" s="50">
        <v>104783531.5</v>
      </c>
      <c r="F3" s="50">
        <v>85204412</v>
      </c>
      <c r="G3" s="17">
        <f t="shared" si="0"/>
        <v>311750925</v>
      </c>
      <c r="H3" s="17">
        <f t="shared" si="1"/>
        <v>11924077.547109157</v>
      </c>
      <c r="I3" s="17">
        <f t="shared" si="2"/>
        <v>299826847.45289087</v>
      </c>
    </row>
    <row r="4" spans="1:9" ht="15.75" customHeight="1" x14ac:dyDescent="0.25">
      <c r="A4" s="5">
        <f t="shared" si="3"/>
        <v>2026</v>
      </c>
      <c r="B4" s="49">
        <v>10326067</v>
      </c>
      <c r="C4" s="50">
        <v>48221500.499999993</v>
      </c>
      <c r="D4" s="50">
        <v>73818610.5</v>
      </c>
      <c r="E4" s="50">
        <v>101684567.5</v>
      </c>
      <c r="F4" s="50">
        <v>85995019.5</v>
      </c>
      <c r="G4" s="17">
        <f t="shared" si="0"/>
        <v>309719698</v>
      </c>
      <c r="H4" s="17">
        <f t="shared" si="1"/>
        <v>11791914.408696815</v>
      </c>
      <c r="I4" s="17">
        <f t="shared" si="2"/>
        <v>297927783.59130317</v>
      </c>
    </row>
    <row r="5" spans="1:9" ht="15.75" customHeight="1" x14ac:dyDescent="0.25">
      <c r="A5" s="5">
        <f t="shared" si="3"/>
        <v>2027</v>
      </c>
      <c r="B5" s="49">
        <v>10232622</v>
      </c>
      <c r="C5" s="50">
        <v>49085713.5</v>
      </c>
      <c r="D5" s="50">
        <v>73648810.5</v>
      </c>
      <c r="E5" s="50">
        <v>97559103</v>
      </c>
      <c r="F5" s="50">
        <v>87993306</v>
      </c>
      <c r="G5" s="17">
        <f t="shared" si="0"/>
        <v>308286933</v>
      </c>
      <c r="H5" s="17">
        <f t="shared" si="1"/>
        <v>11685204.328090068</v>
      </c>
      <c r="I5" s="17">
        <f t="shared" si="2"/>
        <v>296601728.67190993</v>
      </c>
    </row>
    <row r="6" spans="1:9" ht="15.75" customHeight="1" x14ac:dyDescent="0.25">
      <c r="A6" s="5">
        <f t="shared" si="3"/>
        <v>2028</v>
      </c>
      <c r="B6" s="49">
        <v>10142147</v>
      </c>
      <c r="C6" s="50">
        <v>49645384.500000007</v>
      </c>
      <c r="D6" s="50">
        <v>73932032</v>
      </c>
      <c r="E6" s="50">
        <v>93168448.5</v>
      </c>
      <c r="F6" s="50">
        <v>91044223.5</v>
      </c>
      <c r="G6" s="17">
        <f t="shared" si="0"/>
        <v>307790088.5</v>
      </c>
      <c r="H6" s="17">
        <f t="shared" si="1"/>
        <v>11581885.856872823</v>
      </c>
      <c r="I6" s="17">
        <f t="shared" si="2"/>
        <v>296208202.6431272</v>
      </c>
    </row>
    <row r="7" spans="1:9" ht="15.75" customHeight="1" x14ac:dyDescent="0.25">
      <c r="A7" s="5">
        <f t="shared" si="3"/>
        <v>2029</v>
      </c>
      <c r="B7" s="49">
        <v>10083803</v>
      </c>
      <c r="C7" s="50">
        <v>49846024.5</v>
      </c>
      <c r="D7" s="50">
        <v>74584499.5</v>
      </c>
      <c r="E7" s="50">
        <v>88738340</v>
      </c>
      <c r="F7" s="50">
        <v>93859745.5</v>
      </c>
      <c r="G7" s="17">
        <f t="shared" si="0"/>
        <v>307028609.5</v>
      </c>
      <c r="H7" s="17">
        <f t="shared" si="1"/>
        <v>11515259.574643489</v>
      </c>
      <c r="I7" s="17">
        <f t="shared" si="2"/>
        <v>295513349.92535651</v>
      </c>
    </row>
    <row r="8" spans="1:9" ht="15.75" customHeight="1" x14ac:dyDescent="0.25">
      <c r="A8" s="5">
        <f t="shared" si="3"/>
        <v>2030</v>
      </c>
      <c r="B8" s="49">
        <v>10016146</v>
      </c>
      <c r="C8" s="50">
        <v>49919150</v>
      </c>
      <c r="D8" s="50">
        <v>75193551</v>
      </c>
      <c r="E8" s="50">
        <v>84038843.5</v>
      </c>
      <c r="F8" s="50">
        <v>96128193.5</v>
      </c>
      <c r="G8" s="17">
        <f t="shared" si="0"/>
        <v>305279738</v>
      </c>
      <c r="H8" s="17">
        <f t="shared" si="1"/>
        <v>11437998.255968219</v>
      </c>
      <c r="I8" s="17">
        <f t="shared" si="2"/>
        <v>293841739.74403179</v>
      </c>
    </row>
    <row r="9" spans="1:9" ht="15.75" customHeight="1" x14ac:dyDescent="0.25">
      <c r="A9" s="5">
        <f t="shared" si="3"/>
        <v>2031</v>
      </c>
      <c r="B9" s="49">
        <v>9983340</v>
      </c>
      <c r="C9" s="50">
        <v>50282071</v>
      </c>
      <c r="D9" s="50">
        <v>75802915.5</v>
      </c>
      <c r="E9" s="50">
        <v>80303426</v>
      </c>
      <c r="F9" s="50">
        <v>98386347</v>
      </c>
      <c r="G9" s="17">
        <f t="shared" si="0"/>
        <v>304774759.5</v>
      </c>
      <c r="H9" s="17">
        <f t="shared" si="1"/>
        <v>11400535.246664509</v>
      </c>
      <c r="I9" s="17">
        <f t="shared" si="2"/>
        <v>293374224.25333548</v>
      </c>
    </row>
    <row r="10" spans="1:9" ht="15.75" customHeight="1" x14ac:dyDescent="0.25">
      <c r="A10" s="5">
        <f t="shared" si="3"/>
        <v>2032</v>
      </c>
      <c r="B10" s="49">
        <v>9975985</v>
      </c>
      <c r="C10" s="50">
        <v>49711249.5</v>
      </c>
      <c r="D10" s="50">
        <v>76952876.5</v>
      </c>
      <c r="E10" s="50">
        <v>77919514.5</v>
      </c>
      <c r="F10" s="50">
        <v>99028005.5</v>
      </c>
      <c r="G10" s="17">
        <f t="shared" si="0"/>
        <v>303611646</v>
      </c>
      <c r="H10" s="17">
        <f t="shared" si="1"/>
        <v>11392136.160112392</v>
      </c>
      <c r="I10" s="17">
        <f t="shared" si="2"/>
        <v>292219509.83988762</v>
      </c>
    </row>
    <row r="11" spans="1:9" ht="15.75" customHeight="1" x14ac:dyDescent="0.25">
      <c r="A11" s="5">
        <f t="shared" si="3"/>
        <v>2033</v>
      </c>
      <c r="B11" s="49">
        <v>9975509</v>
      </c>
      <c r="C11" s="50">
        <v>48164067</v>
      </c>
      <c r="D11" s="50">
        <v>78265715</v>
      </c>
      <c r="E11" s="50">
        <v>76069799</v>
      </c>
      <c r="F11" s="50">
        <v>98301972</v>
      </c>
      <c r="G11" s="17">
        <f t="shared" si="0"/>
        <v>300801553</v>
      </c>
      <c r="H11" s="17">
        <f t="shared" si="1"/>
        <v>11391592.589045255</v>
      </c>
      <c r="I11" s="17">
        <f t="shared" si="2"/>
        <v>289409960.41095477</v>
      </c>
    </row>
    <row r="12" spans="1:9" ht="15.75" customHeight="1" x14ac:dyDescent="0.25">
      <c r="A12" s="5">
        <f t="shared" si="3"/>
        <v>2034</v>
      </c>
      <c r="B12" s="49">
        <v>9945347</v>
      </c>
      <c r="C12" s="50">
        <v>45971958.999999993</v>
      </c>
      <c r="D12" s="50">
        <v>79430886.5</v>
      </c>
      <c r="E12" s="50">
        <v>74644569</v>
      </c>
      <c r="F12" s="50">
        <v>97359475</v>
      </c>
      <c r="G12" s="17">
        <f t="shared" si="0"/>
        <v>297406889.5</v>
      </c>
      <c r="H12" s="17">
        <f t="shared" si="1"/>
        <v>11357148.911467422</v>
      </c>
      <c r="I12" s="17">
        <f t="shared" si="2"/>
        <v>286049740.58853257</v>
      </c>
    </row>
    <row r="13" spans="1:9" ht="15.75" customHeight="1" x14ac:dyDescent="0.25">
      <c r="A13" s="5">
        <f t="shared" si="3"/>
        <v>2035</v>
      </c>
      <c r="B13" s="49">
        <v>9999279</v>
      </c>
      <c r="C13" s="50">
        <v>43080504.499999993</v>
      </c>
      <c r="D13" s="50">
        <v>80318549</v>
      </c>
      <c r="E13" s="50">
        <v>73624062.5</v>
      </c>
      <c r="F13" s="50">
        <v>95535864.5</v>
      </c>
      <c r="G13" s="17">
        <f t="shared" si="0"/>
        <v>292558980.5</v>
      </c>
      <c r="H13" s="17">
        <f t="shared" si="1"/>
        <v>11418736.883721506</v>
      </c>
      <c r="I13" s="17">
        <f t="shared" si="2"/>
        <v>281140243.61627847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tKAiHAh5ht3VE5hkDpdfkNWtXciznmdzDLvnAupIph77/q9+QY+PxwDxn32V/CQslRnFY67M6a+ISlmJhNBJQw==" saltValue="2JrP2JB7by/Q7BJ/PjR9X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77</v>
      </c>
      <c r="B2" s="29" t="s">
        <v>1</v>
      </c>
      <c r="C2" s="29" t="s">
        <v>109</v>
      </c>
      <c r="D2" s="29"/>
      <c r="E2" s="29"/>
      <c r="F2" s="29"/>
      <c r="G2" s="29"/>
    </row>
    <row r="3" spans="1:8" ht="15.75" customHeight="1" x14ac:dyDescent="0.25">
      <c r="B3" s="19" t="s">
        <v>78</v>
      </c>
      <c r="C3" s="55">
        <v>4.9413000000000009E-3</v>
      </c>
    </row>
    <row r="4" spans="1:8" ht="15.75" customHeight="1" x14ac:dyDescent="0.25">
      <c r="B4" s="19" t="s">
        <v>79</v>
      </c>
      <c r="C4" s="101">
        <v>2.3830000000000101E-2</v>
      </c>
    </row>
    <row r="5" spans="1:8" ht="15.75" customHeight="1" x14ac:dyDescent="0.25">
      <c r="B5" s="19" t="s">
        <v>80</v>
      </c>
      <c r="C5" s="101">
        <v>5.7832200000000118E-2</v>
      </c>
    </row>
    <row r="6" spans="1:8" ht="15.75" customHeight="1" x14ac:dyDescent="0.25">
      <c r="B6" s="19" t="s">
        <v>81</v>
      </c>
      <c r="C6" s="101">
        <v>0.27551590000000031</v>
      </c>
    </row>
    <row r="7" spans="1:8" ht="15.75" customHeight="1" x14ac:dyDescent="0.25">
      <c r="B7" s="19" t="s">
        <v>82</v>
      </c>
      <c r="C7" s="101">
        <v>0.31112999999999941</v>
      </c>
    </row>
    <row r="8" spans="1:8" ht="15.75" customHeight="1" x14ac:dyDescent="0.25">
      <c r="B8" s="19" t="s">
        <v>83</v>
      </c>
      <c r="C8" s="101">
        <v>4.9439999999999998E-4</v>
      </c>
    </row>
    <row r="9" spans="1:8" ht="15.75" customHeight="1" x14ac:dyDescent="0.25">
      <c r="B9" s="19" t="s">
        <v>84</v>
      </c>
      <c r="C9" s="101">
        <v>0.17996240000000011</v>
      </c>
    </row>
    <row r="10" spans="1:8" ht="15.75" customHeight="1" x14ac:dyDescent="0.25">
      <c r="B10" s="19" t="s">
        <v>85</v>
      </c>
      <c r="C10" s="101">
        <v>0.1462938</v>
      </c>
    </row>
    <row r="11" spans="1:8" ht="15.75" customHeight="1" x14ac:dyDescent="0.25">
      <c r="B11" s="27" t="s">
        <v>41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86</v>
      </c>
      <c r="B13" s="29" t="s">
        <v>1</v>
      </c>
      <c r="C13" s="102" t="s">
        <v>96</v>
      </c>
      <c r="D13" s="102" t="s">
        <v>97</v>
      </c>
      <c r="E13" s="102" t="s">
        <v>98</v>
      </c>
      <c r="F13" s="102" t="s">
        <v>99</v>
      </c>
      <c r="G13" s="19"/>
    </row>
    <row r="14" spans="1:8" ht="15.75" customHeight="1" x14ac:dyDescent="0.25">
      <c r="B14" s="19" t="s">
        <v>87</v>
      </c>
      <c r="C14" s="55">
        <v>9.3615614352048612E-2</v>
      </c>
      <c r="D14" s="55">
        <v>9.3615614352048612E-2</v>
      </c>
      <c r="E14" s="55">
        <v>9.3615614352048612E-2</v>
      </c>
      <c r="F14" s="55">
        <v>9.3615614352048612E-2</v>
      </c>
    </row>
    <row r="15" spans="1:8" ht="15.75" customHeight="1" x14ac:dyDescent="0.25">
      <c r="B15" s="19" t="s">
        <v>88</v>
      </c>
      <c r="C15" s="101">
        <v>0.16932976336606129</v>
      </c>
      <c r="D15" s="101">
        <v>0.16932976336606129</v>
      </c>
      <c r="E15" s="101">
        <v>0.16932976336606129</v>
      </c>
      <c r="F15" s="101">
        <v>0.16932976336606129</v>
      </c>
    </row>
    <row r="16" spans="1:8" ht="15.75" customHeight="1" x14ac:dyDescent="0.25">
      <c r="B16" s="19" t="s">
        <v>89</v>
      </c>
      <c r="C16" s="101">
        <v>4.0391351019369762E-2</v>
      </c>
      <c r="D16" s="101">
        <v>4.0391351019369762E-2</v>
      </c>
      <c r="E16" s="101">
        <v>4.0391351019369762E-2</v>
      </c>
      <c r="F16" s="101">
        <v>4.0391351019369762E-2</v>
      </c>
    </row>
    <row r="17" spans="1:8" ht="15.75" customHeight="1" x14ac:dyDescent="0.25">
      <c r="B17" s="19" t="s">
        <v>90</v>
      </c>
      <c r="C17" s="101">
        <v>4.6859604326945706E-3</v>
      </c>
      <c r="D17" s="101">
        <v>4.6859604326945706E-3</v>
      </c>
      <c r="E17" s="101">
        <v>4.6859604326945706E-3</v>
      </c>
      <c r="F17" s="101">
        <v>4.6859604326945706E-3</v>
      </c>
    </row>
    <row r="18" spans="1:8" ht="15.75" customHeight="1" x14ac:dyDescent="0.25">
      <c r="B18" s="19" t="s">
        <v>91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92</v>
      </c>
      <c r="C19" s="101">
        <v>5.8536834753466688E-2</v>
      </c>
      <c r="D19" s="101">
        <v>5.8536834753466688E-2</v>
      </c>
      <c r="E19" s="101">
        <v>5.8536834753466688E-2</v>
      </c>
      <c r="F19" s="101">
        <v>5.8536834753466688E-2</v>
      </c>
    </row>
    <row r="20" spans="1:8" ht="15.75" customHeight="1" x14ac:dyDescent="0.25">
      <c r="B20" s="19" t="s">
        <v>93</v>
      </c>
      <c r="C20" s="101">
        <v>0</v>
      </c>
      <c r="D20" s="101">
        <v>0</v>
      </c>
      <c r="E20" s="101">
        <v>0</v>
      </c>
      <c r="F20" s="101">
        <v>0</v>
      </c>
    </row>
    <row r="21" spans="1:8" ht="15.75" customHeight="1" x14ac:dyDescent="0.25">
      <c r="B21" s="19" t="s">
        <v>94</v>
      </c>
      <c r="C21" s="101">
        <v>0.42620646579798821</v>
      </c>
      <c r="D21" s="101">
        <v>0.42620646579798821</v>
      </c>
      <c r="E21" s="101">
        <v>0.42620646579798821</v>
      </c>
      <c r="F21" s="101">
        <v>0.42620646579798821</v>
      </c>
    </row>
    <row r="22" spans="1:8" ht="15.75" customHeight="1" x14ac:dyDescent="0.25">
      <c r="B22" s="19" t="s">
        <v>95</v>
      </c>
      <c r="C22" s="101">
        <v>0.20723401027837079</v>
      </c>
      <c r="D22" s="101">
        <v>0.20723401027837079</v>
      </c>
      <c r="E22" s="101">
        <v>0.20723401027837079</v>
      </c>
      <c r="F22" s="101">
        <v>0.20723401027837079</v>
      </c>
    </row>
    <row r="23" spans="1:8" ht="15.75" customHeight="1" x14ac:dyDescent="0.25">
      <c r="B23" s="27" t="s">
        <v>41</v>
      </c>
      <c r="C23" s="48">
        <f>SUM(C14:C22)</f>
        <v>0.99999999999999978</v>
      </c>
      <c r="D23" s="48">
        <f>SUM(D14:D22)</f>
        <v>0.99999999999999978</v>
      </c>
      <c r="E23" s="48">
        <f>SUM(E14:E22)</f>
        <v>0.99999999999999978</v>
      </c>
      <c r="F23" s="48">
        <f>SUM(F14:F22)</f>
        <v>0.99999999999999978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100</v>
      </c>
      <c r="B25" s="29" t="s">
        <v>1</v>
      </c>
      <c r="C25" s="29" t="s">
        <v>100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101</v>
      </c>
      <c r="C26" s="55">
        <v>6.7517338999999996E-2</v>
      </c>
    </row>
    <row r="27" spans="1:8" ht="15.75" customHeight="1" x14ac:dyDescent="0.25">
      <c r="B27" s="19" t="s">
        <v>102</v>
      </c>
      <c r="C27" s="101">
        <v>2.6177430000000001E-3</v>
      </c>
    </row>
    <row r="28" spans="1:8" ht="15.75" customHeight="1" x14ac:dyDescent="0.25">
      <c r="B28" s="19" t="s">
        <v>103</v>
      </c>
      <c r="C28" s="101">
        <v>0.29081648100000002</v>
      </c>
    </row>
    <row r="29" spans="1:8" ht="15.75" customHeight="1" x14ac:dyDescent="0.25">
      <c r="B29" s="19" t="s">
        <v>104</v>
      </c>
      <c r="C29" s="101">
        <v>0.10208263099999999</v>
      </c>
    </row>
    <row r="30" spans="1:8" ht="15.75" customHeight="1" x14ac:dyDescent="0.25">
      <c r="B30" s="19" t="s">
        <v>2</v>
      </c>
      <c r="C30" s="101">
        <v>2.4702686000000001E-2</v>
      </c>
    </row>
    <row r="31" spans="1:8" ht="15.75" customHeight="1" x14ac:dyDescent="0.25">
      <c r="B31" s="19" t="s">
        <v>105</v>
      </c>
      <c r="C31" s="101">
        <v>4.3597729999999999E-3</v>
      </c>
    </row>
    <row r="32" spans="1:8" ht="15.75" customHeight="1" x14ac:dyDescent="0.25">
      <c r="B32" s="19" t="s">
        <v>106</v>
      </c>
      <c r="C32" s="101">
        <v>0.112627305</v>
      </c>
    </row>
    <row r="33" spans="2:3" ht="15.75" customHeight="1" x14ac:dyDescent="0.25">
      <c r="B33" s="19" t="s">
        <v>107</v>
      </c>
      <c r="C33" s="101">
        <v>0.14088149799999999</v>
      </c>
    </row>
    <row r="34" spans="2:3" ht="15.75" customHeight="1" x14ac:dyDescent="0.25">
      <c r="B34" s="19" t="s">
        <v>108</v>
      </c>
      <c r="C34" s="101">
        <v>0.254394544</v>
      </c>
    </row>
    <row r="35" spans="2:3" ht="15.75" customHeight="1" x14ac:dyDescent="0.25">
      <c r="B35" s="27" t="s">
        <v>41</v>
      </c>
      <c r="C35" s="48">
        <f>SUM(C26:C34)</f>
        <v>1</v>
      </c>
    </row>
  </sheetData>
  <sheetProtection algorithmName="SHA-512" hashValue="+ntpQ2+NNoQavtMNuK8Iof6zFc28nhpEwFGYxin2NKfZDLJkEUa5CNH0b6gWJJ2d6b6JdYQHfEeh4GnaiQToRQ==" saltValue="N1u5ar376jltYUKtSPqnn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110</v>
      </c>
      <c r="C1" s="11" t="s">
        <v>109</v>
      </c>
      <c r="D1" s="11" t="s">
        <v>96</v>
      </c>
      <c r="E1" s="11" t="s">
        <v>97</v>
      </c>
      <c r="F1" s="11" t="s">
        <v>98</v>
      </c>
      <c r="G1" s="11" t="s">
        <v>99</v>
      </c>
    </row>
    <row r="2" spans="1:15" ht="15.75" customHeight="1" x14ac:dyDescent="0.25">
      <c r="A2" s="3" t="s">
        <v>111</v>
      </c>
      <c r="B2" s="5" t="s">
        <v>112</v>
      </c>
      <c r="C2" s="52">
        <f>IFERROR(1-_xlfn.NORM.DIST(_xlfn.NORM.INV(SUM(C4:C5), 0, 1) + 1, 0, 1, TRUE), "")</f>
        <v>0.47748951465880585</v>
      </c>
      <c r="D2" s="52">
        <f>IFERROR(1-_xlfn.NORM.DIST(_xlfn.NORM.INV(SUM(D4:D5), 0, 1) + 1, 0, 1, TRUE), "")</f>
        <v>0.47748951465880585</v>
      </c>
      <c r="E2" s="52">
        <f>IFERROR(1-_xlfn.NORM.DIST(_xlfn.NORM.INV(SUM(E4:E5), 0, 1) + 1, 0, 1, TRUE), "")</f>
        <v>0.44427387128346996</v>
      </c>
      <c r="F2" s="52">
        <f>IFERROR(1-_xlfn.NORM.DIST(_xlfn.NORM.INV(SUM(F4:F5), 0, 1) + 1, 0, 1, TRUE), "")</f>
        <v>0.26835129037057226</v>
      </c>
      <c r="G2" s="52">
        <f>IFERROR(1-_xlfn.NORM.DIST(_xlfn.NORM.INV(SUM(G4:G5), 0, 1) + 1, 0, 1, TRUE), "")</f>
        <v>0.24059967202811738</v>
      </c>
    </row>
    <row r="3" spans="1:15" ht="15.75" customHeight="1" x14ac:dyDescent="0.25">
      <c r="B3" s="5" t="s">
        <v>113</v>
      </c>
      <c r="C3" s="52">
        <f>IFERROR(_xlfn.NORM.DIST(_xlfn.NORM.INV(SUM(C4:C5), 0, 1) + 1, 0, 1, TRUE) - SUM(C4:C5), "")</f>
        <v>0.34980927998405176</v>
      </c>
      <c r="D3" s="52">
        <f>IFERROR(_xlfn.NORM.DIST(_xlfn.NORM.INV(SUM(D4:D5), 0, 1) + 1, 0, 1, TRUE) - SUM(D4:D5), "")</f>
        <v>0.34980927998405176</v>
      </c>
      <c r="E3" s="52">
        <f>IFERROR(_xlfn.NORM.DIST(_xlfn.NORM.INV(SUM(E4:E5), 0, 1) + 1, 0, 1, TRUE) - SUM(E4:E5), "")</f>
        <v>0.36079244835938734</v>
      </c>
      <c r="F3" s="52">
        <f>IFERROR(_xlfn.NORM.DIST(_xlfn.NORM.INV(SUM(F4:F5), 0, 1) + 1, 0, 1, TRUE) - SUM(F4:F5), "")</f>
        <v>0.38048960962942774</v>
      </c>
      <c r="G3" s="52">
        <f>IFERROR(_xlfn.NORM.DIST(_xlfn.NORM.INV(SUM(G4:G5), 0, 1) + 1, 0, 1, TRUE) - SUM(G4:G5), "")</f>
        <v>0.37564213332902563</v>
      </c>
    </row>
    <row r="4" spans="1:15" ht="15.75" customHeight="1" x14ac:dyDescent="0.25">
      <c r="B4" s="5" t="s">
        <v>114</v>
      </c>
      <c r="C4" s="45">
        <v>0.100377583928571</v>
      </c>
      <c r="D4" s="53">
        <v>0.100377583928571</v>
      </c>
      <c r="E4" s="53">
        <v>0.120720032142857</v>
      </c>
      <c r="F4" s="53">
        <v>0.206891667857143</v>
      </c>
      <c r="G4" s="53">
        <v>0.224426075</v>
      </c>
    </row>
    <row r="5" spans="1:15" ht="15.75" customHeight="1" x14ac:dyDescent="0.25">
      <c r="B5" s="5" t="s">
        <v>115</v>
      </c>
      <c r="C5" s="45">
        <v>7.2323621428571391E-2</v>
      </c>
      <c r="D5" s="53">
        <v>7.2323621428571391E-2</v>
      </c>
      <c r="E5" s="53">
        <v>7.4213648214285707E-2</v>
      </c>
      <c r="F5" s="53">
        <v>0.14426743214285701</v>
      </c>
      <c r="G5" s="53">
        <v>0.15933211964285701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116</v>
      </c>
      <c r="B8" s="5" t="s">
        <v>117</v>
      </c>
      <c r="C8" s="52">
        <f>IFERROR(1-_xlfn.NORM.DIST(_xlfn.NORM.INV(SUM(C10:C11), 0, 1) + 1, 0, 1, TRUE), "")</f>
        <v>0.53812653814268863</v>
      </c>
      <c r="D8" s="52">
        <f>IFERROR(1-_xlfn.NORM.DIST(_xlfn.NORM.INV(SUM(D10:D11), 0, 1) + 1, 0, 1, TRUE), "")</f>
        <v>0.53812653814268863</v>
      </c>
      <c r="E8" s="52">
        <f>IFERROR(1-_xlfn.NORM.DIST(_xlfn.NORM.INV(SUM(E10:E11), 0, 1) + 1, 0, 1, TRUE), "")</f>
        <v>0.56035242159650323</v>
      </c>
      <c r="F8" s="52">
        <f>IFERROR(1-_xlfn.NORM.DIST(_xlfn.NORM.INV(SUM(F10:F11), 0, 1) + 1, 0, 1, TRUE), "")</f>
        <v>0.57922762492923829</v>
      </c>
      <c r="G8" s="52">
        <f>IFERROR(1-_xlfn.NORM.DIST(_xlfn.NORM.INV(SUM(G10:G11), 0, 1) + 1, 0, 1, TRUE), "")</f>
        <v>0.65018032637863876</v>
      </c>
    </row>
    <row r="9" spans="1:15" ht="15.75" customHeight="1" x14ac:dyDescent="0.25">
      <c r="B9" s="5" t="s">
        <v>118</v>
      </c>
      <c r="C9" s="52">
        <f>IFERROR(_xlfn.NORM.DIST(_xlfn.NORM.INV(SUM(C10:C11), 0, 1) + 1, 0, 1, TRUE) - SUM(C10:C11), "")</f>
        <v>0.32527170471445427</v>
      </c>
      <c r="D9" s="52">
        <f>IFERROR(_xlfn.NORM.DIST(_xlfn.NORM.INV(SUM(D10:D11), 0, 1) + 1, 0, 1, TRUE) - SUM(D10:D11), "")</f>
        <v>0.32527170471445427</v>
      </c>
      <c r="E9" s="52">
        <f>IFERROR(_xlfn.NORM.DIST(_xlfn.NORM.INV(SUM(E10:E11), 0, 1) + 1, 0, 1, TRUE) - SUM(E10:E11), "")</f>
        <v>0.31495884804635388</v>
      </c>
      <c r="F9" s="52">
        <f>IFERROR(_xlfn.NORM.DIST(_xlfn.NORM.INV(SUM(F10:F11), 0, 1) + 1, 0, 1, TRUE) - SUM(F10:F11), "")</f>
        <v>0.3056867714993331</v>
      </c>
      <c r="G9" s="52">
        <f>IFERROR(_xlfn.NORM.DIST(_xlfn.NORM.INV(SUM(G10:G11), 0, 1) + 1, 0, 1, TRUE) - SUM(G10:G11), "")</f>
        <v>0.26691680576421839</v>
      </c>
    </row>
    <row r="10" spans="1:15" ht="15.75" customHeight="1" x14ac:dyDescent="0.25">
      <c r="B10" s="5" t="s">
        <v>119</v>
      </c>
      <c r="C10" s="45">
        <v>8.2879166071428506E-2</v>
      </c>
      <c r="D10" s="53">
        <v>8.2879166071428506E-2</v>
      </c>
      <c r="E10" s="53">
        <v>8.5069555357142904E-2</v>
      </c>
      <c r="F10" s="53">
        <v>8.1781450000000006E-2</v>
      </c>
      <c r="G10" s="53">
        <v>6.1769744642857102E-2</v>
      </c>
    </row>
    <row r="11" spans="1:15" ht="15.75" customHeight="1" x14ac:dyDescent="0.25">
      <c r="B11" s="5" t="s">
        <v>120</v>
      </c>
      <c r="C11" s="45">
        <v>5.3722591071428599E-2</v>
      </c>
      <c r="D11" s="53">
        <v>5.3722591071428599E-2</v>
      </c>
      <c r="E11" s="53">
        <v>3.9619175E-2</v>
      </c>
      <c r="F11" s="53">
        <v>3.3304153571428602E-2</v>
      </c>
      <c r="G11" s="53">
        <v>2.11331232142857E-2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121</v>
      </c>
      <c r="C13" s="11" t="s">
        <v>109</v>
      </c>
      <c r="D13" s="11" t="s">
        <v>96</v>
      </c>
      <c r="E13" s="11" t="s">
        <v>97</v>
      </c>
      <c r="F13" s="11" t="s">
        <v>98</v>
      </c>
      <c r="G13" s="11" t="s">
        <v>99</v>
      </c>
      <c r="H13" s="18" t="s">
        <v>122</v>
      </c>
      <c r="I13" s="18" t="s">
        <v>123</v>
      </c>
      <c r="J13" s="18" t="s">
        <v>124</v>
      </c>
      <c r="K13" s="18" t="s">
        <v>125</v>
      </c>
      <c r="L13" s="18" t="s">
        <v>69</v>
      </c>
      <c r="M13" s="18" t="s">
        <v>70</v>
      </c>
      <c r="N13" s="18" t="s">
        <v>71</v>
      </c>
      <c r="O13" s="18" t="s">
        <v>72</v>
      </c>
    </row>
    <row r="14" spans="1:15" ht="15.75" customHeight="1" x14ac:dyDescent="0.25">
      <c r="B14" s="11" t="s">
        <v>126</v>
      </c>
      <c r="C14" s="51">
        <v>0.24106760525000001</v>
      </c>
      <c r="D14" s="54">
        <v>0.22647946759500001</v>
      </c>
      <c r="E14" s="54">
        <v>0.22647946759500001</v>
      </c>
      <c r="F14" s="54">
        <v>8.3043017710499989E-2</v>
      </c>
      <c r="G14" s="54">
        <v>8.3043017710499989E-2</v>
      </c>
      <c r="H14" s="45">
        <v>0.32400000000000001</v>
      </c>
      <c r="I14" s="55">
        <v>0.32400000000000001</v>
      </c>
      <c r="J14" s="55">
        <v>0.32400000000000001</v>
      </c>
      <c r="K14" s="55">
        <v>0.32400000000000001</v>
      </c>
      <c r="L14" s="45">
        <v>0.26200000000000001</v>
      </c>
      <c r="M14" s="55">
        <v>0.26200000000000001</v>
      </c>
      <c r="N14" s="55">
        <v>0.26200000000000001</v>
      </c>
      <c r="O14" s="55">
        <v>0.26200000000000001</v>
      </c>
    </row>
    <row r="15" spans="1:15" ht="15.75" customHeight="1" x14ac:dyDescent="0.25">
      <c r="B15" s="11" t="s">
        <v>127</v>
      </c>
      <c r="C15" s="52">
        <f t="shared" ref="C15:O15" si="0">iron_deficiency_anaemia*C14</f>
        <v>0.15851279849411126</v>
      </c>
      <c r="D15" s="52">
        <f t="shared" si="0"/>
        <v>0.14892044151975428</v>
      </c>
      <c r="E15" s="52">
        <f t="shared" si="0"/>
        <v>0.14892044151975428</v>
      </c>
      <c r="F15" s="52">
        <f t="shared" si="0"/>
        <v>5.4604521080450719E-2</v>
      </c>
      <c r="G15" s="52">
        <f t="shared" si="0"/>
        <v>5.4604521080450719E-2</v>
      </c>
      <c r="H15" s="52">
        <f t="shared" si="0"/>
        <v>0.21304458000000001</v>
      </c>
      <c r="I15" s="52">
        <f t="shared" si="0"/>
        <v>0.21304458000000001</v>
      </c>
      <c r="J15" s="52">
        <f t="shared" si="0"/>
        <v>0.21304458000000001</v>
      </c>
      <c r="K15" s="52">
        <f t="shared" si="0"/>
        <v>0.21304458000000001</v>
      </c>
      <c r="L15" s="52">
        <f t="shared" si="0"/>
        <v>0.17227679000000001</v>
      </c>
      <c r="M15" s="52">
        <f t="shared" si="0"/>
        <v>0.17227679000000001</v>
      </c>
      <c r="N15" s="52">
        <f t="shared" si="0"/>
        <v>0.17227679000000001</v>
      </c>
      <c r="O15" s="52">
        <f t="shared" si="0"/>
        <v>0.17227679000000001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lS40SozX/r7PMIvcMdKjiqXWcXyXpbewem1qGqbj4LFynGmRYW8yDmVX/Gsi22n4lvoNyRwKc8Qf0h/WlUpP4Q==" saltValue="ffgnDyUJe4W2u/n1WVWZz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110</v>
      </c>
      <c r="C1" s="8" t="s">
        <v>109</v>
      </c>
      <c r="D1" s="8" t="s">
        <v>96</v>
      </c>
      <c r="E1" s="8" t="s">
        <v>97</v>
      </c>
      <c r="F1" s="8" t="s">
        <v>98</v>
      </c>
      <c r="G1" s="8" t="s">
        <v>99</v>
      </c>
    </row>
    <row r="2" spans="1:7" x14ac:dyDescent="0.25">
      <c r="A2" s="3" t="s">
        <v>128</v>
      </c>
      <c r="B2" s="3" t="s">
        <v>129</v>
      </c>
      <c r="C2" s="45">
        <v>0.63046120140845097</v>
      </c>
      <c r="D2" s="53">
        <v>0.43695124225352111</v>
      </c>
      <c r="E2" s="53">
        <v>0</v>
      </c>
      <c r="F2" s="53">
        <v>0</v>
      </c>
      <c r="G2" s="53">
        <v>0</v>
      </c>
    </row>
    <row r="3" spans="1:7" x14ac:dyDescent="0.25">
      <c r="B3" s="3" t="s">
        <v>130</v>
      </c>
      <c r="C3" s="53">
        <v>0.13987543571428601</v>
      </c>
      <c r="D3" s="53">
        <v>0.172720771830986</v>
      </c>
      <c r="E3" s="53">
        <v>0</v>
      </c>
      <c r="F3" s="53">
        <v>0</v>
      </c>
      <c r="G3" s="53">
        <v>0</v>
      </c>
    </row>
    <row r="4" spans="1:7" x14ac:dyDescent="0.25">
      <c r="B4" s="3" t="s">
        <v>131</v>
      </c>
      <c r="C4" s="53">
        <v>0.18968471549295801</v>
      </c>
      <c r="D4" s="53">
        <v>0.32114636056337997</v>
      </c>
      <c r="E4" s="53">
        <v>0.86012135342465701</v>
      </c>
      <c r="F4" s="53">
        <v>0.68589079999999991</v>
      </c>
      <c r="G4" s="53">
        <v>0</v>
      </c>
    </row>
    <row r="5" spans="1:7" x14ac:dyDescent="0.25">
      <c r="B5" s="3" t="s">
        <v>132</v>
      </c>
      <c r="C5" s="52">
        <v>4.2547995714285698E-2</v>
      </c>
      <c r="D5" s="52">
        <v>6.9181616901408394E-2</v>
      </c>
      <c r="E5" s="52">
        <f>1-SUM(E2:E4)</f>
        <v>0.13987864657534299</v>
      </c>
      <c r="F5" s="52">
        <f>1-SUM(F2:F4)</f>
        <v>0.31410920000000009</v>
      </c>
      <c r="G5" s="52">
        <f>1-SUM(G2:G4)</f>
        <v>1</v>
      </c>
    </row>
  </sheetData>
  <sheetProtection algorithmName="SHA-512" hashValue="t8BNBJredQhxB1Ru8yVncxqNVZBJRn3I7kMaR1tKzYr5xQOrPBYZ5Q74vNK6X/BuRUNusc1WucNgBLaWBLtmow==" saltValue="HEW7jWBo99Eol3OUpNaQl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133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134</v>
      </c>
      <c r="B2" s="9" t="s">
        <v>143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135</v>
      </c>
      <c r="B4" s="9" t="s">
        <v>143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136</v>
      </c>
      <c r="B6" s="9" t="s">
        <v>143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100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137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138</v>
      </c>
      <c r="B10" s="11" t="s">
        <v>139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140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43</v>
      </c>
      <c r="B13" s="11" t="s">
        <v>141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142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aESU6h4JISLDjHT8W4/QdB37FRCA1Z7jQ+bYhDG3uqRAWJvzmUHRSdS3zfA8kfgugDaW/YANYj0UZ9IPErbPIw==" saltValue="+/kEAAoZWtNgdN8C0kqcQ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4</v>
      </c>
      <c r="B1" s="4" t="s">
        <v>144</v>
      </c>
    </row>
    <row r="2" spans="1:2" x14ac:dyDescent="0.25">
      <c r="A2" s="8" t="s">
        <v>145</v>
      </c>
      <c r="B2" s="41">
        <v>10</v>
      </c>
    </row>
    <row r="3" spans="1:2" x14ac:dyDescent="0.25">
      <c r="A3" s="8" t="s">
        <v>150</v>
      </c>
      <c r="B3" s="41">
        <v>10</v>
      </c>
    </row>
    <row r="4" spans="1:2" x14ac:dyDescent="0.25">
      <c r="A4" s="8" t="s">
        <v>146</v>
      </c>
      <c r="B4" s="41">
        <v>10</v>
      </c>
    </row>
    <row r="5" spans="1:2" x14ac:dyDescent="0.25">
      <c r="A5" s="8" t="s">
        <v>147</v>
      </c>
      <c r="B5" s="41">
        <v>10</v>
      </c>
    </row>
    <row r="6" spans="1:2" x14ac:dyDescent="0.25">
      <c r="A6" s="8" t="s">
        <v>148</v>
      </c>
      <c r="B6" s="41">
        <v>10</v>
      </c>
    </row>
    <row r="7" spans="1:2" x14ac:dyDescent="0.25">
      <c r="A7" s="8" t="s">
        <v>149</v>
      </c>
      <c r="B7" s="41">
        <v>10</v>
      </c>
    </row>
  </sheetData>
  <sheetProtection algorithmName="SHA-512" hashValue="Y18HJvBSl5bJTMb3oheWAOZQsmQ9496TZB/pxQ2KNtd/L4Q1pxoNq1V/nmaTjGA9Ftqf2EEtfdw2AGkSJsuH9w==" saltValue="ovMT34Vmv0/PuErCUt5RT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151</v>
      </c>
      <c r="B1" s="36" t="s">
        <v>152</v>
      </c>
      <c r="C1" s="36" t="s">
        <v>153</v>
      </c>
      <c r="D1" s="36" t="s">
        <v>154</v>
      </c>
      <c r="E1" s="36" t="s">
        <v>155</v>
      </c>
    </row>
    <row r="2" spans="1:5" ht="13" customHeight="1" x14ac:dyDescent="0.3">
      <c r="A2" s="34" t="s">
        <v>157</v>
      </c>
      <c r="B2" s="32" t="s">
        <v>100</v>
      </c>
      <c r="C2" s="47"/>
      <c r="D2" s="47"/>
      <c r="E2" s="38" t="str">
        <f>IF(E$7="","",E$7)</f>
        <v/>
      </c>
    </row>
    <row r="3" spans="1:5" x14ac:dyDescent="0.25">
      <c r="B3" s="32" t="s">
        <v>109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96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97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98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156</v>
      </c>
      <c r="C7" s="31"/>
      <c r="D7" s="30"/>
      <c r="E7" s="47"/>
    </row>
    <row r="9" spans="1:5" ht="13" customHeight="1" x14ac:dyDescent="0.3">
      <c r="A9" s="34" t="s">
        <v>158</v>
      </c>
      <c r="B9" s="32" t="s">
        <v>100</v>
      </c>
      <c r="C9" s="47"/>
      <c r="D9" s="47"/>
      <c r="E9" s="38" t="str">
        <f>IF(E$7="","",E$7)</f>
        <v/>
      </c>
    </row>
    <row r="10" spans="1:5" x14ac:dyDescent="0.25">
      <c r="B10" s="32" t="s">
        <v>109</v>
      </c>
      <c r="C10" s="47"/>
      <c r="D10" s="47"/>
      <c r="E10" s="38" t="str">
        <f>IF(E$7="","",E$7)</f>
        <v/>
      </c>
    </row>
    <row r="11" spans="1:5" x14ac:dyDescent="0.25">
      <c r="B11" s="32" t="s">
        <v>96</v>
      </c>
      <c r="C11" s="47"/>
      <c r="D11" s="47"/>
      <c r="E11" s="38" t="str">
        <f>IF(E$7="","",E$7)</f>
        <v/>
      </c>
    </row>
    <row r="12" spans="1:5" x14ac:dyDescent="0.25">
      <c r="B12" s="32" t="s">
        <v>97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98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156</v>
      </c>
      <c r="C14" s="31"/>
      <c r="D14" s="30"/>
      <c r="E14" s="47"/>
    </row>
    <row r="16" spans="1:5" ht="13" customHeight="1" x14ac:dyDescent="0.3">
      <c r="A16" s="34" t="s">
        <v>159</v>
      </c>
      <c r="B16" s="32" t="s">
        <v>100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109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96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98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156</v>
      </c>
      <c r="C21" s="31"/>
      <c r="D21" s="30"/>
      <c r="E21" s="47"/>
    </row>
  </sheetData>
  <sheetProtection algorithmName="SHA-512" hashValue="QD0riOD0IuXVM5lmHxn7EPKRvee0AmVKGqZURVBiKsAeNfuU8ez/ogOkMSwi3td2ZYbte96wV/N8fKpLtAJo/g==" saltValue="DfBk/RGQlwZG7GvF4vfbD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162</v>
      </c>
      <c r="C1" s="40" t="s">
        <v>6</v>
      </c>
      <c r="D1" s="40" t="s">
        <v>163</v>
      </c>
    </row>
    <row r="2" spans="1:4" ht="13" customHeight="1" x14ac:dyDescent="0.3">
      <c r="A2" s="40" t="s">
        <v>160</v>
      </c>
      <c r="B2" s="32" t="s">
        <v>161</v>
      </c>
      <c r="C2" s="32" t="s">
        <v>165</v>
      </c>
      <c r="D2" s="47"/>
    </row>
    <row r="3" spans="1:4" ht="13" customHeight="1" x14ac:dyDescent="0.3">
      <c r="A3" s="40" t="s">
        <v>164</v>
      </c>
      <c r="B3" s="32" t="s">
        <v>153</v>
      </c>
      <c r="C3" s="32" t="s">
        <v>154</v>
      </c>
      <c r="D3" s="47"/>
    </row>
  </sheetData>
  <sheetProtection algorithmName="SHA-512" hashValue="lm3zFYJEheBsiO0kQedhuGcLhcxyKOM8Ib5cxm1H2LyiBlZH5lXIuuDVPATLRn5V5p9XG600O8COnnWxnwt13g==" saltValue="6kdnIIuB3AQd6wSWMI84d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160</v>
      </c>
      <c r="B1" s="22" t="str">
        <f>"Couverture de l'année de référence ("&amp;start_year&amp;")"</f>
        <v>Couverture de l'année de référence (2024)</v>
      </c>
      <c r="C1" s="22" t="s">
        <v>166</v>
      </c>
      <c r="D1" s="22" t="s">
        <v>202</v>
      </c>
      <c r="E1" s="22" t="s">
        <v>167</v>
      </c>
      <c r="F1" s="22" t="s">
        <v>203</v>
      </c>
      <c r="G1" s="22" t="s">
        <v>204</v>
      </c>
    </row>
    <row r="2" spans="1:7" ht="15.75" customHeight="1" x14ac:dyDescent="0.25">
      <c r="A2" s="5" t="s">
        <v>168</v>
      </c>
      <c r="B2" s="45">
        <v>0</v>
      </c>
      <c r="C2" s="98">
        <v>0.95</v>
      </c>
      <c r="D2" s="56">
        <v>83.410471363702499</v>
      </c>
      <c r="E2" s="56" t="s">
        <v>201</v>
      </c>
      <c r="F2" s="98">
        <v>1</v>
      </c>
      <c r="G2" s="98">
        <v>1</v>
      </c>
    </row>
    <row r="3" spans="1:7" ht="15.75" customHeight="1" x14ac:dyDescent="0.25">
      <c r="A3" s="5" t="s">
        <v>169</v>
      </c>
      <c r="B3" s="45">
        <v>0</v>
      </c>
      <c r="C3" s="98">
        <v>0.95</v>
      </c>
      <c r="D3" s="56">
        <v>40.449016074200848</v>
      </c>
      <c r="E3" s="56" t="s">
        <v>201</v>
      </c>
      <c r="F3" s="98">
        <v>1</v>
      </c>
      <c r="G3" s="98">
        <v>1</v>
      </c>
    </row>
    <row r="4" spans="1:7" ht="15.75" customHeight="1" x14ac:dyDescent="0.25">
      <c r="A4" s="5" t="s">
        <v>170</v>
      </c>
      <c r="B4" s="98">
        <v>0</v>
      </c>
      <c r="C4" s="98">
        <v>0.95</v>
      </c>
      <c r="D4" s="56">
        <v>812.31808725464009</v>
      </c>
      <c r="E4" s="56" t="s">
        <v>201</v>
      </c>
      <c r="F4" s="98">
        <v>1</v>
      </c>
      <c r="G4" s="98">
        <v>1</v>
      </c>
    </row>
    <row r="5" spans="1:7" ht="15.75" customHeight="1" x14ac:dyDescent="0.25">
      <c r="A5" s="5" t="s">
        <v>171</v>
      </c>
      <c r="B5" s="98">
        <v>0</v>
      </c>
      <c r="C5" s="98">
        <v>0.95</v>
      </c>
      <c r="D5" s="56">
        <v>3.1156800607451971</v>
      </c>
      <c r="E5" s="56" t="s">
        <v>201</v>
      </c>
      <c r="F5" s="98">
        <v>1</v>
      </c>
      <c r="G5" s="98">
        <v>1</v>
      </c>
    </row>
    <row r="6" spans="1:7" ht="15.75" customHeight="1" x14ac:dyDescent="0.25">
      <c r="A6" s="5" t="s">
        <v>172</v>
      </c>
      <c r="B6" s="98">
        <v>0</v>
      </c>
      <c r="C6" s="98">
        <v>0.95</v>
      </c>
      <c r="D6" s="56">
        <v>99.99</v>
      </c>
      <c r="E6" s="56" t="s">
        <v>201</v>
      </c>
      <c r="F6" s="98">
        <v>1</v>
      </c>
      <c r="G6" s="98">
        <v>1</v>
      </c>
    </row>
    <row r="7" spans="1:7" ht="15.75" customHeight="1" x14ac:dyDescent="0.25">
      <c r="A7" s="5" t="s">
        <v>173</v>
      </c>
      <c r="B7" s="98">
        <v>0</v>
      </c>
      <c r="C7" s="98">
        <v>0.95</v>
      </c>
      <c r="D7" s="56">
        <v>99.99</v>
      </c>
      <c r="E7" s="56" t="s">
        <v>201</v>
      </c>
      <c r="F7" s="98">
        <v>1</v>
      </c>
      <c r="G7" s="98">
        <v>1</v>
      </c>
    </row>
    <row r="8" spans="1:7" ht="15.75" customHeight="1" x14ac:dyDescent="0.25">
      <c r="A8" s="5" t="s">
        <v>174</v>
      </c>
      <c r="B8" s="98">
        <v>0</v>
      </c>
      <c r="C8" s="98">
        <v>0.95</v>
      </c>
      <c r="D8" s="56">
        <v>99.99</v>
      </c>
      <c r="E8" s="56" t="s">
        <v>201</v>
      </c>
      <c r="F8" s="98">
        <v>1</v>
      </c>
      <c r="G8" s="98">
        <v>1</v>
      </c>
    </row>
    <row r="9" spans="1:7" ht="15.75" customHeight="1" x14ac:dyDescent="0.25">
      <c r="A9" s="5" t="s">
        <v>175</v>
      </c>
      <c r="B9" s="98">
        <v>0</v>
      </c>
      <c r="C9" s="98">
        <v>0.95</v>
      </c>
      <c r="D9" s="56">
        <v>99.99</v>
      </c>
      <c r="E9" s="56" t="s">
        <v>201</v>
      </c>
      <c r="F9" s="98">
        <v>1</v>
      </c>
      <c r="G9" s="98">
        <v>1</v>
      </c>
    </row>
    <row r="10" spans="1:7" ht="15.75" customHeight="1" x14ac:dyDescent="0.25">
      <c r="A10" s="11" t="s">
        <v>176</v>
      </c>
      <c r="B10" s="45">
        <v>0</v>
      </c>
      <c r="C10" s="98">
        <v>0.95</v>
      </c>
      <c r="D10" s="56">
        <v>13.58131551799676</v>
      </c>
      <c r="E10" s="56" t="s">
        <v>201</v>
      </c>
      <c r="F10" s="98">
        <v>1</v>
      </c>
      <c r="G10" s="98">
        <v>1</v>
      </c>
    </row>
    <row r="11" spans="1:7" ht="15.75" customHeight="1" x14ac:dyDescent="0.25">
      <c r="A11" s="11" t="s">
        <v>177</v>
      </c>
      <c r="B11" s="98">
        <v>0</v>
      </c>
      <c r="C11" s="98">
        <v>0.95</v>
      </c>
      <c r="D11" s="56">
        <v>13.58131551799676</v>
      </c>
      <c r="E11" s="56" t="s">
        <v>201</v>
      </c>
      <c r="F11" s="98">
        <v>1</v>
      </c>
      <c r="G11" s="98">
        <v>1</v>
      </c>
    </row>
    <row r="12" spans="1:7" ht="15.75" customHeight="1" x14ac:dyDescent="0.25">
      <c r="A12" s="11" t="s">
        <v>178</v>
      </c>
      <c r="B12" s="98">
        <v>0</v>
      </c>
      <c r="C12" s="98">
        <v>0.95</v>
      </c>
      <c r="D12" s="56">
        <v>13.58131551799676</v>
      </c>
      <c r="E12" s="56" t="s">
        <v>201</v>
      </c>
      <c r="F12" s="98">
        <v>1</v>
      </c>
      <c r="G12" s="98">
        <v>1</v>
      </c>
    </row>
    <row r="13" spans="1:7" ht="15.75" customHeight="1" x14ac:dyDescent="0.25">
      <c r="A13" s="11" t="s">
        <v>179</v>
      </c>
      <c r="B13" s="98">
        <v>0</v>
      </c>
      <c r="C13" s="98">
        <v>0.95</v>
      </c>
      <c r="D13" s="56">
        <v>13.58131551799676</v>
      </c>
      <c r="E13" s="56" t="s">
        <v>201</v>
      </c>
      <c r="F13" s="98">
        <v>1</v>
      </c>
      <c r="G13" s="98">
        <v>1</v>
      </c>
    </row>
    <row r="14" spans="1:7" ht="15.75" customHeight="1" x14ac:dyDescent="0.25">
      <c r="A14" s="5" t="s">
        <v>180</v>
      </c>
      <c r="B14" s="45">
        <v>0</v>
      </c>
      <c r="C14" s="98">
        <v>0.95</v>
      </c>
      <c r="D14" s="56">
        <v>13.58131551799676</v>
      </c>
      <c r="E14" s="56" t="s">
        <v>201</v>
      </c>
      <c r="F14" s="98">
        <v>1</v>
      </c>
      <c r="G14" s="98">
        <v>1</v>
      </c>
    </row>
    <row r="15" spans="1:7" ht="15.75" customHeight="1" x14ac:dyDescent="0.25">
      <c r="A15" s="5" t="s">
        <v>181</v>
      </c>
      <c r="B15" s="98">
        <v>0</v>
      </c>
      <c r="C15" s="98">
        <v>0.95</v>
      </c>
      <c r="D15" s="56">
        <v>13.58131551799676</v>
      </c>
      <c r="E15" s="56" t="s">
        <v>201</v>
      </c>
      <c r="F15" s="98">
        <v>1</v>
      </c>
      <c r="G15" s="98">
        <v>1</v>
      </c>
    </row>
    <row r="16" spans="1:7" ht="15.75" customHeight="1" x14ac:dyDescent="0.25">
      <c r="A16" s="5" t="s">
        <v>182</v>
      </c>
      <c r="B16" s="45">
        <v>0</v>
      </c>
      <c r="C16" s="98">
        <v>0.95</v>
      </c>
      <c r="D16" s="56">
        <v>1.288081317892106</v>
      </c>
      <c r="E16" s="56" t="s">
        <v>201</v>
      </c>
      <c r="F16" s="98">
        <v>1</v>
      </c>
      <c r="G16" s="98">
        <v>1</v>
      </c>
    </row>
    <row r="17" spans="1:7" ht="15.75" customHeight="1" x14ac:dyDescent="0.25">
      <c r="A17" s="5" t="s">
        <v>183</v>
      </c>
      <c r="B17" s="98">
        <v>1.7000977777777799E-3</v>
      </c>
      <c r="C17" s="98">
        <v>0.95</v>
      </c>
      <c r="D17" s="56">
        <v>0.1369044839662158</v>
      </c>
      <c r="E17" s="56" t="s">
        <v>201</v>
      </c>
      <c r="F17" s="98">
        <v>1</v>
      </c>
      <c r="G17" s="98">
        <v>1</v>
      </c>
    </row>
    <row r="18" spans="1:7" ht="15.9" customHeight="1" x14ac:dyDescent="0.25">
      <c r="A18" s="5" t="s">
        <v>157</v>
      </c>
      <c r="B18" s="98">
        <v>0.1249216672</v>
      </c>
      <c r="C18" s="98">
        <v>0.95</v>
      </c>
      <c r="D18" s="56">
        <v>18.60707793325918</v>
      </c>
      <c r="E18" s="56" t="s">
        <v>201</v>
      </c>
      <c r="F18" s="98">
        <v>1</v>
      </c>
      <c r="G18" s="98">
        <v>1</v>
      </c>
    </row>
    <row r="19" spans="1:7" ht="15.75" customHeight="1" x14ac:dyDescent="0.25">
      <c r="A19" s="5" t="s">
        <v>158</v>
      </c>
      <c r="B19" s="98">
        <v>0.95892359999999999</v>
      </c>
      <c r="C19" s="98">
        <v>0.95</v>
      </c>
      <c r="D19" s="56">
        <v>18.60707793325918</v>
      </c>
      <c r="E19" s="56" t="s">
        <v>201</v>
      </c>
      <c r="F19" s="98">
        <v>1</v>
      </c>
      <c r="G19" s="98">
        <v>1</v>
      </c>
    </row>
    <row r="20" spans="1:7" ht="15.75" customHeight="1" x14ac:dyDescent="0.25">
      <c r="A20" s="5" t="s">
        <v>159</v>
      </c>
      <c r="B20" s="98">
        <v>0</v>
      </c>
      <c r="C20" s="98">
        <v>0.95</v>
      </c>
      <c r="D20" s="56">
        <v>99.99</v>
      </c>
      <c r="E20" s="56" t="s">
        <v>201</v>
      </c>
      <c r="F20" s="98">
        <v>1</v>
      </c>
      <c r="G20" s="98">
        <v>1</v>
      </c>
    </row>
    <row r="21" spans="1:7" ht="15.75" customHeight="1" x14ac:dyDescent="0.25">
      <c r="A21" s="5" t="s">
        <v>184</v>
      </c>
      <c r="B21" s="45">
        <v>0.85931000000000002</v>
      </c>
      <c r="C21" s="98">
        <v>0.95</v>
      </c>
      <c r="D21" s="56">
        <v>39.938718228324198</v>
      </c>
      <c r="E21" s="56" t="s">
        <v>201</v>
      </c>
      <c r="F21" s="98">
        <v>1</v>
      </c>
      <c r="G21" s="98">
        <v>1</v>
      </c>
    </row>
    <row r="22" spans="1:7" ht="15.75" customHeight="1" x14ac:dyDescent="0.25">
      <c r="A22" s="5" t="s">
        <v>185</v>
      </c>
      <c r="B22" s="98">
        <v>0</v>
      </c>
      <c r="C22" s="98">
        <v>0.95</v>
      </c>
      <c r="D22" s="56">
        <v>23.735422745953461</v>
      </c>
      <c r="E22" s="56" t="s">
        <v>201</v>
      </c>
      <c r="F22" s="98">
        <v>1</v>
      </c>
      <c r="G22" s="98">
        <v>1</v>
      </c>
    </row>
    <row r="23" spans="1:7" ht="15.75" customHeight="1" x14ac:dyDescent="0.25">
      <c r="A23" s="5" t="s">
        <v>186</v>
      </c>
      <c r="B23" s="98">
        <v>0</v>
      </c>
      <c r="C23" s="98">
        <v>0.95</v>
      </c>
      <c r="D23" s="56">
        <v>4.6350477086017117</v>
      </c>
      <c r="E23" s="56" t="s">
        <v>201</v>
      </c>
      <c r="F23" s="98">
        <v>1</v>
      </c>
      <c r="G23" s="98">
        <v>1</v>
      </c>
    </row>
    <row r="24" spans="1:7" ht="15.75" customHeight="1" x14ac:dyDescent="0.25">
      <c r="A24" s="5" t="s">
        <v>187</v>
      </c>
      <c r="B24" s="45">
        <v>0.94661520640000008</v>
      </c>
      <c r="C24" s="98">
        <v>0.95</v>
      </c>
      <c r="D24" s="56">
        <v>99.99</v>
      </c>
      <c r="E24" s="56" t="s">
        <v>201</v>
      </c>
      <c r="F24" s="98">
        <v>1</v>
      </c>
      <c r="G24" s="98">
        <v>1</v>
      </c>
    </row>
    <row r="25" spans="1:7" ht="15.75" customHeight="1" x14ac:dyDescent="0.25">
      <c r="A25" s="5" t="s">
        <v>188</v>
      </c>
      <c r="B25" s="98">
        <v>0</v>
      </c>
      <c r="C25" s="98">
        <v>0.95</v>
      </c>
      <c r="D25" s="56">
        <v>99.99</v>
      </c>
      <c r="E25" s="56" t="s">
        <v>201</v>
      </c>
      <c r="F25" s="98">
        <v>1</v>
      </c>
      <c r="G25" s="98">
        <v>1</v>
      </c>
    </row>
    <row r="26" spans="1:7" ht="15.75" customHeight="1" x14ac:dyDescent="0.25">
      <c r="A26" s="5" t="s">
        <v>189</v>
      </c>
      <c r="B26" s="45">
        <v>0</v>
      </c>
      <c r="C26" s="98">
        <v>0.95</v>
      </c>
      <c r="D26" s="56">
        <v>99.99</v>
      </c>
      <c r="E26" s="56" t="s">
        <v>201</v>
      </c>
      <c r="F26" s="98">
        <v>1</v>
      </c>
      <c r="G26" s="98">
        <v>1</v>
      </c>
    </row>
    <row r="27" spans="1:7" ht="15.75" customHeight="1" x14ac:dyDescent="0.25">
      <c r="A27" s="5" t="s">
        <v>190</v>
      </c>
      <c r="B27" s="45">
        <v>0</v>
      </c>
      <c r="C27" s="98">
        <v>0.95</v>
      </c>
      <c r="D27" s="56">
        <v>19.14284064169528</v>
      </c>
      <c r="E27" s="56" t="s">
        <v>201</v>
      </c>
      <c r="F27" s="98">
        <v>1</v>
      </c>
      <c r="G27" s="98">
        <v>1</v>
      </c>
    </row>
    <row r="28" spans="1:7" ht="15.75" customHeight="1" x14ac:dyDescent="0.25">
      <c r="A28" s="5" t="s">
        <v>191</v>
      </c>
      <c r="B28" s="45">
        <v>0.7423335392</v>
      </c>
      <c r="C28" s="98">
        <v>0.95</v>
      </c>
      <c r="D28" s="56">
        <v>99.99</v>
      </c>
      <c r="E28" s="56" t="s">
        <v>201</v>
      </c>
      <c r="F28" s="98">
        <v>1</v>
      </c>
      <c r="G28" s="98">
        <v>1</v>
      </c>
    </row>
    <row r="29" spans="1:7" ht="15.75" customHeight="1" x14ac:dyDescent="0.25">
      <c r="A29" s="5" t="s">
        <v>192</v>
      </c>
      <c r="B29" s="45">
        <v>0</v>
      </c>
      <c r="C29" s="98">
        <v>0.95</v>
      </c>
      <c r="D29" s="56">
        <v>171.57648799823241</v>
      </c>
      <c r="E29" s="56" t="s">
        <v>201</v>
      </c>
      <c r="F29" s="98">
        <v>1</v>
      </c>
      <c r="G29" s="98">
        <v>1</v>
      </c>
    </row>
    <row r="30" spans="1:7" ht="15.75" customHeight="1" x14ac:dyDescent="0.25">
      <c r="A30" s="5" t="s">
        <v>205</v>
      </c>
      <c r="B30" s="98">
        <v>0</v>
      </c>
      <c r="C30" s="98">
        <v>0.95</v>
      </c>
      <c r="D30" s="56">
        <v>99</v>
      </c>
      <c r="E30" s="56" t="s">
        <v>201</v>
      </c>
      <c r="F30" s="98">
        <v>1</v>
      </c>
      <c r="G30" s="98">
        <v>1</v>
      </c>
    </row>
    <row r="31" spans="1:7" ht="15.75" customHeight="1" x14ac:dyDescent="0.25">
      <c r="A31" s="5" t="s">
        <v>161</v>
      </c>
      <c r="B31" s="45">
        <v>0</v>
      </c>
      <c r="C31" s="98">
        <v>0.95</v>
      </c>
      <c r="D31" s="56">
        <v>0.97300645133854413</v>
      </c>
      <c r="E31" s="56" t="s">
        <v>201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2.8242409092683909</v>
      </c>
      <c r="E32" s="56" t="s">
        <v>201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201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</v>
      </c>
      <c r="C34" s="98">
        <v>0.95</v>
      </c>
      <c r="D34" s="56">
        <v>99.99</v>
      </c>
      <c r="E34" s="56" t="s">
        <v>201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201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0.40699999999999997</v>
      </c>
      <c r="C36" s="98">
        <v>0.95</v>
      </c>
      <c r="D36" s="56">
        <v>99.99</v>
      </c>
      <c r="E36" s="56" t="s">
        <v>201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201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</v>
      </c>
      <c r="C38" s="98">
        <v>0.95</v>
      </c>
      <c r="D38" s="56">
        <v>2.9611221982701048</v>
      </c>
      <c r="E38" s="56" t="s">
        <v>201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201</v>
      </c>
      <c r="F39" s="98">
        <v>1</v>
      </c>
      <c r="G39" s="98">
        <v>1</v>
      </c>
    </row>
  </sheetData>
  <sheetProtection algorithmName="SHA-512" hashValue="5Ig/iRSvALo2gjYF/PL1hENvcKmDWp2lBAWhMq06OgoCK73WTYvzBWbwVWllf9nITeQX01yWyHy7Sa0hLd9Tyg==" saltValue="vW4KeMtGEAUMujAPEVI/7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160</v>
      </c>
      <c r="B1" s="4" t="s">
        <v>206</v>
      </c>
      <c r="C1" s="4" t="s">
        <v>207</v>
      </c>
    </row>
    <row r="2" spans="1:3" x14ac:dyDescent="0.25">
      <c r="A2" s="57" t="s">
        <v>180</v>
      </c>
      <c r="B2" s="47" t="s">
        <v>190</v>
      </c>
      <c r="C2" s="47"/>
    </row>
    <row r="3" spans="1:3" x14ac:dyDescent="0.25">
      <c r="A3" s="57" t="s">
        <v>181</v>
      </c>
      <c r="B3" s="47" t="s">
        <v>190</v>
      </c>
      <c r="C3" s="47"/>
    </row>
    <row r="4" spans="1:3" x14ac:dyDescent="0.25">
      <c r="A4" s="57" t="s">
        <v>192</v>
      </c>
      <c r="B4" s="47" t="s">
        <v>185</v>
      </c>
      <c r="C4" s="47"/>
    </row>
    <row r="5" spans="1:3" x14ac:dyDescent="0.25">
      <c r="A5" s="57" t="s">
        <v>189</v>
      </c>
      <c r="B5" s="47" t="s">
        <v>185</v>
      </c>
      <c r="C5" s="47"/>
    </row>
    <row r="6" spans="1:3" x14ac:dyDescent="0.25">
      <c r="A6" s="57" t="s">
        <v>192</v>
      </c>
      <c r="B6" s="58" t="s">
        <v>205</v>
      </c>
      <c r="C6" s="58"/>
    </row>
    <row r="7" spans="1:3" x14ac:dyDescent="0.25">
      <c r="A7" s="57" t="s">
        <v>189</v>
      </c>
      <c r="B7" s="58" t="s">
        <v>205</v>
      </c>
      <c r="C7" s="58"/>
    </row>
    <row r="8" spans="1:3" x14ac:dyDescent="0.25">
      <c r="A8" s="57" t="s">
        <v>200</v>
      </c>
      <c r="B8" s="58" t="s">
        <v>205</v>
      </c>
      <c r="C8" s="58"/>
    </row>
    <row r="9" spans="1:3" x14ac:dyDescent="0.25">
      <c r="A9" s="57" t="s">
        <v>193</v>
      </c>
      <c r="B9" s="58" t="s">
        <v>205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VgLYYK+xueIiN6e2+y9PZREtG+5J36lSnuvr488vX4Wo0oOo5JQ//51yj7jqLs+1MBbT57GJ0ggesGnbC1nLrA==" saltValue="VA3mlLngGOrhkGbL6JHLn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160</v>
      </c>
    </row>
    <row r="2" spans="1:1" x14ac:dyDescent="0.25">
      <c r="A2" s="33" t="s">
        <v>172</v>
      </c>
    </row>
    <row r="3" spans="1:1" x14ac:dyDescent="0.25">
      <c r="A3" s="33" t="s">
        <v>182</v>
      </c>
    </row>
    <row r="4" spans="1:1" x14ac:dyDescent="0.25">
      <c r="A4" s="33" t="s">
        <v>186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FB/QtJv1U0YQ9WyG8rZQ41Ur9hhkTpkmEDftzECG+UJeX+ozItuYUvgM8jB/dDTMRcYA0whEF/BH7OHH9iLjTA==" saltValue="ze34UnOUCnQomud1SSUK4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7</v>
      </c>
      <c r="B1" t="s">
        <v>109</v>
      </c>
      <c r="C1" t="s">
        <v>96</v>
      </c>
      <c r="D1" t="s">
        <v>97</v>
      </c>
      <c r="E1" t="s">
        <v>98</v>
      </c>
      <c r="F1" t="s">
        <v>99</v>
      </c>
    </row>
    <row r="2" spans="1:6" ht="15.75" customHeight="1" x14ac:dyDescent="0.25">
      <c r="A2" s="3" t="s">
        <v>87</v>
      </c>
      <c r="B2" s="21">
        <f>'Données pop de l''année de ref'!C51</f>
        <v>2.2000000000000002</v>
      </c>
      <c r="C2" s="21">
        <f>'Données pop de l''année de ref'!C52</f>
        <v>2.2000000000000002</v>
      </c>
      <c r="D2" s="21">
        <f>'Données pop de l''année de ref'!C53</f>
        <v>2.2000000000000002</v>
      </c>
      <c r="E2" s="21">
        <f>'Données pop de l''année de ref'!C54</f>
        <v>2.2000000000000002</v>
      </c>
      <c r="F2" s="21">
        <f>'Données pop de l''année de ref'!C55</f>
        <v>2.2000000000000002</v>
      </c>
    </row>
    <row r="3" spans="1:6" ht="15.75" customHeight="1" x14ac:dyDescent="0.25">
      <c r="A3" s="3" t="s">
        <v>209</v>
      </c>
      <c r="B3" s="21">
        <f>frac_mam_1month * 2.6</f>
        <v>0.21548583178571412</v>
      </c>
      <c r="C3" s="21">
        <f>frac_mam_1_5months * 2.6</f>
        <v>0.21548583178571412</v>
      </c>
      <c r="D3" s="21">
        <f>frac_mam_6_11months * 2.6</f>
        <v>0.22118084392857157</v>
      </c>
      <c r="E3" s="21">
        <f>frac_mam_12_23months * 2.6</f>
        <v>0.21263177000000003</v>
      </c>
      <c r="F3" s="21">
        <f>frac_mam_24_59months * 2.6</f>
        <v>0.16060133607142846</v>
      </c>
    </row>
    <row r="4" spans="1:6" ht="15.75" customHeight="1" x14ac:dyDescent="0.25">
      <c r="A4" s="3" t="s">
        <v>208</v>
      </c>
      <c r="B4" s="21">
        <f>frac_sam_1month * 2.6</f>
        <v>0.13967873678571435</v>
      </c>
      <c r="C4" s="21">
        <f>frac_sam_1_5months * 2.6</f>
        <v>0.13967873678571435</v>
      </c>
      <c r="D4" s="21">
        <f>frac_sam_6_11months * 2.6</f>
        <v>0.103009855</v>
      </c>
      <c r="E4" s="21">
        <f>frac_sam_12_23months * 2.6</f>
        <v>8.6590799285714365E-2</v>
      </c>
      <c r="F4" s="21">
        <f>frac_sam_24_59months * 2.6</f>
        <v>5.4946120357142823E-2</v>
      </c>
    </row>
  </sheetData>
  <sheetProtection algorithmName="SHA-512" hashValue="j0R5IUQPhhrSfYwb4rh6/d9Tsn4laSvG2Fy7+IwTOvB2DeaL+8/I2CQWj8cdNaZ83WkmGevI0xNZnhInmvb97Q==" saltValue="J+376oYdebq4OjleZ69+5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">
      <c r="A2" s="4" t="s">
        <v>86</v>
      </c>
      <c r="B2" s="5" t="s">
        <v>170</v>
      </c>
      <c r="C2" s="60">
        <v>0</v>
      </c>
      <c r="D2" s="60">
        <f>food_insecure</f>
        <v>5.0000000000000001E-3</v>
      </c>
      <c r="E2" s="60">
        <f>food_insecure</f>
        <v>5.0000000000000001E-3</v>
      </c>
      <c r="F2" s="60">
        <f>food_insecure</f>
        <v>5.0000000000000001E-3</v>
      </c>
      <c r="G2" s="60">
        <f>food_insecure</f>
        <v>5.0000000000000001E-3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171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184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185</v>
      </c>
      <c r="C5" s="60">
        <v>0</v>
      </c>
      <c r="D5" s="60">
        <v>0</v>
      </c>
      <c r="E5" s="60">
        <f>food_insecure</f>
        <v>5.0000000000000001E-3</v>
      </c>
      <c r="F5" s="60">
        <f>food_insecure</f>
        <v>5.0000000000000001E-3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191</v>
      </c>
      <c r="C7" s="60">
        <f>diarrhoea_1mo*frac_diarrhea_severe</f>
        <v>4.6999999999999993E-2</v>
      </c>
      <c r="D7" s="60">
        <f>diarrhoea_1_5mo*frac_diarrhea_severe</f>
        <v>4.6999999999999993E-2</v>
      </c>
      <c r="E7" s="60">
        <f>diarrhoea_6_11mo*frac_diarrhea_severe</f>
        <v>4.6999999999999993E-2</v>
      </c>
      <c r="F7" s="60">
        <f>diarrhoea_12_23mo*frac_diarrhea_severe</f>
        <v>4.6999999999999993E-2</v>
      </c>
      <c r="G7" s="60">
        <f>diarrhoea_24_59mo*frac_diarrhea_severe</f>
        <v>4.6999999999999993E-2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192</v>
      </c>
      <c r="C8" s="60">
        <v>0</v>
      </c>
      <c r="D8" s="60">
        <v>0</v>
      </c>
      <c r="E8" s="60">
        <f>food_insecure</f>
        <v>5.0000000000000001E-3</v>
      </c>
      <c r="F8" s="60">
        <f>food_insecure</f>
        <v>5.0000000000000001E-3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205</v>
      </c>
      <c r="C9" s="60">
        <v>0</v>
      </c>
      <c r="D9" s="60">
        <v>0</v>
      </c>
      <c r="E9" s="60">
        <f>food_insecure</f>
        <v>5.0000000000000001E-3</v>
      </c>
      <c r="F9" s="60">
        <f>food_insecure</f>
        <v>5.0000000000000001E-3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161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4.6999999999999993E-2</v>
      </c>
      <c r="D12" s="60">
        <f>diarrhoea_1_5mo*frac_diarrhea_severe</f>
        <v>4.6999999999999993E-2</v>
      </c>
      <c r="E12" s="60">
        <f>diarrhoea_6_11mo*frac_diarrhea_severe</f>
        <v>4.6999999999999993E-2</v>
      </c>
      <c r="F12" s="60">
        <f>diarrhoea_12_23mo*frac_diarrhea_severe</f>
        <v>4.6999999999999993E-2</v>
      </c>
      <c r="G12" s="60">
        <f>diarrhoea_24_59mo*frac_diarrhea_severe</f>
        <v>4.6999999999999993E-2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100</v>
      </c>
      <c r="B15" s="9" t="s">
        <v>168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5.0000000000000001E-3</v>
      </c>
      <c r="I15" s="60">
        <f>food_insecure</f>
        <v>5.0000000000000001E-3</v>
      </c>
      <c r="J15" s="60">
        <f>food_insecure</f>
        <v>5.0000000000000001E-3</v>
      </c>
      <c r="K15" s="60">
        <f>food_insecure</f>
        <v>5.0000000000000001E-3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169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180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181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182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75</v>
      </c>
      <c r="B24" s="11" t="s">
        <v>172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0.10299999999999999</v>
      </c>
      <c r="M24" s="60">
        <f>famplan_unmet_need</f>
        <v>0.10299999999999999</v>
      </c>
      <c r="N24" s="60">
        <f>famplan_unmet_need</f>
        <v>0.10299999999999999</v>
      </c>
      <c r="O24" s="60">
        <f>famplan_unmet_need</f>
        <v>0.10299999999999999</v>
      </c>
    </row>
    <row r="25" spans="1:15" ht="15.75" customHeight="1" x14ac:dyDescent="0.25">
      <c r="B25" s="11" t="s">
        <v>176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9.1292583364080013E-2</v>
      </c>
      <c r="M25" s="60">
        <f>(1-food_insecure)*(0.49)+food_insecure*(0.7)</f>
        <v>0.49104999999999999</v>
      </c>
      <c r="N25" s="60">
        <f>(1-food_insecure)*(0.49)+food_insecure*(0.7)</f>
        <v>0.49104999999999999</v>
      </c>
      <c r="O25" s="60">
        <f>(1-food_insecure)*(0.49)+food_insecure*(0.7)</f>
        <v>0.49104999999999999</v>
      </c>
    </row>
    <row r="26" spans="1:15" ht="15.75" customHeight="1" x14ac:dyDescent="0.25">
      <c r="B26" s="11" t="s">
        <v>177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3.9125392870320005E-2</v>
      </c>
      <c r="M26" s="60">
        <f>(1-food_insecure)*(0.21)+food_insecure*(0.3)</f>
        <v>0.21045</v>
      </c>
      <c r="N26" s="60">
        <f>(1-food_insecure)*(0.21)+food_insecure*(0.3)</f>
        <v>0.21045</v>
      </c>
      <c r="O26" s="60">
        <f>(1-food_insecure)*(0.21)+food_insecure*(0.3)</f>
        <v>0.21045</v>
      </c>
    </row>
    <row r="27" spans="1:15" ht="15.75" customHeight="1" x14ac:dyDescent="0.25">
      <c r="B27" s="11" t="s">
        <v>178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5.5495033365600001E-2</v>
      </c>
      <c r="M27" s="60">
        <f>(1-food_insecure)*(0.3)</f>
        <v>0.29849999999999999</v>
      </c>
      <c r="N27" s="60">
        <f>(1-food_insecure)*(0.3)</f>
        <v>0.29849999999999999</v>
      </c>
      <c r="O27" s="60">
        <f>(1-food_insecure)*(0.3)</f>
        <v>0.29849999999999999</v>
      </c>
    </row>
    <row r="28" spans="1:15" ht="15.75" customHeight="1" x14ac:dyDescent="0.25">
      <c r="B28" s="11" t="s">
        <v>179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0.81408699039999999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173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174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175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183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186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6lZOqf1FDEdM4fg0kwndQfsbwMer6e1iADnI2H4swDl1T5T9ttbGjxVr6lioK9y8DfBPIAT8QpVYWezgi0uaag==" saltValue="qfsHqYud1c2VNKxRXtfwH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201</v>
      </c>
    </row>
    <row r="2" spans="1:1" x14ac:dyDescent="0.25">
      <c r="A2" s="8" t="s">
        <v>212</v>
      </c>
    </row>
    <row r="3" spans="1:1" x14ac:dyDescent="0.25">
      <c r="A3" s="8" t="s">
        <v>213</v>
      </c>
    </row>
    <row r="4" spans="1:1" x14ac:dyDescent="0.25">
      <c r="A4" s="8" t="s">
        <v>214</v>
      </c>
    </row>
  </sheetData>
  <sheetProtection algorithmName="SHA-512" hashValue="2KtfFhVunnyInqp/KxOu6wsLKur2P9Ml+Rt0D7ac/cROHrRsGJYchGxFgy7hnMBngxN8z7GKuClrGLlYy9beUQ==" saltValue="h3879AJKaW6w88A0xaMDv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216</v>
      </c>
      <c r="B1" s="4" t="s">
        <v>215</v>
      </c>
      <c r="C1" s="4" t="s">
        <v>8</v>
      </c>
      <c r="D1" s="4" t="s">
        <v>144</v>
      </c>
      <c r="E1" s="4" t="s">
        <v>225</v>
      </c>
    </row>
    <row r="2" spans="1:5" ht="14" customHeight="1" x14ac:dyDescent="0.3">
      <c r="A2" s="28" t="s">
        <v>217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218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219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220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9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PYVW8AQnWTgwSR7le/wlP5I+vG1HU14e1Sh/MZwjY2I/AUdAIoJwOc9KjbRTxwpoVKFuoKSFQqAUQEeHNQAbUA==" saltValue="BlxpPPJ3OR9UCvAXpO+V7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5">
      <c r="A2" s="4" t="s">
        <v>86</v>
      </c>
      <c r="B2" s="5" t="s">
        <v>170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171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157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158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159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184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185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161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100</v>
      </c>
      <c r="B18" s="5" t="s">
        <v>168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169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180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181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182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75</v>
      </c>
      <c r="B27" s="5" t="s">
        <v>172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176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177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178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179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173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174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175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183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186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wHI4jUAx7IjV7y8oSmtmPV91/ZlSEyENOA89C3jxvQ6NVzciSK9LSJTU+jKBdoa3xBOJ1AW1c8M4iV1FRYmSXw==" saltValue="BWMuXFbQ4+Iazzcx1J17B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x14ac:dyDescent="0.25">
      <c r="A2" s="5" t="s">
        <v>168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x14ac:dyDescent="0.25">
      <c r="A3" s="5" t="s">
        <v>169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x14ac:dyDescent="0.25">
      <c r="A4" s="5" t="s">
        <v>170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171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172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x14ac:dyDescent="0.25">
      <c r="A7" s="5" t="s">
        <v>173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x14ac:dyDescent="0.25">
      <c r="A8" s="5" t="s">
        <v>174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x14ac:dyDescent="0.25">
      <c r="A9" s="5" t="s">
        <v>175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x14ac:dyDescent="0.25">
      <c r="A10" s="11" t="s">
        <v>176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177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178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179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180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x14ac:dyDescent="0.25">
      <c r="A15" s="5" t="s">
        <v>181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x14ac:dyDescent="0.25">
      <c r="A16" s="5" t="s">
        <v>182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x14ac:dyDescent="0.25">
      <c r="A17" s="5" t="s">
        <v>183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157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x14ac:dyDescent="0.25">
      <c r="A19" s="5" t="s">
        <v>158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x14ac:dyDescent="0.25">
      <c r="A20" s="5" t="s">
        <v>159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x14ac:dyDescent="0.25">
      <c r="A21" s="5" t="s">
        <v>184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185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186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187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188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189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190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191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192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205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161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200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H7pU6ZpW52oOGGdxvRupsU1fAaOktmc2LHEAimNjoLTC01NguElPBBAv33W6D6X5YgZrmYmEEn9Yn0bCFEmgiA==" saltValue="h802swX8QsbrqWsUjn7D2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x14ac:dyDescent="0.25">
      <c r="A2" s="8" t="s">
        <v>109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x14ac:dyDescent="0.25">
      <c r="A3" s="8" t="s">
        <v>96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x14ac:dyDescent="0.25">
      <c r="A4" s="8" t="s">
        <v>97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x14ac:dyDescent="0.25">
      <c r="A5" s="8" t="s">
        <v>98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x14ac:dyDescent="0.25">
      <c r="A6" s="8" t="s">
        <v>99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x14ac:dyDescent="0.25">
      <c r="A7" s="8" t="s">
        <v>122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x14ac:dyDescent="0.25">
      <c r="A8" s="8" t="s">
        <v>123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x14ac:dyDescent="0.25">
      <c r="A9" s="8" t="s">
        <v>124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x14ac:dyDescent="0.25">
      <c r="A10" s="8" t="s">
        <v>125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x14ac:dyDescent="0.25">
      <c r="A11" s="8" t="s">
        <v>69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x14ac:dyDescent="0.25">
      <c r="A12" s="8" t="s">
        <v>70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x14ac:dyDescent="0.25">
      <c r="A13" s="8" t="s">
        <v>71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x14ac:dyDescent="0.25">
      <c r="A14" s="8" t="s">
        <v>72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FRCri5Y8Je4z3LYilxXzG36XxPH+mzBKr8KHA8TzAX8QPJbG+SStEcWMMGCpDQv2Xv6JcQ/4GXuXkEqW3Y+gjg==" saltValue="DgaMj7310OkwtBuNMlFjj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152</v>
      </c>
      <c r="C1" s="4" t="s">
        <v>164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10" ht="13" customHeight="1" x14ac:dyDescent="0.3">
      <c r="A2" s="4" t="s">
        <v>232</v>
      </c>
      <c r="B2" s="103" t="s">
        <v>100</v>
      </c>
      <c r="C2" s="8" t="s">
        <v>153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154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109</v>
      </c>
      <c r="C5" s="8" t="s">
        <v>153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154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96</v>
      </c>
      <c r="C8" s="8" t="s">
        <v>153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154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97</v>
      </c>
      <c r="C11" s="8" t="s">
        <v>153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154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98</v>
      </c>
      <c r="C14" s="8" t="s">
        <v>153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154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156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100</v>
      </c>
      <c r="C19" s="8" t="s">
        <v>153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154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109</v>
      </c>
      <c r="C22" s="8" t="s">
        <v>153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154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96</v>
      </c>
      <c r="C25" s="8" t="s">
        <v>153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154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97</v>
      </c>
      <c r="C28" s="8" t="s">
        <v>153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154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98</v>
      </c>
      <c r="C31" s="8" t="s">
        <v>153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154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156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100</v>
      </c>
      <c r="C36" s="8" t="s">
        <v>153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154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109</v>
      </c>
      <c r="C39" s="8" t="s">
        <v>153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154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96</v>
      </c>
      <c r="C42" s="8" t="s">
        <v>153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154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97</v>
      </c>
      <c r="C45" s="8" t="s">
        <v>153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154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98</v>
      </c>
      <c r="C48" s="8" t="s">
        <v>153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154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156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152</v>
      </c>
      <c r="C54" s="4" t="s">
        <v>164</v>
      </c>
      <c r="D54" s="4" t="s">
        <v>109</v>
      </c>
      <c r="E54" s="4" t="s">
        <v>96</v>
      </c>
      <c r="F54" s="4" t="s">
        <v>97</v>
      </c>
      <c r="G54" s="4" t="s">
        <v>98</v>
      </c>
      <c r="H54" s="4" t="s">
        <v>99</v>
      </c>
    </row>
    <row r="55" spans="1:8" ht="13" customHeight="1" x14ac:dyDescent="0.3">
      <c r="A55" s="4" t="s">
        <v>236</v>
      </c>
      <c r="B55" s="103" t="s">
        <v>100</v>
      </c>
      <c r="C55" s="8" t="s">
        <v>153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154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109</v>
      </c>
      <c r="C58" s="8" t="s">
        <v>153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154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96</v>
      </c>
      <c r="C61" s="8" t="s">
        <v>153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154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97</v>
      </c>
      <c r="C64" s="8" t="s">
        <v>153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154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98</v>
      </c>
      <c r="C67" s="8" t="s">
        <v>153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154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156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100</v>
      </c>
      <c r="C72" s="8" t="s">
        <v>153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154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109</v>
      </c>
      <c r="C75" s="8" t="s">
        <v>153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154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96</v>
      </c>
      <c r="C78" s="8" t="s">
        <v>153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154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97</v>
      </c>
      <c r="C81" s="8" t="s">
        <v>153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154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98</v>
      </c>
      <c r="C84" s="8" t="s">
        <v>153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154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156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100</v>
      </c>
      <c r="C89" s="8" t="s">
        <v>153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154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109</v>
      </c>
      <c r="C92" s="8" t="s">
        <v>153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154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96</v>
      </c>
      <c r="C95" s="8" t="s">
        <v>153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154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97</v>
      </c>
      <c r="C98" s="8" t="s">
        <v>153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154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98</v>
      </c>
      <c r="C101" s="8" t="s">
        <v>153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154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156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152</v>
      </c>
      <c r="C107" s="4" t="s">
        <v>164</v>
      </c>
      <c r="D107" s="4" t="s">
        <v>109</v>
      </c>
      <c r="E107" s="4" t="s">
        <v>96</v>
      </c>
      <c r="F107" s="4" t="s">
        <v>97</v>
      </c>
      <c r="G107" s="4" t="s">
        <v>98</v>
      </c>
      <c r="H107" s="4" t="s">
        <v>99</v>
      </c>
    </row>
    <row r="108" spans="1:8" ht="13" customHeight="1" x14ac:dyDescent="0.3">
      <c r="A108" s="4" t="s">
        <v>240</v>
      </c>
      <c r="B108" s="103" t="s">
        <v>100</v>
      </c>
      <c r="C108" s="8" t="s">
        <v>153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154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109</v>
      </c>
      <c r="C111" s="8" t="s">
        <v>153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154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155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96</v>
      </c>
      <c r="C114" s="8" t="s">
        <v>153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154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155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97</v>
      </c>
      <c r="C117" s="8" t="s">
        <v>153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154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155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98</v>
      </c>
      <c r="C120" s="8" t="s">
        <v>153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154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155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156</v>
      </c>
      <c r="C123" s="8" t="s">
        <v>155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100</v>
      </c>
      <c r="C125" s="8" t="s">
        <v>153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154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155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109</v>
      </c>
      <c r="C128" s="8" t="s">
        <v>153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154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155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96</v>
      </c>
      <c r="C131" s="8" t="s">
        <v>153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154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155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97</v>
      </c>
      <c r="C134" s="8" t="s">
        <v>153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154</v>
      </c>
      <c r="D135" s="88">
        <f t="shared" ref="D135:H140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155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98</v>
      </c>
      <c r="C137" s="8" t="s">
        <v>153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154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155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156</v>
      </c>
      <c r="C140" s="8" t="s">
        <v>155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100</v>
      </c>
      <c r="C142" s="8" t="s">
        <v>153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154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155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109</v>
      </c>
      <c r="C145" s="8" t="s">
        <v>153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154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155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96</v>
      </c>
      <c r="C148" s="8" t="s">
        <v>153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154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155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97</v>
      </c>
      <c r="C151" s="8" t="s">
        <v>153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154</v>
      </c>
      <c r="D152" s="88">
        <f t="shared" ref="D152:H157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155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98</v>
      </c>
      <c r="C154" s="8" t="s">
        <v>153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154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155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156</v>
      </c>
      <c r="C157" s="8" t="s">
        <v>155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c6Qapr2IeJewwLygd8Bmxc+WPrVNX5pkaa6XmV/45E+yExp+e+GnA0RMhFfI+ERDcs3N0c8fKKghX1F8Q8dQ2g==" saltValue="Q+aVL3DWSEWJvV5aCj5GoA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54</v>
      </c>
      <c r="D2" s="70" t="s">
        <v>53</v>
      </c>
      <c r="E2" s="70" t="s">
        <v>52</v>
      </c>
      <c r="F2" s="70" t="s">
        <v>51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37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38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39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40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249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245</v>
      </c>
      <c r="C11" s="74"/>
      <c r="D11" s="75"/>
      <c r="E11" s="75"/>
      <c r="F11" s="75"/>
    </row>
    <row r="12" spans="1:6" ht="15.75" customHeight="1" x14ac:dyDescent="0.3">
      <c r="A12" s="4" t="s">
        <v>246</v>
      </c>
      <c r="C12" s="73"/>
      <c r="D12" s="64"/>
      <c r="E12" s="64"/>
      <c r="F12" s="64"/>
    </row>
    <row r="13" spans="1:6" ht="15.75" customHeight="1" x14ac:dyDescent="0.25">
      <c r="B13" s="11" t="s">
        <v>247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119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120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248</v>
      </c>
      <c r="B17" s="14"/>
      <c r="C17" s="77"/>
      <c r="D17" s="78"/>
      <c r="E17" s="78"/>
      <c r="F17" s="78"/>
    </row>
    <row r="18" spans="1:6" ht="15.75" customHeight="1" x14ac:dyDescent="0.25">
      <c r="B18" s="5" t="s">
        <v>78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79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80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81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82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83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84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85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54</v>
      </c>
      <c r="D29" s="70" t="s">
        <v>53</v>
      </c>
      <c r="E29" s="70" t="s">
        <v>52</v>
      </c>
      <c r="F29" s="70" t="s">
        <v>51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37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38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39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40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262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245</v>
      </c>
      <c r="B38" s="68"/>
      <c r="C38" s="74"/>
      <c r="D38" s="75"/>
      <c r="E38" s="75"/>
      <c r="F38" s="75"/>
    </row>
    <row r="39" spans="1:6" ht="15.75" customHeight="1" x14ac:dyDescent="0.3">
      <c r="A39" s="4" t="s">
        <v>251</v>
      </c>
      <c r="C39" s="73"/>
      <c r="D39" s="64"/>
      <c r="E39" s="64"/>
      <c r="F39" s="64"/>
    </row>
    <row r="40" spans="1:6" ht="15.75" customHeight="1" x14ac:dyDescent="0.25">
      <c r="B40" s="11" t="s">
        <v>256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252</v>
      </c>
      <c r="B44" s="14"/>
      <c r="C44" s="77"/>
      <c r="D44" s="78"/>
      <c r="E44" s="78"/>
      <c r="F44" s="78"/>
    </row>
    <row r="45" spans="1:6" ht="15.75" customHeight="1" x14ac:dyDescent="0.25">
      <c r="B45" s="5" t="s">
        <v>78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79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80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81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82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83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84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85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54</v>
      </c>
      <c r="D56" s="70" t="s">
        <v>53</v>
      </c>
      <c r="E56" s="70" t="s">
        <v>52</v>
      </c>
      <c r="F56" s="70" t="s">
        <v>51</v>
      </c>
    </row>
    <row r="57" spans="1:6" ht="15.75" customHeight="1" x14ac:dyDescent="0.3">
      <c r="A57" s="4" t="s">
        <v>253</v>
      </c>
      <c r="B57" s="14"/>
      <c r="C57" s="71"/>
      <c r="D57" s="72"/>
      <c r="E57" s="72"/>
      <c r="F57" s="72"/>
    </row>
    <row r="58" spans="1:6" ht="15.75" customHeight="1" x14ac:dyDescent="0.25">
      <c r="B58" s="5" t="s">
        <v>37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38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39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40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263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245</v>
      </c>
      <c r="B65" s="68"/>
      <c r="C65" s="74"/>
      <c r="D65" s="75"/>
      <c r="E65" s="75"/>
      <c r="F65" s="75"/>
    </row>
    <row r="66" spans="1:6" ht="15.75" customHeight="1" x14ac:dyDescent="0.3">
      <c r="A66" s="4" t="s">
        <v>254</v>
      </c>
      <c r="C66" s="73"/>
      <c r="D66" s="64"/>
      <c r="E66" s="64"/>
      <c r="F66" s="64"/>
    </row>
    <row r="67" spans="1:6" ht="15.75" customHeight="1" x14ac:dyDescent="0.25">
      <c r="B67" s="11" t="s">
        <v>259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260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261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255</v>
      </c>
      <c r="B71" s="14"/>
      <c r="C71" s="77"/>
      <c r="D71" s="78"/>
      <c r="E71" s="78"/>
      <c r="F71" s="78"/>
    </row>
    <row r="72" spans="1:6" ht="15.75" customHeight="1" x14ac:dyDescent="0.25">
      <c r="B72" s="5" t="s">
        <v>78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79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80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81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82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83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84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85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/XD/wcTKTFykOPePYFDr0oMEwOtI7vc2OnzsXEthkUSl8XZnvqkfpm8fiblaTdwk+e2RhqDcDZGEW5rjhvdJPg==" saltValue="J/1c1qVA4SfeFqG82FwFB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30" sqref="D30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226</v>
      </c>
      <c r="B2" s="1" t="s">
        <v>265</v>
      </c>
      <c r="C2" s="1" t="s">
        <v>266</v>
      </c>
      <c r="D2" s="70" t="s">
        <v>109</v>
      </c>
      <c r="E2" s="70" t="s">
        <v>96</v>
      </c>
      <c r="F2" s="70" t="s">
        <v>97</v>
      </c>
      <c r="G2" s="70" t="s">
        <v>98</v>
      </c>
      <c r="H2" s="70" t="s">
        <v>99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87</v>
      </c>
      <c r="C3" s="3" t="s">
        <v>10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267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268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269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88</v>
      </c>
      <c r="C7" s="3" t="s">
        <v>10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267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268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269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10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267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268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269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91</v>
      </c>
      <c r="C15" s="3" t="s">
        <v>10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267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268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269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89</v>
      </c>
      <c r="C19" s="3" t="s">
        <v>10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267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268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269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95</v>
      </c>
      <c r="C23" s="3" t="s">
        <v>10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267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268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269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278</v>
      </c>
    </row>
    <row r="29" spans="1:16" ht="13" customHeight="1" x14ac:dyDescent="0.3">
      <c r="A29" s="39" t="s">
        <v>279</v>
      </c>
      <c r="B29" s="4" t="s">
        <v>265</v>
      </c>
      <c r="C29" s="4" t="s">
        <v>270</v>
      </c>
      <c r="D29" s="70" t="s">
        <v>109</v>
      </c>
      <c r="E29" s="70" t="s">
        <v>96</v>
      </c>
      <c r="F29" s="70" t="s">
        <v>97</v>
      </c>
      <c r="G29" s="70" t="s">
        <v>98</v>
      </c>
      <c r="H29" s="70" t="s">
        <v>99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87</v>
      </c>
      <c r="C30" s="3" t="s">
        <v>10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267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209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88</v>
      </c>
      <c r="C34" s="3" t="s">
        <v>10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267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209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10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209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91</v>
      </c>
      <c r="C42" s="3" t="s">
        <v>10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267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209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89</v>
      </c>
      <c r="C46" s="3" t="s">
        <v>10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267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209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95</v>
      </c>
      <c r="C50" s="3" t="s">
        <v>10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267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209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271</v>
      </c>
    </row>
    <row r="56" spans="1:16" ht="26" customHeight="1" x14ac:dyDescent="0.3">
      <c r="A56" s="39" t="s">
        <v>121</v>
      </c>
      <c r="B56" s="4" t="s">
        <v>265</v>
      </c>
      <c r="C56" s="69" t="s">
        <v>272</v>
      </c>
      <c r="D56" s="70" t="s">
        <v>122</v>
      </c>
      <c r="E56" s="70" t="s">
        <v>123</v>
      </c>
      <c r="F56" s="70" t="s">
        <v>124</v>
      </c>
      <c r="G56" s="70" t="s">
        <v>125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101</v>
      </c>
      <c r="C57" s="3" t="s">
        <v>273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274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102</v>
      </c>
      <c r="C59" s="3" t="s">
        <v>273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274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273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274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275</v>
      </c>
    </row>
    <row r="65" spans="1:16" ht="26" customHeight="1" x14ac:dyDescent="0.3">
      <c r="A65" s="39" t="s">
        <v>128</v>
      </c>
      <c r="B65" s="4" t="s">
        <v>265</v>
      </c>
      <c r="C65" s="69" t="s">
        <v>276</v>
      </c>
      <c r="D65" s="70" t="s">
        <v>109</v>
      </c>
      <c r="E65" s="70" t="s">
        <v>96</v>
      </c>
      <c r="F65" s="70" t="s">
        <v>97</v>
      </c>
      <c r="G65" s="70" t="s">
        <v>98</v>
      </c>
      <c r="H65" s="81" t="s">
        <v>99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78</v>
      </c>
      <c r="C66" s="3" t="s">
        <v>129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130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131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132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79</v>
      </c>
      <c r="C70" s="3" t="s">
        <v>129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130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131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132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80</v>
      </c>
      <c r="C74" s="3" t="s">
        <v>129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130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131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132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82</v>
      </c>
      <c r="C78" s="3" t="s">
        <v>129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130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131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132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87</v>
      </c>
      <c r="C82" s="3" t="s">
        <v>129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130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131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132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88</v>
      </c>
      <c r="C86" s="3" t="s">
        <v>129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130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131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132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130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131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132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89</v>
      </c>
      <c r="C94" s="3" t="s">
        <v>129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130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131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132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92</v>
      </c>
      <c r="C98" s="3" t="s">
        <v>129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130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131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132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277</v>
      </c>
    </row>
    <row r="104" spans="1:16" ht="26" customHeight="1" x14ac:dyDescent="0.3">
      <c r="A104" s="39" t="s">
        <v>87</v>
      </c>
      <c r="B104" s="82" t="s">
        <v>132</v>
      </c>
      <c r="C104" s="69" t="s">
        <v>276</v>
      </c>
      <c r="D104" s="70" t="s">
        <v>109</v>
      </c>
      <c r="E104" s="70" t="s">
        <v>96</v>
      </c>
      <c r="F104" s="70" t="s">
        <v>97</v>
      </c>
      <c r="G104" s="70" t="s">
        <v>98</v>
      </c>
      <c r="H104" s="81" t="s">
        <v>99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130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131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132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226</v>
      </c>
      <c r="B112" s="1" t="s">
        <v>265</v>
      </c>
      <c r="C112" s="1" t="s">
        <v>266</v>
      </c>
      <c r="D112" s="70" t="s">
        <v>109</v>
      </c>
      <c r="E112" s="70" t="s">
        <v>96</v>
      </c>
      <c r="F112" s="70" t="s">
        <v>97</v>
      </c>
      <c r="G112" s="70" t="s">
        <v>98</v>
      </c>
      <c r="H112" s="70" t="s">
        <v>99</v>
      </c>
    </row>
    <row r="113" spans="1:8" ht="13" customHeight="1" x14ac:dyDescent="0.3">
      <c r="A113" s="4"/>
      <c r="B113" s="8" t="s">
        <v>87</v>
      </c>
      <c r="C113" s="3" t="s">
        <v>10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267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268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269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88</v>
      </c>
      <c r="C117" s="3" t="s">
        <v>10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267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268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269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10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267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268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269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91</v>
      </c>
      <c r="C125" s="3" t="s">
        <v>10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267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268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269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89</v>
      </c>
      <c r="C129" s="3" t="s">
        <v>10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267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268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269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95</v>
      </c>
      <c r="C133" s="3" t="s">
        <v>10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267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268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269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278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279</v>
      </c>
      <c r="B139" s="4" t="s">
        <v>265</v>
      </c>
      <c r="C139" s="4" t="s">
        <v>270</v>
      </c>
      <c r="D139" s="70" t="s">
        <v>109</v>
      </c>
      <c r="E139" s="70" t="s">
        <v>96</v>
      </c>
      <c r="F139" s="70" t="s">
        <v>97</v>
      </c>
      <c r="G139" s="70" t="s">
        <v>98</v>
      </c>
      <c r="H139" s="70" t="s">
        <v>99</v>
      </c>
    </row>
    <row r="140" spans="1:8" ht="13" customHeight="1" x14ac:dyDescent="0.3">
      <c r="A140" s="4"/>
      <c r="B140" s="8" t="s">
        <v>87</v>
      </c>
      <c r="C140" s="3" t="s">
        <v>10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267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209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88</v>
      </c>
      <c r="C144" s="3" t="s">
        <v>10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267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209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10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267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209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91</v>
      </c>
      <c r="C152" s="3" t="s">
        <v>10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267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209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89</v>
      </c>
      <c r="C156" s="3" t="s">
        <v>10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267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209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95</v>
      </c>
      <c r="C160" s="3" t="s">
        <v>10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267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209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271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121</v>
      </c>
      <c r="B166" s="4" t="s">
        <v>265</v>
      </c>
      <c r="C166" s="69" t="s">
        <v>272</v>
      </c>
      <c r="D166" s="70" t="s">
        <v>122</v>
      </c>
      <c r="E166" s="70" t="s">
        <v>123</v>
      </c>
      <c r="F166" s="70" t="s">
        <v>124</v>
      </c>
      <c r="G166" s="70" t="s">
        <v>125</v>
      </c>
      <c r="H166" s="79"/>
    </row>
    <row r="167" spans="1:8" ht="13" customHeight="1" x14ac:dyDescent="0.3">
      <c r="A167" s="4"/>
      <c r="B167" s="8" t="s">
        <v>101</v>
      </c>
      <c r="C167" s="3" t="s">
        <v>273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274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102</v>
      </c>
      <c r="C169" s="3" t="s">
        <v>273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274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273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274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275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128</v>
      </c>
      <c r="B175" s="4" t="s">
        <v>265</v>
      </c>
      <c r="C175" s="69" t="s">
        <v>276</v>
      </c>
      <c r="D175" s="70" t="s">
        <v>109</v>
      </c>
      <c r="E175" s="70" t="s">
        <v>96</v>
      </c>
      <c r="F175" s="70" t="s">
        <v>97</v>
      </c>
      <c r="G175" s="70" t="s">
        <v>98</v>
      </c>
      <c r="H175" s="81" t="s">
        <v>99</v>
      </c>
    </row>
    <row r="176" spans="1:8" ht="13" customHeight="1" x14ac:dyDescent="0.3">
      <c r="A176" s="82"/>
      <c r="B176" s="8" t="s">
        <v>78</v>
      </c>
      <c r="C176" s="3" t="s">
        <v>129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130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131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132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79</v>
      </c>
      <c r="C180" s="3" t="s">
        <v>129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130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131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132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80</v>
      </c>
      <c r="C184" s="3" t="s">
        <v>129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130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131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132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82</v>
      </c>
      <c r="C188" s="3" t="s">
        <v>129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130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131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132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87</v>
      </c>
      <c r="C192" s="3" t="s">
        <v>129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130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131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132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88</v>
      </c>
      <c r="C196" s="3" t="s">
        <v>129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130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131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132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130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131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132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89</v>
      </c>
      <c r="C204" s="3" t="s">
        <v>129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130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131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132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92</v>
      </c>
      <c r="C208" s="3" t="s">
        <v>129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130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131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132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277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87</v>
      </c>
      <c r="B214" s="82" t="s">
        <v>132</v>
      </c>
      <c r="C214" s="69" t="s">
        <v>276</v>
      </c>
      <c r="D214" s="70" t="s">
        <v>109</v>
      </c>
      <c r="E214" s="70" t="s">
        <v>96</v>
      </c>
      <c r="F214" s="70" t="s">
        <v>97</v>
      </c>
      <c r="G214" s="70" t="s">
        <v>98</v>
      </c>
      <c r="H214" s="81" t="s">
        <v>99</v>
      </c>
    </row>
    <row r="215" spans="1:9" ht="13" customHeight="1" x14ac:dyDescent="0.3">
      <c r="A215" s="4"/>
      <c r="C215" s="3" t="s">
        <v>129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130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131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132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226</v>
      </c>
      <c r="B222" s="1" t="s">
        <v>265</v>
      </c>
      <c r="C222" s="1" t="s">
        <v>266</v>
      </c>
      <c r="D222" s="70" t="s">
        <v>109</v>
      </c>
      <c r="E222" s="70" t="s">
        <v>96</v>
      </c>
      <c r="F222" s="70" t="s">
        <v>97</v>
      </c>
      <c r="G222" s="70" t="s">
        <v>98</v>
      </c>
      <c r="H222" s="70" t="s">
        <v>99</v>
      </c>
      <c r="I222" s="79"/>
    </row>
    <row r="223" spans="1:9" ht="13" customHeight="1" x14ac:dyDescent="0.3">
      <c r="A223" s="4"/>
      <c r="B223" s="8" t="s">
        <v>87</v>
      </c>
      <c r="C223" s="3" t="s">
        <v>10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267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268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269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88</v>
      </c>
      <c r="C227" s="3" t="s">
        <v>10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267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268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269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10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267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268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269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91</v>
      </c>
      <c r="C235" s="3" t="s">
        <v>10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267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268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269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89</v>
      </c>
      <c r="C239" s="3" t="s">
        <v>10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267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268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269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95</v>
      </c>
      <c r="C243" s="3" t="s">
        <v>10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267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268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269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278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279</v>
      </c>
      <c r="B249" s="4" t="s">
        <v>265</v>
      </c>
      <c r="C249" s="4" t="s">
        <v>270</v>
      </c>
      <c r="D249" s="70" t="s">
        <v>109</v>
      </c>
      <c r="E249" s="70" t="s">
        <v>96</v>
      </c>
      <c r="F249" s="70" t="s">
        <v>97</v>
      </c>
      <c r="G249" s="70" t="s">
        <v>98</v>
      </c>
      <c r="H249" s="70" t="s">
        <v>99</v>
      </c>
      <c r="I249" s="79"/>
    </row>
    <row r="250" spans="1:9" ht="13" customHeight="1" x14ac:dyDescent="0.3">
      <c r="A250" s="4"/>
      <c r="B250" s="8" t="s">
        <v>87</v>
      </c>
      <c r="C250" s="3" t="s">
        <v>10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267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209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88</v>
      </c>
      <c r="C254" s="3" t="s">
        <v>10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267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209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10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267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209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91</v>
      </c>
      <c r="C262" s="3" t="s">
        <v>10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267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209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89</v>
      </c>
      <c r="C266" s="3" t="s">
        <v>10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267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209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95</v>
      </c>
      <c r="C270" s="3" t="s">
        <v>10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267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209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271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121</v>
      </c>
      <c r="B276" s="4" t="s">
        <v>265</v>
      </c>
      <c r="C276" s="69" t="s">
        <v>272</v>
      </c>
      <c r="D276" s="70" t="s">
        <v>122</v>
      </c>
      <c r="E276" s="70" t="s">
        <v>123</v>
      </c>
      <c r="F276" s="70" t="s">
        <v>124</v>
      </c>
      <c r="G276" s="70" t="s">
        <v>125</v>
      </c>
      <c r="H276" s="79"/>
    </row>
    <row r="277" spans="1:9" ht="13" customHeight="1" x14ac:dyDescent="0.3">
      <c r="A277" s="4"/>
      <c r="B277" s="8" t="s">
        <v>101</v>
      </c>
      <c r="C277" s="3" t="s">
        <v>273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274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102</v>
      </c>
      <c r="C279" s="3" t="s">
        <v>273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274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273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274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275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128</v>
      </c>
      <c r="B285" s="4" t="s">
        <v>265</v>
      </c>
      <c r="C285" s="69" t="s">
        <v>276</v>
      </c>
      <c r="D285" s="70" t="s">
        <v>109</v>
      </c>
      <c r="E285" s="70" t="s">
        <v>96</v>
      </c>
      <c r="F285" s="70" t="s">
        <v>97</v>
      </c>
      <c r="G285" s="70" t="s">
        <v>98</v>
      </c>
      <c r="H285" s="81" t="s">
        <v>99</v>
      </c>
      <c r="I285" s="79"/>
    </row>
    <row r="286" spans="1:9" ht="13" customHeight="1" x14ac:dyDescent="0.3">
      <c r="A286" s="82"/>
      <c r="B286" s="8" t="s">
        <v>78</v>
      </c>
      <c r="C286" s="3" t="s">
        <v>129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130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131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132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79</v>
      </c>
      <c r="C290" s="3" t="s">
        <v>129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130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131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132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80</v>
      </c>
      <c r="C294" s="3" t="s">
        <v>129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130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131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132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82</v>
      </c>
      <c r="C298" s="3" t="s">
        <v>129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130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131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132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87</v>
      </c>
      <c r="C302" s="3" t="s">
        <v>129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130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131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132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88</v>
      </c>
      <c r="C306" s="3" t="s">
        <v>129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130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131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132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130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131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132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89</v>
      </c>
      <c r="C314" s="3" t="s">
        <v>129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130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131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132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92</v>
      </c>
      <c r="C318" s="3" t="s">
        <v>129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130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131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132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277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87</v>
      </c>
      <c r="B324" s="82" t="s">
        <v>132</v>
      </c>
      <c r="C324" s="69" t="s">
        <v>276</v>
      </c>
      <c r="D324" s="70" t="s">
        <v>109</v>
      </c>
      <c r="E324" s="70" t="s">
        <v>96</v>
      </c>
      <c r="F324" s="70" t="s">
        <v>97</v>
      </c>
      <c r="G324" s="70" t="s">
        <v>98</v>
      </c>
      <c r="H324" s="81" t="s">
        <v>99</v>
      </c>
      <c r="I324" s="79"/>
    </row>
    <row r="325" spans="1:9" ht="13" customHeight="1" x14ac:dyDescent="0.3">
      <c r="A325" s="4"/>
      <c r="C325" s="3" t="s">
        <v>129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130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131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132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TVaXyWffBuodby8Vb9v2AKi9jSYncehv3KQBWHyssS6z4OeqZ+nY28RMfb/Od5z4jUrcs5+hQWiM6s+G2LGI2g==" saltValue="bnYGl35fN+POgg6VDlpIG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233</v>
      </c>
    </row>
    <row r="2" spans="1:7" ht="14.25" customHeight="1" x14ac:dyDescent="0.3">
      <c r="A2" s="82" t="s">
        <v>7</v>
      </c>
      <c r="B2" s="1"/>
      <c r="C2" s="4" t="s">
        <v>109</v>
      </c>
      <c r="D2" s="4" t="s">
        <v>96</v>
      </c>
      <c r="E2" s="4" t="s">
        <v>97</v>
      </c>
      <c r="F2" s="4" t="s">
        <v>98</v>
      </c>
      <c r="G2" s="4" t="s">
        <v>99</v>
      </c>
    </row>
    <row r="3" spans="1:7" ht="14.25" customHeight="1" x14ac:dyDescent="0.25">
      <c r="B3" s="11" t="s">
        <v>280</v>
      </c>
      <c r="C3" s="90" t="s">
        <v>11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281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282</v>
      </c>
    </row>
    <row r="6" spans="1:7" ht="14.25" customHeight="1" x14ac:dyDescent="0.25">
      <c r="B6" s="5" t="s">
        <v>192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185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205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184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283</v>
      </c>
    </row>
    <row r="15" spans="1:7" ht="14.25" customHeight="1" x14ac:dyDescent="0.3">
      <c r="A15" s="82" t="s">
        <v>279</v>
      </c>
      <c r="B15" s="5" t="s">
        <v>284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287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121</v>
      </c>
      <c r="B17" s="11" t="s">
        <v>285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288</v>
      </c>
    </row>
    <row r="20" spans="1:7" s="14" customFormat="1" ht="14.25" customHeight="1" x14ac:dyDescent="0.3">
      <c r="C20" s="4" t="s">
        <v>69</v>
      </c>
      <c r="D20" s="4" t="s">
        <v>70</v>
      </c>
      <c r="E20" s="4" t="s">
        <v>71</v>
      </c>
      <c r="F20" s="4" t="s">
        <v>72</v>
      </c>
    </row>
    <row r="21" spans="1:7" x14ac:dyDescent="0.25">
      <c r="B21" s="11" t="s">
        <v>172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233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7</v>
      </c>
      <c r="B25" s="1"/>
      <c r="C25" s="4" t="s">
        <v>109</v>
      </c>
      <c r="D25" s="4" t="s">
        <v>96</v>
      </c>
      <c r="E25" s="4" t="s">
        <v>97</v>
      </c>
      <c r="F25" s="4" t="s">
        <v>98</v>
      </c>
      <c r="G25" s="4" t="s">
        <v>99</v>
      </c>
    </row>
    <row r="26" spans="1:7" x14ac:dyDescent="0.25">
      <c r="B26" s="11" t="s">
        <v>289</v>
      </c>
      <c r="C26" s="90" t="s">
        <v>11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290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291</v>
      </c>
    </row>
    <row r="29" spans="1:7" x14ac:dyDescent="0.25">
      <c r="B29" s="5" t="s">
        <v>292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293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315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294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295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296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283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279</v>
      </c>
      <c r="B38" s="5" t="s">
        <v>297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298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121</v>
      </c>
      <c r="B40" s="11" t="s">
        <v>299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300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69</v>
      </c>
      <c r="D43" s="4" t="s">
        <v>70</v>
      </c>
      <c r="E43" s="4" t="s">
        <v>71</v>
      </c>
      <c r="F43" s="4" t="s">
        <v>72</v>
      </c>
      <c r="G43" s="14"/>
    </row>
    <row r="44" spans="1:7" x14ac:dyDescent="0.25">
      <c r="B44" s="11" t="s">
        <v>301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233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7</v>
      </c>
      <c r="B48" s="1"/>
      <c r="C48" s="4" t="s">
        <v>109</v>
      </c>
      <c r="D48" s="4" t="s">
        <v>96</v>
      </c>
      <c r="E48" s="4" t="s">
        <v>97</v>
      </c>
      <c r="F48" s="4" t="s">
        <v>98</v>
      </c>
      <c r="G48" s="4" t="s">
        <v>99</v>
      </c>
    </row>
    <row r="49" spans="1:7" x14ac:dyDescent="0.25">
      <c r="B49" s="11" t="s">
        <v>302</v>
      </c>
      <c r="C49" s="90" t="s">
        <v>11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303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304</v>
      </c>
    </row>
    <row r="52" spans="1:7" x14ac:dyDescent="0.25">
      <c r="B52" s="5" t="s">
        <v>305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316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307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308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309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283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279</v>
      </c>
      <c r="B61" s="5" t="s">
        <v>310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311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121</v>
      </c>
      <c r="B63" s="11" t="s">
        <v>312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313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69</v>
      </c>
      <c r="D66" s="4" t="s">
        <v>70</v>
      </c>
      <c r="E66" s="4" t="s">
        <v>71</v>
      </c>
      <c r="F66" s="4" t="s">
        <v>72</v>
      </c>
      <c r="G66" s="14"/>
    </row>
    <row r="67" spans="1:7" x14ac:dyDescent="0.25">
      <c r="B67" s="11" t="s">
        <v>314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xnjx2/WDW/BaGQbD4qUCPlkRTZb54L4WP4P8Dy8F/vgsXPa5y4rtkz27NEdKxbK+TOw+tTs2/BEmPGSI7LhjJg==" saltValue="R1/qSw5MtgV0CWsDKbI5E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160</v>
      </c>
      <c r="B1" s="4"/>
      <c r="C1" s="4" t="s">
        <v>51</v>
      </c>
      <c r="D1" s="4" t="s">
        <v>53</v>
      </c>
      <c r="E1" s="4" t="s">
        <v>52</v>
      </c>
      <c r="F1" s="1" t="s">
        <v>54</v>
      </c>
    </row>
    <row r="2" spans="1:6" ht="15.75" customHeight="1" x14ac:dyDescent="0.25">
      <c r="A2" s="5" t="s">
        <v>168</v>
      </c>
      <c r="B2" s="5" t="s">
        <v>317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318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180</v>
      </c>
      <c r="B4" s="5" t="s">
        <v>317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318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181</v>
      </c>
      <c r="B6" s="5" t="s">
        <v>317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318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182</v>
      </c>
      <c r="B8" s="5" t="s">
        <v>317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318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186</v>
      </c>
      <c r="B10" s="5" t="s">
        <v>317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318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190</v>
      </c>
      <c r="B12" s="5" t="s">
        <v>317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318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160</v>
      </c>
      <c r="B16" s="4"/>
      <c r="C16" s="4" t="s">
        <v>51</v>
      </c>
      <c r="D16" s="4" t="s">
        <v>53</v>
      </c>
      <c r="E16" s="4" t="s">
        <v>52</v>
      </c>
      <c r="F16" s="1" t="s">
        <v>54</v>
      </c>
    </row>
    <row r="17" spans="1:6" ht="15.75" customHeight="1" x14ac:dyDescent="0.25">
      <c r="A17" s="5" t="s">
        <v>168</v>
      </c>
      <c r="B17" s="5" t="s">
        <v>317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318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180</v>
      </c>
      <c r="B19" s="5" t="s">
        <v>317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318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181</v>
      </c>
      <c r="B21" s="5" t="s">
        <v>317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318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182</v>
      </c>
      <c r="B23" s="5" t="s">
        <v>317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318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186</v>
      </c>
      <c r="B25" s="5" t="s">
        <v>317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318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190</v>
      </c>
      <c r="B27" s="5" t="s">
        <v>317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318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160</v>
      </c>
      <c r="B31" s="4"/>
      <c r="C31" s="4" t="s">
        <v>51</v>
      </c>
      <c r="D31" s="4" t="s">
        <v>53</v>
      </c>
      <c r="E31" s="4" t="s">
        <v>52</v>
      </c>
      <c r="F31" s="1" t="s">
        <v>54</v>
      </c>
    </row>
    <row r="32" spans="1:6" ht="15.75" customHeight="1" x14ac:dyDescent="0.25">
      <c r="A32" s="5" t="s">
        <v>168</v>
      </c>
      <c r="B32" s="5" t="s">
        <v>317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318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180</v>
      </c>
      <c r="B34" s="5" t="s">
        <v>317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318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181</v>
      </c>
      <c r="B36" s="5" t="s">
        <v>317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318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182</v>
      </c>
      <c r="B38" s="5" t="s">
        <v>317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318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186</v>
      </c>
      <c r="B40" s="5" t="s">
        <v>317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318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190</v>
      </c>
      <c r="B42" s="5" t="s">
        <v>317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318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4DNpDF6ie7+5Y8QL5fNzFCEbp3RvbA4jKdX0IdZqtvn/LXc0VX8Fm4M0sNzoDHmTAcN8ICNH3p5w0TE86ASUXQ==" saltValue="5m0Ma2G7dNP95wu9VpzMV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109</v>
      </c>
      <c r="D1" s="70" t="s">
        <v>96</v>
      </c>
      <c r="E1" s="70" t="s">
        <v>97</v>
      </c>
      <c r="F1" s="70" t="s">
        <v>98</v>
      </c>
      <c r="G1" s="70" t="s">
        <v>99</v>
      </c>
      <c r="H1" s="70" t="s">
        <v>69</v>
      </c>
      <c r="I1" s="70" t="s">
        <v>70</v>
      </c>
      <c r="J1" s="70" t="s">
        <v>71</v>
      </c>
      <c r="K1" s="70" t="s">
        <v>72</v>
      </c>
      <c r="L1" s="70" t="s">
        <v>122</v>
      </c>
      <c r="M1" s="70" t="s">
        <v>123</v>
      </c>
      <c r="N1" s="70" t="s">
        <v>124</v>
      </c>
      <c r="O1" s="70" t="s">
        <v>125</v>
      </c>
    </row>
    <row r="2" spans="1:15" ht="13" customHeight="1" x14ac:dyDescent="0.3">
      <c r="A2" s="4" t="s">
        <v>319</v>
      </c>
    </row>
    <row r="3" spans="1:15" x14ac:dyDescent="0.25">
      <c r="B3" s="11" t="s">
        <v>171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176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177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178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179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180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181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182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185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186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320</v>
      </c>
      <c r="B17" s="11"/>
    </row>
    <row r="18" spans="1:15" x14ac:dyDescent="0.25">
      <c r="B18" s="5" t="s">
        <v>173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174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175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183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109</v>
      </c>
      <c r="D24" s="70" t="s">
        <v>96</v>
      </c>
      <c r="E24" s="70" t="s">
        <v>97</v>
      </c>
      <c r="F24" s="70" t="s">
        <v>98</v>
      </c>
      <c r="G24" s="70" t="s">
        <v>99</v>
      </c>
      <c r="H24" s="70" t="s">
        <v>69</v>
      </c>
      <c r="I24" s="70" t="s">
        <v>70</v>
      </c>
      <c r="J24" s="70" t="s">
        <v>71</v>
      </c>
      <c r="K24" s="70" t="s">
        <v>72</v>
      </c>
      <c r="L24" s="70" t="s">
        <v>122</v>
      </c>
      <c r="M24" s="70" t="s">
        <v>123</v>
      </c>
      <c r="N24" s="70" t="s">
        <v>124</v>
      </c>
      <c r="O24" s="70" t="s">
        <v>125</v>
      </c>
    </row>
    <row r="25" spans="1:15" ht="13" customHeight="1" x14ac:dyDescent="0.3">
      <c r="A25" s="4" t="s">
        <v>321</v>
      </c>
    </row>
    <row r="26" spans="1:15" x14ac:dyDescent="0.25">
      <c r="B26" s="11" t="s">
        <v>171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176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177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178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179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180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181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182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185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186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189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190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205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323</v>
      </c>
      <c r="B40" s="11"/>
    </row>
    <row r="41" spans="1:15" x14ac:dyDescent="0.25">
      <c r="B41" s="5" t="s">
        <v>173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174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175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183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109</v>
      </c>
      <c r="D47" s="70" t="s">
        <v>96</v>
      </c>
      <c r="E47" s="70" t="s">
        <v>97</v>
      </c>
      <c r="F47" s="70" t="s">
        <v>98</v>
      </c>
      <c r="G47" s="70" t="s">
        <v>99</v>
      </c>
      <c r="H47" s="70" t="s">
        <v>69</v>
      </c>
      <c r="I47" s="70" t="s">
        <v>70</v>
      </c>
      <c r="J47" s="70" t="s">
        <v>71</v>
      </c>
      <c r="K47" s="70" t="s">
        <v>72</v>
      </c>
      <c r="L47" s="70" t="s">
        <v>122</v>
      </c>
      <c r="M47" s="70" t="s">
        <v>123</v>
      </c>
      <c r="N47" s="70" t="s">
        <v>124</v>
      </c>
      <c r="O47" s="70" t="s">
        <v>125</v>
      </c>
    </row>
    <row r="48" spans="1:15" ht="13" customHeight="1" x14ac:dyDescent="0.3">
      <c r="A48" s="4" t="s">
        <v>322</v>
      </c>
    </row>
    <row r="49" spans="1:15" x14ac:dyDescent="0.25">
      <c r="B49" s="11" t="s">
        <v>171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176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177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178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179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180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181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182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185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186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189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190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205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324</v>
      </c>
      <c r="B63" s="11"/>
    </row>
    <row r="64" spans="1:15" x14ac:dyDescent="0.25">
      <c r="B64" s="5" t="s">
        <v>173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174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175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183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WJRlulNddkn2Wjtec6Y+N1HMn3jqkHg8B+01lUc9y5ry2EQ9pd22ToJ+BBPUdKmLMwJxVsl0p1zsI0lk+WIOtA==" saltValue="tc86I3BorYfycpFN3v6FL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</row>
    <row r="2" spans="1:7" ht="13" customHeight="1" x14ac:dyDescent="0.3">
      <c r="A2" s="4" t="s">
        <v>325</v>
      </c>
    </row>
    <row r="3" spans="1:7" x14ac:dyDescent="0.25">
      <c r="B3" s="11" t="s">
        <v>161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326</v>
      </c>
      <c r="B4" s="11"/>
      <c r="C4" s="83"/>
      <c r="D4" s="83"/>
      <c r="E4" s="83"/>
      <c r="F4" s="83"/>
      <c r="G4" s="83"/>
    </row>
    <row r="5" spans="1:7" x14ac:dyDescent="0.25">
      <c r="B5" s="5" t="s">
        <v>165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331</v>
      </c>
    </row>
    <row r="8" spans="1:7" ht="13" customHeight="1" x14ac:dyDescent="0.3">
      <c r="A8" s="4"/>
      <c r="B8" s="1"/>
      <c r="C8" s="4" t="s">
        <v>109</v>
      </c>
      <c r="D8" s="4" t="s">
        <v>96</v>
      </c>
      <c r="E8" s="4" t="s">
        <v>97</v>
      </c>
      <c r="F8" s="4" t="s">
        <v>98</v>
      </c>
      <c r="G8" s="4" t="s">
        <v>99</v>
      </c>
    </row>
    <row r="9" spans="1:7" ht="13" customHeight="1" x14ac:dyDescent="0.3">
      <c r="A9" s="4" t="s">
        <v>327</v>
      </c>
    </row>
    <row r="10" spans="1:7" x14ac:dyDescent="0.25">
      <c r="B10" s="11" t="s">
        <v>161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328</v>
      </c>
      <c r="B11" s="11"/>
      <c r="C11" s="83"/>
      <c r="D11" s="83"/>
      <c r="E11" s="83"/>
      <c r="F11" s="83"/>
      <c r="G11" s="83"/>
    </row>
    <row r="12" spans="1:7" x14ac:dyDescent="0.25">
      <c r="B12" s="5" t="s">
        <v>165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332</v>
      </c>
    </row>
    <row r="15" spans="1:7" ht="13" customHeight="1" x14ac:dyDescent="0.3">
      <c r="A15" s="4"/>
      <c r="B15" s="1"/>
      <c r="C15" s="4" t="s">
        <v>109</v>
      </c>
      <c r="D15" s="4" t="s">
        <v>96</v>
      </c>
      <c r="E15" s="4" t="s">
        <v>97</v>
      </c>
      <c r="F15" s="4" t="s">
        <v>98</v>
      </c>
      <c r="G15" s="4" t="s">
        <v>99</v>
      </c>
    </row>
    <row r="16" spans="1:7" ht="13" customHeight="1" x14ac:dyDescent="0.3">
      <c r="A16" s="4" t="s">
        <v>329</v>
      </c>
    </row>
    <row r="17" spans="1:7" x14ac:dyDescent="0.25">
      <c r="B17" s="11" t="s">
        <v>161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330</v>
      </c>
      <c r="B18" s="11"/>
      <c r="C18" s="83"/>
      <c r="D18" s="83"/>
      <c r="E18" s="83"/>
      <c r="F18" s="83"/>
      <c r="G18" s="83"/>
    </row>
    <row r="19" spans="1:7" x14ac:dyDescent="0.25">
      <c r="B19" s="5" t="s">
        <v>165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REa8DxhxmRb2LQrGW10jIos+1ve5Yi7yLksBMTcWz+pGH1kkV5ZYy5ZnF8V+InyO8kmkG1m7+t2SK2gpFWYfag==" saltValue="z+kHuT+jHW6MqvUaucJOz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160</v>
      </c>
      <c r="B1" s="4" t="s">
        <v>333</v>
      </c>
      <c r="C1" s="82" t="s">
        <v>12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8" x14ac:dyDescent="0.25">
      <c r="A2" s="5" t="s">
        <v>193</v>
      </c>
      <c r="B2" s="5" t="s">
        <v>87</v>
      </c>
      <c r="C2" s="5" t="s">
        <v>334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335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336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192</v>
      </c>
      <c r="B5" s="5" t="s">
        <v>208</v>
      </c>
      <c r="C5" s="5" t="s">
        <v>334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336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209</v>
      </c>
      <c r="C7" s="5" t="s">
        <v>334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336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185</v>
      </c>
      <c r="B9" s="5" t="s">
        <v>208</v>
      </c>
      <c r="C9" s="5" t="s">
        <v>334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336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209</v>
      </c>
      <c r="C11" s="5" t="s">
        <v>334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336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205</v>
      </c>
      <c r="B13" s="5" t="s">
        <v>208</v>
      </c>
      <c r="C13" s="5" t="s">
        <v>334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336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209</v>
      </c>
      <c r="C15" s="5" t="s">
        <v>334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336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170</v>
      </c>
      <c r="B17" s="5" t="s">
        <v>208</v>
      </c>
      <c r="C17" s="5" t="s">
        <v>334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336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209</v>
      </c>
      <c r="C19" s="5" t="s">
        <v>334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336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175</v>
      </c>
      <c r="B21" s="5" t="s">
        <v>84</v>
      </c>
      <c r="C21" s="5" t="s">
        <v>334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335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173</v>
      </c>
      <c r="B23" s="5" t="s">
        <v>84</v>
      </c>
      <c r="C23" s="5" t="s">
        <v>334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335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174</v>
      </c>
      <c r="B25" s="5" t="s">
        <v>84</v>
      </c>
      <c r="C25" s="5" t="s">
        <v>334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335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87</v>
      </c>
      <c r="C27" s="5" t="s">
        <v>334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335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336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87</v>
      </c>
      <c r="C30" s="5" t="s">
        <v>334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335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336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87</v>
      </c>
      <c r="C33" s="5" t="s">
        <v>334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335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336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87</v>
      </c>
      <c r="C36" s="5" t="s">
        <v>334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335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336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87</v>
      </c>
      <c r="C39" s="5" t="s">
        <v>334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335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336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87</v>
      </c>
      <c r="C42" s="5" t="s">
        <v>334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335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336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88</v>
      </c>
      <c r="C45" s="5" t="s">
        <v>334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335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336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191</v>
      </c>
      <c r="B48" s="5" t="s">
        <v>87</v>
      </c>
      <c r="C48" s="5" t="s">
        <v>334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335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87</v>
      </c>
      <c r="C50" s="5" t="s">
        <v>334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335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184</v>
      </c>
      <c r="B52" s="5" t="s">
        <v>82</v>
      </c>
      <c r="C52" s="5" t="s">
        <v>334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335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331</v>
      </c>
      <c r="B55" s="97"/>
      <c r="C55" s="97"/>
    </row>
    <row r="56" spans="1:8" ht="13" customHeight="1" x14ac:dyDescent="0.3">
      <c r="A56" s="4" t="s">
        <v>160</v>
      </c>
      <c r="B56" s="4" t="s">
        <v>333</v>
      </c>
      <c r="C56" s="82" t="s">
        <v>12</v>
      </c>
      <c r="D56" s="4" t="s">
        <v>109</v>
      </c>
      <c r="E56" s="4" t="s">
        <v>96</v>
      </c>
      <c r="F56" s="4" t="s">
        <v>97</v>
      </c>
      <c r="G56" s="4" t="s">
        <v>98</v>
      </c>
      <c r="H56" s="4" t="s">
        <v>99</v>
      </c>
    </row>
    <row r="57" spans="1:8" x14ac:dyDescent="0.25">
      <c r="A57" s="5" t="s">
        <v>193</v>
      </c>
      <c r="B57" s="5" t="s">
        <v>87</v>
      </c>
      <c r="C57" s="5" t="s">
        <v>334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335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336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192</v>
      </c>
      <c r="B60" s="5" t="s">
        <v>208</v>
      </c>
      <c r="C60" s="5" t="s">
        <v>334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336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209</v>
      </c>
      <c r="C62" s="5" t="s">
        <v>334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336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185</v>
      </c>
      <c r="B64" s="5" t="s">
        <v>208</v>
      </c>
      <c r="C64" s="5" t="s">
        <v>334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336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209</v>
      </c>
      <c r="C66" s="5" t="s">
        <v>334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336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205</v>
      </c>
      <c r="B68" s="5" t="s">
        <v>208</v>
      </c>
      <c r="C68" s="5" t="s">
        <v>334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336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209</v>
      </c>
      <c r="C70" s="5" t="s">
        <v>334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336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170</v>
      </c>
      <c r="B72" s="5" t="s">
        <v>208</v>
      </c>
      <c r="C72" s="5" t="s">
        <v>334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336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209</v>
      </c>
      <c r="C74" s="5" t="s">
        <v>334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336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175</v>
      </c>
      <c r="B76" s="5" t="s">
        <v>84</v>
      </c>
      <c r="C76" s="5" t="s">
        <v>334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335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173</v>
      </c>
      <c r="B78" s="5" t="s">
        <v>84</v>
      </c>
      <c r="C78" s="5" t="s">
        <v>334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335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174</v>
      </c>
      <c r="B80" s="5" t="s">
        <v>84</v>
      </c>
      <c r="C80" s="5" t="s">
        <v>334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335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87</v>
      </c>
      <c r="C82" s="5" t="s">
        <v>334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335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336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87</v>
      </c>
      <c r="C85" s="5" t="s">
        <v>334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335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336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87</v>
      </c>
      <c r="C88" s="5" t="s">
        <v>334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335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87</v>
      </c>
      <c r="C91" s="5" t="s">
        <v>334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335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87</v>
      </c>
      <c r="C94" s="5" t="s">
        <v>334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335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87</v>
      </c>
      <c r="C97" s="5" t="s">
        <v>334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335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336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88</v>
      </c>
      <c r="C100" s="5" t="s">
        <v>334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335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191</v>
      </c>
      <c r="B103" s="5" t="s">
        <v>87</v>
      </c>
      <c r="C103" s="5" t="s">
        <v>334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335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87</v>
      </c>
      <c r="C105" s="5" t="s">
        <v>334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335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184</v>
      </c>
      <c r="B107" s="5" t="s">
        <v>82</v>
      </c>
      <c r="C107" s="5" t="s">
        <v>334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335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332</v>
      </c>
      <c r="B110" s="97"/>
      <c r="C110" s="97"/>
    </row>
    <row r="111" spans="1:8" ht="13" customHeight="1" x14ac:dyDescent="0.3">
      <c r="A111" s="4" t="s">
        <v>160</v>
      </c>
      <c r="B111" s="4" t="s">
        <v>333</v>
      </c>
      <c r="C111" s="82" t="s">
        <v>12</v>
      </c>
      <c r="D111" s="4" t="s">
        <v>109</v>
      </c>
      <c r="E111" s="4" t="s">
        <v>96</v>
      </c>
      <c r="F111" s="4" t="s">
        <v>97</v>
      </c>
      <c r="G111" s="4" t="s">
        <v>98</v>
      </c>
      <c r="H111" s="4" t="s">
        <v>99</v>
      </c>
    </row>
    <row r="112" spans="1:8" x14ac:dyDescent="0.25">
      <c r="A112" s="5" t="s">
        <v>193</v>
      </c>
      <c r="B112" s="5" t="s">
        <v>87</v>
      </c>
      <c r="C112" s="5" t="s">
        <v>334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335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336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192</v>
      </c>
      <c r="B115" s="5" t="s">
        <v>208</v>
      </c>
      <c r="C115" s="5" t="s">
        <v>334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336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209</v>
      </c>
      <c r="C117" s="5" t="s">
        <v>334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336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185</v>
      </c>
      <c r="B119" s="5" t="s">
        <v>208</v>
      </c>
      <c r="C119" s="5" t="s">
        <v>334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336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209</v>
      </c>
      <c r="C121" s="5" t="s">
        <v>334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336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205</v>
      </c>
      <c r="B123" s="5" t="s">
        <v>208</v>
      </c>
      <c r="C123" s="5" t="s">
        <v>334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336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209</v>
      </c>
      <c r="C125" s="5" t="s">
        <v>334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336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170</v>
      </c>
      <c r="B127" s="5" t="s">
        <v>208</v>
      </c>
      <c r="C127" s="5" t="s">
        <v>334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336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209</v>
      </c>
      <c r="C129" s="5" t="s">
        <v>334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336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175</v>
      </c>
      <c r="B131" s="5" t="s">
        <v>84</v>
      </c>
      <c r="C131" s="5" t="s">
        <v>334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335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173</v>
      </c>
      <c r="B133" s="5" t="s">
        <v>84</v>
      </c>
      <c r="C133" s="5" t="s">
        <v>334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335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174</v>
      </c>
      <c r="B135" s="5" t="s">
        <v>84</v>
      </c>
      <c r="C135" s="5" t="s">
        <v>334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335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87</v>
      </c>
      <c r="C137" s="5" t="s">
        <v>334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335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336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87</v>
      </c>
      <c r="C140" s="5" t="s">
        <v>334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335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336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87</v>
      </c>
      <c r="C143" s="5" t="s">
        <v>334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335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336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87</v>
      </c>
      <c r="C146" s="5" t="s">
        <v>334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335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336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87</v>
      </c>
      <c r="C149" s="5" t="s">
        <v>334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335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336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87</v>
      </c>
      <c r="C152" s="5" t="s">
        <v>334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335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336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88</v>
      </c>
      <c r="C155" s="5" t="s">
        <v>334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335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336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191</v>
      </c>
      <c r="B158" s="5" t="s">
        <v>87</v>
      </c>
      <c r="C158" s="5" t="s">
        <v>334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335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87</v>
      </c>
      <c r="C160" s="5" t="s">
        <v>334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335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184</v>
      </c>
      <c r="B162" s="5" t="s">
        <v>82</v>
      </c>
      <c r="C162" s="5" t="s">
        <v>334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335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MpiXRFV4XH4DD5n6XPqnOvlfHcGt1NZVmsjw3rQVCiAZ1GQ5PSHOV50svePa/3zBVZUJEVpgJpJpeEsPOvQo5g==" saltValue="r9NjD9tQnt+eYiUHNmlHn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160</v>
      </c>
      <c r="B1" s="1" t="s">
        <v>333</v>
      </c>
      <c r="C1" s="1"/>
      <c r="D1" s="4" t="s">
        <v>122</v>
      </c>
      <c r="E1" s="4" t="s">
        <v>123</v>
      </c>
      <c r="F1" s="4" t="s">
        <v>124</v>
      </c>
      <c r="G1" s="4" t="s">
        <v>125</v>
      </c>
      <c r="H1" s="4"/>
    </row>
    <row r="2" spans="1:8" x14ac:dyDescent="0.25">
      <c r="A2" s="3" t="s">
        <v>169</v>
      </c>
      <c r="B2" s="8" t="s">
        <v>104</v>
      </c>
      <c r="C2" s="3" t="s">
        <v>334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335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188</v>
      </c>
      <c r="B4" s="8" t="s">
        <v>104</v>
      </c>
      <c r="C4" s="3" t="s">
        <v>334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335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187</v>
      </c>
      <c r="B6" s="8" t="s">
        <v>104</v>
      </c>
      <c r="C6" s="3" t="s">
        <v>334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335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331</v>
      </c>
    </row>
    <row r="10" spans="1:8" ht="13" customHeight="1" x14ac:dyDescent="0.3">
      <c r="A10" s="1" t="s">
        <v>160</v>
      </c>
      <c r="B10" s="1" t="s">
        <v>333</v>
      </c>
      <c r="C10" s="1"/>
      <c r="D10" s="4" t="s">
        <v>122</v>
      </c>
      <c r="E10" s="4" t="s">
        <v>123</v>
      </c>
      <c r="F10" s="4" t="s">
        <v>124</v>
      </c>
      <c r="G10" s="4" t="s">
        <v>125</v>
      </c>
    </row>
    <row r="11" spans="1:8" x14ac:dyDescent="0.25">
      <c r="A11" s="3" t="s">
        <v>169</v>
      </c>
      <c r="B11" s="8" t="s">
        <v>104</v>
      </c>
      <c r="C11" s="3" t="s">
        <v>334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335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188</v>
      </c>
      <c r="B13" s="8" t="s">
        <v>104</v>
      </c>
      <c r="C13" s="3" t="s">
        <v>334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335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187</v>
      </c>
      <c r="B15" s="8" t="s">
        <v>104</v>
      </c>
      <c r="C15" s="3" t="s">
        <v>334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335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332</v>
      </c>
    </row>
    <row r="19" spans="1:7" ht="13" customHeight="1" x14ac:dyDescent="0.3">
      <c r="A19" s="1" t="s">
        <v>160</v>
      </c>
      <c r="B19" s="1" t="s">
        <v>333</v>
      </c>
      <c r="C19" s="1"/>
      <c r="D19" s="4" t="s">
        <v>122</v>
      </c>
      <c r="E19" s="4" t="s">
        <v>123</v>
      </c>
      <c r="F19" s="4" t="s">
        <v>124</v>
      </c>
      <c r="G19" s="4" t="s">
        <v>125</v>
      </c>
    </row>
    <row r="20" spans="1:7" x14ac:dyDescent="0.25">
      <c r="A20" s="3" t="s">
        <v>169</v>
      </c>
      <c r="B20" s="8" t="s">
        <v>104</v>
      </c>
      <c r="C20" s="3" t="s">
        <v>334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335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188</v>
      </c>
      <c r="B22" s="8" t="s">
        <v>104</v>
      </c>
      <c r="C22" s="3" t="s">
        <v>334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335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187</v>
      </c>
      <c r="B24" s="8" t="s">
        <v>104</v>
      </c>
      <c r="C24" s="3" t="s">
        <v>334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335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zJpTbcKdcJN8etMRi4iR0rKJq7lMt1QR1aZTjd20iAbPrr51j1hgTKMINt2QlA0Hsc/FCMdG+yZW5MXGM8QPwg==" saltValue="mFD4tkljuwk57L3tvpye9w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Perte économique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Risques des rés. des naissances</vt:lpstr>
      <vt:lpstr>Risques relatifs</vt:lpstr>
      <vt:lpstr>Rapports des cotes</vt:lpstr>
      <vt:lpstr>Programmes-rés. des naissances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lang=fr</cp:keywords>
  <cp:lastModifiedBy>Tharindu Wickramaarachchi</cp:lastModifiedBy>
  <dcterms:created xsi:type="dcterms:W3CDTF">2017-08-01T10:42:13Z</dcterms:created>
  <dcterms:modified xsi:type="dcterms:W3CDTF">2024-05-17T00:17:53Z</dcterms:modified>
</cp:coreProperties>
</file>