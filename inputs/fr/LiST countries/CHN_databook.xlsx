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45971323-1914-4D5C-9AB2-AC4A153ED4C8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36" i="2" l="1"/>
  <c r="I39" i="2"/>
  <c r="I6" i="2"/>
  <c r="I12" i="2"/>
  <c r="A35" i="2"/>
  <c r="I7" i="2"/>
  <c r="I13" i="2"/>
  <c r="A37" i="2"/>
  <c r="A22" i="2"/>
  <c r="A23" i="2"/>
  <c r="A19" i="2"/>
  <c r="I3" i="2"/>
  <c r="A24" i="2"/>
  <c r="A40" i="2"/>
  <c r="I4" i="2"/>
  <c r="A25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<sst xmlns="http://schemas.openxmlformats.org/spreadsheetml/2006/main" count="2169" uniqueCount="369">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</sst>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47520141.5</v>
      </c>
    </row>
    <row r="8" spans="1:3" ht="15" customHeight="1" x14ac:dyDescent="0.25">
      <c r="B8" s="5" t="s">
        <v>37</v>
      </c>
      <c r="C8" s="44">
        <v>5.0000000000000001E-3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0.81408699039999999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7.980000000000001E-2</v>
      </c>
    </row>
    <row r="24" spans="1:3" ht="15" customHeight="1" x14ac:dyDescent="0.25">
      <c r="B24" s="15" t="s">
        <v>51</v>
      </c>
      <c r="C24" s="45">
        <v>0.68840000000000001</v>
      </c>
    </row>
    <row r="25" spans="1:3" ht="15" customHeight="1" x14ac:dyDescent="0.25">
      <c r="B25" s="15" t="s">
        <v>52</v>
      </c>
      <c r="C25" s="45">
        <v>0.20130000000000001</v>
      </c>
    </row>
    <row r="26" spans="1:3" ht="15" customHeight="1" x14ac:dyDescent="0.25">
      <c r="B26" s="15" t="s">
        <v>53</v>
      </c>
      <c r="C26" s="45">
        <v>3.0499999999999999E-2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0.40385805873750502</v>
      </c>
    </row>
    <row r="30" spans="1:3" ht="14.25" customHeight="1" x14ac:dyDescent="0.25">
      <c r="B30" s="25" t="s">
        <v>56</v>
      </c>
      <c r="C30" s="97">
        <v>3.4597339605538499E-2</v>
      </c>
    </row>
    <row r="31" spans="1:3" ht="14.25" customHeight="1" x14ac:dyDescent="0.25">
      <c r="B31" s="25" t="s">
        <v>57</v>
      </c>
      <c r="C31" s="97">
        <v>5.9568417955223898E-2</v>
      </c>
    </row>
    <row r="32" spans="1:3" ht="14.25" customHeight="1" x14ac:dyDescent="0.25">
      <c r="B32" s="25" t="s">
        <v>58</v>
      </c>
      <c r="C32" s="97">
        <v>0.50197618370173303</v>
      </c>
    </row>
    <row r="33" spans="1:5" ht="13.25" customHeight="1" x14ac:dyDescent="0.25">
      <c r="B33" s="27" t="s">
        <v>59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3.1912600000000002</v>
      </c>
    </row>
    <row r="38" spans="1:5" ht="15" customHeight="1" x14ac:dyDescent="0.25">
      <c r="B38" s="11" t="s">
        <v>63</v>
      </c>
      <c r="C38" s="43">
        <v>5.0500699999999998</v>
      </c>
      <c r="D38" s="12"/>
      <c r="E38" s="13"/>
    </row>
    <row r="39" spans="1:5" ht="15" customHeight="1" x14ac:dyDescent="0.25">
      <c r="B39" s="11" t="s">
        <v>64</v>
      </c>
      <c r="C39" s="43">
        <v>6.93459</v>
      </c>
      <c r="D39" s="12"/>
      <c r="E39" s="12"/>
    </row>
    <row r="40" spans="1:5" ht="15" customHeight="1" x14ac:dyDescent="0.25">
      <c r="B40" s="11" t="s">
        <v>65</v>
      </c>
      <c r="C40" s="98">
        <v>0.23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4.8971999999999998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5.2434999999999999E-3</v>
      </c>
      <c r="D45" s="12"/>
    </row>
    <row r="46" spans="1:5" ht="15.75" customHeight="1" x14ac:dyDescent="0.25">
      <c r="B46" s="11" t="s">
        <v>70</v>
      </c>
      <c r="C46" s="45">
        <v>5.6247199999999997E-2</v>
      </c>
      <c r="D46" s="12"/>
    </row>
    <row r="47" spans="1:5" ht="15.75" customHeight="1" x14ac:dyDescent="0.25">
      <c r="B47" s="11" t="s">
        <v>71</v>
      </c>
      <c r="C47" s="45">
        <v>6.706680000000001E-2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2.2000000000000002</v>
      </c>
      <c r="D51" s="12"/>
    </row>
    <row r="52" spans="1:4" ht="15" customHeight="1" x14ac:dyDescent="0.25">
      <c r="B52" s="11" t="s">
        <v>75</v>
      </c>
      <c r="C52" s="98">
        <v>2.2000000000000002</v>
      </c>
    </row>
    <row r="53" spans="1:4" ht="15.75" customHeight="1" x14ac:dyDescent="0.25">
      <c r="B53" s="11" t="s">
        <v>76</v>
      </c>
      <c r="C53" s="98">
        <v>2.2000000000000002</v>
      </c>
    </row>
    <row r="54" spans="1:4" ht="15.75" customHeight="1" x14ac:dyDescent="0.25">
      <c r="B54" s="11" t="s">
        <v>77</v>
      </c>
      <c r="C54" s="98">
        <v>2.2000000000000002</v>
      </c>
    </row>
    <row r="55" spans="1:4" ht="15.75" customHeight="1" x14ac:dyDescent="0.25">
      <c r="B55" s="11" t="s">
        <v>78</v>
      </c>
      <c r="C55" s="98">
        <v>2.2000000000000002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0.65754500000000005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4.9735185770000002E-2</v>
      </c>
    </row>
    <row r="63" spans="1:4" ht="15.75" customHeight="1" x14ac:dyDescent="0.3">
      <c r="A63" s="4"/>
    </row>
  </sheetData>
  <sheetProtection algorithmName="SHA-512" hashValue="WiFr2r7uXvN8S/CPbotXq7c30BlPTTv4THNXImyJfkeMIXPQPliDiGQZyeuxtF2usMFdMKTPvOf73KfWTMtRDg==" saltValue="ypY1+rUwHmPx8iHMrcjB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10577046</v>
      </c>
      <c r="C2" s="49">
        <v>46617241.5</v>
      </c>
      <c r="D2" s="49">
        <v>75475910.5</v>
      </c>
      <c r="E2" s="49">
        <v>106915917</v>
      </c>
      <c r="F2" s="49">
        <v>85663749.5</v>
      </c>
      <c r="G2" s="17">
        <f t="shared" ref="G2:G13" si="0">C2+D2+E2+F2</f>
        <v>314672818.5</v>
      </c>
      <c r="H2" s="17">
        <f t="shared" ref="H2:H13" si="1">(B2 + stillbirth*B2/(1000-stillbirth))/(1-abortion)</f>
        <v>12078521.389494086</v>
      </c>
      <c r="I2" s="17">
        <f t="shared" ref="I2:I13" si="2">G2-H2</f>
        <v>302594297.11050594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10441801</v>
      </c>
      <c r="C3" s="50">
        <v>47320188.500000007</v>
      </c>
      <c r="D3" s="50">
        <v>74442793</v>
      </c>
      <c r="E3" s="50">
        <v>104783531.5</v>
      </c>
      <c r="F3" s="50">
        <v>85204412</v>
      </c>
      <c r="G3" s="17">
        <f t="shared" si="0"/>
        <v>311750925</v>
      </c>
      <c r="H3" s="17">
        <f t="shared" si="1"/>
        <v>11924077.547109157</v>
      </c>
      <c r="I3" s="17">
        <f t="shared" si="2"/>
        <v>299826847.45289087</v>
      </c>
    </row>
    <row r="4" spans="1:9" ht="15.75" customHeight="1" x14ac:dyDescent="0.25">
      <c r="A4" s="5">
        <f t="shared" si="3"/>
        <v>2026</v>
      </c>
      <c r="B4" s="49">
        <v>10326067</v>
      </c>
      <c r="C4" s="50">
        <v>48221500.499999993</v>
      </c>
      <c r="D4" s="50">
        <v>73818610.5</v>
      </c>
      <c r="E4" s="50">
        <v>101684567.5</v>
      </c>
      <c r="F4" s="50">
        <v>85995019.5</v>
      </c>
      <c r="G4" s="17">
        <f t="shared" si="0"/>
        <v>309719698</v>
      </c>
      <c r="H4" s="17">
        <f t="shared" si="1"/>
        <v>11791914.408696815</v>
      </c>
      <c r="I4" s="17">
        <f t="shared" si="2"/>
        <v>297927783.59130317</v>
      </c>
    </row>
    <row r="5" spans="1:9" ht="15.75" customHeight="1" x14ac:dyDescent="0.25">
      <c r="A5" s="5">
        <f t="shared" si="3"/>
        <v>2027</v>
      </c>
      <c r="B5" s="49">
        <v>10232622</v>
      </c>
      <c r="C5" s="50">
        <v>49085713.5</v>
      </c>
      <c r="D5" s="50">
        <v>73648810.5</v>
      </c>
      <c r="E5" s="50">
        <v>97559103</v>
      </c>
      <c r="F5" s="50">
        <v>87993306</v>
      </c>
      <c r="G5" s="17">
        <f t="shared" si="0"/>
        <v>308286933</v>
      </c>
      <c r="H5" s="17">
        <f t="shared" si="1"/>
        <v>11685204.328090068</v>
      </c>
      <c r="I5" s="17">
        <f t="shared" si="2"/>
        <v>296601728.67190993</v>
      </c>
    </row>
    <row r="6" spans="1:9" ht="15.75" customHeight="1" x14ac:dyDescent="0.25">
      <c r="A6" s="5">
        <f t="shared" si="3"/>
        <v>2028</v>
      </c>
      <c r="B6" s="49">
        <v>10142147</v>
      </c>
      <c r="C6" s="50">
        <v>49645384.500000007</v>
      </c>
      <c r="D6" s="50">
        <v>73932032</v>
      </c>
      <c r="E6" s="50">
        <v>93168448.5</v>
      </c>
      <c r="F6" s="50">
        <v>91044223.5</v>
      </c>
      <c r="G6" s="17">
        <f t="shared" si="0"/>
        <v>307790088.5</v>
      </c>
      <c r="H6" s="17">
        <f t="shared" si="1"/>
        <v>11581885.856872823</v>
      </c>
      <c r="I6" s="17">
        <f t="shared" si="2"/>
        <v>296208202.6431272</v>
      </c>
    </row>
    <row r="7" spans="1:9" ht="15.75" customHeight="1" x14ac:dyDescent="0.25">
      <c r="A7" s="5">
        <f t="shared" si="3"/>
        <v>2029</v>
      </c>
      <c r="B7" s="49">
        <v>10083803</v>
      </c>
      <c r="C7" s="50">
        <v>49846024.5</v>
      </c>
      <c r="D7" s="50">
        <v>74584499.5</v>
      </c>
      <c r="E7" s="50">
        <v>88738340</v>
      </c>
      <c r="F7" s="50">
        <v>93859745.5</v>
      </c>
      <c r="G7" s="17">
        <f t="shared" si="0"/>
        <v>307028609.5</v>
      </c>
      <c r="H7" s="17">
        <f t="shared" si="1"/>
        <v>11515259.574643489</v>
      </c>
      <c r="I7" s="17">
        <f t="shared" si="2"/>
        <v>295513349.92535651</v>
      </c>
    </row>
    <row r="8" spans="1:9" ht="15.75" customHeight="1" x14ac:dyDescent="0.25">
      <c r="A8" s="5">
        <f t="shared" si="3"/>
        <v>2030</v>
      </c>
      <c r="B8" s="49">
        <v>10016146</v>
      </c>
      <c r="C8" s="50">
        <v>49919150</v>
      </c>
      <c r="D8" s="50">
        <v>75193551</v>
      </c>
      <c r="E8" s="50">
        <v>84038843.5</v>
      </c>
      <c r="F8" s="50">
        <v>96128193.5</v>
      </c>
      <c r="G8" s="17">
        <f t="shared" si="0"/>
        <v>305279738</v>
      </c>
      <c r="H8" s="17">
        <f t="shared" si="1"/>
        <v>11437998.255968219</v>
      </c>
      <c r="I8" s="17">
        <f t="shared" si="2"/>
        <v>293841739.74403179</v>
      </c>
    </row>
    <row r="9" spans="1:9" ht="15.75" customHeight="1" x14ac:dyDescent="0.25">
      <c r="A9" s="5">
        <f t="shared" si="3"/>
        <v>2031</v>
      </c>
      <c r="B9" s="49">
        <v>9983340</v>
      </c>
      <c r="C9" s="50">
        <v>50282071</v>
      </c>
      <c r="D9" s="50">
        <v>75802915.5</v>
      </c>
      <c r="E9" s="50">
        <v>80303426</v>
      </c>
      <c r="F9" s="50">
        <v>98386347</v>
      </c>
      <c r="G9" s="17">
        <f t="shared" si="0"/>
        <v>304774759.5</v>
      </c>
      <c r="H9" s="17">
        <f t="shared" si="1"/>
        <v>11400535.246664509</v>
      </c>
      <c r="I9" s="17">
        <f t="shared" si="2"/>
        <v>293374224.25333548</v>
      </c>
    </row>
    <row r="10" spans="1:9" ht="15.75" customHeight="1" x14ac:dyDescent="0.25">
      <c r="A10" s="5">
        <f t="shared" si="3"/>
        <v>2032</v>
      </c>
      <c r="B10" s="49">
        <v>9975985</v>
      </c>
      <c r="C10" s="50">
        <v>49711249.5</v>
      </c>
      <c r="D10" s="50">
        <v>76952876.5</v>
      </c>
      <c r="E10" s="50">
        <v>77919514.5</v>
      </c>
      <c r="F10" s="50">
        <v>99028005.5</v>
      </c>
      <c r="G10" s="17">
        <f t="shared" si="0"/>
        <v>303611646</v>
      </c>
      <c r="H10" s="17">
        <f t="shared" si="1"/>
        <v>11392136.160112392</v>
      </c>
      <c r="I10" s="17">
        <f t="shared" si="2"/>
        <v>292219509.83988762</v>
      </c>
    </row>
    <row r="11" spans="1:9" ht="15.75" customHeight="1" x14ac:dyDescent="0.25">
      <c r="A11" s="5">
        <f t="shared" si="3"/>
        <v>2033</v>
      </c>
      <c r="B11" s="49">
        <v>9975509</v>
      </c>
      <c r="C11" s="50">
        <v>48164067</v>
      </c>
      <c r="D11" s="50">
        <v>78265715</v>
      </c>
      <c r="E11" s="50">
        <v>76069799</v>
      </c>
      <c r="F11" s="50">
        <v>98301972</v>
      </c>
      <c r="G11" s="17">
        <f t="shared" si="0"/>
        <v>300801553</v>
      </c>
      <c r="H11" s="17">
        <f t="shared" si="1"/>
        <v>11391592.589045255</v>
      </c>
      <c r="I11" s="17">
        <f t="shared" si="2"/>
        <v>289409960.41095477</v>
      </c>
    </row>
    <row r="12" spans="1:9" ht="15.75" customHeight="1" x14ac:dyDescent="0.25">
      <c r="A12" s="5">
        <f t="shared" si="3"/>
        <v>2034</v>
      </c>
      <c r="B12" s="49">
        <v>9945347</v>
      </c>
      <c r="C12" s="50">
        <v>45971958.999999993</v>
      </c>
      <c r="D12" s="50">
        <v>79430886.5</v>
      </c>
      <c r="E12" s="50">
        <v>74644569</v>
      </c>
      <c r="F12" s="50">
        <v>97359475</v>
      </c>
      <c r="G12" s="17">
        <f t="shared" si="0"/>
        <v>297406889.5</v>
      </c>
      <c r="H12" s="17">
        <f t="shared" si="1"/>
        <v>11357148.911467422</v>
      </c>
      <c r="I12" s="17">
        <f t="shared" si="2"/>
        <v>286049740.58853257</v>
      </c>
    </row>
    <row r="13" spans="1:9" ht="15.75" customHeight="1" x14ac:dyDescent="0.25">
      <c r="A13" s="5">
        <f t="shared" si="3"/>
        <v>2035</v>
      </c>
      <c r="B13" s="49">
        <v>9999279</v>
      </c>
      <c r="C13" s="50">
        <v>43080504.499999993</v>
      </c>
      <c r="D13" s="50">
        <v>80318549</v>
      </c>
      <c r="E13" s="50">
        <v>73624062.5</v>
      </c>
      <c r="F13" s="50">
        <v>95535864.5</v>
      </c>
      <c r="G13" s="17">
        <f t="shared" si="0"/>
        <v>292558980.5</v>
      </c>
      <c r="H13" s="17">
        <f t="shared" si="1"/>
        <v>11418736.883721506</v>
      </c>
      <c r="I13" s="17">
        <f t="shared" si="2"/>
        <v>281140243.61627847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sQPQ+pXizbg8O5cOJc0oifKj+0qV6uYNms6U9sMpOGRt2VP4P55H2wWyCCT1+w1pjHjgBTk3sSOAooxbTO8tA==" saltValue="SSiH2apSefpRuf9d2eZeQ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4.9413000000000009E-3</v>
      </c>
    </row>
    <row r="4" spans="1:8" ht="15.75" customHeight="1" x14ac:dyDescent="0.25">
      <c r="B4" s="19" t="s">
        <v>97</v>
      </c>
      <c r="C4" s="99">
        <v>2.3830000000000101E-2</v>
      </c>
    </row>
    <row r="5" spans="1:8" ht="15.75" customHeight="1" x14ac:dyDescent="0.25">
      <c r="B5" s="19" t="s">
        <v>98</v>
      </c>
      <c r="C5" s="99">
        <v>5.7832200000000118E-2</v>
      </c>
    </row>
    <row r="6" spans="1:8" ht="15.75" customHeight="1" x14ac:dyDescent="0.25">
      <c r="B6" s="19" t="s">
        <v>99</v>
      </c>
      <c r="C6" s="99">
        <v>0.27551590000000031</v>
      </c>
    </row>
    <row r="7" spans="1:8" ht="15.75" customHeight="1" x14ac:dyDescent="0.25">
      <c r="B7" s="19" t="s">
        <v>100</v>
      </c>
      <c r="C7" s="99">
        <v>0.31112999999999941</v>
      </c>
    </row>
    <row r="8" spans="1:8" ht="15.75" customHeight="1" x14ac:dyDescent="0.25">
      <c r="B8" s="19" t="s">
        <v>101</v>
      </c>
      <c r="C8" s="99">
        <v>4.9439999999999998E-4</v>
      </c>
    </row>
    <row r="9" spans="1:8" ht="15.75" customHeight="1" x14ac:dyDescent="0.25">
      <c r="B9" s="19" t="s">
        <v>102</v>
      </c>
      <c r="C9" s="99">
        <v>0.17996240000000011</v>
      </c>
    </row>
    <row r="10" spans="1:8" ht="15.75" customHeight="1" x14ac:dyDescent="0.25">
      <c r="B10" s="19" t="s">
        <v>103</v>
      </c>
      <c r="C10" s="99">
        <v>0.1462938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9.3615614352048612E-2</v>
      </c>
      <c r="D14" s="55">
        <v>9.3615614352048612E-2</v>
      </c>
      <c r="E14" s="55">
        <v>9.3615614352048612E-2</v>
      </c>
      <c r="F14" s="55">
        <v>9.3615614352048612E-2</v>
      </c>
    </row>
    <row r="15" spans="1:8" ht="15.75" customHeight="1" x14ac:dyDescent="0.25">
      <c r="B15" s="19" t="s">
        <v>106</v>
      </c>
      <c r="C15" s="99">
        <v>0.16932976336606129</v>
      </c>
      <c r="D15" s="99">
        <v>0.16932976336606129</v>
      </c>
      <c r="E15" s="99">
        <v>0.16932976336606129</v>
      </c>
      <c r="F15" s="99">
        <v>0.16932976336606129</v>
      </c>
    </row>
    <row r="16" spans="1:8" ht="15.75" customHeight="1" x14ac:dyDescent="0.25">
      <c r="B16" s="19" t="s">
        <v>107</v>
      </c>
      <c r="C16" s="99">
        <v>4.0391351019369762E-2</v>
      </c>
      <c r="D16" s="99">
        <v>4.0391351019369762E-2</v>
      </c>
      <c r="E16" s="99">
        <v>4.0391351019369762E-2</v>
      </c>
      <c r="F16" s="99">
        <v>4.0391351019369762E-2</v>
      </c>
    </row>
    <row r="17" spans="1:8" ht="15.75" customHeight="1" x14ac:dyDescent="0.25">
      <c r="B17" s="19" t="s">
        <v>108</v>
      </c>
      <c r="C17" s="99">
        <v>4.6859604326945706E-3</v>
      </c>
      <c r="D17" s="99">
        <v>4.6859604326945706E-3</v>
      </c>
      <c r="E17" s="99">
        <v>4.6859604326945706E-3</v>
      </c>
      <c r="F17" s="99">
        <v>4.6859604326945706E-3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5.8536834753466688E-2</v>
      </c>
      <c r="D19" s="99">
        <v>5.8536834753466688E-2</v>
      </c>
      <c r="E19" s="99">
        <v>5.8536834753466688E-2</v>
      </c>
      <c r="F19" s="99">
        <v>5.8536834753466688E-2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0.42620646579798821</v>
      </c>
      <c r="D21" s="99">
        <v>0.42620646579798821</v>
      </c>
      <c r="E21" s="99">
        <v>0.42620646579798821</v>
      </c>
      <c r="F21" s="99">
        <v>0.42620646579798821</v>
      </c>
    </row>
    <row r="22" spans="1:8" ht="15.75" customHeight="1" x14ac:dyDescent="0.25">
      <c r="B22" s="19" t="s">
        <v>113</v>
      </c>
      <c r="C22" s="99">
        <v>0.20723401027837079</v>
      </c>
      <c r="D22" s="99">
        <v>0.20723401027837079</v>
      </c>
      <c r="E22" s="99">
        <v>0.20723401027837079</v>
      </c>
      <c r="F22" s="99">
        <v>0.20723401027837079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6.7517338999999996E-2</v>
      </c>
    </row>
    <row r="27" spans="1:8" ht="15.75" customHeight="1" x14ac:dyDescent="0.25">
      <c r="B27" s="19" t="s">
        <v>120</v>
      </c>
      <c r="C27" s="99">
        <v>2.6177430000000001E-3</v>
      </c>
    </row>
    <row r="28" spans="1:8" ht="15.75" customHeight="1" x14ac:dyDescent="0.25">
      <c r="B28" s="19" t="s">
        <v>121</v>
      </c>
      <c r="C28" s="99">
        <v>0.29081648100000002</v>
      </c>
    </row>
    <row r="29" spans="1:8" ht="15.75" customHeight="1" x14ac:dyDescent="0.25">
      <c r="B29" s="19" t="s">
        <v>122</v>
      </c>
      <c r="C29" s="99">
        <v>0.10208263099999999</v>
      </c>
    </row>
    <row r="30" spans="1:8" ht="15.75" customHeight="1" x14ac:dyDescent="0.25">
      <c r="B30" s="19" t="s">
        <v>2</v>
      </c>
      <c r="C30" s="99">
        <v>2.4702686000000001E-2</v>
      </c>
    </row>
    <row r="31" spans="1:8" ht="15.75" customHeight="1" x14ac:dyDescent="0.25">
      <c r="B31" s="19" t="s">
        <v>123</v>
      </c>
      <c r="C31" s="99">
        <v>4.3597729999999999E-3</v>
      </c>
    </row>
    <row r="32" spans="1:8" ht="15.75" customHeight="1" x14ac:dyDescent="0.25">
      <c r="B32" s="19" t="s">
        <v>124</v>
      </c>
      <c r="C32" s="99">
        <v>0.112627305</v>
      </c>
    </row>
    <row r="33" spans="2:3" ht="15.75" customHeight="1" x14ac:dyDescent="0.25">
      <c r="B33" s="19" t="s">
        <v>125</v>
      </c>
      <c r="C33" s="99">
        <v>0.14088149799999999</v>
      </c>
    </row>
    <row r="34" spans="2:3" ht="15.75" customHeight="1" x14ac:dyDescent="0.25">
      <c r="B34" s="19" t="s">
        <v>126</v>
      </c>
      <c r="C34" s="99">
        <v>0.254394544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CWHgKZAjYbZRrzDJcnUmEtOOCESNwJlIxqNZhvDmj/4r1CXMhoOgRpl5PyE942w6EX0h1nOwwGKUgw6M7q0aeA==" saltValue="1Rog3N6h4xUso56V1CNUe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132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133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137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0.24106760525000001</v>
      </c>
      <c r="D14" s="54">
        <v>0.22647946759500001</v>
      </c>
      <c r="E14" s="54">
        <v>0.22647946759500001</v>
      </c>
      <c r="F14" s="54">
        <v>8.3043017710499989E-2</v>
      </c>
      <c r="G14" s="54">
        <v>8.3043017710499989E-2</v>
      </c>
      <c r="H14" s="45">
        <v>0.32400000000000001</v>
      </c>
      <c r="I14" s="55">
        <v>0.32400000000000001</v>
      </c>
      <c r="J14" s="55">
        <v>0.32400000000000001</v>
      </c>
      <c r="K14" s="55">
        <v>0.32400000000000001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0.15851279849411126</v>
      </c>
      <c r="D15" s="52">
        <f t="shared" si="0"/>
        <v>0.14892044151975428</v>
      </c>
      <c r="E15" s="52">
        <f t="shared" si="0"/>
        <v>0.14892044151975428</v>
      </c>
      <c r="F15" s="52">
        <f t="shared" si="0"/>
        <v>5.4604521080450719E-2</v>
      </c>
      <c r="G15" s="52">
        <f t="shared" si="0"/>
        <v>5.4604521080450719E-2</v>
      </c>
      <c r="H15" s="52">
        <f t="shared" si="0"/>
        <v>0.21304458000000001</v>
      </c>
      <c r="I15" s="52">
        <f t="shared" si="0"/>
        <v>0.21304458000000001</v>
      </c>
      <c r="J15" s="52">
        <f t="shared" si="0"/>
        <v>0.21304458000000001</v>
      </c>
      <c r="K15" s="52">
        <f t="shared" si="0"/>
        <v>0.21304458000000001</v>
      </c>
      <c r="L15" s="52">
        <f t="shared" si="0"/>
        <v>0.17227679000000001</v>
      </c>
      <c r="M15" s="52">
        <f t="shared" si="0"/>
        <v>0.17227679000000001</v>
      </c>
      <c r="N15" s="52">
        <f t="shared" si="0"/>
        <v>0.17227679000000001</v>
      </c>
      <c r="O15" s="52">
        <f t="shared" si="0"/>
        <v>0.17227679000000001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G3xMoAupqkoLBGfEDAfF0kOaZeOExIqck1nrnVpVaQC6DwwuVkId6NFPc0elPtigGQST1z1JcYbGmIfZuE6MA==" saltValue="E3woR4VCN160Ru3i8Pdj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G6avpn3UF5PCicvsZ9KRyzKOdWS5IylO/NupT6rXvG+m8GsdvODU2IyUnMg3eM30zKkUy4zqnqUqxBo4StWTGg==" saltValue="hra8J4qJd8gkipKTqcxvy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9hwk/e5piF96TztAwlMSPBiLT1AZSy37ZS7n+n+v+pnCeiyHCFugRYzSxdODp0UtfpPAuz5HQ4Kbxv2EPyN1w==" saltValue="56QwGhgp47V+de/sUA57o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12720.2163182363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0.51402000000000003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0.70909000000000011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1.5439618538584325E-2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99209.966799999995</v>
      </c>
      <c r="C22" s="107">
        <v>99118.246459999995</v>
      </c>
      <c r="D22" s="107">
        <v>99022.101850000006</v>
      </c>
      <c r="E22" s="107">
        <v>98844.161110000001</v>
      </c>
      <c r="F22" s="107">
        <v>98566.329459999994</v>
      </c>
      <c r="G22" s="107">
        <v>98265.431519999998</v>
      </c>
      <c r="H22" s="107">
        <v>97848.814899999998</v>
      </c>
      <c r="I22" s="107">
        <v>97243.326990000001</v>
      </c>
      <c r="J22" s="107">
        <v>96337.457240000003</v>
      </c>
      <c r="K22" s="107">
        <v>95149.884640000004</v>
      </c>
      <c r="L22" s="107">
        <v>93288.180110000001</v>
      </c>
      <c r="M22" s="107">
        <v>90442.844150000004</v>
      </c>
      <c r="N22" s="107">
        <v>86031.172070000001</v>
      </c>
      <c r="O22" s="107">
        <v>79308.786040000006</v>
      </c>
    </row>
  </sheetData>
  <sheetProtection algorithmName="SHA-512" hashValue="9jPpqoDsDpsSAoZ2+kDlCPz4Tz5Ih1+NmoLwSbuFPh1DjeL+mxU2KquOtCgjkdNrcaLey+nP13p/GbHftkNSqA==" saltValue="TJ6ag70fgGWMWZ/7ou7O9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VICPiA1AIOlpznX6SJKPnFauUVEWWD33uRRhREdD+UHShga6vFA/xa3pnrzo/gW0hPtzlZIxOiMCjEEzyBcRIw==" saltValue="cwh0fCZ39dBYilLDDmWDT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/3T3fzJmI6XiZ+uhnZehW6DuhDrZT9Rab+sJEHJjpW0AE09mUrIJYUyguQUEkTK9GOeIfIBy8hBNExksmotJCw==" saltValue="gjTsJdIc1QIiKPgqd8SPO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3.1156800607451971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2.1597550386681101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0.25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13.58131551799676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13.58131551799676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13.58131551799676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13.58131551799676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13.58131551799676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13.58131551799676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1.7000977777777799E-3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</v>
      </c>
      <c r="C19" s="96">
        <v>0.95</v>
      </c>
      <c r="D19" s="56">
        <v>18.60707793325918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4.6350477086017117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0.70933694079999998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0.40699999999999997</v>
      </c>
      <c r="C29" s="96">
        <v>0.95</v>
      </c>
      <c r="D29" s="56">
        <v>33.321934882307978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53.05041964170676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0.97206789999999998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0.85931000000000002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3dU1Tt2mO51IHh8KHePseYzC3htk1bY/238vZXcico0GzM2YwbpUTJBQQEj4SoAig0b/HyJ6s64REdAAChZ1ng==" saltValue="gYrvB+MA8TYMBha4fLYL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2nwCGaOLraVZE7rN/PowqpV8MucGIfVS1W5blVCysUrLUSoMBOzVPJGm41FCcAhWVvR/TVX2fKsAsR6zpIULYA==" saltValue="05F20zfHSTN1LJoVAs+Ow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LS+zz1VrK0aLWrS/13tBEywcFrOYKhwxX+rwBZ2Nh4mtphVQoJpH6V/QRddjNZsD0DiE1F0Smkjht01IarCGQ==" saltValue="PjuxIwJUNnFF/ky6PJ9J8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238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237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Fn66JPnHYRLRkVlD+lM6HClPt5xKsGG7C4BJJ1psPGFkrmmACzL2gbRQDdnXd7jOUnu/yjdBsd814+mut3/Hyw==" saltValue="970hH7XGPtkbWXVEDEWFq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5.0000000000000001E-3</v>
      </c>
      <c r="F2" s="60">
        <f>food_insecure</f>
        <v>5.0000000000000001E-3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5.0000000000000001E-3</v>
      </c>
      <c r="F5" s="60">
        <f>food_insecure</f>
        <v>5.0000000000000001E-3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5.0000000000000001E-3</v>
      </c>
      <c r="F8" s="60">
        <f>food_insecure</f>
        <v>5.0000000000000001E-3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5.0000000000000001E-3</v>
      </c>
      <c r="F9" s="60">
        <f>food_insecure</f>
        <v>5.0000000000000001E-3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5.0000000000000001E-3</v>
      </c>
      <c r="I15" s="60">
        <f t="shared" si="0"/>
        <v>5.0000000000000001E-3</v>
      </c>
      <c r="J15" s="60">
        <f t="shared" si="0"/>
        <v>5.0000000000000001E-3</v>
      </c>
      <c r="K15" s="60">
        <f t="shared" si="0"/>
        <v>5.0000000000000001E-3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5.0000000000000001E-3</v>
      </c>
      <c r="I16" s="60">
        <f t="shared" si="0"/>
        <v>5.0000000000000001E-3</v>
      </c>
      <c r="J16" s="60">
        <f t="shared" si="0"/>
        <v>5.0000000000000001E-3</v>
      </c>
      <c r="K16" s="60">
        <f t="shared" si="0"/>
        <v>5.0000000000000001E-3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9.1292583364080013E-2</v>
      </c>
      <c r="M25" s="60">
        <f>(1-food_insecure)*(0.49)+food_insecure*(0.7)</f>
        <v>0.49104999999999999</v>
      </c>
      <c r="N25" s="60">
        <f>(1-food_insecure)*(0.49)+food_insecure*(0.7)</f>
        <v>0.49104999999999999</v>
      </c>
      <c r="O25" s="60">
        <f>(1-food_insecure)*(0.49)+food_insecure*(0.7)</f>
        <v>0.49104999999999999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3.9125392870320005E-2</v>
      </c>
      <c r="M26" s="60">
        <f>(1-food_insecure)*(0.21)+food_insecure*(0.3)</f>
        <v>0.21045</v>
      </c>
      <c r="N26" s="60">
        <f>(1-food_insecure)*(0.21)+food_insecure*(0.3)</f>
        <v>0.21045</v>
      </c>
      <c r="O26" s="60">
        <f>(1-food_insecure)*(0.21)+food_insecure*(0.3)</f>
        <v>0.21045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5.5495033365600001E-2</v>
      </c>
      <c r="M27" s="60">
        <f>(1-food_insecure)*(0.3)</f>
        <v>0.29849999999999999</v>
      </c>
      <c r="N27" s="60">
        <f>(1-food_insecure)*(0.3)</f>
        <v>0.29849999999999999</v>
      </c>
      <c r="O27" s="60">
        <f>(1-food_insecure)*(0.3)</f>
        <v>0.29849999999999999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9NhZAQidHmqjz7VibQZTDHbov/G9zelKIJRwf9UmgcKTdw1UXuwQ9X1S8MTf4hE/SiW3+s7j0YDyo/Q1tBk0zw==" saltValue="fInRZ3q1iMBSxM80FEruV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aWDTC+VoSDlKUZ9YFWreV/SmokPclUwvbIJOoSB1zRLvFowl5E1+Kohr2AU0cVcdAF4QTbvBaXhMbOZH2oVfuw==" saltValue="ffxMTrVadhlQ+uvbH60dy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dKTLBFptahiMxCekmuGyY0odz0nPpul9bnZzwZW0bpIQhPpmZfmIMjRJXXgul+ojvTA/v1k+GVp1c4IxLXvqQ==" saltValue="9GEgEqkX2eDQIkJaZiIka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78Zr7YGQzk2wEODDr0ZEJDY/ysI8E150W2G2MJqj4Tn0TNjK5/EI2C7z7qzn2I1UpTj9rUYMP8fc2O3E2DJiA==" saltValue="E1ut3DWhJd7EmWCr/4XPf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UJYmbxQ2G4sCJQNW7buGTb8P6+v5RKkZI3dgzSTrQAOHySZYHcuximn6TtNAnPYZh0eHUCfrAbA9f3O1oWdr6w==" saltValue="hl4X3I2nZ0Vc2WwEFbTK6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7Lkla41UOFGoTuTuibjI81AgHnCeCxg/IW/Rcm89L/tMXOClT6FZfRFWZqrv1wrkPg8bFOTB7hGB+LV0j16NUg==" saltValue="U62l0CdcBouhTjB23fvOj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3+LSdH2ARgmq4MlhY8neRPagPMAV+OVGEnAhlxryPFNQ2LaEoxpH4E0WSIkHrqcjj0F2Jf/29ry0s5S/qZfJg==" saltValue="4MLBqfbm9tA8T3588zvFh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Eh+iy9yk04ETYGdxb0HTz9ycuYW5IDw8EdGp7kyHN+djadKQ1rjVExEIkyVnc9pa5qVcJ0zceDQBOTq79KrdfA==" saltValue="eILQVKv/u8fupgsdCwLe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DuLK6PSi6h2QqmbSVYoURTfFsA1PQWZ0ERzvnEcbgbXx0ijPWmN8qMbUMlUCGMkbaSBlPSDOLqN2a5d6y1waSg==" saltValue="J/EDtq+5WWaw35eKt1G0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Yg7TTKb2cdeFi7tlK458a/hzXyoUwLc+EDFLMer6MuEr59xmRqCifGwhJVuQPF/kSOoaZc5dL4GigSqmPYQ8w==" saltValue="9A11vTgkp1OqfZMqnTNL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3CX4Pz0os6JamxyHPrfEwG/5WzP/aOcTUnFs5A9Hjk9UMysxvBEhNRhCN9CHER5Gw2gUHYMSdMum4Wg8bufWzA==" saltValue="NkRND+BFsI4D6haxsucF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FXOAu/5XxaH2Ae+s3vQIXVNw4yXscMNoulbaexAa14VMZq5w29joDAg9bvEwDRJl/hjC9iLqjDlvk7hJWOtKw==" saltValue="JxP9IKX07oA3Yur/TdPa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Lecbr6dIFbzkyedq9tczr/rO3DqG910r3i887B2M11cKMuj7o6y2Kty/ROs+YAVPjFMVPJrWglqP47kV0NrBw==" saltValue="K1wDBPyAFd02yCoYqCuU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T8L+F664YPNnLQY4zXEbeLih7O2iRyqe2Kt/SW/J9RZnCmSkBFc/accKcAkAMrjHuqUB08gxCgMMbAWr0cjsBA==" saltValue="2cR+9bwwU9mQfzP5qsHJ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7g7SOOsCTFdwJ87aaooPSMGWaLINRHRW7jP+v/SwZSTM0pmyiD5KZl/5G0LvrNXUv2YxlxFs6mDeGsYz5e5ubQ==" saltValue="YIHeS3RW5+4f8FZtiuC3c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2026-04-29T05:05:19Z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