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2098DED8-D628-4E6C-8E7B-3F903AD999F0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I6" i="2" s="1"/>
  <c r="H5" i="2"/>
  <c r="G5" i="2"/>
  <c r="H4" i="2"/>
  <c r="G4" i="2"/>
  <c r="H3" i="2"/>
  <c r="G3" i="2"/>
  <c r="H2" i="2"/>
  <c r="G2" i="2"/>
  <c r="I2" i="2" s="1"/>
  <c r="A2" i="2"/>
  <c r="A39" i="2" s="1"/>
  <c r="C33" i="1"/>
  <c r="C20" i="1"/>
  <c r="A19" i="2" l="1"/>
  <c r="A24" i="2"/>
  <c r="A35" i="2"/>
  <c r="I4" i="2"/>
  <c r="I8" i="2"/>
  <c r="I12" i="2"/>
  <c r="A25" i="2"/>
  <c r="A26" i="2"/>
  <c r="I39" i="2"/>
  <c r="A31" i="2"/>
  <c r="A34" i="2"/>
  <c r="A40" i="2"/>
  <c r="A22" i="2"/>
  <c r="A36" i="2"/>
  <c r="I3" i="2"/>
  <c r="I7" i="2"/>
  <c r="I11" i="2"/>
  <c r="A23" i="2"/>
  <c r="A37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<sst xmlns="http://schemas.openxmlformats.org/spreadsheetml/2006/main" count="2159" uniqueCount="368">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</sst>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53370</v>
      </c>
    </row>
    <row r="8" spans="1:3" ht="15" customHeight="1" x14ac:dyDescent="0.25">
      <c r="B8" s="5" t="s">
        <v>37</v>
      </c>
      <c r="C8" s="44">
        <v>0.23400000000000001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0.63960079999999997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0.28432334450000002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9.8800000000000013E-2</v>
      </c>
    </row>
    <row r="24" spans="1:3" ht="15" customHeight="1" x14ac:dyDescent="0.25">
      <c r="B24" s="15" t="s">
        <v>51</v>
      </c>
      <c r="C24" s="45">
        <v>0.50419999999999998</v>
      </c>
    </row>
    <row r="25" spans="1:3" ht="15" customHeight="1" x14ac:dyDescent="0.25">
      <c r="B25" s="15" t="s">
        <v>52</v>
      </c>
      <c r="C25" s="45">
        <v>0.33889999999999998</v>
      </c>
    </row>
    <row r="26" spans="1:3" ht="15" customHeight="1" x14ac:dyDescent="0.25">
      <c r="B26" s="15" t="s">
        <v>53</v>
      </c>
      <c r="C26" s="45">
        <v>5.8099999999999999E-2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0.34994163924792399</v>
      </c>
    </row>
    <row r="30" spans="1:3" ht="14.25" customHeight="1" x14ac:dyDescent="0.25">
      <c r="B30" s="25" t="s">
        <v>56</v>
      </c>
      <c r="C30" s="99">
        <v>0.10516916316476101</v>
      </c>
    </row>
    <row r="31" spans="1:3" ht="14.25" customHeight="1" x14ac:dyDescent="0.25">
      <c r="B31" s="25" t="s">
        <v>57</v>
      </c>
      <c r="C31" s="99">
        <v>8.4505866375242988E-2</v>
      </c>
    </row>
    <row r="32" spans="1:3" ht="14.25" customHeight="1" x14ac:dyDescent="0.25">
      <c r="B32" s="25" t="s">
        <v>58</v>
      </c>
      <c r="C32" s="99">
        <v>0.46038333121207198</v>
      </c>
    </row>
    <row r="33" spans="1:5" ht="13.25" customHeight="1" x14ac:dyDescent="0.25">
      <c r="B33" s="27" t="s">
        <v>59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10.659739999999999</v>
      </c>
    </row>
    <row r="38" spans="1:5" ht="15" customHeight="1" x14ac:dyDescent="0.25">
      <c r="B38" s="11" t="s">
        <v>63</v>
      </c>
      <c r="C38" s="43">
        <v>15.35069</v>
      </c>
      <c r="D38" s="12"/>
      <c r="E38" s="13"/>
    </row>
    <row r="39" spans="1:5" ht="15" customHeight="1" x14ac:dyDescent="0.25">
      <c r="B39" s="11" t="s">
        <v>64</v>
      </c>
      <c r="C39" s="43">
        <v>17.175809999999998</v>
      </c>
      <c r="D39" s="12"/>
      <c r="E39" s="12"/>
    </row>
    <row r="40" spans="1:5" ht="15" customHeight="1" x14ac:dyDescent="0.25">
      <c r="B40" s="11" t="s">
        <v>65</v>
      </c>
      <c r="C40" s="100">
        <v>0.96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10.94176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1.09351E-2</v>
      </c>
      <c r="D45" s="12"/>
    </row>
    <row r="46" spans="1:5" ht="15.75" customHeight="1" x14ac:dyDescent="0.25">
      <c r="B46" s="11" t="s">
        <v>70</v>
      </c>
      <c r="C46" s="45">
        <v>0.1174965</v>
      </c>
      <c r="D46" s="12"/>
    </row>
    <row r="47" spans="1:5" ht="15.75" customHeight="1" x14ac:dyDescent="0.25">
      <c r="B47" s="11" t="s">
        <v>71</v>
      </c>
      <c r="C47" s="45">
        <v>7.0600399999999994E-2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3.2</v>
      </c>
      <c r="D51" s="12"/>
    </row>
    <row r="52" spans="1:4" ht="15" customHeight="1" x14ac:dyDescent="0.25">
      <c r="B52" s="11" t="s">
        <v>75</v>
      </c>
      <c r="C52" s="100">
        <v>3.2</v>
      </c>
    </row>
    <row r="53" spans="1:4" ht="15.75" customHeight="1" x14ac:dyDescent="0.25">
      <c r="B53" s="11" t="s">
        <v>76</v>
      </c>
      <c r="C53" s="100">
        <v>3.2</v>
      </c>
    </row>
    <row r="54" spans="1:4" ht="15.75" customHeight="1" x14ac:dyDescent="0.25">
      <c r="B54" s="11" t="s">
        <v>77</v>
      </c>
      <c r="C54" s="100">
        <v>3.2</v>
      </c>
    </row>
    <row r="55" spans="1:4" ht="15.75" customHeight="1" x14ac:dyDescent="0.25">
      <c r="B55" s="11" t="s">
        <v>78</v>
      </c>
      <c r="C55" s="100">
        <v>3.2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1.9375E-2</v>
      </c>
    </row>
    <row r="59" spans="1:4" ht="15.75" customHeight="1" x14ac:dyDescent="0.25">
      <c r="B59" s="11" t="s">
        <v>81</v>
      </c>
      <c r="C59" s="45">
        <v>0.54960799999999999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0.1646447838</v>
      </c>
    </row>
    <row r="63" spans="1:4" ht="15.75" customHeight="1" x14ac:dyDescent="0.3">
      <c r="A63" s="4"/>
    </row>
  </sheetData>
  <sheetProtection algorithmName="SHA-512" hashValue="/L+HBQS6vcsXX/JDb2/WuJf8403aT4uFbbKZpb1dLLN+qgQvf8mivm4X/6ONw1v132p5G6V1bPfMULOK3gz7Uw==" saltValue="QQU6Pd8fBvK+g/3XJZqmQ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10882</v>
      </c>
      <c r="C2" s="49">
        <v>26824.5</v>
      </c>
      <c r="D2" s="49">
        <v>52665</v>
      </c>
      <c r="E2" s="49">
        <v>42921</v>
      </c>
      <c r="F2" s="49">
        <v>37573.5</v>
      </c>
      <c r="G2" s="17">
        <f t="shared" ref="G2:G13" si="0">C2+D2+E2+F2</f>
        <v>159984</v>
      </c>
      <c r="H2" s="17">
        <f t="shared" ref="H2:H13" si="1">(B2 + stillbirth*B2/(1000-stillbirth))/(1-abortion)</f>
        <v>12502.710751299228</v>
      </c>
      <c r="I2" s="17">
        <f t="shared" ref="I2:I13" si="2">G2-H2</f>
        <v>147481.28924870078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10856</v>
      </c>
      <c r="C3" s="50">
        <v>26888.5</v>
      </c>
      <c r="D3" s="50">
        <v>52995.5</v>
      </c>
      <c r="E3" s="50">
        <v>43207.499999999993</v>
      </c>
      <c r="F3" s="50">
        <v>38182</v>
      </c>
      <c r="G3" s="17">
        <f t="shared" si="0"/>
        <v>161273.5</v>
      </c>
      <c r="H3" s="17">
        <f t="shared" si="1"/>
        <v>12472.838441104981</v>
      </c>
      <c r="I3" s="17">
        <f t="shared" si="2"/>
        <v>148800.66155889502</v>
      </c>
    </row>
    <row r="4" spans="1:9" ht="15.75" customHeight="1" x14ac:dyDescent="0.25">
      <c r="A4" s="5">
        <f t="shared" si="3"/>
        <v>2026</v>
      </c>
      <c r="B4" s="49">
        <v>10815</v>
      </c>
      <c r="C4" s="50">
        <v>26929.5</v>
      </c>
      <c r="D4" s="50">
        <v>53173.500000000007</v>
      </c>
      <c r="E4" s="50">
        <v>43715.5</v>
      </c>
      <c r="F4" s="50">
        <v>38834.5</v>
      </c>
      <c r="G4" s="17">
        <f t="shared" si="0"/>
        <v>162653</v>
      </c>
      <c r="H4" s="17">
        <f t="shared" si="1"/>
        <v>12425.73210579867</v>
      </c>
      <c r="I4" s="17">
        <f t="shared" si="2"/>
        <v>150227.26789420133</v>
      </c>
    </row>
    <row r="5" spans="1:9" ht="15.75" customHeight="1" x14ac:dyDescent="0.25">
      <c r="A5" s="5">
        <f t="shared" si="3"/>
        <v>2027</v>
      </c>
      <c r="B5" s="49">
        <v>10769</v>
      </c>
      <c r="C5" s="50">
        <v>26940</v>
      </c>
      <c r="D5" s="50">
        <v>53242.999999999993</v>
      </c>
      <c r="E5" s="50">
        <v>44423.500000000007</v>
      </c>
      <c r="F5" s="50">
        <v>39442</v>
      </c>
      <c r="G5" s="17">
        <f t="shared" si="0"/>
        <v>164048.5</v>
      </c>
      <c r="H5" s="17">
        <f t="shared" si="1"/>
        <v>12372.881095455006</v>
      </c>
      <c r="I5" s="17">
        <f t="shared" si="2"/>
        <v>151675.618904545</v>
      </c>
    </row>
    <row r="6" spans="1:9" ht="15.75" customHeight="1" x14ac:dyDescent="0.25">
      <c r="A6" s="5">
        <f t="shared" si="3"/>
        <v>2028</v>
      </c>
      <c r="B6" s="49">
        <v>10735</v>
      </c>
      <c r="C6" s="50">
        <v>26951</v>
      </c>
      <c r="D6" s="50">
        <v>53200.500000000007</v>
      </c>
      <c r="E6" s="50">
        <v>45284</v>
      </c>
      <c r="F6" s="50">
        <v>39975.5</v>
      </c>
      <c r="G6" s="17">
        <f t="shared" si="0"/>
        <v>165411</v>
      </c>
      <c r="H6" s="17">
        <f t="shared" si="1"/>
        <v>12333.817305200992</v>
      </c>
      <c r="I6" s="17">
        <f t="shared" si="2"/>
        <v>153077.182694799</v>
      </c>
    </row>
    <row r="7" spans="1:9" ht="15.75" customHeight="1" x14ac:dyDescent="0.25">
      <c r="A7" s="5">
        <f t="shared" si="3"/>
        <v>2029</v>
      </c>
      <c r="B7" s="49">
        <v>10710</v>
      </c>
      <c r="C7" s="50">
        <v>26957</v>
      </c>
      <c r="D7" s="50">
        <v>53024.5</v>
      </c>
      <c r="E7" s="50">
        <v>46252</v>
      </c>
      <c r="F7" s="50">
        <v>40431</v>
      </c>
      <c r="G7" s="17">
        <f t="shared" si="0"/>
        <v>166664.5</v>
      </c>
      <c r="H7" s="17">
        <f t="shared" si="1"/>
        <v>12305.093930014218</v>
      </c>
      <c r="I7" s="17">
        <f t="shared" si="2"/>
        <v>154359.40606998579</v>
      </c>
    </row>
    <row r="8" spans="1:9" ht="15.75" customHeight="1" x14ac:dyDescent="0.25">
      <c r="A8" s="5">
        <f t="shared" si="3"/>
        <v>2030</v>
      </c>
      <c r="B8" s="49">
        <v>10671</v>
      </c>
      <c r="C8" s="50">
        <v>26949</v>
      </c>
      <c r="D8" s="50">
        <v>52743</v>
      </c>
      <c r="E8" s="50">
        <v>47311</v>
      </c>
      <c r="F8" s="50">
        <v>40799.499999999993</v>
      </c>
      <c r="G8" s="17">
        <f t="shared" si="0"/>
        <v>167802.5</v>
      </c>
      <c r="H8" s="17">
        <f t="shared" si="1"/>
        <v>12260.285464722849</v>
      </c>
      <c r="I8" s="17">
        <f t="shared" si="2"/>
        <v>155542.21453527716</v>
      </c>
    </row>
    <row r="9" spans="1:9" ht="15.75" customHeight="1" x14ac:dyDescent="0.25">
      <c r="A9" s="5">
        <f t="shared" si="3"/>
        <v>2031</v>
      </c>
      <c r="B9" s="49">
        <v>10640</v>
      </c>
      <c r="C9" s="50">
        <v>26889</v>
      </c>
      <c r="D9" s="50">
        <v>52425.5</v>
      </c>
      <c r="E9" s="50">
        <v>48403.000000000007</v>
      </c>
      <c r="F9" s="50">
        <v>41077.5</v>
      </c>
      <c r="G9" s="17">
        <f t="shared" si="0"/>
        <v>168795</v>
      </c>
      <c r="H9" s="17">
        <f t="shared" si="1"/>
        <v>12224.668479491249</v>
      </c>
      <c r="I9" s="17">
        <f t="shared" si="2"/>
        <v>156570.33152050874</v>
      </c>
    </row>
    <row r="10" spans="1:9" ht="15.75" customHeight="1" x14ac:dyDescent="0.25">
      <c r="A10" s="5">
        <f t="shared" si="3"/>
        <v>2032</v>
      </c>
      <c r="B10" s="49">
        <v>10599</v>
      </c>
      <c r="C10" s="50">
        <v>26722.5</v>
      </c>
      <c r="D10" s="50">
        <v>52178</v>
      </c>
      <c r="E10" s="50">
        <v>49415.000000000007</v>
      </c>
      <c r="F10" s="50">
        <v>41251.999999999993</v>
      </c>
      <c r="G10" s="17">
        <f t="shared" si="0"/>
        <v>169567.5</v>
      </c>
      <c r="H10" s="17">
        <f t="shared" si="1"/>
        <v>12177.56214418494</v>
      </c>
      <c r="I10" s="17">
        <f t="shared" si="2"/>
        <v>157389.93785581505</v>
      </c>
    </row>
    <row r="11" spans="1:9" ht="15.75" customHeight="1" x14ac:dyDescent="0.25">
      <c r="A11" s="5">
        <f t="shared" si="3"/>
        <v>2033</v>
      </c>
      <c r="B11" s="49">
        <v>10551</v>
      </c>
      <c r="C11" s="50">
        <v>26460.5</v>
      </c>
      <c r="D11" s="50">
        <v>52074.5</v>
      </c>
      <c r="E11" s="50">
        <v>50231.5</v>
      </c>
      <c r="F11" s="50">
        <v>41356.5</v>
      </c>
      <c r="G11" s="17">
        <f t="shared" si="0"/>
        <v>170123</v>
      </c>
      <c r="H11" s="17">
        <f t="shared" si="1"/>
        <v>12122.413263826333</v>
      </c>
      <c r="I11" s="17">
        <f t="shared" si="2"/>
        <v>158000.58673617366</v>
      </c>
    </row>
    <row r="12" spans="1:9" ht="15.75" customHeight="1" x14ac:dyDescent="0.25">
      <c r="A12" s="5">
        <f t="shared" si="3"/>
        <v>2034</v>
      </c>
      <c r="B12" s="49">
        <v>10507</v>
      </c>
      <c r="C12" s="50">
        <v>26168</v>
      </c>
      <c r="D12" s="50">
        <v>52095.5</v>
      </c>
      <c r="E12" s="50">
        <v>50808.499999999993</v>
      </c>
      <c r="F12" s="50">
        <v>41503.5</v>
      </c>
      <c r="G12" s="17">
        <f t="shared" si="0"/>
        <v>170575.5</v>
      </c>
      <c r="H12" s="17">
        <f t="shared" si="1"/>
        <v>12071.860123497609</v>
      </c>
      <c r="I12" s="17">
        <f t="shared" si="2"/>
        <v>158503.63987650239</v>
      </c>
    </row>
    <row r="13" spans="1:9" ht="15.75" customHeight="1" x14ac:dyDescent="0.25">
      <c r="A13" s="5">
        <f t="shared" si="3"/>
        <v>2035</v>
      </c>
      <c r="B13" s="49">
        <v>10464</v>
      </c>
      <c r="C13" s="50">
        <v>25897.5</v>
      </c>
      <c r="D13" s="50">
        <v>52168.499999999993</v>
      </c>
      <c r="E13" s="50">
        <v>51164.500000000007</v>
      </c>
      <c r="F13" s="50">
        <v>41812</v>
      </c>
      <c r="G13" s="17">
        <f t="shared" si="0"/>
        <v>171042.5</v>
      </c>
      <c r="H13" s="17">
        <f t="shared" si="1"/>
        <v>12022.455918176356</v>
      </c>
      <c r="I13" s="17">
        <f t="shared" si="2"/>
        <v>159020.04408182364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xNg2Z19YP5Ugr7I/D0GVQ6kZfJlAHmtsWG7ib4h/Hk6Utx1LpkNfI8JaBr3H8cYBsVKsQw0eh/bfepVghpuvQQ==" saltValue="nOZCPk2HqGTfRarITYy2f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101">
        <v>0.15451909999999969</v>
      </c>
    </row>
    <row r="5" spans="1:8" ht="15.75" customHeight="1" x14ac:dyDescent="0.25">
      <c r="B5" s="19" t="s">
        <v>98</v>
      </c>
      <c r="C5" s="101">
        <v>4.2198999999999926E-3</v>
      </c>
    </row>
    <row r="6" spans="1:8" ht="15.75" customHeight="1" x14ac:dyDescent="0.25">
      <c r="B6" s="19" t="s">
        <v>99</v>
      </c>
      <c r="C6" s="101">
        <v>0.19492200000000021</v>
      </c>
    </row>
    <row r="7" spans="1:8" ht="15.75" customHeight="1" x14ac:dyDescent="0.25">
      <c r="B7" s="19" t="s">
        <v>100</v>
      </c>
      <c r="C7" s="101">
        <v>0.42669009999999979</v>
      </c>
    </row>
    <row r="8" spans="1:8" ht="15.75" customHeight="1" x14ac:dyDescent="0.25">
      <c r="B8" s="19" t="s">
        <v>101</v>
      </c>
      <c r="C8" s="101">
        <v>0</v>
      </c>
    </row>
    <row r="9" spans="1:8" ht="15.75" customHeight="1" x14ac:dyDescent="0.25">
      <c r="B9" s="19" t="s">
        <v>102</v>
      </c>
      <c r="C9" s="101">
        <v>0.16146820000000039</v>
      </c>
    </row>
    <row r="10" spans="1:8" ht="15.75" customHeight="1" x14ac:dyDescent="0.25">
      <c r="B10" s="19" t="s">
        <v>103</v>
      </c>
      <c r="C10" s="101">
        <v>5.8180699999999898E-2</v>
      </c>
    </row>
    <row r="11" spans="1:8" ht="15.75" customHeight="1" x14ac:dyDescent="0.25">
      <c r="B11" s="27" t="s">
        <v>59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6.2116492322683313E-2</v>
      </c>
      <c r="D14" s="55">
        <v>6.2116492322683313E-2</v>
      </c>
      <c r="E14" s="55">
        <v>6.2116492322683313E-2</v>
      </c>
      <c r="F14" s="55">
        <v>6.2116492322683313E-2</v>
      </c>
    </row>
    <row r="15" spans="1:8" ht="15.75" customHeight="1" x14ac:dyDescent="0.25">
      <c r="B15" s="19" t="s">
        <v>106</v>
      </c>
      <c r="C15" s="101">
        <v>0.29688997844133608</v>
      </c>
      <c r="D15" s="101">
        <v>0.29688997844133608</v>
      </c>
      <c r="E15" s="101">
        <v>0.29688997844133608</v>
      </c>
      <c r="F15" s="101">
        <v>0.29688997844133608</v>
      </c>
    </row>
    <row r="16" spans="1:8" ht="15.75" customHeight="1" x14ac:dyDescent="0.25">
      <c r="B16" s="19" t="s">
        <v>107</v>
      </c>
      <c r="C16" s="101">
        <v>5.627712966098989E-2</v>
      </c>
      <c r="D16" s="101">
        <v>5.627712966098989E-2</v>
      </c>
      <c r="E16" s="101">
        <v>5.627712966098989E-2</v>
      </c>
      <c r="F16" s="101">
        <v>5.627712966098989E-2</v>
      </c>
    </row>
    <row r="17" spans="1:8" ht="15.75" customHeight="1" x14ac:dyDescent="0.25">
      <c r="B17" s="19" t="s">
        <v>108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109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110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111</v>
      </c>
      <c r="C20" s="101">
        <v>6.7017783841196291E-2</v>
      </c>
      <c r="D20" s="101">
        <v>6.7017783841196291E-2</v>
      </c>
      <c r="E20" s="101">
        <v>6.7017783841196291E-2</v>
      </c>
      <c r="F20" s="101">
        <v>6.7017783841196291E-2</v>
      </c>
    </row>
    <row r="21" spans="1:8" ht="15.75" customHeight="1" x14ac:dyDescent="0.25">
      <c r="B21" s="19" t="s">
        <v>112</v>
      </c>
      <c r="C21" s="101">
        <v>0.38511254926272848</v>
      </c>
      <c r="D21" s="101">
        <v>0.38511254926272848</v>
      </c>
      <c r="E21" s="101">
        <v>0.38511254926272848</v>
      </c>
      <c r="F21" s="101">
        <v>0.38511254926272848</v>
      </c>
    </row>
    <row r="22" spans="1:8" ht="15.75" customHeight="1" x14ac:dyDescent="0.25">
      <c r="B22" s="19" t="s">
        <v>113</v>
      </c>
      <c r="C22" s="101">
        <v>0.13258606647106591</v>
      </c>
      <c r="D22" s="101">
        <v>0.13258606647106591</v>
      </c>
      <c r="E22" s="101">
        <v>0.13258606647106591</v>
      </c>
      <c r="F22" s="101">
        <v>0.13258606647106591</v>
      </c>
    </row>
    <row r="23" spans="1:8" ht="15.75" customHeight="1" x14ac:dyDescent="0.25">
      <c r="B23" s="27" t="s">
        <v>59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5.7343604999999999E-2</v>
      </c>
    </row>
    <row r="27" spans="1:8" ht="15.75" customHeight="1" x14ac:dyDescent="0.25">
      <c r="B27" s="19" t="s">
        <v>120</v>
      </c>
      <c r="C27" s="101">
        <v>1.4167997E-2</v>
      </c>
    </row>
    <row r="28" spans="1:8" ht="15.75" customHeight="1" x14ac:dyDescent="0.25">
      <c r="B28" s="19" t="s">
        <v>121</v>
      </c>
      <c r="C28" s="101">
        <v>0.101559973</v>
      </c>
    </row>
    <row r="29" spans="1:8" ht="15.75" customHeight="1" x14ac:dyDescent="0.25">
      <c r="B29" s="19" t="s">
        <v>122</v>
      </c>
      <c r="C29" s="101">
        <v>0.21960849700000001</v>
      </c>
    </row>
    <row r="30" spans="1:8" ht="15.75" customHeight="1" x14ac:dyDescent="0.25">
      <c r="B30" s="19" t="s">
        <v>2</v>
      </c>
      <c r="C30" s="101">
        <v>5.5062585999999997E-2</v>
      </c>
    </row>
    <row r="31" spans="1:8" ht="15.75" customHeight="1" x14ac:dyDescent="0.25">
      <c r="B31" s="19" t="s">
        <v>123</v>
      </c>
      <c r="C31" s="101">
        <v>0.14229177300000001</v>
      </c>
    </row>
    <row r="32" spans="1:8" ht="15.75" customHeight="1" x14ac:dyDescent="0.25">
      <c r="B32" s="19" t="s">
        <v>124</v>
      </c>
      <c r="C32" s="101">
        <v>3.0837276E-2</v>
      </c>
    </row>
    <row r="33" spans="2:3" ht="15.75" customHeight="1" x14ac:dyDescent="0.25">
      <c r="B33" s="19" t="s">
        <v>125</v>
      </c>
      <c r="C33" s="101">
        <v>8.2024560999999996E-2</v>
      </c>
    </row>
    <row r="34" spans="2:3" ht="15.75" customHeight="1" x14ac:dyDescent="0.25">
      <c r="B34" s="19" t="s">
        <v>126</v>
      </c>
      <c r="C34" s="101">
        <v>0.29710373299999998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MLSu9dZNrAj1n3yX0voPw33oLWj/xzl/madl0JhIOjHMTFVz5PKDhvHb25JROepWuh2MfiCrqDkGwpXaZilzUA==" saltValue="x+uf8itA8CD3g8GCWTd37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0.71787283692135273</v>
      </c>
      <c r="D2" s="52">
        <f>IFERROR(1-_xlfn.NORM.DIST(_xlfn.NORM.INV(SUM(D4:D5), 0, 1) + 1, 0, 1, TRUE), "")</f>
        <v>0.71787283692135273</v>
      </c>
      <c r="E2" s="52">
        <f>IFERROR(1-_xlfn.NORM.DIST(_xlfn.NORM.INV(SUM(E4:E5), 0, 1) + 1, 0, 1, TRUE), "")</f>
        <v>0.78835830343249902</v>
      </c>
      <c r="F2" s="52">
        <f>IFERROR(1-_xlfn.NORM.DIST(_xlfn.NORM.INV(SUM(F4:F5), 0, 1) + 1, 0, 1, TRUE), "")</f>
        <v>0.66194727070227766</v>
      </c>
      <c r="G2" s="52">
        <f>IFERROR(1-_xlfn.NORM.DIST(_xlfn.NORM.INV(SUM(G4:G5), 0, 1) + 1, 0, 1, TRUE), "")</f>
        <v>0.61735896378344113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0.22467576307864728</v>
      </c>
      <c r="D3" s="52">
        <f>IFERROR(_xlfn.NORM.DIST(_xlfn.NORM.INV(SUM(D4:D5), 0, 1) + 1, 0, 1, TRUE) - SUM(D4:D5), "")</f>
        <v>0.22467576307864728</v>
      </c>
      <c r="E3" s="52">
        <f>IFERROR(_xlfn.NORM.DIST(_xlfn.NORM.INV(SUM(E4:E5), 0, 1) + 1, 0, 1, TRUE) - SUM(E4:E5), "")</f>
        <v>0.17576959656750102</v>
      </c>
      <c r="F3" s="52">
        <f>IFERROR(_xlfn.NORM.DIST(_xlfn.NORM.INV(SUM(F4:F5), 0, 1) + 1, 0, 1, TRUE) - SUM(F4:F5), "")</f>
        <v>0.25992572929772234</v>
      </c>
      <c r="G3" s="52">
        <f>IFERROR(_xlfn.NORM.DIST(_xlfn.NORM.INV(SUM(G4:G5), 0, 1) + 1, 0, 1, TRUE) - SUM(G4:G5), "")</f>
        <v>0.28559213621655893</v>
      </c>
    </row>
    <row r="4" spans="1:15" ht="15.75" customHeight="1" x14ac:dyDescent="0.25">
      <c r="B4" s="5" t="s">
        <v>132</v>
      </c>
      <c r="C4" s="45">
        <v>4.59643E-2</v>
      </c>
      <c r="D4" s="53">
        <v>4.59643E-2</v>
      </c>
      <c r="E4" s="53">
        <v>1.7641E-2</v>
      </c>
      <c r="F4" s="53">
        <v>6.0780500000000001E-2</v>
      </c>
      <c r="G4" s="53">
        <v>7.2927099999999995E-2</v>
      </c>
    </row>
    <row r="5" spans="1:15" ht="15.75" customHeight="1" x14ac:dyDescent="0.25">
      <c r="B5" s="5" t="s">
        <v>133</v>
      </c>
      <c r="C5" s="45">
        <v>1.14871E-2</v>
      </c>
      <c r="D5" s="53">
        <v>1.14871E-2</v>
      </c>
      <c r="E5" s="53">
        <v>1.82311E-2</v>
      </c>
      <c r="F5" s="53">
        <v>1.7346500000000001E-2</v>
      </c>
      <c r="G5" s="53">
        <v>2.4121799999999999E-2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0.69811782303108516</v>
      </c>
      <c r="D8" s="52">
        <f>IFERROR(1-_xlfn.NORM.DIST(_xlfn.NORM.INV(SUM(D10:D11), 0, 1) + 1, 0, 1, TRUE), "")</f>
        <v>0.69811782303108516</v>
      </c>
      <c r="E8" s="52">
        <f>IFERROR(1-_xlfn.NORM.DIST(_xlfn.NORM.INV(SUM(E10:E11), 0, 1) + 1, 0, 1, TRUE), "")</f>
        <v>0.64641386601512119</v>
      </c>
      <c r="F8" s="52">
        <f>IFERROR(1-_xlfn.NORM.DIST(_xlfn.NORM.INV(SUM(F10:F11), 0, 1) + 1, 0, 1, TRUE), "")</f>
        <v>0.69113126197764607</v>
      </c>
      <c r="G8" s="52">
        <f>IFERROR(1-_xlfn.NORM.DIST(_xlfn.NORM.INV(SUM(G10:G11), 0, 1) + 1, 0, 1, TRUE), "")</f>
        <v>0.75698353047258626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0.23750027696891479</v>
      </c>
      <c r="D9" s="52">
        <f>IFERROR(_xlfn.NORM.DIST(_xlfn.NORM.INV(SUM(D10:D11), 0, 1) + 1, 0, 1, TRUE) - SUM(D10:D11), "")</f>
        <v>0.23750027696891479</v>
      </c>
      <c r="E9" s="52">
        <f>IFERROR(_xlfn.NORM.DIST(_xlfn.NORM.INV(SUM(E10:E11), 0, 1) + 1, 0, 1, TRUE) - SUM(E10:E11), "")</f>
        <v>0.26912213398487883</v>
      </c>
      <c r="F9" s="52">
        <f>IFERROR(_xlfn.NORM.DIST(_xlfn.NORM.INV(SUM(F10:F11), 0, 1) + 1, 0, 1, TRUE) - SUM(F10:F11), "")</f>
        <v>0.24193963802235391</v>
      </c>
      <c r="G9" s="52">
        <f>IFERROR(_xlfn.NORM.DIST(_xlfn.NORM.INV(SUM(G10:G11), 0, 1) + 1, 0, 1, TRUE) - SUM(G10:G11), "")</f>
        <v>0.19813336952741373</v>
      </c>
    </row>
    <row r="10" spans="1:15" ht="15.75" customHeight="1" x14ac:dyDescent="0.25">
      <c r="B10" s="5" t="s">
        <v>137</v>
      </c>
      <c r="C10" s="45">
        <v>4.1086900000000003E-2</v>
      </c>
      <c r="D10" s="53">
        <v>4.1086900000000003E-2</v>
      </c>
      <c r="E10" s="53">
        <v>7.7459300000000009E-2</v>
      </c>
      <c r="F10" s="53">
        <v>4.8488900000000001E-2</v>
      </c>
      <c r="G10" s="53">
        <v>3.8238800000000003E-2</v>
      </c>
    </row>
    <row r="11" spans="1:15" ht="15.75" customHeight="1" x14ac:dyDescent="0.25">
      <c r="B11" s="5" t="s">
        <v>138</v>
      </c>
      <c r="C11" s="45">
        <v>2.3295E-2</v>
      </c>
      <c r="D11" s="53">
        <v>2.3295E-2</v>
      </c>
      <c r="E11" s="53">
        <v>7.0047E-3</v>
      </c>
      <c r="F11" s="53">
        <v>1.84402E-2</v>
      </c>
      <c r="G11" s="53">
        <v>6.6442999999999997E-3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0.40415045649999998</v>
      </c>
      <c r="D14" s="54">
        <v>0.37718054182999999</v>
      </c>
      <c r="E14" s="54">
        <v>0.37718054182999999</v>
      </c>
      <c r="F14" s="54">
        <v>0.19508714863900001</v>
      </c>
      <c r="G14" s="54">
        <v>0.19508714863900001</v>
      </c>
      <c r="H14" s="45">
        <v>0.30299999999999999</v>
      </c>
      <c r="I14" s="55">
        <v>0.30299999999999999</v>
      </c>
      <c r="J14" s="55">
        <v>0.30299999999999999</v>
      </c>
      <c r="K14" s="55">
        <v>0.30299999999999999</v>
      </c>
      <c r="L14" s="45">
        <v>0.23799999999999999</v>
      </c>
      <c r="M14" s="55">
        <v>0.23799999999999999</v>
      </c>
      <c r="N14" s="55">
        <v>0.23799999999999999</v>
      </c>
      <c r="O14" s="55">
        <v>0.23799999999999999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0.22212432409605198</v>
      </c>
      <c r="D15" s="52">
        <f t="shared" si="0"/>
        <v>0.20730144323410263</v>
      </c>
      <c r="E15" s="52">
        <f t="shared" si="0"/>
        <v>0.20730144323410263</v>
      </c>
      <c r="F15" s="52">
        <f t="shared" si="0"/>
        <v>0.10722145758918351</v>
      </c>
      <c r="G15" s="52">
        <f t="shared" si="0"/>
        <v>0.10722145758918351</v>
      </c>
      <c r="H15" s="52">
        <f t="shared" si="0"/>
        <v>0.16653122399999998</v>
      </c>
      <c r="I15" s="52">
        <f t="shared" si="0"/>
        <v>0.16653122399999998</v>
      </c>
      <c r="J15" s="52">
        <f t="shared" si="0"/>
        <v>0.16653122399999998</v>
      </c>
      <c r="K15" s="52">
        <f t="shared" si="0"/>
        <v>0.16653122399999998</v>
      </c>
      <c r="L15" s="52">
        <f t="shared" si="0"/>
        <v>0.130806704</v>
      </c>
      <c r="M15" s="52">
        <f t="shared" si="0"/>
        <v>0.130806704</v>
      </c>
      <c r="N15" s="52">
        <f t="shared" si="0"/>
        <v>0.130806704</v>
      </c>
      <c r="O15" s="52">
        <f t="shared" si="0"/>
        <v>0.130806704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DtgwdgQ8gNpefCNeHWTJ80YmVodTePyp7yUeKGLaxeNYIW/Q1608U7lGcwmJkI4wAjWewKO56cIpDN2VDw/sOw==" saltValue="HfGIU4GoV+FgG6k9OaDhK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0.16455739999999999</v>
      </c>
      <c r="D2" s="53">
        <v>7.7588900000000002E-2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0.2648297</v>
      </c>
      <c r="D3" s="53">
        <v>0.15188209999999999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0.38233679999999998</v>
      </c>
      <c r="D4" s="53">
        <v>0.48935740000000011</v>
      </c>
      <c r="E4" s="53">
        <v>0.47310200000000002</v>
      </c>
      <c r="F4" s="53">
        <v>0.22597100000000001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0.18827609999999995</v>
      </c>
      <c r="D5" s="52">
        <f t="shared" si="0"/>
        <v>0.28117159999999997</v>
      </c>
      <c r="E5" s="52">
        <f>1-SUM(E2:E4)</f>
        <v>0.52689799999999998</v>
      </c>
      <c r="F5" s="52">
        <f>1-SUM(F2:F4)</f>
        <v>0.77402899999999997</v>
      </c>
      <c r="G5" s="52">
        <f>1-SUM(G2:G4)</f>
        <v>1</v>
      </c>
    </row>
  </sheetData>
  <sheetProtection algorithmName="SHA-512" hashValue="unqEZgU8i9pbvfiAhu5cNgVZzFgYGoa6vcebuvmEwGhB5QOT2tKbKQNb3fI+o2/d2SCJmkzRLRnU+SHGhhz8Yg==" saltValue="m4BLjf3Oxlte7GVFhLNSZ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E4FeypFdzvXkuqJhqTyJo4JNe+SnEDl/aC1GeP/70QbZ6/YwB8EebHdisAnKCp7r7HVRlHaX0hJahlmukxXF7Q==" saltValue="1++B6vAgbR0FmXaRecgRr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5858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0.49323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0.4975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1.5073370616963193E-2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98187.516879999996</v>
      </c>
      <c r="C22" s="109">
        <v>98063.925740000006</v>
      </c>
      <c r="D22" s="109">
        <v>97899.079700000002</v>
      </c>
      <c r="E22" s="109">
        <v>97512.601219999997</v>
      </c>
      <c r="F22" s="109">
        <v>97109.91532</v>
      </c>
      <c r="G22" s="109">
        <v>96197.344419999994</v>
      </c>
      <c r="H22" s="109">
        <v>94988.565659999993</v>
      </c>
      <c r="I22" s="109">
        <v>93916.249500000005</v>
      </c>
      <c r="J22" s="109">
        <v>92430.936029999997</v>
      </c>
      <c r="K22" s="109">
        <v>90047.200519999999</v>
      </c>
      <c r="L22" s="109">
        <v>86944.829240000006</v>
      </c>
      <c r="M22" s="109">
        <v>80406.875700000004</v>
      </c>
      <c r="N22" s="109">
        <v>73005.100420000002</v>
      </c>
      <c r="O22" s="109">
        <v>64385.958550000003</v>
      </c>
    </row>
  </sheetData>
  <sheetProtection algorithmName="SHA-512" hashValue="pjNa5afqT/mmbPkRMOoA1AhXoALWRy+wF0rYfRgeXncFqR3c2CghgvB2O/rsTymVx7wynxe1uWPRIw7aZpUeXA==" saltValue="WY8gwhGrPr2FVxHH6miY8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plfx7CYgGivCL21zj668MKXwc6y4k/MfSR1DK0MMJsob2AOY2uwTHYO0si8jAoOO8SPw0cEmHZCOtYOcwEmS+g==" saltValue="OmrHzmk93+R91hjE1jXVf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x4ONq9X3RvkHpBltIpXPyBUhe0IL79HWVGNrdBI8IJC6/UDy4a2ux8LKrPYMXt7KMHE4imCtrRB052BMF0RM8g==" saltValue="KVooK8j7vS0BAeBKp4J6Q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19.75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19.75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21.195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0.48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0.44994896638918952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1.516970800969268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0.5</v>
      </c>
      <c r="C9" s="98">
        <v>0.95</v>
      </c>
      <c r="D9" s="56">
        <v>0.32855565777368906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</v>
      </c>
      <c r="C10" s="98">
        <v>0.95</v>
      </c>
      <c r="D10" s="56">
        <v>13.25939284886182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13.25939284886182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13.25939284886182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13.25939284886182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</v>
      </c>
      <c r="C14" s="98">
        <v>0.95</v>
      </c>
      <c r="D14" s="56">
        <v>13.25939284886182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13.25939284886182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</v>
      </c>
      <c r="C16" s="98">
        <v>0.95</v>
      </c>
      <c r="D16" s="56">
        <v>5.8835597567123799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0.32122916666666701</v>
      </c>
      <c r="C17" s="98">
        <v>0.95</v>
      </c>
      <c r="D17" s="56">
        <v>0.14000000000000001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7.7588900000000002E-2</v>
      </c>
      <c r="C18" s="98">
        <v>0.95</v>
      </c>
      <c r="D18" s="56">
        <v>21.195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7.7588900000000002E-2</v>
      </c>
      <c r="C19" s="98">
        <v>0.95</v>
      </c>
      <c r="D19" s="56">
        <v>13.483785833565429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7.48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21.195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3.9129999999999998E-3</v>
      </c>
      <c r="C23" s="98">
        <v>0.95</v>
      </c>
      <c r="D23" s="56">
        <v>4.4338460403923747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0.66624536519805999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</v>
      </c>
      <c r="C26" s="98">
        <v>0.95</v>
      </c>
      <c r="D26" s="56">
        <v>4.4421306161984946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9.2958524157825622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0.45581739999999998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0.23215369999999999</v>
      </c>
      <c r="C29" s="98">
        <v>0.95</v>
      </c>
      <c r="D29" s="56">
        <v>206.81375092158379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124.66848615801089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</v>
      </c>
      <c r="C31" s="98">
        <v>0.95</v>
      </c>
      <c r="D31" s="56">
        <v>123.05968780269725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</v>
      </c>
      <c r="C32" s="98">
        <v>0.95</v>
      </c>
      <c r="D32" s="56">
        <v>1.5917274986535743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0.72116230000000003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0.12046129999999999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5.8989100000000003E-2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0.80314839999999998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</v>
      </c>
      <c r="C38" s="98">
        <v>0.95</v>
      </c>
      <c r="D38" s="56">
        <v>2.4500000000000002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3.43</v>
      </c>
      <c r="E39" s="56" t="s">
        <v>230</v>
      </c>
      <c r="F39" s="98">
        <v>1</v>
      </c>
      <c r="G39" s="98">
        <v>1</v>
      </c>
    </row>
  </sheetData>
  <sheetProtection algorithmName="SHA-512" hashValue="CdeudkCeSeYM71V/yC0x3zg9IsgDzW/nEIcuvIInkyCk394uuxeygcxrkqZpLDYbzBNb8d0VVX3+l/DPXFY2Cw==" saltValue="8EZdIOYofGIYxO8TtEW2g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DqBbT0FpQ9pMH0+tZDrXOXGsWxs+E5Spk06qLORh40+5mvLdldP8SCadAQ7Xh4ZXk6IGjoZL3uT43fJiob2PeQ==" saltValue="fVi6yPPrC5dQXv9CNek9U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CiD3f8BtRpDZZZauNB3Mv3dDajIHwM5AMcQ9VODYxISY23xdCOsv0izEi1KlcKV3cr0zUL68CNwxOfdwD3yURA==" saltValue="znZb7mUNrrY+xy/zY2OdZ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238</v>
      </c>
      <c r="B3" s="21">
        <f>frac_mam_1month * 2.6</f>
        <v>0.10682594000000001</v>
      </c>
      <c r="C3" s="21">
        <f>frac_mam_1_5months * 2.6</f>
        <v>0.10682594000000001</v>
      </c>
      <c r="D3" s="21">
        <f>frac_mam_6_11months * 2.6</f>
        <v>0.20139418000000003</v>
      </c>
      <c r="E3" s="21">
        <f>frac_mam_12_23months * 2.6</f>
        <v>0.12607114</v>
      </c>
      <c r="F3" s="21">
        <f>frac_mam_24_59months * 2.6</f>
        <v>9.9420880000000017E-2</v>
      </c>
    </row>
    <row r="4" spans="1:6" ht="15.75" customHeight="1" x14ac:dyDescent="0.25">
      <c r="A4" s="3" t="s">
        <v>237</v>
      </c>
      <c r="B4" s="21">
        <f>frac_sam_1month * 2.6</f>
        <v>6.0567000000000003E-2</v>
      </c>
      <c r="C4" s="21">
        <f>frac_sam_1_5months * 2.6</f>
        <v>6.0567000000000003E-2</v>
      </c>
      <c r="D4" s="21">
        <f>frac_sam_6_11months * 2.6</f>
        <v>1.8212220000000001E-2</v>
      </c>
      <c r="E4" s="21">
        <f>frac_sam_12_23months * 2.6</f>
        <v>4.7944520000000004E-2</v>
      </c>
      <c r="F4" s="21">
        <f>frac_sam_24_59months * 2.6</f>
        <v>1.7275180000000001E-2</v>
      </c>
    </row>
  </sheetData>
  <sheetProtection algorithmName="SHA-512" hashValue="2M9xUNQntF0zyfsV3r5dyCQLvGpwZx2czq8NSY9Lh0IPDReMIv8EQINJ+FahtFWk7ZvHjk3wMe2eQ2djtEJ0Kg==" saltValue="yJlR5P5g2Nk9e3psDHwuS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0.23400000000000001</v>
      </c>
      <c r="F2" s="60">
        <f>food_insecure</f>
        <v>0.23400000000000001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0.23400000000000001</v>
      </c>
      <c r="F5" s="60">
        <f>food_insecure</f>
        <v>0.23400000000000001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0.23400000000000001</v>
      </c>
      <c r="F8" s="60">
        <f>food_insecure</f>
        <v>0.23400000000000001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0.23400000000000001</v>
      </c>
      <c r="F9" s="60">
        <f>food_insecure</f>
        <v>0.23400000000000001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0.23400000000000001</v>
      </c>
      <c r="I15" s="60">
        <f t="shared" si="0"/>
        <v>0.23400000000000001</v>
      </c>
      <c r="J15" s="60">
        <f t="shared" si="0"/>
        <v>0.23400000000000001</v>
      </c>
      <c r="K15" s="60">
        <f t="shared" si="0"/>
        <v>0.23400000000000001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0.23400000000000001</v>
      </c>
      <c r="I16" s="60">
        <f t="shared" si="0"/>
        <v>0.23400000000000001</v>
      </c>
      <c r="J16" s="60">
        <f t="shared" si="0"/>
        <v>0.23400000000000001</v>
      </c>
      <c r="K16" s="60">
        <f t="shared" si="0"/>
        <v>0.23400000000000001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0.28432334450000002</v>
      </c>
      <c r="M24" s="60">
        <f>famplan_unmet_need</f>
        <v>0.28432334450000002</v>
      </c>
      <c r="N24" s="60">
        <f>famplan_unmet_need</f>
        <v>0.28432334450000002</v>
      </c>
      <c r="O24" s="60">
        <f>famplan_unmet_need</f>
        <v>0.28432334450000002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0.194305624688</v>
      </c>
      <c r="M25" s="60">
        <f>(1-food_insecure)*(0.49)+food_insecure*(0.7)</f>
        <v>0.53913999999999995</v>
      </c>
      <c r="N25" s="60">
        <f>(1-food_insecure)*(0.49)+food_insecure*(0.7)</f>
        <v>0.53913999999999995</v>
      </c>
      <c r="O25" s="60">
        <f>(1-food_insecure)*(0.49)+food_insecure*(0.7)</f>
        <v>0.53913999999999995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8.3273839152000012E-2</v>
      </c>
      <c r="M26" s="60">
        <f>(1-food_insecure)*(0.21)+food_insecure*(0.3)</f>
        <v>0.23105999999999999</v>
      </c>
      <c r="N26" s="60">
        <f>(1-food_insecure)*(0.21)+food_insecure*(0.3)</f>
        <v>0.23105999999999999</v>
      </c>
      <c r="O26" s="60">
        <f>(1-food_insecure)*(0.21)+food_insecure*(0.3)</f>
        <v>0.23105999999999999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8.2819736160000004E-2</v>
      </c>
      <c r="M27" s="60">
        <f>(1-food_insecure)*(0.3)</f>
        <v>0.2298</v>
      </c>
      <c r="N27" s="60">
        <f>(1-food_insecure)*(0.3)</f>
        <v>0.2298</v>
      </c>
      <c r="O27" s="60">
        <f>(1-food_insecure)*(0.3)</f>
        <v>0.2298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0.63960079999999997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zpI1G3luzHAwoAV2I+BPa25hwW+i9wlqlopeOV7c/8Ua0HzhiG/ZZiZCI48RqaFCrCBApgx0xlk+8LpEKiLCxQ==" saltValue="RIrRBblPzAMGrGSi7BiEF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mZkC6LE+cJ6fBfDW2f1yExZJ/e++JDzcYPn5km7qU4R7wp6FrK8pNpDs9knqKXtObh9r7IJ8d/u0DttvTXiLgA==" saltValue="kV0Lq1GTHVPGa/SAHY1l9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/76dPH0t7iWIx2wWOqkDbedAQkIXAV3jj5ima6wV8xT2/pGys65b+KEyuqf6cpOi5ub5kzgWrZmpm7rzKJa09A==" saltValue="QmDOkYtopLVYDcgLmTBAM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AL0xyK3JU9OkVEwJ+woZRJtawFTqCANK840DDpP/UzorRftrM4jaOoc7Bf1EGcmwwZ9/InwfGu+EKYBO8JmC9A==" saltValue="Se2K4CAkK635/lSA7/8yj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w7Wn24zg97SyKfra40EgsulzBdWYXNPYeXtM0DfaCXTS3maOXjHh3uW8WOGESZbJUA+/7UITFR/bVPzFPGgwow==" saltValue="rblhJmqqyR6m340qgcztG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1TKQmBTeoic0PAoYVWMyJgjeQ5wgy59BQXNn854LKHN24XoNqivoq0hfMxfTypn00GZkU4/w4Bz9wbC/7oSDyA==" saltValue="nvDS3KZyDjwxv3DlAopta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sHhlnFMZTKAe32O2uRLHdMEDPLVb+8u6L0RZ4Glq/8EJwbIKrZ/BpJlO+TLbT87zHmGrthN5Qy0kceQ3bARr3Q==" saltValue="9FK8QIMms07JSK+zOhIV7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kV1w8StacWlna9PayRKJlFNTAKeJ9CL7JWber0uRQVqrDWwVzDmgbYd5udCqQKh0kyLm1lsTiGKEd33EEmTG1g==" saltValue="Iu6XbWfbAN9MjYf+vYsL2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xtcYRcrbGoJF9hlNQ9g0GK32mS8A76ErwrR+uQKfPAdBVM+JiR0vobVZEvfnI+NZZUyFfXSdm9y5kN3Y40N1oA==" saltValue="6f9Z+N/CLGAsCgajn0c0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/ryfQ1t0kAzVWsR7yNa9TnknuVz2CClIs0OwK8YauJzz4G/Vw4YMnCf3cmhZ7eD1ILQSfaFgP3A+DWRdZs+cEQ==" saltValue="haIRW579tg4xJsnw7UKkX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fUjfvOiZ6sFYghgYX52LKip0AloJFTMq/YdmPdca6XovI0ZZ3xMs4l4DkK5ZpPwVFZj1PJKdge4iwCBHzfL9UQ==" saltValue="wbqat8CCBcERTl4QANwr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U9GU4kd0nSDu4XBMC4jjFrh/lCvY7F8RIoHYu7Z0BravcR5sn910G4iBsgiijWAMNXaYlL6gkcf7eqWo6HaiXA==" saltValue="DfqBei9FOCD3A9TOM3OnS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Q/AhGz9GlwWxmqSDiZjD1gX5x9+tEP55nKhLa0dASmt8lGJXs4ckM30Nya+In3KqVSzX5VsTSldBsZJQ20qfaA==" saltValue="xQqF/aoVy/nX+0RINaRyK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FmkorbC3KIgEwT1lD644g2yY0B42297sjAtxpPkfkqKaqh0MBMDnqO2Djem3/s7Xa8gQMxJB8eLwhZq63QomPQ==" saltValue="dsgfV+EbcAx5YxKaf9vs+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Lb+0aWAV5bONuuU6n66tKCCPHWeKcI/mkPAY5F1T0VZrhwZS2gv0w+2lSnW+A+Pl8pcsEbH/eIqgSyPxM2h8EQ==" saltValue="kzB8SdTQJ8wrO5zifrE+g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2025-07-04T05:00:54Z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