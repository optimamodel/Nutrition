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26F7532-F5B4-4EFD-B9AC-6B2D5306BD0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8" i="2" l="1"/>
  <c r="I12" i="2"/>
  <c r="I9" i="2"/>
  <c r="I13" i="2"/>
  <c r="I4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<sst xmlns="http://schemas.openxmlformats.org/spreadsheetml/2006/main" count="2159" uniqueCount="368">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</sst>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1169548.5</v>
      </c>
    </row>
    <row r="8" spans="1:3" ht="15" customHeight="1" x14ac:dyDescent="0.25">
      <c r="B8" s="5" t="s">
        <v>37</v>
      </c>
      <c r="C8" s="44">
        <v>0.157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0.63523980000000002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3.9300000000000002E-2</v>
      </c>
    </row>
    <row r="24" spans="1:3" ht="15" customHeight="1" x14ac:dyDescent="0.25">
      <c r="B24" s="15" t="s">
        <v>51</v>
      </c>
      <c r="C24" s="45">
        <v>0.49590000000000001</v>
      </c>
    </row>
    <row r="25" spans="1:3" ht="15" customHeight="1" x14ac:dyDescent="0.25">
      <c r="B25" s="15" t="s">
        <v>52</v>
      </c>
      <c r="C25" s="45">
        <v>0.42020000000000002</v>
      </c>
    </row>
    <row r="26" spans="1:3" ht="15" customHeight="1" x14ac:dyDescent="0.25">
      <c r="B26" s="15" t="s">
        <v>53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0.259769272097435</v>
      </c>
    </row>
    <row r="30" spans="1:3" ht="14.25" customHeight="1" x14ac:dyDescent="0.25">
      <c r="B30" s="25" t="s">
        <v>56</v>
      </c>
      <c r="C30" s="99">
        <v>0.11570907979532</v>
      </c>
    </row>
    <row r="31" spans="1:3" ht="14.25" customHeight="1" x14ac:dyDescent="0.25">
      <c r="B31" s="25" t="s">
        <v>57</v>
      </c>
      <c r="C31" s="99">
        <v>9.89832068757453E-2</v>
      </c>
    </row>
    <row r="32" spans="1:3" ht="14.25" customHeight="1" x14ac:dyDescent="0.25">
      <c r="B32" s="25" t="s">
        <v>58</v>
      </c>
      <c r="C32" s="99">
        <v>0.52553844123149995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8.5367899999999999</v>
      </c>
    </row>
    <row r="38" spans="1:5" ht="15" customHeight="1" x14ac:dyDescent="0.25">
      <c r="B38" s="11" t="s">
        <v>63</v>
      </c>
      <c r="C38" s="43">
        <v>12.564450000000001</v>
      </c>
      <c r="D38" s="12"/>
      <c r="E38" s="13"/>
    </row>
    <row r="39" spans="1:5" ht="15" customHeight="1" x14ac:dyDescent="0.25">
      <c r="B39" s="11" t="s">
        <v>64</v>
      </c>
      <c r="C39" s="43">
        <v>14.59897</v>
      </c>
      <c r="D39" s="12"/>
      <c r="E39" s="12"/>
    </row>
    <row r="40" spans="1:5" ht="15" customHeight="1" x14ac:dyDescent="0.25">
      <c r="B40" s="11" t="s">
        <v>65</v>
      </c>
      <c r="C40" s="100">
        <v>0.41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7.3870999999999997E-3</v>
      </c>
      <c r="D45" s="12"/>
    </row>
    <row r="46" spans="1:5" ht="15.75" customHeight="1" x14ac:dyDescent="0.25">
      <c r="B46" s="11" t="s">
        <v>70</v>
      </c>
      <c r="C46" s="45">
        <v>7.93735E-2</v>
      </c>
      <c r="D46" s="12"/>
    </row>
    <row r="47" spans="1:5" ht="15.75" customHeight="1" x14ac:dyDescent="0.25">
      <c r="B47" s="11" t="s">
        <v>71</v>
      </c>
      <c r="C47" s="45">
        <v>7.3975899999999997E-2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3.6920000000000002</v>
      </c>
      <c r="D51" s="12"/>
    </row>
    <row r="52" spans="1:4" ht="15" customHeight="1" x14ac:dyDescent="0.25">
      <c r="B52" s="11" t="s">
        <v>75</v>
      </c>
      <c r="C52" s="100">
        <v>3.6920000000000002</v>
      </c>
    </row>
    <row r="53" spans="1:4" ht="15.75" customHeight="1" x14ac:dyDescent="0.25">
      <c r="B53" s="11" t="s">
        <v>76</v>
      </c>
      <c r="C53" s="100">
        <v>5.1480000000000006</v>
      </c>
    </row>
    <row r="54" spans="1:4" ht="15.75" customHeight="1" x14ac:dyDescent="0.25">
      <c r="B54" s="11" t="s">
        <v>77</v>
      </c>
      <c r="C54" s="100">
        <v>3.38</v>
      </c>
    </row>
    <row r="55" spans="1:4" ht="15.75" customHeight="1" x14ac:dyDescent="0.25">
      <c r="B55" s="11" t="s">
        <v>78</v>
      </c>
      <c r="C55" s="100">
        <v>1.6033333333333331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0.60336800000000002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0.1893666383</v>
      </c>
    </row>
    <row r="63" spans="1:4" ht="15.75" customHeight="1" x14ac:dyDescent="0.3">
      <c r="A63" s="4"/>
    </row>
  </sheetData>
  <sheetProtection algorithmName="SHA-512" hashValue="iqvX6jCpi5YF5IfX8RJI2ItnVImY7EHcTucKcrEcaaN1BJOEjc1E0NCG/z85NGgR3HoboGArla2LbJLqVZOORA==" saltValue="/uqGf24vu12nauX7mlnM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7rGI3hggrpuMpVo1P3Gz/PRMmZNzmkHGpxlPwaF7FSHb1SqyZXyCTbVE3fXgfCK7uO+2d8ACo3jSSpXnKwBDg==" saltValue="UcKelk8o8gCmdgPANtiQ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7.2734599999999927E-2</v>
      </c>
    </row>
    <row r="5" spans="1:8" ht="15.75" customHeight="1" x14ac:dyDescent="0.25">
      <c r="B5" s="19" t="s">
        <v>98</v>
      </c>
      <c r="C5" s="101">
        <v>2.9755600000000038E-2</v>
      </c>
    </row>
    <row r="6" spans="1:8" ht="15.75" customHeight="1" x14ac:dyDescent="0.25">
      <c r="B6" s="19" t="s">
        <v>99</v>
      </c>
      <c r="C6" s="101">
        <v>0.1467636999999998</v>
      </c>
    </row>
    <row r="7" spans="1:8" ht="15.75" customHeight="1" x14ac:dyDescent="0.25">
      <c r="B7" s="19" t="s">
        <v>100</v>
      </c>
      <c r="C7" s="101">
        <v>0.41250100000000051</v>
      </c>
    </row>
    <row r="8" spans="1:8" ht="15.75" customHeight="1" x14ac:dyDescent="0.25">
      <c r="B8" s="19" t="s">
        <v>101</v>
      </c>
      <c r="C8" s="101">
        <v>6.1284000000000009E-3</v>
      </c>
    </row>
    <row r="9" spans="1:8" ht="15.75" customHeight="1" x14ac:dyDescent="0.25">
      <c r="B9" s="19" t="s">
        <v>102</v>
      </c>
      <c r="C9" s="101">
        <v>0.2188106999999998</v>
      </c>
    </row>
    <row r="10" spans="1:8" ht="15.75" customHeight="1" x14ac:dyDescent="0.25">
      <c r="B10" s="19" t="s">
        <v>103</v>
      </c>
      <c r="C10" s="101">
        <v>0.113306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106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107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108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111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112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113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0.109226406</v>
      </c>
    </row>
    <row r="27" spans="1:8" ht="15.75" customHeight="1" x14ac:dyDescent="0.25">
      <c r="B27" s="19" t="s">
        <v>120</v>
      </c>
      <c r="C27" s="101">
        <v>1.7615203999999999E-2</v>
      </c>
    </row>
    <row r="28" spans="1:8" ht="15.75" customHeight="1" x14ac:dyDescent="0.25">
      <c r="B28" s="19" t="s">
        <v>121</v>
      </c>
      <c r="C28" s="101">
        <v>3.5403469E-2</v>
      </c>
    </row>
    <row r="29" spans="1:8" ht="15.75" customHeight="1" x14ac:dyDescent="0.25">
      <c r="B29" s="19" t="s">
        <v>122</v>
      </c>
      <c r="C29" s="101">
        <v>8.1855017000000002E-2</v>
      </c>
    </row>
    <row r="30" spans="1:8" ht="15.75" customHeight="1" x14ac:dyDescent="0.25">
      <c r="B30" s="19" t="s">
        <v>2</v>
      </c>
      <c r="C30" s="101">
        <v>6.7261675000000007E-2</v>
      </c>
    </row>
    <row r="31" spans="1:8" ht="15.75" customHeight="1" x14ac:dyDescent="0.25">
      <c r="B31" s="19" t="s">
        <v>123</v>
      </c>
      <c r="C31" s="101">
        <v>2.8928879000000001E-2</v>
      </c>
    </row>
    <row r="32" spans="1:8" ht="15.75" customHeight="1" x14ac:dyDescent="0.25">
      <c r="B32" s="19" t="s">
        <v>124</v>
      </c>
      <c r="C32" s="101">
        <v>0.23338838200000001</v>
      </c>
    </row>
    <row r="33" spans="2:3" ht="15.75" customHeight="1" x14ac:dyDescent="0.25">
      <c r="B33" s="19" t="s">
        <v>125</v>
      </c>
      <c r="C33" s="101">
        <v>0.13208631300000001</v>
      </c>
    </row>
    <row r="34" spans="2:3" ht="15.75" customHeight="1" x14ac:dyDescent="0.25">
      <c r="B34" s="19" t="s">
        <v>126</v>
      </c>
      <c r="C34" s="101">
        <v>0.29423465599999998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Fz3ct92uwMhvfHSNo3zVflrJRBZuewoiLC2F4RU6R7fEm46wrwTRP4oDshokyL1DuI4C1nKFN4x+bhbhLKt22w==" saltValue="2cXhNG+GY0pb0tT9X81N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132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133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137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138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sU0czbaUsPxIM09+ZLVegusMv7dpSe/90VeTBFlnuKQfgQfH8HSnS7DA0QjxBlgnaH6DZB2j0iHaFkT/4PqGg==" saltValue="FknfcQ8SeQCCaWfIbEYM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COwIJq79shcL7A+qFjWX6Af6J+JSEdxMOcdrrjQO7NAO9A2+b7Q8i+58xRXWjTTsVmtofhcoLxGxN8SnTIWcKA==" saltValue="F3uzovM2RxzHvv92XNSG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AQYWCwIq7T5WruqVGBATFwlc/45rnV+U27+t/aZilRESzbkn54FEd49Q98lp0Jt/crRUFsEt4ky7pFokqDwVw==" saltValue="LRJEbIslAi9/U9zEYjj6g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4311.0000462206099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0.43898999999999999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0.14510999999999999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1.4627555916700341E-2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98375.218500000003</v>
      </c>
      <c r="C22" s="109">
        <v>98201.370869999999</v>
      </c>
      <c r="D22" s="109">
        <v>98038.988530000002</v>
      </c>
      <c r="E22" s="109">
        <v>97865.113920000003</v>
      </c>
      <c r="F22" s="109">
        <v>97649.534109999993</v>
      </c>
      <c r="G22" s="109">
        <v>97408.891860000003</v>
      </c>
      <c r="H22" s="109">
        <v>97107.768819999998</v>
      </c>
      <c r="I22" s="109">
        <v>96710.643060000002</v>
      </c>
      <c r="J22" s="109">
        <v>96111.342900000003</v>
      </c>
      <c r="K22" s="109">
        <v>95137.663050000003</v>
      </c>
      <c r="L22" s="109">
        <v>93522.521410000001</v>
      </c>
      <c r="M22" s="109">
        <v>90922.550220000005</v>
      </c>
      <c r="N22" s="109">
        <v>86532.69412</v>
      </c>
      <c r="O22" s="109">
        <v>79309.164820000005</v>
      </c>
    </row>
  </sheetData>
  <sheetProtection algorithmName="SHA-512" hashValue="9l5Zs4w68JLlld4Yv4VDoAoH1US0Fez2NGe0KZHH++AY6HIj2n2OHw1dAvZs3rHboOjvFnWhoz0kC6iUe3pLoA==" saltValue="jbRKqa0Jttc1nF+7b3eY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zdrTnGqsQCJm4oM4wKPo8hJqL2Tem4NuFSsp0ypJaq7wZVCT1gvEMlLzJQn6afRZMUkIWnUsjZ+lI+/BQkSlw==" saltValue="We8u+f4ySKbPjKw0Ugsk+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rmkjCP/lO4uEQctE7hZ7TFNMD8o9fTQvytcYaYa9DUzzewcpjghiFRFYvvqq1dpEWRZzA6jU2LvflLKbqOzhA==" saltValue="UZqwvfRsVlGX48mi2xw8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0.48911409999999989</v>
      </c>
      <c r="C10" s="98">
        <v>0.95</v>
      </c>
      <c r="D10" s="56">
        <v>13.00441189507751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13.00441189507751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13.00441189507751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13.00441189507751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0.48911409999999989</v>
      </c>
      <c r="C14" s="98">
        <v>0.95</v>
      </c>
      <c r="D14" s="56">
        <v>13.00441189507751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13.00441189507751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0.54287457000000006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0.73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0.2062329</v>
      </c>
      <c r="C19" s="98">
        <v>0.95</v>
      </c>
      <c r="D19" s="56">
        <v>9.4258488463818431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4.2744829442771808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0.94011724592245105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0.44430960000000003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0.34953200000000001</v>
      </c>
      <c r="C29" s="98">
        <v>0.95</v>
      </c>
      <c r="D29" s="56">
        <v>193.6128732031849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0.17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0.30520770000000003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0.86144760000000009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2.2872799999999999E-2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dD4LbpPdOYL4wkb1t3JcCX+Np7X4mpbMw0H4qINXiOClcnh/mvjfNkww3sepFLnt0Yv0GpB9bM0g81hQkOWqyA==" saltValue="/1Xsn4/tsyKHT1XKeyjm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6z5meQt0F7s0WqcWm/A4g4Hfj09l7xCR7ySWIF5asdHzvC5dUe0GfyVcj7UX1+XePDTP7MRFRe2RUN5s48OQA==" saltValue="ffNzywRoD9tTq21UTSXf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n+nYbQmpqWLx2LsZ4N5Nb6eY6iBEMoGcxdvjxQfcZR+dWvG8oPbsMDhaW72xymou1X1GLdWtQpVgeEVeE3atg==" saltValue="WsTKyRKbO/6tn4+q2yIo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3.6920000000000002</v>
      </c>
      <c r="C2" s="21">
        <f>'Données pop de l''année de ref'!C52</f>
        <v>3.6920000000000002</v>
      </c>
      <c r="D2" s="21">
        <f>'Données pop de l''année de ref'!C53</f>
        <v>5.1480000000000006</v>
      </c>
      <c r="E2" s="21">
        <f>'Données pop de l''année de ref'!C54</f>
        <v>3.38</v>
      </c>
      <c r="F2" s="21">
        <f>'Données pop de l''année de ref'!C55</f>
        <v>1.6033333333333331</v>
      </c>
    </row>
    <row r="3" spans="1:6" ht="15.75" customHeight="1" x14ac:dyDescent="0.25">
      <c r="A3" s="3" t="s">
        <v>238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237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ypkKcXgquS+zaUeThzLYjv87u+NwVHYpHECmvxBVkyEiYZ0fOc5Anb9dmEHO/sYrGVcEUgrbDDtahvcTZsjMqQ==" saltValue="xR8+OOqMlA45DV5AyBN9n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rVzbjhw1dgYE5AqA19AAb4HcuF+xbZDGtACnvDie/U75GpynXc8pUy/NVBygoO4BktQk3jXSOHBWUQnnfa/KA==" saltValue="04qPeFEETv1kffzuTq4l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nvVFgIzY/88DjaogLZcxxJ/9TnHVSFt2l2NUNZI9i2EXwMSRCegAPhLGWb+Uy6fCz9GkXJJ+51J5hKEINMeuQ==" saltValue="pzMekd4UkEAStgzq6jIF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Sgn38odPXEzQehHtpJ3xAiNYQJXWc4EIgfj2viTb7fqfnXnY5IdBybyoXo0u5xeXKHCWY/wD9EORZbaRZR2qw==" saltValue="V/F78R7i4q/j4w9nyJTQ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RNiWoX9WV06dlbcHUHTaXt/5b3j+Psr1P5wBKtXonorkQQ3BBa8wMMCtKXHpD0Efem+P86DAxd2KhQuqnATtg==" saltValue="/NgLS8uU8L1RNQIiufPy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Ji77MkiP208GKA/jez7nNl6cjTEIh/iw+zWQfezKtl4Ha8X33czQI4bJdJyrudwDqwxsey8gfMXdGCx5Bcz6EQ==" saltValue="XwAxPM9EVL3Z5wsejaux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BfYU6giNSq3maaSkhQsrRAz/rLcy7Urnju8P67PXn24uxdWcVfRodrXC6XgDwKSn/RSWm5/EXXMigxpJCQLw1w==" saltValue="aBMVu2EcS7TiRQ0dI4KZ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erK5m4m6XbA3A8kJUSSq3+XYMUByTFTVa31KubYE/58rA68oiEjaBmJqR3YdFxgu6AHlN6A6lrYcVyoQbYa7A==" saltValue="k5UH5JWKY+xPQMCMW43KO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xbkrUfhrq88ruM6cmDxfUF7qjHAJZ4Zw3uJUEUnqS3hI/9E0yprXxniO61OWS0ByR7o+p1UQq3ZgkUkFOCTvQ==" saltValue="F4Y+7+uoJAwS6c16qX6v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HwHz4a2oNBYsZcYAAmTnxGY2SN/bg21x3nf4WaR161LdmqWDYzUESldduwfJY9TvebvS59MAU9ZAl1KZuiAP5g==" saltValue="TK1Buy5v/x8YHXxJghdj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vw2nPHNcl2xPdVq7VPPVL6IDV86jFN6y8r60DCku8dGiVcyXyV5wpSsxarV+cvpg1nKr8kTEtNIdD1Gs+cvXg==" saltValue="HQmn+jXlFYwSoqyOB5rx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h/qzgf7XEqW2qUDiwejyYsvoLiPCqMVJHVeJhIuWNqvNK1Ex4gPVl3yEe9yOXZW/jxE4hdiANELeJZ4C+qaWQ==" saltValue="dIp1uL8MlQV6nzKN4+eu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JWHTnqdNY4ikxRZx1YIUvhaLrwB/ur/CmBvkMNYNCxeZtwFmJk1gAfIx7jAoaLdQmgW3wERDtTRsM6fn5l8hQ==" saltValue="OhrqU+O3J1e5xLu2DcCi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ul+jmf/WchB8XHra3lQ2lPlJI9CZ5eTA3moWJEVdZMUbuClSN/lJMdAqFXFRzOYiw+Oz9lAJcSmuX6OnOa+mw==" saltValue="gQJe2tJDGcGXoMebhYpy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RXfFLwAXgRz87KEiqKoYTQ7OsRq+Bk+A5ZlJwPT+0cbcbfZxSzXCgs0H/V6WC0KpYEgxe6gD52cpItTWvzOBQ==" saltValue="OxuLTtUzbBAMQJwKWYsZ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yVpMdRF725tdqXtH7OhCZX6chalkclCUIS33s0GcHvV8hgMdp/1lBXN1Up+SHabYEui7P1kFLnDn5mNxbwqgQ==" saltValue="oJziQwCan1qHElOEwbPgj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