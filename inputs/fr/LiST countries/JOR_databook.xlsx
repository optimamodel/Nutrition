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FF25057-338F-4CA2-91EF-73C5269E2AAA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37" i="2"/>
  <c r="A36" i="2"/>
  <c r="A35" i="2"/>
  <c r="A28" i="2"/>
  <c r="A27" i="2"/>
  <c r="A26" i="2"/>
  <c r="A19" i="2"/>
  <c r="A18" i="2"/>
  <c r="A17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0" i="2" l="1"/>
  <c r="A29" i="2"/>
  <c r="I38" i="2"/>
  <c r="A21" i="2"/>
  <c r="A31" i="2"/>
  <c r="A23" i="2"/>
  <c r="A39" i="2"/>
  <c r="I6" i="2"/>
  <c r="I10" i="2"/>
  <c r="A15" i="2"/>
  <c r="A24" i="2"/>
  <c r="A33" i="2"/>
  <c r="A32" i="2"/>
  <c r="A3" i="2"/>
  <c r="A16" i="2"/>
  <c r="A25" i="2"/>
  <c r="A34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<sst xmlns="http://schemas.openxmlformats.org/spreadsheetml/2006/main" count="2101" uniqueCount="337">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</sst>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1164746.3046875</v>
      </c>
    </row>
    <row r="8" spans="1:3" ht="15" customHeight="1" x14ac:dyDescent="0.25">
      <c r="B8" s="5" t="s">
        <v>19</v>
      </c>
      <c r="C8" s="44">
        <v>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0.65108238220214798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3.9300000000000002E-2</v>
      </c>
    </row>
    <row r="24" spans="1:3" ht="15" customHeight="1" x14ac:dyDescent="0.25">
      <c r="B24" s="15" t="s">
        <v>33</v>
      </c>
      <c r="C24" s="45">
        <v>0.49590000000000001</v>
      </c>
    </row>
    <row r="25" spans="1:3" ht="15" customHeight="1" x14ac:dyDescent="0.25">
      <c r="B25" s="15" t="s">
        <v>34</v>
      </c>
      <c r="C25" s="45">
        <v>0.42020000000000002</v>
      </c>
    </row>
    <row r="26" spans="1:3" ht="15" customHeight="1" x14ac:dyDescent="0.25">
      <c r="B26" s="15" t="s">
        <v>35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0.259769272097435</v>
      </c>
    </row>
    <row r="30" spans="1:3" ht="14.25" customHeight="1" x14ac:dyDescent="0.25">
      <c r="B30" s="25" t="s">
        <v>38</v>
      </c>
      <c r="C30" s="99">
        <v>0.11570907979532</v>
      </c>
    </row>
    <row r="31" spans="1:3" ht="14.25" customHeight="1" x14ac:dyDescent="0.25">
      <c r="B31" s="25" t="s">
        <v>39</v>
      </c>
      <c r="C31" s="99">
        <v>9.89832068757453E-2</v>
      </c>
    </row>
    <row r="32" spans="1:3" ht="14.25" customHeight="1" x14ac:dyDescent="0.25">
      <c r="B32" s="25" t="s">
        <v>40</v>
      </c>
      <c r="C32" s="99">
        <v>0.52553844123149995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8.5367899999999999</v>
      </c>
    </row>
    <row r="38" spans="1:5" ht="15" customHeight="1" x14ac:dyDescent="0.25">
      <c r="B38" s="11" t="s">
        <v>45</v>
      </c>
      <c r="C38" s="43">
        <v>12.564450000000001</v>
      </c>
      <c r="D38" s="12"/>
      <c r="E38" s="13"/>
    </row>
    <row r="39" spans="1:5" ht="15" customHeight="1" x14ac:dyDescent="0.25">
      <c r="B39" s="11" t="s">
        <v>46</v>
      </c>
      <c r="C39" s="43">
        <v>14.59897</v>
      </c>
      <c r="D39" s="12"/>
      <c r="E39" s="12"/>
    </row>
    <row r="40" spans="1:5" ht="15" customHeight="1" x14ac:dyDescent="0.25">
      <c r="B40" s="11" t="s">
        <v>47</v>
      </c>
      <c r="C40" s="100">
        <v>0.41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7.3870999999999997E-3</v>
      </c>
      <c r="D45" s="12"/>
    </row>
    <row r="46" spans="1:5" ht="15.75" customHeight="1" x14ac:dyDescent="0.25">
      <c r="B46" s="11" t="s">
        <v>52</v>
      </c>
      <c r="C46" s="45">
        <v>7.93735E-2</v>
      </c>
      <c r="D46" s="12"/>
    </row>
    <row r="47" spans="1:5" ht="15.75" customHeight="1" x14ac:dyDescent="0.25">
      <c r="B47" s="11" t="s">
        <v>53</v>
      </c>
      <c r="C47" s="45">
        <v>7.3975899999999997E-2</v>
      </c>
      <c r="D47" s="12"/>
      <c r="E47" s="13"/>
    </row>
    <row r="48" spans="1:5" ht="15" customHeight="1" x14ac:dyDescent="0.25">
      <c r="B48" s="11" t="s">
        <v>54</v>
      </c>
      <c r="C48" s="46">
        <v>0.83926349999999994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0.60336800000000002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0.13782713999999999</v>
      </c>
    </row>
    <row r="63" spans="1:4" ht="15.75" customHeight="1" x14ac:dyDescent="0.3">
      <c r="A63" s="4"/>
    </row>
  </sheetData>
  <sheetProtection algorithmName="SHA-512" hashValue="z+edy1F6oBFdoR8FHknLWgPCeDGFNBb17qq9tnfAzXcv31TY/GR4lmRdz30PFZI9p9n06ST9kIChDwAdCMoejQ==" saltValue="tyHauC3lP9NVFfzHYCZO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xqS2q7lie5I+q8GhRSPmKe6oVN1E3mMEnaaXxrAiRJEswgTPpexLYVsnyr3grhZixkZs8BUJrUDzzUItDxKTQ==" saltValue="n4u6B61mEgxHo8/ERExe7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7.2734599999999927E-2</v>
      </c>
    </row>
    <row r="5" spans="1:8" ht="15.75" customHeight="1" x14ac:dyDescent="0.25">
      <c r="B5" s="19" t="s">
        <v>80</v>
      </c>
      <c r="C5" s="101">
        <v>2.9755600000000038E-2</v>
      </c>
    </row>
    <row r="6" spans="1:8" ht="15.75" customHeight="1" x14ac:dyDescent="0.25">
      <c r="B6" s="19" t="s">
        <v>81</v>
      </c>
      <c r="C6" s="101">
        <v>0.1467636999999998</v>
      </c>
    </row>
    <row r="7" spans="1:8" ht="15.75" customHeight="1" x14ac:dyDescent="0.25">
      <c r="B7" s="19" t="s">
        <v>82</v>
      </c>
      <c r="C7" s="101">
        <v>0.41250100000000051</v>
      </c>
    </row>
    <row r="8" spans="1:8" ht="15.75" customHeight="1" x14ac:dyDescent="0.25">
      <c r="B8" s="19" t="s">
        <v>83</v>
      </c>
      <c r="C8" s="101">
        <v>6.1284000000000009E-3</v>
      </c>
    </row>
    <row r="9" spans="1:8" ht="15.75" customHeight="1" x14ac:dyDescent="0.25">
      <c r="B9" s="19" t="s">
        <v>84</v>
      </c>
      <c r="C9" s="101">
        <v>0.2188106999999998</v>
      </c>
    </row>
    <row r="10" spans="1:8" ht="15.75" customHeight="1" x14ac:dyDescent="0.25">
      <c r="B10" s="19" t="s">
        <v>85</v>
      </c>
      <c r="C10" s="101">
        <v>0.113306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88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89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90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93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94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95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0.109226406</v>
      </c>
    </row>
    <row r="27" spans="1:8" ht="15.75" customHeight="1" x14ac:dyDescent="0.25">
      <c r="B27" s="19" t="s">
        <v>102</v>
      </c>
      <c r="C27" s="101">
        <v>1.7615203999999999E-2</v>
      </c>
    </row>
    <row r="28" spans="1:8" ht="15.75" customHeight="1" x14ac:dyDescent="0.25">
      <c r="B28" s="19" t="s">
        <v>103</v>
      </c>
      <c r="C28" s="101">
        <v>3.5403469E-2</v>
      </c>
    </row>
    <row r="29" spans="1:8" ht="15.75" customHeight="1" x14ac:dyDescent="0.25">
      <c r="B29" s="19" t="s">
        <v>104</v>
      </c>
      <c r="C29" s="101">
        <v>8.1855017000000002E-2</v>
      </c>
    </row>
    <row r="30" spans="1:8" ht="15.75" customHeight="1" x14ac:dyDescent="0.25">
      <c r="B30" s="19" t="s">
        <v>2</v>
      </c>
      <c r="C30" s="101">
        <v>6.7261675000000007E-2</v>
      </c>
    </row>
    <row r="31" spans="1:8" ht="15.75" customHeight="1" x14ac:dyDescent="0.25">
      <c r="B31" s="19" t="s">
        <v>105</v>
      </c>
      <c r="C31" s="101">
        <v>2.8928879000000001E-2</v>
      </c>
    </row>
    <row r="32" spans="1:8" ht="15.75" customHeight="1" x14ac:dyDescent="0.25">
      <c r="B32" s="19" t="s">
        <v>106</v>
      </c>
      <c r="C32" s="101">
        <v>0.23338838200000001</v>
      </c>
    </row>
    <row r="33" spans="2:3" ht="15.75" customHeight="1" x14ac:dyDescent="0.25">
      <c r="B33" s="19" t="s">
        <v>107</v>
      </c>
      <c r="C33" s="101">
        <v>0.13208631300000001</v>
      </c>
    </row>
    <row r="34" spans="2:3" ht="15.75" customHeight="1" x14ac:dyDescent="0.25">
      <c r="B34" s="19" t="s">
        <v>108</v>
      </c>
      <c r="C34" s="101">
        <v>0.29423465599999998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Eu50JTXz0Rtl7uODcIGOrDKaQ+7GlP/Ew95MmPYwye/1pBbqIX++l7vHCoEufRg8C2eM/vmddOcTxAVnKCWsIQ==" saltValue="frcTG674vXas02cRe9Ez4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114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115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119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120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fs+IqswrC9Tw5l/12jEjWlttrwl+3jH8Z2UZCgco2W1iVrX++8Ra+0zDCDRKSs1KVcbBY8m80oaR7peDz9xfA==" saltValue="HhLzWFObBfOoAbjvGS9X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132</v>
      </c>
      <c r="C5" s="52">
        <v>0.1021999</v>
      </c>
      <c r="D5" s="52">
        <v>0.21722369999999999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pZRrSodH+/bgouVldNnQkVAt3UF0+S33VOQQMO/zIeQwO7xdNdp1T76VPhg/Xj3mW4Z9I/MjqKiVeGf5mo7QuA==" saltValue="Bwz3gyF6La9uScwoof3Sn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W+MlmA4jD9SchWcEUxbyzht/kBMWjYJTwxRsun82EfYmXOTz9S4YUOBj8eM1/Xq9+6yF6AaDSyXA1HiwuLcNQ==" saltValue="6knu9ONeB8+SUE5gX9uGS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+SEGkPFB60hqv9AdjRj6YUTExuupLgf6NAuyJgz0ofi3KBwhBfg5TZbZGQNkrvAinq2Uq7lX0W1e5wRRqcfUJg==" saltValue="DpObbZmEn4w5+IBvEkQh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FHHDaNlQlq+yz3Ml93HzCGJJ8WULxqjyWmJfOdUbRRfS7xAylC9R3JIJNzw1JWLqmI4kVzQRYlOAeoHD9URZAA==" saltValue="lQVW4Ou/IsTRBIT6O12/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5cQSkvSznc2xrjjVmfs3HWCPi94B9oCqimQs8pBe8HH3zIxPK1JpUI67E2GeK9+QDA0amKyZ3TiVWcEisyIWTA==" saltValue="tCCab0+6HE48+YnilUvv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144.3361538195548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16.029464016122279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1.897161777238622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0.21140459373206369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0.48911409999999989</v>
      </c>
      <c r="C10" s="98">
        <v>0.95</v>
      </c>
      <c r="D10" s="56">
        <v>13.00441189507751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13.00441189507751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13.00441189507751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13.00441189507751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0.48911409999999989</v>
      </c>
      <c r="C14" s="98">
        <v>0.95</v>
      </c>
      <c r="D14" s="56">
        <v>13.00441189507751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13.00441189507751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5.5080133892626542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0.54287457000000006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0.73</v>
      </c>
      <c r="C18" s="98">
        <v>0.95</v>
      </c>
      <c r="D18" s="56">
        <v>16.029464016122279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0.2062329</v>
      </c>
      <c r="C19" s="98">
        <v>0.95</v>
      </c>
      <c r="D19" s="56">
        <v>16.029464016122279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16.46619599914094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22.437389594385149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4.2744829442771808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0.94011724592245105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0.48911409999999989</v>
      </c>
      <c r="C26" s="98">
        <v>0.95</v>
      </c>
      <c r="D26" s="56">
        <v>7.6264796156856711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30.36727751762248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0.44430960000000003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0.34953200000000001</v>
      </c>
      <c r="C29" s="98">
        <v>0.95</v>
      </c>
      <c r="D29" s="56">
        <v>193.6128732031849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398.07273654067848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0.17</v>
      </c>
      <c r="C32" s="98">
        <v>0.95</v>
      </c>
      <c r="D32" s="56">
        <v>1.4358697255793671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0.30520770000000003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0.86144760000000009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2.2872799999999999E-2</v>
      </c>
      <c r="C38" s="98">
        <v>0.95</v>
      </c>
      <c r="D38" s="56">
        <v>5.3874863984233787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201</v>
      </c>
      <c r="F39" s="98">
        <v>1</v>
      </c>
      <c r="G39" s="98">
        <v>1</v>
      </c>
    </row>
  </sheetData>
  <sheetProtection algorithmName="SHA-512" hashValue="/iFhrMQpKk8pGWC61HsYiWe8DvPlZO3xEFnaXCE02QOwmQMOmI497Ujc3ZwV/r5FJQX7PaVLyz+O4pnUhdPWnw==" saltValue="kXFWHHXKH2qsIt+l+pJP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JziRbymeHTP0yBLnu+f60aUyObohs714lZBA1quhSUaIptIhSDN0vJOye/akT6SGYk9ZU3ziLFeqwkV8xFF4g==" saltValue="R934uRF+P5MSYU829ueb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Ty5hmVYi6ThYKWtP9yXo0lbNVRmOhqySvGVcBLf2H2kOT2dMKYQwjxB3wFPKu5CgHlRJgNBNbXb9vka/F2NrMw==" saltValue="ZyNYe431DZOAsHP1ZGO9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208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Pj4J/U8C2OWjrBwhuBughZtBpMkB6ldLyiwbN64unKaMLIjMWFStx4k0WYyxfOsLO5Oump44byaKZRIXW3dEWA==" saltValue="H7t2u+IK14157QUJpAgK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0.42</v>
      </c>
      <c r="M24" s="60">
        <f>famplan_unmet_need</f>
        <v>0.42</v>
      </c>
      <c r="N24" s="60">
        <f>famplan_unmet_need</f>
        <v>0.42</v>
      </c>
      <c r="O24" s="60">
        <f>famplan_unmet_need</f>
        <v>0.42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0.17104290542068504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7.3304102323150738E-2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0.10457061005401624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0.65108238220214798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S3uScbR0qTgs6rQF5gqamswM39iHHn2QNOnvUtoYv1N8yx0LXCueBiCHcpDoCwt+LAdN6AA7v1sgKuzxGZryw==" saltValue="3phLSZ+cPtc+BTPgDpZ+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NxsWR+2nNkKSm11i5IWjhPg5Zz03w/wmAqaJ2IcI3B79omRJ8TEVRo6BDJ2ePyg1yBJXvu+u6f+9BppjIOer1A==" saltValue="vahRVXK7uxPSrurxXm8D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SeqEoPQ7M+2sULbQo7eJrkT/PxNHv/GnmyFs3zhdoJ8bY40RIBgOkD+XAOowkvFAbaKDARoHFmE9wrHDUP/cg==" saltValue="U95OkN5ZfgiErRY86AU6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ZItrITT1srnmyNxVeS11Co3XU56+qbr8r6tE9KPYyVxwSogysWkCEr+AHVlgBN0aI6fDMCVz4DdF2dFM1e86A==" saltValue="7h0cbpDwTZF0He+swLBs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ged4xomiX578AlLdPVu/nyKgz+sxXe0u5LFwSPQPCUXxUqu9Q00eXpUY1KTDFkyiOefWh9tU2Ghh1e+wulJfHw==" saltValue="ex4G463bFkhDsD3hx4yu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uxPF7QGW/+tccs9nvj5EVBdnq5Ng8nAj+wCnbs9SmWXqxgW6i4wklJIqLkktvcMkoWpkMb33Q7dioZjU6d7iQ==" saltValue="LhbOUTt6eMgKFlzXYsCj5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1sK3fJi5fHxW+aVcOrxi1NWBqNXYJ7QwKkcyJMFg/7UVqXqU/PqsjkVPFHY4LCktWzQn7YwgAjIQ7bXv3baPg==" saltValue="0bDpyixToiqSA9wFJiTMk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ebl5bZsea9lP7c7eTBht0rVQi8+x+/cfdDdhA6RqT15lqRbEGRohKJ7BPqi5TSZ7GuDmFNAEQDQwmR3h++SvQ==" saltValue="TOl7u5iRQ5f+LFQ+zVnj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ehSEgsTWolCAqMjmbIZB5t9TOR5Jv4Kvux9+mwSfjIifdeD1YgI9FW8ej6JpWCJRreG49x60B/duT1kor67EQ==" saltValue="hjqb75v0ovBhhO0SwLZx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81Ll3YtFxXCxRjTn4xgKXF0jX26qVuEc4P6vVX//2CL3Xaf5Yvzglvi4G9lrTlMKx7Bv2vI5nS+g4Swn4FAFA==" saltValue="2d0BFN5zm6cG6+QSVLZY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U4oSiz//U3Bo8y/FzpbBPWJBeBzh1XgxJUfU0XQfH8LbivH1LE+LHhJbWuIczigX8+T0t0crfDevlMqJhbaCQ==" saltValue="7HFjiRedCo5wjymu58i9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7FLHwGrDwLhB3Tj9DSavCcWv+KXnoe/bJtOMhFGw6HoxAXwybwodVDF1su5qvyO9iVQG8H/paiHi3aexC5WVw==" saltValue="S9LsCxiMnAqIxww+Hb6I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G/yHu5lc4b6iRFjbTb9EZJ+Ko4lHgawJ33VPP+u9wpNIYDw52jcOTqR76HaUEVo8yGX8xBFZN+kknEP8rE5KQ==" saltValue="KryvBPBdXZsqF/MIho6T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0.10904397924295917</v>
      </c>
      <c r="G18" s="90">
        <f>MIN(MAX(1-0.89/(1-frac_sam_12_23months+(frac_sam_12_23months*0.89)),0),1)</f>
        <v>0.10941454515252147</v>
      </c>
      <c r="H18" s="90">
        <f>MIN(MAX(1-0.89/(1-frac_sam_24_59months+(frac_sam_24_59months*0.89)),0),1)</f>
        <v>0.10961200007321192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0.10896150978731145</v>
      </c>
      <c r="G20" s="90">
        <f>MIN(MAX(1-0.89/(1-frac_mam_12_23months+(frac_mam_12_23months*0.89)),0),1)</f>
        <v>0.10880328857915011</v>
      </c>
      <c r="H20" s="90">
        <f>MIN(MAX(1-0.89/(1-frac_mam_24_59months+(frac_mam_24_59months*0.89)),0),1)</f>
        <v>0.10810846662521179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9.9034180586248244E-3</v>
      </c>
      <c r="G73" s="90">
        <f>MIN(MAX(1-0.99/(1-frac_sam_12_23months+(frac_sam_12_23months*0.99)),0),1)</f>
        <v>9.9408320840069786E-3</v>
      </c>
      <c r="H73" s="90">
        <f>MIN(MAX(1-0.99/(1-frac_sam_24_59months+(frac_sam_24_59months*0.99)),0),1)</f>
        <v>9.9607795962838308E-3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9.8950954150446302E-3</v>
      </c>
      <c r="G75" s="90">
        <f>MIN(MAX(1-0.99/(1-frac_mam_12_23months+(frac_mam_12_23months*0.99)),0),1)</f>
        <v>9.8791319851579962E-3</v>
      </c>
      <c r="H75" s="90">
        <f>MIN(MAX(1-0.99/(1-frac_mam_24_59months+(frac_mam_24_59months*0.99)),0),1)</f>
        <v>9.8090902024000615E-3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0.19843618105178484</v>
      </c>
      <c r="G128" s="90">
        <f>MIN(MAX(1-0.8/(1-frac_sam_12_23months+(frac_sam_12_23months*0.8)),0),1)</f>
        <v>0.19904266375342461</v>
      </c>
      <c r="H128" s="90">
        <f>MIN(MAX(1-0.8/(1-frac_sam_24_59months+(frac_sam_24_59months*0.8)),0),1)</f>
        <v>0.19936565741036616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0.19830115203924026</v>
      </c>
      <c r="G130" s="90">
        <f>MIN(MAX(1-0.8/(1-frac_mam_12_23months+(frac_mam_12_23months*0.8)),0),1)</f>
        <v>0.19804203566924572</v>
      </c>
      <c r="H130" s="90">
        <f>MIN(MAX(1-0.8/(1-frac_mam_24_59months+(frac_mam_24_59months*0.8)),0),1)</f>
        <v>0.1969032428424653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7l8QAC4gFAi4aFCTdCyH5v9M8pxTxNOMwwCy5dn0Rsau5hl1Jx0rNXeTYrlqtDKvHZLuufhpbYZo2q2KpMR6w==" saltValue="ZnMRLWYvfSHIfD3uIlN1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I8l4LlKn28o0sXQEAiFry9ZPXKNIsWHufWQeDf5vjQOGMThB+Agz3Vnob4oBAaQUzNo/Dbb1damzuGlvM1zcA==" saltValue="aGrfUPKzJ02zjemBcrs8N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2024-08-06T09:13:31Z</dcterms:modified>
</cp:coreProperties>
</file>