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F4D6B43D-2317-4E13-B403-54B4013F5F35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F112" i="27"/>
  <c r="E112" i="27"/>
  <c r="D112" i="27"/>
  <c r="H97" i="27"/>
  <c r="H152" i="27" s="1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I40" i="2" s="1"/>
  <c r="H39" i="2"/>
  <c r="G39" i="2"/>
  <c r="I39" i="2" s="1"/>
  <c r="H38" i="2"/>
  <c r="G38" i="2"/>
  <c r="I38" i="2" s="1"/>
  <c r="H13" i="2"/>
  <c r="G13" i="2"/>
  <c r="I13" i="2" s="1"/>
  <c r="H12" i="2"/>
  <c r="G12" i="2"/>
  <c r="H11" i="2"/>
  <c r="G11" i="2"/>
  <c r="I11" i="2" s="1"/>
  <c r="H10" i="2"/>
  <c r="G10" i="2"/>
  <c r="I10" i="2" s="1"/>
  <c r="H9" i="2"/>
  <c r="G9" i="2"/>
  <c r="I9" i="2" s="1"/>
  <c r="H8" i="2"/>
  <c r="G8" i="2"/>
  <c r="H7" i="2"/>
  <c r="G7" i="2"/>
  <c r="I7" i="2" s="1"/>
  <c r="H6" i="2"/>
  <c r="G6" i="2"/>
  <c r="I6" i="2" s="1"/>
  <c r="H5" i="2"/>
  <c r="G5" i="2"/>
  <c r="I5" i="2" s="1"/>
  <c r="H4" i="2"/>
  <c r="G4" i="2"/>
  <c r="H3" i="2"/>
  <c r="G3" i="2"/>
  <c r="I3" i="2" s="1"/>
  <c r="H2" i="2"/>
  <c r="G2" i="2"/>
  <c r="I2" i="2" s="1"/>
  <c r="A2" i="2"/>
  <c r="A40" i="2" s="1"/>
  <c r="C33" i="1"/>
  <c r="C20" i="1"/>
  <c r="A28" i="2" l="1"/>
  <c r="A31" i="2"/>
  <c r="A19" i="2"/>
  <c r="A33" i="2"/>
  <c r="A25" i="2"/>
  <c r="A26" i="2"/>
  <c r="A17" i="2"/>
  <c r="A18" i="2"/>
  <c r="I4" i="2"/>
  <c r="I8" i="2"/>
  <c r="I12" i="2"/>
  <c r="A20" i="2"/>
  <c r="A34" i="2"/>
  <c r="A15" i="2"/>
  <c r="A27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23" i="2"/>
  <c r="A35" i="2"/>
  <c r="A16" i="2"/>
  <c r="A24" i="2"/>
  <c r="A32" i="2"/>
  <c r="A39" i="2"/>
  <c r="A36" i="2"/>
  <c r="A21" i="2"/>
  <c r="A29" i="2"/>
  <c r="A37" i="2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<sst xmlns="http://schemas.openxmlformats.org/spreadsheetml/2006/main" count="2101" uniqueCount="337">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</sst>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1273383.1796875</v>
      </c>
    </row>
    <row r="8" spans="1:3" ht="15" customHeight="1" x14ac:dyDescent="0.25">
      <c r="B8" s="5" t="s">
        <v>19</v>
      </c>
      <c r="C8" s="44">
        <v>0.24199999999999999</v>
      </c>
    </row>
    <row r="9" spans="1:3" ht="15" customHeight="1" x14ac:dyDescent="0.25">
      <c r="B9" s="5" t="s">
        <v>20</v>
      </c>
      <c r="C9" s="45">
        <v>7.2000000000000008E-2</v>
      </c>
    </row>
    <row r="10" spans="1:3" ht="15" customHeight="1" x14ac:dyDescent="0.25">
      <c r="B10" s="5" t="s">
        <v>21</v>
      </c>
      <c r="C10" s="45">
        <v>0.78792312620000005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0.56000000000000005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7.2900000000000006E-2</v>
      </c>
    </row>
    <row r="24" spans="1:3" ht="15" customHeight="1" x14ac:dyDescent="0.25">
      <c r="B24" s="15" t="s">
        <v>33</v>
      </c>
      <c r="C24" s="45">
        <v>0.45440000000000003</v>
      </c>
    </row>
    <row r="25" spans="1:3" ht="15" customHeight="1" x14ac:dyDescent="0.25">
      <c r="B25" s="15" t="s">
        <v>34</v>
      </c>
      <c r="C25" s="45">
        <v>0.37469999999999998</v>
      </c>
    </row>
    <row r="26" spans="1:3" ht="15" customHeight="1" x14ac:dyDescent="0.25">
      <c r="B26" s="15" t="s">
        <v>35</v>
      </c>
      <c r="C26" s="45">
        <v>9.8000000000000004E-2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0.313922160131612</v>
      </c>
    </row>
    <row r="30" spans="1:3" ht="14.25" customHeight="1" x14ac:dyDescent="0.25">
      <c r="B30" s="25" t="s">
        <v>38</v>
      </c>
      <c r="C30" s="99">
        <v>4.8182353063125502E-2</v>
      </c>
    </row>
    <row r="31" spans="1:3" ht="14.25" customHeight="1" x14ac:dyDescent="0.25">
      <c r="B31" s="25" t="s">
        <v>39</v>
      </c>
      <c r="C31" s="99">
        <v>7.3364831683659995E-2</v>
      </c>
    </row>
    <row r="32" spans="1:3" ht="14.25" customHeight="1" x14ac:dyDescent="0.25">
      <c r="B32" s="25" t="s">
        <v>40</v>
      </c>
      <c r="C32" s="99">
        <v>0.56453065512160205</v>
      </c>
    </row>
    <row r="33" spans="1:5" ht="13" customHeight="1" x14ac:dyDescent="0.25">
      <c r="B33" s="27" t="s">
        <v>41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24.281790000000001</v>
      </c>
    </row>
    <row r="38" spans="1:5" ht="15" customHeight="1" x14ac:dyDescent="0.25">
      <c r="B38" s="11" t="s">
        <v>45</v>
      </c>
      <c r="C38" s="43">
        <v>45.410170000000001</v>
      </c>
      <c r="D38" s="12"/>
      <c r="E38" s="13"/>
    </row>
    <row r="39" spans="1:5" ht="15" customHeight="1" x14ac:dyDescent="0.25">
      <c r="B39" s="11" t="s">
        <v>46</v>
      </c>
      <c r="C39" s="43">
        <v>58.632680000000001</v>
      </c>
      <c r="D39" s="12"/>
      <c r="E39" s="12"/>
    </row>
    <row r="40" spans="1:5" ht="15" customHeight="1" x14ac:dyDescent="0.25">
      <c r="B40" s="11" t="s">
        <v>47</v>
      </c>
      <c r="C40" s="100">
        <v>3.5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17.717009999999998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7.1995999999999996E-3</v>
      </c>
      <c r="D45" s="12"/>
    </row>
    <row r="46" spans="1:5" ht="15.75" customHeight="1" x14ac:dyDescent="0.25">
      <c r="B46" s="11" t="s">
        <v>52</v>
      </c>
      <c r="C46" s="45">
        <v>7.7358700000000002E-2</v>
      </c>
      <c r="D46" s="12"/>
    </row>
    <row r="47" spans="1:5" ht="15.75" customHeight="1" x14ac:dyDescent="0.25">
      <c r="B47" s="11" t="s">
        <v>53</v>
      </c>
      <c r="C47" s="45">
        <v>7.4154299999999992E-2</v>
      </c>
      <c r="D47" s="12"/>
      <c r="E47" s="13"/>
    </row>
    <row r="48" spans="1:5" ht="15" customHeight="1" x14ac:dyDescent="0.25">
      <c r="B48" s="11" t="s">
        <v>54</v>
      </c>
      <c r="C48" s="46">
        <v>0.84128739999999991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3.2</v>
      </c>
      <c r="D51" s="12"/>
    </row>
    <row r="52" spans="1:4" ht="15" customHeight="1" x14ac:dyDescent="0.25">
      <c r="B52" s="11" t="s">
        <v>57</v>
      </c>
      <c r="C52" s="100">
        <v>3.2</v>
      </c>
    </row>
    <row r="53" spans="1:4" ht="15.75" customHeight="1" x14ac:dyDescent="0.25">
      <c r="B53" s="11" t="s">
        <v>58</v>
      </c>
      <c r="C53" s="100">
        <v>3.2</v>
      </c>
    </row>
    <row r="54" spans="1:4" ht="15.75" customHeight="1" x14ac:dyDescent="0.25">
      <c r="B54" s="11" t="s">
        <v>59</v>
      </c>
      <c r="C54" s="100">
        <v>3.2</v>
      </c>
    </row>
    <row r="55" spans="1:4" ht="15.75" customHeight="1" x14ac:dyDescent="0.25">
      <c r="B55" s="11" t="s">
        <v>60</v>
      </c>
      <c r="C55" s="100">
        <v>3.2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1.9375E-2</v>
      </c>
    </row>
    <row r="59" spans="1:4" ht="15.75" customHeight="1" x14ac:dyDescent="0.25">
      <c r="B59" s="11" t="s">
        <v>63</v>
      </c>
      <c r="C59" s="45">
        <v>0.455787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OpU6ElfRROf9n/kEgpHywgA8d3jdVWkokAH9o61a3ZVRm/bxRyUfsgffYs8MuTLbzvp72CcjWEZ2KjLepeC51Q==" saltValue="Sc3rOZdDZD0rGHz+AobqS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266581</v>
      </c>
      <c r="C2" s="49">
        <v>695453.5</v>
      </c>
      <c r="D2" s="49">
        <v>1058977.5</v>
      </c>
      <c r="E2" s="49">
        <v>912421.5</v>
      </c>
      <c r="F2" s="49">
        <v>583943.5</v>
      </c>
      <c r="G2" s="17">
        <f t="shared" ref="G2:G13" si="0">C2+D2+E2+F2</f>
        <v>3250796</v>
      </c>
      <c r="H2" s="17">
        <f t="shared" ref="H2:H13" si="1">(B2 + stillbirth*B2/(1000-stillbirth))/(1-abortion)</f>
        <v>308396.82416312082</v>
      </c>
      <c r="I2" s="17">
        <f t="shared" ref="I2:I13" si="2">G2-H2</f>
        <v>2942399.1758368793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265489</v>
      </c>
      <c r="C3" s="50">
        <v>700609</v>
      </c>
      <c r="D3" s="50">
        <v>1065174</v>
      </c>
      <c r="E3" s="50">
        <v>924954.5</v>
      </c>
      <c r="F3" s="50">
        <v>604615</v>
      </c>
      <c r="G3" s="17">
        <f t="shared" si="0"/>
        <v>3295352.5</v>
      </c>
      <c r="H3" s="17">
        <f t="shared" si="1"/>
        <v>307133.53333599464</v>
      </c>
      <c r="I3" s="17">
        <f t="shared" si="2"/>
        <v>2988218.9666640055</v>
      </c>
    </row>
    <row r="4" spans="1:9" ht="15.75" customHeight="1" x14ac:dyDescent="0.25">
      <c r="A4" s="5">
        <f t="shared" si="3"/>
        <v>2026</v>
      </c>
      <c r="B4" s="49">
        <v>264193</v>
      </c>
      <c r="C4" s="50">
        <v>705573.5</v>
      </c>
      <c r="D4" s="50">
        <v>1071341.5</v>
      </c>
      <c r="E4" s="50">
        <v>935880</v>
      </c>
      <c r="F4" s="50">
        <v>625208</v>
      </c>
      <c r="G4" s="17">
        <f t="shared" si="0"/>
        <v>3338003</v>
      </c>
      <c r="H4" s="17">
        <f t="shared" si="1"/>
        <v>305634.24312358111</v>
      </c>
      <c r="I4" s="17">
        <f t="shared" si="2"/>
        <v>3032368.7568764188</v>
      </c>
    </row>
    <row r="5" spans="1:9" ht="15.75" customHeight="1" x14ac:dyDescent="0.25">
      <c r="A5" s="5">
        <f t="shared" si="3"/>
        <v>2027</v>
      </c>
      <c r="B5" s="49">
        <v>264007</v>
      </c>
      <c r="C5" s="50">
        <v>709713.50000000012</v>
      </c>
      <c r="D5" s="50">
        <v>1077209</v>
      </c>
      <c r="E5" s="50">
        <v>945404.49999999988</v>
      </c>
      <c r="F5" s="50">
        <v>645814</v>
      </c>
      <c r="G5" s="17">
        <f t="shared" si="0"/>
        <v>3378141</v>
      </c>
      <c r="H5" s="17">
        <f t="shared" si="1"/>
        <v>305419.06721346616</v>
      </c>
      <c r="I5" s="17">
        <f t="shared" si="2"/>
        <v>3072721.9327865336</v>
      </c>
    </row>
    <row r="6" spans="1:9" ht="15.75" customHeight="1" x14ac:dyDescent="0.25">
      <c r="A6" s="5">
        <f t="shared" si="3"/>
        <v>2028</v>
      </c>
      <c r="B6" s="49">
        <v>262471</v>
      </c>
      <c r="C6" s="50">
        <v>713643.5</v>
      </c>
      <c r="D6" s="50">
        <v>1082902</v>
      </c>
      <c r="E6" s="50">
        <v>953650.5</v>
      </c>
      <c r="F6" s="50">
        <v>666425</v>
      </c>
      <c r="G6" s="17">
        <f t="shared" si="0"/>
        <v>3416621</v>
      </c>
      <c r="H6" s="17">
        <f t="shared" si="1"/>
        <v>303642.13066542055</v>
      </c>
      <c r="I6" s="17">
        <f t="shared" si="2"/>
        <v>3112978.8693345794</v>
      </c>
    </row>
    <row r="7" spans="1:9" ht="15.75" customHeight="1" x14ac:dyDescent="0.25">
      <c r="A7" s="5">
        <f t="shared" si="3"/>
        <v>2029</v>
      </c>
      <c r="B7" s="49">
        <v>261202</v>
      </c>
      <c r="C7" s="50">
        <v>717556.49999999988</v>
      </c>
      <c r="D7" s="50">
        <v>1088676.5</v>
      </c>
      <c r="E7" s="50">
        <v>960921.50000000012</v>
      </c>
      <c r="F7" s="50">
        <v>686842.5</v>
      </c>
      <c r="G7" s="17">
        <f t="shared" si="0"/>
        <v>3453997</v>
      </c>
      <c r="H7" s="17">
        <f t="shared" si="1"/>
        <v>302174.07566576567</v>
      </c>
      <c r="I7" s="17">
        <f t="shared" si="2"/>
        <v>3151822.9243342346</v>
      </c>
    </row>
    <row r="8" spans="1:9" ht="15.75" customHeight="1" x14ac:dyDescent="0.25">
      <c r="A8" s="5">
        <f t="shared" si="3"/>
        <v>2030</v>
      </c>
      <c r="B8" s="49">
        <v>261052</v>
      </c>
      <c r="C8" s="50">
        <v>720973.5</v>
      </c>
      <c r="D8" s="50">
        <v>1094587.5</v>
      </c>
      <c r="E8" s="50">
        <v>967926.5</v>
      </c>
      <c r="F8" s="50">
        <v>706851.5</v>
      </c>
      <c r="G8" s="17">
        <f t="shared" si="0"/>
        <v>3490339</v>
      </c>
      <c r="H8" s="17">
        <f t="shared" si="1"/>
        <v>302000.54670599557</v>
      </c>
      <c r="I8" s="17">
        <f t="shared" si="2"/>
        <v>3188338.4532940043</v>
      </c>
    </row>
    <row r="9" spans="1:9" ht="15.75" customHeight="1" x14ac:dyDescent="0.25">
      <c r="A9" s="5">
        <f t="shared" si="3"/>
        <v>2031</v>
      </c>
      <c r="B9" s="49">
        <v>260695</v>
      </c>
      <c r="C9" s="50">
        <v>723598</v>
      </c>
      <c r="D9" s="50">
        <v>1101650</v>
      </c>
      <c r="E9" s="50">
        <v>975156</v>
      </c>
      <c r="F9" s="50">
        <v>726244.5</v>
      </c>
      <c r="G9" s="17">
        <f t="shared" si="0"/>
        <v>3526648.5</v>
      </c>
      <c r="H9" s="17">
        <f t="shared" si="1"/>
        <v>301587.54778174282</v>
      </c>
      <c r="I9" s="17">
        <f t="shared" si="2"/>
        <v>3225060.9522182574</v>
      </c>
    </row>
    <row r="10" spans="1:9" ht="15.75" customHeight="1" x14ac:dyDescent="0.25">
      <c r="A10" s="5">
        <f t="shared" si="3"/>
        <v>2032</v>
      </c>
      <c r="B10" s="49">
        <v>259116</v>
      </c>
      <c r="C10" s="50">
        <v>726132</v>
      </c>
      <c r="D10" s="50">
        <v>1109632</v>
      </c>
      <c r="E10" s="50">
        <v>982193</v>
      </c>
      <c r="F10" s="50">
        <v>743608</v>
      </c>
      <c r="G10" s="17">
        <f t="shared" si="0"/>
        <v>3561565</v>
      </c>
      <c r="H10" s="17">
        <f t="shared" si="1"/>
        <v>299760.86626522976</v>
      </c>
      <c r="I10" s="17">
        <f t="shared" si="2"/>
        <v>3261804.1337347701</v>
      </c>
    </row>
    <row r="11" spans="1:9" ht="15.75" customHeight="1" x14ac:dyDescent="0.25">
      <c r="A11" s="5">
        <f t="shared" si="3"/>
        <v>2033</v>
      </c>
      <c r="B11" s="49">
        <v>258266</v>
      </c>
      <c r="C11" s="50">
        <v>729320.5</v>
      </c>
      <c r="D11" s="50">
        <v>1117177</v>
      </c>
      <c r="E11" s="50">
        <v>989143.5</v>
      </c>
      <c r="F11" s="50">
        <v>758928</v>
      </c>
      <c r="G11" s="17">
        <f t="shared" si="0"/>
        <v>3594569</v>
      </c>
      <c r="H11" s="17">
        <f t="shared" si="1"/>
        <v>298777.53549319931</v>
      </c>
      <c r="I11" s="17">
        <f t="shared" si="2"/>
        <v>3295791.4645068008</v>
      </c>
    </row>
    <row r="12" spans="1:9" ht="15.75" customHeight="1" x14ac:dyDescent="0.25">
      <c r="A12" s="5">
        <f t="shared" si="3"/>
        <v>2034</v>
      </c>
      <c r="B12" s="49">
        <v>257593</v>
      </c>
      <c r="C12" s="50">
        <v>732583.50000000012</v>
      </c>
      <c r="D12" s="50">
        <v>1124530.5</v>
      </c>
      <c r="E12" s="50">
        <v>996455</v>
      </c>
      <c r="F12" s="50">
        <v>772988</v>
      </c>
      <c r="G12" s="17">
        <f t="shared" si="0"/>
        <v>3626557</v>
      </c>
      <c r="H12" s="17">
        <f t="shared" si="1"/>
        <v>297998.96889369749</v>
      </c>
      <c r="I12" s="17">
        <f t="shared" si="2"/>
        <v>3328558.0311063025</v>
      </c>
    </row>
    <row r="13" spans="1:9" ht="15.75" customHeight="1" x14ac:dyDescent="0.25">
      <c r="A13" s="5">
        <f t="shared" si="3"/>
        <v>2035</v>
      </c>
      <c r="B13" s="49">
        <v>257422</v>
      </c>
      <c r="C13" s="50">
        <v>734906.49999999988</v>
      </c>
      <c r="D13" s="50">
        <v>1132129.5</v>
      </c>
      <c r="E13" s="50">
        <v>1004080</v>
      </c>
      <c r="F13" s="50">
        <v>785383.5</v>
      </c>
      <c r="G13" s="17">
        <f t="shared" si="0"/>
        <v>3656499.5</v>
      </c>
      <c r="H13" s="17">
        <f t="shared" si="1"/>
        <v>297801.14587955963</v>
      </c>
      <c r="I13" s="17">
        <f t="shared" si="2"/>
        <v>3358698.3541204403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aayWl3XrUeZkHam675hn9ebHq/4wyh98ed6AQBbWS4ftQzzL/lgxvV3IT5zVdsnNo0qOsB7ewKt6oHDiiIo0pw==" saltValue="VBXlHsV91YNf23zcDEMLZ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1.457150145715014E-2</v>
      </c>
    </row>
    <row r="4" spans="1:8" ht="15.75" customHeight="1" x14ac:dyDescent="0.25">
      <c r="B4" s="19" t="s">
        <v>79</v>
      </c>
      <c r="C4" s="101">
        <v>5.6389805638980627E-2</v>
      </c>
    </row>
    <row r="5" spans="1:8" ht="15.75" customHeight="1" x14ac:dyDescent="0.25">
      <c r="B5" s="19" t="s">
        <v>80</v>
      </c>
      <c r="C5" s="101">
        <v>9.5235509523551004E-2</v>
      </c>
    </row>
    <row r="6" spans="1:8" ht="15.75" customHeight="1" x14ac:dyDescent="0.25">
      <c r="B6" s="19" t="s">
        <v>81</v>
      </c>
      <c r="C6" s="101">
        <v>0.24108282410828241</v>
      </c>
    </row>
    <row r="7" spans="1:8" ht="15.75" customHeight="1" x14ac:dyDescent="0.25">
      <c r="B7" s="19" t="s">
        <v>82</v>
      </c>
      <c r="C7" s="101">
        <v>0.38396373839637371</v>
      </c>
    </row>
    <row r="8" spans="1:8" ht="15.75" customHeight="1" x14ac:dyDescent="0.25">
      <c r="B8" s="19" t="s">
        <v>83</v>
      </c>
      <c r="C8" s="101">
        <v>4.505000450500056E-3</v>
      </c>
    </row>
    <row r="9" spans="1:8" ht="15.75" customHeight="1" x14ac:dyDescent="0.25">
      <c r="B9" s="19" t="s">
        <v>84</v>
      </c>
      <c r="C9" s="101">
        <v>7.3147507314750781E-2</v>
      </c>
    </row>
    <row r="10" spans="1:8" ht="15.75" customHeight="1" x14ac:dyDescent="0.25">
      <c r="B10" s="19" t="s">
        <v>85</v>
      </c>
      <c r="C10" s="101">
        <v>0.1311041131104114</v>
      </c>
    </row>
    <row r="11" spans="1:8" ht="15.75" customHeight="1" x14ac:dyDescent="0.25">
      <c r="B11" s="27" t="s">
        <v>41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0.21106080706727851</v>
      </c>
      <c r="D14" s="55">
        <v>0.21106080706727851</v>
      </c>
      <c r="E14" s="55">
        <v>0.21106080706727851</v>
      </c>
      <c r="F14" s="55">
        <v>0.21106080706727851</v>
      </c>
    </row>
    <row r="15" spans="1:8" ht="15.75" customHeight="1" x14ac:dyDescent="0.25">
      <c r="B15" s="19" t="s">
        <v>88</v>
      </c>
      <c r="C15" s="101">
        <v>0.41237195447993258</v>
      </c>
      <c r="D15" s="101">
        <v>0.41237195447993258</v>
      </c>
      <c r="E15" s="101">
        <v>0.41237195447993258</v>
      </c>
      <c r="F15" s="101">
        <v>0.41237195447993258</v>
      </c>
    </row>
    <row r="16" spans="1:8" ht="15.75" customHeight="1" x14ac:dyDescent="0.25">
      <c r="B16" s="19" t="s">
        <v>89</v>
      </c>
      <c r="C16" s="101">
        <v>4.0164812369605563E-2</v>
      </c>
      <c r="D16" s="101">
        <v>4.0164812369605563E-2</v>
      </c>
      <c r="E16" s="101">
        <v>4.0164812369605563E-2</v>
      </c>
      <c r="F16" s="101">
        <v>4.0164812369605563E-2</v>
      </c>
    </row>
    <row r="17" spans="1:8" ht="15.75" customHeight="1" x14ac:dyDescent="0.25">
      <c r="B17" s="19" t="s">
        <v>90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91</v>
      </c>
      <c r="C18" s="101">
        <v>9.8733560397260348E-4</v>
      </c>
      <c r="D18" s="101">
        <v>9.8733560397260348E-4</v>
      </c>
      <c r="E18" s="101">
        <v>9.8733560397260348E-4</v>
      </c>
      <c r="F18" s="101">
        <v>9.8733560397260348E-4</v>
      </c>
    </row>
    <row r="19" spans="1:8" ht="15.75" customHeight="1" x14ac:dyDescent="0.25">
      <c r="B19" s="19" t="s">
        <v>92</v>
      </c>
      <c r="C19" s="101">
        <v>2.6499715031151418E-2</v>
      </c>
      <c r="D19" s="101">
        <v>2.6499715031151418E-2</v>
      </c>
      <c r="E19" s="101">
        <v>2.6499715031151418E-2</v>
      </c>
      <c r="F19" s="101">
        <v>2.6499715031151418E-2</v>
      </c>
    </row>
    <row r="20" spans="1:8" ht="15.75" customHeight="1" x14ac:dyDescent="0.25">
      <c r="B20" s="19" t="s">
        <v>93</v>
      </c>
      <c r="C20" s="101">
        <v>5.7101080443523709E-2</v>
      </c>
      <c r="D20" s="101">
        <v>5.7101080443523709E-2</v>
      </c>
      <c r="E20" s="101">
        <v>5.7101080443523709E-2</v>
      </c>
      <c r="F20" s="101">
        <v>5.7101080443523709E-2</v>
      </c>
    </row>
    <row r="21" spans="1:8" ht="15.75" customHeight="1" x14ac:dyDescent="0.25">
      <c r="B21" s="19" t="s">
        <v>94</v>
      </c>
      <c r="C21" s="101">
        <v>0.1063705702456989</v>
      </c>
      <c r="D21" s="101">
        <v>0.1063705702456989</v>
      </c>
      <c r="E21" s="101">
        <v>0.1063705702456989</v>
      </c>
      <c r="F21" s="101">
        <v>0.1063705702456989</v>
      </c>
    </row>
    <row r="22" spans="1:8" ht="15.75" customHeight="1" x14ac:dyDescent="0.25">
      <c r="B22" s="19" t="s">
        <v>95</v>
      </c>
      <c r="C22" s="101">
        <v>0.14544372475883671</v>
      </c>
      <c r="D22" s="101">
        <v>0.14544372475883671</v>
      </c>
      <c r="E22" s="101">
        <v>0.14544372475883671</v>
      </c>
      <c r="F22" s="101">
        <v>0.14544372475883671</v>
      </c>
    </row>
    <row r="23" spans="1:8" ht="15.75" customHeight="1" x14ac:dyDescent="0.25">
      <c r="B23" s="27" t="s">
        <v>41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0.103712281</v>
      </c>
    </row>
    <row r="27" spans="1:8" ht="15.75" customHeight="1" x14ac:dyDescent="0.25">
      <c r="B27" s="19" t="s">
        <v>102</v>
      </c>
      <c r="C27" s="101">
        <v>0.109547722</v>
      </c>
    </row>
    <row r="28" spans="1:8" ht="15.75" customHeight="1" x14ac:dyDescent="0.25">
      <c r="B28" s="19" t="s">
        <v>103</v>
      </c>
      <c r="C28" s="101">
        <v>6.2347139000000003E-2</v>
      </c>
    </row>
    <row r="29" spans="1:8" ht="15.75" customHeight="1" x14ac:dyDescent="0.25">
      <c r="B29" s="19" t="s">
        <v>104</v>
      </c>
      <c r="C29" s="101">
        <v>0.20200695599999999</v>
      </c>
    </row>
    <row r="30" spans="1:8" ht="15.75" customHeight="1" x14ac:dyDescent="0.25">
      <c r="B30" s="19" t="s">
        <v>2</v>
      </c>
      <c r="C30" s="101">
        <v>0.123504</v>
      </c>
    </row>
    <row r="31" spans="1:8" ht="15.75" customHeight="1" x14ac:dyDescent="0.25">
      <c r="B31" s="19" t="s">
        <v>105</v>
      </c>
      <c r="C31" s="101">
        <v>0.126081523</v>
      </c>
    </row>
    <row r="32" spans="1:8" ht="15.75" customHeight="1" x14ac:dyDescent="0.25">
      <c r="B32" s="19" t="s">
        <v>106</v>
      </c>
      <c r="C32" s="101">
        <v>1.7896931000000001E-2</v>
      </c>
    </row>
    <row r="33" spans="2:3" ht="15.75" customHeight="1" x14ac:dyDescent="0.25">
      <c r="B33" s="19" t="s">
        <v>107</v>
      </c>
      <c r="C33" s="101">
        <v>0.13369104100000001</v>
      </c>
    </row>
    <row r="34" spans="2:3" ht="15.75" customHeight="1" x14ac:dyDescent="0.25">
      <c r="B34" s="19" t="s">
        <v>108</v>
      </c>
      <c r="C34" s="101">
        <v>0.12121240799999999</v>
      </c>
    </row>
    <row r="35" spans="2:3" ht="15.75" customHeight="1" x14ac:dyDescent="0.25">
      <c r="B35" s="27" t="s">
        <v>41</v>
      </c>
      <c r="C35" s="48">
        <f>SUM(C26:C34)</f>
        <v>1.0000000010000001</v>
      </c>
    </row>
  </sheetData>
  <sheetProtection algorithmName="SHA-512" hashValue="2nghEnR/j1Nou6AG0NF1rcKy8ewhfo/K4C7abN7L/rDzsMZBnp/C4NCM1VdNOlpbXlx5EvTazdspxmQrxktGKQ==" saltValue="hlJqBUByIC/2bIId/+ncgA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0.52282654412950691</v>
      </c>
      <c r="D2" s="52">
        <f>IFERROR(1-_xlfn.NORM.DIST(_xlfn.NORM.INV(SUM(D4:D5), 0, 1) + 1, 0, 1, TRUE), "")</f>
        <v>0.52282654412950691</v>
      </c>
      <c r="E2" s="52">
        <f>IFERROR(1-_xlfn.NORM.DIST(_xlfn.NORM.INV(SUM(E4:E5), 0, 1) + 1, 0, 1, TRUE), "")</f>
        <v>0.56565441419134599</v>
      </c>
      <c r="F2" s="52">
        <f>IFERROR(1-_xlfn.NORM.DIST(_xlfn.NORM.INV(SUM(F4:F5), 0, 1) + 1, 0, 1, TRUE), "")</f>
        <v>0.41214044466243571</v>
      </c>
      <c r="G2" s="52">
        <f>IFERROR(1-_xlfn.NORM.DIST(_xlfn.NORM.INV(SUM(G4:G5), 0, 1) + 1, 0, 1, TRUE), "")</f>
        <v>0.37776664499865675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0.33197445587049312</v>
      </c>
      <c r="D3" s="52">
        <f>IFERROR(_xlfn.NORM.DIST(_xlfn.NORM.INV(SUM(D4:D5), 0, 1) + 1, 0, 1, TRUE) - SUM(D4:D5), "")</f>
        <v>0.33197445587049312</v>
      </c>
      <c r="E3" s="52">
        <f>IFERROR(_xlfn.NORM.DIST(_xlfn.NORM.INV(SUM(E4:E5), 0, 1) + 1, 0, 1, TRUE) - SUM(E4:E5), "")</f>
        <v>0.31240108580865406</v>
      </c>
      <c r="F3" s="52">
        <f>IFERROR(_xlfn.NORM.DIST(_xlfn.NORM.INV(SUM(F4:F5), 0, 1) + 1, 0, 1, TRUE) - SUM(F4:F5), "")</f>
        <v>0.36956255533756427</v>
      </c>
      <c r="G3" s="52">
        <f>IFERROR(_xlfn.NORM.DIST(_xlfn.NORM.INV(SUM(G4:G5), 0, 1) + 1, 0, 1, TRUE) - SUM(G4:G5), "")</f>
        <v>0.37671105500134328</v>
      </c>
    </row>
    <row r="4" spans="1:15" ht="15.75" customHeight="1" x14ac:dyDescent="0.25">
      <c r="B4" s="5" t="s">
        <v>114</v>
      </c>
      <c r="C4" s="45">
        <v>7.2916499999999995E-2</v>
      </c>
      <c r="D4" s="53">
        <v>7.2916499999999995E-2</v>
      </c>
      <c r="E4" s="53">
        <v>9.6801600000000002E-2</v>
      </c>
      <c r="F4" s="53">
        <v>0.13684399999999999</v>
      </c>
      <c r="G4" s="53">
        <v>0.16139909999999999</v>
      </c>
    </row>
    <row r="5" spans="1:15" ht="15.75" customHeight="1" x14ac:dyDescent="0.25">
      <c r="B5" s="5" t="s">
        <v>115</v>
      </c>
      <c r="C5" s="45">
        <v>7.22825E-2</v>
      </c>
      <c r="D5" s="53">
        <v>7.22825E-2</v>
      </c>
      <c r="E5" s="53">
        <v>2.5142899999999999E-2</v>
      </c>
      <c r="F5" s="53">
        <v>8.1453000000000012E-2</v>
      </c>
      <c r="G5" s="53">
        <v>8.4123199999999995E-2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0.66140786356424619</v>
      </c>
      <c r="D8" s="52">
        <f>IFERROR(1-_xlfn.NORM.DIST(_xlfn.NORM.INV(SUM(D10:D11), 0, 1) + 1, 0, 1, TRUE), "")</f>
        <v>0.66140786356424619</v>
      </c>
      <c r="E8" s="52">
        <f>IFERROR(1-_xlfn.NORM.DIST(_xlfn.NORM.INV(SUM(E10:E11), 0, 1) + 1, 0, 1, TRUE), "")</f>
        <v>0.65979688502469769</v>
      </c>
      <c r="F8" s="52">
        <f>IFERROR(1-_xlfn.NORM.DIST(_xlfn.NORM.INV(SUM(F10:F11), 0, 1) + 1, 0, 1, TRUE), "")</f>
        <v>0.74864000436299494</v>
      </c>
      <c r="G8" s="52">
        <f>IFERROR(1-_xlfn.NORM.DIST(_xlfn.NORM.INV(SUM(G10:G11), 0, 1) + 1, 0, 1, TRUE), "")</f>
        <v>0.84624001077781252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0.26024953643575388</v>
      </c>
      <c r="D9" s="52">
        <f>IFERROR(_xlfn.NORM.DIST(_xlfn.NORM.INV(SUM(D10:D11), 0, 1) + 1, 0, 1, TRUE) - SUM(D10:D11), "")</f>
        <v>0.26024953643575388</v>
      </c>
      <c r="E9" s="52">
        <f>IFERROR(_xlfn.NORM.DIST(_xlfn.NORM.INV(SUM(E10:E11), 0, 1) + 1, 0, 1, TRUE) - SUM(E10:E11), "")</f>
        <v>0.2612147149753023</v>
      </c>
      <c r="F9" s="52">
        <f>IFERROR(_xlfn.NORM.DIST(_xlfn.NORM.INV(SUM(F10:F11), 0, 1) + 1, 0, 1, TRUE) - SUM(F10:F11), "")</f>
        <v>0.20392169563700507</v>
      </c>
      <c r="G9" s="52">
        <f>IFERROR(_xlfn.NORM.DIST(_xlfn.NORM.INV(SUM(G10:G11), 0, 1) + 1, 0, 1, TRUE) - SUM(G10:G11), "")</f>
        <v>0.13209108922218746</v>
      </c>
    </row>
    <row r="10" spans="1:15" ht="15.75" customHeight="1" x14ac:dyDescent="0.25">
      <c r="B10" s="5" t="s">
        <v>119</v>
      </c>
      <c r="C10" s="45">
        <v>5.5282699999999997E-2</v>
      </c>
      <c r="D10" s="53">
        <v>5.5282699999999997E-2</v>
      </c>
      <c r="E10" s="53">
        <v>6.7739999999999995E-2</v>
      </c>
      <c r="F10" s="53">
        <v>3.5547700000000002E-2</v>
      </c>
      <c r="G10" s="53">
        <v>1.7248099999999999E-2</v>
      </c>
    </row>
    <row r="11" spans="1:15" ht="15.75" customHeight="1" x14ac:dyDescent="0.25">
      <c r="B11" s="5" t="s">
        <v>120</v>
      </c>
      <c r="C11" s="45">
        <v>2.3059900000000001E-2</v>
      </c>
      <c r="D11" s="53">
        <v>2.3059900000000001E-2</v>
      </c>
      <c r="E11" s="53">
        <v>1.12484E-2</v>
      </c>
      <c r="F11" s="53">
        <v>1.1890599999999999E-2</v>
      </c>
      <c r="G11" s="53">
        <v>4.4207999999999999E-3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0.83306406925000009</v>
      </c>
      <c r="D14" s="54">
        <v>0.81199289555200016</v>
      </c>
      <c r="E14" s="54">
        <v>0.81199289555200016</v>
      </c>
      <c r="F14" s="54">
        <v>0.67868807884899995</v>
      </c>
      <c r="G14" s="54">
        <v>0.67868807884899995</v>
      </c>
      <c r="H14" s="45">
        <v>0.504</v>
      </c>
      <c r="I14" s="55">
        <v>0.504</v>
      </c>
      <c r="J14" s="55">
        <v>0.504</v>
      </c>
      <c r="K14" s="55">
        <v>0.504</v>
      </c>
      <c r="L14" s="45">
        <v>0.46</v>
      </c>
      <c r="M14" s="55">
        <v>0.46</v>
      </c>
      <c r="N14" s="55">
        <v>0.46</v>
      </c>
      <c r="O14" s="55">
        <v>0.46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0.37969977293124979</v>
      </c>
      <c r="D15" s="52">
        <f t="shared" si="0"/>
        <v>0.37009580588495949</v>
      </c>
      <c r="E15" s="52">
        <f t="shared" si="0"/>
        <v>0.37009580588495949</v>
      </c>
      <c r="F15" s="52">
        <f t="shared" si="0"/>
        <v>0.30933720339434911</v>
      </c>
      <c r="G15" s="52">
        <f t="shared" si="0"/>
        <v>0.30933720339434911</v>
      </c>
      <c r="H15" s="52">
        <f t="shared" si="0"/>
        <v>0.229716648</v>
      </c>
      <c r="I15" s="52">
        <f t="shared" si="0"/>
        <v>0.229716648</v>
      </c>
      <c r="J15" s="52">
        <f t="shared" si="0"/>
        <v>0.229716648</v>
      </c>
      <c r="K15" s="52">
        <f t="shared" si="0"/>
        <v>0.229716648</v>
      </c>
      <c r="L15" s="52">
        <f t="shared" si="0"/>
        <v>0.20966202</v>
      </c>
      <c r="M15" s="52">
        <f t="shared" si="0"/>
        <v>0.20966202</v>
      </c>
      <c r="N15" s="52">
        <f t="shared" si="0"/>
        <v>0.20966202</v>
      </c>
      <c r="O15" s="52">
        <f t="shared" si="0"/>
        <v>0.20966202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0hmHqvkf82M+2WLRB0gEYXAMVTHmSfLI0F9wLuPPVxrPFCyad3ZRnhuGAyss+FJag3TxPC7pPzKv8IIBSC0MFw==" saltValue="YzFeyGNctNttjZKGvyzdM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0.64467859999999999</v>
      </c>
      <c r="D2" s="53">
        <v>0.30287550000000002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0.13002649999999999</v>
      </c>
      <c r="D3" s="53">
        <v>0.11225300000000001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0.19975219999999999</v>
      </c>
      <c r="D4" s="53">
        <v>0.53624519999999998</v>
      </c>
      <c r="E4" s="53">
        <v>0.91649709999999995</v>
      </c>
      <c r="F4" s="53">
        <v>0.52460410000000002</v>
      </c>
      <c r="G4" s="53">
        <v>0</v>
      </c>
    </row>
    <row r="5" spans="1:7" x14ac:dyDescent="0.25">
      <c r="B5" s="3" t="s">
        <v>132</v>
      </c>
      <c r="C5" s="52">
        <v>2.5542800000000001E-2</v>
      </c>
      <c r="D5" s="52">
        <v>4.86264E-2</v>
      </c>
      <c r="E5" s="52">
        <f>1-SUM(E2:E4)</f>
        <v>8.3502900000000047E-2</v>
      </c>
      <c r="F5" s="52">
        <f>1-SUM(F2:F4)</f>
        <v>0.47539589999999998</v>
      </c>
      <c r="G5" s="52">
        <f>1-SUM(G2:G4)</f>
        <v>1</v>
      </c>
    </row>
  </sheetData>
  <sheetProtection algorithmName="SHA-512" hashValue="I4EW21VpWiI/exHkrT5jzxjifiicbahaMMWqAqZHLL1ys2Fya6d3gpopagiHNadZtr6sI7lBtFhY3C2qN0Yurw==" saltValue="yVrbdAQA3sWB0ERUJoieN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jfzk2Zlv7ZqedYGK+Ugv5Akj/v0rfZ6NI479MQXckITRocjAUXi7aqzKXm91G7Zcc2ZkbvnJdBcjjAokmCDk4A==" saltValue="g0yKcVjYuqVQ6ODrKiBZo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ht="13.25" customHeight="1" x14ac:dyDescent="0.25">
      <c r="A2" s="8" t="s">
        <v>145</v>
      </c>
      <c r="B2" s="41">
        <v>10</v>
      </c>
    </row>
    <row r="3" spans="1:2" ht="13.25" customHeight="1" x14ac:dyDescent="0.25">
      <c r="A3" s="8" t="s">
        <v>150</v>
      </c>
      <c r="B3" s="41">
        <v>10</v>
      </c>
    </row>
    <row r="4" spans="1:2" ht="13.25" customHeight="1" x14ac:dyDescent="0.25">
      <c r="A4" s="8" t="s">
        <v>146</v>
      </c>
      <c r="B4" s="41">
        <v>10</v>
      </c>
    </row>
    <row r="5" spans="1:2" ht="13.25" customHeight="1" x14ac:dyDescent="0.25">
      <c r="A5" s="8" t="s">
        <v>147</v>
      </c>
      <c r="B5" s="41">
        <v>10</v>
      </c>
    </row>
    <row r="6" spans="1:2" ht="13.25" customHeight="1" x14ac:dyDescent="0.25">
      <c r="A6" s="8" t="s">
        <v>148</v>
      </c>
      <c r="B6" s="41">
        <v>10</v>
      </c>
    </row>
    <row r="7" spans="1:2" ht="13.25" customHeight="1" x14ac:dyDescent="0.25">
      <c r="A7" s="8" t="s">
        <v>149</v>
      </c>
      <c r="B7" s="41">
        <v>10</v>
      </c>
    </row>
  </sheetData>
  <sheetProtection algorithmName="SHA-512" hashValue="6Andk03GPT8f4QAEqipNYTUMfVZ7ZIInJMnZfa4C0L+uIgCIB4jx6mR/6kPXgFkaHHRmMeRLM6Es/WPbasI5Rw==" saltValue="BUrMovlZpBnndMxYnF6Xd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ht="13.25" customHeight="1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ht="13.25" customHeight="1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ht="13.25" customHeight="1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ht="13.25" customHeight="1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109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96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ht="13.25" customHeight="1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ht="13.25" customHeight="1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ht="13.25" customHeight="1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ht="13.25" customHeight="1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4E51uj4dhVFdRByl6q1hPjOfjeAH3t4oEQhoNX0EZ5hHBhqgn6IMgCjoVSJx3NDYTybMu/Yeak/tSWI/hLXzqA==" saltValue="hP+JiSmG0ejwLPpCYo6QH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v8T+QOlxJgb96UQkMt7d/o7Ab6IkOjfxab7CYkFGaEJpULDFlQEoJb4Tl8MSfDKZIX2qpy2IGWLGzfMK6GzOkQ==" saltValue="O7spGFTND2YbCodMBVYYd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154.17725521634259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</v>
      </c>
      <c r="C3" s="98">
        <v>0.95</v>
      </c>
      <c r="D3" s="56">
        <v>19.75203299904819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36.544834772694642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0.1229003668333799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0.44994896638918952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2.9310961239067201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0.5</v>
      </c>
      <c r="C9" s="98">
        <v>0.95</v>
      </c>
      <c r="D9" s="56">
        <v>1.39698440993215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0.43240960000000001</v>
      </c>
      <c r="C10" s="98">
        <v>0.95</v>
      </c>
      <c r="D10" s="56">
        <v>15.05570683744001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0</v>
      </c>
      <c r="C11" s="98">
        <v>0.95</v>
      </c>
      <c r="D11" s="56">
        <v>15.05570683744001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0</v>
      </c>
      <c r="C12" s="98">
        <v>0.95</v>
      </c>
      <c r="D12" s="56">
        <v>15.05570683744001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0</v>
      </c>
      <c r="C13" s="98">
        <v>0.95</v>
      </c>
      <c r="D13" s="56">
        <v>15.05570683744001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0.43240960000000001</v>
      </c>
      <c r="C14" s="98">
        <v>0.95</v>
      </c>
      <c r="D14" s="56">
        <v>15.05570683744001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0</v>
      </c>
      <c r="C15" s="98">
        <v>0.95</v>
      </c>
      <c r="D15" s="56">
        <v>15.05570683744001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0.1590328</v>
      </c>
      <c r="C16" s="98">
        <v>0.95</v>
      </c>
      <c r="D16" s="56">
        <v>5.8835597567123799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0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0.182</v>
      </c>
      <c r="C18" s="98">
        <v>0.95</v>
      </c>
      <c r="D18" s="56">
        <v>36.544834772694642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0.30287550000000002</v>
      </c>
      <c r="C19" s="98">
        <v>0.95</v>
      </c>
      <c r="D19" s="56">
        <v>36.544834772694642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</v>
      </c>
      <c r="C21" s="98">
        <v>0.95</v>
      </c>
      <c r="D21" s="56">
        <v>17.588891180900539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25.663027124609449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0.30650460000000002</v>
      </c>
      <c r="C23" s="98">
        <v>0.95</v>
      </c>
      <c r="D23" s="56">
        <v>4.9354522743270124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0.28426940885284802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1.6E-2</v>
      </c>
      <c r="C26" s="98">
        <v>0.95</v>
      </c>
      <c r="D26" s="56">
        <v>8.1464668622096941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5.5181659343385068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0.39322339999999989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0.19176319999999999</v>
      </c>
      <c r="C29" s="98">
        <v>0.95</v>
      </c>
      <c r="D29" s="56">
        <v>206.81375092158379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0.18079999999999999</v>
      </c>
      <c r="C31" s="98">
        <v>0.95</v>
      </c>
      <c r="D31" s="56">
        <v>65.176827828224631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0.2</v>
      </c>
      <c r="C32" s="98">
        <v>0.95</v>
      </c>
      <c r="D32" s="56">
        <v>3.8695611109470298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0.2258269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0.63865939999999999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1.9524400000000001E-2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0.18938730000000001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5.2999999999999999E-2</v>
      </c>
      <c r="C38" s="98">
        <v>0.95</v>
      </c>
      <c r="D38" s="56">
        <v>5.754815016497699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8.0553075689406626</v>
      </c>
      <c r="E39" s="56" t="s">
        <v>201</v>
      </c>
      <c r="F39" s="98">
        <v>1</v>
      </c>
      <c r="G39" s="98">
        <v>1</v>
      </c>
    </row>
  </sheetData>
  <sheetProtection algorithmName="SHA-512" hashValue="e+xy/KLGRwoDfrKuKt9cXQV9Hv/s6YnI5MAJ1rMc0YRs/4EN3Zqz6iEul2cKBkgXU6Vre+hBXUMS6NVQlmg2dQ==" saltValue="YL+BLWvDnjf6U3XZyc+OD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ht="13.25" customHeight="1" x14ac:dyDescent="0.25">
      <c r="A2" s="57" t="s">
        <v>180</v>
      </c>
      <c r="B2" s="47" t="s">
        <v>190</v>
      </c>
      <c r="C2" s="47"/>
    </row>
    <row r="3" spans="1:3" ht="13.25" customHeight="1" x14ac:dyDescent="0.25">
      <c r="A3" s="57" t="s">
        <v>181</v>
      </c>
      <c r="B3" s="47" t="s">
        <v>190</v>
      </c>
      <c r="C3" s="47"/>
    </row>
    <row r="4" spans="1:3" ht="13.25" customHeight="1" x14ac:dyDescent="0.25">
      <c r="A4" s="57" t="s">
        <v>192</v>
      </c>
      <c r="B4" s="47" t="s">
        <v>185</v>
      </c>
      <c r="C4" s="47"/>
    </row>
    <row r="5" spans="1:3" ht="13.25" customHeight="1" x14ac:dyDescent="0.25">
      <c r="A5" s="57" t="s">
        <v>189</v>
      </c>
      <c r="B5" s="47" t="s">
        <v>185</v>
      </c>
      <c r="C5" s="47"/>
    </row>
    <row r="6" spans="1:3" ht="13.25" customHeight="1" x14ac:dyDescent="0.25">
      <c r="A6" s="57" t="s">
        <v>192</v>
      </c>
      <c r="B6" s="58" t="s">
        <v>205</v>
      </c>
      <c r="C6" s="58"/>
    </row>
    <row r="7" spans="1:3" ht="13.25" customHeight="1" x14ac:dyDescent="0.25">
      <c r="A7" s="57" t="s">
        <v>189</v>
      </c>
      <c r="B7" s="58" t="s">
        <v>205</v>
      </c>
      <c r="C7" s="58"/>
    </row>
    <row r="8" spans="1:3" ht="13.25" customHeight="1" x14ac:dyDescent="0.25">
      <c r="A8" s="57" t="s">
        <v>200</v>
      </c>
      <c r="B8" s="58" t="s">
        <v>205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vMFTzsnPUM8tMO15pa0RPgP7spxWQvh10DouVSE1X/DKMNjuxbjazJR/S+UBcwJdiZXarYzzOWS5xwYUzjnCZw==" saltValue="SQOJrLlH2bQ8c/U+AHVp4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ht="13.25" customHeight="1" x14ac:dyDescent="0.25">
      <c r="A2" s="33" t="s">
        <v>172</v>
      </c>
    </row>
    <row r="3" spans="1:1" ht="13.25" customHeight="1" x14ac:dyDescent="0.25">
      <c r="A3" s="33" t="s">
        <v>182</v>
      </c>
    </row>
    <row r="4" spans="1:1" ht="13.25" customHeight="1" x14ac:dyDescent="0.25">
      <c r="A4" s="33" t="s">
        <v>186</v>
      </c>
    </row>
    <row r="5" spans="1:1" ht="13.25" customHeight="1" x14ac:dyDescent="0.25">
      <c r="A5" s="33" t="s">
        <v>194</v>
      </c>
    </row>
    <row r="6" spans="1:1" ht="13.25" customHeight="1" x14ac:dyDescent="0.25">
      <c r="A6" s="33" t="s">
        <v>195</v>
      </c>
    </row>
    <row r="7" spans="1:1" ht="13.25" customHeight="1" x14ac:dyDescent="0.25">
      <c r="A7" s="33" t="s">
        <v>196</v>
      </c>
    </row>
    <row r="8" spans="1:1" ht="13.25" customHeight="1" x14ac:dyDescent="0.25">
      <c r="A8" s="33" t="s">
        <v>197</v>
      </c>
    </row>
    <row r="9" spans="1:1" ht="13.25" customHeight="1" x14ac:dyDescent="0.25">
      <c r="A9" s="33" t="s">
        <v>198</v>
      </c>
    </row>
    <row r="10" spans="1:1" ht="13.25" customHeight="1" x14ac:dyDescent="0.25">
      <c r="A10" s="33" t="s">
        <v>161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sheetProtection algorithmName="SHA-512" hashValue="tbn4SnqZgqYLMgwU2+qRksvolMNuxB0LZlVMwXNw98xkpQWyJ/JSiIFJ3SV0cUK0UMuaoYZCu/hPeVJ/QhadXA==" saltValue="CDQThO3OHK6Z/OxdvoBwV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3.2</v>
      </c>
      <c r="C2" s="21">
        <f>'Données pop de l''année de ref'!C52</f>
        <v>3.2</v>
      </c>
      <c r="D2" s="21">
        <f>'Données pop de l''année de ref'!C53</f>
        <v>3.2</v>
      </c>
      <c r="E2" s="21">
        <f>'Données pop de l''année de ref'!C54</f>
        <v>3.2</v>
      </c>
      <c r="F2" s="21">
        <f>'Données pop de l''année de ref'!C55</f>
        <v>3.2</v>
      </c>
    </row>
    <row r="3" spans="1:6" ht="15.75" customHeight="1" x14ac:dyDescent="0.25">
      <c r="A3" s="3" t="s">
        <v>209</v>
      </c>
      <c r="B3" s="21">
        <f>frac_mam_1month * 2.6</f>
        <v>0.14373501999999999</v>
      </c>
      <c r="C3" s="21">
        <f>frac_mam_1_5months * 2.6</f>
        <v>0.14373501999999999</v>
      </c>
      <c r="D3" s="21">
        <f>frac_mam_6_11months * 2.6</f>
        <v>0.176124</v>
      </c>
      <c r="E3" s="21">
        <f>frac_mam_12_23months * 2.6</f>
        <v>9.242402000000001E-2</v>
      </c>
      <c r="F3" s="21">
        <f>frac_mam_24_59months * 2.6</f>
        <v>4.4845059999999999E-2</v>
      </c>
    </row>
    <row r="4" spans="1:6" ht="15.75" customHeight="1" x14ac:dyDescent="0.25">
      <c r="A4" s="3" t="s">
        <v>208</v>
      </c>
      <c r="B4" s="21">
        <f>frac_sam_1month * 2.6</f>
        <v>5.9955740000000007E-2</v>
      </c>
      <c r="C4" s="21">
        <f>frac_sam_1_5months * 2.6</f>
        <v>5.9955740000000007E-2</v>
      </c>
      <c r="D4" s="21">
        <f>frac_sam_6_11months * 2.6</f>
        <v>2.9245840000000002E-2</v>
      </c>
      <c r="E4" s="21">
        <f>frac_sam_12_23months * 2.6</f>
        <v>3.0915559999999998E-2</v>
      </c>
      <c r="F4" s="21">
        <f>frac_sam_24_59months * 2.6</f>
        <v>1.149408E-2</v>
      </c>
    </row>
  </sheetData>
  <sheetProtection algorithmName="SHA-512" hashValue="SR3V+Gy8PhbSPRyPr+sjTWWwUhJeOaVXVP+rUN8rfP4j291QOuAkPoor3P90VifADEB+yFQtzrcgNIUncAqjvA==" saltValue="HSTgxhEogerogBEQq9tzd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0.24199999999999999</v>
      </c>
      <c r="E2" s="60">
        <f>food_insecure</f>
        <v>0.24199999999999999</v>
      </c>
      <c r="F2" s="60">
        <f>food_insecure</f>
        <v>0.24199999999999999</v>
      </c>
      <c r="G2" s="60">
        <f>food_insecure</f>
        <v>0.24199999999999999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0.24199999999999999</v>
      </c>
      <c r="F5" s="60">
        <f>food_insecure</f>
        <v>0.24199999999999999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0.24199999999999999</v>
      </c>
      <c r="F8" s="60">
        <f>food_insecure</f>
        <v>0.24199999999999999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0.24199999999999999</v>
      </c>
      <c r="F9" s="60">
        <f>food_insecure</f>
        <v>0.24199999999999999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0.24199999999999999</v>
      </c>
      <c r="I15" s="60">
        <f>food_insecure</f>
        <v>0.24199999999999999</v>
      </c>
      <c r="J15" s="60">
        <f>food_insecure</f>
        <v>0.24199999999999999</v>
      </c>
      <c r="K15" s="60">
        <f>food_insecure</f>
        <v>0.24199999999999999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7.2000000000000008E-2</v>
      </c>
      <c r="I19" s="60">
        <f>frac_malaria_risk</f>
        <v>7.2000000000000008E-2</v>
      </c>
      <c r="J19" s="60">
        <f>frac_malaria_risk</f>
        <v>7.2000000000000008E-2</v>
      </c>
      <c r="K19" s="60">
        <f>frac_malaria_risk</f>
        <v>7.2000000000000008E-2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0.56000000000000005</v>
      </c>
      <c r="M24" s="60">
        <f>famplan_unmet_need</f>
        <v>0.56000000000000005</v>
      </c>
      <c r="N24" s="60">
        <f>famplan_unmet_need</f>
        <v>0.56000000000000005</v>
      </c>
      <c r="O24" s="60">
        <f>famplan_unmet_need</f>
        <v>0.56000000000000005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0.11469541488851596</v>
      </c>
      <c r="M25" s="60">
        <f>(1-food_insecure)*(0.49)+food_insecure*(0.7)</f>
        <v>0.54081999999999997</v>
      </c>
      <c r="N25" s="60">
        <f>(1-food_insecure)*(0.49)+food_insecure*(0.7)</f>
        <v>0.54081999999999997</v>
      </c>
      <c r="O25" s="60">
        <f>(1-food_insecure)*(0.49)+food_insecure*(0.7)</f>
        <v>0.54081999999999997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4.9155177809363987E-2</v>
      </c>
      <c r="M26" s="60">
        <f>(1-food_insecure)*(0.21)+food_insecure*(0.3)</f>
        <v>0.23177999999999999</v>
      </c>
      <c r="N26" s="60">
        <f>(1-food_insecure)*(0.21)+food_insecure*(0.3)</f>
        <v>0.23177999999999999</v>
      </c>
      <c r="O26" s="60">
        <f>(1-food_insecure)*(0.21)+food_insecure*(0.3)</f>
        <v>0.23177999999999999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4.8226281102119989E-2</v>
      </c>
      <c r="M27" s="60">
        <f>(1-food_insecure)*(0.3)</f>
        <v>0.22739999999999999</v>
      </c>
      <c r="N27" s="60">
        <f>(1-food_insecure)*(0.3)</f>
        <v>0.22739999999999999</v>
      </c>
      <c r="O27" s="60">
        <f>(1-food_insecure)*(0.3)</f>
        <v>0.22739999999999999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0.78792312619999993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7.2000000000000008E-2</v>
      </c>
      <c r="D34" s="60">
        <f t="shared" si="3"/>
        <v>7.2000000000000008E-2</v>
      </c>
      <c r="E34" s="60">
        <f t="shared" si="3"/>
        <v>7.2000000000000008E-2</v>
      </c>
      <c r="F34" s="60">
        <f t="shared" si="3"/>
        <v>7.2000000000000008E-2</v>
      </c>
      <c r="G34" s="60">
        <f t="shared" si="3"/>
        <v>7.2000000000000008E-2</v>
      </c>
      <c r="H34" s="60">
        <f t="shared" si="3"/>
        <v>7.2000000000000008E-2</v>
      </c>
      <c r="I34" s="60">
        <f t="shared" si="3"/>
        <v>7.2000000000000008E-2</v>
      </c>
      <c r="J34" s="60">
        <f t="shared" si="3"/>
        <v>7.2000000000000008E-2</v>
      </c>
      <c r="K34" s="60">
        <f t="shared" si="3"/>
        <v>7.2000000000000008E-2</v>
      </c>
      <c r="L34" s="60">
        <f t="shared" si="3"/>
        <v>7.2000000000000008E-2</v>
      </c>
      <c r="M34" s="60">
        <f t="shared" si="3"/>
        <v>7.2000000000000008E-2</v>
      </c>
      <c r="N34" s="60">
        <f t="shared" si="3"/>
        <v>7.2000000000000008E-2</v>
      </c>
      <c r="O34" s="60">
        <f t="shared" si="3"/>
        <v>7.2000000000000008E-2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aDMo7N7tlXsDCnA1LC/1Dbp+QfWNtyhOjEV2vy0IY1XDLTSkgJ5uAfXbmxY6XVDhpK+2SB/CfZ3hA0U1eM8rA==" saltValue="t5P7uZbxD/I0YoIUEzHbT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Ugr0cRkIrH3AfnQFNaWOjFhWqP61lrCFnPc5pfcQcGkp4v2YnS2M9Vx0bUu19xvLViKSJ3sQltQKZeor35x7bg==" saltValue="dKHNNYP5XH5Bv62se1xUY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r88SKa+DKO51RtetPvPeFCKCh4r29O2VSGiaASXDC9eUmp61t4Q+3zcikf2Q9q6g5uN2oAsxRdHxnRPLn0mx3g==" saltValue="Lz1i+EUPsELI3hnBOa1Qi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mzRUXkwC1Lj4JnuyFJlP9/p9NmxF3pbUf0zfcGzgnH76xmkwSoREsO/R2VV1LETKup9VOYkLaxJ94QMose2C6Q==" saltValue="TEnvw0VnqrfpVhErBEDDY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ht="13.25" customHeight="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ht="13.25" customHeight="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ht="13.25" customHeight="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ht="13.25" customHeight="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ht="13.25" customHeight="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ht="13.25" customHeight="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ht="13.25" customHeight="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ht="13.25" customHeight="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ht="13.25" customHeight="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fg6o5kKE9jfyFiZewKD8YWbrs9Cb9UkYiBSsMnRap9MTFLMaPH7mUvwUoiYTRUfIsPJaMrRM9Tp+s3m+mrqlHA==" saltValue="QEx6fQf7+9CS2EliDsbmt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ht="13.25" customHeight="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ht="13.25" customHeight="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ht="13.25" customHeight="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ht="13.25" customHeight="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ht="13.25" customHeight="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ht="13.25" customHeight="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ht="13.25" customHeight="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ht="13.25" customHeight="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ht="13.25" customHeight="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ht="13.25" customHeight="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ht="13.25" customHeight="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ht="13.25" customHeight="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vCLA57nQSPkwNJeNrvgbR5jNhaeVnTsferCJjQRiTR/ey0ocPlEugwtdhvr7voFm4EKDwVEYTqD5wWa5pH77eg==" saltValue="kG9+qSoshsgqHeBcXLVkn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D8" sqref="D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109</v>
      </c>
      <c r="C5" s="8" t="s">
        <v>153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154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96</v>
      </c>
      <c r="C8" s="8" t="s">
        <v>153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154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154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109</v>
      </c>
      <c r="C58" s="8" t="s">
        <v>153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154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96</v>
      </c>
      <c r="C61" s="8" t="s">
        <v>153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154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109</v>
      </c>
      <c r="C111" s="8" t="s">
        <v>153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154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155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96</v>
      </c>
      <c r="C114" s="8" t="s">
        <v>153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154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155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97</v>
      </c>
      <c r="C117" s="8" t="s">
        <v>153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154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155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98</v>
      </c>
      <c r="C120" s="8" t="s">
        <v>153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154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155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154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155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109</v>
      </c>
      <c r="C128" s="8" t="s">
        <v>153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154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155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96</v>
      </c>
      <c r="C131" s="8" t="s">
        <v>153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154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155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97</v>
      </c>
      <c r="C134" s="8" t="s">
        <v>153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154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155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98</v>
      </c>
      <c r="C137" s="8" t="s">
        <v>153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154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155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154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155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109</v>
      </c>
      <c r="C145" s="8" t="s">
        <v>153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154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155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96</v>
      </c>
      <c r="C148" s="8" t="s">
        <v>153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154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155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97</v>
      </c>
      <c r="C151" s="8" t="s">
        <v>153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154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155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98</v>
      </c>
      <c r="C154" s="8" t="s">
        <v>153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154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155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oG3leHst+i0lakZYX94fagR/Sksao4RRluxFUKx4CWviQXlwhjw+nPb3fQimT/2BfajTgvVjVS5x6kvTa9ixiQ==" saltValue="LbQbldcsgrS/CG3YFzy2wg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C9" sqref="C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nr1wE/ubdrWpTmlGC65R0EzMU3X0co2d1albsU9KZfFAiwaBb4jPC7o76TSbJrxSRZRCLN2rFLmNmy1RQZKGNA==" saltValue="gE5CQ/hkWPTmaBW2X0KIr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8" sqref="D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X7lgnjM9frbi25k9HmQxXxJQOKBQcHhCwKOnHR+cImmJhDeSCqZSMgQ7kmP9G/rQM7WTvV4/78lbpv99V5qylA==" saltValue="AzhA67snXy+C0Dq4cyRNv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C8" sqref="C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287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298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121</v>
      </c>
      <c r="B40" s="11" t="s">
        <v>299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303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311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121</v>
      </c>
      <c r="B63" s="11" t="s">
        <v>312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UcoqrFZVT8elO8n/yzV2g3Y4k0s1NbwWf07DgcPs5Ea82Oa5G4Jn2B2fcv+96v8j597KwWtUPDxq0yRkgd1lJg==" saltValue="HC7XqkTlt5Wjdp81jhswk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8" sqref="C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fMC+M8QtXAhp4eLwRGZRf3GYXBfzvtxGhjPEPpRJMgIlKXtM0m+S7DIjEWU87D4cqAZESxTu+dXhfbQQ/e62Tw==" saltValue="K9YV/g/1+khFvIjtAaJrx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8" sqref="C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176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177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178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179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180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190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174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183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176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177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178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179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180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190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174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183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QTzziuoLcV+94Jlx2dsDGnAMlgmGAWwXwyNWHRgiY7Adqzxh9+5z5byRtKbrd0cfOT6xeynyDQTrJOTU3HgnyA==" saltValue="RooyBEXFEqSM31FfxToj7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ht="13.25" customHeight="1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ht="13.25" customHeight="1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ht="13.25" customHeight="1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D0jufF1c3FugXqWLcE6QaRVqi02Ms00Ail6yGUY921h7srotzs9JXajW9WVYqoVOXv+9OWSGPR3M+sIuC0XZgQ==" saltValue="wOYRX6tdeOFPxe/Etd8oW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D8" sqref="D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ht="13.25" customHeight="1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336</v>
      </c>
      <c r="D18" s="90">
        <v>0</v>
      </c>
      <c r="E18" s="90">
        <v>0</v>
      </c>
      <c r="F18" s="90">
        <f>MIN(MAX(1-0.89/(1-frac_sam_6_11months+(frac_sam_6_11months*0.89)),0),1)</f>
        <v>0.10889741738807213</v>
      </c>
      <c r="G18" s="90">
        <f>MIN(MAX(1-0.89/(1-frac_sam_12_23months+(frac_sam_12_23months*0.89)),0),1)</f>
        <v>0.10883438567609527</v>
      </c>
      <c r="H18" s="90">
        <f>MIN(MAX(1-0.89/(1-frac_sam_24_59months+(frac_sam_24_59months*0.89)),0),1)</f>
        <v>0.10956699311394735</v>
      </c>
    </row>
    <row r="19" spans="1:8" ht="13.25" customHeight="1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336</v>
      </c>
      <c r="D20" s="90">
        <v>0</v>
      </c>
      <c r="E20" s="90">
        <v>0</v>
      </c>
      <c r="F20" s="90">
        <f>MIN(MAX(1-0.89/(1-frac_mam_6_11months+(frac_mam_6_11months*0.89)),0),1)</f>
        <v>0.10331846722669302</v>
      </c>
      <c r="G20" s="90">
        <f>MIN(MAX(1-0.89/(1-frac_mam_12_23months+(frac_mam_12_23months*0.89)),0),1)</f>
        <v>0.10650621862184739</v>
      </c>
      <c r="H20" s="90">
        <f>MIN(MAX(1-0.89/(1-frac_mam_24_59months+(frac_mam_24_59months*0.89)),0),1)</f>
        <v>0.10830820117531603</v>
      </c>
    </row>
    <row r="21" spans="1:8" ht="13.25" customHeight="1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335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9.8886283124670626E-3</v>
      </c>
      <c r="G73" s="90">
        <f>MIN(MAX(1-0.99/(1-frac_sam_12_23months+(frac_sam_12_23months*0.99)),0),1)</f>
        <v>9.882269061085025E-3</v>
      </c>
      <c r="H73" s="90">
        <f>MIN(MAX(1-0.99/(1-frac_sam_24_59months+(frac_sam_24_59months*0.99)),0),1)</f>
        <v>9.956232145110655E-3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9.3289194100083517E-3</v>
      </c>
      <c r="G75" s="90">
        <f>MIN(MAX(1-0.99/(1-frac_mam_12_23months+(frac_mam_12_23months*0.99)),0),1)</f>
        <v>9.6479526252554182E-3</v>
      </c>
      <c r="H75" s="90">
        <f>MIN(MAX(1-0.99/(1-frac_mam_24_59months+(frac_mam_24_59months*0.99)),0),1)</f>
        <v>9.829214352720772E-3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0.19819619802276778</v>
      </c>
      <c r="G128" s="90">
        <f>MIN(MAX(1-0.8/(1-frac_sam_12_23months+(frac_sam_12_23months*0.8)),0),1)</f>
        <v>0.19809296885108418</v>
      </c>
      <c r="H128" s="90">
        <f>MIN(MAX(1-0.8/(1-frac_sam_24_59months+(frac_sam_24_59months*0.8)),0),1)</f>
        <v>0.19929204605544026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0.18901274466471751</v>
      </c>
      <c r="G130" s="90">
        <f>MIN(MAX(1-0.8/(1-frac_mam_12_23months+(frac_mam_12_23months*0.8)),0),1)</f>
        <v>0.1942716420097339</v>
      </c>
      <c r="H130" s="90">
        <f>MIN(MAX(1-0.8/(1-frac_mam_24_59months+(frac_mam_24_59months*0.8)),0),1)</f>
        <v>0.19723075114376043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IhwzXliPEAx08HAOqHQpU/oGZ6LLI55tn/vdH8Ug04h+FW6ttB61qXygdt932PGS0tG53CMvGAegYt6Yij96vw==" saltValue="sSAaof6lwuk0S40Nd2E1S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11" sqref="D1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ht="13.25" customHeight="1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335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ht="13.25" customHeight="1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ht="13.25" customHeight="1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335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aInDpV8ZJi+GRWNzYpILNqdKzKRenbooqZzkKpcWoupqsVhXxvT4bi/Tfrk1KgRgpv28Zp7FML//tOdrBy3lAA==" saltValue="sm9SgPKQcaZS8QZTZhRrQA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2024-08-06T09:09:35Z</dcterms:modified>
</cp:coreProperties>
</file>