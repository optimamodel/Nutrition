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D0DD34A-004F-4051-A19D-4A0531629E5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<sst xmlns="http://schemas.openxmlformats.org/spreadsheetml/2006/main" count="2159" uniqueCount="368">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</sst>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1225084.5</v>
      </c>
    </row>
    <row r="8" spans="1:3" ht="15" customHeight="1" x14ac:dyDescent="0.25">
      <c r="B8" s="5" t="s">
        <v>37</v>
      </c>
      <c r="C8" s="44">
        <v>0.24199999999999999</v>
      </c>
    </row>
    <row r="9" spans="1:3" ht="15" customHeight="1" x14ac:dyDescent="0.25">
      <c r="B9" s="5" t="s">
        <v>38</v>
      </c>
      <c r="C9" s="45">
        <v>7.2000000000000008E-2</v>
      </c>
    </row>
    <row r="10" spans="1:3" ht="15" customHeight="1" x14ac:dyDescent="0.25">
      <c r="B10" s="5" t="s">
        <v>39</v>
      </c>
      <c r="C10" s="45">
        <v>0.78792312620000005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7.2900000000000006E-2</v>
      </c>
    </row>
    <row r="24" spans="1:3" ht="15" customHeight="1" x14ac:dyDescent="0.25">
      <c r="B24" s="15" t="s">
        <v>51</v>
      </c>
      <c r="C24" s="45">
        <v>0.45440000000000003</v>
      </c>
    </row>
    <row r="25" spans="1:3" ht="15" customHeight="1" x14ac:dyDescent="0.25">
      <c r="B25" s="15" t="s">
        <v>52</v>
      </c>
      <c r="C25" s="45">
        <v>0.37469999999999998</v>
      </c>
    </row>
    <row r="26" spans="1:3" ht="15" customHeight="1" x14ac:dyDescent="0.25">
      <c r="B26" s="15" t="s">
        <v>53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0.313922160131612</v>
      </c>
    </row>
    <row r="30" spans="1:3" ht="14.25" customHeight="1" x14ac:dyDescent="0.25">
      <c r="B30" s="25" t="s">
        <v>56</v>
      </c>
      <c r="C30" s="99">
        <v>4.8182353063125502E-2</v>
      </c>
    </row>
    <row r="31" spans="1:3" ht="14.25" customHeight="1" x14ac:dyDescent="0.25">
      <c r="B31" s="25" t="s">
        <v>57</v>
      </c>
      <c r="C31" s="99">
        <v>7.3364831683659995E-2</v>
      </c>
    </row>
    <row r="32" spans="1:3" ht="14.25" customHeight="1" x14ac:dyDescent="0.25">
      <c r="B32" s="25" t="s">
        <v>58</v>
      </c>
      <c r="C32" s="99">
        <v>0.56453065512160205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24.281790000000001</v>
      </c>
    </row>
    <row r="38" spans="1:5" ht="15" customHeight="1" x14ac:dyDescent="0.25">
      <c r="B38" s="11" t="s">
        <v>63</v>
      </c>
      <c r="C38" s="43">
        <v>45.410170000000001</v>
      </c>
      <c r="D38" s="12"/>
      <c r="E38" s="13"/>
    </row>
    <row r="39" spans="1:5" ht="15" customHeight="1" x14ac:dyDescent="0.25">
      <c r="B39" s="11" t="s">
        <v>64</v>
      </c>
      <c r="C39" s="43">
        <v>58.632680000000001</v>
      </c>
      <c r="D39" s="12"/>
      <c r="E39" s="12"/>
    </row>
    <row r="40" spans="1:5" ht="15" customHeight="1" x14ac:dyDescent="0.25">
      <c r="B40" s="11" t="s">
        <v>65</v>
      </c>
      <c r="C40" s="100">
        <v>3.5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7.1995999999999996E-3</v>
      </c>
      <c r="D45" s="12"/>
    </row>
    <row r="46" spans="1:5" ht="15.75" customHeight="1" x14ac:dyDescent="0.25">
      <c r="B46" s="11" t="s">
        <v>70</v>
      </c>
      <c r="C46" s="45">
        <v>7.7358700000000002E-2</v>
      </c>
      <c r="D46" s="12"/>
    </row>
    <row r="47" spans="1:5" ht="15.75" customHeight="1" x14ac:dyDescent="0.25">
      <c r="B47" s="11" t="s">
        <v>71</v>
      </c>
      <c r="C47" s="45">
        <v>7.4154299999999992E-2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5.59</v>
      </c>
      <c r="D51" s="12"/>
    </row>
    <row r="52" spans="1:4" ht="15" customHeight="1" x14ac:dyDescent="0.25">
      <c r="B52" s="11" t="s">
        <v>75</v>
      </c>
      <c r="C52" s="100">
        <v>5.59</v>
      </c>
    </row>
    <row r="53" spans="1:4" ht="15.75" customHeight="1" x14ac:dyDescent="0.25">
      <c r="B53" s="11" t="s">
        <v>76</v>
      </c>
      <c r="C53" s="100">
        <v>9.984</v>
      </c>
    </row>
    <row r="54" spans="1:4" ht="15.75" customHeight="1" x14ac:dyDescent="0.25">
      <c r="B54" s="11" t="s">
        <v>77</v>
      </c>
      <c r="C54" s="100">
        <v>8.2159999999999993</v>
      </c>
    </row>
    <row r="55" spans="1:4" ht="15.75" customHeight="1" x14ac:dyDescent="0.25">
      <c r="B55" s="11" t="s">
        <v>78</v>
      </c>
      <c r="C55" s="100">
        <v>3.952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0.455787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vWCHnb1qwYDQN5VmJ/JDF9mgGeKqQqdnJ2gU5Jx3ShGTyE5NlBWeHnubwaLh2n7fYKOC7SjuQGaE9jvqqmoeQ==" saltValue="X1kGL1Kpeo4vj1sn5iYa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lt3dljIcDL1w43F1wPZmAtXv+ZpCTG73OiCyOyLZOsIifjIANHfNSxsAdE3OrlSnXvY+o6g/g7VCC+aB9HbDw==" saltValue="nocPQFe9pTB7/EiqdRqTQ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1.457150145715014E-2</v>
      </c>
    </row>
    <row r="4" spans="1:8" ht="15.75" customHeight="1" x14ac:dyDescent="0.25">
      <c r="B4" s="19" t="s">
        <v>97</v>
      </c>
      <c r="C4" s="101">
        <v>5.6389805638980627E-2</v>
      </c>
    </row>
    <row r="5" spans="1:8" ht="15.75" customHeight="1" x14ac:dyDescent="0.25">
      <c r="B5" s="19" t="s">
        <v>98</v>
      </c>
      <c r="C5" s="101">
        <v>9.5235509523551004E-2</v>
      </c>
    </row>
    <row r="6" spans="1:8" ht="15.75" customHeight="1" x14ac:dyDescent="0.25">
      <c r="B6" s="19" t="s">
        <v>99</v>
      </c>
      <c r="C6" s="101">
        <v>0.24108282410828241</v>
      </c>
    </row>
    <row r="7" spans="1:8" ht="15.75" customHeight="1" x14ac:dyDescent="0.25">
      <c r="B7" s="19" t="s">
        <v>100</v>
      </c>
      <c r="C7" s="101">
        <v>0.38396373839637371</v>
      </c>
    </row>
    <row r="8" spans="1:8" ht="15.75" customHeight="1" x14ac:dyDescent="0.25">
      <c r="B8" s="19" t="s">
        <v>101</v>
      </c>
      <c r="C8" s="101">
        <v>4.505000450500056E-3</v>
      </c>
    </row>
    <row r="9" spans="1:8" ht="15.75" customHeight="1" x14ac:dyDescent="0.25">
      <c r="B9" s="19" t="s">
        <v>102</v>
      </c>
      <c r="C9" s="101">
        <v>7.3147507314750781E-2</v>
      </c>
    </row>
    <row r="10" spans="1:8" ht="15.75" customHeight="1" x14ac:dyDescent="0.25">
      <c r="B10" s="19" t="s">
        <v>103</v>
      </c>
      <c r="C10" s="101">
        <v>0.1311041131104114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106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107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110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111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112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113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0.103712281</v>
      </c>
    </row>
    <row r="27" spans="1:8" ht="15.75" customHeight="1" x14ac:dyDescent="0.25">
      <c r="B27" s="19" t="s">
        <v>120</v>
      </c>
      <c r="C27" s="101">
        <v>0.109547722</v>
      </c>
    </row>
    <row r="28" spans="1:8" ht="15.75" customHeight="1" x14ac:dyDescent="0.25">
      <c r="B28" s="19" t="s">
        <v>121</v>
      </c>
      <c r="C28" s="101">
        <v>6.2347139000000003E-2</v>
      </c>
    </row>
    <row r="29" spans="1:8" ht="15.75" customHeight="1" x14ac:dyDescent="0.25">
      <c r="B29" s="19" t="s">
        <v>122</v>
      </c>
      <c r="C29" s="101">
        <v>0.20200695599999999</v>
      </c>
    </row>
    <row r="30" spans="1:8" ht="15.75" customHeight="1" x14ac:dyDescent="0.25">
      <c r="B30" s="19" t="s">
        <v>2</v>
      </c>
      <c r="C30" s="101">
        <v>0.123504</v>
      </c>
    </row>
    <row r="31" spans="1:8" ht="15.75" customHeight="1" x14ac:dyDescent="0.25">
      <c r="B31" s="19" t="s">
        <v>123</v>
      </c>
      <c r="C31" s="101">
        <v>0.126081523</v>
      </c>
    </row>
    <row r="32" spans="1:8" ht="15.75" customHeight="1" x14ac:dyDescent="0.25">
      <c r="B32" s="19" t="s">
        <v>124</v>
      </c>
      <c r="C32" s="101">
        <v>1.7896931000000001E-2</v>
      </c>
    </row>
    <row r="33" spans="2:3" ht="15.75" customHeight="1" x14ac:dyDescent="0.25">
      <c r="B33" s="19" t="s">
        <v>125</v>
      </c>
      <c r="C33" s="101">
        <v>0.13369104100000001</v>
      </c>
    </row>
    <row r="34" spans="2:3" ht="15.75" customHeight="1" x14ac:dyDescent="0.25">
      <c r="B34" s="19" t="s">
        <v>126</v>
      </c>
      <c r="C34" s="101">
        <v>0.12121240799999999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k0MmhMPA2GF/etiwOOSrY7J6QG0rOuSrFT49Iw+aom9Xc5ZdBSTX7PcwCniL8pjJIlQ/W85ahJkvcohl9wBGZQ==" saltValue="5JfkJE+OuNDi50IOqMX6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132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133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137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138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Tn3ADGcMat2kiDo4lFI6RdqAxHQl+pwmV8yAx4/Vh2JjKyMivLRPVRd8Zt5c7sHwE0S9GRC5nC30kgXP8pszQ==" saltValue="b2DbFc/Ol9RACRuKbD9T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npyOGFRQ4aYHywnD8w/m8NVCAiMbbrNLgVVImOqmstNOiEQxTxOifQeOTKNxl8ADmJ/BQ8X7Aslpv5Mb1mbQMQ==" saltValue="UO4E5s8oUpZjWP5HbN5I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7T6B+Ci+Jji6SXylk4UpIMJZXo80jRP7ISspIvR5pxoAsu53EDSmoGKYSG8HzwrV7Bpnp7NmxKy3Y+zNMafdw==" saltValue="s1sfSIlXmApkT+zQ2/r7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1748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0.50552999999999992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0.62619999999999998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2.2238260162964832E-2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93636.709489999994</v>
      </c>
      <c r="C22" s="109">
        <v>93049.663109999994</v>
      </c>
      <c r="D22" s="109">
        <v>92618.028040000005</v>
      </c>
      <c r="E22" s="109">
        <v>91974.285229999994</v>
      </c>
      <c r="F22" s="109">
        <v>91065.814599999998</v>
      </c>
      <c r="G22" s="109">
        <v>89932.625249999997</v>
      </c>
      <c r="H22" s="109">
        <v>88468.640010000003</v>
      </c>
      <c r="I22" s="109">
        <v>86499.739419999998</v>
      </c>
      <c r="J22" s="109">
        <v>83751.840920000002</v>
      </c>
      <c r="K22" s="109">
        <v>80160.81972</v>
      </c>
      <c r="L22" s="109">
        <v>75357.937409999999</v>
      </c>
      <c r="M22" s="109">
        <v>69181.632500000007</v>
      </c>
      <c r="N22" s="109">
        <v>60972.206489999997</v>
      </c>
      <c r="O22" s="109">
        <v>50993.801610000002</v>
      </c>
    </row>
  </sheetData>
  <sheetProtection algorithmName="SHA-512" hashValue="+cTaxNOrgvDmGOM/RAnerF8AfaL5cA6wcMhdshjSGVEUuu4595bFyaq+ZXShwUNZhZNx7yQAntL+tsl1Pc7niQ==" saltValue="T3AsgLmyz+ut48g6kIKL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UfIP22x4Gp+jTYnD8fZ4lRPKpDN7tujUk2RtuesfgGSRvO/cG5mqqP2VMUpcgDOwhaR5a/MNHsT5q8zksL2nw==" saltValue="Ox9Kt3cMCiq9urX+ll50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Qy++eOqsRlIqTPQYpncFtlJlzi5zk7eNB2bVVJXQJONiRmOvZo/wWNtnn6sb9a+rOZikdsnFowyytoltij6kg==" saltValue="SsZh0/XdCbch20Mntl/h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0.44994896638918952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2.9310961239067201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0.43240960000000001</v>
      </c>
      <c r="C10" s="98">
        <v>0.95</v>
      </c>
      <c r="D10" s="56">
        <v>15.05570683744001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15.05570683744001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15.05570683744001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15.05570683744001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0.43240960000000001</v>
      </c>
      <c r="C14" s="98">
        <v>0.95</v>
      </c>
      <c r="D14" s="56">
        <v>15.05570683744001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15.05570683744001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5.8835597567123799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0.182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0.30287550000000002</v>
      </c>
      <c r="C19" s="98">
        <v>0.95</v>
      </c>
      <c r="D19" s="56">
        <v>1.8074989747168151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0.30650460000000002</v>
      </c>
      <c r="C23" s="98">
        <v>0.95</v>
      </c>
      <c r="D23" s="56">
        <v>4.9354522743270124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0.28426940885284802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1.6E-2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4.0650280224179349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0.39322339999999989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0.19176319999999999</v>
      </c>
      <c r="C29" s="98">
        <v>0.95</v>
      </c>
      <c r="D29" s="56">
        <v>206.81375092158379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124.66848615801089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0.18079999999999999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0.2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0.2258269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0.63865939999999999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1.9524400000000001E-2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0.18938730000000001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5.2999999999999999E-2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l4+4Q0P8Dx4yPDRBo3iyj+a4rbglEYuaqTLcdcNJJizl7QkjBw9o6Tw8YPU9IaP6jot7+VmgYe+TbkeMA+3Z+g==" saltValue="AqVhfzD2qUGUXwW/hYnx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NyHN1lPdmi4lrjkVPJwX98d9tnmlSEh0YONS8ftiN7Mfyr8mnOcyGMziA9wL9RCLM4DsZjIkzz0WQY7r6u/Qw==" saltValue="YTZpQrr1mJkssglJqCnD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IqlbHvMaFEqn1qgRLdp+7AeOzhQrD/wbAIb0RVIeE2ZOAaBYXuqU85RkoqhdVqA8o+PG80Sbn1XBgZaJ/H5xg==" saltValue="Jsa6SyZXqHAtlnWP2fpzb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5.59</v>
      </c>
      <c r="C2" s="21">
        <f>'Données pop de l''année de ref'!C52</f>
        <v>5.59</v>
      </c>
      <c r="D2" s="21">
        <f>'Données pop de l''année de ref'!C53</f>
        <v>9.984</v>
      </c>
      <c r="E2" s="21">
        <f>'Données pop de l''année de ref'!C54</f>
        <v>8.2159999999999993</v>
      </c>
      <c r="F2" s="21">
        <f>'Données pop de l''année de ref'!C55</f>
        <v>3.952</v>
      </c>
    </row>
    <row r="3" spans="1:6" ht="15.75" customHeight="1" x14ac:dyDescent="0.25">
      <c r="A3" s="3" t="s">
        <v>238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237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ZO+kifvmq2IGomE/dAlR8n8kn2NCo3EO6JLIrNHnDaUbaERtH+jq2pkzhBZgfQ2oEb1RMkuIzCHq1EePLBF6pQ==" saltValue="1xEVoo6I5oBirVtAeq/UP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Rh+IVFCDzHbf70LGCPadyRArqtoTz+S5uYNR1mZa+p4RZ5ciVRnsxzeGU87LeoFe3YyiHWdDzNJ8fzWB2C5vA==" saltValue="+E1zvuSBPq4+ZJjHydaf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1P7H6nbKxszjVoWViaylEYcYbsfjJ8ih2QyrxTwHl1Cj1oE9NZJIq8TsPrYGmPvrtGZG0k4ylLUJsyPvmwA1bA==" saltValue="QZrWR6MM1+BP7gqI3pdT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ndAmLZfi5BpKTfnnX57SI+NpWERpgBiTRyk5Vmutiowi8lZYEUFcx6kiqvdGb4NhQWgqA+lwxL63pelQe8lXw==" saltValue="13z6GALChHm/exAR6oL+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BFrJSgtcvTN3jmV3xdDexL5kZ2WVwCFXLI3fZedLX+Wspzv878RURGOawpglJt/tpDkAxM+ORk7g6DjnbcGaQ==" saltValue="hk3CBf+kvJavk1O8Ow5X0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Pag8bMXI06XZA1FXLhhBoYK1S3VHx189Mj2+M33GedpbA8lAtMhtxYHVSuiJuh4cTewfWJjJ8iJ0Dwcvnt3LdQ==" saltValue="fIniOUYgoxXdX5F25GRU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vt3rR+7Ig5AZlOmuXw8C3qFKUKkqudh6nzGYwXKoITJk7+Er5Tk7h2dM6Pekt711kh7U8qZiPCZoIo7leleLOw==" saltValue="OOsOfcYfJpS4WwDbsxtx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mVCcSwCKd//qVFaKeSTu3NyfeyNWk5fK5DTHDhNIjLdjFrdz37eMWVzMym5btwPRnf3rHfN++wsBYAmamp5hQ==" saltValue="VwM/1n8zsjk79pjMOSbc0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rUjGBeTieJhGgoEBAggfxVA2Az4t4gXAObJgN4hxTvkVASi9JwFIZ7o56n2d2iDo0y9Zc3SW0tb6+uqsVOLnJg==" saltValue="jqoGLMyCoSIXnXBpkBWh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5K3yC0SArcG/cTET8mqSnUZBRkV57a7da8H+nw8WNiUrUaglXUAWPqjJ1/Jzm7uvsNekACkvoaI1bMZD3E22KA==" saltValue="VC6nqLEUOUsPDJ9RdiY4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+QBsAJ/P80tNkJcgOj1foxfVQ2SUfA6MTm2dd7DSJZpf4klbxK685wwYeJJGxYFFc7CnLRsglcMkzRP8gsr0Q==" saltValue="kVYvXPhab8eruMumSTdV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eobATKz8pQtQoXVhrtjFtnCISa+d+WqqMaNx2xtYPspFqCCw1PIwb7H/H9e4InPcL0lvCnVdfCdCLw+FsmlhQ==" saltValue="wtqVqOFd/uT+7f/8Gt4t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OyiHdMx3pS1jLXwGojfsAabBP6wmwuqB7PiEr5zYziy6iMExDrNogSyI4emdEiLUB9B0y/mD7T4i8SBe8ehIA==" saltValue="0Y/xkL3tK25MDKksHYMy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AI60JtuRi4T9+yInMmhx2HfoRsMefDUMW3drzlMq3woVAELX62jpiUDtn8h8aFxbpoha5clS/LnzblIyTxv4g==" saltValue="JF1Ti/rWg8id53dx8iMG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s2J4F1yN3h02LCofSkqvnJqDnDD1CecP+QhfOyofPTlpVNZwn+JNXq0jdCo9NaHkmrlrXRgHATU0AZ36jYyHw==" saltValue="2ANwmxFqGJ/yRFY6n/AV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3UTTsY0YBqB0mkD5r/09mxHJF5zbwhfzh2RnOdgMbSCt/X4h8wsgSwVRWWyOeJ31HEpEwwTWfJfZbEyzHAE7iQ==" saltValue="hRSP+K0ExV/pcABGgYkno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