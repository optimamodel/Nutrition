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C27A262-02EE-4A0A-88BA-B1AF086DA29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<sst xmlns="http://schemas.openxmlformats.org/spreadsheetml/2006/main" count="2102" uniqueCount="337">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</sst>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1469901.34375</v>
      </c>
    </row>
    <row r="8" spans="1:3" ht="15" customHeight="1" x14ac:dyDescent="0.25">
      <c r="B8" s="5" t="s">
        <v>19</v>
      </c>
      <c r="C8" s="44">
        <v>3.3000000000000002E-2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0.89274291992187504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0.151</v>
      </c>
    </row>
    <row r="24" spans="1:3" ht="15" customHeight="1" x14ac:dyDescent="0.25">
      <c r="B24" s="15" t="s">
        <v>33</v>
      </c>
      <c r="C24" s="45">
        <v>0.51359999999999995</v>
      </c>
    </row>
    <row r="25" spans="1:3" ht="15" customHeight="1" x14ac:dyDescent="0.25">
      <c r="B25" s="15" t="s">
        <v>34</v>
      </c>
      <c r="C25" s="45">
        <v>0.27929999999999999</v>
      </c>
    </row>
    <row r="26" spans="1:3" ht="15" customHeight="1" x14ac:dyDescent="0.25">
      <c r="B26" s="15" t="s">
        <v>35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0.24516550000000001</v>
      </c>
    </row>
    <row r="30" spans="1:3" ht="14.25" customHeight="1" x14ac:dyDescent="0.25">
      <c r="B30" s="25" t="s">
        <v>38</v>
      </c>
      <c r="C30" s="99">
        <v>0.14159289999999999</v>
      </c>
    </row>
    <row r="31" spans="1:3" ht="14.25" customHeight="1" x14ac:dyDescent="0.25">
      <c r="B31" s="25" t="s">
        <v>39</v>
      </c>
      <c r="C31" s="99">
        <v>0.1189774</v>
      </c>
    </row>
    <row r="32" spans="1:3" ht="14.25" customHeight="1" x14ac:dyDescent="0.25">
      <c r="B32" s="25" t="s">
        <v>40</v>
      </c>
      <c r="C32" s="99">
        <v>0.49426419999999999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6.6514800000000003</v>
      </c>
    </row>
    <row r="38" spans="1:5" ht="15" customHeight="1" x14ac:dyDescent="0.25">
      <c r="B38" s="11" t="s">
        <v>45</v>
      </c>
      <c r="C38" s="43">
        <v>10.72316</v>
      </c>
      <c r="D38" s="12"/>
      <c r="E38" s="13"/>
    </row>
    <row r="39" spans="1:5" ht="15" customHeight="1" x14ac:dyDescent="0.25">
      <c r="B39" s="11" t="s">
        <v>46</v>
      </c>
      <c r="C39" s="43">
        <v>12.46062</v>
      </c>
      <c r="D39" s="12"/>
      <c r="E39" s="12"/>
    </row>
    <row r="40" spans="1:5" ht="15" customHeight="1" x14ac:dyDescent="0.25">
      <c r="B40" s="11" t="s">
        <v>47</v>
      </c>
      <c r="C40" s="100">
        <v>0.66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6.0990999999999997E-3</v>
      </c>
      <c r="D45" s="12"/>
    </row>
    <row r="46" spans="1:5" ht="15.75" customHeight="1" x14ac:dyDescent="0.25">
      <c r="B46" s="11" t="s">
        <v>52</v>
      </c>
      <c r="C46" s="45">
        <v>6.5533999999999995E-2</v>
      </c>
      <c r="D46" s="12"/>
    </row>
    <row r="47" spans="1:5" ht="15.75" customHeight="1" x14ac:dyDescent="0.25">
      <c r="B47" s="11" t="s">
        <v>53</v>
      </c>
      <c r="C47" s="45">
        <v>7.520120000000001E-2</v>
      </c>
      <c r="D47" s="12"/>
      <c r="E47" s="13"/>
    </row>
    <row r="48" spans="1:5" ht="15" customHeight="1" x14ac:dyDescent="0.25">
      <c r="B48" s="11" t="s">
        <v>54</v>
      </c>
      <c r="C48" s="46">
        <v>0.85316570000000003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0.55768200000000001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2cK+UdC4G82GYI+OvaooPWiM4rKj9/LurDOWMOBi5wZX7BnxnJOXO+2jRUqW0IYmg5UkOYX0Ew96SUM6ju+Kzg==" saltValue="gH597zdbwpnJC3A1YOTf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296231</v>
      </c>
      <c r="C2" s="49">
        <v>926692.5</v>
      </c>
      <c r="D2" s="49">
        <v>1542379</v>
      </c>
      <c r="E2" s="49">
        <v>1433766.5</v>
      </c>
      <c r="F2" s="49">
        <v>1023518</v>
      </c>
      <c r="G2" s="17">
        <f t="shared" ref="G2:G13" si="0">C2+D2+E2+F2</f>
        <v>4926356</v>
      </c>
      <c r="H2" s="17">
        <f t="shared" ref="H2:H13" si="1">(B2 + stillbirth*B2/(1000-stillbirth))/(1-abortion)</f>
        <v>339632.73515156563</v>
      </c>
      <c r="I2" s="17">
        <f t="shared" ref="I2:I13" si="2">G2-H2</f>
        <v>4586723.2648484344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294956</v>
      </c>
      <c r="C3" s="50">
        <v>931280.00000000012</v>
      </c>
      <c r="D3" s="50">
        <v>1537333</v>
      </c>
      <c r="E3" s="50">
        <v>1450916</v>
      </c>
      <c r="F3" s="50">
        <v>1049008</v>
      </c>
      <c r="G3" s="17">
        <f t="shared" si="0"/>
        <v>4968537</v>
      </c>
      <c r="H3" s="17">
        <f t="shared" si="1"/>
        <v>338170.93089300307</v>
      </c>
      <c r="I3" s="17">
        <f t="shared" si="2"/>
        <v>4630366.069106997</v>
      </c>
    </row>
    <row r="4" spans="1:9" ht="15.75" customHeight="1" x14ac:dyDescent="0.25">
      <c r="A4" s="5">
        <f t="shared" si="3"/>
        <v>2026</v>
      </c>
      <c r="B4" s="49">
        <v>294146</v>
      </c>
      <c r="C4" s="50">
        <v>935775.50000000012</v>
      </c>
      <c r="D4" s="50">
        <v>1532273.5</v>
      </c>
      <c r="E4" s="50">
        <v>1466379</v>
      </c>
      <c r="F4" s="50">
        <v>1074945.5</v>
      </c>
      <c r="G4" s="17">
        <f t="shared" si="0"/>
        <v>5009373.5</v>
      </c>
      <c r="H4" s="17">
        <f t="shared" si="1"/>
        <v>337242.25524638686</v>
      </c>
      <c r="I4" s="17">
        <f t="shared" si="2"/>
        <v>4672131.2447536131</v>
      </c>
    </row>
    <row r="5" spans="1:9" ht="15.75" customHeight="1" x14ac:dyDescent="0.25">
      <c r="A5" s="5">
        <f t="shared" si="3"/>
        <v>2027</v>
      </c>
      <c r="B5" s="49">
        <v>292903</v>
      </c>
      <c r="C5" s="50">
        <v>936716.99999999988</v>
      </c>
      <c r="D5" s="50">
        <v>1528107</v>
      </c>
      <c r="E5" s="50">
        <v>1480080.5</v>
      </c>
      <c r="F5" s="50">
        <v>1101180.5</v>
      </c>
      <c r="G5" s="17">
        <f t="shared" si="0"/>
        <v>5046085</v>
      </c>
      <c r="H5" s="17">
        <f t="shared" si="1"/>
        <v>335817.13940843131</v>
      </c>
      <c r="I5" s="17">
        <f t="shared" si="2"/>
        <v>4710267.860591569</v>
      </c>
    </row>
    <row r="6" spans="1:9" ht="15.75" customHeight="1" x14ac:dyDescent="0.25">
      <c r="A6" s="5">
        <f t="shared" si="3"/>
        <v>2028</v>
      </c>
      <c r="B6" s="49">
        <v>291859</v>
      </c>
      <c r="C6" s="50">
        <v>933218</v>
      </c>
      <c r="D6" s="50">
        <v>1525083</v>
      </c>
      <c r="E6" s="50">
        <v>1492102.5</v>
      </c>
      <c r="F6" s="50">
        <v>1127265</v>
      </c>
      <c r="G6" s="17">
        <f t="shared" si="0"/>
        <v>5077668.5</v>
      </c>
      <c r="H6" s="17">
        <f t="shared" si="1"/>
        <v>334620.17968612595</v>
      </c>
      <c r="I6" s="17">
        <f t="shared" si="2"/>
        <v>4743048.3203138737</v>
      </c>
    </row>
    <row r="7" spans="1:9" ht="15.75" customHeight="1" x14ac:dyDescent="0.25">
      <c r="A7" s="5">
        <f t="shared" si="3"/>
        <v>2029</v>
      </c>
      <c r="B7" s="49">
        <v>290915</v>
      </c>
      <c r="C7" s="50">
        <v>925958</v>
      </c>
      <c r="D7" s="50">
        <v>1523522.5</v>
      </c>
      <c r="E7" s="50">
        <v>1502197.5</v>
      </c>
      <c r="F7" s="50">
        <v>1152593</v>
      </c>
      <c r="G7" s="17">
        <f t="shared" si="0"/>
        <v>5104271</v>
      </c>
      <c r="H7" s="17">
        <f t="shared" si="1"/>
        <v>333537.8712782177</v>
      </c>
      <c r="I7" s="17">
        <f t="shared" si="2"/>
        <v>4770733.128721782</v>
      </c>
    </row>
    <row r="8" spans="1:9" ht="15.75" customHeight="1" x14ac:dyDescent="0.25">
      <c r="A8" s="5">
        <f t="shared" si="3"/>
        <v>2030</v>
      </c>
      <c r="B8" s="49">
        <v>289830</v>
      </c>
      <c r="C8" s="50">
        <v>915607.50000000012</v>
      </c>
      <c r="D8" s="50">
        <v>1524139</v>
      </c>
      <c r="E8" s="50">
        <v>1509876.5</v>
      </c>
      <c r="F8" s="50">
        <v>1176881.5</v>
      </c>
      <c r="G8" s="17">
        <f t="shared" si="0"/>
        <v>5126504.5</v>
      </c>
      <c r="H8" s="17">
        <f t="shared" si="1"/>
        <v>332293.90451700956</v>
      </c>
      <c r="I8" s="17">
        <f t="shared" si="2"/>
        <v>4794210.5954829901</v>
      </c>
    </row>
    <row r="9" spans="1:9" ht="15.75" customHeight="1" x14ac:dyDescent="0.25">
      <c r="A9" s="5">
        <f t="shared" si="3"/>
        <v>2031</v>
      </c>
      <c r="B9" s="49">
        <v>288378</v>
      </c>
      <c r="C9" s="50">
        <v>903297.5</v>
      </c>
      <c r="D9" s="50">
        <v>1527319</v>
      </c>
      <c r="E9" s="50">
        <v>1515003.5</v>
      </c>
      <c r="F9" s="50">
        <v>1199926.5</v>
      </c>
      <c r="G9" s="17">
        <f t="shared" si="0"/>
        <v>5145546.5</v>
      </c>
      <c r="H9" s="17">
        <f t="shared" si="1"/>
        <v>330629.16743196419</v>
      </c>
      <c r="I9" s="17">
        <f t="shared" si="2"/>
        <v>4814917.3325680355</v>
      </c>
    </row>
    <row r="10" spans="1:9" ht="15.75" customHeight="1" x14ac:dyDescent="0.25">
      <c r="A10" s="5">
        <f t="shared" si="3"/>
        <v>2032</v>
      </c>
      <c r="B10" s="49">
        <v>286493</v>
      </c>
      <c r="C10" s="50">
        <v>891346</v>
      </c>
      <c r="D10" s="50">
        <v>1531204</v>
      </c>
      <c r="E10" s="50">
        <v>1517886.5</v>
      </c>
      <c r="F10" s="50">
        <v>1221673</v>
      </c>
      <c r="G10" s="17">
        <f t="shared" si="0"/>
        <v>5162109.5</v>
      </c>
      <c r="H10" s="17">
        <f t="shared" si="1"/>
        <v>328467.99015557958</v>
      </c>
      <c r="I10" s="17">
        <f t="shared" si="2"/>
        <v>4833641.5098444205</v>
      </c>
    </row>
    <row r="11" spans="1:9" ht="15.75" customHeight="1" x14ac:dyDescent="0.25">
      <c r="A11" s="5">
        <f t="shared" si="3"/>
        <v>2033</v>
      </c>
      <c r="B11" s="49">
        <v>284242</v>
      </c>
      <c r="C11" s="50">
        <v>882037.49999999988</v>
      </c>
      <c r="D11" s="50">
        <v>1532831</v>
      </c>
      <c r="E11" s="50">
        <v>1518802</v>
      </c>
      <c r="F11" s="50">
        <v>1241947.5</v>
      </c>
      <c r="G11" s="17">
        <f t="shared" si="0"/>
        <v>5175618</v>
      </c>
      <c r="H11" s="17">
        <f t="shared" si="1"/>
        <v>325887.18906850164</v>
      </c>
      <c r="I11" s="17">
        <f t="shared" si="2"/>
        <v>4849730.8109314982</v>
      </c>
    </row>
    <row r="12" spans="1:9" ht="15.75" customHeight="1" x14ac:dyDescent="0.25">
      <c r="A12" s="5">
        <f t="shared" si="3"/>
        <v>2034</v>
      </c>
      <c r="B12" s="49">
        <v>281809</v>
      </c>
      <c r="C12" s="50">
        <v>875655.5</v>
      </c>
      <c r="D12" s="50">
        <v>1531551.5</v>
      </c>
      <c r="E12" s="50">
        <v>1517810.5</v>
      </c>
      <c r="F12" s="50">
        <v>1260618.5</v>
      </c>
      <c r="G12" s="17">
        <f t="shared" si="0"/>
        <v>5185636</v>
      </c>
      <c r="H12" s="17">
        <f t="shared" si="1"/>
        <v>323097.72258922108</v>
      </c>
      <c r="I12" s="17">
        <f t="shared" si="2"/>
        <v>4862538.2774107791</v>
      </c>
    </row>
    <row r="13" spans="1:9" ht="15.75" customHeight="1" x14ac:dyDescent="0.25">
      <c r="A13" s="5">
        <f t="shared" si="3"/>
        <v>2035</v>
      </c>
      <c r="B13" s="49">
        <v>280280</v>
      </c>
      <c r="C13" s="50">
        <v>871304.5</v>
      </c>
      <c r="D13" s="50">
        <v>1528052.5</v>
      </c>
      <c r="E13" s="50">
        <v>1515411</v>
      </c>
      <c r="F13" s="50">
        <v>1277903.5</v>
      </c>
      <c r="G13" s="17">
        <f t="shared" si="0"/>
        <v>5192671.5</v>
      </c>
      <c r="H13" s="17">
        <f t="shared" si="1"/>
        <v>321344.70399208996</v>
      </c>
      <c r="I13" s="17">
        <f t="shared" si="2"/>
        <v>4871326.7960079098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VjLHS76YknpuW33/6U2cFKiCpOgJyo7wWTN4uDzDLB05Vs+ew6PR5AN8atJ4gbQYkSeS81XWGEOh84MZ7LZiw==" saltValue="1MSD2HRL5kzoMgQOfD0Fm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9.4421100000000091E-2</v>
      </c>
    </row>
    <row r="5" spans="1:8" ht="15.75" customHeight="1" x14ac:dyDescent="0.25">
      <c r="B5" s="19" t="s">
        <v>80</v>
      </c>
      <c r="C5" s="101">
        <v>3.2750199999999993E-2</v>
      </c>
    </row>
    <row r="6" spans="1:8" ht="15.75" customHeight="1" x14ac:dyDescent="0.25">
      <c r="B6" s="19" t="s">
        <v>81</v>
      </c>
      <c r="C6" s="101">
        <v>0.1179866</v>
      </c>
    </row>
    <row r="7" spans="1:8" ht="15.75" customHeight="1" x14ac:dyDescent="0.25">
      <c r="B7" s="19" t="s">
        <v>82</v>
      </c>
      <c r="C7" s="101">
        <v>0.40071889999999949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0.2526860000000003</v>
      </c>
    </row>
    <row r="10" spans="1:8" ht="15.75" customHeight="1" x14ac:dyDescent="0.25">
      <c r="B10" s="19" t="s">
        <v>85</v>
      </c>
      <c r="C10" s="101">
        <v>0.1014372000000001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88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89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93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94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95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6.7922542000000002E-2</v>
      </c>
    </row>
    <row r="27" spans="1:8" ht="15.75" customHeight="1" x14ac:dyDescent="0.25">
      <c r="B27" s="19" t="s">
        <v>102</v>
      </c>
      <c r="C27" s="101">
        <v>3.9153998000000002E-2</v>
      </c>
    </row>
    <row r="28" spans="1:8" ht="15.75" customHeight="1" x14ac:dyDescent="0.25">
      <c r="B28" s="19" t="s">
        <v>103</v>
      </c>
      <c r="C28" s="101">
        <v>0.14092202700000001</v>
      </c>
    </row>
    <row r="29" spans="1:8" ht="15.75" customHeight="1" x14ac:dyDescent="0.25">
      <c r="B29" s="19" t="s">
        <v>104</v>
      </c>
      <c r="C29" s="101">
        <v>0.29517143400000001</v>
      </c>
    </row>
    <row r="30" spans="1:8" ht="15.75" customHeight="1" x14ac:dyDescent="0.25">
      <c r="B30" s="19" t="s">
        <v>2</v>
      </c>
      <c r="C30" s="101">
        <v>4.8052300999999999E-2</v>
      </c>
    </row>
    <row r="31" spans="1:8" ht="15.75" customHeight="1" x14ac:dyDescent="0.25">
      <c r="B31" s="19" t="s">
        <v>105</v>
      </c>
      <c r="C31" s="101">
        <v>8.049626E-2</v>
      </c>
    </row>
    <row r="32" spans="1:8" ht="15.75" customHeight="1" x14ac:dyDescent="0.25">
      <c r="B32" s="19" t="s">
        <v>106</v>
      </c>
      <c r="C32" s="101">
        <v>1.1478149E-2</v>
      </c>
    </row>
    <row r="33" spans="2:3" ht="15.75" customHeight="1" x14ac:dyDescent="0.25">
      <c r="B33" s="19" t="s">
        <v>107</v>
      </c>
      <c r="C33" s="101">
        <v>0.18240295500000001</v>
      </c>
    </row>
    <row r="34" spans="2:3" ht="15.75" customHeight="1" x14ac:dyDescent="0.25">
      <c r="B34" s="19" t="s">
        <v>108</v>
      </c>
      <c r="C34" s="101">
        <v>0.13440033400000001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LlgPgK4vDD1oAEkCBPoCObyh4HLsvaksTdWXAUc8HCqT8/5ppLOn0paex5sLlClF88gj66c07J9nFLwPeHRUTg==" saltValue="AoH0hlI9bTYlW2MNZVEnd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114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115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119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120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WZfITGCr0ELtllzR19Y4a3WVj6Jov5a8Xeo+WijanjYL4oZXXkKnKzT0HZGInFvuzFVDzAhTbKXYFDXXUuNKA==" saltValue="TpAbxCbgyBnL1fWi4IN+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132</v>
      </c>
      <c r="C5" s="52">
        <v>6.0654600000000003E-2</v>
      </c>
      <c r="D5" s="52">
        <v>6.5271200000000001E-2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CK39547M+EHg2jM6cz6NycT89fs1bl09Aq2cFAaWm2W7E83zFHWcarA9kuIMa49CezRPZH/50M0Dxg2WWXwZvQ==" saltValue="Ydprmva4PG4UhXBOO5v+s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ChkDdtdbEKjx690jJBeYmtw4ggxDri+vEGlZdft6XU4SlB/6+SaF4PYffXRbLYAXQew+NT8m0cfGRRHeatjNg==" saltValue="wXKQRa27GWKXdtUNPjRR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WIYoLM4Fut8/vZM0F57tAL9JLy7OB3r8SS4GM2JrYkjPVG0Pg2FGahFOLRoeNSqbFD8SDS4ebluwTHJfFapZkQ==" saltValue="r4kWAtyiCDMp0+yL83w+B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mGnxCRxWCEXT8d42CWnyCusuC2ftK8lPcgBx2UP5q7vAIW0vSRQ8i5CDG8XQr1AcIguQYs2lEDS91Z2xGGhQg==" saltValue="+NsNcR+jZadYDf1QTX1pT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TS6fEswUeKhqB50B/BkjX4+Vnp1KBL+xoByJmSmOw8Trk8kKyKKvjNcF9R3mFtdmaFkzt9z9qcPLcRs1nXfqaw==" saltValue="PZNyEyuBcDQtOf3M57hR2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69.98595024529601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0.237921896716</v>
      </c>
      <c r="C3" s="98">
        <v>0.95</v>
      </c>
      <c r="D3" s="56">
        <v>40.148121577173832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601.85268684878201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1.888708090027355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13.28042102096974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13.28042102096974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13.28042102096974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13.28042102096974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13.28042102096974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13.28042102096974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</v>
      </c>
      <c r="C16" s="98">
        <v>0.95</v>
      </c>
      <c r="D16" s="56">
        <v>0.98718682086509035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0.52564722222222204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0.12036642127279</v>
      </c>
      <c r="C18" s="98">
        <v>0.95</v>
      </c>
      <c r="D18" s="56">
        <v>13.818442191631251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0.92272499999999991</v>
      </c>
      <c r="C19" s="98">
        <v>0.95</v>
      </c>
      <c r="D19" s="56">
        <v>13.818442191631251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0.91284360000000009</v>
      </c>
      <c r="C21" s="98">
        <v>0.95</v>
      </c>
      <c r="D21" s="56">
        <v>30.960439902477539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23.05841012764267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4.4469886479598264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0.91209705466348001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18.844293755198361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0.71526448139068999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140.93703453269751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0.69989222611764845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2.147228290957607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0.58568469999999995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0.44999919999999999</v>
      </c>
      <c r="C38" s="98">
        <v>0.95</v>
      </c>
      <c r="D38" s="56">
        <v>3.4506874250287209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3JURdlDYYTmV/vszh7XPF//AoMpJUgqi/gyxCVboY9JKvIQk2ZsLGMNcXWkIvx/eBy72K4Tv56XWjokE8OGC/w==" saltValue="a5poan/8Bq+YE3rbefkF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Ti3EPBpq419c9cTNcaIw/aF3lwWCPuwPUmpA+6R60sGo/jmApo/pJoIHMuJh6lVnP6SsH6YUpRwmAE4+HgHtQ==" saltValue="9cjfw5lZgDNUQiP2WmPG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lOeaK5uZ478Nbe4YqyIXVIBfbsUBpV4BtgP5yV1Qp9vXnDSPwATSJXq/pdzdHPDttJCWIdp/tdvOyp9Jf3S4Q==" saltValue="sRxZeNu9IBHwLcU08Hgj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208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sheetProtection algorithmName="SHA-512" hashValue="zlyX/w1EhRWDh85f+csoHPgklLOS1jwo0H8YrX68eeBNC8/JOH8Xs2a20NK+CNOCQMoWPNU/TFXleAJo2cVSFw==" saltValue="MkzIKCjRaKttXkchE0LO+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3.3000000000000002E-2</v>
      </c>
      <c r="E2" s="60">
        <f>food_insecure</f>
        <v>3.3000000000000002E-2</v>
      </c>
      <c r="F2" s="60">
        <f>food_insecure</f>
        <v>3.3000000000000002E-2</v>
      </c>
      <c r="G2" s="60">
        <f>food_insecure</f>
        <v>3.3000000000000002E-2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3.3000000000000002E-2</v>
      </c>
      <c r="I15" s="60">
        <f>food_insecure</f>
        <v>3.3000000000000002E-2</v>
      </c>
      <c r="J15" s="60">
        <f>food_insecure</f>
        <v>3.3000000000000002E-2</v>
      </c>
      <c r="K15" s="60">
        <f>food_insecure</f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QDhsIU4PIKpPI4z4Wtuf7k1CjUHIgsiAYrcRUoqmadT+FLnBrl4vSJ4EyEaCpvTN6/48UNi6sXZp/2AfrNDjA==" saltValue="DjzCyY4FQmznyIgrP89S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0iRxEelRQCRpBUueKsUraJ7CgEoH9oLS9CJvRP90xfjoZwQP3logtMx2nUKJ64xKaWR7FBpzQAdafMgoFwSVRw==" saltValue="D25YuygAFfTs8YVeKaC9V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6nPNMhmqIKhQ3i4dV+kWvZq4CS8hsE8qko5ct3F0v9okk6Nhee+wPEhXe/nKIt3KrMSPeisaXT1SvUC7nto1A==" saltValue="kjSkoHK2ueMZUpOIMIjc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tKZ4QVNMXCd9rDtgU6WC+ZQp9v2TRoWU5xmn5UyapBto714CPFBidkeS/cU/MwxxlwgnF9krDwIkwPhoj++fQ==" saltValue="beE2q4q2QyBJllhWtq52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O5sqYKjqo4aM9Nw1xm8Mnx8gRsHAGT5B8TLBvVltPD5zfzt65JY7K1Hr4ncktN/DqmLajFikd5jcIdN12Byng==" saltValue="z4MdjSJml+jFisa4HJYw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jCebB9hNRmYQ3EfhnHD0uKWn7RlTTE/gI5rbB7DAnw+DTD6Bw+9i7uDdevQWShqYl995bjYYr/jRBYKJgcpaA==" saltValue="lEUC6A5kpFjlH/eXVX271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lXiGV4+SM7dC5VTaQ/+nj1mJr7K5e1S8TSwQXbZPmhJnHhRi6Ot2ru/rU/UCF5fl5RVy95uoqXuJEOZTpszQEQ==" saltValue="KtLLtcZkP8LwcsfQN8T8z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pjd/Q/gWB5QljccY/GUo6ATxqzWo23cdhw5kcGQ0Lex56rPn/VhKLw8tpiTm4Po7VLo3lPVlsHsQ56zZ9xfmQ==" saltValue="ZqCb7qCmt7V24Kstpw0H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1+iFTVopYKeZrxHahWdNKIa8vPJbidEplKM7NspmYIwgMIyfMOPJrAuQjvWshaorTUdvBZ6GBZ/eJHTcGDuDQ==" saltValue="DSA7hkw7BxyPtQGAKS+l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2Rs06apZu5oOWLGZzyG1unoLssrZcOAIBfdtMpB5k0kbYNBEh2HUBxRGYeHWopOEmboZa3j3EIEafPsTdtnRWg==" saltValue="HJG1WcMxnB//rcE1v/uQ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hDlyWRGXcpIGPLRjlZJgjNZxiocTm7wtN9RmAfZ7ObQNU1pdkEekWRK7P6tiBHc9KAx5kcUH+cueQf7BZCkSg==" saltValue="jTTN7Rwd9SF1vrG9jec/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x9C4vEmSLkL7GII2Z85+iMULIcD+w75tKLmH/e3ODgLIXiQUGw1nBo1P2sZVEYuHZ+3YoCCaGTQVqUIUAUYhw==" saltValue="6eQTbbNaZImua/Z+U1aB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YjFA1OJXsTwyb6MVHPw8rAqIgs9xHOYz7G7BYjg9iTun9vG5ndugYpPfgwsBYd31I2xERgc2bWAPmeT+22AwQ==" saltValue="bsgpM6m/dsU9DvmVu6kO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z0Q/NijKl7ANbYloC9VC3TyKxYaZvc1Usj7O5kwE2oK4gITVTUg8UPhWCCLl9OV1R1gyLBOLhxMNNcfInh68A==" saltValue="PmUE+L7PWCIOhiCSCHWN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+hFsK7y1epc8KXn5aljlou1pY/G2wArlGAgpaSr+e95WvVW26oARZdhhEyElRz3MWAyjKSIC0whUtyL0f84vpQ==" saltValue="Kf77P8eriZnytYIkex+Xv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2024-05-17T00:22:45Z</dcterms:modified>
</cp:coreProperties>
</file>