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154A9F80-ADA7-4EB8-8A81-7E63F41E4133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I9" i="2"/>
  <c r="I13" i="2"/>
  <c r="A31" i="2"/>
  <c r="I2" i="2"/>
  <c r="I6" i="2"/>
  <c r="A19" i="2"/>
  <c r="A35" i="2"/>
  <c r="A34" i="2"/>
  <c r="A22" i="2"/>
  <c r="A36" i="2"/>
  <c r="I3" i="2"/>
  <c r="I7" i="2"/>
  <c r="A23" i="2"/>
  <c r="A37" i="2"/>
  <c r="A40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<sst xmlns="http://schemas.openxmlformats.org/spreadsheetml/2006/main" count="2169" uniqueCount="369">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</sst>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1352402</v>
      </c>
    </row>
    <row r="8" spans="1:3" ht="15" customHeight="1" x14ac:dyDescent="0.25">
      <c r="B8" s="5" t="s">
        <v>37</v>
      </c>
      <c r="C8" s="44">
        <v>3.3000000000000002E-2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0.89274291992187504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0.193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0.151</v>
      </c>
    </row>
    <row r="24" spans="1:3" ht="15" customHeight="1" x14ac:dyDescent="0.25">
      <c r="B24" s="15" t="s">
        <v>51</v>
      </c>
      <c r="C24" s="45">
        <v>0.51359999999999995</v>
      </c>
    </row>
    <row r="25" spans="1:3" ht="15" customHeight="1" x14ac:dyDescent="0.25">
      <c r="B25" s="15" t="s">
        <v>52</v>
      </c>
      <c r="C25" s="45">
        <v>0.27929999999999999</v>
      </c>
    </row>
    <row r="26" spans="1:3" ht="15" customHeight="1" x14ac:dyDescent="0.25">
      <c r="B26" s="15" t="s">
        <v>53</v>
      </c>
      <c r="C26" s="45">
        <v>5.6099999999999997E-2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0.24516550000000001</v>
      </c>
    </row>
    <row r="30" spans="1:3" ht="14.25" customHeight="1" x14ac:dyDescent="0.25">
      <c r="B30" s="25" t="s">
        <v>56</v>
      </c>
      <c r="C30" s="97">
        <v>0.14159289999999999</v>
      </c>
    </row>
    <row r="31" spans="1:3" ht="14.25" customHeight="1" x14ac:dyDescent="0.25">
      <c r="B31" s="25" t="s">
        <v>57</v>
      </c>
      <c r="C31" s="97">
        <v>0.1189774</v>
      </c>
    </row>
    <row r="32" spans="1:3" ht="14.25" customHeight="1" x14ac:dyDescent="0.25">
      <c r="B32" s="25" t="s">
        <v>58</v>
      </c>
      <c r="C32" s="97">
        <v>0.49426419999999999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6.6514800000000003</v>
      </c>
    </row>
    <row r="38" spans="1:5" ht="15" customHeight="1" x14ac:dyDescent="0.25">
      <c r="B38" s="11" t="s">
        <v>63</v>
      </c>
      <c r="C38" s="43">
        <v>10.72316</v>
      </c>
      <c r="D38" s="12"/>
      <c r="E38" s="13"/>
    </row>
    <row r="39" spans="1:5" ht="15" customHeight="1" x14ac:dyDescent="0.25">
      <c r="B39" s="11" t="s">
        <v>64</v>
      </c>
      <c r="C39" s="43">
        <v>12.46062</v>
      </c>
      <c r="D39" s="12"/>
      <c r="E39" s="12"/>
    </row>
    <row r="40" spans="1:5" ht="15" customHeight="1" x14ac:dyDescent="0.25">
      <c r="B40" s="11" t="s">
        <v>65</v>
      </c>
      <c r="C40" s="98">
        <v>0.66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8.8524999999999991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6.0990999999999997E-3</v>
      </c>
      <c r="D45" s="12"/>
    </row>
    <row r="46" spans="1:5" ht="15.75" customHeight="1" x14ac:dyDescent="0.25">
      <c r="B46" s="11" t="s">
        <v>70</v>
      </c>
      <c r="C46" s="45">
        <v>6.5533999999999995E-2</v>
      </c>
      <c r="D46" s="12"/>
    </row>
    <row r="47" spans="1:5" ht="15.75" customHeight="1" x14ac:dyDescent="0.25">
      <c r="B47" s="11" t="s">
        <v>71</v>
      </c>
      <c r="C47" s="45">
        <v>7.520120000000001E-2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0.55768200000000001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0.11180640999999999</v>
      </c>
    </row>
    <row r="63" spans="1:4" ht="15.75" customHeight="1" x14ac:dyDescent="0.3">
      <c r="A63" s="4"/>
    </row>
  </sheetData>
  <sheetProtection algorithmName="SHA-512" hashValue="xfBPx5pRmw+6n4WEZvdn5KWy04QIn1jXHHhhn9foAZNF9WMpQCUKCzH4F7lGgm1DjpAvH2IUuAf5NJ69bR2iow==" saltValue="2jwCX8wc+gf0lvx2ymRD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268769</v>
      </c>
      <c r="C2" s="49">
        <v>773041</v>
      </c>
      <c r="D2" s="49">
        <v>1529546</v>
      </c>
      <c r="E2" s="49">
        <v>1405010.5</v>
      </c>
      <c r="F2" s="49">
        <v>1156356.4999999998</v>
      </c>
      <c r="G2" s="17">
        <f t="shared" ref="G2:G13" si="0">C2+D2+E2+F2</f>
        <v>4863954</v>
      </c>
      <c r="H2" s="17">
        <f t="shared" ref="H2:H13" si="1">(B2 + stillbirth*B2/(1000-stillbirth))/(1-abortion)</f>
        <v>308147.191191844</v>
      </c>
      <c r="I2" s="17">
        <f t="shared" ref="I2:I13" si="2">G2-H2</f>
        <v>4555806.8088081563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267665</v>
      </c>
      <c r="C3" s="50">
        <v>777827</v>
      </c>
      <c r="D3" s="50">
        <v>1527887.0000000002</v>
      </c>
      <c r="E3" s="50">
        <v>1420577.4999999998</v>
      </c>
      <c r="F3" s="50">
        <v>1182642</v>
      </c>
      <c r="G3" s="17">
        <f t="shared" si="0"/>
        <v>4908933.5</v>
      </c>
      <c r="H3" s="17">
        <f t="shared" si="1"/>
        <v>306881.44068090041</v>
      </c>
      <c r="I3" s="17">
        <f t="shared" si="2"/>
        <v>4602052.0593190994</v>
      </c>
    </row>
    <row r="4" spans="1:9" ht="15.75" customHeight="1" x14ac:dyDescent="0.25">
      <c r="A4" s="5">
        <f t="shared" si="3"/>
        <v>2026</v>
      </c>
      <c r="B4" s="49">
        <v>267031</v>
      </c>
      <c r="C4" s="50">
        <v>783126.5</v>
      </c>
      <c r="D4" s="50">
        <v>1525328.5</v>
      </c>
      <c r="E4" s="50">
        <v>1437137.4999999998</v>
      </c>
      <c r="F4" s="50">
        <v>1207564.5</v>
      </c>
      <c r="G4" s="17">
        <f t="shared" si="0"/>
        <v>4953157</v>
      </c>
      <c r="H4" s="17">
        <f t="shared" si="1"/>
        <v>306154.551347623</v>
      </c>
      <c r="I4" s="17">
        <f t="shared" si="2"/>
        <v>4647002.4486523774</v>
      </c>
    </row>
    <row r="5" spans="1:9" ht="15.75" customHeight="1" x14ac:dyDescent="0.25">
      <c r="A5" s="5">
        <f t="shared" si="3"/>
        <v>2027</v>
      </c>
      <c r="B5" s="49">
        <v>266500</v>
      </c>
      <c r="C5" s="50">
        <v>787501</v>
      </c>
      <c r="D5" s="50">
        <v>1523123</v>
      </c>
      <c r="E5" s="50">
        <v>1453826.5</v>
      </c>
      <c r="F5" s="50">
        <v>1231114</v>
      </c>
      <c r="G5" s="17">
        <f t="shared" si="0"/>
        <v>4995564.5</v>
      </c>
      <c r="H5" s="17">
        <f t="shared" si="1"/>
        <v>305545.75286817463</v>
      </c>
      <c r="I5" s="17">
        <f t="shared" si="2"/>
        <v>4690018.7471318254</v>
      </c>
    </row>
    <row r="6" spans="1:9" ht="15.75" customHeight="1" x14ac:dyDescent="0.25">
      <c r="A6" s="5">
        <f t="shared" si="3"/>
        <v>2028</v>
      </c>
      <c r="B6" s="49">
        <v>266158</v>
      </c>
      <c r="C6" s="50">
        <v>785422.5</v>
      </c>
      <c r="D6" s="50">
        <v>1522994</v>
      </c>
      <c r="E6" s="50">
        <v>1469146.4999999998</v>
      </c>
      <c r="F6" s="50">
        <v>1253829.5</v>
      </c>
      <c r="G6" s="17">
        <f t="shared" si="0"/>
        <v>5031392.5</v>
      </c>
      <c r="H6" s="17">
        <f t="shared" si="1"/>
        <v>305153.64537293662</v>
      </c>
      <c r="I6" s="17">
        <f t="shared" si="2"/>
        <v>4726238.8546270635</v>
      </c>
    </row>
    <row r="7" spans="1:9" ht="15.75" customHeight="1" x14ac:dyDescent="0.25">
      <c r="A7" s="5">
        <f t="shared" si="3"/>
        <v>2029</v>
      </c>
      <c r="B7" s="49">
        <v>265457</v>
      </c>
      <c r="C7" s="50">
        <v>775764.5</v>
      </c>
      <c r="D7" s="50">
        <v>1525801.5</v>
      </c>
      <c r="E7" s="50">
        <v>1481941.5</v>
      </c>
      <c r="F7" s="50">
        <v>1276659.5</v>
      </c>
      <c r="G7" s="17">
        <f t="shared" si="0"/>
        <v>5060167</v>
      </c>
      <c r="H7" s="17">
        <f t="shared" si="1"/>
        <v>304349.93965901324</v>
      </c>
      <c r="I7" s="17">
        <f t="shared" si="2"/>
        <v>4755817.0603409866</v>
      </c>
    </row>
    <row r="8" spans="1:9" ht="15.75" customHeight="1" x14ac:dyDescent="0.25">
      <c r="A8" s="5">
        <f t="shared" si="3"/>
        <v>2030</v>
      </c>
      <c r="B8" s="49">
        <v>264848</v>
      </c>
      <c r="C8" s="50">
        <v>762646.5</v>
      </c>
      <c r="D8" s="50">
        <v>1530032</v>
      </c>
      <c r="E8" s="50">
        <v>1491766</v>
      </c>
      <c r="F8" s="50">
        <v>1299558.5</v>
      </c>
      <c r="G8" s="17">
        <f t="shared" si="0"/>
        <v>5084003</v>
      </c>
      <c r="H8" s="17">
        <f t="shared" si="1"/>
        <v>303651.7131543351</v>
      </c>
      <c r="I8" s="17">
        <f t="shared" si="2"/>
        <v>4780351.2868456645</v>
      </c>
    </row>
    <row r="9" spans="1:9" ht="15.75" customHeight="1" x14ac:dyDescent="0.25">
      <c r="A9" s="5">
        <f t="shared" si="3"/>
        <v>2031</v>
      </c>
      <c r="B9" s="49">
        <v>263893</v>
      </c>
      <c r="C9" s="50">
        <v>746116</v>
      </c>
      <c r="D9" s="50">
        <v>1535483</v>
      </c>
      <c r="E9" s="50">
        <v>1498593</v>
      </c>
      <c r="F9" s="50">
        <v>1322163.5</v>
      </c>
      <c r="G9" s="17">
        <f t="shared" si="0"/>
        <v>5102355.5</v>
      </c>
      <c r="H9" s="17">
        <f t="shared" si="1"/>
        <v>302556.79310184316</v>
      </c>
      <c r="I9" s="17">
        <f t="shared" si="2"/>
        <v>4799798.7068981566</v>
      </c>
    </row>
    <row r="10" spans="1:9" ht="15.75" customHeight="1" x14ac:dyDescent="0.25">
      <c r="A10" s="5">
        <f t="shared" si="3"/>
        <v>2032</v>
      </c>
      <c r="B10" s="49">
        <v>262592</v>
      </c>
      <c r="C10" s="50">
        <v>729631.5</v>
      </c>
      <c r="D10" s="50">
        <v>1540805.5</v>
      </c>
      <c r="E10" s="50">
        <v>1502809</v>
      </c>
      <c r="F10" s="50">
        <v>1344120</v>
      </c>
      <c r="G10" s="17">
        <f t="shared" si="0"/>
        <v>5117366</v>
      </c>
      <c r="H10" s="17">
        <f t="shared" si="1"/>
        <v>301065.17950153735</v>
      </c>
      <c r="I10" s="17">
        <f t="shared" si="2"/>
        <v>4816300.8204984628</v>
      </c>
    </row>
    <row r="11" spans="1:9" ht="15.75" customHeight="1" x14ac:dyDescent="0.25">
      <c r="A11" s="5">
        <f t="shared" si="3"/>
        <v>2033</v>
      </c>
      <c r="B11" s="49">
        <v>261452.99999999997</v>
      </c>
      <c r="C11" s="50">
        <v>720093</v>
      </c>
      <c r="D11" s="50">
        <v>1541290.5</v>
      </c>
      <c r="E11" s="50">
        <v>1505592.5</v>
      </c>
      <c r="F11" s="50">
        <v>1364389.9999999998</v>
      </c>
      <c r="G11" s="17">
        <f t="shared" si="0"/>
        <v>5131366</v>
      </c>
      <c r="H11" s="17">
        <f t="shared" si="1"/>
        <v>299759.30103055475</v>
      </c>
      <c r="I11" s="17">
        <f t="shared" si="2"/>
        <v>4831606.6989694452</v>
      </c>
    </row>
    <row r="12" spans="1:9" ht="15.75" customHeight="1" x14ac:dyDescent="0.25">
      <c r="A12" s="5">
        <f t="shared" si="3"/>
        <v>2034</v>
      </c>
      <c r="B12" s="49">
        <v>259986</v>
      </c>
      <c r="C12" s="50">
        <v>714634.5</v>
      </c>
      <c r="D12" s="50">
        <v>1536759.5</v>
      </c>
      <c r="E12" s="50">
        <v>1507619.0000000002</v>
      </c>
      <c r="F12" s="50">
        <v>1382187.5</v>
      </c>
      <c r="G12" s="17">
        <f t="shared" si="0"/>
        <v>5141200.5</v>
      </c>
      <c r="H12" s="17">
        <f t="shared" si="1"/>
        <v>298077.36624834989</v>
      </c>
      <c r="I12" s="17">
        <f t="shared" si="2"/>
        <v>4843123.1337516503</v>
      </c>
    </row>
    <row r="13" spans="1:9" ht="15.75" customHeight="1" x14ac:dyDescent="0.25">
      <c r="A13" s="5">
        <f t="shared" si="3"/>
        <v>2035</v>
      </c>
      <c r="B13" s="49">
        <v>258658.00000000003</v>
      </c>
      <c r="C13" s="50">
        <v>708534.5</v>
      </c>
      <c r="D13" s="50">
        <v>1529568.4999999998</v>
      </c>
      <c r="E13" s="50">
        <v>1508565</v>
      </c>
      <c r="F13" s="50">
        <v>1399054.5</v>
      </c>
      <c r="G13" s="17">
        <f t="shared" si="0"/>
        <v>5145722.5</v>
      </c>
      <c r="H13" s="17">
        <f t="shared" si="1"/>
        <v>296554.79679315694</v>
      </c>
      <c r="I13" s="17">
        <f t="shared" si="2"/>
        <v>4849167.7032068428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6r3rKeYI10F0kbqaqUtPo4BW7E84NTK4df39ic7hJhqZWp96R7TA2eVU2uF4qeR/hLE5X+ybFKxMdU+gH5LdAw==" saltValue="4/vLuO2UC4yBJhX2bmeak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9.4421100000000091E-2</v>
      </c>
    </row>
    <row r="5" spans="1:8" ht="15.75" customHeight="1" x14ac:dyDescent="0.25">
      <c r="B5" s="19" t="s">
        <v>98</v>
      </c>
      <c r="C5" s="99">
        <v>3.2750199999999993E-2</v>
      </c>
    </row>
    <row r="6" spans="1:8" ht="15.75" customHeight="1" x14ac:dyDescent="0.25">
      <c r="B6" s="19" t="s">
        <v>99</v>
      </c>
      <c r="C6" s="99">
        <v>0.1179866</v>
      </c>
    </row>
    <row r="7" spans="1:8" ht="15.75" customHeight="1" x14ac:dyDescent="0.25">
      <c r="B7" s="19" t="s">
        <v>100</v>
      </c>
      <c r="C7" s="99">
        <v>0.40071889999999949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0.2526860000000003</v>
      </c>
    </row>
    <row r="10" spans="1:8" ht="15.75" customHeight="1" x14ac:dyDescent="0.25">
      <c r="B10" s="19" t="s">
        <v>103</v>
      </c>
      <c r="C10" s="99">
        <v>0.1014372000000001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5.9475555032479699E-2</v>
      </c>
      <c r="D14" s="55">
        <v>5.9475555032479699E-2</v>
      </c>
      <c r="E14" s="55">
        <v>5.9475555032479699E-2</v>
      </c>
      <c r="F14" s="55">
        <v>5.9475555032479699E-2</v>
      </c>
    </row>
    <row r="15" spans="1:8" ht="15.75" customHeight="1" x14ac:dyDescent="0.25">
      <c r="B15" s="19" t="s">
        <v>106</v>
      </c>
      <c r="C15" s="99">
        <v>0.41431394664587951</v>
      </c>
      <c r="D15" s="99">
        <v>0.41431394664587951</v>
      </c>
      <c r="E15" s="99">
        <v>0.41431394664587951</v>
      </c>
      <c r="F15" s="99">
        <v>0.41431394664587951</v>
      </c>
    </row>
    <row r="16" spans="1:8" ht="15.75" customHeight="1" x14ac:dyDescent="0.25">
      <c r="B16" s="19" t="s">
        <v>107</v>
      </c>
      <c r="C16" s="99">
        <v>2.9739062085462981E-2</v>
      </c>
      <c r="D16" s="99">
        <v>2.9739062085462981E-2</v>
      </c>
      <c r="E16" s="99">
        <v>2.9739062085462981E-2</v>
      </c>
      <c r="F16" s="99">
        <v>2.9739062085462981E-2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1.6893002834047849E-2</v>
      </c>
      <c r="D19" s="99">
        <v>1.6893002834047849E-2</v>
      </c>
      <c r="E19" s="99">
        <v>1.6893002834047849E-2</v>
      </c>
      <c r="F19" s="99">
        <v>1.6893002834047849E-2</v>
      </c>
    </row>
    <row r="20" spans="1:8" ht="15.75" customHeight="1" x14ac:dyDescent="0.25">
      <c r="B20" s="19" t="s">
        <v>111</v>
      </c>
      <c r="C20" s="99">
        <v>4.3700973736667592E-2</v>
      </c>
      <c r="D20" s="99">
        <v>4.3700973736667592E-2</v>
      </c>
      <c r="E20" s="99">
        <v>4.3700973736667592E-2</v>
      </c>
      <c r="F20" s="99">
        <v>4.3700973736667592E-2</v>
      </c>
    </row>
    <row r="21" spans="1:8" ht="15.75" customHeight="1" x14ac:dyDescent="0.25">
      <c r="B21" s="19" t="s">
        <v>112</v>
      </c>
      <c r="C21" s="99">
        <v>0.330193747557116</v>
      </c>
      <c r="D21" s="99">
        <v>0.330193747557116</v>
      </c>
      <c r="E21" s="99">
        <v>0.330193747557116</v>
      </c>
      <c r="F21" s="99">
        <v>0.330193747557116</v>
      </c>
    </row>
    <row r="22" spans="1:8" ht="15.75" customHeight="1" x14ac:dyDescent="0.25">
      <c r="B22" s="19" t="s">
        <v>113</v>
      </c>
      <c r="C22" s="99">
        <v>0.1056837121083463</v>
      </c>
      <c r="D22" s="99">
        <v>0.1056837121083463</v>
      </c>
      <c r="E22" s="99">
        <v>0.1056837121083463</v>
      </c>
      <c r="F22" s="99">
        <v>0.1056837121083463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6.7922542000000002E-2</v>
      </c>
    </row>
    <row r="27" spans="1:8" ht="15.75" customHeight="1" x14ac:dyDescent="0.25">
      <c r="B27" s="19" t="s">
        <v>120</v>
      </c>
      <c r="C27" s="99">
        <v>3.9153998000000002E-2</v>
      </c>
    </row>
    <row r="28" spans="1:8" ht="15.75" customHeight="1" x14ac:dyDescent="0.25">
      <c r="B28" s="19" t="s">
        <v>121</v>
      </c>
      <c r="C28" s="99">
        <v>0.14092202700000001</v>
      </c>
    </row>
    <row r="29" spans="1:8" ht="15.75" customHeight="1" x14ac:dyDescent="0.25">
      <c r="B29" s="19" t="s">
        <v>122</v>
      </c>
      <c r="C29" s="99">
        <v>0.29517143400000001</v>
      </c>
    </row>
    <row r="30" spans="1:8" ht="15.75" customHeight="1" x14ac:dyDescent="0.25">
      <c r="B30" s="19" t="s">
        <v>2</v>
      </c>
      <c r="C30" s="99">
        <v>4.8052300999999999E-2</v>
      </c>
    </row>
    <row r="31" spans="1:8" ht="15.75" customHeight="1" x14ac:dyDescent="0.25">
      <c r="B31" s="19" t="s">
        <v>123</v>
      </c>
      <c r="C31" s="99">
        <v>8.049626E-2</v>
      </c>
    </row>
    <row r="32" spans="1:8" ht="15.75" customHeight="1" x14ac:dyDescent="0.25">
      <c r="B32" s="19" t="s">
        <v>124</v>
      </c>
      <c r="C32" s="99">
        <v>1.1478149E-2</v>
      </c>
    </row>
    <row r="33" spans="2:3" ht="15.75" customHeight="1" x14ac:dyDescent="0.25">
      <c r="B33" s="19" t="s">
        <v>125</v>
      </c>
      <c r="C33" s="99">
        <v>0.18240295500000001</v>
      </c>
    </row>
    <row r="34" spans="2:3" ht="15.75" customHeight="1" x14ac:dyDescent="0.25">
      <c r="B34" s="19" t="s">
        <v>126</v>
      </c>
      <c r="C34" s="99">
        <v>0.13440033400000001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nWd2hJu1W8WCw8jkd9STXViIzw3Vcdj83i7WSJrlVBZGKaMdnz5tQxYtGBAdECKiEBqH3oX8xwW/5f5vm4PEyg==" saltValue="w5fVWaYLdiqYYn+rPHH7o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0.40112313220861096</v>
      </c>
      <c r="D2" s="52">
        <f>IFERROR(1-_xlfn.NORM.DIST(_xlfn.NORM.INV(SUM(D4:D5), 0, 1) + 1, 0, 1, TRUE), "")</f>
        <v>0.40112313220861096</v>
      </c>
      <c r="E2" s="52">
        <f>IFERROR(1-_xlfn.NORM.DIST(_xlfn.NORM.INV(SUM(E4:E5), 0, 1) + 1, 0, 1, TRUE), "")</f>
        <v>0.39973960379490125</v>
      </c>
      <c r="F2" s="52">
        <f>IFERROR(1-_xlfn.NORM.DIST(_xlfn.NORM.INV(SUM(F4:F5), 0, 1) + 1, 0, 1, TRUE), "")</f>
        <v>0.30250579448511505</v>
      </c>
      <c r="G2" s="52">
        <f>IFERROR(1-_xlfn.NORM.DIST(_xlfn.NORM.INV(SUM(G4:G5), 0, 1) + 1, 0, 1, TRUE), "")</f>
        <v>0.43331125327208508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0.37211666779138902</v>
      </c>
      <c r="D3" s="52">
        <f>IFERROR(_xlfn.NORM.DIST(_xlfn.NORM.INV(SUM(D4:D5), 0, 1) + 1, 0, 1, TRUE) - SUM(D4:D5), "")</f>
        <v>0.37211666779138902</v>
      </c>
      <c r="E3" s="52">
        <f>IFERROR(_xlfn.NORM.DIST(_xlfn.NORM.INV(SUM(E4:E5), 0, 1) + 1, 0, 1, TRUE) - SUM(E4:E5), "")</f>
        <v>0.37242029620509876</v>
      </c>
      <c r="F3" s="52">
        <f>IFERROR(_xlfn.NORM.DIST(_xlfn.NORM.INV(SUM(F4:F5), 0, 1) + 1, 0, 1, TRUE) - SUM(F4:F5), "")</f>
        <v>0.38287280551488495</v>
      </c>
      <c r="G3" s="52">
        <f>IFERROR(_xlfn.NORM.DIST(_xlfn.NORM.INV(SUM(G4:G5), 0, 1) + 1, 0, 1, TRUE) - SUM(G4:G5), "")</f>
        <v>0.36399834672791487</v>
      </c>
    </row>
    <row r="4" spans="1:15" ht="15.75" customHeight="1" x14ac:dyDescent="0.25">
      <c r="B4" s="5" t="s">
        <v>132</v>
      </c>
      <c r="C4" s="45">
        <v>0.1208487</v>
      </c>
      <c r="D4" s="53">
        <v>0.1208487</v>
      </c>
      <c r="E4" s="53">
        <v>0.1336842</v>
      </c>
      <c r="F4" s="53">
        <v>0.19221740000000001</v>
      </c>
      <c r="G4" s="53">
        <v>0.14890880000000001</v>
      </c>
    </row>
    <row r="5" spans="1:15" ht="15.75" customHeight="1" x14ac:dyDescent="0.25">
      <c r="B5" s="5" t="s">
        <v>133</v>
      </c>
      <c r="C5" s="45">
        <v>0.10591150000000001</v>
      </c>
      <c r="D5" s="53">
        <v>0.10591150000000001</v>
      </c>
      <c r="E5" s="53">
        <v>9.4155900000000001E-2</v>
      </c>
      <c r="F5" s="53">
        <v>0.122404</v>
      </c>
      <c r="G5" s="53">
        <v>5.3781600000000013E-2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0.63826758365359426</v>
      </c>
      <c r="D8" s="52">
        <f>IFERROR(1-_xlfn.NORM.DIST(_xlfn.NORM.INV(SUM(D10:D11), 0, 1) + 1, 0, 1, TRUE), "")</f>
        <v>0.63826758365359426</v>
      </c>
      <c r="E8" s="52">
        <f>IFERROR(1-_xlfn.NORM.DIST(_xlfn.NORM.INV(SUM(E10:E11), 0, 1) + 1, 0, 1, TRUE), "")</f>
        <v>0.6851177116211753</v>
      </c>
      <c r="F8" s="52">
        <f>IFERROR(1-_xlfn.NORM.DIST(_xlfn.NORM.INV(SUM(F10:F11), 0, 1) + 1, 0, 1, TRUE), "")</f>
        <v>0.81752555802658022</v>
      </c>
      <c r="G8" s="52">
        <f>IFERROR(1-_xlfn.NORM.DIST(_xlfn.NORM.INV(SUM(G10:G11), 0, 1) + 1, 0, 1, TRUE), "")</f>
        <v>0.82506237856284637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0.27383741634640568</v>
      </c>
      <c r="D9" s="52">
        <f>IFERROR(_xlfn.NORM.DIST(_xlfn.NORM.INV(SUM(D10:D11), 0, 1) + 1, 0, 1, TRUE) - SUM(D10:D11), "")</f>
        <v>0.27383741634640568</v>
      </c>
      <c r="E9" s="52">
        <f>IFERROR(_xlfn.NORM.DIST(_xlfn.NORM.INV(SUM(E10:E11), 0, 1) + 1, 0, 1, TRUE) - SUM(E10:E11), "")</f>
        <v>0.24571988837882469</v>
      </c>
      <c r="F9" s="52">
        <f>IFERROR(_xlfn.NORM.DIST(_xlfn.NORM.INV(SUM(F10:F11), 0, 1) + 1, 0, 1, TRUE) - SUM(F10:F11), "")</f>
        <v>0.15414774197341979</v>
      </c>
      <c r="G9" s="52">
        <f>IFERROR(_xlfn.NORM.DIST(_xlfn.NORM.INV(SUM(G10:G11), 0, 1) + 1, 0, 1, TRUE) - SUM(G10:G11), "")</f>
        <v>0.14843212143715362</v>
      </c>
    </row>
    <row r="10" spans="1:15" ht="15.75" customHeight="1" x14ac:dyDescent="0.25">
      <c r="B10" s="5" t="s">
        <v>137</v>
      </c>
      <c r="C10" s="45">
        <v>6.1974400000000013E-2</v>
      </c>
      <c r="D10" s="53">
        <v>6.1974400000000013E-2</v>
      </c>
      <c r="E10" s="53">
        <v>4.8004100000000001E-2</v>
      </c>
      <c r="F10" s="53">
        <v>1.4466E-2</v>
      </c>
      <c r="G10" s="53">
        <v>1.6286100000000001E-2</v>
      </c>
    </row>
    <row r="11" spans="1:15" ht="15.75" customHeight="1" x14ac:dyDescent="0.25">
      <c r="B11" s="5" t="s">
        <v>138</v>
      </c>
      <c r="C11" s="45">
        <v>2.5920599999999999E-2</v>
      </c>
      <c r="D11" s="53">
        <v>2.5920599999999999E-2</v>
      </c>
      <c r="E11" s="53">
        <v>2.1158300000000001E-2</v>
      </c>
      <c r="F11" s="53">
        <v>1.38607E-2</v>
      </c>
      <c r="G11" s="53">
        <v>1.02194E-2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0.18063501800000001</v>
      </c>
      <c r="D14" s="54">
        <v>0.170571809943</v>
      </c>
      <c r="E14" s="54">
        <v>0.170571809943</v>
      </c>
      <c r="F14" s="54">
        <v>0.121825787856</v>
      </c>
      <c r="G14" s="54">
        <v>0.121825787856</v>
      </c>
      <c r="H14" s="45">
        <v>0.26400000000000001</v>
      </c>
      <c r="I14" s="55">
        <v>0.26400000000000001</v>
      </c>
      <c r="J14" s="55">
        <v>0.26400000000000001</v>
      </c>
      <c r="K14" s="55">
        <v>0.26400000000000001</v>
      </c>
      <c r="L14" s="45">
        <v>0.184</v>
      </c>
      <c r="M14" s="55">
        <v>0.184</v>
      </c>
      <c r="N14" s="55">
        <v>0.184</v>
      </c>
      <c r="O14" s="55">
        <v>0.184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0.100736898108276</v>
      </c>
      <c r="D15" s="52">
        <f t="shared" si="0"/>
        <v>9.5124828112632134E-2</v>
      </c>
      <c r="E15" s="52">
        <f t="shared" si="0"/>
        <v>9.5124828112632134E-2</v>
      </c>
      <c r="F15" s="52">
        <f t="shared" si="0"/>
        <v>6.7940049023109794E-2</v>
      </c>
      <c r="G15" s="52">
        <f t="shared" si="0"/>
        <v>6.7940049023109794E-2</v>
      </c>
      <c r="H15" s="52">
        <f t="shared" si="0"/>
        <v>0.147228048</v>
      </c>
      <c r="I15" s="52">
        <f t="shared" si="0"/>
        <v>0.147228048</v>
      </c>
      <c r="J15" s="52">
        <f t="shared" si="0"/>
        <v>0.147228048</v>
      </c>
      <c r="K15" s="52">
        <f t="shared" si="0"/>
        <v>0.147228048</v>
      </c>
      <c r="L15" s="52">
        <f t="shared" si="0"/>
        <v>0.102613488</v>
      </c>
      <c r="M15" s="52">
        <f t="shared" si="0"/>
        <v>0.102613488</v>
      </c>
      <c r="N15" s="52">
        <f t="shared" si="0"/>
        <v>0.102613488</v>
      </c>
      <c r="O15" s="52">
        <f t="shared" si="0"/>
        <v>0.102613488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SwSaIum4kN8Z/MbauOp1tzbKpJ+G0gln0LSEYgUJwiRiLIY8T08cMaRVB17mYGMwHkgivDblIrWjWhhFY0f4w==" saltValue="7rT3vxk2H1ai4cLUWXmg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0.76540940000000002</v>
      </c>
      <c r="D2" s="53">
        <v>0.57190620000000003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2.4179699999999998E-2</v>
      </c>
      <c r="D3" s="53">
        <v>8.36731E-2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0.14975620000000001</v>
      </c>
      <c r="D4" s="53">
        <v>0.27914949999999999</v>
      </c>
      <c r="E4" s="53">
        <v>0.85490650000000001</v>
      </c>
      <c r="F4" s="53">
        <v>0.5301382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6.065469999999995E-2</v>
      </c>
      <c r="D5" s="52">
        <f t="shared" si="0"/>
        <v>6.5271199999999974E-2</v>
      </c>
      <c r="E5" s="52">
        <f>1-SUM(E2:E4)</f>
        <v>0.14509349999999999</v>
      </c>
      <c r="F5" s="52">
        <f>1-SUM(F2:F4)</f>
        <v>0.4698618</v>
      </c>
      <c r="G5" s="52">
        <f>1-SUM(G2:G4)</f>
        <v>1</v>
      </c>
    </row>
  </sheetData>
  <sheetProtection algorithmName="SHA-512" hashValue="tehp1moKPZUPKwGhEzBkoJExkXvSZoAkQ3+O7QRCLUXB4tcwXX+rutr5uvB0jQKDf2bbolYpHW8PWiwek6IEiw==" saltValue="ZhPCm6aysh6RrAIqMLvsw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xCIB9mg6C6gt/gKPqbie1YrZkyG/Gvds+yIVohNtyfbnnV+vC2B5HZhLAXoCwOA5Nfcz08osSILk2EvJxpUqQ==" saltValue="B5fcM9vQ0rRwJ91Tuj0Ak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6391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0.54978000000000005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0.57489999999999997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1.7098553792749306E-2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98612.38192</v>
      </c>
      <c r="C22" s="107">
        <v>98471.543890000001</v>
      </c>
      <c r="D22" s="107">
        <v>98287.624890000006</v>
      </c>
      <c r="E22" s="107">
        <v>97953.012220000004</v>
      </c>
      <c r="F22" s="107">
        <v>97454.361680000002</v>
      </c>
      <c r="G22" s="107">
        <v>96961.6734</v>
      </c>
      <c r="H22" s="107">
        <v>96380.391199999998</v>
      </c>
      <c r="I22" s="107">
        <v>95641.088480000006</v>
      </c>
      <c r="J22" s="107">
        <v>94822.714500000002</v>
      </c>
      <c r="K22" s="107">
        <v>93678.981750000006</v>
      </c>
      <c r="L22" s="107">
        <v>91955.330029999997</v>
      </c>
      <c r="M22" s="107">
        <v>89340.673030000005</v>
      </c>
      <c r="N22" s="107">
        <v>85605.360969999994</v>
      </c>
      <c r="O22" s="107">
        <v>79528.155599999998</v>
      </c>
    </row>
  </sheetData>
  <sheetProtection algorithmName="SHA-512" hashValue="fRnhblVwL0HHXVfx6JqnkluRDyGoEINexdf05wBv7OQNy/JZgdp6Qja8HdMa6KHxfoYe+cprVOQBLoRUNLeDnQ==" saltValue="dAiBb1aYS8YoGUKEgu/7i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UH+zvZQtCAwn/An5TSe7Lxf4j37/+iU6WLZn1qhsHS+L6hFW/a/gOJHeywd0CFF+7q9WP4pzO5ddacFCnYD6bA==" saltValue="E/wadjDoeodDbB0GHeanW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t+VFLwyOJBmHsMb72H/0+Gk+O8Cjhit8TIySwhyXSb/qi1XQbb4/+7/+VuPvtiTp4TIoN+QJgrVncfRUEFsRGg==" saltValue="2uam8xJGaB4W0QcF8RMQK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0.32855565777368906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13.28042102096974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13.28042102096974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13.28042102096974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13.28042102096974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13.28042102096974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13.28042102096974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0.52564722222222204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0.57190620000000003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0.57190620000000003</v>
      </c>
      <c r="C19" s="96">
        <v>0.95</v>
      </c>
      <c r="D19" s="56">
        <v>13.818442191631251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4.4469886479598264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0.68347109796406003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0.44999919999999999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0.58568469999999995</v>
      </c>
      <c r="C29" s="96">
        <v>0.95</v>
      </c>
      <c r="D29" s="56">
        <v>140.93703453269751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0.8722955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0.91284360000000009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4eE5mSoyrQuSE7R1LC5DXfvsQYCbJWsWn7WKBFoKwQkCyvWwr6upJExuuQxTFhjGJ8lZU84tMlR71w2kfplLPg==" saltValue="JLDdXI09JEB/ammtjyJ7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7ueZDGp2SIk7MKRCgZ5LBt5ysoFFuIg7+mhe9oBPSTQl+4NrUghJB+ZJIKfpuV0mTGt6ND6f9wdBETl89Y2SXw==" saltValue="hxFp2m9U0OjpQUNbpqMYz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d9n2SSfMNEVFpprn7zcpnR7F41U620AWfQcQIXgB4wjprCe3OssdYrAMr//9LGYHBu9EEScOFYmYyK4+ptSOg==" saltValue="I4x9XT8SjBJsLhj90oI/3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0.16113344000000004</v>
      </c>
      <c r="C3" s="21">
        <f>frac_mam_1_5months * 2.6</f>
        <v>0.16113344000000004</v>
      </c>
      <c r="D3" s="21">
        <f>frac_mam_6_11months * 2.6</f>
        <v>0.12481066</v>
      </c>
      <c r="E3" s="21">
        <f>frac_mam_12_23months * 2.6</f>
        <v>3.7611600000000002E-2</v>
      </c>
      <c r="F3" s="21">
        <f>frac_mam_24_59months * 2.6</f>
        <v>4.2343860000000004E-2</v>
      </c>
    </row>
    <row r="4" spans="1:6" ht="15.75" customHeight="1" x14ac:dyDescent="0.25">
      <c r="A4" s="3" t="s">
        <v>237</v>
      </c>
      <c r="B4" s="21">
        <f>frac_sam_1month * 2.6</f>
        <v>6.7393560000000005E-2</v>
      </c>
      <c r="C4" s="21">
        <f>frac_sam_1_5months * 2.6</f>
        <v>6.7393560000000005E-2</v>
      </c>
      <c r="D4" s="21">
        <f>frac_sam_6_11months * 2.6</f>
        <v>5.5011580000000004E-2</v>
      </c>
      <c r="E4" s="21">
        <f>frac_sam_12_23months * 2.6</f>
        <v>3.6037819999999998E-2</v>
      </c>
      <c r="F4" s="21">
        <f>frac_sam_24_59months * 2.6</f>
        <v>2.6570440000000001E-2</v>
      </c>
    </row>
  </sheetData>
  <sheetProtection algorithmName="SHA-512" hashValue="LpuFU85hHGXdAh3xgA4KfHsq4pFXmFxlXs++iYgdlQ2pL12TCR4lGlFfLD6QHKmuf04XJMjHmknxqy6Eaun6EA==" saltValue="KYrk1aI4bX2uysAeqxwKN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3.3000000000000002E-2</v>
      </c>
      <c r="F2" s="60">
        <f>food_insecure</f>
        <v>3.3000000000000002E-2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3.3000000000000002E-2</v>
      </c>
      <c r="F5" s="60">
        <f>food_insecure</f>
        <v>3.3000000000000002E-2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3.3000000000000002E-2</v>
      </c>
      <c r="F8" s="60">
        <f>food_insecure</f>
        <v>3.3000000000000002E-2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3.3000000000000002E-2</v>
      </c>
      <c r="F9" s="60">
        <f>food_insecure</f>
        <v>3.3000000000000002E-2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3.3000000000000002E-2</v>
      </c>
      <c r="I15" s="60">
        <f t="shared" si="0"/>
        <v>3.3000000000000002E-2</v>
      </c>
      <c r="J15" s="60">
        <f t="shared" si="0"/>
        <v>3.3000000000000002E-2</v>
      </c>
      <c r="K15" s="60">
        <f t="shared" si="0"/>
        <v>3.3000000000000002E-2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3.3000000000000002E-2</v>
      </c>
      <c r="I16" s="60">
        <f t="shared" si="0"/>
        <v>3.3000000000000002E-2</v>
      </c>
      <c r="J16" s="60">
        <f t="shared" si="0"/>
        <v>3.3000000000000002E-2</v>
      </c>
      <c r="K16" s="60">
        <f t="shared" si="0"/>
        <v>3.3000000000000002E-2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0.193</v>
      </c>
      <c r="M24" s="60">
        <f>famplan_unmet_need</f>
        <v>0.193</v>
      </c>
      <c r="N24" s="60">
        <f>famplan_unmet_need</f>
        <v>0.193</v>
      </c>
      <c r="O24" s="60">
        <f>famplan_unmet_need</f>
        <v>0.193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5.3299260803222628E-2</v>
      </c>
      <c r="M25" s="60">
        <f>(1-food_insecure)*(0.49)+food_insecure*(0.7)</f>
        <v>0.49692999999999998</v>
      </c>
      <c r="N25" s="60">
        <f>(1-food_insecure)*(0.49)+food_insecure*(0.7)</f>
        <v>0.49692999999999998</v>
      </c>
      <c r="O25" s="60">
        <f>(1-food_insecure)*(0.49)+food_insecure*(0.7)</f>
        <v>0.49692999999999998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2.2842540344238268E-2</v>
      </c>
      <c r="M26" s="60">
        <f>(1-food_insecure)*(0.21)+food_insecure*(0.3)</f>
        <v>0.21296999999999996</v>
      </c>
      <c r="N26" s="60">
        <f>(1-food_insecure)*(0.21)+food_insecure*(0.3)</f>
        <v>0.21296999999999996</v>
      </c>
      <c r="O26" s="60">
        <f>(1-food_insecure)*(0.21)+food_insecure*(0.3)</f>
        <v>0.21296999999999996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3.1115278930664046E-2</v>
      </c>
      <c r="M27" s="60">
        <f>(1-food_insecure)*(0.3)</f>
        <v>0.29009999999999997</v>
      </c>
      <c r="N27" s="60">
        <f>(1-food_insecure)*(0.3)</f>
        <v>0.29009999999999997</v>
      </c>
      <c r="O27" s="60">
        <f>(1-food_insecure)*(0.3)</f>
        <v>0.29009999999999997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0.89274291992187504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nma+84mGWjjZNj839KzRpjO36ldiQyGnYTGmhWmGqxEWaodqWEFgI89HygbY53D6WkvaLeyc1Yr9C9GHrVpBw==" saltValue="wuwDNzJ/XBZ+6K2+rJnaP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nXATNKNsoDmc/aC66KhRaafsQ3FVN+o4Eenm3PatjuL5U16Z8wpKLNLd71QSBFLFFQtQQLiNGEgMVVQIRglKiQ==" saltValue="O2pgl9cJAflDSP0vqnVKF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YWxBfeQ9VbL9HBdXADPfzbZPyq4vkNFFOISC8g06UfvQDhDy/1W5LfR4q2YECDbEI7DDiIa6gRmke6XFeYSW0w==" saltValue="aLhmsIKXV33oqksSD/Etl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MmD4ILhoM/Atat2ZxseCgUAy0SCiWHvteEmY6O3+XIcHZlloe+sP+8RU6iPst4B9olTRH0raOHWm5uo6mK4uQ==" saltValue="Z7BJgoXKR5WA8Ei7WAI/8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N640ErhkWRw9mVFBz9v5MdoNM1jxbtml0IpIKEMJI4tygItzcoQATBpGGBaI+0LXUtmBMXlJW0xOjITErMTkHQ==" saltValue="KQnOMSVVxLukxT0lOKFDg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TztKl1k9o4mBEq3KJhK3pShBJetKqK9nPNgvbCVlq2whEpvxDXuET4+owo3k09xXYW0tQ+dTGCB4wVfyxE3Yjw==" saltValue="Y/OqpjPfkdCHMN4KAxkvn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dlYD+HYx8oEnqcagx4x5Z4RGjzIq9Vpud3cMVYH7I790fkGSicMvAQXhdTEodPmJpoqHTOBgKbnu2pj9bcv0w==" saltValue="acHGpy81qntiVLk7O//A3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bet8V48/xZd3zhorcJNVLH2mIZGBSSI9Om78FEptNy48d5HJn9MPOMSxMw18cbFNueO5jhT3HzUlibZ7qko5LQ==" saltValue="E52SO/Gf3Hq1pBq41o/j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LcFdePXy83T4H2EoXHhyRmdsfr7Tg730NI3O+Yfe6I9yCNTyuuB66ZyByb4TYmdRFr+n1IdjQlboW0MZj1Fk0Q==" saltValue="qK+NPs8gbF11VNwtmgo4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J1Wd1y5Cp8LYgRc6Cv2+F0yAC9yjn7IZP+wCF5oAMmfyf6Y25HvQSqwePznx29h9Mq7tH5mB+x+eb+afn3WzA==" saltValue="u16vbIeSJIheo0Kzfx+t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QFuUSh4N9PBEQgvCfpQztXmowupdFwbLnYwP5gcEzx7DmRM3CsgXlLksARFUxtzItojAf1Sp0fglS3aN7UsAQ==" saltValue="VEX8TzdHKTBwGwPNDGGY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jee96UQbjTfybIAuFRD5GHfgfZ3NZUBQu9vhNY9tVG1GSD1SyTmjdxL3cbP87P4yosrANjjjbF/rLsHdY/arg==" saltValue="oI9jDFHLheIkmIC9TpTT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8cOdz8tIVkE2sXephzOllahDHVFIIlYyL2qU9fkM+dgah/v46ld2g8tpBcVmJIVhl2iEKEijaaZyzRo6jht7g==" saltValue="CpZE9aAJt+WR7Qs1YKmK4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ZqLKslucPX+TtltC63LcKuJ8h7KGOozLtA1Usm6TuLTb6pbOjmVx11dq2H0WpW31qoh6p0SpjzeWKO1jbIv6fA==" saltValue="0vGFfaQwZXIFbbk5+247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ZIG8Qwnm+VKEHC/KA2is1o2jNPW+QhwS/pMTzX+TODZ3O7eSxS55ZCi94aXdJSuTpharOWNVAkAiXGjtNx1Y0w==" saltValue="/sbCU3HVtUp8/wdpdb0t2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