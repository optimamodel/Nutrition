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B504971-A1F0-4E1A-ACE5-382E5093F0C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7" i="2"/>
  <c r="A36" i="2"/>
  <c r="A26" i="2"/>
  <c r="A23" i="2"/>
  <c r="A21" i="2"/>
  <c r="A20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8" i="2" l="1"/>
  <c r="A29" i="2"/>
  <c r="A39" i="2"/>
  <c r="A15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I40" i="2"/>
  <c r="A16" i="2"/>
  <c r="A24" i="2"/>
  <c r="A32" i="2"/>
  <c r="A17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<sst xmlns="http://schemas.openxmlformats.org/spreadsheetml/2006/main" count="2101" uniqueCount="337">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</sst>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1469901.34375</v>
      </c>
    </row>
    <row r="8" spans="1:3" ht="15" customHeight="1" x14ac:dyDescent="0.25">
      <c r="B8" s="5" t="s">
        <v>19</v>
      </c>
      <c r="C8" s="44">
        <v>3.3000000000000002E-2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0.89274291992187504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0.151</v>
      </c>
    </row>
    <row r="24" spans="1:3" ht="15" customHeight="1" x14ac:dyDescent="0.25">
      <c r="B24" s="15" t="s">
        <v>33</v>
      </c>
      <c r="C24" s="45">
        <v>0.51359999999999995</v>
      </c>
    </row>
    <row r="25" spans="1:3" ht="15" customHeight="1" x14ac:dyDescent="0.25">
      <c r="B25" s="15" t="s">
        <v>34</v>
      </c>
      <c r="C25" s="45">
        <v>0.27929999999999999</v>
      </c>
    </row>
    <row r="26" spans="1:3" ht="15" customHeight="1" x14ac:dyDescent="0.25">
      <c r="B26" s="15" t="s">
        <v>35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0.24516550000000001</v>
      </c>
    </row>
    <row r="30" spans="1:3" ht="14.25" customHeight="1" x14ac:dyDescent="0.25">
      <c r="B30" s="25" t="s">
        <v>38</v>
      </c>
      <c r="C30" s="99">
        <v>0.14159289999999999</v>
      </c>
    </row>
    <row r="31" spans="1:3" ht="14.25" customHeight="1" x14ac:dyDescent="0.25">
      <c r="B31" s="25" t="s">
        <v>39</v>
      </c>
      <c r="C31" s="99">
        <v>0.1189774</v>
      </c>
    </row>
    <row r="32" spans="1:3" ht="14.25" customHeight="1" x14ac:dyDescent="0.25">
      <c r="B32" s="25" t="s">
        <v>40</v>
      </c>
      <c r="C32" s="99">
        <v>0.49426419999999999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6.6514800000000003</v>
      </c>
    </row>
    <row r="38" spans="1:5" ht="15" customHeight="1" x14ac:dyDescent="0.25">
      <c r="B38" s="11" t="s">
        <v>45</v>
      </c>
      <c r="C38" s="43">
        <v>10.72316</v>
      </c>
      <c r="D38" s="12"/>
      <c r="E38" s="13"/>
    </row>
    <row r="39" spans="1:5" ht="15" customHeight="1" x14ac:dyDescent="0.25">
      <c r="B39" s="11" t="s">
        <v>46</v>
      </c>
      <c r="C39" s="43">
        <v>12.46062</v>
      </c>
      <c r="D39" s="12"/>
      <c r="E39" s="12"/>
    </row>
    <row r="40" spans="1:5" ht="15" customHeight="1" x14ac:dyDescent="0.25">
      <c r="B40" s="11" t="s">
        <v>47</v>
      </c>
      <c r="C40" s="100">
        <v>0.66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6.0990999999999997E-3</v>
      </c>
      <c r="D45" s="12"/>
    </row>
    <row r="46" spans="1:5" ht="15.75" customHeight="1" x14ac:dyDescent="0.25">
      <c r="B46" s="11" t="s">
        <v>52</v>
      </c>
      <c r="C46" s="45">
        <v>6.5533999999999995E-2</v>
      </c>
      <c r="D46" s="12"/>
    </row>
    <row r="47" spans="1:5" ht="15.75" customHeight="1" x14ac:dyDescent="0.25">
      <c r="B47" s="11" t="s">
        <v>53</v>
      </c>
      <c r="C47" s="45">
        <v>7.520120000000001E-2</v>
      </c>
      <c r="D47" s="12"/>
      <c r="E47" s="13"/>
    </row>
    <row r="48" spans="1:5" ht="15" customHeight="1" x14ac:dyDescent="0.25">
      <c r="B48" s="11" t="s">
        <v>54</v>
      </c>
      <c r="C48" s="46">
        <v>0.85316570000000003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0.55768200000000001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7qE4OKjMbQyQ1LS4MmyjKChCfjmlZ3kdpFeE8fwgzEoha/B27xL+CO2I03caW4PMazn3RwUHcE7361tq9QOKWg==" saltValue="WrszMYvh8t+RCKTUvXte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296231</v>
      </c>
      <c r="C2" s="49">
        <v>926692.5</v>
      </c>
      <c r="D2" s="49">
        <v>1542379</v>
      </c>
      <c r="E2" s="49">
        <v>1433766.5</v>
      </c>
      <c r="F2" s="49">
        <v>1023518</v>
      </c>
      <c r="G2" s="17">
        <f t="shared" ref="G2:G13" si="0">C2+D2+E2+F2</f>
        <v>4926356</v>
      </c>
      <c r="H2" s="17">
        <f t="shared" ref="H2:H13" si="1">(B2 + stillbirth*B2/(1000-stillbirth))/(1-abortion)</f>
        <v>339632.73515156563</v>
      </c>
      <c r="I2" s="17">
        <f t="shared" ref="I2:I13" si="2">G2-H2</f>
        <v>4586723.2648484344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294956</v>
      </c>
      <c r="C3" s="50">
        <v>931280.00000000012</v>
      </c>
      <c r="D3" s="50">
        <v>1537333</v>
      </c>
      <c r="E3" s="50">
        <v>1450916</v>
      </c>
      <c r="F3" s="50">
        <v>1049008</v>
      </c>
      <c r="G3" s="17">
        <f t="shared" si="0"/>
        <v>4968537</v>
      </c>
      <c r="H3" s="17">
        <f t="shared" si="1"/>
        <v>338170.93089300307</v>
      </c>
      <c r="I3" s="17">
        <f t="shared" si="2"/>
        <v>4630366.069106997</v>
      </c>
    </row>
    <row r="4" spans="1:9" ht="15.75" customHeight="1" x14ac:dyDescent="0.25">
      <c r="A4" s="5">
        <f t="shared" si="3"/>
        <v>2026</v>
      </c>
      <c r="B4" s="49">
        <v>294146</v>
      </c>
      <c r="C4" s="50">
        <v>935775.50000000012</v>
      </c>
      <c r="D4" s="50">
        <v>1532273.5</v>
      </c>
      <c r="E4" s="50">
        <v>1466379</v>
      </c>
      <c r="F4" s="50">
        <v>1074945.5</v>
      </c>
      <c r="G4" s="17">
        <f t="shared" si="0"/>
        <v>5009373.5</v>
      </c>
      <c r="H4" s="17">
        <f t="shared" si="1"/>
        <v>337242.25524638686</v>
      </c>
      <c r="I4" s="17">
        <f t="shared" si="2"/>
        <v>4672131.2447536131</v>
      </c>
    </row>
    <row r="5" spans="1:9" ht="15.75" customHeight="1" x14ac:dyDescent="0.25">
      <c r="A5" s="5">
        <f t="shared" si="3"/>
        <v>2027</v>
      </c>
      <c r="B5" s="49">
        <v>292903</v>
      </c>
      <c r="C5" s="50">
        <v>936716.99999999988</v>
      </c>
      <c r="D5" s="50">
        <v>1528107</v>
      </c>
      <c r="E5" s="50">
        <v>1480080.5</v>
      </c>
      <c r="F5" s="50">
        <v>1101180.5</v>
      </c>
      <c r="G5" s="17">
        <f t="shared" si="0"/>
        <v>5046085</v>
      </c>
      <c r="H5" s="17">
        <f t="shared" si="1"/>
        <v>335817.13940843131</v>
      </c>
      <c r="I5" s="17">
        <f t="shared" si="2"/>
        <v>4710267.860591569</v>
      </c>
    </row>
    <row r="6" spans="1:9" ht="15.75" customHeight="1" x14ac:dyDescent="0.25">
      <c r="A6" s="5">
        <f t="shared" si="3"/>
        <v>2028</v>
      </c>
      <c r="B6" s="49">
        <v>291859</v>
      </c>
      <c r="C6" s="50">
        <v>933218</v>
      </c>
      <c r="D6" s="50">
        <v>1525083</v>
      </c>
      <c r="E6" s="50">
        <v>1492102.5</v>
      </c>
      <c r="F6" s="50">
        <v>1127265</v>
      </c>
      <c r="G6" s="17">
        <f t="shared" si="0"/>
        <v>5077668.5</v>
      </c>
      <c r="H6" s="17">
        <f t="shared" si="1"/>
        <v>334620.17968612595</v>
      </c>
      <c r="I6" s="17">
        <f t="shared" si="2"/>
        <v>4743048.3203138737</v>
      </c>
    </row>
    <row r="7" spans="1:9" ht="15.75" customHeight="1" x14ac:dyDescent="0.25">
      <c r="A7" s="5">
        <f t="shared" si="3"/>
        <v>2029</v>
      </c>
      <c r="B7" s="49">
        <v>290915</v>
      </c>
      <c r="C7" s="50">
        <v>925958</v>
      </c>
      <c r="D7" s="50">
        <v>1523522.5</v>
      </c>
      <c r="E7" s="50">
        <v>1502197.5</v>
      </c>
      <c r="F7" s="50">
        <v>1152593</v>
      </c>
      <c r="G7" s="17">
        <f t="shared" si="0"/>
        <v>5104271</v>
      </c>
      <c r="H7" s="17">
        <f t="shared" si="1"/>
        <v>333537.8712782177</v>
      </c>
      <c r="I7" s="17">
        <f t="shared" si="2"/>
        <v>4770733.128721782</v>
      </c>
    </row>
    <row r="8" spans="1:9" ht="15.75" customHeight="1" x14ac:dyDescent="0.25">
      <c r="A8" s="5">
        <f t="shared" si="3"/>
        <v>2030</v>
      </c>
      <c r="B8" s="49">
        <v>289830</v>
      </c>
      <c r="C8" s="50">
        <v>915607.50000000012</v>
      </c>
      <c r="D8" s="50">
        <v>1524139</v>
      </c>
      <c r="E8" s="50">
        <v>1509876.5</v>
      </c>
      <c r="F8" s="50">
        <v>1176881.5</v>
      </c>
      <c r="G8" s="17">
        <f t="shared" si="0"/>
        <v>5126504.5</v>
      </c>
      <c r="H8" s="17">
        <f t="shared" si="1"/>
        <v>332293.90451700956</v>
      </c>
      <c r="I8" s="17">
        <f t="shared" si="2"/>
        <v>4794210.5954829901</v>
      </c>
    </row>
    <row r="9" spans="1:9" ht="15.75" customHeight="1" x14ac:dyDescent="0.25">
      <c r="A9" s="5">
        <f t="shared" si="3"/>
        <v>2031</v>
      </c>
      <c r="B9" s="49">
        <v>288378</v>
      </c>
      <c r="C9" s="50">
        <v>903297.5</v>
      </c>
      <c r="D9" s="50">
        <v>1527319</v>
      </c>
      <c r="E9" s="50">
        <v>1515003.5</v>
      </c>
      <c r="F9" s="50">
        <v>1199926.5</v>
      </c>
      <c r="G9" s="17">
        <f t="shared" si="0"/>
        <v>5145546.5</v>
      </c>
      <c r="H9" s="17">
        <f t="shared" si="1"/>
        <v>330629.16743196419</v>
      </c>
      <c r="I9" s="17">
        <f t="shared" si="2"/>
        <v>4814917.3325680355</v>
      </c>
    </row>
    <row r="10" spans="1:9" ht="15.75" customHeight="1" x14ac:dyDescent="0.25">
      <c r="A10" s="5">
        <f t="shared" si="3"/>
        <v>2032</v>
      </c>
      <c r="B10" s="49">
        <v>286493</v>
      </c>
      <c r="C10" s="50">
        <v>891346</v>
      </c>
      <c r="D10" s="50">
        <v>1531204</v>
      </c>
      <c r="E10" s="50">
        <v>1517886.5</v>
      </c>
      <c r="F10" s="50">
        <v>1221673</v>
      </c>
      <c r="G10" s="17">
        <f t="shared" si="0"/>
        <v>5162109.5</v>
      </c>
      <c r="H10" s="17">
        <f t="shared" si="1"/>
        <v>328467.99015557958</v>
      </c>
      <c r="I10" s="17">
        <f t="shared" si="2"/>
        <v>4833641.5098444205</v>
      </c>
    </row>
    <row r="11" spans="1:9" ht="15.75" customHeight="1" x14ac:dyDescent="0.25">
      <c r="A11" s="5">
        <f t="shared" si="3"/>
        <v>2033</v>
      </c>
      <c r="B11" s="49">
        <v>284242</v>
      </c>
      <c r="C11" s="50">
        <v>882037.49999999988</v>
      </c>
      <c r="D11" s="50">
        <v>1532831</v>
      </c>
      <c r="E11" s="50">
        <v>1518802</v>
      </c>
      <c r="F11" s="50">
        <v>1241947.5</v>
      </c>
      <c r="G11" s="17">
        <f t="shared" si="0"/>
        <v>5175618</v>
      </c>
      <c r="H11" s="17">
        <f t="shared" si="1"/>
        <v>325887.18906850164</v>
      </c>
      <c r="I11" s="17">
        <f t="shared" si="2"/>
        <v>4849730.8109314982</v>
      </c>
    </row>
    <row r="12" spans="1:9" ht="15.75" customHeight="1" x14ac:dyDescent="0.25">
      <c r="A12" s="5">
        <f t="shared" si="3"/>
        <v>2034</v>
      </c>
      <c r="B12" s="49">
        <v>281809</v>
      </c>
      <c r="C12" s="50">
        <v>875655.5</v>
      </c>
      <c r="D12" s="50">
        <v>1531551.5</v>
      </c>
      <c r="E12" s="50">
        <v>1517810.5</v>
      </c>
      <c r="F12" s="50">
        <v>1260618.5</v>
      </c>
      <c r="G12" s="17">
        <f t="shared" si="0"/>
        <v>5185636</v>
      </c>
      <c r="H12" s="17">
        <f t="shared" si="1"/>
        <v>323097.72258922108</v>
      </c>
      <c r="I12" s="17">
        <f t="shared" si="2"/>
        <v>4862538.2774107791</v>
      </c>
    </row>
    <row r="13" spans="1:9" ht="15.75" customHeight="1" x14ac:dyDescent="0.25">
      <c r="A13" s="5">
        <f t="shared" si="3"/>
        <v>2035</v>
      </c>
      <c r="B13" s="49">
        <v>280280</v>
      </c>
      <c r="C13" s="50">
        <v>871304.5</v>
      </c>
      <c r="D13" s="50">
        <v>1528052.5</v>
      </c>
      <c r="E13" s="50">
        <v>1515411</v>
      </c>
      <c r="F13" s="50">
        <v>1277903.5</v>
      </c>
      <c r="G13" s="17">
        <f t="shared" si="0"/>
        <v>5192671.5</v>
      </c>
      <c r="H13" s="17">
        <f t="shared" si="1"/>
        <v>321344.70399208996</v>
      </c>
      <c r="I13" s="17">
        <f t="shared" si="2"/>
        <v>4871326.7960079098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d0puI/SMkbdSnvwndcfy0tdo1XZVgB9plIQv5RYHzss6LJZdjxV5OCCJCP29b5VqyhdJSIaah51x2GRy1xoTg==" saltValue="lYjVTS0fAUOipPP1GaLGj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9.4421100000000091E-2</v>
      </c>
    </row>
    <row r="5" spans="1:8" ht="15.75" customHeight="1" x14ac:dyDescent="0.25">
      <c r="B5" s="19" t="s">
        <v>80</v>
      </c>
      <c r="C5" s="101">
        <v>3.2750199999999993E-2</v>
      </c>
    </row>
    <row r="6" spans="1:8" ht="15.75" customHeight="1" x14ac:dyDescent="0.25">
      <c r="B6" s="19" t="s">
        <v>81</v>
      </c>
      <c r="C6" s="101">
        <v>0.1179866</v>
      </c>
    </row>
    <row r="7" spans="1:8" ht="15.75" customHeight="1" x14ac:dyDescent="0.25">
      <c r="B7" s="19" t="s">
        <v>82</v>
      </c>
      <c r="C7" s="101">
        <v>0.40071889999999949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0.2526860000000003</v>
      </c>
    </row>
    <row r="10" spans="1:8" ht="15.75" customHeight="1" x14ac:dyDescent="0.25">
      <c r="B10" s="19" t="s">
        <v>85</v>
      </c>
      <c r="C10" s="101">
        <v>0.1014372000000001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88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89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93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94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95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6.7922542000000002E-2</v>
      </c>
    </row>
    <row r="27" spans="1:8" ht="15.75" customHeight="1" x14ac:dyDescent="0.25">
      <c r="B27" s="19" t="s">
        <v>102</v>
      </c>
      <c r="C27" s="101">
        <v>3.9153998000000002E-2</v>
      </c>
    </row>
    <row r="28" spans="1:8" ht="15.75" customHeight="1" x14ac:dyDescent="0.25">
      <c r="B28" s="19" t="s">
        <v>103</v>
      </c>
      <c r="C28" s="101">
        <v>0.14092202700000001</v>
      </c>
    </row>
    <row r="29" spans="1:8" ht="15.75" customHeight="1" x14ac:dyDescent="0.25">
      <c r="B29" s="19" t="s">
        <v>104</v>
      </c>
      <c r="C29" s="101">
        <v>0.29517143400000001</v>
      </c>
    </row>
    <row r="30" spans="1:8" ht="15.75" customHeight="1" x14ac:dyDescent="0.25">
      <c r="B30" s="19" t="s">
        <v>2</v>
      </c>
      <c r="C30" s="101">
        <v>4.8052300999999999E-2</v>
      </c>
    </row>
    <row r="31" spans="1:8" ht="15.75" customHeight="1" x14ac:dyDescent="0.25">
      <c r="B31" s="19" t="s">
        <v>105</v>
      </c>
      <c r="C31" s="101">
        <v>8.049626E-2</v>
      </c>
    </row>
    <row r="32" spans="1:8" ht="15.75" customHeight="1" x14ac:dyDescent="0.25">
      <c r="B32" s="19" t="s">
        <v>106</v>
      </c>
      <c r="C32" s="101">
        <v>1.1478149E-2</v>
      </c>
    </row>
    <row r="33" spans="2:3" ht="15.75" customHeight="1" x14ac:dyDescent="0.25">
      <c r="B33" s="19" t="s">
        <v>107</v>
      </c>
      <c r="C33" s="101">
        <v>0.18240295500000001</v>
      </c>
    </row>
    <row r="34" spans="2:3" ht="15.75" customHeight="1" x14ac:dyDescent="0.25">
      <c r="B34" s="19" t="s">
        <v>108</v>
      </c>
      <c r="C34" s="101">
        <v>0.13440033400000001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aTyaYhM9NMA6WBBp0HkaL2MNIzyYMiL69g3G6oFyYaDtfpJdZAEYqS1RUOsCDFssdLtjAwTlGDqXC5+xfkMSxA==" saltValue="yXhKJ0Klf3UetksB7X4U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114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115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119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120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6iXrJtKw+yza5DNex6dY6PdGPmzPSW1dJGgf4DBJorH2eV2nTcE5pCN7dEUB+M4KztOXhOhHZP9fPm3aoIdig==" saltValue="tiTyBOoyXbuIWzrriRaO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132</v>
      </c>
      <c r="C5" s="52">
        <v>6.0654600000000003E-2</v>
      </c>
      <c r="D5" s="52">
        <v>6.5271200000000001E-2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nvDwWyZlkSMQqnu6lkNMhzCxk9dcXebtv9GRVjDBlcrAOI9f6B+CjQLiIKJOjHwIiEmTZ+Yd+IfuIr9AtFP1JQ==" saltValue="VrUQ8r+2WTqVYQ5xH+FJ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18wvkJRp8veNWki78p2lH+r12q71CuVVRJ7zanJ7k9WCXlA1ESGRVyWRd+5fUz8kXHsF3qSCMFHY3LmlAqd1w==" saltValue="lr8go+udaVBsrJjenfl8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47LUiKBllfEyAO6VVj5IVwFQQFZagm5M0h3sBQXG+ZzLusvPXeiVh4lF0aj+O6o9fJUIJ5584blly77nsoW2Zg==" saltValue="E6wskCSuWcDNR9MBdbl6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CvKapXXnzNfR9FhRKkACQdxdqBAVgcFXIEwPgKN/BN+eLvqPZgB+03HkFR0v4BV7V+DBk2VLNqtMaMzYsV92jQ==" saltValue="KpJAUqV+F7PjWrS8Eeez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qZOkWaPH1XuhHQCIWTGFOUtGSRH3LWUJ3s5/nxaN7uK0Kl8OTqos5YILC1qaQr3fK7xOueDFuyYUWR21JDpgZQ==" saltValue="fzv46qILUTC72fjoF27u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69.98595024529601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40.148121577173832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601.85268684878201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1.888708090027355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13.28042102096974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13.28042102096974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13.28042102096974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13.28042102096974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13.28042102096974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13.28042102096974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0.98718682086509035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0.52564722222222204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0.57190620000000003</v>
      </c>
      <c r="C18" s="98">
        <v>0.95</v>
      </c>
      <c r="D18" s="56">
        <v>13.818442191631251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0.57190620000000003</v>
      </c>
      <c r="C19" s="98">
        <v>0.95</v>
      </c>
      <c r="D19" s="56">
        <v>13.818442191631251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30.960439902477539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23.05841012764267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4.4469886479598264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0.68347109796406003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18.844293755198361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0.44999919999999999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0.58568469999999995</v>
      </c>
      <c r="C29" s="98">
        <v>0.95</v>
      </c>
      <c r="D29" s="56">
        <v>140.93703453269751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0.69989222611764845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2.147228290957607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0.8722955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0.91284360000000009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3.4506874250287209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u1eN31UNZ1wGC720wShhL7EBhIfGjBMxmiV68QuVwA70VvN/8Ws7XW/7YfmNtnrGjLSxB+Kb1K8SNUECCBbLyg==" saltValue="QpgXXWOXSrVbTsrSy0Uw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/qW1bVhHS+97nk7LH0d9zcSksvqD9PyPJJax8+o9DB4GOdKY34Wo2FJCyUzSYhOTBbCfYK4VNR9pWrYQjL07lg==" saltValue="xvOtAz6sBjlB0vKV1Y7t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Q87OIhOIMlILSFTHaVnm/HGLUbun1HbWNaI3wAaflx80eA/xxmxMPkuRuGFFUlVeshSd1V14leKy6iLw4PYrmA==" saltValue="XTg8X/eUr2rt3/zTgAHw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208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Ye33EqdwUR6+dSSixMzTy557ug5EMQULmrLOUpSH5ECSDYftNsDsM6sVuiCaZtJCLCh+0US/2hZOJAX3O4KWzg==" saltValue="S1x3JTw9FYuxIWQfAav/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3.3000000000000002E-2</v>
      </c>
      <c r="E2" s="60">
        <f>food_insecure</f>
        <v>3.3000000000000002E-2</v>
      </c>
      <c r="F2" s="60">
        <f>food_insecure</f>
        <v>3.3000000000000002E-2</v>
      </c>
      <c r="G2" s="60">
        <f>food_insecure</f>
        <v>3.3000000000000002E-2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3.3000000000000002E-2</v>
      </c>
      <c r="I15" s="60">
        <f>food_insecure</f>
        <v>3.3000000000000002E-2</v>
      </c>
      <c r="J15" s="60">
        <f>food_insecure</f>
        <v>3.3000000000000002E-2</v>
      </c>
      <c r="K15" s="60">
        <f>food_insecure</f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VZRli8KARu4hS0wI0MhjFq1fXZFbPRnoqwPBFBDdWJ2689uzWd7mtPimNkdsZJO/Yc+Pz0oK+9TRQ7oVzVOFQ==" saltValue="dad+aGvDWtHXEJ7FRN0t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d17PPnzpCiYEMZbxo9ZQ5mqKmz9ly1w2ARX/4+15LpPVGWAg0qXSITj6Tr7Wm3q7ZLWTeaOGfux81bQzvlkhzQ==" saltValue="XzLqsmfPB4Sn8SgmruWB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DlSmm1ZDWebDzA32DgblEQ8BmM54vnKPSLkGq4vrmdqoof6lr7GHZJ2QJkV1PRiw+YpdrD3whY5f/R3calwQA==" saltValue="kraSoi+jL8uXyEeNvPtu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ZIXg7qHkEVFrvOKCukX9CXq8jwf/NX9fzHr3N/iT0FzkKznLCg7+seQNluB/qrB1ghaFDGi9mCttItWifsVpQ==" saltValue="iUMUby6xTPpTk7Zl53o99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K3C1Uz7Oo2IR7iBZrv1gL6+S9QrR+LPOeWi+2qr9bIR2mz4OIp047KdiwCnTruZPlVFqKZNfaDpH2rrjEQ3lJA==" saltValue="8I2jaI0hCScayD3wmpRda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3QSbeq/xAECeCF4FTab7FuxCQvm+TqDJyqRRAUIBIsx39oGcSdZQreMWtTzfIMK9wZAFQYq29OaqiDGWnGWmFA==" saltValue="Z/93S344gpd44I2caiZli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+rs7Qn8m7benpF6RQiB6Nb8mdi1SeVWXIt0XA4rrsWZ2bVlPk09oOq+CUSuvQHT9taz0ZJbECWQ+7ESLhu93g==" saltValue="RvPhVzyK2crmQuILKEnYN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muGY0tZY9JV5TO7OlIjPSK8EyZl/yOwtOAcN6YOTeVEzxcZCw/iTOJRjcK2vtrpohVZKzIcAsxAAZgddGKuyA==" saltValue="Cqq8yuyc4nZ+7xHwOgQs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LPdUQgxKM0MeI/TNEsUreER9UVLtynWHehcPMMyYyhxDtB/S5Q6C66fcQe4Bbh0qLSOIYgO1njtp2yQ73CEnQ==" saltValue="FT2t1708wW0UqxK73tgb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kLBjknIm41M0sdLGeBh8CwgQcTuYsmRrcltxd5DSRUj9tPKTyr7vSYHAFtE6OfZkuz5f2ffk8NQIWjIA75hww==" saltValue="jV7LVadDNO0I4ZePDmWP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vCizSN6n/XJKwlylldiJlAbe+d63BnXpUSI0EawlLFH8ieKI7+D5tRBxze14xm84qdGYNvwZBF4NSD0C15+0g==" saltValue="p8QtUmP2rtnARf55J2kS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eHymIZrUlrYzTUYG8Aq9Tue5ppCpkOVXMKu8XBivrSBDPaZ9TEVjiLJOrGHeieEhxPZsmiE5BHplP964crwqw==" saltValue="uStW252MXYblU6saijAU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oslPi+1y0fZHBng2PFXlTdQptlglc96T5EnYRSwEnBeK8PNeL5KN0ODpX00iX8dSHId5ckUvQ0m8A/alwMDJg==" saltValue="zb7yTPTCBfMjRKIn6LXv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0.10792377018573929</v>
      </c>
      <c r="G18" s="90">
        <f>MIN(MAX(1-0.89/(1-frac_sam_12_23months+(frac_sam_12_23months*0.89)),0),1)</f>
        <v>0.10864096538117451</v>
      </c>
      <c r="H18" s="90">
        <f>MIN(MAX(1-0.89/(1-frac_sam_24_59months+(frac_sam_24_59months*0.89)),0),1)</f>
        <v>0.10899839480154183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0.10527545085976797</v>
      </c>
      <c r="G20" s="90">
        <f>MIN(MAX(1-0.89/(1-frac_mam_12_23months+(frac_mam_12_23months*0.89)),0),1)</f>
        <v>0.10858152143179356</v>
      </c>
      <c r="H20" s="90">
        <f>MIN(MAX(1-0.89/(1-frac_mam_24_59months+(frac_mam_24_59months*0.89)),0),1)</f>
        <v>0.10840272934594408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9.7904885009284515E-3</v>
      </c>
      <c r="G73" s="90">
        <f>MIN(MAX(1-0.99/(1-frac_sam_12_23months+(frac_sam_12_23months*0.99)),0),1)</f>
        <v>9.8627600475820199E-3</v>
      </c>
      <c r="H73" s="90">
        <f>MIN(MAX(1-0.99/(1-frac_sam_24_59months+(frac_sam_24_59months*0.99)),0),1)</f>
        <v>9.8988175997658523E-3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9.5245311654652554E-3</v>
      </c>
      <c r="G75" s="90">
        <f>MIN(MAX(1-0.99/(1-frac_mam_12_23months+(frac_mam_12_23months*0.99)),0),1)</f>
        <v>9.8567658797521496E-3</v>
      </c>
      <c r="H75" s="90">
        <f>MIN(MAX(1-0.99/(1-frac_mam_24_59months+(frac_mam_24_59months*0.99)),0),1)</f>
        <v>9.8387413472545981E-3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0.19660028556441145</v>
      </c>
      <c r="G128" s="90">
        <f>MIN(MAX(1-0.8/(1-frac_sam_12_23months+(frac_sam_12_23months*0.8)),0),1)</f>
        <v>0.19777612310189574</v>
      </c>
      <c r="H128" s="90">
        <f>MIN(MAX(1-0.8/(1-frac_sam_24_59months+(frac_sam_24_59months*0.8)),0),1)</f>
        <v>0.19836154719908927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0.19224488857109112</v>
      </c>
      <c r="G130" s="90">
        <f>MIN(MAX(1-0.8/(1-frac_mam_12_23months+(frac_mam_12_23months*0.8)),0),1)</f>
        <v>0.19767872408452136</v>
      </c>
      <c r="H130" s="90">
        <f>MIN(MAX(1-0.8/(1-frac_mam_24_59months+(frac_mam_24_59months*0.8)),0),1)</f>
        <v>0.19738570867802019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W8/St61if2oAvLBUvGgXR566zl+u1rswVlSzHd6ln1ujHEwk34ehTEOzL0nYKTwksTPSD6qbQwRiifpL7iajA==" saltValue="mI4yk8DnctNux7PImffC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FKxllQ1pt+KTf6/KorpoAiNh1Z9Q4JUALjT5zWJaHUooWbbRztirQmKDktCmjcvU5mCQILWDxAs+yUm9pBqQQ==" saltValue="hrTay65vgfqMFNyLfUs5Y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2024-08-06T08:59:27Z</dcterms:modified>
</cp:coreProperties>
</file>