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BD2AB67A-058A-4428-8277-6D46F3372D4A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31" i="2"/>
  <c r="A26" i="2"/>
  <c r="I39" i="2"/>
  <c r="A34" i="2"/>
  <c r="A40" i="2"/>
  <c r="I2" i="2"/>
  <c r="I6" i="2"/>
  <c r="A19" i="2"/>
  <c r="A35" i="2"/>
  <c r="A22" i="2"/>
  <c r="A36" i="2"/>
  <c r="I3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<sst xmlns="http://schemas.openxmlformats.org/spreadsheetml/2006/main" count="2159" uniqueCount="368">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</sst>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787658</v>
      </c>
    </row>
    <row r="8" spans="1:3" ht="15" customHeight="1" x14ac:dyDescent="0.25">
      <c r="B8" s="5" t="s">
        <v>37</v>
      </c>
      <c r="C8" s="44">
        <v>0.183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0.5935568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0.1330297503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0.12590000000000001</v>
      </c>
    </row>
    <row r="24" spans="1:3" ht="15" customHeight="1" x14ac:dyDescent="0.25">
      <c r="B24" s="15" t="s">
        <v>51</v>
      </c>
      <c r="C24" s="45">
        <v>0.54390000000000005</v>
      </c>
    </row>
    <row r="25" spans="1:3" ht="15" customHeight="1" x14ac:dyDescent="0.25">
      <c r="B25" s="15" t="s">
        <v>52</v>
      </c>
      <c r="C25" s="45">
        <v>0.28079999999999999</v>
      </c>
    </row>
    <row r="26" spans="1:3" ht="15" customHeight="1" x14ac:dyDescent="0.25">
      <c r="B26" s="15" t="s">
        <v>53</v>
      </c>
      <c r="C26" s="45">
        <v>4.9400000000000013E-2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0.33982819653213803</v>
      </c>
    </row>
    <row r="30" spans="1:3" ht="14.25" customHeight="1" x14ac:dyDescent="0.25">
      <c r="B30" s="25" t="s">
        <v>56</v>
      </c>
      <c r="C30" s="99">
        <v>6.2561187920877309E-2</v>
      </c>
    </row>
    <row r="31" spans="1:3" ht="14.25" customHeight="1" x14ac:dyDescent="0.25">
      <c r="B31" s="25" t="s">
        <v>57</v>
      </c>
      <c r="C31" s="99">
        <v>0.10830365564404</v>
      </c>
    </row>
    <row r="32" spans="1:3" ht="14.25" customHeight="1" x14ac:dyDescent="0.25">
      <c r="B32" s="25" t="s">
        <v>58</v>
      </c>
      <c r="C32" s="99">
        <v>0.48930695990294498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11.92366</v>
      </c>
    </row>
    <row r="38" spans="1:5" ht="15" customHeight="1" x14ac:dyDescent="0.25">
      <c r="B38" s="11" t="s">
        <v>63</v>
      </c>
      <c r="C38" s="43">
        <v>15.550739999999999</v>
      </c>
      <c r="D38" s="12"/>
      <c r="E38" s="13"/>
    </row>
    <row r="39" spans="1:5" ht="15" customHeight="1" x14ac:dyDescent="0.25">
      <c r="B39" s="11" t="s">
        <v>64</v>
      </c>
      <c r="C39" s="43">
        <v>17.399979999999999</v>
      </c>
      <c r="D39" s="12"/>
      <c r="E39" s="12"/>
    </row>
    <row r="40" spans="1:5" ht="15" customHeight="1" x14ac:dyDescent="0.25">
      <c r="B40" s="11" t="s">
        <v>65</v>
      </c>
      <c r="C40" s="100">
        <v>0.5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5.9365999999999993E-3</v>
      </c>
      <c r="D45" s="12"/>
    </row>
    <row r="46" spans="1:5" ht="15.75" customHeight="1" x14ac:dyDescent="0.25">
      <c r="B46" s="11" t="s">
        <v>70</v>
      </c>
      <c r="C46" s="45">
        <v>6.3787999999999997E-2</v>
      </c>
      <c r="D46" s="12"/>
    </row>
    <row r="47" spans="1:5" ht="15.75" customHeight="1" x14ac:dyDescent="0.25">
      <c r="B47" s="11" t="s">
        <v>71</v>
      </c>
      <c r="C47" s="45">
        <v>7.5355800000000001E-2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2.8</v>
      </c>
      <c r="D51" s="12"/>
    </row>
    <row r="52" spans="1:4" ht="15" customHeight="1" x14ac:dyDescent="0.25">
      <c r="B52" s="11" t="s">
        <v>75</v>
      </c>
      <c r="C52" s="100">
        <v>2.8</v>
      </c>
    </row>
    <row r="53" spans="1:4" ht="15.75" customHeight="1" x14ac:dyDescent="0.25">
      <c r="B53" s="11" t="s">
        <v>76</v>
      </c>
      <c r="C53" s="100">
        <v>2.8</v>
      </c>
    </row>
    <row r="54" spans="1:4" ht="15.75" customHeight="1" x14ac:dyDescent="0.25">
      <c r="B54" s="11" t="s">
        <v>77</v>
      </c>
      <c r="C54" s="100">
        <v>2.8</v>
      </c>
    </row>
    <row r="55" spans="1:4" ht="15.75" customHeight="1" x14ac:dyDescent="0.25">
      <c r="B55" s="11" t="s">
        <v>78</v>
      </c>
      <c r="C55" s="100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0.58899100000000004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0.16732315780000001</v>
      </c>
    </row>
    <row r="63" spans="1:4" ht="15.75" customHeight="1" x14ac:dyDescent="0.3">
      <c r="A63" s="4"/>
    </row>
  </sheetData>
  <sheetProtection algorithmName="SHA-512" hashValue="M/aD3xbnV8U1JarGcG+5dFzltMY2nhnqdlxTKI+np6F+ymvc2JGq1WXi3LMLPu4jWDViAwttaBiCrDbedrtSeQ==" saltValue="ef2A3Pq0+Xo/jtlgPW9z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159480</v>
      </c>
      <c r="C2" s="49">
        <v>436563.5</v>
      </c>
      <c r="D2" s="49">
        <v>691655.5</v>
      </c>
      <c r="E2" s="49">
        <v>606398</v>
      </c>
      <c r="F2" s="49">
        <v>379353.5</v>
      </c>
      <c r="G2" s="17">
        <f t="shared" ref="G2:G13" si="0">C2+D2+E2+F2</f>
        <v>2113970.5</v>
      </c>
      <c r="H2" s="17">
        <f t="shared" ref="H2:H13" si="1">(B2 + stillbirth*B2/(1000-stillbirth))/(1-abortion)</f>
        <v>182397.06903363721</v>
      </c>
      <c r="I2" s="17">
        <f t="shared" ref="I2:I13" si="2">G2-H2</f>
        <v>1931573.4309663628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158759</v>
      </c>
      <c r="C3" s="50">
        <v>438436.5</v>
      </c>
      <c r="D3" s="50">
        <v>693107.5</v>
      </c>
      <c r="E3" s="50">
        <v>617312</v>
      </c>
      <c r="F3" s="50">
        <v>392883</v>
      </c>
      <c r="G3" s="17">
        <f t="shared" si="0"/>
        <v>2141739</v>
      </c>
      <c r="H3" s="17">
        <f t="shared" si="1"/>
        <v>181572.46226932036</v>
      </c>
      <c r="I3" s="17">
        <f t="shared" si="2"/>
        <v>1960166.5377306796</v>
      </c>
    </row>
    <row r="4" spans="1:9" ht="15.75" customHeight="1" x14ac:dyDescent="0.25">
      <c r="A4" s="5">
        <f t="shared" si="3"/>
        <v>2026</v>
      </c>
      <c r="B4" s="49">
        <v>157668</v>
      </c>
      <c r="C4" s="50">
        <v>439025.99999999988</v>
      </c>
      <c r="D4" s="50">
        <v>695243.5</v>
      </c>
      <c r="E4" s="50">
        <v>627082.5</v>
      </c>
      <c r="F4" s="50">
        <v>407093.5</v>
      </c>
      <c r="G4" s="17">
        <f t="shared" si="0"/>
        <v>2168445.5</v>
      </c>
      <c r="H4" s="17">
        <f t="shared" si="1"/>
        <v>180324.68698517376</v>
      </c>
      <c r="I4" s="17">
        <f t="shared" si="2"/>
        <v>1988120.8130148263</v>
      </c>
    </row>
    <row r="5" spans="1:9" ht="15.75" customHeight="1" x14ac:dyDescent="0.25">
      <c r="A5" s="5">
        <f t="shared" si="3"/>
        <v>2027</v>
      </c>
      <c r="B5" s="49">
        <v>156472</v>
      </c>
      <c r="C5" s="50">
        <v>439013</v>
      </c>
      <c r="D5" s="50">
        <v>697990.5</v>
      </c>
      <c r="E5" s="50">
        <v>635388</v>
      </c>
      <c r="F5" s="50">
        <v>421973.5</v>
      </c>
      <c r="G5" s="17">
        <f t="shared" si="0"/>
        <v>2194365</v>
      </c>
      <c r="H5" s="17">
        <f t="shared" si="1"/>
        <v>178956.82333729172</v>
      </c>
      <c r="I5" s="17">
        <f t="shared" si="2"/>
        <v>2015408.1766627082</v>
      </c>
    </row>
    <row r="6" spans="1:9" ht="15.75" customHeight="1" x14ac:dyDescent="0.25">
      <c r="A6" s="5">
        <f t="shared" si="3"/>
        <v>2028</v>
      </c>
      <c r="B6" s="49">
        <v>155336</v>
      </c>
      <c r="C6" s="50">
        <v>439325.50000000012</v>
      </c>
      <c r="D6" s="50">
        <v>700412</v>
      </c>
      <c r="E6" s="50">
        <v>642588</v>
      </c>
      <c r="F6" s="50">
        <v>437462</v>
      </c>
      <c r="G6" s="17">
        <f t="shared" si="0"/>
        <v>2219787.5</v>
      </c>
      <c r="H6" s="17">
        <f t="shared" si="1"/>
        <v>177657.58161154418</v>
      </c>
      <c r="I6" s="17">
        <f t="shared" si="2"/>
        <v>2042129.9183884559</v>
      </c>
    </row>
    <row r="7" spans="1:9" ht="15.75" customHeight="1" x14ac:dyDescent="0.25">
      <c r="A7" s="5">
        <f t="shared" si="3"/>
        <v>2029</v>
      </c>
      <c r="B7" s="49">
        <v>154182</v>
      </c>
      <c r="C7" s="50">
        <v>440978</v>
      </c>
      <c r="D7" s="50">
        <v>701834</v>
      </c>
      <c r="E7" s="50">
        <v>649376</v>
      </c>
      <c r="F7" s="50">
        <v>453319.5</v>
      </c>
      <c r="G7" s="17">
        <f t="shared" si="0"/>
        <v>2245507.5</v>
      </c>
      <c r="H7" s="17">
        <f t="shared" si="1"/>
        <v>176337.75330915631</v>
      </c>
      <c r="I7" s="17">
        <f t="shared" si="2"/>
        <v>2069169.7466908437</v>
      </c>
    </row>
    <row r="8" spans="1:9" ht="15.75" customHeight="1" x14ac:dyDescent="0.25">
      <c r="A8" s="5">
        <f t="shared" si="3"/>
        <v>2030</v>
      </c>
      <c r="B8" s="49">
        <v>152707</v>
      </c>
      <c r="C8" s="50">
        <v>443932.5</v>
      </c>
      <c r="D8" s="50">
        <v>702359</v>
      </c>
      <c r="E8" s="50">
        <v>655887</v>
      </c>
      <c r="F8" s="50">
        <v>469002.5</v>
      </c>
      <c r="G8" s="17">
        <f t="shared" si="0"/>
        <v>2271181</v>
      </c>
      <c r="H8" s="17">
        <f t="shared" si="1"/>
        <v>174650.7977233486</v>
      </c>
      <c r="I8" s="17">
        <f t="shared" si="2"/>
        <v>2096530.2022766513</v>
      </c>
    </row>
    <row r="9" spans="1:9" ht="15.75" customHeight="1" x14ac:dyDescent="0.25">
      <c r="A9" s="5">
        <f t="shared" si="3"/>
        <v>2031</v>
      </c>
      <c r="B9" s="49">
        <v>151402</v>
      </c>
      <c r="C9" s="50">
        <v>447240</v>
      </c>
      <c r="D9" s="50">
        <v>702848.5</v>
      </c>
      <c r="E9" s="50">
        <v>661395.5</v>
      </c>
      <c r="F9" s="50">
        <v>483994.5</v>
      </c>
      <c r="G9" s="17">
        <f t="shared" si="0"/>
        <v>2295478.5</v>
      </c>
      <c r="H9" s="17">
        <f t="shared" si="1"/>
        <v>173158.27091692211</v>
      </c>
      <c r="I9" s="17">
        <f t="shared" si="2"/>
        <v>2122320.229083078</v>
      </c>
    </row>
    <row r="10" spans="1:9" ht="15.75" customHeight="1" x14ac:dyDescent="0.25">
      <c r="A10" s="5">
        <f t="shared" si="3"/>
        <v>2032</v>
      </c>
      <c r="B10" s="49">
        <v>150873</v>
      </c>
      <c r="C10" s="50">
        <v>450398</v>
      </c>
      <c r="D10" s="50">
        <v>704542.5</v>
      </c>
      <c r="E10" s="50">
        <v>664916</v>
      </c>
      <c r="F10" s="50">
        <v>498051</v>
      </c>
      <c r="G10" s="17">
        <f t="shared" si="0"/>
        <v>2317907.5</v>
      </c>
      <c r="H10" s="17">
        <f t="shared" si="1"/>
        <v>172553.25430343582</v>
      </c>
      <c r="I10" s="17">
        <f t="shared" si="2"/>
        <v>2145354.2456965642</v>
      </c>
    </row>
    <row r="11" spans="1:9" ht="15.75" customHeight="1" x14ac:dyDescent="0.25">
      <c r="A11" s="5">
        <f t="shared" si="3"/>
        <v>2033</v>
      </c>
      <c r="B11" s="49">
        <v>149785</v>
      </c>
      <c r="C11" s="50">
        <v>453062.5</v>
      </c>
      <c r="D11" s="50">
        <v>707526.5</v>
      </c>
      <c r="E11" s="50">
        <v>666809</v>
      </c>
      <c r="F11" s="50">
        <v>511055.5</v>
      </c>
      <c r="G11" s="17">
        <f t="shared" si="0"/>
        <v>2338453.5</v>
      </c>
      <c r="H11" s="17">
        <f t="shared" si="1"/>
        <v>171308.91011539596</v>
      </c>
      <c r="I11" s="17">
        <f t="shared" si="2"/>
        <v>2167144.5898846039</v>
      </c>
    </row>
    <row r="12" spans="1:9" ht="15.75" customHeight="1" x14ac:dyDescent="0.25">
      <c r="A12" s="5">
        <f t="shared" si="3"/>
        <v>2034</v>
      </c>
      <c r="B12" s="49">
        <v>149287</v>
      </c>
      <c r="C12" s="50">
        <v>455132.49999999988</v>
      </c>
      <c r="D12" s="50">
        <v>711119</v>
      </c>
      <c r="E12" s="50">
        <v>668258.5</v>
      </c>
      <c r="F12" s="50">
        <v>522850.5</v>
      </c>
      <c r="G12" s="17">
        <f t="shared" si="0"/>
        <v>2357360.5</v>
      </c>
      <c r="H12" s="17">
        <f t="shared" si="1"/>
        <v>170739.3481616792</v>
      </c>
      <c r="I12" s="17">
        <f t="shared" si="2"/>
        <v>2186621.1518383208</v>
      </c>
    </row>
    <row r="13" spans="1:9" ht="15.75" customHeight="1" x14ac:dyDescent="0.25">
      <c r="A13" s="5">
        <f t="shared" si="3"/>
        <v>2035</v>
      </c>
      <c r="B13" s="49">
        <v>148782</v>
      </c>
      <c r="C13" s="50">
        <v>455799.00000000012</v>
      </c>
      <c r="D13" s="50">
        <v>715207.5</v>
      </c>
      <c r="E13" s="50">
        <v>669954</v>
      </c>
      <c r="F13" s="50">
        <v>533250.5</v>
      </c>
      <c r="G13" s="17">
        <f t="shared" si="0"/>
        <v>2374211</v>
      </c>
      <c r="H13" s="17">
        <f t="shared" si="1"/>
        <v>170161.78031704671</v>
      </c>
      <c r="I13" s="17">
        <f t="shared" si="2"/>
        <v>2204049.2196829533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63CEvllcyu6VzTz6kyGSXgqdc/wh+0wud3EpTEpQw06n7zNbVrrlntKNYtqvk2QXxJKh7IhD9KPhgZQkkneJA==" saltValue="Uf9puCByql1CY55/WIkbu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1.5407999999999991E-3</v>
      </c>
    </row>
    <row r="4" spans="1:8" ht="15.75" customHeight="1" x14ac:dyDescent="0.25">
      <c r="B4" s="19" t="s">
        <v>97</v>
      </c>
      <c r="C4" s="101">
        <v>5.5218899999999987E-2</v>
      </c>
    </row>
    <row r="5" spans="1:8" ht="15.75" customHeight="1" x14ac:dyDescent="0.25">
      <c r="B5" s="19" t="s">
        <v>98</v>
      </c>
      <c r="C5" s="101">
        <v>4.9336599999999987E-2</v>
      </c>
    </row>
    <row r="6" spans="1:8" ht="15.75" customHeight="1" x14ac:dyDescent="0.25">
      <c r="B6" s="19" t="s">
        <v>99</v>
      </c>
      <c r="C6" s="101">
        <v>0.19651040000000031</v>
      </c>
    </row>
    <row r="7" spans="1:8" ht="15.75" customHeight="1" x14ac:dyDescent="0.25">
      <c r="B7" s="19" t="s">
        <v>100</v>
      </c>
      <c r="C7" s="101">
        <v>0.41559819999999958</v>
      </c>
    </row>
    <row r="8" spans="1:8" ht="15.75" customHeight="1" x14ac:dyDescent="0.25">
      <c r="B8" s="19" t="s">
        <v>101</v>
      </c>
      <c r="C8" s="101">
        <v>1.9750000000000041E-4</v>
      </c>
    </row>
    <row r="9" spans="1:8" ht="15.75" customHeight="1" x14ac:dyDescent="0.25">
      <c r="B9" s="19" t="s">
        <v>102</v>
      </c>
      <c r="C9" s="101">
        <v>0.19013440000000001</v>
      </c>
    </row>
    <row r="10" spans="1:8" ht="15.75" customHeight="1" x14ac:dyDescent="0.25">
      <c r="B10" s="19" t="s">
        <v>103</v>
      </c>
      <c r="C10" s="101">
        <v>9.1463199999999953E-2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106</v>
      </c>
      <c r="C15" s="101">
        <v>0.54966072134015409</v>
      </c>
      <c r="D15" s="101">
        <v>0.54966072134015409</v>
      </c>
      <c r="E15" s="101">
        <v>0.54966072134015409</v>
      </c>
      <c r="F15" s="101">
        <v>0.54966072134015409</v>
      </c>
    </row>
    <row r="16" spans="1:8" ht="15.75" customHeight="1" x14ac:dyDescent="0.25">
      <c r="B16" s="19" t="s">
        <v>107</v>
      </c>
      <c r="C16" s="101">
        <v>4.0830961878845301E-2</v>
      </c>
      <c r="D16" s="101">
        <v>4.0830961878845301E-2</v>
      </c>
      <c r="E16" s="101">
        <v>4.0830961878845301E-2</v>
      </c>
      <c r="F16" s="101">
        <v>4.0830961878845301E-2</v>
      </c>
    </row>
    <row r="17" spans="1:8" ht="15.75" customHeight="1" x14ac:dyDescent="0.25">
      <c r="B17" s="19" t="s">
        <v>108</v>
      </c>
      <c r="C17" s="101">
        <v>1.353392173711137E-3</v>
      </c>
      <c r="D17" s="101">
        <v>1.353392173711137E-3</v>
      </c>
      <c r="E17" s="101">
        <v>1.353392173711137E-3</v>
      </c>
      <c r="F17" s="101">
        <v>1.353392173711137E-3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6.0295701086369472E-3</v>
      </c>
      <c r="D19" s="101">
        <v>6.0295701086369472E-3</v>
      </c>
      <c r="E19" s="101">
        <v>6.0295701086369472E-3</v>
      </c>
      <c r="F19" s="101">
        <v>6.0295701086369472E-3</v>
      </c>
    </row>
    <row r="20" spans="1:8" ht="15.75" customHeight="1" x14ac:dyDescent="0.25">
      <c r="B20" s="19" t="s">
        <v>111</v>
      </c>
      <c r="C20" s="101">
        <v>2.2324405642405711E-2</v>
      </c>
      <c r="D20" s="101">
        <v>2.2324405642405711E-2</v>
      </c>
      <c r="E20" s="101">
        <v>2.2324405642405711E-2</v>
      </c>
      <c r="F20" s="101">
        <v>2.2324405642405711E-2</v>
      </c>
    </row>
    <row r="21" spans="1:8" ht="15.75" customHeight="1" x14ac:dyDescent="0.25">
      <c r="B21" s="19" t="s">
        <v>112</v>
      </c>
      <c r="C21" s="101">
        <v>0.2122611559734788</v>
      </c>
      <c r="D21" s="101">
        <v>0.2122611559734788</v>
      </c>
      <c r="E21" s="101">
        <v>0.2122611559734788</v>
      </c>
      <c r="F21" s="101">
        <v>0.2122611559734788</v>
      </c>
    </row>
    <row r="22" spans="1:8" ht="15.75" customHeight="1" x14ac:dyDescent="0.25">
      <c r="B22" s="19" t="s">
        <v>113</v>
      </c>
      <c r="C22" s="101">
        <v>5.2325457713380492E-2</v>
      </c>
      <c r="D22" s="101">
        <v>5.2325457713380492E-2</v>
      </c>
      <c r="E22" s="101">
        <v>5.2325457713380492E-2</v>
      </c>
      <c r="F22" s="101">
        <v>5.2325457713380492E-2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8.6989028999999995E-2</v>
      </c>
    </row>
    <row r="27" spans="1:8" ht="15.75" customHeight="1" x14ac:dyDescent="0.25">
      <c r="B27" s="19" t="s">
        <v>120</v>
      </c>
      <c r="C27" s="101">
        <v>5.4674084999999983E-2</v>
      </c>
    </row>
    <row r="28" spans="1:8" ht="15.75" customHeight="1" x14ac:dyDescent="0.25">
      <c r="B28" s="19" t="s">
        <v>121</v>
      </c>
      <c r="C28" s="101">
        <v>7.8007822000000004E-2</v>
      </c>
    </row>
    <row r="29" spans="1:8" ht="15.75" customHeight="1" x14ac:dyDescent="0.25">
      <c r="B29" s="19" t="s">
        <v>122</v>
      </c>
      <c r="C29" s="101">
        <v>0.25304623700000001</v>
      </c>
    </row>
    <row r="30" spans="1:8" ht="15.75" customHeight="1" x14ac:dyDescent="0.25">
      <c r="B30" s="19" t="s">
        <v>2</v>
      </c>
      <c r="C30" s="101">
        <v>6.4168437999999994E-2</v>
      </c>
    </row>
    <row r="31" spans="1:8" ht="15.75" customHeight="1" x14ac:dyDescent="0.25">
      <c r="B31" s="19" t="s">
        <v>123</v>
      </c>
      <c r="C31" s="101">
        <v>3.8459681000000003E-2</v>
      </c>
    </row>
    <row r="32" spans="1:8" ht="15.75" customHeight="1" x14ac:dyDescent="0.25">
      <c r="B32" s="19" t="s">
        <v>124</v>
      </c>
      <c r="C32" s="101">
        <v>7.8795084000000001E-2</v>
      </c>
    </row>
    <row r="33" spans="2:3" ht="15.75" customHeight="1" x14ac:dyDescent="0.25">
      <c r="B33" s="19" t="s">
        <v>125</v>
      </c>
      <c r="C33" s="101">
        <v>6.8855599000000017E-2</v>
      </c>
    </row>
    <row r="34" spans="2:3" ht="15.75" customHeight="1" x14ac:dyDescent="0.25">
      <c r="B34" s="19" t="s">
        <v>126</v>
      </c>
      <c r="C34" s="101">
        <v>0.27700402600000001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vstlQoZzpm6WGkwH10B8Ta6tGY1Yq6LlYPfK4tHxsJP4gVAl1frm1wkwPH682ap4ss4h70/nINyrJns+N1yV3w==" saltValue="9AOy/AOSkWgqIRi+Ye5w9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132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133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137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138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0.50327564699999994</v>
      </c>
      <c r="D14" s="54">
        <v>0.51439987297800005</v>
      </c>
      <c r="E14" s="54">
        <v>0.51439987297800005</v>
      </c>
      <c r="F14" s="54">
        <v>0.32239856251900001</v>
      </c>
      <c r="G14" s="54">
        <v>0.32239856251900001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0.29642482660217701</v>
      </c>
      <c r="D15" s="52">
        <f t="shared" si="0"/>
        <v>0.30297689558518526</v>
      </c>
      <c r="E15" s="52">
        <f t="shared" si="0"/>
        <v>0.30297689558518526</v>
      </c>
      <c r="F15" s="52">
        <f t="shared" si="0"/>
        <v>0.18988985173662834</v>
      </c>
      <c r="G15" s="52">
        <f t="shared" si="0"/>
        <v>0.18988985173662834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j8eKH4yp+mDKSjvRjgnEZZBv4HMSnonSCBl2c6r5dcej/hHkt4SHxcOI6t9fYfOCwlKuXnPrMLAjmEQ2Z8d2g==" saltValue="v+i/UwGmjch/SLIy8k3c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2.9951999999998646E-3</v>
      </c>
      <c r="D5" s="52">
        <f t="shared" si="0"/>
        <v>1.9772099999999959E-2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wUt+VKxyWr+udqs1fGXumT3dEsEHl0BkhO+3ukATNBdbN5Zkmxx5V0TaXZfeTiwtHbBwTUYZQTYZK+h06hgVbg==" saltValue="wIdkQB7qnIokfz26Pb7UC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seeslSllEfFNne3RmYngsF+T70x8M1UYyUq6ymhDbt3VPbXyFN0TdOWy+2YrDBBCwxI/0MuUeGOp9dQAw7pvA==" saltValue="FmDwNM6dBsXoTlyo41znb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2054.4307808649601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0.45286000000000004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0.58804000000000001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1.8231930184053856E-2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95514.403850000002</v>
      </c>
      <c r="C22" s="109">
        <v>95181.562569999995</v>
      </c>
      <c r="D22" s="109">
        <v>94744.028479999994</v>
      </c>
      <c r="E22" s="109">
        <v>94298.388489999998</v>
      </c>
      <c r="F22" s="109">
        <v>93666.388959999997</v>
      </c>
      <c r="G22" s="109">
        <v>92966.42353</v>
      </c>
      <c r="H22" s="109">
        <v>92102.515169999999</v>
      </c>
      <c r="I22" s="109">
        <v>90949.745920000001</v>
      </c>
      <c r="J22" s="109">
        <v>89252.106629999995</v>
      </c>
      <c r="K22" s="109">
        <v>86802.733049999995</v>
      </c>
      <c r="L22" s="109">
        <v>83085.947740000003</v>
      </c>
      <c r="M22" s="109">
        <v>77736.847880000001</v>
      </c>
      <c r="N22" s="109">
        <v>69990.703120000006</v>
      </c>
      <c r="O22" s="109">
        <v>59886.300360000001</v>
      </c>
    </row>
  </sheetData>
  <sheetProtection algorithmName="SHA-512" hashValue="J+Rfajyx6PiiPgGUT/GHLszkLqfQEB8tNAFN2jmg2MPoTQETL3Lt4dohXlmJqKLNhosYmgezjE7mrYUEyyhUPg==" saltValue="rKM20m6aD5PVIGHYsBt+g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BSuviPfgn5qpEs/JZbB6350lHp0SaXhOqEEz1ho8LCfQoe1YM32fBOqel1bHp0S6umGlKnbQR8J6PkrD1d8thQ==" saltValue="jpjXVZfueni+7rRFE1tUa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jOnTF5fjNwAuSH6sWntsPK9DDznDO86DlAmP+dlmu37bTcCjQEwLIhO1EbBtLgLjI8kFRJx10FfMGezPRpUc0g==" saltValue="YjUJgzPhNTPyIyDQ8H8ud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23.266651740020471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23.266651740020471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0.80999999999999994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0.73934083451614718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1.899427422400078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2.3195500000000001E-2</v>
      </c>
      <c r="C10" s="98">
        <v>0.95</v>
      </c>
      <c r="D10" s="56">
        <v>13.73182685574543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13.73182685574543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13.73182685574543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13.73182685574543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2.3195500000000001E-2</v>
      </c>
      <c r="C14" s="98">
        <v>0.95</v>
      </c>
      <c r="D14" s="56">
        <v>13.73182685574543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13.73182685574543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1.57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0.1369044839662158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0.41442689999999999</v>
      </c>
      <c r="C18" s="98">
        <v>0.95</v>
      </c>
      <c r="D18" s="56">
        <v>8.0823886898669404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0.41442689999999999</v>
      </c>
      <c r="C19" s="98">
        <v>0.95</v>
      </c>
      <c r="D19" s="56">
        <v>5.4458602900381443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8.32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0.80999999999999994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4.58111376863544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0.71204221746141994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8.469314227226203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14.964151740020471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0.36409789999999997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0.59765410000000008</v>
      </c>
      <c r="C29" s="98">
        <v>0.95</v>
      </c>
      <c r="D29" s="56">
        <v>33.321934882307978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53.05041964170676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118.83755373592631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0.97</v>
      </c>
      <c r="C32" s="98">
        <v>0.95</v>
      </c>
      <c r="D32" s="56">
        <v>0.69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0.99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0.61718569999999995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7.1143999999999999E-2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0.93661349999999999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0.21817230000000001</v>
      </c>
      <c r="C38" s="98">
        <v>0.95</v>
      </c>
      <c r="D38" s="56">
        <v>3.45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3.07</v>
      </c>
      <c r="E39" s="56" t="s">
        <v>230</v>
      </c>
      <c r="F39" s="98">
        <v>1</v>
      </c>
      <c r="G39" s="98">
        <v>1</v>
      </c>
    </row>
  </sheetData>
  <sheetProtection algorithmName="SHA-512" hashValue="/jruxQvDqySnE/GfkEWLwC1iV8rKbWNhs3Hg76bGWKGxlRyLW/D8Zj3PiJMCbS8AX9apekNHjfOvj70p5vwW9A==" saltValue="R9AfJgpqq28P4iYEr4Io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VwHPR+wtFr0Ay2fGfwNEeC9ObZ5Y5wgecp9MXzPrDP9GRSlVBsTrIZRABR9Y1APcJwiTHJE5MTFLs7IAJcV0w==" saltValue="Ask/OSsqkj73oru/El+Kk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xUBqe3x86MQeYcnv9kfd7xYsH4xU5gh967vlXFGYHpz/16VDVy0uF13D7kdP+XQs+CR1gdxc3ZGeT5teKyvIWw==" saltValue="p3ybJwcMAeApcydmg8vPq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237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sheetProtection algorithmName="SHA-512" hashValue="tkR2Ewiu6e2W3Q2HeIn0cKww040G5UUEeZYrjKR/W21H1t03DEmnti05m4aCJ4yNU6YamwmaEo1lP/Yvwv2uJw==" saltValue="4CKFbScK+EF9F5WoJCgCF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0.183</v>
      </c>
      <c r="F2" s="60">
        <f>food_insecure</f>
        <v>0.183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0.183</v>
      </c>
      <c r="F5" s="60">
        <f>food_insecure</f>
        <v>0.183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0.183</v>
      </c>
      <c r="F8" s="60">
        <f>food_insecure</f>
        <v>0.183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0.183</v>
      </c>
      <c r="F9" s="60">
        <f>food_insecure</f>
        <v>0.183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0.183</v>
      </c>
      <c r="I15" s="60">
        <f t="shared" si="0"/>
        <v>0.183</v>
      </c>
      <c r="J15" s="60">
        <f t="shared" si="0"/>
        <v>0.183</v>
      </c>
      <c r="K15" s="60">
        <f t="shared" si="0"/>
        <v>0.183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0.183</v>
      </c>
      <c r="I16" s="60">
        <f t="shared" si="0"/>
        <v>0.183</v>
      </c>
      <c r="J16" s="60">
        <f t="shared" si="0"/>
        <v>0.183</v>
      </c>
      <c r="K16" s="60">
        <f t="shared" si="0"/>
        <v>0.183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0.1330297503</v>
      </c>
      <c r="M24" s="60">
        <f>famplan_unmet_need</f>
        <v>0.1330297503</v>
      </c>
      <c r="N24" s="60">
        <f>famplan_unmet_need</f>
        <v>0.1330297503</v>
      </c>
      <c r="O24" s="60">
        <f>famplan_unmet_need</f>
        <v>0.1330297503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0.21477678017599997</v>
      </c>
      <c r="M25" s="60">
        <f>(1-food_insecure)*(0.49)+food_insecure*(0.7)</f>
        <v>0.52842999999999996</v>
      </c>
      <c r="N25" s="60">
        <f>(1-food_insecure)*(0.49)+food_insecure*(0.7)</f>
        <v>0.52842999999999996</v>
      </c>
      <c r="O25" s="60">
        <f>(1-food_insecure)*(0.49)+food_insecure*(0.7)</f>
        <v>0.52842999999999996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9.2047191503999995E-2</v>
      </c>
      <c r="M26" s="60">
        <f>(1-food_insecure)*(0.21)+food_insecure*(0.3)</f>
        <v>0.22646999999999998</v>
      </c>
      <c r="N26" s="60">
        <f>(1-food_insecure)*(0.21)+food_insecure*(0.3)</f>
        <v>0.22646999999999998</v>
      </c>
      <c r="O26" s="60">
        <f>(1-food_insecure)*(0.21)+food_insecure*(0.3)</f>
        <v>0.22646999999999998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9.9619228319999989E-2</v>
      </c>
      <c r="M27" s="60">
        <f>(1-food_insecure)*(0.3)</f>
        <v>0.24509999999999998</v>
      </c>
      <c r="N27" s="60">
        <f>(1-food_insecure)*(0.3)</f>
        <v>0.24509999999999998</v>
      </c>
      <c r="O27" s="60">
        <f>(1-food_insecure)*(0.3)</f>
        <v>0.24509999999999998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0.5935568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8pRM7gmOatntG+ZnRp1/5YcsETOo9q4UVLxPSqWo552Q01eqSIm/HnauYQS+c8XNh7wHz5DTqg/r/ePJKgucQ==" saltValue="5HZpnceBl6ZyDDKb9WeMX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udRZnbvHZ9VO5gEu3lNr1PUu6gfE9e8hjFKCSw/h3BG6+LAhuKTi1QUIvGF9nN0t/hfK4Z90OkMxEQsdTPvxjA==" saltValue="Mpzq3uMb/FlYzGoedxiwy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lnokoSZmEjiQBiXwVQJN880D8AffkR+kXUuAelmr+U2sO+bdvlBT7kuO8fY1p1s8v3lO9BbqS/YXkfbezi0lA==" saltValue="a0hv28fDk3gyQYMJDn+VZ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lE+SYUPn70bkHYtC+VwKdnYajTRnRslWkhVpKLMlVVFsa8klHFsIKgdmfAZjmpMq0P4fYAqP/gMeJWDMA56wA==" saltValue="EIdcurxCGKUUICicJTEk1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Im9k4acQYRJ3lfLniTYi8AI3FDtfyU1PqQZVn5czDhynVM/ewQVC7Clodd4BvP4mSUM+VmgQnm721okSIbJTFA==" saltValue="NnNUAfWdhyQeZeveJYIEY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mT1jhpEDAcnrU8k3SxF047G8PTkLdWEuAP7SwomPGeJdc5VpqVmLzWyuHZHDO0/YLqVZbDgjfeWchqmKRYuOYQ==" saltValue="6D5KzXA5NnAiKW7CYDYkJ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PB6nrCjobN/HS7QQxXGN7lHtS3lfV2En2nsolDQSRI9O9/m66XQQ+dbTMv8k+3W73EuYygTVj5OozCT/yYC6A==" saltValue="2IbcDxb6wXOh7V5oF/mnl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jFk8qQaX5ueguPuhbSUm9MjtSYm5PAwcKw350SmpXhSvYe62NL1vFR7QU8XqZtQmIHepYP9UxNei+bur8YwCcg==" saltValue="Ip5RFJvEcDdaD1Cl40Fj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ugghCCh6JNLs37sAkpV1ZR7wtoX3mzPWqPVXXw4m+xdMGpBWhqgqQMWjDuRjU9sDznEGSt9MIb2hyJxk06yn7w==" saltValue="b9GVhvKBHwWYOzv65hFn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80e0lZeJzUDARXSPXPgp0Fph2fsW7kR0fCBgj+IKkB4RSbPEIaay6ACbzXJ/FN8Mw2IStC5NFvElwwx/WHuXxA==" saltValue="Yts/QqJ5UZXDqotAwGGg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vVAbDUIxJRmWdBxvr2ahjNsVD6nx5ut0SYhaTNZ47OkTQc/BNUCPRWbreXyqxq+xdNoMjV88VUH0VaY/EOg/w==" saltValue="VvB8T11hNw0XaMCSw0p6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iB2Hy1iS17dKZH3bgC4P6+uKpEhpqlYQv88s66IXRKTHesdVc7xZS/wN+2upstY15OqNCLVZIV3AthyrIW0Cg==" saltValue="ioX+Ftic86wFUwQKSgaE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oPa7Ss8Qg13D/172A5Y9q71YzPtfjkthAV3JBdfzcXtZ8hu3yqbP3vPOyW/pmhkduMAefMGtn8uBNkudaFrxA==" saltValue="njcYl9m531Lji11Njdh6h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dP1k26DpTXHjlKAkjwtTzjVmxX8Kz8/RzvEw1MJemvot5PbESi4mQYcL7MnJWzdFumU43DNXuFz7GjTC7lQUg==" saltValue="WtFgtCofsPlXnu+Ny5KB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yl69nUgr0Zfs2scnlw5s05PWfeV2XVSaNPCjwsKDoYp6VwTH2M/MivqqXC5vTvddbYU5rvHpho2yiXsMSzSAvQ==" saltValue="M+CA4hHMJ7rgLvVGWu4Pq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2025-07-04T04:11:45Z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