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BCA5477-2AD2-447E-93D1-EC968790F97B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21" i="2" l="1"/>
  <c r="A23" i="2"/>
  <c r="A29" i="2"/>
  <c r="A31" i="2"/>
  <c r="A37" i="2"/>
  <c r="A16" i="2"/>
  <c r="A32" i="2"/>
  <c r="A17" i="2"/>
  <c r="A25" i="2"/>
  <c r="A24" i="2"/>
  <c r="A18" i="2"/>
  <c r="A26" i="2"/>
  <c r="A39" i="2"/>
  <c r="A19" i="2"/>
  <c r="A27" i="2"/>
  <c r="A35" i="2"/>
  <c r="A33" i="2"/>
  <c r="A3" i="2"/>
  <c r="A34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<sst xmlns="http://schemas.openxmlformats.org/spreadsheetml/2006/main" count="2101" uniqueCount="337">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</sst>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765421.328125</v>
      </c>
    </row>
    <row r="8" spans="1:3" ht="15" customHeight="1" x14ac:dyDescent="0.25">
      <c r="B8" s="5" t="s">
        <v>19</v>
      </c>
      <c r="C8" s="44">
        <v>9.0000000000000011E-3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0.59812629699706998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0.38700000000000001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0.12590000000000001</v>
      </c>
    </row>
    <row r="24" spans="1:3" ht="15" customHeight="1" x14ac:dyDescent="0.25">
      <c r="B24" s="15" t="s">
        <v>33</v>
      </c>
      <c r="C24" s="45">
        <v>0.54390000000000005</v>
      </c>
    </row>
    <row r="25" spans="1:3" ht="15" customHeight="1" x14ac:dyDescent="0.25">
      <c r="B25" s="15" t="s">
        <v>34</v>
      </c>
      <c r="C25" s="45">
        <v>0.28079999999999999</v>
      </c>
    </row>
    <row r="26" spans="1:3" ht="15" customHeight="1" x14ac:dyDescent="0.25">
      <c r="B26" s="15" t="s">
        <v>35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0.33982819653213803</v>
      </c>
    </row>
    <row r="30" spans="1:3" ht="14.25" customHeight="1" x14ac:dyDescent="0.25">
      <c r="B30" s="25" t="s">
        <v>38</v>
      </c>
      <c r="C30" s="99">
        <v>6.2561187920877309E-2</v>
      </c>
    </row>
    <row r="31" spans="1:3" ht="14.25" customHeight="1" x14ac:dyDescent="0.25">
      <c r="B31" s="25" t="s">
        <v>39</v>
      </c>
      <c r="C31" s="99">
        <v>0.10830365564404</v>
      </c>
    </row>
    <row r="32" spans="1:3" ht="14.25" customHeight="1" x14ac:dyDescent="0.25">
      <c r="B32" s="25" t="s">
        <v>40</v>
      </c>
      <c r="C32" s="99">
        <v>0.48930695990294498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11.92366</v>
      </c>
    </row>
    <row r="38" spans="1:5" ht="15" customHeight="1" x14ac:dyDescent="0.25">
      <c r="B38" s="11" t="s">
        <v>45</v>
      </c>
      <c r="C38" s="43">
        <v>15.550739999999999</v>
      </c>
      <c r="D38" s="12"/>
      <c r="E38" s="13"/>
    </row>
    <row r="39" spans="1:5" ht="15" customHeight="1" x14ac:dyDescent="0.25">
      <c r="B39" s="11" t="s">
        <v>46</v>
      </c>
      <c r="C39" s="43">
        <v>17.399979999999999</v>
      </c>
      <c r="D39" s="12"/>
      <c r="E39" s="12"/>
    </row>
    <row r="40" spans="1:5" ht="15" customHeight="1" x14ac:dyDescent="0.25">
      <c r="B40" s="11" t="s">
        <v>47</v>
      </c>
      <c r="C40" s="100">
        <v>0.5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5.9365999999999993E-3</v>
      </c>
      <c r="D45" s="12"/>
    </row>
    <row r="46" spans="1:5" ht="15.75" customHeight="1" x14ac:dyDescent="0.25">
      <c r="B46" s="11" t="s">
        <v>52</v>
      </c>
      <c r="C46" s="45">
        <v>6.3787999999999997E-2</v>
      </c>
      <c r="D46" s="12"/>
    </row>
    <row r="47" spans="1:5" ht="15.75" customHeight="1" x14ac:dyDescent="0.25">
      <c r="B47" s="11" t="s">
        <v>53</v>
      </c>
      <c r="C47" s="45">
        <v>7.5355800000000001E-2</v>
      </c>
      <c r="D47" s="12"/>
      <c r="E47" s="13"/>
    </row>
    <row r="48" spans="1:5" ht="15" customHeight="1" x14ac:dyDescent="0.25">
      <c r="B48" s="11" t="s">
        <v>54</v>
      </c>
      <c r="C48" s="46">
        <v>0.85491960000000011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0.58899100000000004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0.17313998999999899</v>
      </c>
    </row>
    <row r="63" spans="1:4" ht="15.75" customHeight="1" x14ac:dyDescent="0.3">
      <c r="A63" s="4"/>
    </row>
  </sheetData>
  <sheetProtection algorithmName="SHA-512" hashValue="lEolVKSGgHuEWZW93dlrzlmUlmjT5yOSa88qSjyOvPKBEYfCBbVvltH+jvgBMpf1AidcNt3myBElSj+NbONvmA==" saltValue="m0De2gvUYx26KVWRJ/zM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BClvEZqC7lN0hBN77hxkEj/3L85imx5bE7iMVHtUlnNH0rrQE1GNfPRcGwO1eGubQEmkec2HlmDg/1hRnSKWQ==" saltValue="DmIezOKQwhnLdYM2eYykN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1.5407999999999991E-3</v>
      </c>
    </row>
    <row r="4" spans="1:8" ht="15.75" customHeight="1" x14ac:dyDescent="0.25">
      <c r="B4" s="19" t="s">
        <v>79</v>
      </c>
      <c r="C4" s="101">
        <v>5.5218899999999987E-2</v>
      </c>
    </row>
    <row r="5" spans="1:8" ht="15.75" customHeight="1" x14ac:dyDescent="0.25">
      <c r="B5" s="19" t="s">
        <v>80</v>
      </c>
      <c r="C5" s="101">
        <v>4.9336599999999987E-2</v>
      </c>
    </row>
    <row r="6" spans="1:8" ht="15.75" customHeight="1" x14ac:dyDescent="0.25">
      <c r="B6" s="19" t="s">
        <v>81</v>
      </c>
      <c r="C6" s="101">
        <v>0.19651040000000031</v>
      </c>
    </row>
    <row r="7" spans="1:8" ht="15.75" customHeight="1" x14ac:dyDescent="0.25">
      <c r="B7" s="19" t="s">
        <v>82</v>
      </c>
      <c r="C7" s="101">
        <v>0.41559819999999958</v>
      </c>
    </row>
    <row r="8" spans="1:8" ht="15.75" customHeight="1" x14ac:dyDescent="0.25">
      <c r="B8" s="19" t="s">
        <v>83</v>
      </c>
      <c r="C8" s="101">
        <v>1.9750000000000041E-4</v>
      </c>
    </row>
    <row r="9" spans="1:8" ht="15.75" customHeight="1" x14ac:dyDescent="0.25">
      <c r="B9" s="19" t="s">
        <v>84</v>
      </c>
      <c r="C9" s="101">
        <v>0.19013440000000001</v>
      </c>
    </row>
    <row r="10" spans="1:8" ht="15.75" customHeight="1" x14ac:dyDescent="0.25">
      <c r="B10" s="19" t="s">
        <v>85</v>
      </c>
      <c r="C10" s="101">
        <v>9.1463199999999953E-2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88</v>
      </c>
      <c r="C15" s="101">
        <v>0.54966072134015409</v>
      </c>
      <c r="D15" s="101">
        <v>0.54966072134015409</v>
      </c>
      <c r="E15" s="101">
        <v>0.54966072134015409</v>
      </c>
      <c r="F15" s="101">
        <v>0.54966072134015409</v>
      </c>
    </row>
    <row r="16" spans="1:8" ht="15.75" customHeight="1" x14ac:dyDescent="0.25">
      <c r="B16" s="19" t="s">
        <v>89</v>
      </c>
      <c r="C16" s="101">
        <v>4.0830961878845301E-2</v>
      </c>
      <c r="D16" s="101">
        <v>4.0830961878845301E-2</v>
      </c>
      <c r="E16" s="101">
        <v>4.0830961878845301E-2</v>
      </c>
      <c r="F16" s="101">
        <v>4.0830961878845301E-2</v>
      </c>
    </row>
    <row r="17" spans="1:8" ht="15.75" customHeight="1" x14ac:dyDescent="0.25">
      <c r="B17" s="19" t="s">
        <v>90</v>
      </c>
      <c r="C17" s="101">
        <v>1.353392173711137E-3</v>
      </c>
      <c r="D17" s="101">
        <v>1.353392173711137E-3</v>
      </c>
      <c r="E17" s="101">
        <v>1.353392173711137E-3</v>
      </c>
      <c r="F17" s="101">
        <v>1.353392173711137E-3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6.0295701086369472E-3</v>
      </c>
      <c r="D19" s="101">
        <v>6.0295701086369472E-3</v>
      </c>
      <c r="E19" s="101">
        <v>6.0295701086369472E-3</v>
      </c>
      <c r="F19" s="101">
        <v>6.0295701086369472E-3</v>
      </c>
    </row>
    <row r="20" spans="1:8" ht="15.75" customHeight="1" x14ac:dyDescent="0.25">
      <c r="B20" s="19" t="s">
        <v>93</v>
      </c>
      <c r="C20" s="101">
        <v>2.2324405642405711E-2</v>
      </c>
      <c r="D20" s="101">
        <v>2.2324405642405711E-2</v>
      </c>
      <c r="E20" s="101">
        <v>2.2324405642405711E-2</v>
      </c>
      <c r="F20" s="101">
        <v>2.2324405642405711E-2</v>
      </c>
    </row>
    <row r="21" spans="1:8" ht="15.75" customHeight="1" x14ac:dyDescent="0.25">
      <c r="B21" s="19" t="s">
        <v>94</v>
      </c>
      <c r="C21" s="101">
        <v>0.2122611559734788</v>
      </c>
      <c r="D21" s="101">
        <v>0.2122611559734788</v>
      </c>
      <c r="E21" s="101">
        <v>0.2122611559734788</v>
      </c>
      <c r="F21" s="101">
        <v>0.2122611559734788</v>
      </c>
    </row>
    <row r="22" spans="1:8" ht="15.75" customHeight="1" x14ac:dyDescent="0.25">
      <c r="B22" s="19" t="s">
        <v>95</v>
      </c>
      <c r="C22" s="101">
        <v>5.2325457713380492E-2</v>
      </c>
      <c r="D22" s="101">
        <v>5.2325457713380492E-2</v>
      </c>
      <c r="E22" s="101">
        <v>5.2325457713380492E-2</v>
      </c>
      <c r="F22" s="101">
        <v>5.2325457713380492E-2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8.6989028999999995E-2</v>
      </c>
    </row>
    <row r="27" spans="1:8" ht="15.75" customHeight="1" x14ac:dyDescent="0.25">
      <c r="B27" s="19" t="s">
        <v>102</v>
      </c>
      <c r="C27" s="101">
        <v>5.4674084999999983E-2</v>
      </c>
    </row>
    <row r="28" spans="1:8" ht="15.75" customHeight="1" x14ac:dyDescent="0.25">
      <c r="B28" s="19" t="s">
        <v>103</v>
      </c>
      <c r="C28" s="101">
        <v>7.8007822000000004E-2</v>
      </c>
    </row>
    <row r="29" spans="1:8" ht="15.75" customHeight="1" x14ac:dyDescent="0.25">
      <c r="B29" s="19" t="s">
        <v>104</v>
      </c>
      <c r="C29" s="101">
        <v>0.25304623700000001</v>
      </c>
    </row>
    <row r="30" spans="1:8" ht="15.75" customHeight="1" x14ac:dyDescent="0.25">
      <c r="B30" s="19" t="s">
        <v>2</v>
      </c>
      <c r="C30" s="101">
        <v>6.4168437999999994E-2</v>
      </c>
    </row>
    <row r="31" spans="1:8" ht="15.75" customHeight="1" x14ac:dyDescent="0.25">
      <c r="B31" s="19" t="s">
        <v>105</v>
      </c>
      <c r="C31" s="101">
        <v>3.8459681000000003E-2</v>
      </c>
    </row>
    <row r="32" spans="1:8" ht="15.75" customHeight="1" x14ac:dyDescent="0.25">
      <c r="B32" s="19" t="s">
        <v>106</v>
      </c>
      <c r="C32" s="101">
        <v>7.8795084000000001E-2</v>
      </c>
    </row>
    <row r="33" spans="2:3" ht="15.75" customHeight="1" x14ac:dyDescent="0.25">
      <c r="B33" s="19" t="s">
        <v>107</v>
      </c>
      <c r="C33" s="101">
        <v>6.8855599000000017E-2</v>
      </c>
    </row>
    <row r="34" spans="2:3" ht="15.75" customHeight="1" x14ac:dyDescent="0.25">
      <c r="B34" s="19" t="s">
        <v>108</v>
      </c>
      <c r="C34" s="101">
        <v>0.27700402600000001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kvP7DIgs7SM6yeDwTrTWQMmcZKwtJZUj8xGYxf+OX35jUgfFGx19/ajPqhbrltMregTKZ11S5HvZo/7djpffdA==" saltValue="Sel6ac6BtLKU/L87tVZi1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114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115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119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120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2FWFEsApYaznxYHkcOcj+rItn0qtVxz9JYbqZuzmKz29OOwyJsLve9xSBqciqG5HfrMSOIni5Ct89SA+lqcBQ==" saltValue="QCC3iKJQmOTogBq04Hzm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132</v>
      </c>
      <c r="C5" s="52">
        <v>2.9951999999999999E-3</v>
      </c>
      <c r="D5" s="52">
        <v>1.9772100000000001E-2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gaW8ISC5iIhZk3W4FTBKKYkxKKoN/p1x93rRoxnU+xjBAJaYj4nWQW+zRhjSHxmpogALrbZT73ftbmqiCyFAAA==" saltValue="yVx4J0gBiIVm69Cc9z+cG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MI9fze1tDKCkx/R13db8N4ZPI/fO7WFv03090AQ8/tcJcTUuPGDkLipizcDuHRZkq6Vj1uJoTMYB+6GZNFGbg==" saltValue="OA8mlBavgGJqMoSbA6SL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yKHo8Uw2oMNiT8Uxjh3jUnep3tXsTs9HkQcQ76AWj023L6qsDdNKCPkRFNzd0y9NuJeMo/i6mj4Pm/DbwwE+Mg==" saltValue="ka7IVf/IxrPreC9RWzSq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Bo7L06ccT2O+NeuJm5R0N7c+tG65Kg/ikw0ZTII+mVJBKo0amj1d+EB9NmtcnCBylEVVel31Tkng1g2kcgV3A==" saltValue="kr4aLy4zI6pIt8nMffA+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DjHT4b0OBGAKvGzyZWgQADQnHixj+cAqtWdg1xdGsKzoRDuQdkTIkFHdev3I9wTngCyDIIC1/nJ16CCkfnaUw==" saltValue="h39R5TdvaNuZZx49h1pV+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0.73934083451614718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1.899427422400078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0.76169932167312793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2.3195500000000001E-2</v>
      </c>
      <c r="C10" s="98">
        <v>0.95</v>
      </c>
      <c r="D10" s="56">
        <v>13.73182685574543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13.73182685574543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13.73182685574543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13.73182685574543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2.3195500000000001E-2</v>
      </c>
      <c r="C14" s="98">
        <v>0.95</v>
      </c>
      <c r="D14" s="56">
        <v>13.73182685574543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13.73182685574543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0.41442689999999999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0.41442689999999999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23.53711431198905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4.58111376863544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0.71204221746141994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2.3195500000000001E-2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0.36409789999999997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0.59765410000000008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0.97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0.61718569999999995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7.1143999999999999E-2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0.93661349999999999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0.21817230000000001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f9nIareTIiC1xodNWPcj63ud9MDL9ZV+6ooh5QYxwPK9LhcXDKSKSxff4iim/F+QYkh4q4DCovGgYCW7LhDjrA==" saltValue="3g6zAYQZ5LKL68hTWUTN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qjUvw1g9DCJn68+aAJ5Eik3AinTKuauJfyUfM/nhphBsMlv+d2WiC3l3Qz71EwJI2u/ttkph/hUZ1mNu6mpcw==" saltValue="Vd8m6h2YrJgOlUotPi69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734adoK5pYPzA33K42MEHYx465MPTlbP1nCQKE5h4VCWvvAif7wDZ6Y1AeBF0zUJaJ41Is5ygxsdNQmSUTxSLA==" saltValue="rqCBs1d3anVWjb1csKvD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208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sheetProtection algorithmName="SHA-512" hashValue="M1xM5aD5sFMNVVZgfifljUGXdSi4V81lPKofq/SLoiyP1y74zCYW1+QcYjgdnXAuO2liXHA88C+N9SClF5AAvw==" saltValue="th6bXrmiC3c9R49wFDIy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9.0000000000000011E-3</v>
      </c>
      <c r="E2" s="60">
        <f>food_insecure</f>
        <v>9.0000000000000011E-3</v>
      </c>
      <c r="F2" s="60">
        <f>food_insecure</f>
        <v>9.0000000000000011E-3</v>
      </c>
      <c r="G2" s="60">
        <f>food_insecure</f>
        <v>9.0000000000000011E-3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9.0000000000000011E-3</v>
      </c>
      <c r="F5" s="60">
        <f>food_insecure</f>
        <v>9.0000000000000011E-3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9.0000000000000011E-3</v>
      </c>
      <c r="F8" s="60">
        <f>food_insecure</f>
        <v>9.0000000000000011E-3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9.0000000000000011E-3</v>
      </c>
      <c r="F9" s="60">
        <f>food_insecure</f>
        <v>9.0000000000000011E-3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9.0000000000000011E-3</v>
      </c>
      <c r="I15" s="60">
        <f>food_insecure</f>
        <v>9.0000000000000011E-3</v>
      </c>
      <c r="J15" s="60">
        <f>food_insecure</f>
        <v>9.0000000000000011E-3</v>
      </c>
      <c r="K15" s="60">
        <f>food_insecure</f>
        <v>9.0000000000000011E-3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0.38700000000000001</v>
      </c>
      <c r="M24" s="60">
        <f>famplan_unmet_need</f>
        <v>0.38700000000000001</v>
      </c>
      <c r="N24" s="60">
        <f>famplan_unmet_need</f>
        <v>0.38700000000000001</v>
      </c>
      <c r="O24" s="60">
        <f>famplan_unmet_need</f>
        <v>0.38700000000000001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0.19767765577011123</v>
      </c>
      <c r="M25" s="60">
        <f>(1-food_insecure)*(0.49)+food_insecure*(0.7)</f>
        <v>0.49188999999999994</v>
      </c>
      <c r="N25" s="60">
        <f>(1-food_insecure)*(0.49)+food_insecure*(0.7)</f>
        <v>0.49188999999999994</v>
      </c>
      <c r="O25" s="60">
        <f>(1-food_insecure)*(0.49)+food_insecure*(0.7)</f>
        <v>0.49188999999999994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8.4718995330047675E-2</v>
      </c>
      <c r="M26" s="60">
        <f>(1-food_insecure)*(0.21)+food_insecure*(0.3)</f>
        <v>0.21081</v>
      </c>
      <c r="N26" s="60">
        <f>(1-food_insecure)*(0.21)+food_insecure*(0.3)</f>
        <v>0.21081</v>
      </c>
      <c r="O26" s="60">
        <f>(1-food_insecure)*(0.21)+food_insecure*(0.3)</f>
        <v>0.21081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0.11947705190277109</v>
      </c>
      <c r="M27" s="60">
        <f>(1-food_insecure)*(0.3)</f>
        <v>0.29730000000000001</v>
      </c>
      <c r="N27" s="60">
        <f>(1-food_insecure)*(0.3)</f>
        <v>0.29730000000000001</v>
      </c>
      <c r="O27" s="60">
        <f>(1-food_insecure)*(0.3)</f>
        <v>0.29730000000000001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0.59812629699706998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/4HquMz3P9dEtXmIe3XShRqfjvj+sRgh7aEiK6Tnw2bfiEbhGTJ9I2AlAyTL4Ee+BcOKRJ9Z7C3P4/ASLDC5w==" saltValue="2OXzFdPuBdT2vH+X7N/u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AdVrwMYKX2OLL9rlgzXtbksbSK0ZV6FJ/i3pt9oloPn+3dKALzR23T1aosrC/NBzi3GL3tlr3aSR2hfIgwlwg==" saltValue="xHB0J1gD+8ZSr4M797CC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het83C8sHkfdVfs+XSA6jJ3R6TiuGMNBMbLm3U1yRZNJUW426Slb6b6mI7Ye1D3BmmdHgGcCh438pKlUQ235A==" saltValue="OU+nMkWbY2hQW8jMr/MI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EUL/V4rXApyshpk8371gwnJrMzMM3xJIf7M4MiqWcextab6R+Yys9+K6dwUM2doim6UkxpY9Pp/ZjKfQJ3IuA==" saltValue="E/X4pkqk/9LtCs4F16S8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h7G1bb4tD4o1CKMMdFvKC7a27Zl2fwY3JmuvEPeBcX4e2lFb9MvdUNaBEXZNLKAPiPETqGsVYinkU+7KBAfrg==" saltValue="9K3yZFxspP0OmvDm/XZH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98+q7FKsNkGq5NkydDz6fbIYmHqB/8hdnPsWg9soPyuLhuYu8oM9Ym1QTFDvm2WVUkPwuqyQrGjgcUBJsNOSg==" saltValue="PnrxKbil2Fi8uAy0TqBdy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fGvaf0XfDtp9Y9ZTwMCZySkiyuM54R78gVO7MZnMc5+Lzm38dkX7A5aNPUH+Zy+/r1HaU2cOujDlHJLkOG/eQ==" saltValue="dlI36IYL6BnGjVvUEIRO7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s7I0rV9XH0WfjCh/tig966GQ7WznSLnPLgOlckP/y8ux53WplpfTpEnYsjwkTvFv86xcYAM8YPsKjfrV722Jg==" saltValue="SufDP3BpgN8Xoo4VWlRb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eGtayaEcvGHLMACUCDunlwkXL/0PP5qOXJIhcXRBYUpTyJ+pXkFZFYQ+HerVDqY+0n3NtJ84EcBTlaQomnHDQ==" saltValue="pzw1AiCijmPqmRF4tGVy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5q7vjii21GCL7uEmB5+DDUDvkER+Dau41f0TtLROpjmnQ5hNm8MVnAAXriYkDg/XsFe9Z2tG1FkFaIhzuh/9g==" saltValue="OWTXlrdsoWijn+Ie0WWd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hMlqv//ChkWA8YvXRSh0LJtpISwRFm2a48vW8YmEzAfOg89ef1NNCMDWiE2CJPKFB5U/pNquonD8GWCJOswUg==" saltValue="nSqcb+ghkCx2BD58ewdD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QaW1MpEBYlrWjXzmwm9aOHsQTsoPnbghfTAxyzxqGNxSNwiDP1SOnZG0ms632mQu7OxDbgyeYiVgQIbwZs00Q==" saltValue="iUPFrpKnM0jNzDZbZfxX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TG462Pkuhrjs/hVpLJbGmx2Dghon2z40ygGXG4OLtBDp6LGfoCq7E6cF5Sz1exgYcY9FFK0PzeSpadmEi2jxA==" saltValue="PrvigLd3LnOlRQz8MdtA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0.10910165463536647</v>
      </c>
      <c r="G18" s="90">
        <f>MIN(MAX(1-0.89/(1-frac_sam_12_23months+(frac_sam_12_23months*0.89)),0),1)</f>
        <v>0.10908718498433989</v>
      </c>
      <c r="H18" s="90">
        <f>MIN(MAX(1-0.89/(1-frac_sam_24_59months+(frac_sam_24_59months*0.89)),0),1)</f>
        <v>0.10959478370930786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0.10795911839984551</v>
      </c>
      <c r="G20" s="90">
        <f>MIN(MAX(1-0.89/(1-frac_mam_12_23months+(frac_mam_12_23months*0.89)),0),1)</f>
        <v>0.10894820335028643</v>
      </c>
      <c r="H20" s="90">
        <f>MIN(MAX(1-0.89/(1-frac_mam_24_59months+(frac_mam_24_59months*0.89)),0),1)</f>
        <v>0.1090771099056862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9.909239370063827E-3</v>
      </c>
      <c r="G73" s="90">
        <f>MIN(MAX(1-0.99/(1-frac_sam_12_23months+(frac_sam_12_23months*0.99)),0),1)</f>
        <v>9.9077788501531483E-3</v>
      </c>
      <c r="H73" s="90">
        <f>MIN(MAX(1-0.99/(1-frac_sam_24_59months+(frac_sam_24_59months*0.99)),0),1)</f>
        <v>9.9590400254039313E-3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9.7940480542607622E-3</v>
      </c>
      <c r="G75" s="90">
        <f>MIN(MAX(1-0.99/(1-frac_mam_12_23months+(frac_mam_12_23months*0.99)),0),1)</f>
        <v>9.8937526887072913E-3</v>
      </c>
      <c r="H75" s="90">
        <f>MIN(MAX(1-0.99/(1-frac_mam_24_59months+(frac_mam_24_59months*0.99)),0),1)</f>
        <v>9.9067619296777654E-3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0.19853060203515915</v>
      </c>
      <c r="G128" s="90">
        <f>MIN(MAX(1-0.8/(1-frac_sam_12_23months+(frac_sam_12_23months*0.8)),0),1)</f>
        <v>0.19850691456099734</v>
      </c>
      <c r="H128" s="90">
        <f>MIN(MAX(1-0.8/(1-frac_sam_24_59months+(frac_sam_24_59months*0.8)),0),1)</f>
        <v>0.1993374998208518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0.19665827515984446</v>
      </c>
      <c r="G130" s="90">
        <f>MIN(MAX(1-0.8/(1-frac_mam_12_23months+(frac_mam_12_23months*0.8)),0),1)</f>
        <v>0.19827936320372053</v>
      </c>
      <c r="H130" s="90">
        <f>MIN(MAX(1-0.8/(1-frac_mam_24_59months+(frac_mam_24_59months*0.8)),0),1)</f>
        <v>0.19849042082839663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VoLIq/aamKSI8G0AJlEAFXD8nUtDigWtRa+sdHUvQWiSHvUKns97+UrpZKYfb2ivEtjeOigzQDHkL1XYyz1Vw==" saltValue="ik4/0xPmb8+2mKFUYct6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29mRJm01B2+sO5vDBXsJdGJeF4tjP/yd6oMI64uuN13+8dBCjczSm5yLHsVc7451fxgEtUh2bxRZ3AjmBOVrg==" saltValue="ULWI4yd+gonCjKAshZt/X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2024-08-06T09:17:29Z</dcterms:modified>
</cp:coreProperties>
</file>