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B61A40DD-23AA-4B67-B8DF-310C9E3DD76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A37" i="2"/>
  <c r="A34" i="2"/>
  <c r="A31" i="2"/>
  <c r="A26" i="2"/>
  <c r="A25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6" i="2" l="1"/>
  <c r="I12" i="2"/>
  <c r="A35" i="2"/>
  <c r="A36" i="2"/>
  <c r="I13" i="2"/>
  <c r="A19" i="2"/>
  <c r="A22" i="2"/>
  <c r="I38" i="2"/>
  <c r="I3" i="2"/>
  <c r="I9" i="2"/>
  <c r="A23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<sst xmlns="http://schemas.openxmlformats.org/spreadsheetml/2006/main" count="2169" uniqueCount="369">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</sst>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787658</v>
      </c>
    </row>
    <row r="8" spans="1:3" ht="15" customHeight="1" x14ac:dyDescent="0.25">
      <c r="B8" s="5" t="s">
        <v>37</v>
      </c>
      <c r="C8" s="44">
        <v>0.183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0.5935568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0.1330297503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0.12590000000000001</v>
      </c>
    </row>
    <row r="24" spans="1:3" ht="15" customHeight="1" x14ac:dyDescent="0.25">
      <c r="B24" s="15" t="s">
        <v>51</v>
      </c>
      <c r="C24" s="45">
        <v>0.54390000000000005</v>
      </c>
    </row>
    <row r="25" spans="1:3" ht="15" customHeight="1" x14ac:dyDescent="0.25">
      <c r="B25" s="15" t="s">
        <v>52</v>
      </c>
      <c r="C25" s="45">
        <v>0.28079999999999999</v>
      </c>
    </row>
    <row r="26" spans="1:3" ht="15" customHeight="1" x14ac:dyDescent="0.25">
      <c r="B26" s="15" t="s">
        <v>53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0.33982819653213803</v>
      </c>
    </row>
    <row r="30" spans="1:3" ht="14.25" customHeight="1" x14ac:dyDescent="0.25">
      <c r="B30" s="25" t="s">
        <v>56</v>
      </c>
      <c r="C30" s="97">
        <v>6.2561187920877309E-2</v>
      </c>
    </row>
    <row r="31" spans="1:3" ht="14.25" customHeight="1" x14ac:dyDescent="0.25">
      <c r="B31" s="25" t="s">
        <v>57</v>
      </c>
      <c r="C31" s="97">
        <v>0.10830365564404</v>
      </c>
    </row>
    <row r="32" spans="1:3" ht="14.25" customHeight="1" x14ac:dyDescent="0.25">
      <c r="B32" s="25" t="s">
        <v>58</v>
      </c>
      <c r="C32" s="97">
        <v>0.48930695990294498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11.92366</v>
      </c>
    </row>
    <row r="38" spans="1:5" ht="15" customHeight="1" x14ac:dyDescent="0.25">
      <c r="B38" s="11" t="s">
        <v>63</v>
      </c>
      <c r="C38" s="43">
        <v>15.550739999999999</v>
      </c>
      <c r="D38" s="12"/>
      <c r="E38" s="13"/>
    </row>
    <row r="39" spans="1:5" ht="15" customHeight="1" x14ac:dyDescent="0.25">
      <c r="B39" s="11" t="s">
        <v>64</v>
      </c>
      <c r="C39" s="43">
        <v>17.399979999999999</v>
      </c>
      <c r="D39" s="12"/>
      <c r="E39" s="12"/>
    </row>
    <row r="40" spans="1:5" ht="15" customHeight="1" x14ac:dyDescent="0.25">
      <c r="B40" s="11" t="s">
        <v>65</v>
      </c>
      <c r="C40" s="98">
        <v>0.5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71</v>
      </c>
      <c r="C47" s="45">
        <v>7.5355800000000001E-2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0.58899100000000004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0.16732315780000001</v>
      </c>
    </row>
    <row r="63" spans="1:4" ht="15.75" customHeight="1" x14ac:dyDescent="0.3">
      <c r="A63" s="4"/>
    </row>
  </sheetData>
  <sheetProtection algorithmName="SHA-512" hashValue="6aKNa2UVlN+AMOZe+kl5fhSAfE1DoNi22J41v45N9Iv9nKMAhuhOGhXiQ3ca3GZt8/MSKwHj7YrSetaITZwo+w==" saltValue="qr3nOIWXM8AzKsz+rBOE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K6aFyLVyRIXK0efFbum7bi87JQF/Pmn/Ddtujy+HSMwWKPYbTNqFVM/jH2NeSSVpShTPkB/yRSWnxPRGTSVaA==" saltValue="kGJ+j4tmgV1OfdFnzrc5r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1.5407999999999991E-3</v>
      </c>
    </row>
    <row r="4" spans="1:8" ht="15.75" customHeight="1" x14ac:dyDescent="0.25">
      <c r="B4" s="19" t="s">
        <v>97</v>
      </c>
      <c r="C4" s="99">
        <v>5.5218899999999987E-2</v>
      </c>
    </row>
    <row r="5" spans="1:8" ht="15.75" customHeight="1" x14ac:dyDescent="0.25">
      <c r="B5" s="19" t="s">
        <v>98</v>
      </c>
      <c r="C5" s="99">
        <v>4.9336599999999987E-2</v>
      </c>
    </row>
    <row r="6" spans="1:8" ht="15.75" customHeight="1" x14ac:dyDescent="0.25">
      <c r="B6" s="19" t="s">
        <v>99</v>
      </c>
      <c r="C6" s="99">
        <v>0.19651040000000031</v>
      </c>
    </row>
    <row r="7" spans="1:8" ht="15.75" customHeight="1" x14ac:dyDescent="0.25">
      <c r="B7" s="19" t="s">
        <v>100</v>
      </c>
      <c r="C7" s="99">
        <v>0.41559819999999958</v>
      </c>
    </row>
    <row r="8" spans="1:8" ht="15.75" customHeight="1" x14ac:dyDescent="0.25">
      <c r="B8" s="19" t="s">
        <v>101</v>
      </c>
      <c r="C8" s="99">
        <v>1.9750000000000041E-4</v>
      </c>
    </row>
    <row r="9" spans="1:8" ht="15.75" customHeight="1" x14ac:dyDescent="0.25">
      <c r="B9" s="19" t="s">
        <v>102</v>
      </c>
      <c r="C9" s="99">
        <v>0.19013440000000001</v>
      </c>
    </row>
    <row r="10" spans="1:8" ht="15.75" customHeight="1" x14ac:dyDescent="0.25">
      <c r="B10" s="19" t="s">
        <v>103</v>
      </c>
      <c r="C10" s="99">
        <v>9.1463199999999953E-2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106</v>
      </c>
      <c r="C15" s="99">
        <v>0.54966072134015409</v>
      </c>
      <c r="D15" s="99">
        <v>0.54966072134015409</v>
      </c>
      <c r="E15" s="99">
        <v>0.54966072134015409</v>
      </c>
      <c r="F15" s="99">
        <v>0.54966072134015409</v>
      </c>
    </row>
    <row r="16" spans="1:8" ht="15.75" customHeight="1" x14ac:dyDescent="0.25">
      <c r="B16" s="19" t="s">
        <v>107</v>
      </c>
      <c r="C16" s="99">
        <v>4.0830961878845301E-2</v>
      </c>
      <c r="D16" s="99">
        <v>4.0830961878845301E-2</v>
      </c>
      <c r="E16" s="99">
        <v>4.0830961878845301E-2</v>
      </c>
      <c r="F16" s="99">
        <v>4.0830961878845301E-2</v>
      </c>
    </row>
    <row r="17" spans="1:8" ht="15.75" customHeight="1" x14ac:dyDescent="0.25">
      <c r="B17" s="19" t="s">
        <v>108</v>
      </c>
      <c r="C17" s="99">
        <v>1.353392173711137E-3</v>
      </c>
      <c r="D17" s="99">
        <v>1.353392173711137E-3</v>
      </c>
      <c r="E17" s="99">
        <v>1.353392173711137E-3</v>
      </c>
      <c r="F17" s="99">
        <v>1.353392173711137E-3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6.0295701086369472E-3</v>
      </c>
      <c r="D19" s="99">
        <v>6.0295701086369472E-3</v>
      </c>
      <c r="E19" s="99">
        <v>6.0295701086369472E-3</v>
      </c>
      <c r="F19" s="99">
        <v>6.0295701086369472E-3</v>
      </c>
    </row>
    <row r="20" spans="1:8" ht="15.75" customHeight="1" x14ac:dyDescent="0.25">
      <c r="B20" s="19" t="s">
        <v>111</v>
      </c>
      <c r="C20" s="99">
        <v>2.2324405642405711E-2</v>
      </c>
      <c r="D20" s="99">
        <v>2.2324405642405711E-2</v>
      </c>
      <c r="E20" s="99">
        <v>2.2324405642405711E-2</v>
      </c>
      <c r="F20" s="99">
        <v>2.2324405642405711E-2</v>
      </c>
    </row>
    <row r="21" spans="1:8" ht="15.75" customHeight="1" x14ac:dyDescent="0.25">
      <c r="B21" s="19" t="s">
        <v>112</v>
      </c>
      <c r="C21" s="99">
        <v>0.2122611559734788</v>
      </c>
      <c r="D21" s="99">
        <v>0.2122611559734788</v>
      </c>
      <c r="E21" s="99">
        <v>0.2122611559734788</v>
      </c>
      <c r="F21" s="99">
        <v>0.2122611559734788</v>
      </c>
    </row>
    <row r="22" spans="1:8" ht="15.75" customHeight="1" x14ac:dyDescent="0.25">
      <c r="B22" s="19" t="s">
        <v>113</v>
      </c>
      <c r="C22" s="99">
        <v>5.2325457713380492E-2</v>
      </c>
      <c r="D22" s="99">
        <v>5.2325457713380492E-2</v>
      </c>
      <c r="E22" s="99">
        <v>5.2325457713380492E-2</v>
      </c>
      <c r="F22" s="99">
        <v>5.2325457713380492E-2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8.6989028999999995E-2</v>
      </c>
    </row>
    <row r="27" spans="1:8" ht="15.75" customHeight="1" x14ac:dyDescent="0.25">
      <c r="B27" s="19" t="s">
        <v>120</v>
      </c>
      <c r="C27" s="99">
        <v>5.4674084999999983E-2</v>
      </c>
    </row>
    <row r="28" spans="1:8" ht="15.75" customHeight="1" x14ac:dyDescent="0.25">
      <c r="B28" s="19" t="s">
        <v>121</v>
      </c>
      <c r="C28" s="99">
        <v>7.8007822000000004E-2</v>
      </c>
    </row>
    <row r="29" spans="1:8" ht="15.75" customHeight="1" x14ac:dyDescent="0.25">
      <c r="B29" s="19" t="s">
        <v>122</v>
      </c>
      <c r="C29" s="99">
        <v>0.25304623700000001</v>
      </c>
    </row>
    <row r="30" spans="1:8" ht="15.75" customHeight="1" x14ac:dyDescent="0.25">
      <c r="B30" s="19" t="s">
        <v>2</v>
      </c>
      <c r="C30" s="99">
        <v>6.4168437999999994E-2</v>
      </c>
    </row>
    <row r="31" spans="1:8" ht="15.75" customHeight="1" x14ac:dyDescent="0.25">
      <c r="B31" s="19" t="s">
        <v>123</v>
      </c>
      <c r="C31" s="99">
        <v>3.8459681000000003E-2</v>
      </c>
    </row>
    <row r="32" spans="1:8" ht="15.75" customHeight="1" x14ac:dyDescent="0.25">
      <c r="B32" s="19" t="s">
        <v>124</v>
      </c>
      <c r="C32" s="99">
        <v>7.8795084000000001E-2</v>
      </c>
    </row>
    <row r="33" spans="2:3" ht="15.75" customHeight="1" x14ac:dyDescent="0.25">
      <c r="B33" s="19" t="s">
        <v>125</v>
      </c>
      <c r="C33" s="99">
        <v>6.8855599000000017E-2</v>
      </c>
    </row>
    <row r="34" spans="2:3" ht="15.75" customHeight="1" x14ac:dyDescent="0.25">
      <c r="B34" s="19" t="s">
        <v>126</v>
      </c>
      <c r="C34" s="99">
        <v>0.27700402600000001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fSg/9x0eExEC5F46ekU5Pagr7s4apDhxuFPCWO6gamYiQGcHVzWbY4cv18MeNQPBQyRcZWbwtHv/Eyz8O/gXMQ==" saltValue="rWzVs35qUqZQ5NigJuMj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132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133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137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uhtrT/HbKEWDx3Jc2X8MskJalN458SyzHBiEYSDhWDSqMcHu2t6O/zAC4c51Rv88uwFSV1pp7rzwOLwkVgwQg==" saltValue="evCr+qFoVRP9PSXkQ2J5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kyuF6bBKMI6JsCxo0TlED5POIl4BbWgSPwskDkzu5kjp/8gsIwxkKHBegURM+9hRRvaoK3NGoiXIDJcqcDsbkg==" saltValue="ayo/g+jQQWPNQQIqlQh+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mebwCR7vJBJV6kGUlLdYF7aF3YoJU9StDO6c0i0ABEGMXoL870vMzU1u83FHrRqQkbKvjbW9eLr2S8RQY0tAQ==" saltValue="5VbcKEOFT3BhVCSEMAJBa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2054.4307808649601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0.45286000000000004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0.58804000000000001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1.8231930184053856E-2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95514.403850000002</v>
      </c>
      <c r="C22" s="107">
        <v>95181.562569999995</v>
      </c>
      <c r="D22" s="107">
        <v>94744.028479999994</v>
      </c>
      <c r="E22" s="107">
        <v>94298.388489999998</v>
      </c>
      <c r="F22" s="107">
        <v>93666.388959999997</v>
      </c>
      <c r="G22" s="107">
        <v>92966.42353</v>
      </c>
      <c r="H22" s="107">
        <v>92102.515169999999</v>
      </c>
      <c r="I22" s="107">
        <v>90949.745920000001</v>
      </c>
      <c r="J22" s="107">
        <v>89252.106629999995</v>
      </c>
      <c r="K22" s="107">
        <v>86802.733049999995</v>
      </c>
      <c r="L22" s="107">
        <v>83085.947740000003</v>
      </c>
      <c r="M22" s="107">
        <v>77736.847880000001</v>
      </c>
      <c r="N22" s="107">
        <v>69990.703120000006</v>
      </c>
      <c r="O22" s="107">
        <v>59886.300360000001</v>
      </c>
    </row>
  </sheetData>
  <sheetProtection algorithmName="SHA-512" hashValue="xt6v1sHKctdDD5Op8U4ROB52+zH+Fd7Qf63vM+iGT6hM/2h6243Db4Nd4l8K+Y46lQM746lJEAocVnI2OkBtKA==" saltValue="vvOU61bZ5ennZ08Emjj3w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npXnc4awoEOrPUIKPFbeyzm/f07+xYrgYGzGSoS/2lKBywek8jpRLn4/0aaHCb4ys5Pr0b+sIuGdwzN0rt4big==" saltValue="iahDgCI7iMdEdFOqaDWp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/I410oiLaimWWjRJ2Dn51WaDU/OahHNPbeCbHKC2c1irp0fEwXulLekbIu6FVg49dXAzDbCuxaGzouVZuQ3n4w==" saltValue="FZRZ2sHBQuyINMTbrkI/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0.73934083451614718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1.899427422400078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2.3195500000000001E-2</v>
      </c>
      <c r="C10" s="96">
        <v>0.95</v>
      </c>
      <c r="D10" s="56">
        <v>13.73182685574543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13.73182685574543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13.73182685574543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13.73182685574543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2.3195500000000001E-2</v>
      </c>
      <c r="C14" s="96">
        <v>0.95</v>
      </c>
      <c r="D14" s="56">
        <v>13.73182685574543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13.73182685574543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0.41442689999999999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0.41442689999999999</v>
      </c>
      <c r="C19" s="96">
        <v>0.95</v>
      </c>
      <c r="D19" s="56">
        <v>5.4458602900381443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4.58111376863544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0.71204221746141994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0.36409789999999997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0.59765410000000008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0.97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0.61718569999999995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7.1143999999999999E-2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0.93661349999999999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0.21817230000000001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DnjzasRJCA7tmWI6sQQtNF2Z036w1c3RCsz/Lz/IAwf17anr4qG8QF0hqJk/D4aiyADMUvllG3Ltj4lZKaNGoQ==" saltValue="hOGQFEwn0fU1xyui1Wgg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ZfmWdac+MEMhlWds0+IoZkMU9VR7OItdJB386TGWrYmwUF19LT9vtXJpComJd3zwnGrtorrpPXIZ3Mr8NyNeQ==" saltValue="GSjOP8qndkjWEQXw0bUM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U1SFJInQQzuDyzJtvyBsU3DQdWWxrbW8y+ktVGWkSnRjLV9CAUFsqQT8xnfe5jnh3Ha1zWInbUeNNzdWENjKw==" saltValue="mOVRt0yrwm9yB/hOmz2TD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237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WUpQ0AF8qICgKm6qk4u4F3dv/wapXakKbCBO3kQ9BheHE9g9mG7yZY1pfON0ywVKnFix+6Jo3PXQIzz6Jg/VlQ==" saltValue="ElDjJ6K9ILEegikK+fCOI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0.183</v>
      </c>
      <c r="F2" s="60">
        <f>food_insecure</f>
        <v>0.183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0.183</v>
      </c>
      <c r="F5" s="60">
        <f>food_insecure</f>
        <v>0.183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0.183</v>
      </c>
      <c r="F8" s="60">
        <f>food_insecure</f>
        <v>0.183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0.183</v>
      </c>
      <c r="F9" s="60">
        <f>food_insecure</f>
        <v>0.183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0.183</v>
      </c>
      <c r="I15" s="60">
        <f t="shared" si="0"/>
        <v>0.183</v>
      </c>
      <c r="J15" s="60">
        <f t="shared" si="0"/>
        <v>0.183</v>
      </c>
      <c r="K15" s="60">
        <f t="shared" si="0"/>
        <v>0.183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0.183</v>
      </c>
      <c r="I16" s="60">
        <f t="shared" si="0"/>
        <v>0.183</v>
      </c>
      <c r="J16" s="60">
        <f t="shared" si="0"/>
        <v>0.183</v>
      </c>
      <c r="K16" s="60">
        <f t="shared" si="0"/>
        <v>0.183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0.1330297503</v>
      </c>
      <c r="M24" s="60">
        <f>famplan_unmet_need</f>
        <v>0.1330297503</v>
      </c>
      <c r="N24" s="60">
        <f>famplan_unmet_need</f>
        <v>0.1330297503</v>
      </c>
      <c r="O24" s="60">
        <f>famplan_unmet_need</f>
        <v>0.1330297503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0.21477678017599997</v>
      </c>
      <c r="M25" s="60">
        <f>(1-food_insecure)*(0.49)+food_insecure*(0.7)</f>
        <v>0.52842999999999996</v>
      </c>
      <c r="N25" s="60">
        <f>(1-food_insecure)*(0.49)+food_insecure*(0.7)</f>
        <v>0.52842999999999996</v>
      </c>
      <c r="O25" s="60">
        <f>(1-food_insecure)*(0.49)+food_insecure*(0.7)</f>
        <v>0.52842999999999996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9.2047191503999995E-2</v>
      </c>
      <c r="M26" s="60">
        <f>(1-food_insecure)*(0.21)+food_insecure*(0.3)</f>
        <v>0.22646999999999998</v>
      </c>
      <c r="N26" s="60">
        <f>(1-food_insecure)*(0.21)+food_insecure*(0.3)</f>
        <v>0.22646999999999998</v>
      </c>
      <c r="O26" s="60">
        <f>(1-food_insecure)*(0.21)+food_insecure*(0.3)</f>
        <v>0.22646999999999998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9.9619228319999989E-2</v>
      </c>
      <c r="M27" s="60">
        <f>(1-food_insecure)*(0.3)</f>
        <v>0.24509999999999998</v>
      </c>
      <c r="N27" s="60">
        <f>(1-food_insecure)*(0.3)</f>
        <v>0.24509999999999998</v>
      </c>
      <c r="O27" s="60">
        <f>(1-food_insecure)*(0.3)</f>
        <v>0.24509999999999998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0.5935568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weHdmaFSolhU9P2DKJHJbPXNRvglmKUQekK8J4h6KTvpHhSYkuAnWvvKPozOYlcmXz3Pl26eosy6cS7mp7tHQ==" saltValue="L/n4xIof9GQOnlf+Xv8dA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OjQoxG1Fj9F5hnyCqzsL5mOYxs3XHx7mShBVxiVBJtQkwfhYADJ85s18V+Qshla3wsuTAFlhklr546Wnx4SHtg==" saltValue="hS89P2fzJorZcLIshysf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i5Txv1kSWd73/TCr8O8jV7YTaWB6SLwsnDhMyUjRonWFhe13rp/Aorvl52+EE2Iky4e8I0GAvbXVa3Iqpmb1g==" saltValue="IBP6Uw1IEkynUo/Mw1ey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DKKDrdNdsDGiKea5zvNnKABt36jUzuUW1NhO/8K7fc8Rge6WlcrU3yD3p3k2fG7rT1H/OxARGNF2g2k6l6noQ==" saltValue="JEvwYXLe1XTWKefnJJzTI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+FL6Q4I4BYE1Imzyga83Rp2OtxdyIYIiWbq3qBL7T/eLwgw95PMLadt9QsBLgQ/vwNiv8CwWSYid0S2NjQmLRg==" saltValue="6l1z3c3xBGWvPmJcS6eRs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vi6tQhqRRoFp2GmbkIQIfWJ+J+DVqhg/+br7dTJwiNVDndkLJHeOB4vRKWFL/U/Czf3kjAgb+LYAb9rOqQCFEQ==" saltValue="gJaH8fx2e7KqTq+ZbOEVu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1Ts4wK4k0Iqmyrcy70zHW/RhD1aM+Dk5FrYqyRo7EO9Li8jDqABQrmV/Z0nBhvkqPq225nJMbLCZEX3SSWhdA==" saltValue="4km1Bh25u2C+iXtJMD/Jg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d2kwxRGRvxZr8ezA0q/7bUwDZ0NBzeLusEr8ZGR4fqMdnrKxqADMCuiEq6VVRpObFX28/IexWlzfPfAQlMq6Q==" saltValue="Uj4LJ1sge0L+IHmX/6Mr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N8feVzQk0i8yN7l9IF/mNn2r5qgRmyFk9dB6S+3kp2yKNrmyVIS9lTyDHiqQ8o9sfcscGvuMgaMZYN7vSz8KA==" saltValue="kINebgli6HUHSdOyQKF/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Xxq5eyOxUiZ+waj5Y6YcI9vIg2l4QqIPr8C+438Vy3zMTV9JXOvK06XW44r2BGwesw7L4WpXmBaICLDYxLDBw==" saltValue="yiapPE3GNGc/uihFdPou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jooRe0/7DiJAQgUbPh2aJBh5aPW9LdAUSQMcf5jVX27DexKR5Ze8Qt/HSmv0P7/gVKaNDiyUyrDnlrpUoQBVQ==" saltValue="5RvEQUgshMjVKjbzE0e+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h2O8umRKTZQ5RQgn9m7mr8DGKh77yrAD/kYUXt01V1xxOSzYGW4dUxJeVnBtmN6+067M7VTJCWXrfuB9d1wTA==" saltValue="Cp5kHcUhWPUEYhO80NYV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SJfVDF6tN28/+iM1cqb4TY3NMZuAjcjdTGrFUM6hVdXuEvIphIpKECAk/q/dItyAPl/ypvNJIm6XnYKDR/kow==" saltValue="JoL362aG3m9ZU75Rylif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Ge0uyWii1ybiQeVErz4JE1pYI6IRXaQGhwHbg0jtXuiIJeJmxft0mcCkK9tM5HJOOEC6Ji3TxBHBocoy0Gxwg==" saltValue="9PcFm0anAlLCTCZ2WU7/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tK/xpIGSZpCsuMpmBkM3WVomn6fGOr41KepRfpZEtBKH28uNbTro/b91/cqlKF4W/KdT3ZpeHNtz+S43gfMrg==" saltValue="QU5fHL1nK7/0sDcMGKLba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