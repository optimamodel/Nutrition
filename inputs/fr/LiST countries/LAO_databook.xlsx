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E1359020-80AC-4A32-8DD6-E936348786B9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<sst xmlns="http://schemas.openxmlformats.org/spreadsheetml/2006/main" count="2102" uniqueCount="337">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</sst>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765421.328125</v>
      </c>
    </row>
    <row r="8" spans="1:3" ht="15" customHeight="1" x14ac:dyDescent="0.25">
      <c r="B8" s="5" t="s">
        <v>19</v>
      </c>
      <c r="C8" s="44">
        <v>9.0000000000000011E-3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0.59812629699706998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0.38700000000000001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0.12590000000000001</v>
      </c>
    </row>
    <row r="24" spans="1:3" ht="15" customHeight="1" x14ac:dyDescent="0.25">
      <c r="B24" s="15" t="s">
        <v>33</v>
      </c>
      <c r="C24" s="45">
        <v>0.54390000000000005</v>
      </c>
    </row>
    <row r="25" spans="1:3" ht="15" customHeight="1" x14ac:dyDescent="0.25">
      <c r="B25" s="15" t="s">
        <v>34</v>
      </c>
      <c r="C25" s="45">
        <v>0.28079999999999999</v>
      </c>
    </row>
    <row r="26" spans="1:3" ht="15" customHeight="1" x14ac:dyDescent="0.25">
      <c r="B26" s="15" t="s">
        <v>35</v>
      </c>
      <c r="C26" s="45">
        <v>4.9400000000000013E-2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0.33982819653213803</v>
      </c>
    </row>
    <row r="30" spans="1:3" ht="14.25" customHeight="1" x14ac:dyDescent="0.25">
      <c r="B30" s="25" t="s">
        <v>38</v>
      </c>
      <c r="C30" s="99">
        <v>6.2561187920877309E-2</v>
      </c>
    </row>
    <row r="31" spans="1:3" ht="14.25" customHeight="1" x14ac:dyDescent="0.25">
      <c r="B31" s="25" t="s">
        <v>39</v>
      </c>
      <c r="C31" s="99">
        <v>0.10830365564404</v>
      </c>
    </row>
    <row r="32" spans="1:3" ht="14.25" customHeight="1" x14ac:dyDescent="0.25">
      <c r="B32" s="25" t="s">
        <v>40</v>
      </c>
      <c r="C32" s="99">
        <v>0.48930695990294498</v>
      </c>
    </row>
    <row r="33" spans="1:5" ht="13" customHeight="1" x14ac:dyDescent="0.25">
      <c r="B33" s="27" t="s">
        <v>41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11.92366</v>
      </c>
    </row>
    <row r="38" spans="1:5" ht="15" customHeight="1" x14ac:dyDescent="0.25">
      <c r="B38" s="11" t="s">
        <v>45</v>
      </c>
      <c r="C38" s="43">
        <v>15.550739999999999</v>
      </c>
      <c r="D38" s="12"/>
      <c r="E38" s="13"/>
    </row>
    <row r="39" spans="1:5" ht="15" customHeight="1" x14ac:dyDescent="0.25">
      <c r="B39" s="11" t="s">
        <v>46</v>
      </c>
      <c r="C39" s="43">
        <v>17.399979999999999</v>
      </c>
      <c r="D39" s="12"/>
      <c r="E39" s="12"/>
    </row>
    <row r="40" spans="1:5" ht="15" customHeight="1" x14ac:dyDescent="0.25">
      <c r="B40" s="11" t="s">
        <v>47</v>
      </c>
      <c r="C40" s="100">
        <v>0.5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6.4134599999999997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5.9365999999999993E-3</v>
      </c>
      <c r="D45" s="12"/>
    </row>
    <row r="46" spans="1:5" ht="15.75" customHeight="1" x14ac:dyDescent="0.25">
      <c r="B46" s="11" t="s">
        <v>52</v>
      </c>
      <c r="C46" s="45">
        <v>6.3787999999999997E-2</v>
      </c>
      <c r="D46" s="12"/>
    </row>
    <row r="47" spans="1:5" ht="15.75" customHeight="1" x14ac:dyDescent="0.25">
      <c r="B47" s="11" t="s">
        <v>53</v>
      </c>
      <c r="C47" s="45">
        <v>7.5355800000000001E-2</v>
      </c>
      <c r="D47" s="12"/>
      <c r="E47" s="13"/>
    </row>
    <row r="48" spans="1:5" ht="15" customHeight="1" x14ac:dyDescent="0.25">
      <c r="B48" s="11" t="s">
        <v>54</v>
      </c>
      <c r="C48" s="46">
        <v>0.85491960000000011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0.58899100000000004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0.17313998999999899</v>
      </c>
    </row>
    <row r="63" spans="1:4" ht="15.75" customHeight="1" x14ac:dyDescent="0.3">
      <c r="A63" s="4"/>
    </row>
  </sheetData>
  <sheetProtection algorithmName="SHA-512" hashValue="tqeLzm5xKNo3y2gsRB6VQtY8YSyklCVh9iUy/spBSA2kaouNOzTuXngYBYzhUvIH4R6ZFmuz27kYUqk3FD538w==" saltValue="WO5LbEDTd9bMF+CWauHm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159480</v>
      </c>
      <c r="C2" s="49">
        <v>436563.5</v>
      </c>
      <c r="D2" s="49">
        <v>691655.5</v>
      </c>
      <c r="E2" s="49">
        <v>606398</v>
      </c>
      <c r="F2" s="49">
        <v>379353.5</v>
      </c>
      <c r="G2" s="17">
        <f t="shared" ref="G2:G13" si="0">C2+D2+E2+F2</f>
        <v>2113970.5</v>
      </c>
      <c r="H2" s="17">
        <f t="shared" ref="H2:H13" si="1">(B2 + stillbirth*B2/(1000-stillbirth))/(1-abortion)</f>
        <v>182397.06903363721</v>
      </c>
      <c r="I2" s="17">
        <f t="shared" ref="I2:I13" si="2">G2-H2</f>
        <v>1931573.4309663628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158759</v>
      </c>
      <c r="C3" s="50">
        <v>438436.5</v>
      </c>
      <c r="D3" s="50">
        <v>693107.5</v>
      </c>
      <c r="E3" s="50">
        <v>617312</v>
      </c>
      <c r="F3" s="50">
        <v>392883</v>
      </c>
      <c r="G3" s="17">
        <f t="shared" si="0"/>
        <v>2141739</v>
      </c>
      <c r="H3" s="17">
        <f t="shared" si="1"/>
        <v>181572.46226932036</v>
      </c>
      <c r="I3" s="17">
        <f t="shared" si="2"/>
        <v>1960166.5377306796</v>
      </c>
    </row>
    <row r="4" spans="1:9" ht="15.75" customHeight="1" x14ac:dyDescent="0.25">
      <c r="A4" s="5">
        <f t="shared" si="3"/>
        <v>2026</v>
      </c>
      <c r="B4" s="49">
        <v>157668</v>
      </c>
      <c r="C4" s="50">
        <v>439025.99999999988</v>
      </c>
      <c r="D4" s="50">
        <v>695243.5</v>
      </c>
      <c r="E4" s="50">
        <v>627082.5</v>
      </c>
      <c r="F4" s="50">
        <v>407093.5</v>
      </c>
      <c r="G4" s="17">
        <f t="shared" si="0"/>
        <v>2168445.5</v>
      </c>
      <c r="H4" s="17">
        <f t="shared" si="1"/>
        <v>180324.68698517376</v>
      </c>
      <c r="I4" s="17">
        <f t="shared" si="2"/>
        <v>1988120.8130148263</v>
      </c>
    </row>
    <row r="5" spans="1:9" ht="15.75" customHeight="1" x14ac:dyDescent="0.25">
      <c r="A5" s="5">
        <f t="shared" si="3"/>
        <v>2027</v>
      </c>
      <c r="B5" s="49">
        <v>156472</v>
      </c>
      <c r="C5" s="50">
        <v>439013</v>
      </c>
      <c r="D5" s="50">
        <v>697990.5</v>
      </c>
      <c r="E5" s="50">
        <v>635388</v>
      </c>
      <c r="F5" s="50">
        <v>421973.5</v>
      </c>
      <c r="G5" s="17">
        <f t="shared" si="0"/>
        <v>2194365</v>
      </c>
      <c r="H5" s="17">
        <f t="shared" si="1"/>
        <v>178956.82333729172</v>
      </c>
      <c r="I5" s="17">
        <f t="shared" si="2"/>
        <v>2015408.1766627082</v>
      </c>
    </row>
    <row r="6" spans="1:9" ht="15.75" customHeight="1" x14ac:dyDescent="0.25">
      <c r="A6" s="5">
        <f t="shared" si="3"/>
        <v>2028</v>
      </c>
      <c r="B6" s="49">
        <v>155336</v>
      </c>
      <c r="C6" s="50">
        <v>439325.50000000012</v>
      </c>
      <c r="D6" s="50">
        <v>700412</v>
      </c>
      <c r="E6" s="50">
        <v>642588</v>
      </c>
      <c r="F6" s="50">
        <v>437462</v>
      </c>
      <c r="G6" s="17">
        <f t="shared" si="0"/>
        <v>2219787.5</v>
      </c>
      <c r="H6" s="17">
        <f t="shared" si="1"/>
        <v>177657.58161154418</v>
      </c>
      <c r="I6" s="17">
        <f t="shared" si="2"/>
        <v>2042129.9183884559</v>
      </c>
    </row>
    <row r="7" spans="1:9" ht="15.75" customHeight="1" x14ac:dyDescent="0.25">
      <c r="A7" s="5">
        <f t="shared" si="3"/>
        <v>2029</v>
      </c>
      <c r="B7" s="49">
        <v>154182</v>
      </c>
      <c r="C7" s="50">
        <v>440978</v>
      </c>
      <c r="D7" s="50">
        <v>701834</v>
      </c>
      <c r="E7" s="50">
        <v>649376</v>
      </c>
      <c r="F7" s="50">
        <v>453319.5</v>
      </c>
      <c r="G7" s="17">
        <f t="shared" si="0"/>
        <v>2245507.5</v>
      </c>
      <c r="H7" s="17">
        <f t="shared" si="1"/>
        <v>176337.75330915631</v>
      </c>
      <c r="I7" s="17">
        <f t="shared" si="2"/>
        <v>2069169.7466908437</v>
      </c>
    </row>
    <row r="8" spans="1:9" ht="15.75" customHeight="1" x14ac:dyDescent="0.25">
      <c r="A8" s="5">
        <f t="shared" si="3"/>
        <v>2030</v>
      </c>
      <c r="B8" s="49">
        <v>152707</v>
      </c>
      <c r="C8" s="50">
        <v>443932.5</v>
      </c>
      <c r="D8" s="50">
        <v>702359</v>
      </c>
      <c r="E8" s="50">
        <v>655887</v>
      </c>
      <c r="F8" s="50">
        <v>469002.5</v>
      </c>
      <c r="G8" s="17">
        <f t="shared" si="0"/>
        <v>2271181</v>
      </c>
      <c r="H8" s="17">
        <f t="shared" si="1"/>
        <v>174650.7977233486</v>
      </c>
      <c r="I8" s="17">
        <f t="shared" si="2"/>
        <v>2096530.2022766513</v>
      </c>
    </row>
    <row r="9" spans="1:9" ht="15.75" customHeight="1" x14ac:dyDescent="0.25">
      <c r="A9" s="5">
        <f t="shared" si="3"/>
        <v>2031</v>
      </c>
      <c r="B9" s="49">
        <v>151402</v>
      </c>
      <c r="C9" s="50">
        <v>447240</v>
      </c>
      <c r="D9" s="50">
        <v>702848.5</v>
      </c>
      <c r="E9" s="50">
        <v>661395.5</v>
      </c>
      <c r="F9" s="50">
        <v>483994.5</v>
      </c>
      <c r="G9" s="17">
        <f t="shared" si="0"/>
        <v>2295478.5</v>
      </c>
      <c r="H9" s="17">
        <f t="shared" si="1"/>
        <v>173158.27091692211</v>
      </c>
      <c r="I9" s="17">
        <f t="shared" si="2"/>
        <v>2122320.229083078</v>
      </c>
    </row>
    <row r="10" spans="1:9" ht="15.75" customHeight="1" x14ac:dyDescent="0.25">
      <c r="A10" s="5">
        <f t="shared" si="3"/>
        <v>2032</v>
      </c>
      <c r="B10" s="49">
        <v>150873</v>
      </c>
      <c r="C10" s="50">
        <v>450398</v>
      </c>
      <c r="D10" s="50">
        <v>704542.5</v>
      </c>
      <c r="E10" s="50">
        <v>664916</v>
      </c>
      <c r="F10" s="50">
        <v>498051</v>
      </c>
      <c r="G10" s="17">
        <f t="shared" si="0"/>
        <v>2317907.5</v>
      </c>
      <c r="H10" s="17">
        <f t="shared" si="1"/>
        <v>172553.25430343582</v>
      </c>
      <c r="I10" s="17">
        <f t="shared" si="2"/>
        <v>2145354.2456965642</v>
      </c>
    </row>
    <row r="11" spans="1:9" ht="15.75" customHeight="1" x14ac:dyDescent="0.25">
      <c r="A11" s="5">
        <f t="shared" si="3"/>
        <v>2033</v>
      </c>
      <c r="B11" s="49">
        <v>149785</v>
      </c>
      <c r="C11" s="50">
        <v>453062.5</v>
      </c>
      <c r="D11" s="50">
        <v>707526.5</v>
      </c>
      <c r="E11" s="50">
        <v>666809</v>
      </c>
      <c r="F11" s="50">
        <v>511055.5</v>
      </c>
      <c r="G11" s="17">
        <f t="shared" si="0"/>
        <v>2338453.5</v>
      </c>
      <c r="H11" s="17">
        <f t="shared" si="1"/>
        <v>171308.91011539596</v>
      </c>
      <c r="I11" s="17">
        <f t="shared" si="2"/>
        <v>2167144.5898846039</v>
      </c>
    </row>
    <row r="12" spans="1:9" ht="15.75" customHeight="1" x14ac:dyDescent="0.25">
      <c r="A12" s="5">
        <f t="shared" si="3"/>
        <v>2034</v>
      </c>
      <c r="B12" s="49">
        <v>149287</v>
      </c>
      <c r="C12" s="50">
        <v>455132.49999999988</v>
      </c>
      <c r="D12" s="50">
        <v>711119</v>
      </c>
      <c r="E12" s="50">
        <v>668258.5</v>
      </c>
      <c r="F12" s="50">
        <v>522850.5</v>
      </c>
      <c r="G12" s="17">
        <f t="shared" si="0"/>
        <v>2357360.5</v>
      </c>
      <c r="H12" s="17">
        <f t="shared" si="1"/>
        <v>170739.3481616792</v>
      </c>
      <c r="I12" s="17">
        <f t="shared" si="2"/>
        <v>2186621.1518383208</v>
      </c>
    </row>
    <row r="13" spans="1:9" ht="15.75" customHeight="1" x14ac:dyDescent="0.25">
      <c r="A13" s="5">
        <f t="shared" si="3"/>
        <v>2035</v>
      </c>
      <c r="B13" s="49">
        <v>148782</v>
      </c>
      <c r="C13" s="50">
        <v>455799.00000000012</v>
      </c>
      <c r="D13" s="50">
        <v>715207.5</v>
      </c>
      <c r="E13" s="50">
        <v>669954</v>
      </c>
      <c r="F13" s="50">
        <v>533250.5</v>
      </c>
      <c r="G13" s="17">
        <f t="shared" si="0"/>
        <v>2374211</v>
      </c>
      <c r="H13" s="17">
        <f t="shared" si="1"/>
        <v>170161.78031704671</v>
      </c>
      <c r="I13" s="17">
        <f t="shared" si="2"/>
        <v>2204049.2196829533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kT+8Y60sP5hB9ZF0axtTydtM1yBl1j7GDrkMMyp07wGuQrPqA1oEvlEGCbZeodAmnUzoLeIuohadGPi9AZgtJA==" saltValue="NT+zLef+Loe5bnxl+Z769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1.5407999999999991E-3</v>
      </c>
    </row>
    <row r="4" spans="1:8" ht="15.75" customHeight="1" x14ac:dyDescent="0.25">
      <c r="B4" s="19" t="s">
        <v>79</v>
      </c>
      <c r="C4" s="101">
        <v>5.5218899999999987E-2</v>
      </c>
    </row>
    <row r="5" spans="1:8" ht="15.75" customHeight="1" x14ac:dyDescent="0.25">
      <c r="B5" s="19" t="s">
        <v>80</v>
      </c>
      <c r="C5" s="101">
        <v>4.9336599999999987E-2</v>
      </c>
    </row>
    <row r="6" spans="1:8" ht="15.75" customHeight="1" x14ac:dyDescent="0.25">
      <c r="B6" s="19" t="s">
        <v>81</v>
      </c>
      <c r="C6" s="101">
        <v>0.19651040000000031</v>
      </c>
    </row>
    <row r="7" spans="1:8" ht="15.75" customHeight="1" x14ac:dyDescent="0.25">
      <c r="B7" s="19" t="s">
        <v>82</v>
      </c>
      <c r="C7" s="101">
        <v>0.41559819999999958</v>
      </c>
    </row>
    <row r="8" spans="1:8" ht="15.75" customHeight="1" x14ac:dyDescent="0.25">
      <c r="B8" s="19" t="s">
        <v>83</v>
      </c>
      <c r="C8" s="101">
        <v>1.9750000000000041E-4</v>
      </c>
    </row>
    <row r="9" spans="1:8" ht="15.75" customHeight="1" x14ac:dyDescent="0.25">
      <c r="B9" s="19" t="s">
        <v>84</v>
      </c>
      <c r="C9" s="101">
        <v>0.19013440000000001</v>
      </c>
    </row>
    <row r="10" spans="1:8" ht="15.75" customHeight="1" x14ac:dyDescent="0.25">
      <c r="B10" s="19" t="s">
        <v>85</v>
      </c>
      <c r="C10" s="101">
        <v>9.1463199999999953E-2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0.11521433516938739</v>
      </c>
      <c r="D14" s="55">
        <v>0.11521433516938739</v>
      </c>
      <c r="E14" s="55">
        <v>0.11521433516938739</v>
      </c>
      <c r="F14" s="55">
        <v>0.11521433516938739</v>
      </c>
    </row>
    <row r="15" spans="1:8" ht="15.75" customHeight="1" x14ac:dyDescent="0.25">
      <c r="B15" s="19" t="s">
        <v>88</v>
      </c>
      <c r="C15" s="101">
        <v>0.54966072134015409</v>
      </c>
      <c r="D15" s="101">
        <v>0.54966072134015409</v>
      </c>
      <c r="E15" s="101">
        <v>0.54966072134015409</v>
      </c>
      <c r="F15" s="101">
        <v>0.54966072134015409</v>
      </c>
    </row>
    <row r="16" spans="1:8" ht="15.75" customHeight="1" x14ac:dyDescent="0.25">
      <c r="B16" s="19" t="s">
        <v>89</v>
      </c>
      <c r="C16" s="101">
        <v>4.0830961878845301E-2</v>
      </c>
      <c r="D16" s="101">
        <v>4.0830961878845301E-2</v>
      </c>
      <c r="E16" s="101">
        <v>4.0830961878845301E-2</v>
      </c>
      <c r="F16" s="101">
        <v>4.0830961878845301E-2</v>
      </c>
    </row>
    <row r="17" spans="1:8" ht="15.75" customHeight="1" x14ac:dyDescent="0.25">
      <c r="B17" s="19" t="s">
        <v>90</v>
      </c>
      <c r="C17" s="101">
        <v>1.353392173711137E-3</v>
      </c>
      <c r="D17" s="101">
        <v>1.353392173711137E-3</v>
      </c>
      <c r="E17" s="101">
        <v>1.353392173711137E-3</v>
      </c>
      <c r="F17" s="101">
        <v>1.353392173711137E-3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6.0295701086369472E-3</v>
      </c>
      <c r="D19" s="101">
        <v>6.0295701086369472E-3</v>
      </c>
      <c r="E19" s="101">
        <v>6.0295701086369472E-3</v>
      </c>
      <c r="F19" s="101">
        <v>6.0295701086369472E-3</v>
      </c>
    </row>
    <row r="20" spans="1:8" ht="15.75" customHeight="1" x14ac:dyDescent="0.25">
      <c r="B20" s="19" t="s">
        <v>93</v>
      </c>
      <c r="C20" s="101">
        <v>2.2324405642405711E-2</v>
      </c>
      <c r="D20" s="101">
        <v>2.2324405642405711E-2</v>
      </c>
      <c r="E20" s="101">
        <v>2.2324405642405711E-2</v>
      </c>
      <c r="F20" s="101">
        <v>2.2324405642405711E-2</v>
      </c>
    </row>
    <row r="21" spans="1:8" ht="15.75" customHeight="1" x14ac:dyDescent="0.25">
      <c r="B21" s="19" t="s">
        <v>94</v>
      </c>
      <c r="C21" s="101">
        <v>0.2122611559734788</v>
      </c>
      <c r="D21" s="101">
        <v>0.2122611559734788</v>
      </c>
      <c r="E21" s="101">
        <v>0.2122611559734788</v>
      </c>
      <c r="F21" s="101">
        <v>0.2122611559734788</v>
      </c>
    </row>
    <row r="22" spans="1:8" ht="15.75" customHeight="1" x14ac:dyDescent="0.25">
      <c r="B22" s="19" t="s">
        <v>95</v>
      </c>
      <c r="C22" s="101">
        <v>5.2325457713380492E-2</v>
      </c>
      <c r="D22" s="101">
        <v>5.2325457713380492E-2</v>
      </c>
      <c r="E22" s="101">
        <v>5.2325457713380492E-2</v>
      </c>
      <c r="F22" s="101">
        <v>5.2325457713380492E-2</v>
      </c>
    </row>
    <row r="23" spans="1:8" ht="15.75" customHeight="1" x14ac:dyDescent="0.25">
      <c r="B23" s="27" t="s">
        <v>41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8.6989028999999995E-2</v>
      </c>
    </row>
    <row r="27" spans="1:8" ht="15.75" customHeight="1" x14ac:dyDescent="0.25">
      <c r="B27" s="19" t="s">
        <v>102</v>
      </c>
      <c r="C27" s="101">
        <v>5.4674084999999983E-2</v>
      </c>
    </row>
    <row r="28" spans="1:8" ht="15.75" customHeight="1" x14ac:dyDescent="0.25">
      <c r="B28" s="19" t="s">
        <v>103</v>
      </c>
      <c r="C28" s="101">
        <v>7.8007822000000004E-2</v>
      </c>
    </row>
    <row r="29" spans="1:8" ht="15.75" customHeight="1" x14ac:dyDescent="0.25">
      <c r="B29" s="19" t="s">
        <v>104</v>
      </c>
      <c r="C29" s="101">
        <v>0.25304623700000001</v>
      </c>
    </row>
    <row r="30" spans="1:8" ht="15.75" customHeight="1" x14ac:dyDescent="0.25">
      <c r="B30" s="19" t="s">
        <v>2</v>
      </c>
      <c r="C30" s="101">
        <v>6.4168437999999994E-2</v>
      </c>
    </row>
    <row r="31" spans="1:8" ht="15.75" customHeight="1" x14ac:dyDescent="0.25">
      <c r="B31" s="19" t="s">
        <v>105</v>
      </c>
      <c r="C31" s="101">
        <v>3.8459681000000003E-2</v>
      </c>
    </row>
    <row r="32" spans="1:8" ht="15.75" customHeight="1" x14ac:dyDescent="0.25">
      <c r="B32" s="19" t="s">
        <v>106</v>
      </c>
      <c r="C32" s="101">
        <v>7.8795084000000001E-2</v>
      </c>
    </row>
    <row r="33" spans="2:3" ht="15.75" customHeight="1" x14ac:dyDescent="0.25">
      <c r="B33" s="19" t="s">
        <v>107</v>
      </c>
      <c r="C33" s="101">
        <v>6.8855599000000017E-2</v>
      </c>
    </row>
    <row r="34" spans="2:3" ht="15.75" customHeight="1" x14ac:dyDescent="0.25">
      <c r="B34" s="19" t="s">
        <v>108</v>
      </c>
      <c r="C34" s="101">
        <v>0.27700402600000001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i/OmJzm38QfLn9s3ShfT5E5UPBzkilxw4JPjC0VS734WK/NxQXyLmv5fFsjKh+Obmw1nty5lLT5nHxQCMrQWlw==" saltValue="WLtLOq8zpDUliM3m/o/gf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0.72671771537825036</v>
      </c>
      <c r="D2" s="52">
        <f>IFERROR(1-_xlfn.NORM.DIST(_xlfn.NORM.INV(SUM(D4:D5), 0, 1) + 1, 0, 1, TRUE), "")</f>
        <v>0.72671771537825036</v>
      </c>
      <c r="E2" s="52">
        <f>IFERROR(1-_xlfn.NORM.DIST(_xlfn.NORM.INV(SUM(E4:E5), 0, 1) + 1, 0, 1, TRUE), "")</f>
        <v>0.62659155412491141</v>
      </c>
      <c r="F2" s="52">
        <f>IFERROR(1-_xlfn.NORM.DIST(_xlfn.NORM.INV(SUM(F4:F5), 0, 1) + 1, 0, 1, TRUE), "")</f>
        <v>0.51965388532462375</v>
      </c>
      <c r="G2" s="52">
        <f>IFERROR(1-_xlfn.NORM.DIST(_xlfn.NORM.INV(SUM(G4:G5), 0, 1) + 1, 0, 1, TRUE), "")</f>
        <v>0.56275773337121771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0.21880568462174965</v>
      </c>
      <c r="D3" s="52">
        <f>IFERROR(_xlfn.NORM.DIST(_xlfn.NORM.INV(SUM(D4:D5), 0, 1) + 1, 0, 1, TRUE) - SUM(D4:D5), "")</f>
        <v>0.21880568462174965</v>
      </c>
      <c r="E3" s="52">
        <f>IFERROR(_xlfn.NORM.DIST(_xlfn.NORM.INV(SUM(E4:E5), 0, 1) + 1, 0, 1, TRUE) - SUM(E4:E5), "")</f>
        <v>0.28046404587508861</v>
      </c>
      <c r="F3" s="52">
        <f>IFERROR(_xlfn.NORM.DIST(_xlfn.NORM.INV(SUM(F4:F5), 0, 1) + 1, 0, 1, TRUE) - SUM(F4:F5), "")</f>
        <v>0.33332261467537627</v>
      </c>
      <c r="G3" s="52">
        <f>IFERROR(_xlfn.NORM.DIST(_xlfn.NORM.INV(SUM(G4:G5), 0, 1) + 1, 0, 1, TRUE) - SUM(G4:G5), "")</f>
        <v>0.31380306662878238</v>
      </c>
    </row>
    <row r="4" spans="1:15" ht="15.75" customHeight="1" x14ac:dyDescent="0.25">
      <c r="B4" s="5" t="s">
        <v>114</v>
      </c>
      <c r="C4" s="45">
        <v>3.57805E-2</v>
      </c>
      <c r="D4" s="53">
        <v>3.57805E-2</v>
      </c>
      <c r="E4" s="53">
        <v>3.1043899999999999E-2</v>
      </c>
      <c r="F4" s="53">
        <v>0.11139780000000001</v>
      </c>
      <c r="G4" s="53">
        <v>9.3345199999999989E-2</v>
      </c>
    </row>
    <row r="5" spans="1:15" ht="15.75" customHeight="1" x14ac:dyDescent="0.25">
      <c r="B5" s="5" t="s">
        <v>115</v>
      </c>
      <c r="C5" s="45">
        <v>1.86961E-2</v>
      </c>
      <c r="D5" s="53">
        <v>1.86961E-2</v>
      </c>
      <c r="E5" s="53">
        <v>6.1900499999999997E-2</v>
      </c>
      <c r="F5" s="53">
        <v>3.5625700000000003E-2</v>
      </c>
      <c r="G5" s="53">
        <v>3.0093999999999999E-2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0.73878735174891208</v>
      </c>
      <c r="D8" s="52">
        <f>IFERROR(1-_xlfn.NORM.DIST(_xlfn.NORM.INV(SUM(D10:D11), 0, 1) + 1, 0, 1, TRUE), "")</f>
        <v>0.73878735174891208</v>
      </c>
      <c r="E8" s="52">
        <f>IFERROR(1-_xlfn.NORM.DIST(_xlfn.NORM.INV(SUM(E10:E11), 0, 1) + 1, 0, 1, TRUE), "")</f>
        <v>0.81092131378354604</v>
      </c>
      <c r="F8" s="52">
        <f>IFERROR(1-_xlfn.NORM.DIST(_xlfn.NORM.INV(SUM(F10:F11), 0, 1) + 1, 0, 1, TRUE), "")</f>
        <v>0.85378692413781465</v>
      </c>
      <c r="G8" s="52">
        <f>IFERROR(1-_xlfn.NORM.DIST(_xlfn.NORM.INV(SUM(G10:G11), 0, 1) + 1, 0, 1, TRUE), "")</f>
        <v>0.88685105031614997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0.21066964825108792</v>
      </c>
      <c r="D9" s="52">
        <f>IFERROR(_xlfn.NORM.DIST(_xlfn.NORM.INV(SUM(D10:D11), 0, 1) + 1, 0, 1, TRUE) - SUM(D10:D11), "")</f>
        <v>0.21066964825108792</v>
      </c>
      <c r="E9" s="52">
        <f>IFERROR(_xlfn.NORM.DIST(_xlfn.NORM.INV(SUM(E10:E11), 0, 1) + 1, 0, 1, TRUE) - SUM(E10:E11), "")</f>
        <v>0.15911288621645392</v>
      </c>
      <c r="F9" s="52">
        <f>IFERROR(_xlfn.NORM.DIST(_xlfn.NORM.INV(SUM(F10:F11), 0, 1) + 1, 0, 1, TRUE) - SUM(F10:F11), "")</f>
        <v>0.12616777586218536</v>
      </c>
      <c r="G9" s="52">
        <f>IFERROR(_xlfn.NORM.DIST(_xlfn.NORM.INV(SUM(G10:G11), 0, 1) + 1, 0, 1, TRUE) - SUM(G10:G11), "")</f>
        <v>9.9594649683850053E-2</v>
      </c>
    </row>
    <row r="10" spans="1:15" ht="15.75" customHeight="1" x14ac:dyDescent="0.25">
      <c r="B10" s="5" t="s">
        <v>119</v>
      </c>
      <c r="C10" s="45">
        <v>3.4095800000000002E-2</v>
      </c>
      <c r="D10" s="53">
        <v>3.4095800000000002E-2</v>
      </c>
      <c r="E10" s="53">
        <v>2.0798899999999999E-2</v>
      </c>
      <c r="F10" s="53">
        <v>1.07309E-2</v>
      </c>
      <c r="G10" s="53">
        <v>9.4171000000000012E-3</v>
      </c>
    </row>
    <row r="11" spans="1:15" ht="15.75" customHeight="1" x14ac:dyDescent="0.25">
      <c r="B11" s="5" t="s">
        <v>120</v>
      </c>
      <c r="C11" s="45">
        <v>1.6447199999999999E-2</v>
      </c>
      <c r="D11" s="53">
        <v>1.6447199999999999E-2</v>
      </c>
      <c r="E11" s="53">
        <v>9.1669000000000004E-3</v>
      </c>
      <c r="F11" s="53">
        <v>9.3144000000000005E-3</v>
      </c>
      <c r="G11" s="53">
        <v>4.1371999999999997E-3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0.50327564699999994</v>
      </c>
      <c r="D14" s="54">
        <v>0.51439987297800005</v>
      </c>
      <c r="E14" s="54">
        <v>0.51439987297800005</v>
      </c>
      <c r="F14" s="54">
        <v>0.32239856251900001</v>
      </c>
      <c r="G14" s="54">
        <v>0.32239856251900001</v>
      </c>
      <c r="H14" s="45">
        <v>0.39800000000000002</v>
      </c>
      <c r="I14" s="55">
        <v>0.39800000000000002</v>
      </c>
      <c r="J14" s="55">
        <v>0.39800000000000002</v>
      </c>
      <c r="K14" s="55">
        <v>0.39800000000000002</v>
      </c>
      <c r="L14" s="45">
        <v>0.35899999999999999</v>
      </c>
      <c r="M14" s="55">
        <v>0.35899999999999999</v>
      </c>
      <c r="N14" s="55">
        <v>0.35899999999999999</v>
      </c>
      <c r="O14" s="55">
        <v>0.35899999999999999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0.29642482660217701</v>
      </c>
      <c r="D15" s="52">
        <f t="shared" si="0"/>
        <v>0.30297689558518526</v>
      </c>
      <c r="E15" s="52">
        <f t="shared" si="0"/>
        <v>0.30297689558518526</v>
      </c>
      <c r="F15" s="52">
        <f t="shared" si="0"/>
        <v>0.18988985173662834</v>
      </c>
      <c r="G15" s="52">
        <f t="shared" si="0"/>
        <v>0.18988985173662834</v>
      </c>
      <c r="H15" s="52">
        <f t="shared" si="0"/>
        <v>0.23441841800000002</v>
      </c>
      <c r="I15" s="52">
        <f t="shared" si="0"/>
        <v>0.23441841800000002</v>
      </c>
      <c r="J15" s="52">
        <f t="shared" si="0"/>
        <v>0.23441841800000002</v>
      </c>
      <c r="K15" s="52">
        <f t="shared" si="0"/>
        <v>0.23441841800000002</v>
      </c>
      <c r="L15" s="52">
        <f t="shared" si="0"/>
        <v>0.21144776900000001</v>
      </c>
      <c r="M15" s="52">
        <f t="shared" si="0"/>
        <v>0.21144776900000001</v>
      </c>
      <c r="N15" s="52">
        <f t="shared" si="0"/>
        <v>0.21144776900000001</v>
      </c>
      <c r="O15" s="52">
        <f t="shared" si="0"/>
        <v>0.21144776900000001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nFx+Ym6BkyXyKgwV2kDJTcuJ4YT+o8FePS5gxlrHcwHV9fu1WkZTmREaLEGHMsBZEl9CDCg8gdj6NHOFqdHqA==" saltValue="x58H7Kh1e61v53zSBwMI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0.70550790000000008</v>
      </c>
      <c r="D2" s="53">
        <v>0.41442689999999999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0.14739630000000001</v>
      </c>
      <c r="D3" s="53">
        <v>0.24610799999999999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0.1441006</v>
      </c>
      <c r="D4" s="53">
        <v>0.319693</v>
      </c>
      <c r="E4" s="53">
        <v>0.90135670000000001</v>
      </c>
      <c r="F4" s="53">
        <v>0.47346310000000003</v>
      </c>
      <c r="G4" s="53">
        <v>0</v>
      </c>
    </row>
    <row r="5" spans="1:7" x14ac:dyDescent="0.25">
      <c r="B5" s="3" t="s">
        <v>132</v>
      </c>
      <c r="C5" s="52">
        <v>2.9951999999999999E-3</v>
      </c>
      <c r="D5" s="52">
        <v>1.9772100000000001E-2</v>
      </c>
      <c r="E5" s="52">
        <f>1-SUM(E2:E4)</f>
        <v>9.8643299999999989E-2</v>
      </c>
      <c r="F5" s="52">
        <f>1-SUM(F2:F4)</f>
        <v>0.52653689999999997</v>
      </c>
      <c r="G5" s="52">
        <f>1-SUM(G2:G4)</f>
        <v>1</v>
      </c>
    </row>
  </sheetData>
  <sheetProtection algorithmName="SHA-512" hashValue="wWb8cvrv0KiWElQT8hKRzBfL6q3+3wDX7VzMWoyw1REdY6Nk41wYjyKu5W9eRKcmaIieyelfgUrMBEyCKoGqAQ==" saltValue="sxLn/tVq2vIHHXyzkwrz9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7FpOCjwSFn7ZwHFioROsk2GDXVR9t+MC1BWyEYeIsLsoho1Z42wHbZCDN8jwjdozvV5wbQa87tkdwMat2wbXiA==" saltValue="CiwKFmo4+ZX2GdF3rMa5E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1AdvyyGjXIM7qCXOPNdtty9HwuEvNqDCSeBGDRu92l+xHl4/mlDnTbACaujEsJdp0YdunqXw2FH6MVNjhK5YFg==" saltValue="cxthUecakhcqJwa6Lr7aG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z9v8wDarFsFxemaz8+h1fG6ZcBIgEfiIHVTF4Eygd85dyQ+jA9XgfsYOLkwZ+YFd83/rkrP1MELNgciaS71Ueg==" saltValue="mzalCIcNhTWHt6OBlelqu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8K44gEkI8rQJ+IPjVwgjE0SuTWeZk8Tm19tQ+KWXx3FqwPwoAQ84ZQzb+NJSiG+j9/XloPu8BAf7X9GcmVI5nw==" saltValue="5Q6fZUjCdNWR5mweF2Zdd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46.514149795651832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0.2467053173214</v>
      </c>
      <c r="C3" s="98">
        <v>0.95</v>
      </c>
      <c r="D3" s="56">
        <v>42.714114955724838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233.86921568365631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0.73934083451614718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2.3195500000000001E-2</v>
      </c>
      <c r="C10" s="98">
        <v>0.95</v>
      </c>
      <c r="D10" s="56">
        <v>13.73182685574543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2.3195500000000001E-2</v>
      </c>
      <c r="C11" s="98">
        <v>0.95</v>
      </c>
      <c r="D11" s="56">
        <v>13.73182685574543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2.3195500000000001E-2</v>
      </c>
      <c r="C12" s="98">
        <v>0.95</v>
      </c>
      <c r="D12" s="56">
        <v>13.73182685574543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2.3195500000000001E-2</v>
      </c>
      <c r="C13" s="98">
        <v>0.95</v>
      </c>
      <c r="D13" s="56">
        <v>13.73182685574543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2.3195500000000001E-2</v>
      </c>
      <c r="C14" s="98">
        <v>0.95</v>
      </c>
      <c r="D14" s="56">
        <v>13.73182685574543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2.3195500000000001E-2</v>
      </c>
      <c r="C15" s="98">
        <v>0.95</v>
      </c>
      <c r="D15" s="56">
        <v>13.73182685574543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0.47098850075500898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0.12539809476402999</v>
      </c>
      <c r="C18" s="98">
        <v>0.95</v>
      </c>
      <c r="D18" s="56">
        <v>5.4458602900381443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0.97864569999999995</v>
      </c>
      <c r="C19" s="98">
        <v>0.95</v>
      </c>
      <c r="D19" s="56">
        <v>5.4458602900381443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0.93661349999999999</v>
      </c>
      <c r="C21" s="98">
        <v>0.95</v>
      </c>
      <c r="D21" s="56">
        <v>7.0380951679412087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23.53711431198905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4.58111376863544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0.95022541739835997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2.3195500000000001E-2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19.73010065732856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0.74516465863433001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87.366174813676366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0.97</v>
      </c>
      <c r="C31" s="98">
        <v>0.95</v>
      </c>
      <c r="D31" s="56">
        <v>2.4513909123146012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0.98014443964829323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0.97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0.59765410000000008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0.36409789999999997</v>
      </c>
      <c r="C38" s="98">
        <v>0.95</v>
      </c>
      <c r="D38" s="56">
        <v>3.4726556862575531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jzviqWLqubDDb1XzrfUm03we9oyC2b1gt/SdWvDprkvNMAxYGW3aYU+NKD6Cu3Ry5YaklZRg92J/pHwfki3osg==" saltValue="H+G5HWYS+hW0i6h0RQbv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G4RuT3Ot//g0c0R16oVfWLi5mPAtT5kRVLbJh2+YEjNbju3W5STd8Buv6QFAcCDQ+kid062cWRROYxnVEIuyw==" saltValue="vRf4bf0t+T1sC7rc7m04e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IGvkMhLhFFCTeii/yeGdB5s3TRcljH9ShNWGqvCKlCfRIWerD5VuuR1SmhviK6k5fp0uwXgDUil6l5ghE5N/Q==" saltValue="L25i5aFTl78qisu6gKg3R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8.8649080000000005E-2</v>
      </c>
      <c r="C3" s="21">
        <f>frac_mam_1_5months * 2.6</f>
        <v>8.8649080000000005E-2</v>
      </c>
      <c r="D3" s="21">
        <f>frac_mam_6_11months * 2.6</f>
        <v>5.4077139999999996E-2</v>
      </c>
      <c r="E3" s="21">
        <f>frac_mam_12_23months * 2.6</f>
        <v>2.7900339999999999E-2</v>
      </c>
      <c r="F3" s="21">
        <f>frac_mam_24_59months * 2.6</f>
        <v>2.4484460000000003E-2</v>
      </c>
    </row>
    <row r="4" spans="1:6" ht="15.75" customHeight="1" x14ac:dyDescent="0.25">
      <c r="A4" s="3" t="s">
        <v>208</v>
      </c>
      <c r="B4" s="21">
        <f>frac_sam_1month * 2.6</f>
        <v>4.2762719999999997E-2</v>
      </c>
      <c r="C4" s="21">
        <f>frac_sam_1_5months * 2.6</f>
        <v>4.2762719999999997E-2</v>
      </c>
      <c r="D4" s="21">
        <f>frac_sam_6_11months * 2.6</f>
        <v>2.3833940000000001E-2</v>
      </c>
      <c r="E4" s="21">
        <f>frac_sam_12_23months * 2.6</f>
        <v>2.4217440000000003E-2</v>
      </c>
      <c r="F4" s="21">
        <f>frac_sam_24_59months * 2.6</f>
        <v>1.0756719999999999E-2</v>
      </c>
    </row>
  </sheetData>
  <sheetProtection algorithmName="SHA-512" hashValue="HtBryenk/ZKPpl7YdGneK9Ipy8QCmd1+dxgWy1sG5VX5ouqF+QRrOMKhnAYYlTOPUHv2bjLAQ5dQp0angDpy5g==" saltValue="EM6L1eI3uSmFJ3km+fmzq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9.0000000000000011E-3</v>
      </c>
      <c r="E2" s="60">
        <f>food_insecure</f>
        <v>9.0000000000000011E-3</v>
      </c>
      <c r="F2" s="60">
        <f>food_insecure</f>
        <v>9.0000000000000011E-3</v>
      </c>
      <c r="G2" s="60">
        <f>food_insecure</f>
        <v>9.0000000000000011E-3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9.0000000000000011E-3</v>
      </c>
      <c r="F5" s="60">
        <f>food_insecure</f>
        <v>9.0000000000000011E-3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9.0000000000000011E-3</v>
      </c>
      <c r="F8" s="60">
        <f>food_insecure</f>
        <v>9.0000000000000011E-3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9.0000000000000011E-3</v>
      </c>
      <c r="F9" s="60">
        <f>food_insecure</f>
        <v>9.0000000000000011E-3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9.0000000000000011E-3</v>
      </c>
      <c r="I15" s="60">
        <f>food_insecure</f>
        <v>9.0000000000000011E-3</v>
      </c>
      <c r="J15" s="60">
        <f>food_insecure</f>
        <v>9.0000000000000011E-3</v>
      </c>
      <c r="K15" s="60">
        <f>food_insecure</f>
        <v>9.0000000000000011E-3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0.38700000000000001</v>
      </c>
      <c r="M24" s="60">
        <f>famplan_unmet_need</f>
        <v>0.38700000000000001</v>
      </c>
      <c r="N24" s="60">
        <f>famplan_unmet_need</f>
        <v>0.38700000000000001</v>
      </c>
      <c r="O24" s="60">
        <f>famplan_unmet_need</f>
        <v>0.38700000000000001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0.19767765577011123</v>
      </c>
      <c r="M25" s="60">
        <f>(1-food_insecure)*(0.49)+food_insecure*(0.7)</f>
        <v>0.49188999999999994</v>
      </c>
      <c r="N25" s="60">
        <f>(1-food_insecure)*(0.49)+food_insecure*(0.7)</f>
        <v>0.49188999999999994</v>
      </c>
      <c r="O25" s="60">
        <f>(1-food_insecure)*(0.49)+food_insecure*(0.7)</f>
        <v>0.49188999999999994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8.4718995330047675E-2</v>
      </c>
      <c r="M26" s="60">
        <f>(1-food_insecure)*(0.21)+food_insecure*(0.3)</f>
        <v>0.21081</v>
      </c>
      <c r="N26" s="60">
        <f>(1-food_insecure)*(0.21)+food_insecure*(0.3)</f>
        <v>0.21081</v>
      </c>
      <c r="O26" s="60">
        <f>(1-food_insecure)*(0.21)+food_insecure*(0.3)</f>
        <v>0.21081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0.11947705190277109</v>
      </c>
      <c r="M27" s="60">
        <f>(1-food_insecure)*(0.3)</f>
        <v>0.29730000000000001</v>
      </c>
      <c r="N27" s="60">
        <f>(1-food_insecure)*(0.3)</f>
        <v>0.29730000000000001</v>
      </c>
      <c r="O27" s="60">
        <f>(1-food_insecure)*(0.3)</f>
        <v>0.29730000000000001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0.59812629699706998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nEInqSB0Xt6JgKONTHU3mzMrksMemR5l//RkzD7ZQ0pUM/8qef44oRRFgrzMGpsbN+0Htl5LrecRSVBZ45f9A==" saltValue="/wYPhLp7LhppCY3d3tBUJ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iCAEFUGG0bGUpmU3iNACnqCOLujEsT6pJ7YzUek7LWH6OX0ly9RWvHLpxIHPeH7Ui8XR47IGw6q0hLFjlgylVg==" saltValue="E7/9Mqn6FilZxZqLXMzGR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f8og9d/cmJnziWVt7ME2JMtQqP6nX/kgFBlk3SsZFJSrKvIzZjNdyRBUG0d/w2nhZiQJ8BJGC+6goinOKm7yg==" saltValue="XRRP+u6CsdktSqkmV61i9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7XiqvGIuhU6VjblFj8qGXIA1MFz6XsL07lgcSVZr41Vg8iZPpcZZPCtbKijMzEn56ToYXjwUhrCnD4Udx+fJRA==" saltValue="b81j4WsZSGalgGTJJQE0Z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s2svCmOt8LxvFhgt62BXtdZsFE0Yqh500OpGBU3WM+QLCZJxYt4iYg9D/4U1jSlPyT7lqo3YIbGEgcqQ6jcLAQ==" saltValue="uxqDydYUidBowBBDpPdV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w1ctquRbtwRp04pbn6DntnXLaQjVF+rt/zQgMtYXt2rLf/GxgO617wrb/xdpO4uoFHVi0izBrQ8xxzneMHMPvg==" saltValue="zAxPywL/u7S0ORnxUsXag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t1ljx5sQ5/PhaYPw+ozHIG7Xg0hCXyp7ICUpbzhmH0SLU8eO1iE/sA/wIe8Jl0P4xJBGn2tHEHjl9h/DYH0LZQ==" saltValue="IX3OksAi47YhjaFaJLuec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29dtWUYVEh5sBVoyq0o+NyGQ5sYmSRDoSUhbjrB+LLWD+arA5xiGG0b5kD8FACcKwUjlRjQMhzV8p13y3Bg/w==" saltValue="ZnXqOvyKcyBky5TGnbRZ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9lzpbsMb6J+Gw7H6DmKIYD5gSLzqBscQnq3bd7t6KHvF7QucNeb7kf0xtQU3qBHxLJcqZtvipN8hKQln5kQXCg==" saltValue="NsByG2sBymkRCC4HVQMV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Nmpfovwkof2JYdIOzjvP5J5MTilbYnqmDzcyxuEikODxPOvbvbKk6wbw/v7XcAq2NnYOGgZs8J7NOAkZgR6S5w==" saltValue="uLTl0BkxBa8K1Zc4oHPI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jh4sXpL1OV9mL3qQAADFSvvuRH2+rDz/W65V2zEa6qwMENsSF+voySDXbY5i0NjiDVPIhFcxCqlWG1Gci1YBzA==" saltValue="WHEYAdEDBUGTHeN/hfJL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86rEqR9d9M4XvbdGS2r9kM/vxploxrCwqqYJNliw9IWsZecpx5qP4YrakGiQ2w0T7ZY+f/k5gLiIbxwMojIGuw==" saltValue="JdbW10CMUdjhGCc3vUzZ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Dp59R5N5Sd4LHyQSntJAWdqGqZAd8z2jLa+23GAQgVmsIXFwnv1mw3H31a+P1/4fUkdwQYLRrdQAPsR5vVCwQ==" saltValue="tlyZZpnR6LHq0r+6oES71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B2FxxWW4S91QU6BFJnNhJ5448WLgig2imEQS51GmY97TnA8U4xDdBnJWw11km35BiT687uRFzt5scXn2XXYtQ==" saltValue="fNXVnV0uK3BlEiUST2FA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Cy0sj4GVatYM5oxIHgrYd5c2RE2iNYwuv0vtNc2LaNJNLF+yzrUWeszjO4BExNZ6/k35CfMZBHb5KnUHfMNMtQ==" saltValue="kvoDJ8i3q3Hhve/1xB2H/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2024-05-17T00:34:58Z</dcterms:modified>
</cp:coreProperties>
</file>