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25DEEE6-4838-4EBD-B351-B7CC2C26320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5" i="2"/>
  <c r="A34" i="2"/>
  <c r="A31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I38" i="2" l="1"/>
  <c r="A37" i="2"/>
  <c r="A23" i="2"/>
  <c r="A25" i="2"/>
  <c r="I3" i="2"/>
  <c r="I9" i="2"/>
  <c r="A26" i="2"/>
  <c r="I4" i="2"/>
  <c r="A36" i="2"/>
  <c r="I2" i="2"/>
  <c r="I8" i="2"/>
  <c r="A19" i="2"/>
  <c r="A22" i="2"/>
  <c r="I3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<sst xmlns="http://schemas.openxmlformats.org/spreadsheetml/2006/main" count="2169" uniqueCount="369">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</sst>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117835.5</v>
      </c>
    </row>
    <row r="8" spans="1:3" ht="15" customHeight="1" x14ac:dyDescent="0.25">
      <c r="B8" s="5" t="s">
        <v>37</v>
      </c>
      <c r="C8" s="44">
        <v>0.21099999999999999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0.37275469999999999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3.44E-2</v>
      </c>
    </row>
    <row r="24" spans="1:3" ht="15" customHeight="1" x14ac:dyDescent="0.25">
      <c r="B24" s="15" t="s">
        <v>51</v>
      </c>
      <c r="C24" s="45">
        <v>0.33629999999999999</v>
      </c>
    </row>
    <row r="25" spans="1:3" ht="15" customHeight="1" x14ac:dyDescent="0.25">
      <c r="B25" s="15" t="s">
        <v>52</v>
      </c>
      <c r="C25" s="45">
        <v>0.51450000000000007</v>
      </c>
    </row>
    <row r="26" spans="1:3" ht="15" customHeight="1" x14ac:dyDescent="0.25">
      <c r="B26" s="15" t="s">
        <v>53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29.55951</v>
      </c>
    </row>
    <row r="38" spans="1:5" ht="15" customHeight="1" x14ac:dyDescent="0.25">
      <c r="B38" s="11" t="s">
        <v>63</v>
      </c>
      <c r="C38" s="43">
        <v>45.850830000000002</v>
      </c>
      <c r="D38" s="12"/>
      <c r="E38" s="13"/>
    </row>
    <row r="39" spans="1:5" ht="15" customHeight="1" x14ac:dyDescent="0.25">
      <c r="B39" s="11" t="s">
        <v>64</v>
      </c>
      <c r="C39" s="43">
        <v>54.14123</v>
      </c>
      <c r="D39" s="12"/>
      <c r="E39" s="12"/>
    </row>
    <row r="40" spans="1:5" ht="15" customHeight="1" x14ac:dyDescent="0.25">
      <c r="B40" s="11" t="s">
        <v>65</v>
      </c>
      <c r="C40" s="98">
        <v>2.34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7.9539999999999993E-3</v>
      </c>
      <c r="D45" s="12"/>
    </row>
    <row r="46" spans="1:5" ht="15.75" customHeight="1" x14ac:dyDescent="0.25">
      <c r="B46" s="11" t="s">
        <v>70</v>
      </c>
      <c r="C46" s="45">
        <v>8.5464499999999999E-2</v>
      </c>
      <c r="D46" s="12"/>
    </row>
    <row r="47" spans="1:5" ht="15.75" customHeight="1" x14ac:dyDescent="0.25">
      <c r="B47" s="11" t="s">
        <v>71</v>
      </c>
      <c r="C47" s="45">
        <v>7.3436600000000005E-2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0.53184900000000002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BVSDW1mh4+GUQD9CGU0Csbyo0Z/9YDKZFzGJaqKl6DdjOPQ3lcR9w9dVcvznn0nkrvtvzOCcRQpQPDl/y9wcg==" saltValue="DBf9IWGWVreGsEgKo973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sB4Q40emqk9khdF5sHjtKB/D3vRSLLn7lwvGPxd3aYAam4+RmhhhguOsDKcOJHemCOLhAfX++WKaAm5+xYNJQ==" saltValue="2U5XUuT5itDQCcF7cucX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8.8169999999999932E-3</v>
      </c>
    </row>
    <row r="4" spans="1:8" ht="15.75" customHeight="1" x14ac:dyDescent="0.25">
      <c r="B4" s="19" t="s">
        <v>97</v>
      </c>
      <c r="C4" s="99">
        <v>5.5100499999999913E-2</v>
      </c>
    </row>
    <row r="5" spans="1:8" ht="15.75" customHeight="1" x14ac:dyDescent="0.25">
      <c r="B5" s="19" t="s">
        <v>98</v>
      </c>
      <c r="C5" s="99">
        <v>6.986630000000002E-2</v>
      </c>
    </row>
    <row r="6" spans="1:8" ht="15.75" customHeight="1" x14ac:dyDescent="0.25">
      <c r="B6" s="19" t="s">
        <v>99</v>
      </c>
      <c r="C6" s="99">
        <v>0.24833930000000001</v>
      </c>
    </row>
    <row r="7" spans="1:8" ht="15.75" customHeight="1" x14ac:dyDescent="0.25">
      <c r="B7" s="19" t="s">
        <v>100</v>
      </c>
      <c r="C7" s="99">
        <v>0.4203207000000001</v>
      </c>
    </row>
    <row r="8" spans="1:8" ht="15.75" customHeight="1" x14ac:dyDescent="0.25">
      <c r="B8" s="19" t="s">
        <v>101</v>
      </c>
      <c r="C8" s="99">
        <v>1.5927000000000001E-3</v>
      </c>
    </row>
    <row r="9" spans="1:8" ht="15.75" customHeight="1" x14ac:dyDescent="0.25">
      <c r="B9" s="19" t="s">
        <v>102</v>
      </c>
      <c r="C9" s="99">
        <v>7.7598499999999945E-2</v>
      </c>
    </row>
    <row r="10" spans="1:8" ht="15.75" customHeight="1" x14ac:dyDescent="0.25">
      <c r="B10" s="19" t="s">
        <v>103</v>
      </c>
      <c r="C10" s="99">
        <v>0.1183649999999999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106</v>
      </c>
      <c r="C15" s="99">
        <v>0.2649449053983835</v>
      </c>
      <c r="D15" s="99">
        <v>0.2649449053983835</v>
      </c>
      <c r="E15" s="99">
        <v>0.2649449053983835</v>
      </c>
      <c r="F15" s="99">
        <v>0.2649449053983835</v>
      </c>
    </row>
    <row r="16" spans="1:8" ht="15.75" customHeight="1" x14ac:dyDescent="0.25">
      <c r="B16" s="19" t="s">
        <v>107</v>
      </c>
      <c r="C16" s="99">
        <v>2.1128147976965089E-2</v>
      </c>
      <c r="D16" s="99">
        <v>2.1128147976965089E-2</v>
      </c>
      <c r="E16" s="99">
        <v>2.1128147976965089E-2</v>
      </c>
      <c r="F16" s="99">
        <v>2.1128147976965089E-2</v>
      </c>
    </row>
    <row r="17" spans="1:8" ht="15.75" customHeight="1" x14ac:dyDescent="0.25">
      <c r="B17" s="19" t="s">
        <v>108</v>
      </c>
      <c r="C17" s="99">
        <v>4.0492182920467542E-3</v>
      </c>
      <c r="D17" s="99">
        <v>4.0492182920467542E-3</v>
      </c>
      <c r="E17" s="99">
        <v>4.0492182920467542E-3</v>
      </c>
      <c r="F17" s="99">
        <v>4.0492182920467542E-3</v>
      </c>
    </row>
    <row r="18" spans="1:8" ht="15.75" customHeight="1" x14ac:dyDescent="0.25">
      <c r="B18" s="19" t="s">
        <v>109</v>
      </c>
      <c r="C18" s="99">
        <v>6.9602010278532786E-2</v>
      </c>
      <c r="D18" s="99">
        <v>6.9602010278532786E-2</v>
      </c>
      <c r="E18" s="99">
        <v>6.9602010278532786E-2</v>
      </c>
      <c r="F18" s="99">
        <v>6.9602010278532786E-2</v>
      </c>
    </row>
    <row r="19" spans="1:8" ht="15.75" customHeight="1" x14ac:dyDescent="0.25">
      <c r="B19" s="19" t="s">
        <v>110</v>
      </c>
      <c r="C19" s="99">
        <v>7.8603843456375461E-3</v>
      </c>
      <c r="D19" s="99">
        <v>7.8603843456375461E-3</v>
      </c>
      <c r="E19" s="99">
        <v>7.8603843456375461E-3</v>
      </c>
      <c r="F19" s="99">
        <v>7.8603843456375461E-3</v>
      </c>
    </row>
    <row r="20" spans="1:8" ht="15.75" customHeight="1" x14ac:dyDescent="0.25">
      <c r="B20" s="19" t="s">
        <v>111</v>
      </c>
      <c r="C20" s="99">
        <v>3.9660599476444458E-2</v>
      </c>
      <c r="D20" s="99">
        <v>3.9660599476444458E-2</v>
      </c>
      <c r="E20" s="99">
        <v>3.9660599476444458E-2</v>
      </c>
      <c r="F20" s="99">
        <v>3.9660599476444458E-2</v>
      </c>
    </row>
    <row r="21" spans="1:8" ht="15.75" customHeight="1" x14ac:dyDescent="0.25">
      <c r="B21" s="19" t="s">
        <v>112</v>
      </c>
      <c r="C21" s="99">
        <v>0.1392684087204811</v>
      </c>
      <c r="D21" s="99">
        <v>0.1392684087204811</v>
      </c>
      <c r="E21" s="99">
        <v>0.1392684087204811</v>
      </c>
      <c r="F21" s="99">
        <v>0.1392684087204811</v>
      </c>
    </row>
    <row r="22" spans="1:8" ht="15.75" customHeight="1" x14ac:dyDescent="0.25">
      <c r="B22" s="19" t="s">
        <v>113</v>
      </c>
      <c r="C22" s="99">
        <v>0.26102568987437541</v>
      </c>
      <c r="D22" s="99">
        <v>0.26102568987437541</v>
      </c>
      <c r="E22" s="99">
        <v>0.26102568987437541</v>
      </c>
      <c r="F22" s="99">
        <v>0.26102568987437541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4.4741791000000003E-2</v>
      </c>
    </row>
    <row r="27" spans="1:8" ht="15.75" customHeight="1" x14ac:dyDescent="0.25">
      <c r="B27" s="19" t="s">
        <v>120</v>
      </c>
      <c r="C27" s="99">
        <v>2.6038460999999999E-2</v>
      </c>
    </row>
    <row r="28" spans="1:8" ht="15.75" customHeight="1" x14ac:dyDescent="0.25">
      <c r="B28" s="19" t="s">
        <v>121</v>
      </c>
      <c r="C28" s="99">
        <v>0.189573254</v>
      </c>
    </row>
    <row r="29" spans="1:8" ht="15.75" customHeight="1" x14ac:dyDescent="0.25">
      <c r="B29" s="19" t="s">
        <v>122</v>
      </c>
      <c r="C29" s="99">
        <v>0.14647354200000001</v>
      </c>
    </row>
    <row r="30" spans="1:8" ht="15.75" customHeight="1" x14ac:dyDescent="0.25">
      <c r="B30" s="19" t="s">
        <v>2</v>
      </c>
      <c r="C30" s="99">
        <v>4.8331328999999999E-2</v>
      </c>
    </row>
    <row r="31" spans="1:8" ht="15.75" customHeight="1" x14ac:dyDescent="0.25">
      <c r="B31" s="19" t="s">
        <v>123</v>
      </c>
      <c r="C31" s="99">
        <v>2.9691288999999999E-2</v>
      </c>
    </row>
    <row r="32" spans="1:8" ht="15.75" customHeight="1" x14ac:dyDescent="0.25">
      <c r="B32" s="19" t="s">
        <v>124</v>
      </c>
      <c r="C32" s="99">
        <v>8.2147682999999999E-2</v>
      </c>
    </row>
    <row r="33" spans="2:3" ht="15.75" customHeight="1" x14ac:dyDescent="0.25">
      <c r="B33" s="19" t="s">
        <v>125</v>
      </c>
      <c r="C33" s="99">
        <v>0.16250015100000001</v>
      </c>
    </row>
    <row r="34" spans="2:3" ht="15.75" customHeight="1" x14ac:dyDescent="0.25">
      <c r="B34" s="19" t="s">
        <v>126</v>
      </c>
      <c r="C34" s="99">
        <v>0.27050250100000001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Ix13iMUqn31gdmgVpkOvpVP4S8F4sojydLNR6ygqtSJK8/RHKVPlyw2vXfe+0TYCbIBNb93HyFhrZ9OdOkygJg==" saltValue="tOMmH40OFM1YnebcPPHI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132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133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137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138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hKJm3njGt/8mC4gofZ6RaE+urqL3YfT3i2XF9QuIL34BaU7eAM0WDLBoCio1d4ieHFGTj3Y66ZL4zaQlSe5QQ==" saltValue="N6XjyT1p8UpJoHcKMSGd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6.5475600000000078E-2</v>
      </c>
      <c r="D5" s="52">
        <f t="shared" si="0"/>
        <v>8.8723699999999961E-2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o/o0fvLSIXaHZwkDDyGGhQ7okzfQOnIgoj2NcGoyvU94ZhT0VAAdEfwAV2wL/BFEzE+Xy1ZdX8kfid7VJsq/NA==" saltValue="I4D2apXW5cp/hjDdhpSfM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LQKIcK6b/IBW6D18AF6bvcUkTwwcE08iVxGQTZ8dOwfAAuWFKVYpwLe/PTzmyBJKsDTGzoAHehx4sZCcHcrMA==" saltValue="BhW/BlKEYsxafSmc2E6X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3136.1127680487298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0.41298999999999997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0.19265999999999997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1.2908400254980639E-2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94288.254610000004</v>
      </c>
      <c r="C22" s="107">
        <v>93552.348979999995</v>
      </c>
      <c r="D22" s="107">
        <v>93076.778680000003</v>
      </c>
      <c r="E22" s="107">
        <v>92505.751220000006</v>
      </c>
      <c r="F22" s="107">
        <v>91747.657489999998</v>
      </c>
      <c r="G22" s="107">
        <v>90777.702239999999</v>
      </c>
      <c r="H22" s="107">
        <v>89423.920929999993</v>
      </c>
      <c r="I22" s="107">
        <v>87517.520959999994</v>
      </c>
      <c r="J22" s="107">
        <v>84915.692439999999</v>
      </c>
      <c r="K22" s="107">
        <v>81565.661890000003</v>
      </c>
      <c r="L22" s="107">
        <v>77343.312919999997</v>
      </c>
      <c r="M22" s="107">
        <v>71999.319789999994</v>
      </c>
      <c r="N22" s="107">
        <v>64784.622199999998</v>
      </c>
      <c r="O22" s="107">
        <v>55591.294889999997</v>
      </c>
    </row>
  </sheetData>
  <sheetProtection algorithmName="SHA-512" hashValue="9lzy93I5vS1dMYJXi0LVGr0K8jAhF9+SXj47piHXWOyKzyljI0gMIL7sFIkE4Zac0YPYODYDHh1BGn78tYLjdQ==" saltValue="XNiVkDgF4vJHNI7teq2BN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xH5nEVWC84t8b8mZkp50uv5Ah0JG2QOaPvAVgEvXVeBdw61EwG17miIBDnRtnbwv3n4VsKagXsTgcTK3srNLjg==" saltValue="xWIwD4yaUAwNm5nn50jA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d0K7NAZGYpVyAu8HGqUji6TLVbvH3WjRn6NoWKkNOuW8x6G1LAmc5b8go/UX6jAD2mw+1EWzveMICgbiBGHJg==" saltValue="0M4oRJ7KBDB7CdBiq7W6n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12.687640493451919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12.687640493451919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12.687640493451919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12.687640493451919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12.687640493451919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12.687640493451919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0.90249999999999997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1.41438E-2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1.41438E-2</v>
      </c>
      <c r="C19" s="96">
        <v>0.95</v>
      </c>
      <c r="D19" s="56">
        <v>4.3845374540579991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0.30199999999999999</v>
      </c>
      <c r="C23" s="96">
        <v>0.95</v>
      </c>
      <c r="D23" s="56">
        <v>4.0765008182611906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0.62511483451562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0.61573460000000002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0.23100000000000001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0.3236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0.78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4.3199999999999998E-4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0.83361079999999999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NwESSD1f5gU29Bjql/udVtNQS7O0SYoU+71jRxMrRNK4rxmztfxuJy3xy6pBCa1Pl8Bstj0gvAI4j+9s0Bm2A==" saltValue="STRMZq/jdz6ECyHjn2m+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k0L9HWjt0ehR+Q6JSjRS8lz+PPTicLClDVBKE00TbSXDGbH4Yzfbjs5nzGVZU7g+6iMJXGit3Rkfz8Swqx4qA==" saltValue="iYQm3dHrSRrkrpLx7OSu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jzMrlWGkaBLc0DtG6GxaABBrq1WvIFFynZPrrgFAFLiJ1Y56KkI3vMqfDGSThCBHnqJBQyDFK+VF8av3Q/rCA==" saltValue="3cMPCQCpCcXZFIkgS0971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237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LqCK9Fj0VzcRp7k0Hr22WzdKAVw65AgCjITbAMOlJ779pAbcDwNyPwHe+PewprKqJqojULCVG+kpc3qv4O7MVg==" saltValue="wPoMbCwH9q/h4bPOn1XZc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0.21099999999999999</v>
      </c>
      <c r="F2" s="60">
        <f>food_insecure</f>
        <v>0.21099999999999999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0.21099999999999999</v>
      </c>
      <c r="F5" s="60">
        <f>food_insecure</f>
        <v>0.21099999999999999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0.21099999999999999</v>
      </c>
      <c r="F8" s="60">
        <f>food_insecure</f>
        <v>0.21099999999999999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0.21099999999999999</v>
      </c>
      <c r="F9" s="60">
        <f>food_insecure</f>
        <v>0.21099999999999999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0.21099999999999999</v>
      </c>
      <c r="I15" s="60">
        <f t="shared" si="0"/>
        <v>0.21099999999999999</v>
      </c>
      <c r="J15" s="60">
        <f t="shared" si="0"/>
        <v>0.21099999999999999</v>
      </c>
      <c r="K15" s="60">
        <f t="shared" si="0"/>
        <v>0.21099999999999999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0.21099999999999999</v>
      </c>
      <c r="I16" s="60">
        <f t="shared" si="0"/>
        <v>0.21099999999999999</v>
      </c>
      <c r="J16" s="60">
        <f t="shared" si="0"/>
        <v>0.21099999999999999</v>
      </c>
      <c r="K16" s="60">
        <f t="shared" si="0"/>
        <v>0.21099999999999999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0.33514343624300003</v>
      </c>
      <c r="M25" s="60">
        <f>(1-food_insecure)*(0.49)+food_insecure*(0.7)</f>
        <v>0.53431000000000006</v>
      </c>
      <c r="N25" s="60">
        <f>(1-food_insecure)*(0.49)+food_insecure*(0.7)</f>
        <v>0.53431000000000006</v>
      </c>
      <c r="O25" s="60">
        <f>(1-food_insecure)*(0.49)+food_insecure*(0.7)</f>
        <v>0.53431000000000006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0.14363290124700001</v>
      </c>
      <c r="M26" s="60">
        <f>(1-food_insecure)*(0.21)+food_insecure*(0.3)</f>
        <v>0.22899</v>
      </c>
      <c r="N26" s="60">
        <f>(1-food_insecure)*(0.21)+food_insecure*(0.3)</f>
        <v>0.22899</v>
      </c>
      <c r="O26" s="60">
        <f>(1-food_insecure)*(0.21)+food_insecure*(0.3)</f>
        <v>0.22899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0.14846896251</v>
      </c>
      <c r="M27" s="60">
        <f>(1-food_insecure)*(0.3)</f>
        <v>0.23669999999999999</v>
      </c>
      <c r="N27" s="60">
        <f>(1-food_insecure)*(0.3)</f>
        <v>0.23669999999999999</v>
      </c>
      <c r="O27" s="60">
        <f>(1-food_insecure)*(0.3)</f>
        <v>0.23669999999999999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0.37275469999999999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b9nlnJn3NcMO+Oll6J8UxqloIIV4Ke5t/cYyXJwmfI60tBxEgK7zHpmNNFk9OHCZn76ujQ2cbK4vNRSPYmWGA==" saltValue="MFihMPRtwBaLpuDlo0QqN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iJAgguXlgsqi52es1ANhdz/P4VAt/nmwPuLBKPVcyWA5bdm44iWLyJt+DIhwCdXr98vvYBFHB0mEuBpLPoLWCg==" saltValue="0neVqJ1VCqLE4eFGcUWgn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H6Hf6B0k3MVVXPf9gU5grLqL7G8gaALrJrSVAOfdRGN4JuvGuSppvH4G17WXEK6wqAho5+H4+PbwZp/jqMgzA==" saltValue="0ZzjzVIjRo+/727WrRfa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nIp5DW8B2or1gjSgDHSE3aJNx9mLIW8X2aSsD1AyxXcLOSSruoivzaD0y6FGbk739gZdXbxwLMhw7i9EpDOIA==" saltValue="peaijUslv1kFjKv2yM5i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sejLfPTRGJhpYOel0mygwctaHgzIdRdpIvI4Qnjvl8eTyYSSLXj3TYNY4nmrqGudJM2seQ6lWUVn0d8PoeGPoQ==" saltValue="wvA6lkLLYvcP/Lf2hy0z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FHmIoMoXKt17xVAjYjJjjApFoHt5o/lvo9MGy7Hnqdj+phLd7ZossOfDQRipmbpYR4DygdcatF9ol2qmWuShWw==" saltValue="oIYOxgfzuweoFCGyZzy3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maej9JcZYR1F835cOBIp6ibi7SxCAhjb2qmSjA13bUrfAvkVs9oTgvb3XYrR/mpXi91mAasDIffmrDY5uxYvg==" saltValue="dOz7EnQscFZTro2W6aYzE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RhoEnOw5JsFdzGoN6Wm40ek1rOIu8IUCgKuImJ4CtM1f3zp4kRhEA3NgKMznrWAPdvqa1eLHPovIiAXvgmqjQ==" saltValue="INM9/N6WycjhHjX+wj6J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/fzwlhnopP2oXvDAMjcDn07wdrMPQxh7cASf7fJvdCzP8kRUAMyzDvxpjTT2IDIeI8eCR+d62go5MdzdzgvNg==" saltValue="Uww5lo47qHCMq2y6kIJ/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Jl//nXQ1sjMJBJDPdPK637gzITOouA38/6Tnu0j1tIweuKzCEZbGgFIPtIaxGrhLCNBiaqjIoDW3DANDcz4Jw==" saltValue="F/AOn0EN8ptDu2Fs1UxY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swvr4QqAnu9NbaZHVJNtwONy1/LPwy8VKAS0jOs7tHYLlyOwAW4RSrRN88aLHQTd1O1qnaO5cVuLhHJHjWFIw==" saltValue="xK4Q7PrPKZgXLcCDPJY+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Aamnja57RVDcO7AfIstQx+75caOVlcIMUVSbwV/8f5DBhYbELyKHEx7wAmy/V+OjrgsAX4GG4TokztceE0x/w==" saltValue="jrjKgH/YKMrkhSuGXyn0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IZ4dyWFD9C9T/9ktNMoyIBqTC8JDEo0wzpXNCzFlArM7bQ7rv7OO/26pXSGDk7YBWkEfmMeHwwp0uvUh+GjVw==" saltValue="T6n9cxFyAXE0+Pa/I8JH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gY1oWeiLyML1gIBmvm+x3WxZgND3SD0k4uyy6lbVuG4p3I8jgzyi0DzFpq0/YyKCKcpWj8rqbGmSCy5ruoVRg==" saltValue="DdVmget4pu5Pu0T1MweZ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piA4k/nH/npAORp5lRS2FM8xof19voEOXOhUh4v02kma0XB04K9n+G/FfXBppQmMThj9AXELJ0eaA9JZiw5bw==" saltValue="0+fPAasNCiL2x8/NoQGx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