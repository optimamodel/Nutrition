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B9C7AA5-C9BD-44FA-BF5E-73FAC6AFD2E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6" i="2"/>
  <c r="A25" i="2"/>
  <c r="A24" i="2"/>
  <c r="A21" i="2"/>
  <c r="A19" i="2"/>
  <c r="A18" i="2"/>
  <c r="A17" i="2"/>
  <c r="H13" i="2"/>
  <c r="G13" i="2"/>
  <c r="I13" i="2" s="1"/>
  <c r="H12" i="2"/>
  <c r="I12" i="2" s="1"/>
  <c r="G12" i="2"/>
  <c r="H11" i="2"/>
  <c r="G11" i="2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22" i="2" s="1"/>
  <c r="C33" i="1"/>
  <c r="C20" i="1"/>
  <c r="A16" i="2" l="1"/>
  <c r="A27" i="2"/>
  <c r="I1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  <c r="A31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<sst xmlns="http://schemas.openxmlformats.org/spreadsheetml/2006/main" count="2101" uniqueCount="337">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</sst>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117886.263671875</v>
      </c>
    </row>
    <row r="8" spans="1:3" ht="15" customHeight="1" x14ac:dyDescent="0.25">
      <c r="B8" s="5" t="s">
        <v>19</v>
      </c>
      <c r="C8" s="44">
        <v>0.17100000000000001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0.31655279159545902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3.44E-2</v>
      </c>
    </row>
    <row r="24" spans="1:3" ht="15" customHeight="1" x14ac:dyDescent="0.25">
      <c r="B24" s="15" t="s">
        <v>33</v>
      </c>
      <c r="C24" s="45">
        <v>0.33629999999999999</v>
      </c>
    </row>
    <row r="25" spans="1:3" ht="15" customHeight="1" x14ac:dyDescent="0.25">
      <c r="B25" s="15" t="s">
        <v>34</v>
      </c>
      <c r="C25" s="45">
        <v>0.51450000000000007</v>
      </c>
    </row>
    <row r="26" spans="1:3" ht="15" customHeight="1" x14ac:dyDescent="0.25">
      <c r="B26" s="15" t="s">
        <v>35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0.18812535867607999</v>
      </c>
    </row>
    <row r="30" spans="1:3" ht="14.25" customHeight="1" x14ac:dyDescent="0.25">
      <c r="B30" s="25" t="s">
        <v>38</v>
      </c>
      <c r="C30" s="99">
        <v>7.529214782846369E-2</v>
      </c>
    </row>
    <row r="31" spans="1:3" ht="14.25" customHeight="1" x14ac:dyDescent="0.25">
      <c r="B31" s="25" t="s">
        <v>39</v>
      </c>
      <c r="C31" s="99">
        <v>0.10030682254742999</v>
      </c>
    </row>
    <row r="32" spans="1:3" ht="14.25" customHeight="1" x14ac:dyDescent="0.25">
      <c r="B32" s="25" t="s">
        <v>40</v>
      </c>
      <c r="C32" s="99">
        <v>0.63627567094802595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29.55951</v>
      </c>
    </row>
    <row r="38" spans="1:5" ht="15" customHeight="1" x14ac:dyDescent="0.25">
      <c r="B38" s="11" t="s">
        <v>45</v>
      </c>
      <c r="C38" s="43">
        <v>45.850830000000002</v>
      </c>
      <c r="D38" s="12"/>
      <c r="E38" s="13"/>
    </row>
    <row r="39" spans="1:5" ht="15" customHeight="1" x14ac:dyDescent="0.25">
      <c r="B39" s="11" t="s">
        <v>46</v>
      </c>
      <c r="C39" s="43">
        <v>54.14123</v>
      </c>
      <c r="D39" s="12"/>
      <c r="E39" s="12"/>
    </row>
    <row r="40" spans="1:5" ht="15" customHeight="1" x14ac:dyDescent="0.25">
      <c r="B40" s="11" t="s">
        <v>47</v>
      </c>
      <c r="C40" s="100">
        <v>2.34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7.9539999999999993E-3</v>
      </c>
      <c r="D45" s="12"/>
    </row>
    <row r="46" spans="1:5" ht="15.75" customHeight="1" x14ac:dyDescent="0.25">
      <c r="B46" s="11" t="s">
        <v>52</v>
      </c>
      <c r="C46" s="45">
        <v>8.5464499999999999E-2</v>
      </c>
      <c r="D46" s="12"/>
    </row>
    <row r="47" spans="1:5" ht="15.75" customHeight="1" x14ac:dyDescent="0.25">
      <c r="B47" s="11" t="s">
        <v>53</v>
      </c>
      <c r="C47" s="45">
        <v>7.3436600000000005E-2</v>
      </c>
      <c r="D47" s="12"/>
      <c r="E47" s="13"/>
    </row>
    <row r="48" spans="1:5" ht="15" customHeight="1" x14ac:dyDescent="0.25">
      <c r="B48" s="11" t="s">
        <v>54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0.53184900000000002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VDUkHh+L8snvrjsOXXzbZoBjUVAAZSx4AvkNAMMr1Dud/P98lGMVGelHRmIOfi1vxiiWR2Xj45tMy1attr5Qw==" saltValue="W/Ycmlhzc4Y2jk3ey1k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Y9/KM7j2YDSJ68/8SYYd9GqR4Mep1XcwDbV0H1Eo8BxTai4Sd3VTDooAttffazOPE7CfhrqJQohr/RNKeBqeA==" saltValue="6V0VSRL+ClXm6jwep74B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8.8169999999999932E-3</v>
      </c>
    </row>
    <row r="4" spans="1:8" ht="15.75" customHeight="1" x14ac:dyDescent="0.25">
      <c r="B4" s="19" t="s">
        <v>79</v>
      </c>
      <c r="C4" s="101">
        <v>5.5100499999999913E-2</v>
      </c>
    </row>
    <row r="5" spans="1:8" ht="15.75" customHeight="1" x14ac:dyDescent="0.25">
      <c r="B5" s="19" t="s">
        <v>80</v>
      </c>
      <c r="C5" s="101">
        <v>6.986630000000002E-2</v>
      </c>
    </row>
    <row r="6" spans="1:8" ht="15.75" customHeight="1" x14ac:dyDescent="0.25">
      <c r="B6" s="19" t="s">
        <v>81</v>
      </c>
      <c r="C6" s="101">
        <v>0.24833930000000001</v>
      </c>
    </row>
    <row r="7" spans="1:8" ht="15.75" customHeight="1" x14ac:dyDescent="0.25">
      <c r="B7" s="19" t="s">
        <v>82</v>
      </c>
      <c r="C7" s="101">
        <v>0.4203207000000001</v>
      </c>
    </row>
    <row r="8" spans="1:8" ht="15.75" customHeight="1" x14ac:dyDescent="0.25">
      <c r="B8" s="19" t="s">
        <v>83</v>
      </c>
      <c r="C8" s="101">
        <v>1.5927000000000001E-3</v>
      </c>
    </row>
    <row r="9" spans="1:8" ht="15.75" customHeight="1" x14ac:dyDescent="0.25">
      <c r="B9" s="19" t="s">
        <v>84</v>
      </c>
      <c r="C9" s="101">
        <v>7.7598499999999945E-2</v>
      </c>
    </row>
    <row r="10" spans="1:8" ht="15.75" customHeight="1" x14ac:dyDescent="0.25">
      <c r="B10" s="19" t="s">
        <v>85</v>
      </c>
      <c r="C10" s="101">
        <v>0.1183649999999999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88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89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90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91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92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93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94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95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4.4741791000000003E-2</v>
      </c>
    </row>
    <row r="27" spans="1:8" ht="15.75" customHeight="1" x14ac:dyDescent="0.25">
      <c r="B27" s="19" t="s">
        <v>102</v>
      </c>
      <c r="C27" s="101">
        <v>2.6038460999999999E-2</v>
      </c>
    </row>
    <row r="28" spans="1:8" ht="15.75" customHeight="1" x14ac:dyDescent="0.25">
      <c r="B28" s="19" t="s">
        <v>103</v>
      </c>
      <c r="C28" s="101">
        <v>0.189573254</v>
      </c>
    </row>
    <row r="29" spans="1:8" ht="15.75" customHeight="1" x14ac:dyDescent="0.25">
      <c r="B29" s="19" t="s">
        <v>104</v>
      </c>
      <c r="C29" s="101">
        <v>0.14647354200000001</v>
      </c>
    </row>
    <row r="30" spans="1:8" ht="15.75" customHeight="1" x14ac:dyDescent="0.25">
      <c r="B30" s="19" t="s">
        <v>2</v>
      </c>
      <c r="C30" s="101">
        <v>4.8331328999999999E-2</v>
      </c>
    </row>
    <row r="31" spans="1:8" ht="15.75" customHeight="1" x14ac:dyDescent="0.25">
      <c r="B31" s="19" t="s">
        <v>105</v>
      </c>
      <c r="C31" s="101">
        <v>2.9691288999999999E-2</v>
      </c>
    </row>
    <row r="32" spans="1:8" ht="15.75" customHeight="1" x14ac:dyDescent="0.25">
      <c r="B32" s="19" t="s">
        <v>106</v>
      </c>
      <c r="C32" s="101">
        <v>8.2147682999999999E-2</v>
      </c>
    </row>
    <row r="33" spans="2:3" ht="15.75" customHeight="1" x14ac:dyDescent="0.25">
      <c r="B33" s="19" t="s">
        <v>107</v>
      </c>
      <c r="C33" s="101">
        <v>0.16250015100000001</v>
      </c>
    </row>
    <row r="34" spans="2:3" ht="15.75" customHeight="1" x14ac:dyDescent="0.25">
      <c r="B34" s="19" t="s">
        <v>108</v>
      </c>
      <c r="C34" s="101">
        <v>0.27050250100000001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ZRQogufta5kQbAtoDUGWIrRJZzsloKIGs2Ec5lUHx72Q2OQeasKvQOlbWW6kknyYD6J6vDwJo4JOZw7mzdOGgg==" saltValue="8S/qwYwihhZfhGE1jc3P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114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115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119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120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qEPTAloRNhuB0OpXtMj9eg00RLa94ZPU1xKEhxGEzuHmbzOyWsFHQspbRUKfUdUMfRrtQqB7Tr0ufAUp3kMYw==" saltValue="A/xFwY3/giFFrM2Nx9DN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132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lywfwRSlE+XDAN3oZNZ7Mdzo0QPKmM2vmnzKdJsnpnyY90lnVJC2oxvv+019XcqrD86iBP2G26kSEdI3nqNdug==" saltValue="O2rmVagCxqumDETZ+PuB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Y/9P1HJQI9g9TXiOYhW8cC4atR3w96ry75n6xI26dKwUzzGhDo4T4f2lA1sf47fOjIESaY9jKmb6gxXVOH+WA==" saltValue="gJUUQmYiZfU8t27mR1A1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6tz2yFnCZH/WGfCXY04BV8+k4v7d6zZ0aVgX/+PlJguThnd3pmP0CQ1uHeCJP1p9iZBcAVLUvwhdn3x+aww9eA==" saltValue="pY6GnTVm33AFHmcpEQxV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7vZBm8tNxqGWTECTSfyHqyYr2Pti9RIbrOMs7a653d3FvRi/ncG15jkG2R5x6MZPUWhTFUixXQ8AlDdHJqMgg==" saltValue="K0To9bBF7a3srlEAsOoV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c77c+nyd8GEvfQHwSCe5HNQzOfaFaxOn0iHtryIOT+deM5PTb54DeG72+EgogBqa4shYr3zu7BsKeH9hW4ua+Q==" saltValue="l+XIXkbRQLIViRL8WO+l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0.47937144420386901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0.18855004305832701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12.687640493451919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12.687640493451919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12.687640493451919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12.687640493451919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12.687640493451919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12.687640493451919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0.252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0.90249999999999997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1.41438E-2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1.41438E-2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21.724653940727581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0.30199999999999999</v>
      </c>
      <c r="C23" s="98">
        <v>0.95</v>
      </c>
      <c r="D23" s="56">
        <v>4.0765008182611906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0.62511483451562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0.61573460000000002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0.23100000000000001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0.3236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4.3199999999999998E-4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0.83361079999999999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cj5MQFNE5iQnQOpXqVsG53wuBktlROG0ueNdCfzxe3HPpv2ZKEEIZJ+A7ZteVKBvm2owBMLRExbnZRa7CRKeJg==" saltValue="iQndUY/JWxP3npeBJelG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vdJIGspeTpTSI0gIqvBFq+P5oApR2aeg0MjrSTb1Ex1elQekHQUh29MFpv+J5KQG3OL0hSXE7+va7QXGgB5gg==" saltValue="ALTkzTQjCxsX6FyMijyt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r0OOSf5LW/Dj2/zFvxfD8hzlMXN/vAYnSO6WqWabYuhL5vccWHwfjxAXxUzHV6jUTTsSml9sE9l4l1o/c8qCA==" saltValue="oEs4nHH1MpQuhEg5rHcB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208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kw+t9KpsONqLMdliLusnKyVDEOxM2zVwlauXo50Tq5UCUMmrqdu36Ipg3V8OH0aFyBJSvsln2g0o4IYWjF10YQ==" saltValue="NKCerwuh4z7ZHqanMAYG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9eAAlRMAs5pvR62wW+kELc/YjJr0Eft3+247IQ5tGySDuQs8pLOA2QBG8mPA/hmku2x9UTahR+MnkiMvIQHag==" saltValue="YNxsSleW44u5vTjG/M6A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7PQfiagZAxGBcvJVohRTiWNMN1khI90PYDFm5Ms+DeoJPv8FrZpUlH5p+ri8hxTTyaJlSjRq+AWAAP+Q8tNYw==" saltValue="KdAnViO7vZIOlhQ375tQ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F1epZDIwvcN8S6S1oLYJtKf23SLNn1mhjAH6HyzPiWjsdAd+xLeEkVPdW/OJR9RT5OiFyT4vbxMk9isyCCWWQ==" saltValue="c1RJEb+k82PyP8gbaJa39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VZjTdgpVSU/TxGa9lZni5ZD1Ic264RWJJuOtlOcM635Y6xF/WmEaM+EHc7qh1BD9VVCv+BygS/ChPymD+bbgg==" saltValue="iAYFnvfST/JtjhqzfwG4z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/ORYCiWUuX5tLbEb39bYVDv2XPHM3A9meKkZw138cdS6/QGgTIOn1JIKLnbjG7xvDVpMH+hhZ2k99YLa5eJUQ==" saltValue="Ov1yKRHxvfl81xxBGi8F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2hSv2ueI94aPnRpViL2t6U22trkVXwlY+Jj4ViCs5fWbW3SASe+fnnHFSFADBpC7AL1MvtvHyBZVxa26+tKmw==" saltValue="KVZTWWTFBfE53ay2kXu+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gbASwgm6K/Z5OEq4/CAiv5MmgIeghZT5FxBpaS6T2jV6Jhmwb3jlyJO7jLapFDXB+XGfKTaZOWr6xo/LpyZ8w==" saltValue="69bW5t5Pwos3KBO8WRVY3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mqY7alT/hPJ3y2Iteba57cIlzAfaqsc/ywtN9U9fK/vlT5FD2koI/alqEkxcgtSrmLVUH0basyaXexKrQNOVw==" saltValue="xrOFzdLvZYZy9iXVELvv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K3jldil6kFgRtKQ72765Rh/lnD2qwIOwJfz5iRJs2SiLU/xYQDZMOpUI4MJyb6kgMfpBMVTVELPOYx4vJWj6A==" saltValue="suCm5NAXQnu+feCdtS3f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6O19kSCafCR7W6Q0KpITTM9OVz4hMOMdpWD5C0B+2L6V6Y+vWSqv7wX4bc5/GZmZnkZBBxD3GFQSlxTFznhsQA==" saltValue="PAcURlmnGrXQWrhe4OFI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grduVzRkYN4liVgxqRwAWGCksFel8K0iPVs0DBFrqx+ukUEMRNMaHu7BpQ0fYvo2lvnBdYMHQDSo1oIUGFddQ==" saltValue="G6jCt3S97NtD2xLkjUg6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cO8IUmcBW5kMvLq9IMP7DdMrBKbtqUGuw5+9LcvITpSNztvxLZfh4NUvQvK7ceevQRB4+Y0eyP3oUyaSGKAog==" saltValue="Wt7CAq00NZ4jlh61AUzJ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TGaSUO1WbrMA5ZgOcT0a2umaTeyZESGNdmZIg38On0HympR9+Y3hhEVFnZBmRjem3sfN0FxAZ/MgsjSYzdXXQ==" saltValue="cMp+xGo1vQUjEsCDsjfz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9.1604400469151748E-2</v>
      </c>
      <c r="G18" s="90">
        <f>MIN(MAX(1-0.89/(1-frac_sam_12_23months+(frac_sam_12_23months*0.89)),0),1)</f>
        <v>9.2438870942275431E-2</v>
      </c>
      <c r="H18" s="90">
        <f>MIN(MAX(1-0.89/(1-frac_sam_24_59months+(frac_sam_24_59months*0.89)),0),1)</f>
        <v>9.588992382211281E-2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9.9419354473972876E-2</v>
      </c>
      <c r="G20" s="90">
        <f>MIN(MAX(1-0.89/(1-frac_mam_12_23months+(frac_mam_12_23months*0.89)),0),1)</f>
        <v>0.10158160400915062</v>
      </c>
      <c r="H20" s="90">
        <f>MIN(MAX(1-0.89/(1-frac_mam_24_59months+(frac_mam_24_59months*0.89)),0),1)</f>
        <v>0.10084694378452053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8.1740802201146767E-3</v>
      </c>
      <c r="G73" s="90">
        <f>MIN(MAX(1-0.99/(1-frac_sam_12_23months+(frac_sam_12_23months*0.99)),0),1)</f>
        <v>8.2554489373285467E-3</v>
      </c>
      <c r="H73" s="90">
        <f>MIN(MAX(1-0.99/(1-frac_sam_24_59months+(frac_sam_24_59months*0.99)),0),1)</f>
        <v>8.5934111684909942E-3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8.9414870715061046E-3</v>
      </c>
      <c r="G75" s="90">
        <f>MIN(MAX(1-0.99/(1-frac_mam_12_23months+(frac_mam_12_23months*0.99)),0),1)</f>
        <v>9.1559594124658306E-3</v>
      </c>
      <c r="H75" s="90">
        <f>MIN(MAX(1-0.99/(1-frac_mam_24_59months+(frac_mam_24_59months*0.99)),0),1)</f>
        <v>9.0829835928424307E-3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0.16941852153506731</v>
      </c>
      <c r="G128" s="90">
        <f>MIN(MAX(1-0.8/(1-frac_sam_12_23months+(frac_sam_12_23months*0.8)),0),1)</f>
        <v>0.17082853735377013</v>
      </c>
      <c r="H128" s="90">
        <f>MIN(MAX(1-0.8/(1-frac_sam_24_59months+(frac_sam_24_59months*0.8)),0),1)</f>
        <v>0.17663655166824854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0.1825379812779534</v>
      </c>
      <c r="G130" s="90">
        <f>MIN(MAX(1-0.8/(1-frac_mam_12_23months+(frac_mam_12_23months*0.8)),0),1)</f>
        <v>0.18613433341146435</v>
      </c>
      <c r="H130" s="90">
        <f>MIN(MAX(1-0.8/(1-frac_mam_24_59months+(frac_mam_24_59months*0.8)),0),1)</f>
        <v>0.18491403023373931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ZBdqeR8Y0uksKEpy0ZYHDTu8pjk1UMPJN06tLFUB4M5G62NjyV5w+XuHNsXwaFjom4YX7Ju++Cvl+kKh4+KhA==" saltValue="CLsev2hhX64XdcBGqFHv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lEn27FDPAAXgvR23fIrS6jCdENESMXMr4dAJ9BiCqPDQXBgwMca6yaZPFiiLCvudKq69Kd47GIoejORb8tv9w==" saltValue="mnUEJ2DkaH1BAQHpKC9gw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2024-08-06T08:57:56Z</dcterms:modified>
</cp:coreProperties>
</file>