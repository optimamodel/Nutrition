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FA43D618-77B9-41C4-AB7B-2B9E52099749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<sst xmlns="http://schemas.openxmlformats.org/spreadsheetml/2006/main" count="2102" uniqueCount="337">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</sst>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117886.263671875</v>
      </c>
    </row>
    <row r="8" spans="1:3" ht="15" customHeight="1" x14ac:dyDescent="0.25">
      <c r="B8" s="5" t="s">
        <v>19</v>
      </c>
      <c r="C8" s="44">
        <v>0.17100000000000001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0.31655279159545902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0.36399999999999999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3.44E-2</v>
      </c>
    </row>
    <row r="24" spans="1:3" ht="15" customHeight="1" x14ac:dyDescent="0.25">
      <c r="B24" s="15" t="s">
        <v>33</v>
      </c>
      <c r="C24" s="45">
        <v>0.33629999999999999</v>
      </c>
    </row>
    <row r="25" spans="1:3" ht="15" customHeight="1" x14ac:dyDescent="0.25">
      <c r="B25" s="15" t="s">
        <v>34</v>
      </c>
      <c r="C25" s="45">
        <v>0.51450000000000007</v>
      </c>
    </row>
    <row r="26" spans="1:3" ht="15" customHeight="1" x14ac:dyDescent="0.25">
      <c r="B26" s="15" t="s">
        <v>35</v>
      </c>
      <c r="C26" s="45">
        <v>0.1148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0.18812535867607999</v>
      </c>
    </row>
    <row r="30" spans="1:3" ht="14.25" customHeight="1" x14ac:dyDescent="0.25">
      <c r="B30" s="25" t="s">
        <v>38</v>
      </c>
      <c r="C30" s="99">
        <v>7.529214782846369E-2</v>
      </c>
    </row>
    <row r="31" spans="1:3" ht="14.25" customHeight="1" x14ac:dyDescent="0.25">
      <c r="B31" s="25" t="s">
        <v>39</v>
      </c>
      <c r="C31" s="99">
        <v>0.10030682254742999</v>
      </c>
    </row>
    <row r="32" spans="1:3" ht="14.25" customHeight="1" x14ac:dyDescent="0.25">
      <c r="B32" s="25" t="s">
        <v>40</v>
      </c>
      <c r="C32" s="99">
        <v>0.63627567094802595</v>
      </c>
    </row>
    <row r="33" spans="1:5" ht="13" customHeight="1" x14ac:dyDescent="0.25">
      <c r="B33" s="27" t="s">
        <v>41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29.55951</v>
      </c>
    </row>
    <row r="38" spans="1:5" ht="15" customHeight="1" x14ac:dyDescent="0.25">
      <c r="B38" s="11" t="s">
        <v>45</v>
      </c>
      <c r="C38" s="43">
        <v>45.850830000000002</v>
      </c>
      <c r="D38" s="12"/>
      <c r="E38" s="13"/>
    </row>
    <row r="39" spans="1:5" ht="15" customHeight="1" x14ac:dyDescent="0.25">
      <c r="B39" s="11" t="s">
        <v>46</v>
      </c>
      <c r="C39" s="43">
        <v>54.14123</v>
      </c>
      <c r="D39" s="12"/>
      <c r="E39" s="12"/>
    </row>
    <row r="40" spans="1:5" ht="15" customHeight="1" x14ac:dyDescent="0.25">
      <c r="B40" s="11" t="s">
        <v>47</v>
      </c>
      <c r="C40" s="100">
        <v>2.34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26.74746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7.9539999999999993E-3</v>
      </c>
      <c r="D45" s="12"/>
    </row>
    <row r="46" spans="1:5" ht="15.75" customHeight="1" x14ac:dyDescent="0.25">
      <c r="B46" s="11" t="s">
        <v>52</v>
      </c>
      <c r="C46" s="45">
        <v>8.5464499999999999E-2</v>
      </c>
      <c r="D46" s="12"/>
    </row>
    <row r="47" spans="1:5" ht="15.75" customHeight="1" x14ac:dyDescent="0.25">
      <c r="B47" s="11" t="s">
        <v>53</v>
      </c>
      <c r="C47" s="45">
        <v>7.3436600000000005E-2</v>
      </c>
      <c r="D47" s="12"/>
      <c r="E47" s="13"/>
    </row>
    <row r="48" spans="1:5" ht="15" customHeight="1" x14ac:dyDescent="0.25">
      <c r="B48" s="11" t="s">
        <v>54</v>
      </c>
      <c r="C48" s="46">
        <v>0.83314490000000008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0.53184900000000002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BeF7ETAcKzQ7jnzgu332xSUTOTPnw3MeVHml2xxeMjepoRO3kUmaUC5DNjTi2x+So4FmMeM1BiV6VwEydJSZQA==" saltValue="8pc6y2GfxCg02fsUAhaa0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24604</v>
      </c>
      <c r="C2" s="49">
        <v>66778.5</v>
      </c>
      <c r="D2" s="49">
        <v>104236</v>
      </c>
      <c r="E2" s="49">
        <v>85323</v>
      </c>
      <c r="F2" s="49">
        <v>62276</v>
      </c>
      <c r="G2" s="17">
        <f t="shared" ref="G2:G13" si="0">C2+D2+E2+F2</f>
        <v>318613.5</v>
      </c>
      <c r="H2" s="17">
        <f t="shared" ref="H2:H13" si="1">(B2 + stillbirth*B2/(1000-stillbirth))/(1-abortion)</f>
        <v>28727.477977186591</v>
      </c>
      <c r="I2" s="17">
        <f t="shared" ref="I2:I13" si="2">G2-H2</f>
        <v>289886.02202281338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24620</v>
      </c>
      <c r="C3" s="50">
        <v>66388</v>
      </c>
      <c r="D3" s="50">
        <v>105840</v>
      </c>
      <c r="E3" s="50">
        <v>86970</v>
      </c>
      <c r="F3" s="50">
        <v>63203</v>
      </c>
      <c r="G3" s="17">
        <f t="shared" si="0"/>
        <v>322401</v>
      </c>
      <c r="H3" s="17">
        <f t="shared" si="1"/>
        <v>28746.159478065914</v>
      </c>
      <c r="I3" s="17">
        <f t="shared" si="2"/>
        <v>293654.84052193409</v>
      </c>
    </row>
    <row r="4" spans="1:9" ht="15.75" customHeight="1" x14ac:dyDescent="0.25">
      <c r="A4" s="5">
        <f t="shared" si="3"/>
        <v>2026</v>
      </c>
      <c r="B4" s="49">
        <v>24763</v>
      </c>
      <c r="C4" s="50">
        <v>66098.999999999985</v>
      </c>
      <c r="D4" s="50">
        <v>107274.5</v>
      </c>
      <c r="E4" s="50">
        <v>88530.5</v>
      </c>
      <c r="F4" s="50">
        <v>64077.999999999993</v>
      </c>
      <c r="G4" s="17">
        <f t="shared" si="0"/>
        <v>325982</v>
      </c>
      <c r="H4" s="17">
        <f t="shared" si="1"/>
        <v>28913.125392174908</v>
      </c>
      <c r="I4" s="17">
        <f t="shared" si="2"/>
        <v>297068.87460782507</v>
      </c>
    </row>
    <row r="5" spans="1:9" ht="15.75" customHeight="1" x14ac:dyDescent="0.25">
      <c r="A5" s="5">
        <f t="shared" si="3"/>
        <v>2027</v>
      </c>
      <c r="B5" s="49">
        <v>24837</v>
      </c>
      <c r="C5" s="50">
        <v>65932.5</v>
      </c>
      <c r="D5" s="50">
        <v>108570</v>
      </c>
      <c r="E5" s="50">
        <v>89971.500000000015</v>
      </c>
      <c r="F5" s="50">
        <v>64953.5</v>
      </c>
      <c r="G5" s="17">
        <f t="shared" si="0"/>
        <v>329427.5</v>
      </c>
      <c r="H5" s="17">
        <f t="shared" si="1"/>
        <v>28999.527333741804</v>
      </c>
      <c r="I5" s="17">
        <f t="shared" si="2"/>
        <v>300427.97266625823</v>
      </c>
    </row>
    <row r="6" spans="1:9" ht="15.75" customHeight="1" x14ac:dyDescent="0.25">
      <c r="A6" s="5">
        <f t="shared" si="3"/>
        <v>2028</v>
      </c>
      <c r="B6" s="49">
        <v>24909</v>
      </c>
      <c r="C6" s="50">
        <v>65860</v>
      </c>
      <c r="D6" s="50">
        <v>109629.5</v>
      </c>
      <c r="E6" s="50">
        <v>91397</v>
      </c>
      <c r="F6" s="50">
        <v>65876</v>
      </c>
      <c r="G6" s="17">
        <f t="shared" si="0"/>
        <v>332762.5</v>
      </c>
      <c r="H6" s="17">
        <f t="shared" si="1"/>
        <v>29083.594087698777</v>
      </c>
      <c r="I6" s="17">
        <f t="shared" si="2"/>
        <v>303678.90591230121</v>
      </c>
    </row>
    <row r="7" spans="1:9" ht="15.75" customHeight="1" x14ac:dyDescent="0.25">
      <c r="A7" s="5">
        <f t="shared" si="3"/>
        <v>2029</v>
      </c>
      <c r="B7" s="49">
        <v>24901</v>
      </c>
      <c r="C7" s="50">
        <v>65876</v>
      </c>
      <c r="D7" s="50">
        <v>110319</v>
      </c>
      <c r="E7" s="50">
        <v>92950.5</v>
      </c>
      <c r="F7" s="50">
        <v>66879.5</v>
      </c>
      <c r="G7" s="17">
        <f t="shared" si="0"/>
        <v>336025</v>
      </c>
      <c r="H7" s="17">
        <f t="shared" si="1"/>
        <v>29074.253337259113</v>
      </c>
      <c r="I7" s="17">
        <f t="shared" si="2"/>
        <v>306950.74666274089</v>
      </c>
    </row>
    <row r="8" spans="1:9" ht="15.75" customHeight="1" x14ac:dyDescent="0.25">
      <c r="A8" s="5">
        <f t="shared" si="3"/>
        <v>2030</v>
      </c>
      <c r="B8" s="49">
        <v>24941</v>
      </c>
      <c r="C8" s="50">
        <v>65966</v>
      </c>
      <c r="D8" s="50">
        <v>110653</v>
      </c>
      <c r="E8" s="50">
        <v>94640.5</v>
      </c>
      <c r="F8" s="50">
        <v>67992</v>
      </c>
      <c r="G8" s="17">
        <f t="shared" si="0"/>
        <v>339251.5</v>
      </c>
      <c r="H8" s="17">
        <f t="shared" si="1"/>
        <v>29120.957089457435</v>
      </c>
      <c r="I8" s="17">
        <f t="shared" si="2"/>
        <v>310130.54291054257</v>
      </c>
    </row>
    <row r="9" spans="1:9" ht="15.75" customHeight="1" x14ac:dyDescent="0.25">
      <c r="A9" s="5">
        <f t="shared" si="3"/>
        <v>2031</v>
      </c>
      <c r="B9" s="49">
        <v>24962</v>
      </c>
      <c r="C9" s="50">
        <v>66150.5</v>
      </c>
      <c r="D9" s="50">
        <v>110654</v>
      </c>
      <c r="E9" s="50">
        <v>96467</v>
      </c>
      <c r="F9" s="50">
        <v>69231</v>
      </c>
      <c r="G9" s="17">
        <f t="shared" si="0"/>
        <v>342502.5</v>
      </c>
      <c r="H9" s="17">
        <f t="shared" si="1"/>
        <v>29145.476559361552</v>
      </c>
      <c r="I9" s="17">
        <f t="shared" si="2"/>
        <v>313357.02344063844</v>
      </c>
    </row>
    <row r="10" spans="1:9" ht="15.75" customHeight="1" x14ac:dyDescent="0.25">
      <c r="A10" s="5">
        <f t="shared" si="3"/>
        <v>2032</v>
      </c>
      <c r="B10" s="49">
        <v>24922</v>
      </c>
      <c r="C10" s="50">
        <v>66413.000000000015</v>
      </c>
      <c r="D10" s="50">
        <v>110385.5</v>
      </c>
      <c r="E10" s="50">
        <v>98418</v>
      </c>
      <c r="F10" s="50">
        <v>70566</v>
      </c>
      <c r="G10" s="17">
        <f t="shared" si="0"/>
        <v>345782.5</v>
      </c>
      <c r="H10" s="17">
        <f t="shared" si="1"/>
        <v>29098.77280716323</v>
      </c>
      <c r="I10" s="17">
        <f t="shared" si="2"/>
        <v>316683.72719283676</v>
      </c>
    </row>
    <row r="11" spans="1:9" ht="15.75" customHeight="1" x14ac:dyDescent="0.25">
      <c r="A11" s="5">
        <f t="shared" si="3"/>
        <v>2033</v>
      </c>
      <c r="B11" s="49">
        <v>24922</v>
      </c>
      <c r="C11" s="50">
        <v>66713</v>
      </c>
      <c r="D11" s="50">
        <v>109979.5</v>
      </c>
      <c r="E11" s="50">
        <v>100375</v>
      </c>
      <c r="F11" s="50">
        <v>71965</v>
      </c>
      <c r="G11" s="17">
        <f t="shared" si="0"/>
        <v>349032.5</v>
      </c>
      <c r="H11" s="17">
        <f t="shared" si="1"/>
        <v>29098.77280716323</v>
      </c>
      <c r="I11" s="17">
        <f t="shared" si="2"/>
        <v>319933.72719283676</v>
      </c>
    </row>
    <row r="12" spans="1:9" ht="15.75" customHeight="1" x14ac:dyDescent="0.25">
      <c r="A12" s="5">
        <f t="shared" si="3"/>
        <v>2034</v>
      </c>
      <c r="B12" s="49">
        <v>24874</v>
      </c>
      <c r="C12" s="50">
        <v>67055.500000000015</v>
      </c>
      <c r="D12" s="50">
        <v>109597</v>
      </c>
      <c r="E12" s="50">
        <v>102182.5</v>
      </c>
      <c r="F12" s="50">
        <v>73444.5</v>
      </c>
      <c r="G12" s="17">
        <f t="shared" si="0"/>
        <v>352279.5</v>
      </c>
      <c r="H12" s="17">
        <f t="shared" si="1"/>
        <v>29042.728304525248</v>
      </c>
      <c r="I12" s="17">
        <f t="shared" si="2"/>
        <v>323236.77169547474</v>
      </c>
    </row>
    <row r="13" spans="1:9" ht="15.75" customHeight="1" x14ac:dyDescent="0.25">
      <c r="A13" s="5">
        <f t="shared" si="3"/>
        <v>2035</v>
      </c>
      <c r="B13" s="49">
        <v>24806</v>
      </c>
      <c r="C13" s="50">
        <v>67413.5</v>
      </c>
      <c r="D13" s="50">
        <v>109337.5</v>
      </c>
      <c r="E13" s="50">
        <v>103804.5</v>
      </c>
      <c r="F13" s="50">
        <v>74977.5</v>
      </c>
      <c r="G13" s="17">
        <f t="shared" si="0"/>
        <v>355533</v>
      </c>
      <c r="H13" s="17">
        <f t="shared" si="1"/>
        <v>28963.331925788105</v>
      </c>
      <c r="I13" s="17">
        <f t="shared" si="2"/>
        <v>326569.66807421192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NO1bXUH10EhEs3OrGQ/4gjBXPoFDRBKHndbXaIgsJY46dss8MDCEGjuir/74TwaY5pxTlLvyGCOA1pbtimucdQ==" saltValue="nrg6p47qo9NGmetxfPCdn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8.8169999999999932E-3</v>
      </c>
    </row>
    <row r="4" spans="1:8" ht="15.75" customHeight="1" x14ac:dyDescent="0.25">
      <c r="B4" s="19" t="s">
        <v>79</v>
      </c>
      <c r="C4" s="101">
        <v>5.5100499999999913E-2</v>
      </c>
    </row>
    <row r="5" spans="1:8" ht="15.75" customHeight="1" x14ac:dyDescent="0.25">
      <c r="B5" s="19" t="s">
        <v>80</v>
      </c>
      <c r="C5" s="101">
        <v>6.986630000000002E-2</v>
      </c>
    </row>
    <row r="6" spans="1:8" ht="15.75" customHeight="1" x14ac:dyDescent="0.25">
      <c r="B6" s="19" t="s">
        <v>81</v>
      </c>
      <c r="C6" s="101">
        <v>0.24833930000000001</v>
      </c>
    </row>
    <row r="7" spans="1:8" ht="15.75" customHeight="1" x14ac:dyDescent="0.25">
      <c r="B7" s="19" t="s">
        <v>82</v>
      </c>
      <c r="C7" s="101">
        <v>0.4203207000000001</v>
      </c>
    </row>
    <row r="8" spans="1:8" ht="15.75" customHeight="1" x14ac:dyDescent="0.25">
      <c r="B8" s="19" t="s">
        <v>83</v>
      </c>
      <c r="C8" s="101">
        <v>1.5927000000000001E-3</v>
      </c>
    </row>
    <row r="9" spans="1:8" ht="15.75" customHeight="1" x14ac:dyDescent="0.25">
      <c r="B9" s="19" t="s">
        <v>84</v>
      </c>
      <c r="C9" s="101">
        <v>7.7598499999999945E-2</v>
      </c>
    </row>
    <row r="10" spans="1:8" ht="15.75" customHeight="1" x14ac:dyDescent="0.25">
      <c r="B10" s="19" t="s">
        <v>85</v>
      </c>
      <c r="C10" s="101">
        <v>0.1183649999999999</v>
      </c>
    </row>
    <row r="11" spans="1:8" ht="15.75" customHeight="1" x14ac:dyDescent="0.25">
      <c r="B11" s="27" t="s">
        <v>41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0.19246063563713339</v>
      </c>
      <c r="D14" s="55">
        <v>0.19246063563713339</v>
      </c>
      <c r="E14" s="55">
        <v>0.19246063563713339</v>
      </c>
      <c r="F14" s="55">
        <v>0.19246063563713339</v>
      </c>
    </row>
    <row r="15" spans="1:8" ht="15.75" customHeight="1" x14ac:dyDescent="0.25">
      <c r="B15" s="19" t="s">
        <v>88</v>
      </c>
      <c r="C15" s="101">
        <v>0.2649449053983835</v>
      </c>
      <c r="D15" s="101">
        <v>0.2649449053983835</v>
      </c>
      <c r="E15" s="101">
        <v>0.2649449053983835</v>
      </c>
      <c r="F15" s="101">
        <v>0.2649449053983835</v>
      </c>
    </row>
    <row r="16" spans="1:8" ht="15.75" customHeight="1" x14ac:dyDescent="0.25">
      <c r="B16" s="19" t="s">
        <v>89</v>
      </c>
      <c r="C16" s="101">
        <v>2.1128147976965089E-2</v>
      </c>
      <c r="D16" s="101">
        <v>2.1128147976965089E-2</v>
      </c>
      <c r="E16" s="101">
        <v>2.1128147976965089E-2</v>
      </c>
      <c r="F16" s="101">
        <v>2.1128147976965089E-2</v>
      </c>
    </row>
    <row r="17" spans="1:8" ht="15.75" customHeight="1" x14ac:dyDescent="0.25">
      <c r="B17" s="19" t="s">
        <v>90</v>
      </c>
      <c r="C17" s="101">
        <v>4.0492182920467542E-3</v>
      </c>
      <c r="D17" s="101">
        <v>4.0492182920467542E-3</v>
      </c>
      <c r="E17" s="101">
        <v>4.0492182920467542E-3</v>
      </c>
      <c r="F17" s="101">
        <v>4.0492182920467542E-3</v>
      </c>
    </row>
    <row r="18" spans="1:8" ht="15.75" customHeight="1" x14ac:dyDescent="0.25">
      <c r="B18" s="19" t="s">
        <v>91</v>
      </c>
      <c r="C18" s="101">
        <v>6.9602010278532786E-2</v>
      </c>
      <c r="D18" s="101">
        <v>6.9602010278532786E-2</v>
      </c>
      <c r="E18" s="101">
        <v>6.9602010278532786E-2</v>
      </c>
      <c r="F18" s="101">
        <v>6.9602010278532786E-2</v>
      </c>
    </row>
    <row r="19" spans="1:8" ht="15.75" customHeight="1" x14ac:dyDescent="0.25">
      <c r="B19" s="19" t="s">
        <v>92</v>
      </c>
      <c r="C19" s="101">
        <v>7.8603843456375461E-3</v>
      </c>
      <c r="D19" s="101">
        <v>7.8603843456375461E-3</v>
      </c>
      <c r="E19" s="101">
        <v>7.8603843456375461E-3</v>
      </c>
      <c r="F19" s="101">
        <v>7.8603843456375461E-3</v>
      </c>
    </row>
    <row r="20" spans="1:8" ht="15.75" customHeight="1" x14ac:dyDescent="0.25">
      <c r="B20" s="19" t="s">
        <v>93</v>
      </c>
      <c r="C20" s="101">
        <v>3.9660599476444458E-2</v>
      </c>
      <c r="D20" s="101">
        <v>3.9660599476444458E-2</v>
      </c>
      <c r="E20" s="101">
        <v>3.9660599476444458E-2</v>
      </c>
      <c r="F20" s="101">
        <v>3.9660599476444458E-2</v>
      </c>
    </row>
    <row r="21" spans="1:8" ht="15.75" customHeight="1" x14ac:dyDescent="0.25">
      <c r="B21" s="19" t="s">
        <v>94</v>
      </c>
      <c r="C21" s="101">
        <v>0.1392684087204811</v>
      </c>
      <c r="D21" s="101">
        <v>0.1392684087204811</v>
      </c>
      <c r="E21" s="101">
        <v>0.1392684087204811</v>
      </c>
      <c r="F21" s="101">
        <v>0.1392684087204811</v>
      </c>
    </row>
    <row r="22" spans="1:8" ht="15.75" customHeight="1" x14ac:dyDescent="0.25">
      <c r="B22" s="19" t="s">
        <v>95</v>
      </c>
      <c r="C22" s="101">
        <v>0.26102568987437541</v>
      </c>
      <c r="D22" s="101">
        <v>0.26102568987437541</v>
      </c>
      <c r="E22" s="101">
        <v>0.26102568987437541</v>
      </c>
      <c r="F22" s="101">
        <v>0.26102568987437541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4.4741791000000003E-2</v>
      </c>
    </row>
    <row r="27" spans="1:8" ht="15.75" customHeight="1" x14ac:dyDescent="0.25">
      <c r="B27" s="19" t="s">
        <v>102</v>
      </c>
      <c r="C27" s="101">
        <v>2.6038460999999999E-2</v>
      </c>
    </row>
    <row r="28" spans="1:8" ht="15.75" customHeight="1" x14ac:dyDescent="0.25">
      <c r="B28" s="19" t="s">
        <v>103</v>
      </c>
      <c r="C28" s="101">
        <v>0.189573254</v>
      </c>
    </row>
    <row r="29" spans="1:8" ht="15.75" customHeight="1" x14ac:dyDescent="0.25">
      <c r="B29" s="19" t="s">
        <v>104</v>
      </c>
      <c r="C29" s="101">
        <v>0.14647354200000001</v>
      </c>
    </row>
    <row r="30" spans="1:8" ht="15.75" customHeight="1" x14ac:dyDescent="0.25">
      <c r="B30" s="19" t="s">
        <v>2</v>
      </c>
      <c r="C30" s="101">
        <v>4.8331328999999999E-2</v>
      </c>
    </row>
    <row r="31" spans="1:8" ht="15.75" customHeight="1" x14ac:dyDescent="0.25">
      <c r="B31" s="19" t="s">
        <v>105</v>
      </c>
      <c r="C31" s="101">
        <v>2.9691288999999999E-2</v>
      </c>
    </row>
    <row r="32" spans="1:8" ht="15.75" customHeight="1" x14ac:dyDescent="0.25">
      <c r="B32" s="19" t="s">
        <v>106</v>
      </c>
      <c r="C32" s="101">
        <v>8.2147682999999999E-2</v>
      </c>
    </row>
    <row r="33" spans="2:3" ht="15.75" customHeight="1" x14ac:dyDescent="0.25">
      <c r="B33" s="19" t="s">
        <v>107</v>
      </c>
      <c r="C33" s="101">
        <v>0.16250015100000001</v>
      </c>
    </row>
    <row r="34" spans="2:3" ht="15.75" customHeight="1" x14ac:dyDescent="0.25">
      <c r="B34" s="19" t="s">
        <v>108</v>
      </c>
      <c r="C34" s="101">
        <v>0.27050250100000001</v>
      </c>
    </row>
    <row r="35" spans="2:3" ht="15.75" customHeight="1" x14ac:dyDescent="0.25">
      <c r="B35" s="27" t="s">
        <v>41</v>
      </c>
      <c r="C35" s="48">
        <f>SUM(C26:C34)</f>
        <v>1.0000000010000001</v>
      </c>
    </row>
  </sheetData>
  <sheetProtection algorithmName="SHA-512" hashValue="1ykGJRyQhpqhawu20xQ76Dx9KZXNZA44v9KVzS3dmSGDDbYEOYN3s8V7hiVTr8w05j3DFh9Ve45PyBtpTFHxLg==" saltValue="MteeNUFZoM8RS3be9mRTA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0.38682505991318183</v>
      </c>
      <c r="D2" s="52">
        <f>IFERROR(1-_xlfn.NORM.DIST(_xlfn.NORM.INV(SUM(D4:D5), 0, 1) + 1, 0, 1, TRUE), "")</f>
        <v>0.38682505991318183</v>
      </c>
      <c r="E2" s="52">
        <f>IFERROR(1-_xlfn.NORM.DIST(_xlfn.NORM.INV(SUM(E4:E5), 0, 1) + 1, 0, 1, TRUE), "")</f>
        <v>0.45166447232247831</v>
      </c>
      <c r="F2" s="52">
        <f>IFERROR(1-_xlfn.NORM.DIST(_xlfn.NORM.INV(SUM(F4:F5), 0, 1) + 1, 0, 1, TRUE), "")</f>
        <v>0.18289189106172676</v>
      </c>
      <c r="G2" s="52">
        <f>IFERROR(1-_xlfn.NORM.DIST(_xlfn.NORM.INV(SUM(G4:G5), 0, 1) + 1, 0, 1, TRUE), "")</f>
        <v>0.30274689464556115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0.37506524008681819</v>
      </c>
      <c r="D3" s="52">
        <f>IFERROR(_xlfn.NORM.DIST(_xlfn.NORM.INV(SUM(D4:D5), 0, 1) + 1, 0, 1, TRUE) - SUM(D4:D5), "")</f>
        <v>0.37506524008681819</v>
      </c>
      <c r="E3" s="52">
        <f>IFERROR(_xlfn.NORM.DIST(_xlfn.NORM.INV(SUM(E4:E5), 0, 1) + 1, 0, 1, TRUE) - SUM(E4:E5), "")</f>
        <v>0.35851092767752168</v>
      </c>
      <c r="F3" s="52">
        <f>IFERROR(_xlfn.NORM.DIST(_xlfn.NORM.INV(SUM(F4:F5), 0, 1) + 1, 0, 1, TRUE) - SUM(F4:F5), "")</f>
        <v>0.35518930893827322</v>
      </c>
      <c r="G3" s="52">
        <f>IFERROR(_xlfn.NORM.DIST(_xlfn.NORM.INV(SUM(G4:G5), 0, 1) + 1, 0, 1, TRUE) - SUM(G4:G5), "")</f>
        <v>0.38287690535443886</v>
      </c>
    </row>
    <row r="4" spans="1:15" ht="15.75" customHeight="1" x14ac:dyDescent="0.25">
      <c r="B4" s="5" t="s">
        <v>114</v>
      </c>
      <c r="C4" s="45">
        <v>7.2689599999999993E-2</v>
      </c>
      <c r="D4" s="53">
        <v>7.2689599999999993E-2</v>
      </c>
      <c r="E4" s="53">
        <v>4.0676999999999998E-2</v>
      </c>
      <c r="F4" s="53">
        <v>0.18425859999999999</v>
      </c>
      <c r="G4" s="53">
        <v>0.11971710000000001</v>
      </c>
    </row>
    <row r="5" spans="1:15" ht="15.75" customHeight="1" x14ac:dyDescent="0.25">
      <c r="B5" s="5" t="s">
        <v>115</v>
      </c>
      <c r="C5" s="45">
        <v>0.16542009999999999</v>
      </c>
      <c r="D5" s="53">
        <v>0.16542009999999999</v>
      </c>
      <c r="E5" s="53">
        <v>0.14914759999999999</v>
      </c>
      <c r="F5" s="53">
        <v>0.27766020000000002</v>
      </c>
      <c r="G5" s="53">
        <v>0.1946591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0.18445850137133024</v>
      </c>
      <c r="D8" s="52">
        <f>IFERROR(1-_xlfn.NORM.DIST(_xlfn.NORM.INV(SUM(D10:D11), 0, 1) + 1, 0, 1, TRUE), "")</f>
        <v>0.18445850137133024</v>
      </c>
      <c r="E8" s="52">
        <f>IFERROR(1-_xlfn.NORM.DIST(_xlfn.NORM.INV(SUM(E10:E11), 0, 1) + 1, 0, 1, TRUE), "")</f>
        <v>0.32662506351033715</v>
      </c>
      <c r="F8" s="52">
        <f>IFERROR(1-_xlfn.NORM.DIST(_xlfn.NORM.INV(SUM(F10:F11), 0, 1) + 1, 0, 1, TRUE), "")</f>
        <v>0.35941781510395909</v>
      </c>
      <c r="G8" s="52">
        <f>IFERROR(1-_xlfn.NORM.DIST(_xlfn.NORM.INV(SUM(G10:G11), 0, 1) + 1, 0, 1, TRUE), "")</f>
        <v>0.39141488892640375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0.35596319862866976</v>
      </c>
      <c r="D9" s="52">
        <f>IFERROR(_xlfn.NORM.DIST(_xlfn.NORM.INV(SUM(D10:D11), 0, 1) + 1, 0, 1, TRUE) - SUM(D10:D11), "")</f>
        <v>0.35596319862866976</v>
      </c>
      <c r="E9" s="52">
        <f>IFERROR(_xlfn.NORM.DIST(_xlfn.NORM.INV(SUM(E10:E11), 0, 1) + 1, 0, 1, TRUE) - SUM(E10:E11), "")</f>
        <v>0.38247183648966282</v>
      </c>
      <c r="F9" s="52">
        <f>IFERROR(_xlfn.NORM.DIST(_xlfn.NORM.INV(SUM(F10:F11), 0, 1) + 1, 0, 1, TRUE) - SUM(F10:F11), "")</f>
        <v>0.37949088489604094</v>
      </c>
      <c r="G9" s="52">
        <f>IFERROR(_xlfn.NORM.DIST(_xlfn.NORM.INV(SUM(G10:G11), 0, 1) + 1, 0, 1, TRUE) - SUM(G10:G11), "")</f>
        <v>0.37416481107359623</v>
      </c>
    </row>
    <row r="10" spans="1:15" ht="15.75" customHeight="1" x14ac:dyDescent="0.25">
      <c r="B10" s="5" t="s">
        <v>119</v>
      </c>
      <c r="C10" s="45">
        <v>0.24267030000000001</v>
      </c>
      <c r="D10" s="53">
        <v>0.24267030000000001</v>
      </c>
      <c r="E10" s="53">
        <v>0.10680630000000001</v>
      </c>
      <c r="F10" s="53">
        <v>8.5183999999999996E-2</v>
      </c>
      <c r="G10" s="53">
        <v>9.2542200000000005E-2</v>
      </c>
    </row>
    <row r="11" spans="1:15" ht="15.75" customHeight="1" x14ac:dyDescent="0.25">
      <c r="B11" s="5" t="s">
        <v>120</v>
      </c>
      <c r="C11" s="45">
        <v>0.21690799999999999</v>
      </c>
      <c r="D11" s="53">
        <v>0.21690799999999999</v>
      </c>
      <c r="E11" s="53">
        <v>0.1840968</v>
      </c>
      <c r="F11" s="53">
        <v>0.17590729999999999</v>
      </c>
      <c r="G11" s="53">
        <v>0.14187810000000001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0.53744121300000003</v>
      </c>
      <c r="D14" s="54">
        <v>0.52109150421700001</v>
      </c>
      <c r="E14" s="54">
        <v>0.52109150421700001</v>
      </c>
      <c r="F14" s="54">
        <v>0.50456223493399999</v>
      </c>
      <c r="G14" s="54">
        <v>0.50456223493399999</v>
      </c>
      <c r="H14" s="45">
        <v>0.376</v>
      </c>
      <c r="I14" s="55">
        <v>0.376</v>
      </c>
      <c r="J14" s="55">
        <v>0.376</v>
      </c>
      <c r="K14" s="55">
        <v>0.376</v>
      </c>
      <c r="L14" s="45">
        <v>0.32400000000000001</v>
      </c>
      <c r="M14" s="55">
        <v>0.32400000000000001</v>
      </c>
      <c r="N14" s="55">
        <v>0.32400000000000001</v>
      </c>
      <c r="O14" s="55">
        <v>0.32400000000000001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0.28583757169283702</v>
      </c>
      <c r="D15" s="52">
        <f t="shared" si="0"/>
        <v>0.27714199542630724</v>
      </c>
      <c r="E15" s="52">
        <f t="shared" si="0"/>
        <v>0.27714199542630724</v>
      </c>
      <c r="F15" s="52">
        <f t="shared" si="0"/>
        <v>0.26835092008741296</v>
      </c>
      <c r="G15" s="52">
        <f t="shared" si="0"/>
        <v>0.26835092008741296</v>
      </c>
      <c r="H15" s="52">
        <f t="shared" si="0"/>
        <v>0.19997522400000001</v>
      </c>
      <c r="I15" s="52">
        <f t="shared" si="0"/>
        <v>0.19997522400000001</v>
      </c>
      <c r="J15" s="52">
        <f t="shared" si="0"/>
        <v>0.19997522400000001</v>
      </c>
      <c r="K15" s="52">
        <f t="shared" si="0"/>
        <v>0.19997522400000001</v>
      </c>
      <c r="L15" s="52">
        <f t="shared" si="0"/>
        <v>0.17231907600000002</v>
      </c>
      <c r="M15" s="52">
        <f t="shared" si="0"/>
        <v>0.17231907600000002</v>
      </c>
      <c r="N15" s="52">
        <f t="shared" si="0"/>
        <v>0.17231907600000002</v>
      </c>
      <c r="O15" s="52">
        <f t="shared" si="0"/>
        <v>0.17231907600000002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GhugS0uR1i7J+4US0BLImkAXvhlwhqFRLfdXzDXP3LPN7+MBy09hUcEX5IpEPqiVyu/bmLJWQSuGuBz/CH84ew==" saltValue="yh+RWCT+ZNTXM8hjR82uM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3.7690899999999999E-2</v>
      </c>
      <c r="D2" s="53">
        <v>1.41438E-2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0.17248140000000001</v>
      </c>
      <c r="D3" s="53">
        <v>0.16339989999999999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0.72435209999999994</v>
      </c>
      <c r="D4" s="53">
        <v>0.73373260000000007</v>
      </c>
      <c r="E4" s="53">
        <v>0.68563439999999998</v>
      </c>
      <c r="F4" s="53">
        <v>0.38439060000000003</v>
      </c>
      <c r="G4" s="53">
        <v>0</v>
      </c>
    </row>
    <row r="5" spans="1:7" x14ac:dyDescent="0.25">
      <c r="B5" s="3" t="s">
        <v>132</v>
      </c>
      <c r="C5" s="52">
        <v>6.5475599999999995E-2</v>
      </c>
      <c r="D5" s="52">
        <v>8.8723700000000003E-2</v>
      </c>
      <c r="E5" s="52">
        <f>1-SUM(E2:E4)</f>
        <v>0.31436560000000002</v>
      </c>
      <c r="F5" s="52">
        <f>1-SUM(F2:F4)</f>
        <v>0.61560939999999997</v>
      </c>
      <c r="G5" s="52">
        <f>1-SUM(G2:G4)</f>
        <v>1</v>
      </c>
    </row>
  </sheetData>
  <sheetProtection algorithmName="SHA-512" hashValue="9OatI+d6aENR9rTM4mjNM+ObYkZLZlkjcqsXcE5KkDjUCJXekInyNue0TKTV+XgblxFfAPflyi4MrhY/nahnkw==" saltValue="SpHF7qo7i6+t7aDqkFOl2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O7KyXaFFkZ4nDefACOU742w/a1ApO7haecz3Dw280xS6q4HmRVcWvfvH1HXVVB/pdjMUoc9qkG5AIOkzJfckdA==" saltValue="Byh60bjxxP7flrDm7O4sk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YSFEvcWtFGJV9IVkdKX+xkKRpuTZ0zxdkGlRIujt51QHtL63PqXTuT+Yoezb/OLbuPqdX8WTh9w/kvnLFPBxhQ==" saltValue="ct9yTJ0vYsO2EiOev8LNN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TdJE0N3LA0ZNnzAwLaAgvpBu03t0Y3brUgGZqaIrWQRKNhx5LFPx452pCsNkBrS6cp358Mvm/KT+A1AgXjqdMA==" saltValue="rYyfl3npWMkaI4+VNOmN0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fdPtS4VUv6G5Js3xCke2+YACOlHC17b/zQeTY9VqTOqW5Dwc+2RhwBF2O44cfyZCZ2Qj64rm7Dlk/OVN6LRmjA==" saltValue="Da71jinuWd8Jk32s3fVpI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43.538824130096224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5.5873076000000001E-2</v>
      </c>
      <c r="C3" s="98">
        <v>0.95</v>
      </c>
      <c r="D3" s="56">
        <v>39.555341049656008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187.22300000000001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0.47937144420386901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</v>
      </c>
      <c r="C10" s="98">
        <v>0.95</v>
      </c>
      <c r="D10" s="56">
        <v>12.687640493451919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12.687640493451919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12.687640493451919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12.687640493451919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</v>
      </c>
      <c r="C14" s="98">
        <v>0.95</v>
      </c>
      <c r="D14" s="56">
        <v>12.687640493451919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12.687640493451919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0.99</v>
      </c>
      <c r="C16" s="98">
        <v>0.95</v>
      </c>
      <c r="D16" s="56">
        <v>0.39440629334727351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0.90249999999999997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0.11008927186433</v>
      </c>
      <c r="C18" s="98">
        <v>0.95</v>
      </c>
      <c r="D18" s="56">
        <v>4.3845374540579991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0.66905209999999993</v>
      </c>
      <c r="C19" s="98">
        <v>0.95</v>
      </c>
      <c r="D19" s="56">
        <v>4.3845374540579991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0.83361079999999999</v>
      </c>
      <c r="C21" s="98">
        <v>0.95</v>
      </c>
      <c r="D21" s="56">
        <v>4.3947620614430702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21.724653940727581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4.0765008182611906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0.83422020490196003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18.207243489598099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0.65419362903763001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80.575440792660984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0.78</v>
      </c>
      <c r="C31" s="98">
        <v>0.95</v>
      </c>
      <c r="D31" s="56">
        <v>7.6024020713157681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0.81346282995132901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0.78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0.23100000000000001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0.61573460000000002</v>
      </c>
      <c r="C38" s="98">
        <v>0.95</v>
      </c>
      <c r="D38" s="56">
        <v>2.5817575544536639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td+ttn9smgA1AkTRfpa7e5K96+0n0ci56P9V7X2McZbD/0xsMSSjxliZz3eOA8oRqmnTImliC8Fw33v7HkcqVA==" saltValue="HRzn1nWJZAqA8gpmUEVWn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FvXXvdQG6RkFax6GZ+XKpPZR/HPVfy2r6BctKILAa1MMjHDIkDKkibWs6M51HW4mDdGfxQxh7lV6fG+IMrMI9A==" saltValue="8D8NpxENOwr3smjNIW99G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0uxx1+smCSXDQ/ksSDbrU4m7GACr4rHk9FiSO318PhdiC8G9KSw4HIpNY/8ArTjqiVC48vMygK/CDhsgwK3XYA==" saltValue="eis5Jd26gSk/o3ZGB4T3O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0.63094278000000004</v>
      </c>
      <c r="C3" s="21">
        <f>frac_mam_1_5months * 2.6</f>
        <v>0.63094278000000004</v>
      </c>
      <c r="D3" s="21">
        <f>frac_mam_6_11months * 2.6</f>
        <v>0.27769638000000002</v>
      </c>
      <c r="E3" s="21">
        <f>frac_mam_12_23months * 2.6</f>
        <v>0.22147839999999999</v>
      </c>
      <c r="F3" s="21">
        <f>frac_mam_24_59months * 2.6</f>
        <v>0.24060972000000003</v>
      </c>
    </row>
    <row r="4" spans="1:6" ht="15.75" customHeight="1" x14ac:dyDescent="0.25">
      <c r="A4" s="3" t="s">
        <v>208</v>
      </c>
      <c r="B4" s="21">
        <f>frac_sam_1month * 2.6</f>
        <v>0.56396080000000004</v>
      </c>
      <c r="C4" s="21">
        <f>frac_sam_1_5months * 2.6</f>
        <v>0.56396080000000004</v>
      </c>
      <c r="D4" s="21">
        <f>frac_sam_6_11months * 2.6</f>
        <v>0.47865168000000002</v>
      </c>
      <c r="E4" s="21">
        <f>frac_sam_12_23months * 2.6</f>
        <v>0.45735897999999997</v>
      </c>
      <c r="F4" s="21">
        <f>frac_sam_24_59months * 2.6</f>
        <v>0.36888306000000004</v>
      </c>
    </row>
  </sheetData>
  <sheetProtection algorithmName="SHA-512" hashValue="EVbu2y/rytgByVdcFoJ2x3wKoNRvQyWP3IsS4X2XAmYLBayCvZAb95ee0WmHB4YQgwCucCJuafno7X8Go2HkNg==" saltValue="XcyXgZrcqEZYaNPFB5iIe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0.17100000000000001</v>
      </c>
      <c r="E2" s="60">
        <f>food_insecure</f>
        <v>0.17100000000000001</v>
      </c>
      <c r="F2" s="60">
        <f>food_insecure</f>
        <v>0.17100000000000001</v>
      </c>
      <c r="G2" s="60">
        <f>food_insecure</f>
        <v>0.17100000000000001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0.17100000000000001</v>
      </c>
      <c r="F5" s="60">
        <f>food_insecure</f>
        <v>0.17100000000000001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0.17100000000000001</v>
      </c>
      <c r="F8" s="60">
        <f>food_insecure</f>
        <v>0.17100000000000001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0.17100000000000001</v>
      </c>
      <c r="F9" s="60">
        <f>food_insecure</f>
        <v>0.17100000000000001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0.17100000000000001</v>
      </c>
      <c r="I15" s="60">
        <f>food_insecure</f>
        <v>0.17100000000000001</v>
      </c>
      <c r="J15" s="60">
        <f>food_insecure</f>
        <v>0.17100000000000001</v>
      </c>
      <c r="K15" s="60">
        <f>food_insecure</f>
        <v>0.17100000000000001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0.36399999999999999</v>
      </c>
      <c r="M24" s="60">
        <f>famplan_unmet_need</f>
        <v>0.36399999999999999</v>
      </c>
      <c r="N24" s="60">
        <f>famplan_unmet_need</f>
        <v>0.36399999999999999</v>
      </c>
      <c r="O24" s="60">
        <f>famplan_unmet_need</f>
        <v>0.36399999999999999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0.35943172137203216</v>
      </c>
      <c r="M25" s="60">
        <f>(1-food_insecure)*(0.49)+food_insecure*(0.7)</f>
        <v>0.52590999999999999</v>
      </c>
      <c r="N25" s="60">
        <f>(1-food_insecure)*(0.49)+food_insecure*(0.7)</f>
        <v>0.52590999999999999</v>
      </c>
      <c r="O25" s="60">
        <f>(1-food_insecure)*(0.49)+food_insecure*(0.7)</f>
        <v>0.52590999999999999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0.1540421663022995</v>
      </c>
      <c r="M26" s="60">
        <f>(1-food_insecure)*(0.21)+food_insecure*(0.3)</f>
        <v>0.22539000000000001</v>
      </c>
      <c r="N26" s="60">
        <f>(1-food_insecure)*(0.21)+food_insecure*(0.3)</f>
        <v>0.22539000000000001</v>
      </c>
      <c r="O26" s="60">
        <f>(1-food_insecure)*(0.21)+food_insecure*(0.3)</f>
        <v>0.22539000000000001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0.16997332073020932</v>
      </c>
      <c r="M27" s="60">
        <f>(1-food_insecure)*(0.3)</f>
        <v>0.24869999999999998</v>
      </c>
      <c r="N27" s="60">
        <f>(1-food_insecure)*(0.3)</f>
        <v>0.24869999999999998</v>
      </c>
      <c r="O27" s="60">
        <f>(1-food_insecure)*(0.3)</f>
        <v>0.24869999999999998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0.31655279159545902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XmmQqwF20HB83lZ/DWev8K2ZTkFDBrPwYb2rDcK960bZXq4udyOsmshBLPbELrLbPgvIfy+QYYuxw4TuA69hXw==" saltValue="8Uaj7N0e5JZm+xLzYivyM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wDVp2+WIithR4XxH/F9EAgK/hq4uvSLNHcVlJESde5vmdTFQ7zygSA7rNE2DUrA4NUMpDsfWxCQpVsBRPpOGlg==" saltValue="WFIxpfogjhVp0pkiN4ile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ser3qCzFGo+uDeV14rE4QNG60kAyQyMOFhebrzVJForQuIR7ILdlUY1GogV+vZrTiUE+Ah6QLhIg5NGLWCApMQ==" saltValue="mjMIS3Nhocv6Lay6L86zr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bH89ZHHWOT9yJI5hEPxOp42RYHc9n4zxq99xZ6wj4V9TR2EwF0SojzbPk10+lXgjaWFFIglwGp5hpV8LLnf1ZQ==" saltValue="zQEn7VT9gfU/hqtXg41kf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3w+fRM3L7Vhi/muBL307S2nTelrhu3w6+bx4xMOd+i3nY+JWYpZMf+VPqu2evJmQF7AXwuLONoxAbjARp9AP5A==" saltValue="sv1ku0v4smmQFXMTHD/zp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suyKC+Z3AOoURxz0+gy91cIS1R9UkqkJbq2dBnY2V1LtZSKnZQRK6egirR47zU6aGGEjk/nHnyWIzTekY40L7A==" saltValue="CLcDn4sWM5X3jBZdj2/0q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1n/chqtY0EAzNN06fJrXhFZlEt1U7gE60Tpi+2Zp5vMCozHu9jqDGUm+pPPK9gnPS7+h7gUTTSrgr1LxnfrEcw==" saltValue="a6Kt7AUJUGsVF1lPfVA/H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chEAxz6SUxek3T5oZzfZWtYoqo41wqaRfrzdRylM6UwuTF7s+s5ouTWmu6r/8LxUXhBAjLoDinrNKJ0biWtSdw==" saltValue="yNMJV8L8vXqpASIlJn+Vo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SXU9wgFQs1xpl9UlqlJHtDBdxOn9LXfPgqNeSw1F3pjXprl/Rmbe8LpwW37n9bi3UTANtSXHWgnjxuAcdOZEcg==" saltValue="A/97qwg+bX1o2vel8Euxz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e4qEzlKCSHW1xq/wMsnzuar4B8usl3iCWRh0D13hR4ndZwjWjMopc0xcs2FXP3YEVm8k8wvseE2o99YeiLvh1Q==" saltValue="U1asKD2f0Lb2OPlfjRrWX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6YVA2XA041TekXiXAndUYf6PRPXnKKAZ9zmbLkAcH4Y+Ac29Y9Ooh64LSm8V5x6XU6A5oPBURDkJVuWGvLpe1g==" saltValue="d8trs90WmJeI7PIs2fQmY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s7xGhNnZx4BJ4ZkgTtR2nnEN8iGkgaYQAYAlGmXzeFT2WxbUtz5cAQqxJJ8Vs2UvmE9uxaSHyD8Z9ebAonsdIA==" saltValue="td1/DS0L3oScJdn6EQvBS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GfAC0m5BjwTJySANW3DIh8l1u69fICs7OZegpHr43hdl904aii8vfslsoati7cU6qUErGQTAPHISVaf8kQtB3Q==" saltValue="zjb4EVUsY3hzN+DigT9OF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URjC7mDbGWEnMitNdC9ed9JHol8Y25G6boSPmrMsPeFBvSw9pYcb2h8tEHhw6Y6jVmxHrBF3oQOpFycl3+SKlw==" saltValue="zSO+9sFpDeSGRiW7Fn8YJ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VJ375SrlyywL1Hgl2m4HdwA+OGZT48H5PRbmnEsFcwUQWEjRVJjwsbYv0t74tocJtHy/bmkiMePAbCS1+XkU0Q==" saltValue="wu+SMSqpQrHk5C9xn+dr8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2024-05-17T00:22:13Z</dcterms:modified>
</cp:coreProperties>
</file>