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8CAE7DC-50AB-4568-A839-D63A560F13D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36" i="2"/>
  <c r="A22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<sst xmlns="http://schemas.openxmlformats.org/spreadsheetml/2006/main" count="2169" uniqueCount="369">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</sst>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3196098</v>
      </c>
    </row>
    <row r="8" spans="1:3" ht="15" customHeight="1" x14ac:dyDescent="0.25">
      <c r="B8" s="5" t="s">
        <v>37</v>
      </c>
      <c r="C8" s="44">
        <v>0.50700000000000001</v>
      </c>
    </row>
    <row r="9" spans="1:3" ht="15" customHeight="1" x14ac:dyDescent="0.25">
      <c r="B9" s="5" t="s">
        <v>38</v>
      </c>
      <c r="C9" s="45">
        <v>0.77</v>
      </c>
    </row>
    <row r="10" spans="1:3" ht="15" customHeight="1" x14ac:dyDescent="0.25">
      <c r="B10" s="5" t="s">
        <v>39</v>
      </c>
      <c r="C10" s="45">
        <v>0.34760960000000002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0.15459999999999999</v>
      </c>
    </row>
    <row r="24" spans="1:3" ht="15" customHeight="1" x14ac:dyDescent="0.25">
      <c r="B24" s="15" t="s">
        <v>51</v>
      </c>
      <c r="C24" s="45">
        <v>0.46519999999999989</v>
      </c>
    </row>
    <row r="25" spans="1:3" ht="15" customHeight="1" x14ac:dyDescent="0.25">
      <c r="B25" s="15" t="s">
        <v>52</v>
      </c>
      <c r="C25" s="45">
        <v>0.30449999999999999</v>
      </c>
    </row>
    <row r="26" spans="1:3" ht="15" customHeight="1" x14ac:dyDescent="0.25">
      <c r="B26" s="15" t="s">
        <v>53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0.26147459341354901</v>
      </c>
    </row>
    <row r="30" spans="1:3" ht="14.25" customHeight="1" x14ac:dyDescent="0.25">
      <c r="B30" s="25" t="s">
        <v>56</v>
      </c>
      <c r="C30" s="97">
        <v>3.1847694141973401E-2</v>
      </c>
    </row>
    <row r="31" spans="1:3" ht="14.25" customHeight="1" x14ac:dyDescent="0.25">
      <c r="B31" s="25" t="s">
        <v>57</v>
      </c>
      <c r="C31" s="97">
        <v>5.2301559488866299E-2</v>
      </c>
    </row>
    <row r="32" spans="1:3" ht="14.25" customHeight="1" x14ac:dyDescent="0.25">
      <c r="B32" s="25" t="s">
        <v>58</v>
      </c>
      <c r="C32" s="97">
        <v>0.65437615295561202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19.29918</v>
      </c>
    </row>
    <row r="38" spans="1:5" ht="15" customHeight="1" x14ac:dyDescent="0.25">
      <c r="B38" s="11" t="s">
        <v>63</v>
      </c>
      <c r="C38" s="43">
        <v>31.23901</v>
      </c>
      <c r="D38" s="12"/>
      <c r="E38" s="13"/>
    </row>
    <row r="39" spans="1:5" ht="15" customHeight="1" x14ac:dyDescent="0.25">
      <c r="B39" s="11" t="s">
        <v>64</v>
      </c>
      <c r="C39" s="43">
        <v>41.899279999999997</v>
      </c>
      <c r="D39" s="12"/>
      <c r="E39" s="12"/>
    </row>
    <row r="40" spans="1:5" ht="15" customHeight="1" x14ac:dyDescent="0.25">
      <c r="B40" s="11" t="s">
        <v>65</v>
      </c>
      <c r="C40" s="98">
        <v>3.81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71</v>
      </c>
      <c r="C47" s="45">
        <v>0.15164759999999999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3.302</v>
      </c>
      <c r="D51" s="12"/>
    </row>
    <row r="52" spans="1:4" ht="15" customHeight="1" x14ac:dyDescent="0.25">
      <c r="B52" s="11" t="s">
        <v>75</v>
      </c>
      <c r="C52" s="98">
        <v>3.302</v>
      </c>
    </row>
    <row r="53" spans="1:4" ht="15.75" customHeight="1" x14ac:dyDescent="0.25">
      <c r="B53" s="11" t="s">
        <v>76</v>
      </c>
      <c r="C53" s="98">
        <v>10.738</v>
      </c>
    </row>
    <row r="54" spans="1:4" ht="15.75" customHeight="1" x14ac:dyDescent="0.25">
      <c r="B54" s="11" t="s">
        <v>77</v>
      </c>
      <c r="C54" s="98">
        <v>9.6460000000000008</v>
      </c>
    </row>
    <row r="55" spans="1:4" ht="15.75" customHeight="1" x14ac:dyDescent="0.25">
      <c r="B55" s="11" t="s">
        <v>78</v>
      </c>
      <c r="C55" s="98">
        <v>3.8566666666666669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0.49510700000000002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0.1557640226</v>
      </c>
    </row>
    <row r="63" spans="1:4" ht="15.75" customHeight="1" x14ac:dyDescent="0.3">
      <c r="A63" s="4"/>
    </row>
  </sheetData>
  <sheetProtection algorithmName="SHA-512" hashValue="ESfr5x8vcC2lZEOmMKxVGEC/l73khHAWn28DfIuPXDHiRZub8Cf9VNH319ElCKHdAE84nbOp0wxLoi/K7y1n+w==" saltValue="kVK0vi/ASoUQGxL2vlUr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rZSOSbtuCD5g57N3fmu6T4MCN5I07lNqTqIqsb4n1kZfzD+74RNtrFMEM8WjkUYE7ReOS+AhXFXthtgRGKwHA==" saltValue="HpG8xTb7sxtHFUplHQou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1.277209872279011E-2</v>
      </c>
    </row>
    <row r="4" spans="1:8" ht="15.75" customHeight="1" x14ac:dyDescent="0.25">
      <c r="B4" s="19" t="s">
        <v>97</v>
      </c>
      <c r="C4" s="99">
        <v>5.3933894606610487E-2</v>
      </c>
    </row>
    <row r="5" spans="1:8" ht="15.75" customHeight="1" x14ac:dyDescent="0.25">
      <c r="B5" s="19" t="s">
        <v>98</v>
      </c>
      <c r="C5" s="99">
        <v>7.7123692287630718E-2</v>
      </c>
    </row>
    <row r="6" spans="1:8" ht="15.75" customHeight="1" x14ac:dyDescent="0.25">
      <c r="B6" s="19" t="s">
        <v>99</v>
      </c>
      <c r="C6" s="99">
        <v>0.244385075561493</v>
      </c>
    </row>
    <row r="7" spans="1:8" ht="15.75" customHeight="1" x14ac:dyDescent="0.25">
      <c r="B7" s="19" t="s">
        <v>100</v>
      </c>
      <c r="C7" s="99">
        <v>0.41540115845988412</v>
      </c>
    </row>
    <row r="8" spans="1:8" ht="15.75" customHeight="1" x14ac:dyDescent="0.25">
      <c r="B8" s="19" t="s">
        <v>101</v>
      </c>
      <c r="C8" s="99">
        <v>1.690199830980013E-3</v>
      </c>
    </row>
    <row r="9" spans="1:8" ht="15.75" customHeight="1" x14ac:dyDescent="0.25">
      <c r="B9" s="19" t="s">
        <v>102</v>
      </c>
      <c r="C9" s="99">
        <v>8.066139193386071E-2</v>
      </c>
    </row>
    <row r="10" spans="1:8" ht="15.75" customHeight="1" x14ac:dyDescent="0.25">
      <c r="B10" s="19" t="s">
        <v>103</v>
      </c>
      <c r="C10" s="99">
        <v>0.1140324885967509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106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107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108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109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110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111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112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113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8.1884283999999988E-2</v>
      </c>
    </row>
    <row r="27" spans="1:8" ht="15.75" customHeight="1" x14ac:dyDescent="0.25">
      <c r="B27" s="19" t="s">
        <v>120</v>
      </c>
      <c r="C27" s="99">
        <v>8.1848189999999994E-3</v>
      </c>
    </row>
    <row r="28" spans="1:8" ht="15.75" customHeight="1" x14ac:dyDescent="0.25">
      <c r="B28" s="19" t="s">
        <v>121</v>
      </c>
      <c r="C28" s="99">
        <v>0.14548327699999999</v>
      </c>
    </row>
    <row r="29" spans="1:8" ht="15.75" customHeight="1" x14ac:dyDescent="0.25">
      <c r="B29" s="19" t="s">
        <v>122</v>
      </c>
      <c r="C29" s="99">
        <v>0.157612682</v>
      </c>
    </row>
    <row r="30" spans="1:8" ht="15.75" customHeight="1" x14ac:dyDescent="0.25">
      <c r="B30" s="19" t="s">
        <v>2</v>
      </c>
      <c r="C30" s="99">
        <v>9.9204118000000008E-2</v>
      </c>
    </row>
    <row r="31" spans="1:8" ht="15.75" customHeight="1" x14ac:dyDescent="0.25">
      <c r="B31" s="19" t="s">
        <v>123</v>
      </c>
      <c r="C31" s="99">
        <v>0.10218857200000001</v>
      </c>
    </row>
    <row r="32" spans="1:8" ht="15.75" customHeight="1" x14ac:dyDescent="0.25">
      <c r="B32" s="19" t="s">
        <v>124</v>
      </c>
      <c r="C32" s="99">
        <v>1.7390224999999999E-2</v>
      </c>
    </row>
    <row r="33" spans="2:3" ht="15.75" customHeight="1" x14ac:dyDescent="0.25">
      <c r="B33" s="19" t="s">
        <v>125</v>
      </c>
      <c r="C33" s="99">
        <v>7.9143570999999996E-2</v>
      </c>
    </row>
    <row r="34" spans="2:3" ht="15.75" customHeight="1" x14ac:dyDescent="0.25">
      <c r="B34" s="19" t="s">
        <v>126</v>
      </c>
      <c r="C34" s="99">
        <v>0.308908452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7whVXd4FkunYEvHv0S2E8qKspBzNRAdrt+q6BxfYsvQQF3fBePvuVTqQRWxNz7nq4TikbtZb3iywfVzwUbKGg==" saltValue="CzYTOcuaOKQehqGERg+4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132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133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137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RI/nPbl68+so0nefLxL9Lu/j+OKD14GtZ7KSYp0krasHmReT153VE1UMQuC2uSFJ06+jVvX7MPoGkPK8dW96g==" saltValue="mKjIZeL3agS1SkragQTp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w1Av4tTWPWrIy1hRguYg6YVnmQ3ujYvlSRcScUC8Lf3CMLhJtivWbtp56TpzrisUpwl+qjF2ocQxVzzLABPlxQ==" saltValue="bysWPohFPEo0X5OW2zom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nWSZaooXJBbQXgAXDNFMko0W41RQwvvSc15RU84Zue4/GrTFfmKWtWIPojCjmKYoIBwTvdagWilKdRQ1nJfiA==" saltValue="vdG04t2+rQWqJcPKcYyJi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algorithmName="SHA-512" hashValue="Rpmc5dqkjvmi7xJnYcyqw/85WEKrExHyz0km19nHnFRmP95AvWh5funY2tUyDGJ/9O1bmHtHeDsDxxRDcb/5LQ==" saltValue="lymK0SrPigb6QCmk+F3H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+Hqfn3brd7AsUL1DQYZU75z9p1BGuPdAbjaAOS1dDKHoPArZRN5fpuWr7yIcJNrW6jAdxi3JXIduGqP2QWvjQ==" saltValue="oCAYmFTB4sVE0ey5Lald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PSp4lpyOks7sA3AmHOaOflvkBNa5750Wq20OsvMWLk4CWkvpK0WdsPIRVizsfGNO9zb64prA0Czsu1wS8cA5A==" saltValue="p8DesJqshVfcbkUMjgG6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0.33427040000000002</v>
      </c>
      <c r="C10" s="96">
        <v>0.95</v>
      </c>
      <c r="D10" s="56">
        <v>14.13040526178168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14.13040526178168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14.13040526178168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14.13040526178168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0.36680000000000001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14.13040526178168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0.75737939999999992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3.1508066666666702E-2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0.51400000000000001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0.56868370000000001</v>
      </c>
      <c r="C19" s="96">
        <v>0.95</v>
      </c>
      <c r="D19" s="56">
        <v>0.80800494022236113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0.74117850000000007</v>
      </c>
      <c r="C23" s="96">
        <v>0.95</v>
      </c>
      <c r="D23" s="56">
        <v>4.621869686333798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0.93888883792254008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2.1000000000000001E-2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0.513741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0.17305509999999999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7.1500000000000008E-2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0.77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0.15307589999999999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0.88163790000000009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1.8209000000000001E-3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0.20602480000000001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0.24399999999999999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btWeSTdWFeZohnhQ/6UufhjKDLeUojkfl0VPxQxGXkTwL4EonJkcySy4ab3cu7MO4M3QsfThmoZ0EH+RtefGLw==" saltValue="ck/YGA3UnlrmYYOpk0bq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e0D9FdU/ruxW05aTIXUmPJI7f8OVL10YcMatlatbsLyYIOwAqAufqT7tQUnmOIUS+r4ngFsyvKK0LR17+W9+A==" saltValue="tBG2lOl/UmobFnW0Ov1l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ZhF3c+M7BwAtgnR8bq8EIXdii9KteCkXtUkQ5K42ocrTEkEgF8mZzrEAmQgn9pxTMRvsrdOV8VJMoP3LDs0Jw==" saltValue="6Vx/0f05N/HJJ3UPo9on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3.302</v>
      </c>
      <c r="C2" s="21">
        <f>'Données pop de l''année de ref'!C52</f>
        <v>3.302</v>
      </c>
      <c r="D2" s="21">
        <f>'Données pop de l''année de ref'!C53</f>
        <v>10.738</v>
      </c>
      <c r="E2" s="21">
        <f>'Données pop de l''année de ref'!C54</f>
        <v>9.6460000000000008</v>
      </c>
      <c r="F2" s="21">
        <f>'Données pop de l''année de ref'!C55</f>
        <v>3.8566666666666669</v>
      </c>
    </row>
    <row r="3" spans="1:6" ht="15.75" customHeight="1" x14ac:dyDescent="0.25">
      <c r="A3" s="3" t="s">
        <v>238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237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4APH6ya205mt8tlse1CP6lDnlfXuoVw9dK3pi5ZbZaqmV+wgaaheE9EjRocswyTYfDn1Vm7wY5slrdWESaRRcw==" saltValue="q7q0q/+H7412vl8x8bvd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UjfR8B1lKLyG28tQZrqvMoDKzxgQSIl3M+/8xrZVFpdhvlnum3VL+/cstIBTIXUk4SSgsR8xsR2jGVnNPpvXQ==" saltValue="WebPQT+NpEFQwnKEL2og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lhfxsIxOvpywNCJjpCk0FqI+afD5pifEE24CK3tlsqjscT6zncWJUw39+JYgJuR07HI3eblRitj5Nu5YA8JAw==" saltValue="gPtseTWTGgMYYyi4A2Nn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WyNj1SNmTgq2nudeSW/nTqiIWoU/ZrL4XsqbpQbvR5P+xyhtAJgNpw+eRNcJfamItaXIEqTnbmFL6Sg4CN/Yw==" saltValue="YZN1B4mCMuXXxPTeNSye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bGCuqdZc+QRxE74lh7j9vEXeGbhKhVwCYmss1prx8FL7lG6lRMQcu8ie59ErjVPE+zIs2+zu8ml7gr27KOxww==" saltValue="P9KCNUl74dY+Gv/L1ahd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6BsPrSpf8ThpAtAq8zUlN9pGiUqYAZr+pSCgphCAnGNL5WKuBjZIuO07dEM1yGXw1u61c2CabdTFbdX9NDyEg==" saltValue="ryFRWirDmPN8ushKBPhO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iwmjiL5dcn08XjMbVrGj6jj9RSPuMqKvF8kGokGdoRM9SxVSPQAKfp7Ev48te0nPFB9MOwJz2iZgF4DFJrTww==" saltValue="xymkCfsNXl9p6M+ZK7Am8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9FWnK/5XQsp1RBZTRUippMzO2BXKtQkBHrucbjZClg4Bua/ROjEaVPX52BhUOaLX9Tb+OW4tQOaPqjtQzk2vQ==" saltValue="jQCZ0JU2yg7pIgVf++/qC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OUtTRtQS7yHbVqZ62EVOCZkLCnxLu41GfuTbdbwK64QRafPbLYM0Q1cuvUloVKv9l8Plk9D7GfKyUO35wdzQw==" saltValue="ou70sKyOrjQ43haMBVOu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mMrHzVFNKZu2RBu3toTyB8uyn32Q0QbBr5f7sopr98R+ialemiTJ8quYpXQmE59VA4gNb6S1mbgFslhfxlQIQ==" saltValue="FfBARjO1thIFHmE3dfu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/BDYPViPHTF+QWmaeoFIdsjLGoJjITrE8yC1ETRUOGhY968z3dIeKErCPP5R3344JWH2MjcRP+AbgWrd+qFtQ==" saltValue="fHKp8Dln2peX4jKP8yDL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TrGOwFDr9epm5ugyPW+6c068seSgJrfJvajv9jzb8YJe7xS4YHzf98E5Ns6Dcvx8TviqWvA6WRMrlyzMGBpyw==" saltValue="mfmiP8ksb6iqyo7WJjxP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1JiIoSFTyeagU1v474DdHXedBP4YKqh3CEWJkhZiPBrjnHLicgt+7JuLJ8Sd7nruoYjnqkbZBuy0g2Xo2KYhg==" saltValue="yX5gJPtsekocr2/Eoz6P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bFJhYujELSaw5uY2hmrQOwJ0ceb8MmLMSckSt8kDNAX1ZQiaDN8Ci0+v3EFnJp9qwfMyqvc/Aewm3Ko6eYyOg==" saltValue="cgiCjZo0g5GDHkdldyPt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1De/bFhfaqFDOzcdJMwy+cwzMbpqwwERiA3vM1lYggiaIuCAhmlZygSxgLMjD+bv7Ba5bTa/vErx+Ni6OYELA==" saltValue="IpxvUbLFDxCRxj5JTYym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7CelLdZ/UV5ti1GV2X+qUUOtof1aBF37Jlde5zviI9VWJj/OdnknTVax/ERC3kIPpeAPtYf5zlp/9pP8331KA==" saltValue="hQYCiY5K9Z9eqcj0dCbNr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