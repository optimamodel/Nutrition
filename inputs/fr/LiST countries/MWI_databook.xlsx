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FC84AE92-FE2B-4E15-8B40-D8FD0745A425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<sst xmlns="http://schemas.openxmlformats.org/spreadsheetml/2006/main" count="2102" uniqueCount="337">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</sst>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3244306.5</v>
      </c>
    </row>
    <row r="8" spans="1:3" ht="15" customHeight="1" x14ac:dyDescent="0.25">
      <c r="B8" s="5" t="s">
        <v>19</v>
      </c>
      <c r="C8" s="44">
        <v>0.70299999999999996</v>
      </c>
    </row>
    <row r="9" spans="1:3" ht="15" customHeight="1" x14ac:dyDescent="0.25">
      <c r="B9" s="5" t="s">
        <v>20</v>
      </c>
      <c r="C9" s="45">
        <v>0.77</v>
      </c>
    </row>
    <row r="10" spans="1:3" ht="15" customHeight="1" x14ac:dyDescent="0.25">
      <c r="B10" s="5" t="s">
        <v>21</v>
      </c>
      <c r="C10" s="45">
        <v>0.307979602813721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0.254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0.15459999999999999</v>
      </c>
    </row>
    <row r="24" spans="1:3" ht="15" customHeight="1" x14ac:dyDescent="0.25">
      <c r="B24" s="15" t="s">
        <v>33</v>
      </c>
      <c r="C24" s="45">
        <v>0.46519999999999989</v>
      </c>
    </row>
    <row r="25" spans="1:3" ht="15" customHeight="1" x14ac:dyDescent="0.25">
      <c r="B25" s="15" t="s">
        <v>34</v>
      </c>
      <c r="C25" s="45">
        <v>0.30449999999999999</v>
      </c>
    </row>
    <row r="26" spans="1:3" ht="15" customHeight="1" x14ac:dyDescent="0.25">
      <c r="B26" s="15" t="s">
        <v>35</v>
      </c>
      <c r="C26" s="45">
        <v>7.5700000000000003E-2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0.26147459341354901</v>
      </c>
    </row>
    <row r="30" spans="1:3" ht="14.25" customHeight="1" x14ac:dyDescent="0.25">
      <c r="B30" s="25" t="s">
        <v>38</v>
      </c>
      <c r="C30" s="99">
        <v>3.1847694141973401E-2</v>
      </c>
    </row>
    <row r="31" spans="1:3" ht="14.25" customHeight="1" x14ac:dyDescent="0.25">
      <c r="B31" s="25" t="s">
        <v>39</v>
      </c>
      <c r="C31" s="99">
        <v>5.2301559488866299E-2</v>
      </c>
    </row>
    <row r="32" spans="1:3" ht="14.25" customHeight="1" x14ac:dyDescent="0.25">
      <c r="B32" s="25" t="s">
        <v>40</v>
      </c>
      <c r="C32" s="99">
        <v>0.65437615295561202</v>
      </c>
    </row>
    <row r="33" spans="1:5" ht="13" customHeight="1" x14ac:dyDescent="0.25">
      <c r="B33" s="27" t="s">
        <v>41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19.29918</v>
      </c>
    </row>
    <row r="38" spans="1:5" ht="15" customHeight="1" x14ac:dyDescent="0.25">
      <c r="B38" s="11" t="s">
        <v>45</v>
      </c>
      <c r="C38" s="43">
        <v>31.23901</v>
      </c>
      <c r="D38" s="12"/>
      <c r="E38" s="13"/>
    </row>
    <row r="39" spans="1:5" ht="15" customHeight="1" x14ac:dyDescent="0.25">
      <c r="B39" s="11" t="s">
        <v>46</v>
      </c>
      <c r="C39" s="43">
        <v>41.899279999999997</v>
      </c>
      <c r="D39" s="12"/>
      <c r="E39" s="12"/>
    </row>
    <row r="40" spans="1:5" ht="15" customHeight="1" x14ac:dyDescent="0.25">
      <c r="B40" s="11" t="s">
        <v>47</v>
      </c>
      <c r="C40" s="100">
        <v>3.81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16.057500000000001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1.25431E-2</v>
      </c>
      <c r="D45" s="12"/>
    </row>
    <row r="46" spans="1:5" ht="15.75" customHeight="1" x14ac:dyDescent="0.25">
      <c r="B46" s="11" t="s">
        <v>52</v>
      </c>
      <c r="C46" s="45">
        <v>0.1325692</v>
      </c>
      <c r="D46" s="12"/>
    </row>
    <row r="47" spans="1:5" ht="15.75" customHeight="1" x14ac:dyDescent="0.25">
      <c r="B47" s="11" t="s">
        <v>53</v>
      </c>
      <c r="C47" s="45">
        <v>0.15164759999999999</v>
      </c>
      <c r="D47" s="12"/>
      <c r="E47" s="13"/>
    </row>
    <row r="48" spans="1:5" ht="15" customHeight="1" x14ac:dyDescent="0.25">
      <c r="B48" s="11" t="s">
        <v>54</v>
      </c>
      <c r="C48" s="46">
        <v>0.70324010000000003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3.3</v>
      </c>
      <c r="D51" s="12"/>
    </row>
    <row r="52" spans="1:4" ht="15" customHeight="1" x14ac:dyDescent="0.25">
      <c r="B52" s="11" t="s">
        <v>57</v>
      </c>
      <c r="C52" s="100">
        <v>3.3</v>
      </c>
    </row>
    <row r="53" spans="1:4" ht="15.75" customHeight="1" x14ac:dyDescent="0.25">
      <c r="B53" s="11" t="s">
        <v>58</v>
      </c>
      <c r="C53" s="100">
        <v>3.3</v>
      </c>
    </row>
    <row r="54" spans="1:4" ht="15.75" customHeight="1" x14ac:dyDescent="0.25">
      <c r="B54" s="11" t="s">
        <v>59</v>
      </c>
      <c r="C54" s="100">
        <v>3.3</v>
      </c>
    </row>
    <row r="55" spans="1:4" ht="15.75" customHeight="1" x14ac:dyDescent="0.25">
      <c r="B55" s="11" t="s">
        <v>60</v>
      </c>
      <c r="C55" s="100">
        <v>3.3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2.181818181818182E-2</v>
      </c>
    </row>
    <row r="59" spans="1:4" ht="15.75" customHeight="1" x14ac:dyDescent="0.25">
      <c r="B59" s="11" t="s">
        <v>63</v>
      </c>
      <c r="C59" s="45">
        <v>0.49510700000000002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0.14464293</v>
      </c>
    </row>
    <row r="63" spans="1:4" ht="15.75" customHeight="1" x14ac:dyDescent="0.3">
      <c r="A63" s="4"/>
    </row>
  </sheetData>
  <sheetProtection algorithmName="SHA-512" hashValue="eRYSMDeULkLcujgHG4HskKi5wDWAByQC65KvOC7P740zT9gpmsGAl1gpvh/8+WDMc/3SjSUJe3qlCJllIE8y/w==" saltValue="xXy+JE/IqkIVvqgAdVM1u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687950</v>
      </c>
      <c r="C2" s="49">
        <v>1578030</v>
      </c>
      <c r="D2" s="49">
        <v>1963398</v>
      </c>
      <c r="E2" s="49">
        <v>1410655</v>
      </c>
      <c r="F2" s="49">
        <v>831126.5</v>
      </c>
      <c r="G2" s="17">
        <f t="shared" ref="G2:G13" si="0">C2+D2+E2+F2</f>
        <v>5783209.5</v>
      </c>
      <c r="H2" s="17">
        <f t="shared" ref="H2:H13" si="1">(B2 + stillbirth*B2/(1000-stillbirth))/(1-abortion)</f>
        <v>794519.35823116044</v>
      </c>
      <c r="I2" s="17">
        <f t="shared" ref="I2:I13" si="2">G2-H2</f>
        <v>4988690.1417688392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698306</v>
      </c>
      <c r="C3" s="50">
        <v>1607686</v>
      </c>
      <c r="D3" s="50">
        <v>2042677</v>
      </c>
      <c r="E3" s="50">
        <v>1438951.5</v>
      </c>
      <c r="F3" s="50">
        <v>887830.5</v>
      </c>
      <c r="G3" s="17">
        <f t="shared" si="0"/>
        <v>5977145</v>
      </c>
      <c r="H3" s="17">
        <f t="shared" si="1"/>
        <v>806479.59149497608</v>
      </c>
      <c r="I3" s="17">
        <f t="shared" si="2"/>
        <v>5170665.4085050244</v>
      </c>
    </row>
    <row r="4" spans="1:9" ht="15.75" customHeight="1" x14ac:dyDescent="0.25">
      <c r="A4" s="5">
        <f t="shared" si="3"/>
        <v>2026</v>
      </c>
      <c r="B4" s="49">
        <v>709710</v>
      </c>
      <c r="C4" s="50">
        <v>1631297.5</v>
      </c>
      <c r="D4" s="50">
        <v>2124874.5</v>
      </c>
      <c r="E4" s="50">
        <v>1471056</v>
      </c>
      <c r="F4" s="50">
        <v>941192.00000000012</v>
      </c>
      <c r="G4" s="17">
        <f t="shared" si="0"/>
        <v>6168420</v>
      </c>
      <c r="H4" s="17">
        <f t="shared" si="1"/>
        <v>819650.16895157634</v>
      </c>
      <c r="I4" s="17">
        <f t="shared" si="2"/>
        <v>5348769.8310484234</v>
      </c>
    </row>
    <row r="5" spans="1:9" ht="15.75" customHeight="1" x14ac:dyDescent="0.25">
      <c r="A5" s="5">
        <f t="shared" si="3"/>
        <v>2027</v>
      </c>
      <c r="B5" s="49">
        <v>717845</v>
      </c>
      <c r="C5" s="50">
        <v>1650578</v>
      </c>
      <c r="D5" s="50">
        <v>2207309.5</v>
      </c>
      <c r="E5" s="50">
        <v>1508576.5</v>
      </c>
      <c r="F5" s="50">
        <v>989544.5</v>
      </c>
      <c r="G5" s="17">
        <f t="shared" si="0"/>
        <v>6356008.5</v>
      </c>
      <c r="H5" s="17">
        <f t="shared" si="1"/>
        <v>829045.35025720962</v>
      </c>
      <c r="I5" s="17">
        <f t="shared" si="2"/>
        <v>5526963.1497427905</v>
      </c>
    </row>
    <row r="6" spans="1:9" ht="15.75" customHeight="1" x14ac:dyDescent="0.25">
      <c r="A6" s="5">
        <f t="shared" si="3"/>
        <v>2028</v>
      </c>
      <c r="B6" s="49">
        <v>727908</v>
      </c>
      <c r="C6" s="50">
        <v>1666904.5</v>
      </c>
      <c r="D6" s="50">
        <v>2287016.5</v>
      </c>
      <c r="E6" s="50">
        <v>1550820.5</v>
      </c>
      <c r="F6" s="50">
        <v>1031364</v>
      </c>
      <c r="G6" s="17">
        <f t="shared" si="0"/>
        <v>6536105.5</v>
      </c>
      <c r="H6" s="17">
        <f t="shared" si="1"/>
        <v>840667.19530682114</v>
      </c>
      <c r="I6" s="17">
        <f t="shared" si="2"/>
        <v>5695438.3046931792</v>
      </c>
    </row>
    <row r="7" spans="1:9" ht="15.75" customHeight="1" x14ac:dyDescent="0.25">
      <c r="A7" s="5">
        <f t="shared" si="3"/>
        <v>2029</v>
      </c>
      <c r="B7" s="49">
        <v>736141</v>
      </c>
      <c r="C7" s="50">
        <v>1680324</v>
      </c>
      <c r="D7" s="50">
        <v>2362908</v>
      </c>
      <c r="E7" s="50">
        <v>1597427</v>
      </c>
      <c r="F7" s="50">
        <v>1068222.5</v>
      </c>
      <c r="G7" s="17">
        <f t="shared" si="0"/>
        <v>6708881.5</v>
      </c>
      <c r="H7" s="17">
        <f t="shared" si="1"/>
        <v>850175.55765338289</v>
      </c>
      <c r="I7" s="17">
        <f t="shared" si="2"/>
        <v>5858705.9423466176</v>
      </c>
    </row>
    <row r="8" spans="1:9" ht="15.75" customHeight="1" x14ac:dyDescent="0.25">
      <c r="A8" s="5">
        <f t="shared" si="3"/>
        <v>2030</v>
      </c>
      <c r="B8" s="49">
        <v>746353</v>
      </c>
      <c r="C8" s="50">
        <v>1691184</v>
      </c>
      <c r="D8" s="50">
        <v>2435285.5</v>
      </c>
      <c r="E8" s="50">
        <v>1649088.5</v>
      </c>
      <c r="F8" s="50">
        <v>1100319.5</v>
      </c>
      <c r="G8" s="17">
        <f t="shared" si="0"/>
        <v>6875877.5</v>
      </c>
      <c r="H8" s="17">
        <f t="shared" si="1"/>
        <v>861969.48408154852</v>
      </c>
      <c r="I8" s="17">
        <f t="shared" si="2"/>
        <v>6013908.0159184514</v>
      </c>
    </row>
    <row r="9" spans="1:9" ht="15.75" customHeight="1" x14ac:dyDescent="0.25">
      <c r="A9" s="5">
        <f t="shared" si="3"/>
        <v>2031</v>
      </c>
      <c r="B9" s="49">
        <v>748584</v>
      </c>
      <c r="C9" s="50">
        <v>1701640</v>
      </c>
      <c r="D9" s="50">
        <v>2503337.5</v>
      </c>
      <c r="E9" s="50">
        <v>1705467.5</v>
      </c>
      <c r="F9" s="50">
        <v>1126941</v>
      </c>
      <c r="G9" s="17">
        <f t="shared" si="0"/>
        <v>7037386</v>
      </c>
      <c r="H9" s="17">
        <f t="shared" si="1"/>
        <v>864546.08512553968</v>
      </c>
      <c r="I9" s="17">
        <f t="shared" si="2"/>
        <v>6172839.9148744605</v>
      </c>
    </row>
    <row r="10" spans="1:9" ht="15.75" customHeight="1" x14ac:dyDescent="0.25">
      <c r="A10" s="5">
        <f t="shared" si="3"/>
        <v>2032</v>
      </c>
      <c r="B10" s="49">
        <v>757906</v>
      </c>
      <c r="C10" s="50">
        <v>1714255.5</v>
      </c>
      <c r="D10" s="50">
        <v>2564983.5</v>
      </c>
      <c r="E10" s="50">
        <v>1767321.5</v>
      </c>
      <c r="F10" s="50">
        <v>1150241</v>
      </c>
      <c r="G10" s="17">
        <f t="shared" si="0"/>
        <v>7196801.5</v>
      </c>
      <c r="H10" s="17">
        <f t="shared" si="1"/>
        <v>875312.14291670313</v>
      </c>
      <c r="I10" s="17">
        <f t="shared" si="2"/>
        <v>6321489.3570832964</v>
      </c>
    </row>
    <row r="11" spans="1:9" ht="15.75" customHeight="1" x14ac:dyDescent="0.25">
      <c r="A11" s="5">
        <f t="shared" si="3"/>
        <v>2033</v>
      </c>
      <c r="B11" s="49">
        <v>760142</v>
      </c>
      <c r="C11" s="50">
        <v>1730029</v>
      </c>
      <c r="D11" s="50">
        <v>2619056.5</v>
      </c>
      <c r="E11" s="50">
        <v>1835174.5</v>
      </c>
      <c r="F11" s="50">
        <v>1172298.5</v>
      </c>
      <c r="G11" s="17">
        <f t="shared" si="0"/>
        <v>7356558.5</v>
      </c>
      <c r="H11" s="17">
        <f t="shared" si="1"/>
        <v>877894.51850359887</v>
      </c>
      <c r="I11" s="17">
        <f t="shared" si="2"/>
        <v>6478663.9814964011</v>
      </c>
    </row>
    <row r="12" spans="1:9" ht="15.75" customHeight="1" x14ac:dyDescent="0.25">
      <c r="A12" s="5">
        <f t="shared" si="3"/>
        <v>2034</v>
      </c>
      <c r="B12" s="49">
        <v>766161</v>
      </c>
      <c r="C12" s="50">
        <v>1749604</v>
      </c>
      <c r="D12" s="50">
        <v>2664942</v>
      </c>
      <c r="E12" s="50">
        <v>1909073</v>
      </c>
      <c r="F12" s="50">
        <v>1194684.5</v>
      </c>
      <c r="G12" s="17">
        <f t="shared" si="0"/>
        <v>7518303.5</v>
      </c>
      <c r="H12" s="17">
        <f t="shared" si="1"/>
        <v>884845.9132520447</v>
      </c>
      <c r="I12" s="17">
        <f t="shared" si="2"/>
        <v>6633457.5867479555</v>
      </c>
    </row>
    <row r="13" spans="1:9" ht="15.75" customHeight="1" x14ac:dyDescent="0.25">
      <c r="A13" s="5">
        <f t="shared" si="3"/>
        <v>2035</v>
      </c>
      <c r="B13" s="49">
        <v>770109</v>
      </c>
      <c r="C13" s="50">
        <v>1773523.5</v>
      </c>
      <c r="D13" s="50">
        <v>2701851.5</v>
      </c>
      <c r="E13" s="50">
        <v>1987695</v>
      </c>
      <c r="F13" s="50">
        <v>1218143</v>
      </c>
      <c r="G13" s="17">
        <f t="shared" si="0"/>
        <v>7681213</v>
      </c>
      <c r="H13" s="17">
        <f t="shared" si="1"/>
        <v>889405.49232944357</v>
      </c>
      <c r="I13" s="17">
        <f t="shared" si="2"/>
        <v>6791807.5076705562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2Mo2Wh7LapZv2Hk3RvJSLVFu2hc+VQOycFvr5L+UGWx1TG4axX0YJMVF5ItTConl2XP1h6e7ec3kHWezIVbp7Q==" saltValue="z6qSEgMK0cuCFQtTQGKC/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1.277209872279011E-2</v>
      </c>
    </row>
    <row r="4" spans="1:8" ht="15.75" customHeight="1" x14ac:dyDescent="0.25">
      <c r="B4" s="19" t="s">
        <v>79</v>
      </c>
      <c r="C4" s="101">
        <v>5.3933894606610487E-2</v>
      </c>
    </row>
    <row r="5" spans="1:8" ht="15.75" customHeight="1" x14ac:dyDescent="0.25">
      <c r="B5" s="19" t="s">
        <v>80</v>
      </c>
      <c r="C5" s="101">
        <v>7.7123692287630718E-2</v>
      </c>
    </row>
    <row r="6" spans="1:8" ht="15.75" customHeight="1" x14ac:dyDescent="0.25">
      <c r="B6" s="19" t="s">
        <v>81</v>
      </c>
      <c r="C6" s="101">
        <v>0.244385075561493</v>
      </c>
    </row>
    <row r="7" spans="1:8" ht="15.75" customHeight="1" x14ac:dyDescent="0.25">
      <c r="B7" s="19" t="s">
        <v>82</v>
      </c>
      <c r="C7" s="101">
        <v>0.41540115845988412</v>
      </c>
    </row>
    <row r="8" spans="1:8" ht="15.75" customHeight="1" x14ac:dyDescent="0.25">
      <c r="B8" s="19" t="s">
        <v>83</v>
      </c>
      <c r="C8" s="101">
        <v>1.690199830980013E-3</v>
      </c>
    </row>
    <row r="9" spans="1:8" ht="15.75" customHeight="1" x14ac:dyDescent="0.25">
      <c r="B9" s="19" t="s">
        <v>84</v>
      </c>
      <c r="C9" s="101">
        <v>8.066139193386071E-2</v>
      </c>
    </row>
    <row r="10" spans="1:8" ht="15.75" customHeight="1" x14ac:dyDescent="0.25">
      <c r="B10" s="19" t="s">
        <v>85</v>
      </c>
      <c r="C10" s="101">
        <v>0.1140324885967509</v>
      </c>
    </row>
    <row r="11" spans="1:8" ht="15.75" customHeight="1" x14ac:dyDescent="0.25">
      <c r="B11" s="27" t="s">
        <v>41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0.14292939282537201</v>
      </c>
      <c r="D14" s="55">
        <v>0.14292939282537201</v>
      </c>
      <c r="E14" s="55">
        <v>0.14292939282537201</v>
      </c>
      <c r="F14" s="55">
        <v>0.14292939282537201</v>
      </c>
    </row>
    <row r="15" spans="1:8" ht="15.75" customHeight="1" x14ac:dyDescent="0.25">
      <c r="B15" s="19" t="s">
        <v>88</v>
      </c>
      <c r="C15" s="101">
        <v>0.20191777974539041</v>
      </c>
      <c r="D15" s="101">
        <v>0.20191777974539041</v>
      </c>
      <c r="E15" s="101">
        <v>0.20191777974539041</v>
      </c>
      <c r="F15" s="101">
        <v>0.20191777974539041</v>
      </c>
    </row>
    <row r="16" spans="1:8" ht="15.75" customHeight="1" x14ac:dyDescent="0.25">
      <c r="B16" s="19" t="s">
        <v>89</v>
      </c>
      <c r="C16" s="101">
        <v>2.0552870920946771E-2</v>
      </c>
      <c r="D16" s="101">
        <v>2.0552870920946771E-2</v>
      </c>
      <c r="E16" s="101">
        <v>2.0552870920946771E-2</v>
      </c>
      <c r="F16" s="101">
        <v>2.0552870920946771E-2</v>
      </c>
    </row>
    <row r="17" spans="1:8" ht="15.75" customHeight="1" x14ac:dyDescent="0.25">
      <c r="B17" s="19" t="s">
        <v>90</v>
      </c>
      <c r="C17" s="101">
        <v>3.5305723411494921E-4</v>
      </c>
      <c r="D17" s="101">
        <v>3.5305723411494921E-4</v>
      </c>
      <c r="E17" s="101">
        <v>3.5305723411494921E-4</v>
      </c>
      <c r="F17" s="101">
        <v>3.5305723411494921E-4</v>
      </c>
    </row>
    <row r="18" spans="1:8" ht="15.75" customHeight="1" x14ac:dyDescent="0.25">
      <c r="B18" s="19" t="s">
        <v>91</v>
      </c>
      <c r="C18" s="101">
        <v>0.1866708259468263</v>
      </c>
      <c r="D18" s="101">
        <v>0.1866708259468263</v>
      </c>
      <c r="E18" s="101">
        <v>0.1866708259468263</v>
      </c>
      <c r="F18" s="101">
        <v>0.1866708259468263</v>
      </c>
    </row>
    <row r="19" spans="1:8" ht="15.75" customHeight="1" x14ac:dyDescent="0.25">
      <c r="B19" s="19" t="s">
        <v>92</v>
      </c>
      <c r="C19" s="101">
        <v>1.9600096966901188E-2</v>
      </c>
      <c r="D19" s="101">
        <v>1.9600096966901188E-2</v>
      </c>
      <c r="E19" s="101">
        <v>1.9600096966901188E-2</v>
      </c>
      <c r="F19" s="101">
        <v>1.9600096966901188E-2</v>
      </c>
    </row>
    <row r="20" spans="1:8" ht="15.75" customHeight="1" x14ac:dyDescent="0.25">
      <c r="B20" s="19" t="s">
        <v>93</v>
      </c>
      <c r="C20" s="101">
        <v>0.14215586047956941</v>
      </c>
      <c r="D20" s="101">
        <v>0.14215586047956941</v>
      </c>
      <c r="E20" s="101">
        <v>0.14215586047956941</v>
      </c>
      <c r="F20" s="101">
        <v>0.14215586047956941</v>
      </c>
    </row>
    <row r="21" spans="1:8" ht="15.75" customHeight="1" x14ac:dyDescent="0.25">
      <c r="B21" s="19" t="s">
        <v>94</v>
      </c>
      <c r="C21" s="101">
        <v>0.11798716773771729</v>
      </c>
      <c r="D21" s="101">
        <v>0.11798716773771729</v>
      </c>
      <c r="E21" s="101">
        <v>0.11798716773771729</v>
      </c>
      <c r="F21" s="101">
        <v>0.11798716773771729</v>
      </c>
    </row>
    <row r="22" spans="1:8" ht="15.75" customHeight="1" x14ac:dyDescent="0.25">
      <c r="B22" s="19" t="s">
        <v>95</v>
      </c>
      <c r="C22" s="101">
        <v>0.1678329481431616</v>
      </c>
      <c r="D22" s="101">
        <v>0.1678329481431616</v>
      </c>
      <c r="E22" s="101">
        <v>0.1678329481431616</v>
      </c>
      <c r="F22" s="101">
        <v>0.1678329481431616</v>
      </c>
    </row>
    <row r="23" spans="1:8" ht="15.75" customHeight="1" x14ac:dyDescent="0.25">
      <c r="B23" s="27" t="s">
        <v>41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8.1884283999999988E-2</v>
      </c>
    </row>
    <row r="27" spans="1:8" ht="15.75" customHeight="1" x14ac:dyDescent="0.25">
      <c r="B27" s="19" t="s">
        <v>102</v>
      </c>
      <c r="C27" s="101">
        <v>8.1848189999999994E-3</v>
      </c>
    </row>
    <row r="28" spans="1:8" ht="15.75" customHeight="1" x14ac:dyDescent="0.25">
      <c r="B28" s="19" t="s">
        <v>103</v>
      </c>
      <c r="C28" s="101">
        <v>0.14548327699999999</v>
      </c>
    </row>
    <row r="29" spans="1:8" ht="15.75" customHeight="1" x14ac:dyDescent="0.25">
      <c r="B29" s="19" t="s">
        <v>104</v>
      </c>
      <c r="C29" s="101">
        <v>0.157612682</v>
      </c>
    </row>
    <row r="30" spans="1:8" ht="15.75" customHeight="1" x14ac:dyDescent="0.25">
      <c r="B30" s="19" t="s">
        <v>2</v>
      </c>
      <c r="C30" s="101">
        <v>9.9204118000000008E-2</v>
      </c>
    </row>
    <row r="31" spans="1:8" ht="15.75" customHeight="1" x14ac:dyDescent="0.25">
      <c r="B31" s="19" t="s">
        <v>105</v>
      </c>
      <c r="C31" s="101">
        <v>0.10218857200000001</v>
      </c>
    </row>
    <row r="32" spans="1:8" ht="15.75" customHeight="1" x14ac:dyDescent="0.25">
      <c r="B32" s="19" t="s">
        <v>106</v>
      </c>
      <c r="C32" s="101">
        <v>1.7390224999999999E-2</v>
      </c>
    </row>
    <row r="33" spans="2:3" ht="15.75" customHeight="1" x14ac:dyDescent="0.25">
      <c r="B33" s="19" t="s">
        <v>107</v>
      </c>
      <c r="C33" s="101">
        <v>7.9143570999999996E-2</v>
      </c>
    </row>
    <row r="34" spans="2:3" ht="15.75" customHeight="1" x14ac:dyDescent="0.25">
      <c r="B34" s="19" t="s">
        <v>108</v>
      </c>
      <c r="C34" s="101">
        <v>0.308908452</v>
      </c>
    </row>
    <row r="35" spans="2:3" ht="15.75" customHeight="1" x14ac:dyDescent="0.25">
      <c r="B35" s="27" t="s">
        <v>41</v>
      </c>
      <c r="C35" s="48">
        <f>SUM(C26:C34)</f>
        <v>1</v>
      </c>
    </row>
  </sheetData>
  <sheetProtection algorithmName="SHA-512" hashValue="Q+jSpR9+agtfHyxAuVsHBl5WnePeCB/J1L91XawBr/LRRIuojc6Y9ojbJacK37julrfyrmlp3fnnsdk+1nnyeg==" saltValue="3vujKX8qZCvkNKaZ5nj/p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0.47053396362197208</v>
      </c>
      <c r="D2" s="52">
        <f>IFERROR(1-_xlfn.NORM.DIST(_xlfn.NORM.INV(SUM(D4:D5), 0, 1) + 1, 0, 1, TRUE), "")</f>
        <v>0.47053396362197208</v>
      </c>
      <c r="E2" s="52">
        <f>IFERROR(1-_xlfn.NORM.DIST(_xlfn.NORM.INV(SUM(E4:E5), 0, 1) + 1, 0, 1, TRUE), "")</f>
        <v>0.36504155382821768</v>
      </c>
      <c r="F2" s="52">
        <f>IFERROR(1-_xlfn.NORM.DIST(_xlfn.NORM.INV(SUM(F4:F5), 0, 1) + 1, 0, 1, TRUE), "")</f>
        <v>0.22905493639763708</v>
      </c>
      <c r="G2" s="52">
        <f>IFERROR(1-_xlfn.NORM.DIST(_xlfn.NORM.INV(SUM(G4:G5), 0, 1) + 1, 0, 1, TRUE), "")</f>
        <v>0.24027768434414187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0.35226183637802794</v>
      </c>
      <c r="D3" s="52">
        <f>IFERROR(_xlfn.NORM.DIST(_xlfn.NORM.INV(SUM(D4:D5), 0, 1) + 1, 0, 1, TRUE) - SUM(D4:D5), "")</f>
        <v>0.35226183637802794</v>
      </c>
      <c r="E3" s="52">
        <f>IFERROR(_xlfn.NORM.DIST(_xlfn.NORM.INV(SUM(E4:E5), 0, 1) + 1, 0, 1, TRUE) - SUM(E4:E5), "")</f>
        <v>0.37871974617178233</v>
      </c>
      <c r="F3" s="52">
        <f>IFERROR(_xlfn.NORM.DIST(_xlfn.NORM.INV(SUM(F4:F5), 0, 1) + 1, 0, 1, TRUE) - SUM(F4:F5), "")</f>
        <v>0.37275596360236291</v>
      </c>
      <c r="G3" s="52">
        <f>IFERROR(_xlfn.NORM.DIST(_xlfn.NORM.INV(SUM(G4:G5), 0, 1) + 1, 0, 1, TRUE) - SUM(G4:G5), "")</f>
        <v>0.37556891565585815</v>
      </c>
    </row>
    <row r="4" spans="1:15" ht="15.75" customHeight="1" x14ac:dyDescent="0.25">
      <c r="B4" s="5" t="s">
        <v>114</v>
      </c>
      <c r="C4" s="45">
        <v>0.110902</v>
      </c>
      <c r="D4" s="53">
        <v>0.110902</v>
      </c>
      <c r="E4" s="53">
        <v>0.17671709999999999</v>
      </c>
      <c r="F4" s="53">
        <v>0.2653684</v>
      </c>
      <c r="G4" s="53">
        <v>0.24860260000000001</v>
      </c>
    </row>
    <row r="5" spans="1:15" ht="15.75" customHeight="1" x14ac:dyDescent="0.25">
      <c r="B5" s="5" t="s">
        <v>115</v>
      </c>
      <c r="C5" s="45">
        <v>6.6302199999999992E-2</v>
      </c>
      <c r="D5" s="53">
        <v>6.6302199999999992E-2</v>
      </c>
      <c r="E5" s="53">
        <v>7.9521599999999998E-2</v>
      </c>
      <c r="F5" s="53">
        <v>0.13282070000000001</v>
      </c>
      <c r="G5" s="53">
        <v>0.1355508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0.83156927438040795</v>
      </c>
      <c r="D8" s="52">
        <f>IFERROR(1-_xlfn.NORM.DIST(_xlfn.NORM.INV(SUM(D10:D11), 0, 1) + 1, 0, 1, TRUE), "")</f>
        <v>0.83156927438040795</v>
      </c>
      <c r="E8" s="52">
        <f>IFERROR(1-_xlfn.NORM.DIST(_xlfn.NORM.INV(SUM(E10:E11), 0, 1) + 1, 0, 1, TRUE), "")</f>
        <v>0.82711078112206526</v>
      </c>
      <c r="F8" s="52">
        <f>IFERROR(1-_xlfn.NORM.DIST(_xlfn.NORM.INV(SUM(F10:F11), 0, 1) + 1, 0, 1, TRUE), "")</f>
        <v>0.7561101925708329</v>
      </c>
      <c r="G8" s="52">
        <f>IFERROR(1-_xlfn.NORM.DIST(_xlfn.NORM.INV(SUM(G10:G11), 0, 1) + 1, 0, 1, TRUE), "")</f>
        <v>0.85965121664560873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0.14345532561959207</v>
      </c>
      <c r="D9" s="52">
        <f>IFERROR(_xlfn.NORM.DIST(_xlfn.NORM.INV(SUM(D10:D11), 0, 1) + 1, 0, 1, TRUE) - SUM(D10:D11), "")</f>
        <v>0.14345532561959207</v>
      </c>
      <c r="E9" s="52">
        <f>IFERROR(_xlfn.NORM.DIST(_xlfn.NORM.INV(SUM(E10:E11), 0, 1) + 1, 0, 1, TRUE) - SUM(E10:E11), "")</f>
        <v>0.14686961887793468</v>
      </c>
      <c r="F9" s="52">
        <f>IFERROR(_xlfn.NORM.DIST(_xlfn.NORM.INV(SUM(F10:F11), 0, 1) + 1, 0, 1, TRUE) - SUM(F10:F11), "")</f>
        <v>0.1987424074291671</v>
      </c>
      <c r="G9" s="52">
        <f>IFERROR(_xlfn.NORM.DIST(_xlfn.NORM.INV(SUM(G10:G11), 0, 1) + 1, 0, 1, TRUE) - SUM(G10:G11), "")</f>
        <v>0.1215287833543913</v>
      </c>
    </row>
    <row r="10" spans="1:15" ht="15.75" customHeight="1" x14ac:dyDescent="0.25">
      <c r="B10" s="5" t="s">
        <v>119</v>
      </c>
      <c r="C10" s="45">
        <v>1.49833E-2</v>
      </c>
      <c r="D10" s="53">
        <v>1.49833E-2</v>
      </c>
      <c r="E10" s="53">
        <v>1.6223999999999999E-2</v>
      </c>
      <c r="F10" s="53">
        <v>3.1793799999999997E-2</v>
      </c>
      <c r="G10" s="53">
        <v>1.44954E-2</v>
      </c>
    </row>
    <row r="11" spans="1:15" ht="15.75" customHeight="1" x14ac:dyDescent="0.25">
      <c r="B11" s="5" t="s">
        <v>120</v>
      </c>
      <c r="C11" s="45">
        <v>9.9921000000000003E-3</v>
      </c>
      <c r="D11" s="53">
        <v>9.9921000000000003E-3</v>
      </c>
      <c r="E11" s="53">
        <v>9.7955999999999998E-3</v>
      </c>
      <c r="F11" s="53">
        <v>1.33536E-2</v>
      </c>
      <c r="G11" s="53">
        <v>4.3245999999999996E-3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0.92287291025000007</v>
      </c>
      <c r="D14" s="54">
        <v>0.92046457879800003</v>
      </c>
      <c r="E14" s="54">
        <v>0.92046457879800003</v>
      </c>
      <c r="F14" s="54">
        <v>0.65915158875500002</v>
      </c>
      <c r="G14" s="54">
        <v>0.65915158875500002</v>
      </c>
      <c r="H14" s="45">
        <v>0.41799999999999998</v>
      </c>
      <c r="I14" s="55">
        <v>0.41799999999999998</v>
      </c>
      <c r="J14" s="55">
        <v>0.41799999999999998</v>
      </c>
      <c r="K14" s="55">
        <v>0.41799999999999998</v>
      </c>
      <c r="L14" s="45">
        <v>0.33600000000000002</v>
      </c>
      <c r="M14" s="55">
        <v>0.33600000000000002</v>
      </c>
      <c r="N14" s="55">
        <v>0.33600000000000002</v>
      </c>
      <c r="O14" s="55">
        <v>0.33600000000000002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0.45692083797514682</v>
      </c>
      <c r="D15" s="52">
        <f t="shared" si="0"/>
        <v>0.4557284562149414</v>
      </c>
      <c r="E15" s="52">
        <f t="shared" si="0"/>
        <v>0.4557284562149414</v>
      </c>
      <c r="F15" s="52">
        <f t="shared" si="0"/>
        <v>0.32635056565372178</v>
      </c>
      <c r="G15" s="52">
        <f t="shared" si="0"/>
        <v>0.32635056565372178</v>
      </c>
      <c r="H15" s="52">
        <f t="shared" si="0"/>
        <v>0.20695472600000001</v>
      </c>
      <c r="I15" s="52">
        <f t="shared" si="0"/>
        <v>0.20695472600000001</v>
      </c>
      <c r="J15" s="52">
        <f t="shared" si="0"/>
        <v>0.20695472600000001</v>
      </c>
      <c r="K15" s="52">
        <f t="shared" si="0"/>
        <v>0.20695472600000001</v>
      </c>
      <c r="L15" s="52">
        <f t="shared" si="0"/>
        <v>0.16635595200000003</v>
      </c>
      <c r="M15" s="52">
        <f t="shared" si="0"/>
        <v>0.16635595200000003</v>
      </c>
      <c r="N15" s="52">
        <f t="shared" si="0"/>
        <v>0.16635595200000003</v>
      </c>
      <c r="O15" s="52">
        <f t="shared" si="0"/>
        <v>0.16635595200000003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2108n5lbMDjB1n78JczBjiWfWtTXZ8zaPQyeCqZa1lLr5P614aodY6jOqId5Yzw/J1dauolQN315DhoU+WQusQ==" saltValue="2Ig0ruVgaDgS3DjsquQ+X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0.80309089999999994</v>
      </c>
      <c r="D2" s="53">
        <v>0.56868370000000001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4.8141000000000003E-2</v>
      </c>
      <c r="D3" s="53">
        <v>0.13101789999999999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5.8573399999999998E-2</v>
      </c>
      <c r="D4" s="53">
        <v>0.23337350000000001</v>
      </c>
      <c r="E4" s="53">
        <v>0.97636279999999998</v>
      </c>
      <c r="F4" s="53">
        <v>0.83200169999999996</v>
      </c>
      <c r="G4" s="53">
        <v>0</v>
      </c>
    </row>
    <row r="5" spans="1:7" x14ac:dyDescent="0.25">
      <c r="B5" s="3" t="s">
        <v>132</v>
      </c>
      <c r="C5" s="52">
        <v>9.0194700000000003E-2</v>
      </c>
      <c r="D5" s="52">
        <v>6.6924900000000009E-2</v>
      </c>
      <c r="E5" s="52">
        <f>1-SUM(E2:E4)</f>
        <v>2.3637200000000025E-2</v>
      </c>
      <c r="F5" s="52">
        <f>1-SUM(F2:F4)</f>
        <v>0.16799830000000004</v>
      </c>
      <c r="G5" s="52">
        <f>1-SUM(G2:G4)</f>
        <v>1</v>
      </c>
    </row>
  </sheetData>
  <sheetProtection algorithmName="SHA-512" hashValue="xBW+hIYDTiI31A9RVqi64A0qnkPkZ6hXcsOjLkCUC59smUOWDIdcdbTk0vfADmBNDeK+Ey1refPbPGvkonhGDg==" saltValue="6CsUhNaxhVYyMAunGeJx6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+TFY35MylFwXugaZW27PZYYq1TgTl+biC3YV2cEFq6oKxG2Q002vXG4ER052nBbSYdLTyega4glgLAEizM7K9w==" saltValue="SHdSPKruJ3MgXInkEOJJT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x14ac:dyDescent="0.25">
      <c r="A2" s="8" t="s">
        <v>145</v>
      </c>
      <c r="B2" s="41">
        <v>10</v>
      </c>
    </row>
    <row r="3" spans="1:2" x14ac:dyDescent="0.25">
      <c r="A3" s="8" t="s">
        <v>150</v>
      </c>
      <c r="B3" s="41">
        <v>10</v>
      </c>
    </row>
    <row r="4" spans="1:2" x14ac:dyDescent="0.25">
      <c r="A4" s="8" t="s">
        <v>146</v>
      </c>
      <c r="B4" s="41">
        <v>10</v>
      </c>
    </row>
    <row r="5" spans="1:2" x14ac:dyDescent="0.25">
      <c r="A5" s="8" t="s">
        <v>147</v>
      </c>
      <c r="B5" s="41">
        <v>10</v>
      </c>
    </row>
    <row r="6" spans="1:2" x14ac:dyDescent="0.25">
      <c r="A6" s="8" t="s">
        <v>148</v>
      </c>
      <c r="B6" s="41">
        <v>10</v>
      </c>
    </row>
    <row r="7" spans="1:2" x14ac:dyDescent="0.25">
      <c r="A7" s="8" t="s">
        <v>149</v>
      </c>
      <c r="B7" s="41">
        <v>10</v>
      </c>
    </row>
  </sheetData>
  <sheetProtection algorithmName="SHA-512" hashValue="IflsIIQPnfO3/ll09//0HjSBD/IOR5Fga5FNEahV7UXAaZBc3XgXzPk7iwCNK9NlljbUWkJdy1r/vvkbeQNMZg==" saltValue="LECu2pHOWRbLWHe5inErp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x14ac:dyDescent="0.25">
      <c r="B10" s="32" t="s">
        <v>109</v>
      </c>
      <c r="C10" s="47"/>
      <c r="D10" s="47"/>
      <c r="E10" s="38" t="str">
        <f>IF(E$7="","",E$7)</f>
        <v/>
      </c>
    </row>
    <row r="11" spans="1:5" x14ac:dyDescent="0.25">
      <c r="B11" s="32" t="s">
        <v>96</v>
      </c>
      <c r="C11" s="47"/>
      <c r="D11" s="47"/>
      <c r="E11" s="38" t="str">
        <f>IF(E$7="","",E$7)</f>
        <v/>
      </c>
    </row>
    <row r="12" spans="1:5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2yx2+jw/PjIBO3L5g/sgVFFkPUUS6Dpg19Zd+1551Ht9NRaAWVQivXQGs+Ar1kmavrnf4WufXvtpTBDWP+GxZw==" saltValue="tfEoHGV/VheOG9yVT4ams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OjJZqXIKLBIoi3uZHn47OHcPnEW+OSona8We7zcFHDCuLpM1DOpZjDrKjErUkSYcyrK7x7Qd++t3MXb/iq3HIQ==" saltValue="PuXijH4XINKYRkBeeDGL5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33.512328306813657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0.15484974159402001</v>
      </c>
      <c r="C3" s="98">
        <v>0.95</v>
      </c>
      <c r="D3" s="56">
        <v>44.605343392661311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30.030766511576608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0.1203130428229381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0.33427040000000002</v>
      </c>
      <c r="C10" s="98">
        <v>0.95</v>
      </c>
      <c r="D10" s="56">
        <v>14.13040526178168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0.33427040000000002</v>
      </c>
      <c r="C11" s="98">
        <v>0.95</v>
      </c>
      <c r="D11" s="56">
        <v>14.13040526178168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0.33427040000000002</v>
      </c>
      <c r="C12" s="98">
        <v>0.95</v>
      </c>
      <c r="D12" s="56">
        <v>14.13040526178168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0.33427040000000002</v>
      </c>
      <c r="C13" s="98">
        <v>0.95</v>
      </c>
      <c r="D13" s="56">
        <v>14.13040526178168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0.33427040000000002</v>
      </c>
      <c r="C14" s="98">
        <v>0.95</v>
      </c>
      <c r="D14" s="56">
        <v>14.13040526178168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0.33427040000000002</v>
      </c>
      <c r="C15" s="98">
        <v>0.95</v>
      </c>
      <c r="D15" s="56">
        <v>14.13040526178168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0.9</v>
      </c>
      <c r="C16" s="98">
        <v>0.95</v>
      </c>
      <c r="D16" s="56">
        <v>0.1866821098142778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3.1508066666666702E-2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0.1297400871818</v>
      </c>
      <c r="C18" s="98">
        <v>0.95</v>
      </c>
      <c r="D18" s="56">
        <v>0.80800494022236113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0.49241289999999999</v>
      </c>
      <c r="C19" s="98">
        <v>0.95</v>
      </c>
      <c r="D19" s="56">
        <v>0.80800494022236113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0.20602480000000001</v>
      </c>
      <c r="C21" s="98">
        <v>0.95</v>
      </c>
      <c r="D21" s="56">
        <v>0.80110146350938183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24.054885882818429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4.621869686333798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0.8975014143608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0.33427040000000002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20.43896045604918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0.85758132799216003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</v>
      </c>
      <c r="C29" s="98">
        <v>0.95</v>
      </c>
      <c r="D29" s="56">
        <v>57.691469774981172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0.77</v>
      </c>
      <c r="C31" s="98">
        <v>0.95</v>
      </c>
      <c r="D31" s="56">
        <v>0.45959500925169477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0.33618374922887551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0.77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0.17305509999999999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0.513741</v>
      </c>
      <c r="C38" s="98">
        <v>0.95</v>
      </c>
      <c r="D38" s="56">
        <v>6.3798849579053014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fH06ndn+h6UN8m2Iv/LRCsjn4pAyWQ3liDoUAjnNjwA+NMNtBDvo8kWW2bszAfKCEhqyshJzrZWK62ITT8KA0g==" saltValue="o7ttjR6OJ8PjWzSXBEq8l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x14ac:dyDescent="0.25">
      <c r="A2" s="57" t="s">
        <v>180</v>
      </c>
      <c r="B2" s="47" t="s">
        <v>190</v>
      </c>
      <c r="C2" s="47"/>
    </row>
    <row r="3" spans="1:3" x14ac:dyDescent="0.25">
      <c r="A3" s="57" t="s">
        <v>181</v>
      </c>
      <c r="B3" s="47" t="s">
        <v>190</v>
      </c>
      <c r="C3" s="47"/>
    </row>
    <row r="4" spans="1:3" x14ac:dyDescent="0.25">
      <c r="A4" s="57" t="s">
        <v>192</v>
      </c>
      <c r="B4" s="47" t="s">
        <v>185</v>
      </c>
      <c r="C4" s="47"/>
    </row>
    <row r="5" spans="1:3" x14ac:dyDescent="0.25">
      <c r="A5" s="57" t="s">
        <v>189</v>
      </c>
      <c r="B5" s="47" t="s">
        <v>185</v>
      </c>
      <c r="C5" s="47"/>
    </row>
    <row r="6" spans="1:3" x14ac:dyDescent="0.25">
      <c r="A6" s="57" t="s">
        <v>192</v>
      </c>
      <c r="B6" s="58" t="s">
        <v>205</v>
      </c>
      <c r="C6" s="58"/>
    </row>
    <row r="7" spans="1:3" x14ac:dyDescent="0.25">
      <c r="A7" s="57" t="s">
        <v>189</v>
      </c>
      <c r="B7" s="58" t="s">
        <v>205</v>
      </c>
      <c r="C7" s="58"/>
    </row>
    <row r="8" spans="1:3" x14ac:dyDescent="0.25">
      <c r="A8" s="57" t="s">
        <v>200</v>
      </c>
      <c r="B8" s="58" t="s">
        <v>205</v>
      </c>
      <c r="C8" s="58"/>
    </row>
    <row r="9" spans="1:3" x14ac:dyDescent="0.25">
      <c r="A9" s="57" t="s">
        <v>193</v>
      </c>
      <c r="B9" s="58" t="s">
        <v>205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N8KvHT9r3UNxPQzgnR643Sz6y8x9SEY6x+0XiGPKR688kyFwWObmgOinycjsMLiX30Fhv4JqiNrIVLen8h9ZVw==" saltValue="TsiH/m3GFVw53UFmqqfyK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x14ac:dyDescent="0.25">
      <c r="A2" s="33" t="s">
        <v>172</v>
      </c>
    </row>
    <row r="3" spans="1:1" x14ac:dyDescent="0.25">
      <c r="A3" s="33" t="s">
        <v>182</v>
      </c>
    </row>
    <row r="4" spans="1:1" x14ac:dyDescent="0.25">
      <c r="A4" s="33" t="s">
        <v>186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WPR3b/0FswxrLZtRmFLoMIARaZnEL5LhTdJQ0wFj05Q/0KL1/lOs/+VzKTLbelezZXjoboAeZr5/cKetp5dgmw==" saltValue="Cx79eO1HqHpSfJjSCoO9/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3.3</v>
      </c>
      <c r="C2" s="21">
        <f>'Données pop de l''année de ref'!C52</f>
        <v>3.3</v>
      </c>
      <c r="D2" s="21">
        <f>'Données pop de l''année de ref'!C53</f>
        <v>3.3</v>
      </c>
      <c r="E2" s="21">
        <f>'Données pop de l''année de ref'!C54</f>
        <v>3.3</v>
      </c>
      <c r="F2" s="21">
        <f>'Données pop de l''année de ref'!C55</f>
        <v>3.3</v>
      </c>
    </row>
    <row r="3" spans="1:6" ht="15.75" customHeight="1" x14ac:dyDescent="0.25">
      <c r="A3" s="3" t="s">
        <v>209</v>
      </c>
      <c r="B3" s="21">
        <f>frac_mam_1month * 2.6</f>
        <v>3.8956579999999998E-2</v>
      </c>
      <c r="C3" s="21">
        <f>frac_mam_1_5months * 2.6</f>
        <v>3.8956579999999998E-2</v>
      </c>
      <c r="D3" s="21">
        <f>frac_mam_6_11months * 2.6</f>
        <v>4.2182400000000002E-2</v>
      </c>
      <c r="E3" s="21">
        <f>frac_mam_12_23months * 2.6</f>
        <v>8.2663879999999995E-2</v>
      </c>
      <c r="F3" s="21">
        <f>frac_mam_24_59months * 2.6</f>
        <v>3.7688039999999999E-2</v>
      </c>
    </row>
    <row r="4" spans="1:6" ht="15.75" customHeight="1" x14ac:dyDescent="0.25">
      <c r="A4" s="3" t="s">
        <v>208</v>
      </c>
      <c r="B4" s="21">
        <f>frac_sam_1month * 2.6</f>
        <v>2.5979460000000003E-2</v>
      </c>
      <c r="C4" s="21">
        <f>frac_sam_1_5months * 2.6</f>
        <v>2.5979460000000003E-2</v>
      </c>
      <c r="D4" s="21">
        <f>frac_sam_6_11months * 2.6</f>
        <v>2.5468560000000001E-2</v>
      </c>
      <c r="E4" s="21">
        <f>frac_sam_12_23months * 2.6</f>
        <v>3.4719360000000005E-2</v>
      </c>
      <c r="F4" s="21">
        <f>frac_sam_24_59months * 2.6</f>
        <v>1.1243959999999999E-2</v>
      </c>
    </row>
  </sheetData>
  <sheetProtection algorithmName="SHA-512" hashValue="J+6OlegUgn08LA7dLVPsguZtUMyTEgHQc2r2YAqZiugnclIqALhaMR65bY1tCxQ1lqzAp9awVWlDGLarws8YGg==" saltValue="0kds13TYM2ON5ixcG2PrR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0.70299999999999996</v>
      </c>
      <c r="E2" s="60">
        <f>food_insecure</f>
        <v>0.70299999999999996</v>
      </c>
      <c r="F2" s="60">
        <f>food_insecure</f>
        <v>0.70299999999999996</v>
      </c>
      <c r="G2" s="60">
        <f>food_insecure</f>
        <v>0.70299999999999996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0.70299999999999996</v>
      </c>
      <c r="F5" s="60">
        <f>food_insecure</f>
        <v>0.70299999999999996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0.70299999999999996</v>
      </c>
      <c r="F8" s="60">
        <f>food_insecure</f>
        <v>0.70299999999999996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0.70299999999999996</v>
      </c>
      <c r="F9" s="60">
        <f>food_insecure</f>
        <v>0.70299999999999996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0.70299999999999996</v>
      </c>
      <c r="I15" s="60">
        <f>food_insecure</f>
        <v>0.70299999999999996</v>
      </c>
      <c r="J15" s="60">
        <f>food_insecure</f>
        <v>0.70299999999999996</v>
      </c>
      <c r="K15" s="60">
        <f>food_insecure</f>
        <v>0.70299999999999996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0.77</v>
      </c>
      <c r="I19" s="60">
        <f>frac_malaria_risk</f>
        <v>0.77</v>
      </c>
      <c r="J19" s="60">
        <f>frac_malaria_risk</f>
        <v>0.77</v>
      </c>
      <c r="K19" s="60">
        <f>frac_malaria_risk</f>
        <v>0.77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0.254</v>
      </c>
      <c r="M24" s="60">
        <f>famplan_unmet_need</f>
        <v>0.254</v>
      </c>
      <c r="N24" s="60">
        <f>famplan_unmet_need</f>
        <v>0.254</v>
      </c>
      <c r="O24" s="60">
        <f>famplan_unmet_need</f>
        <v>0.254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0.44125296585788709</v>
      </c>
      <c r="M25" s="60">
        <f>(1-food_insecure)*(0.49)+food_insecure*(0.7)</f>
        <v>0.63762999999999992</v>
      </c>
      <c r="N25" s="60">
        <f>(1-food_insecure)*(0.49)+food_insecure*(0.7)</f>
        <v>0.63762999999999992</v>
      </c>
      <c r="O25" s="60">
        <f>(1-food_insecure)*(0.49)+food_insecure*(0.7)</f>
        <v>0.63762999999999992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0.18910841393909447</v>
      </c>
      <c r="M26" s="60">
        <f>(1-food_insecure)*(0.21)+food_insecure*(0.3)</f>
        <v>0.27327000000000001</v>
      </c>
      <c r="N26" s="60">
        <f>(1-food_insecure)*(0.21)+food_insecure*(0.3)</f>
        <v>0.27327000000000001</v>
      </c>
      <c r="O26" s="60">
        <f>(1-food_insecure)*(0.21)+food_insecure*(0.3)</f>
        <v>0.27327000000000001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6.1659017389297473E-2</v>
      </c>
      <c r="M27" s="60">
        <f>(1-food_insecure)*(0.3)</f>
        <v>8.9100000000000013E-2</v>
      </c>
      <c r="N27" s="60">
        <f>(1-food_insecure)*(0.3)</f>
        <v>8.9100000000000013E-2</v>
      </c>
      <c r="O27" s="60">
        <f>(1-food_insecure)*(0.3)</f>
        <v>8.9100000000000013E-2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0.307979602813721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0.77</v>
      </c>
      <c r="D34" s="60">
        <f t="shared" si="3"/>
        <v>0.77</v>
      </c>
      <c r="E34" s="60">
        <f t="shared" si="3"/>
        <v>0.77</v>
      </c>
      <c r="F34" s="60">
        <f t="shared" si="3"/>
        <v>0.77</v>
      </c>
      <c r="G34" s="60">
        <f t="shared" si="3"/>
        <v>0.77</v>
      </c>
      <c r="H34" s="60">
        <f t="shared" si="3"/>
        <v>0.77</v>
      </c>
      <c r="I34" s="60">
        <f t="shared" si="3"/>
        <v>0.77</v>
      </c>
      <c r="J34" s="60">
        <f t="shared" si="3"/>
        <v>0.77</v>
      </c>
      <c r="K34" s="60">
        <f t="shared" si="3"/>
        <v>0.77</v>
      </c>
      <c r="L34" s="60">
        <f t="shared" si="3"/>
        <v>0.77</v>
      </c>
      <c r="M34" s="60">
        <f t="shared" si="3"/>
        <v>0.77</v>
      </c>
      <c r="N34" s="60">
        <f t="shared" si="3"/>
        <v>0.77</v>
      </c>
      <c r="O34" s="60">
        <f t="shared" si="3"/>
        <v>0.77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iFvo/GzNSlpEW4veUtwst82Cf98hh0NWlP77fIzKVgOOAUXRbLP+g5EdGvNs9lwnklCsYMhsdC9E+hBJc0xRNg==" saltValue="prQv1aitUILJ5Gzvpv6ll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xZNkZU1QZPHoedUvwizLIQLm/1r5bT3GvkSg13D70YFew1J+TwuEtT7QQkCgIiyohH01i0uYG9MSLUfcAL46FQ==" saltValue="QrOY499bwo1Gt0sgjJ4cj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/up0mwdMyxIH/JBBANRC2Jdtg/iMP3TjLgVPjUaVciZEJldCSsjDzkoNgome5rGgiy99QSwGfKVoyfPIKR10kg==" saltValue="81dkEmM2P+Vny/EF5/Uez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PG6t5ZTtLBsdSXDshR0yX/5yS567bSIETgmUVD/r86kmh0ybcjTWTHt9Ek9L9wOFRPxgPvqrxHuB/PzJ0hnrQ==" saltValue="OX1CnjFMsTJ8GiXwBAP4Q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tSdcI6dv2YhyIQlcteD5G+SKyjHRqceF6N2I4mqz7/WO4U4vRtE87MUb/Tu/KQ6yawYMa14mGymUIl2nOkRz/A==" saltValue="mMkA5x9FDTT5xtPlAreY3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wxegAhdmECOLodN6xHjAew0hJMeC4Nk9KSjoyshJ3ydYQMyQT/2LT3t703ESyUBoYG3MZQLkjh+LU4TWQsSH8Q==" saltValue="bGFrNFQBO49pZQld9Mtc3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109</v>
      </c>
      <c r="C5" s="8" t="s">
        <v>153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154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96</v>
      </c>
      <c r="C8" s="8" t="s">
        <v>153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154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154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109</v>
      </c>
      <c r="C58" s="8" t="s">
        <v>153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154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96</v>
      </c>
      <c r="C61" s="8" t="s">
        <v>153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154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109</v>
      </c>
      <c r="C111" s="8" t="s">
        <v>153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154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96</v>
      </c>
      <c r="C114" s="8" t="s">
        <v>153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154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97</v>
      </c>
      <c r="C117" s="8" t="s">
        <v>153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154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98</v>
      </c>
      <c r="C120" s="8" t="s">
        <v>153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154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154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109</v>
      </c>
      <c r="C128" s="8" t="s">
        <v>153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154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96</v>
      </c>
      <c r="C131" s="8" t="s">
        <v>153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154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97</v>
      </c>
      <c r="C134" s="8" t="s">
        <v>153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154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98</v>
      </c>
      <c r="C137" s="8" t="s">
        <v>153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154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154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109</v>
      </c>
      <c r="C145" s="8" t="s">
        <v>153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154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96</v>
      </c>
      <c r="C148" s="8" t="s">
        <v>153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154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97</v>
      </c>
      <c r="C151" s="8" t="s">
        <v>153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154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98</v>
      </c>
      <c r="C154" s="8" t="s">
        <v>153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154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p1/SEYLqSRnQUKwci6VSlDId0exi0iUx4A43yZBU6wNDNuutizCxy2fixBl4QCDRD++AlTH+MOWm3949QEwmwQ==" saltValue="J0AEvnzq15r04IdMchrCZA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1n9vXHVEe+kMwzz7YQ1xQSJniqln9PSijFUVA82opBijPAsRQNF82U0Nq8CmOBUCa2VYAq1o+Nwcsc0ZRsDLiQ==" saltValue="TVU6xOuDUUVVCDuoWrVol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h6qVkJKdOPJzxchhSHKV+Iw3YBhBUCAahqMUlgbx6JgkFcl8dTtAX6189ss0Ke1YIKej7FtMvw5rm8zmoUlIJA==" saltValue="R53XI7D9tBt/CgaDJnFSt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287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298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121</v>
      </c>
      <c r="B40" s="11" t="s">
        <v>299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303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311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121</v>
      </c>
      <c r="B63" s="11" t="s">
        <v>312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U/qWT+n4bEiTQCl+F2J8Yn3YAojBGxW59BmJjmjeYKhaICEAd6ES67g+RdZgOFMI9QkBfZ1sT5tPFn4Ua1Mipg==" saltValue="iboGEuRu+ZJyEp4J7Uu8J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Y8i5oZehcBh9s/gY5QL8A4n7Q2N0E10Xu+tVbp7ZbQ0v90QC0C8EQ6eBy0cn2AtJANmw7LBtwq/7B+87AqfsJA==" saltValue="aRZpnXVllkZi5IrNwwO8K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176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177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178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179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180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190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174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183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176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177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178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179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180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190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174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183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pZx3bE5+v0HFHh3MN6eR6jBFbJ74YaxAG424wslzD2EVy2VKpuM0A67fj5cecqEXSwhSicdQqIlOn3PZMQ0tzg==" saltValue="yB0/a0YHzWM5U2NFzFYjG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pe4W5JIwpe2IJfsPAF2DJYc0VFh8zjoy3CYeQa1s35RdgCk08kvRi0sVaA24b1c4myVMkFi3u9+Zm3GINHCL7g==" saltValue="autjQqYAR6dznHcEXLLpS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336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336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335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uy1eqJC8NROG9voxpZvGmumFY6Kkd1xEhGsZag4TM+DgDgR9dMVjaJYKTgbCu8kMhOoiMxwsgCABsXW0USBnbQ==" saltValue="tZLlAB6w4xD/iN7z3OsvI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335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335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VJLFL2tmhJhyX4cKQVtua0HBaPsoCRwjdLgKYUk0Hz5A+1JDszaLDD9YBUNQpBCyEUNshIGd9MUaredAzFYszw==" saltValue="bdNTSuFG7N+EqYVTpo+F6g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2024-05-17T00:42:17Z</dcterms:modified>
</cp:coreProperties>
</file>