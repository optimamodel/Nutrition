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59831AE-4A04-465E-BF9B-4D35D2EA8FE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H38" i="2"/>
  <c r="I38" i="2" s="1"/>
  <c r="G38" i="2"/>
  <c r="A33" i="2"/>
  <c r="A31" i="2"/>
  <c r="A26" i="2"/>
  <c r="A18" i="2"/>
  <c r="H13" i="2"/>
  <c r="I13" i="2" s="1"/>
  <c r="G13" i="2"/>
  <c r="I12" i="2"/>
  <c r="H12" i="2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H2" i="2"/>
  <c r="I2" i="2" s="1"/>
  <c r="G2" i="2"/>
  <c r="A2" i="2"/>
  <c r="A40" i="2" s="1"/>
  <c r="C33" i="1"/>
  <c r="C20" i="1"/>
  <c r="A15" i="2" l="1"/>
  <c r="A34" i="2"/>
  <c r="A17" i="2"/>
  <c r="A2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5" i="2"/>
  <c r="A39" i="2"/>
  <c r="A16" i="2"/>
  <c r="A24" i="2"/>
  <c r="A32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<sst xmlns="http://schemas.openxmlformats.org/spreadsheetml/2006/main" count="2101" uniqueCount="337">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</sst>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3244306.5</v>
      </c>
    </row>
    <row r="8" spans="1:3" ht="15" customHeight="1" x14ac:dyDescent="0.25">
      <c r="B8" s="5" t="s">
        <v>19</v>
      </c>
      <c r="C8" s="44">
        <v>0.70299999999999996</v>
      </c>
    </row>
    <row r="9" spans="1:3" ht="15" customHeight="1" x14ac:dyDescent="0.25">
      <c r="B9" s="5" t="s">
        <v>20</v>
      </c>
      <c r="C9" s="45">
        <v>0.77</v>
      </c>
    </row>
    <row r="10" spans="1:3" ht="15" customHeight="1" x14ac:dyDescent="0.25">
      <c r="B10" s="5" t="s">
        <v>21</v>
      </c>
      <c r="C10" s="45">
        <v>0.307979602813721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0.15459999999999999</v>
      </c>
    </row>
    <row r="24" spans="1:3" ht="15" customHeight="1" x14ac:dyDescent="0.25">
      <c r="B24" s="15" t="s">
        <v>33</v>
      </c>
      <c r="C24" s="45">
        <v>0.46519999999999989</v>
      </c>
    </row>
    <row r="25" spans="1:3" ht="15" customHeight="1" x14ac:dyDescent="0.25">
      <c r="B25" s="15" t="s">
        <v>34</v>
      </c>
      <c r="C25" s="45">
        <v>0.30449999999999999</v>
      </c>
    </row>
    <row r="26" spans="1:3" ht="15" customHeight="1" x14ac:dyDescent="0.25">
      <c r="B26" s="15" t="s">
        <v>35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0.26147459341354901</v>
      </c>
    </row>
    <row r="30" spans="1:3" ht="14.25" customHeight="1" x14ac:dyDescent="0.25">
      <c r="B30" s="25" t="s">
        <v>38</v>
      </c>
      <c r="C30" s="99">
        <v>3.1847694141973401E-2</v>
      </c>
    </row>
    <row r="31" spans="1:3" ht="14.25" customHeight="1" x14ac:dyDescent="0.25">
      <c r="B31" s="25" t="s">
        <v>39</v>
      </c>
      <c r="C31" s="99">
        <v>5.2301559488866299E-2</v>
      </c>
    </row>
    <row r="32" spans="1:3" ht="14.25" customHeight="1" x14ac:dyDescent="0.25">
      <c r="B32" s="25" t="s">
        <v>40</v>
      </c>
      <c r="C32" s="99">
        <v>0.65437615295561202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19.29918</v>
      </c>
    </row>
    <row r="38" spans="1:5" ht="15" customHeight="1" x14ac:dyDescent="0.25">
      <c r="B38" s="11" t="s">
        <v>45</v>
      </c>
      <c r="C38" s="43">
        <v>31.23901</v>
      </c>
      <c r="D38" s="12"/>
      <c r="E38" s="13"/>
    </row>
    <row r="39" spans="1:5" ht="15" customHeight="1" x14ac:dyDescent="0.25">
      <c r="B39" s="11" t="s">
        <v>46</v>
      </c>
      <c r="C39" s="43">
        <v>41.899279999999997</v>
      </c>
      <c r="D39" s="12"/>
      <c r="E39" s="12"/>
    </row>
    <row r="40" spans="1:5" ht="15" customHeight="1" x14ac:dyDescent="0.25">
      <c r="B40" s="11" t="s">
        <v>47</v>
      </c>
      <c r="C40" s="100">
        <v>3.81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1.25431E-2</v>
      </c>
      <c r="D45" s="12"/>
    </row>
    <row r="46" spans="1:5" ht="15.75" customHeight="1" x14ac:dyDescent="0.25">
      <c r="B46" s="11" t="s">
        <v>52</v>
      </c>
      <c r="C46" s="45">
        <v>0.1325692</v>
      </c>
      <c r="D46" s="12"/>
    </row>
    <row r="47" spans="1:5" ht="15.75" customHeight="1" x14ac:dyDescent="0.25">
      <c r="B47" s="11" t="s">
        <v>53</v>
      </c>
      <c r="C47" s="45">
        <v>0.15164759999999999</v>
      </c>
      <c r="D47" s="12"/>
      <c r="E47" s="13"/>
    </row>
    <row r="48" spans="1:5" ht="15" customHeight="1" x14ac:dyDescent="0.25">
      <c r="B48" s="11" t="s">
        <v>54</v>
      </c>
      <c r="C48" s="46">
        <v>0.70324010000000003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0.49510700000000002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0.14464293</v>
      </c>
    </row>
    <row r="63" spans="1:4" ht="15.75" customHeight="1" x14ac:dyDescent="0.3">
      <c r="A63" s="4"/>
    </row>
  </sheetData>
  <sheetProtection algorithmName="SHA-512" hashValue="cAVQhI+aTm8OgG/MtHD0uAiSfZy67CheNQFwqeTJkBmJjyfhuiZzGfn95iKgZE80l9vR/PRlFZItpP3hLSR5Xg==" saltValue="iTFyFL0IvcDJ376jIk0l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687950</v>
      </c>
      <c r="C2" s="49">
        <v>1578030</v>
      </c>
      <c r="D2" s="49">
        <v>1963398</v>
      </c>
      <c r="E2" s="49">
        <v>1410655</v>
      </c>
      <c r="F2" s="49">
        <v>831126.5</v>
      </c>
      <c r="G2" s="17">
        <f t="shared" ref="G2:G13" si="0">C2+D2+E2+F2</f>
        <v>5783209.5</v>
      </c>
      <c r="H2" s="17">
        <f t="shared" ref="H2:H13" si="1">(B2 + stillbirth*B2/(1000-stillbirth))/(1-abortion)</f>
        <v>794519.35823116044</v>
      </c>
      <c r="I2" s="17">
        <f t="shared" ref="I2:I13" si="2">G2-H2</f>
        <v>4988690.1417688392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698306</v>
      </c>
      <c r="C3" s="50">
        <v>1607686</v>
      </c>
      <c r="D3" s="50">
        <v>2042677</v>
      </c>
      <c r="E3" s="50">
        <v>1438951.5</v>
      </c>
      <c r="F3" s="50">
        <v>887830.5</v>
      </c>
      <c r="G3" s="17">
        <f t="shared" si="0"/>
        <v>5977145</v>
      </c>
      <c r="H3" s="17">
        <f t="shared" si="1"/>
        <v>806479.59149497608</v>
      </c>
      <c r="I3" s="17">
        <f t="shared" si="2"/>
        <v>5170665.4085050244</v>
      </c>
    </row>
    <row r="4" spans="1:9" ht="15.75" customHeight="1" x14ac:dyDescent="0.25">
      <c r="A4" s="5">
        <f t="shared" si="3"/>
        <v>2026</v>
      </c>
      <c r="B4" s="49">
        <v>709710</v>
      </c>
      <c r="C4" s="50">
        <v>1631297.5</v>
      </c>
      <c r="D4" s="50">
        <v>2124874.5</v>
      </c>
      <c r="E4" s="50">
        <v>1471056</v>
      </c>
      <c r="F4" s="50">
        <v>941192.00000000012</v>
      </c>
      <c r="G4" s="17">
        <f t="shared" si="0"/>
        <v>6168420</v>
      </c>
      <c r="H4" s="17">
        <f t="shared" si="1"/>
        <v>819650.16895157634</v>
      </c>
      <c r="I4" s="17">
        <f t="shared" si="2"/>
        <v>5348769.8310484234</v>
      </c>
    </row>
    <row r="5" spans="1:9" ht="15.75" customHeight="1" x14ac:dyDescent="0.25">
      <c r="A5" s="5">
        <f t="shared" si="3"/>
        <v>2027</v>
      </c>
      <c r="B5" s="49">
        <v>717845</v>
      </c>
      <c r="C5" s="50">
        <v>1650578</v>
      </c>
      <c r="D5" s="50">
        <v>2207309.5</v>
      </c>
      <c r="E5" s="50">
        <v>1508576.5</v>
      </c>
      <c r="F5" s="50">
        <v>989544.5</v>
      </c>
      <c r="G5" s="17">
        <f t="shared" si="0"/>
        <v>6356008.5</v>
      </c>
      <c r="H5" s="17">
        <f t="shared" si="1"/>
        <v>829045.35025720962</v>
      </c>
      <c r="I5" s="17">
        <f t="shared" si="2"/>
        <v>5526963.1497427905</v>
      </c>
    </row>
    <row r="6" spans="1:9" ht="15.75" customHeight="1" x14ac:dyDescent="0.25">
      <c r="A6" s="5">
        <f t="shared" si="3"/>
        <v>2028</v>
      </c>
      <c r="B6" s="49">
        <v>727908</v>
      </c>
      <c r="C6" s="50">
        <v>1666904.5</v>
      </c>
      <c r="D6" s="50">
        <v>2287016.5</v>
      </c>
      <c r="E6" s="50">
        <v>1550820.5</v>
      </c>
      <c r="F6" s="50">
        <v>1031364</v>
      </c>
      <c r="G6" s="17">
        <f t="shared" si="0"/>
        <v>6536105.5</v>
      </c>
      <c r="H6" s="17">
        <f t="shared" si="1"/>
        <v>840667.19530682114</v>
      </c>
      <c r="I6" s="17">
        <f t="shared" si="2"/>
        <v>5695438.3046931792</v>
      </c>
    </row>
    <row r="7" spans="1:9" ht="15.75" customHeight="1" x14ac:dyDescent="0.25">
      <c r="A7" s="5">
        <f t="shared" si="3"/>
        <v>2029</v>
      </c>
      <c r="B7" s="49">
        <v>736141</v>
      </c>
      <c r="C7" s="50">
        <v>1680324</v>
      </c>
      <c r="D7" s="50">
        <v>2362908</v>
      </c>
      <c r="E7" s="50">
        <v>1597427</v>
      </c>
      <c r="F7" s="50">
        <v>1068222.5</v>
      </c>
      <c r="G7" s="17">
        <f t="shared" si="0"/>
        <v>6708881.5</v>
      </c>
      <c r="H7" s="17">
        <f t="shared" si="1"/>
        <v>850175.55765338289</v>
      </c>
      <c r="I7" s="17">
        <f t="shared" si="2"/>
        <v>5858705.9423466176</v>
      </c>
    </row>
    <row r="8" spans="1:9" ht="15.75" customHeight="1" x14ac:dyDescent="0.25">
      <c r="A8" s="5">
        <f t="shared" si="3"/>
        <v>2030</v>
      </c>
      <c r="B8" s="49">
        <v>746353</v>
      </c>
      <c r="C8" s="50">
        <v>1691184</v>
      </c>
      <c r="D8" s="50">
        <v>2435285.5</v>
      </c>
      <c r="E8" s="50">
        <v>1649088.5</v>
      </c>
      <c r="F8" s="50">
        <v>1100319.5</v>
      </c>
      <c r="G8" s="17">
        <f t="shared" si="0"/>
        <v>6875877.5</v>
      </c>
      <c r="H8" s="17">
        <f t="shared" si="1"/>
        <v>861969.48408154852</v>
      </c>
      <c r="I8" s="17">
        <f t="shared" si="2"/>
        <v>6013908.0159184514</v>
      </c>
    </row>
    <row r="9" spans="1:9" ht="15.75" customHeight="1" x14ac:dyDescent="0.25">
      <c r="A9" s="5">
        <f t="shared" si="3"/>
        <v>2031</v>
      </c>
      <c r="B9" s="49">
        <v>748584</v>
      </c>
      <c r="C9" s="50">
        <v>1701640</v>
      </c>
      <c r="D9" s="50">
        <v>2503337.5</v>
      </c>
      <c r="E9" s="50">
        <v>1705467.5</v>
      </c>
      <c r="F9" s="50">
        <v>1126941</v>
      </c>
      <c r="G9" s="17">
        <f t="shared" si="0"/>
        <v>7037386</v>
      </c>
      <c r="H9" s="17">
        <f t="shared" si="1"/>
        <v>864546.08512553968</v>
      </c>
      <c r="I9" s="17">
        <f t="shared" si="2"/>
        <v>6172839.9148744605</v>
      </c>
    </row>
    <row r="10" spans="1:9" ht="15.75" customHeight="1" x14ac:dyDescent="0.25">
      <c r="A10" s="5">
        <f t="shared" si="3"/>
        <v>2032</v>
      </c>
      <c r="B10" s="49">
        <v>757906</v>
      </c>
      <c r="C10" s="50">
        <v>1714255.5</v>
      </c>
      <c r="D10" s="50">
        <v>2564983.5</v>
      </c>
      <c r="E10" s="50">
        <v>1767321.5</v>
      </c>
      <c r="F10" s="50">
        <v>1150241</v>
      </c>
      <c r="G10" s="17">
        <f t="shared" si="0"/>
        <v>7196801.5</v>
      </c>
      <c r="H10" s="17">
        <f t="shared" si="1"/>
        <v>875312.14291670313</v>
      </c>
      <c r="I10" s="17">
        <f t="shared" si="2"/>
        <v>6321489.3570832964</v>
      </c>
    </row>
    <row r="11" spans="1:9" ht="15.75" customHeight="1" x14ac:dyDescent="0.25">
      <c r="A11" s="5">
        <f t="shared" si="3"/>
        <v>2033</v>
      </c>
      <c r="B11" s="49">
        <v>760142</v>
      </c>
      <c r="C11" s="50">
        <v>1730029</v>
      </c>
      <c r="D11" s="50">
        <v>2619056.5</v>
      </c>
      <c r="E11" s="50">
        <v>1835174.5</v>
      </c>
      <c r="F11" s="50">
        <v>1172298.5</v>
      </c>
      <c r="G11" s="17">
        <f t="shared" si="0"/>
        <v>7356558.5</v>
      </c>
      <c r="H11" s="17">
        <f t="shared" si="1"/>
        <v>877894.51850359887</v>
      </c>
      <c r="I11" s="17">
        <f t="shared" si="2"/>
        <v>6478663.9814964011</v>
      </c>
    </row>
    <row r="12" spans="1:9" ht="15.75" customHeight="1" x14ac:dyDescent="0.25">
      <c r="A12" s="5">
        <f t="shared" si="3"/>
        <v>2034</v>
      </c>
      <c r="B12" s="49">
        <v>766161</v>
      </c>
      <c r="C12" s="50">
        <v>1749604</v>
      </c>
      <c r="D12" s="50">
        <v>2664942</v>
      </c>
      <c r="E12" s="50">
        <v>1909073</v>
      </c>
      <c r="F12" s="50">
        <v>1194684.5</v>
      </c>
      <c r="G12" s="17">
        <f t="shared" si="0"/>
        <v>7518303.5</v>
      </c>
      <c r="H12" s="17">
        <f t="shared" si="1"/>
        <v>884845.9132520447</v>
      </c>
      <c r="I12" s="17">
        <f t="shared" si="2"/>
        <v>6633457.5867479555</v>
      </c>
    </row>
    <row r="13" spans="1:9" ht="15.75" customHeight="1" x14ac:dyDescent="0.25">
      <c r="A13" s="5">
        <f t="shared" si="3"/>
        <v>2035</v>
      </c>
      <c r="B13" s="49">
        <v>770109</v>
      </c>
      <c r="C13" s="50">
        <v>1773523.5</v>
      </c>
      <c r="D13" s="50">
        <v>2701851.5</v>
      </c>
      <c r="E13" s="50">
        <v>1987695</v>
      </c>
      <c r="F13" s="50">
        <v>1218143</v>
      </c>
      <c r="G13" s="17">
        <f t="shared" si="0"/>
        <v>7681213</v>
      </c>
      <c r="H13" s="17">
        <f t="shared" si="1"/>
        <v>889405.49232944357</v>
      </c>
      <c r="I13" s="17">
        <f t="shared" si="2"/>
        <v>6791807.5076705562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Bl2RDVghPa6gfyWasD4eSEuXV7iZP6O218hS5H8CFw18v59nKu46LCAZdxPNC/tPRsG5nT4HktE1xQuoa3oQA==" saltValue="nuqWgEwur7sl6WWLeNfq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1.277209872279011E-2</v>
      </c>
    </row>
    <row r="4" spans="1:8" ht="15.75" customHeight="1" x14ac:dyDescent="0.25">
      <c r="B4" s="19" t="s">
        <v>79</v>
      </c>
      <c r="C4" s="101">
        <v>5.3933894606610487E-2</v>
      </c>
    </row>
    <row r="5" spans="1:8" ht="15.75" customHeight="1" x14ac:dyDescent="0.25">
      <c r="B5" s="19" t="s">
        <v>80</v>
      </c>
      <c r="C5" s="101">
        <v>7.7123692287630718E-2</v>
      </c>
    </row>
    <row r="6" spans="1:8" ht="15.75" customHeight="1" x14ac:dyDescent="0.25">
      <c r="B6" s="19" t="s">
        <v>81</v>
      </c>
      <c r="C6" s="101">
        <v>0.244385075561493</v>
      </c>
    </row>
    <row r="7" spans="1:8" ht="15.75" customHeight="1" x14ac:dyDescent="0.25">
      <c r="B7" s="19" t="s">
        <v>82</v>
      </c>
      <c r="C7" s="101">
        <v>0.41540115845988412</v>
      </c>
    </row>
    <row r="8" spans="1:8" ht="15.75" customHeight="1" x14ac:dyDescent="0.25">
      <c r="B8" s="19" t="s">
        <v>83</v>
      </c>
      <c r="C8" s="101">
        <v>1.690199830980013E-3</v>
      </c>
    </row>
    <row r="9" spans="1:8" ht="15.75" customHeight="1" x14ac:dyDescent="0.25">
      <c r="B9" s="19" t="s">
        <v>84</v>
      </c>
      <c r="C9" s="101">
        <v>8.066139193386071E-2</v>
      </c>
    </row>
    <row r="10" spans="1:8" ht="15.75" customHeight="1" x14ac:dyDescent="0.25">
      <c r="B10" s="19" t="s">
        <v>85</v>
      </c>
      <c r="C10" s="101">
        <v>0.1140324885967509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88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89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90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91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92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93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94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95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8.1884283999999988E-2</v>
      </c>
    </row>
    <row r="27" spans="1:8" ht="15.75" customHeight="1" x14ac:dyDescent="0.25">
      <c r="B27" s="19" t="s">
        <v>102</v>
      </c>
      <c r="C27" s="101">
        <v>8.1848189999999994E-3</v>
      </c>
    </row>
    <row r="28" spans="1:8" ht="15.75" customHeight="1" x14ac:dyDescent="0.25">
      <c r="B28" s="19" t="s">
        <v>103</v>
      </c>
      <c r="C28" s="101">
        <v>0.14548327699999999</v>
      </c>
    </row>
    <row r="29" spans="1:8" ht="15.75" customHeight="1" x14ac:dyDescent="0.25">
      <c r="B29" s="19" t="s">
        <v>104</v>
      </c>
      <c r="C29" s="101">
        <v>0.157612682</v>
      </c>
    </row>
    <row r="30" spans="1:8" ht="15.75" customHeight="1" x14ac:dyDescent="0.25">
      <c r="B30" s="19" t="s">
        <v>2</v>
      </c>
      <c r="C30" s="101">
        <v>9.9204118000000008E-2</v>
      </c>
    </row>
    <row r="31" spans="1:8" ht="15.75" customHeight="1" x14ac:dyDescent="0.25">
      <c r="B31" s="19" t="s">
        <v>105</v>
      </c>
      <c r="C31" s="101">
        <v>0.10218857200000001</v>
      </c>
    </row>
    <row r="32" spans="1:8" ht="15.75" customHeight="1" x14ac:dyDescent="0.25">
      <c r="B32" s="19" t="s">
        <v>106</v>
      </c>
      <c r="C32" s="101">
        <v>1.7390224999999999E-2</v>
      </c>
    </row>
    <row r="33" spans="2:3" ht="15.75" customHeight="1" x14ac:dyDescent="0.25">
      <c r="B33" s="19" t="s">
        <v>107</v>
      </c>
      <c r="C33" s="101">
        <v>7.9143570999999996E-2</v>
      </c>
    </row>
    <row r="34" spans="2:3" ht="15.75" customHeight="1" x14ac:dyDescent="0.25">
      <c r="B34" s="19" t="s">
        <v>108</v>
      </c>
      <c r="C34" s="101">
        <v>0.308908452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POGD+wsENFTRbSgMPSxC6PeSC9Y8do/ZGkm2xIUW8zgzGjHXskvP46pdmCey0CPO6VrywhMYoOzVzg8q4XgH2Q==" saltValue="9sGoyFPvdX78pY9Zr4mR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114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115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119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120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LEMa8GCOiIPyNuE38oLsddr4cas/W6WJB0vlWotEJC7fPfzYkLY/bQt7pdSOoeNgVLLLFijG40bkmOkmWsKPg==" saltValue="nsJtOzQjoEgkBzlQBil4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132</v>
      </c>
      <c r="C5" s="52">
        <v>9.0194700000000003E-2</v>
      </c>
      <c r="D5" s="52">
        <v>6.6924900000000009E-2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gb1l8mP0xTGcXIo4tctTjQTCgruIFC4jCb9FimuyiUvBJEaHBIqiGpcwf1DX+ENYXKmba0lL6/xF37/NCP4uJQ==" saltValue="F/j1NixYyjZeVCCoewiJ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0LE0ccbtSsZGAZfSBI+EEixjDyKtaOAGRIALivQ7sImRUjSLdkd54KMZIOoJNy+Lc985rztOonhTDpEu3H0ow==" saltValue="5c+TBlB0kqSvVutCXCnC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vv0UqwHPFS7NOdeaHD9A3h6SSTji8Srzud9t73xJV6/0dF1wP6jm3/C5DyOpKBRttVSX9HAdDTlNnj3WTkBOCg==" saltValue="ZXDWGPSRUoAS0doKU8QOK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I/8NhfM/nY9eydonpqCbW0BMlGIFyydP4rDnbZKWg3NyS6h+IKGu3qG1eFS1zf1HMww/JKzvEwQSYFaPax5N3Q==" saltValue="Q7HuvCRCCccsc6IfXK/0h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Gr0ovcnvGnJF/+RRKkpC0e3ajnhFaN7nXVyaxKedxc6YyJtdtxj7k0J3Cajgz4744rsu+Hv5lV5NlD7tNhgcCQ==" saltValue="tF4uG36M35+TfSl98bBk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25.026928085364101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0.1203130428229381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0.13284207579109411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0.33427040000000002</v>
      </c>
      <c r="C10" s="98">
        <v>0.95</v>
      </c>
      <c r="D10" s="56">
        <v>14.13040526178168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14.13040526178168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14.13040526178168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14.13040526178168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0.33427040000000002</v>
      </c>
      <c r="C14" s="98">
        <v>0.95</v>
      </c>
      <c r="D14" s="56">
        <v>14.13040526178168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14.13040526178168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0.75737939999999992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3.1508066666666702E-2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0.51400000000000001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0.56868370000000001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24.054885882818429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0.74117850000000007</v>
      </c>
      <c r="C23" s="98">
        <v>0.95</v>
      </c>
      <c r="D23" s="56">
        <v>4.621869686333798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0.93888883792254008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2.1000000000000001E-2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0.513741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0.17305509999999999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7.1500000000000008E-2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0.77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0.15307589999999999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0.88163790000000009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1.8209000000000001E-3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0.20602480000000001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0.24399999999999999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z7zS0tCP4ktn+3SuLTF4mstfrmHdk9PgOstJyHbGbGs6PCVLZOelhXL2si4oNJqKlYJ21xM0GPYzrvVtIPTtZg==" saltValue="HBqjw2qHQNPKDF8y7Zee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ik2EOJlZnhvLbYkZp00EEg7jRlO33qFkM4VMz7W7HVn1uOEIYIzeRMwpg4mHGhwCafXm38lnueGggxjubjBkWw==" saltValue="KdVbvlfmvH+CZMBM+C8A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Tviv41qQhjRsTNxhEwVIVfwph9A2qaFUnwO1Gt80GEPRWa9bVVnvpYDrZw9W11vsq+RFlE/GP0d1WkbPhlnPAQ==" saltValue="uwhj9zFLXYpwsOuwN3CM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208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TrjRmIIyCB2YAcp423I3Lw8/8KuOHJFNsMZ59uOvYUpL+AENuIY+gfLn+pWSquIuqnG5mIucMHq/w+5xQwyMKw==" saltValue="LY0XJXLi4psM18uT86Id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0.70299999999999996</v>
      </c>
      <c r="E2" s="60">
        <f>food_insecure</f>
        <v>0.70299999999999996</v>
      </c>
      <c r="F2" s="60">
        <f>food_insecure</f>
        <v>0.70299999999999996</v>
      </c>
      <c r="G2" s="60">
        <f>food_insecure</f>
        <v>0.70299999999999996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0.70299999999999996</v>
      </c>
      <c r="F5" s="60">
        <f>food_insecure</f>
        <v>0.70299999999999996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0.70299999999999996</v>
      </c>
      <c r="F8" s="60">
        <f>food_insecure</f>
        <v>0.70299999999999996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0.70299999999999996</v>
      </c>
      <c r="F9" s="60">
        <f>food_insecure</f>
        <v>0.70299999999999996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0.70299999999999996</v>
      </c>
      <c r="I15" s="60">
        <f>food_insecure</f>
        <v>0.70299999999999996</v>
      </c>
      <c r="J15" s="60">
        <f>food_insecure</f>
        <v>0.70299999999999996</v>
      </c>
      <c r="K15" s="60">
        <f>food_insecure</f>
        <v>0.70299999999999996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0.254</v>
      </c>
      <c r="M24" s="60">
        <f>famplan_unmet_need</f>
        <v>0.254</v>
      </c>
      <c r="N24" s="60">
        <f>famplan_unmet_need</f>
        <v>0.254</v>
      </c>
      <c r="O24" s="60">
        <f>famplan_unmet_need</f>
        <v>0.254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0.44125296585788709</v>
      </c>
      <c r="M25" s="60">
        <f>(1-food_insecure)*(0.49)+food_insecure*(0.7)</f>
        <v>0.63762999999999992</v>
      </c>
      <c r="N25" s="60">
        <f>(1-food_insecure)*(0.49)+food_insecure*(0.7)</f>
        <v>0.63762999999999992</v>
      </c>
      <c r="O25" s="60">
        <f>(1-food_insecure)*(0.49)+food_insecure*(0.7)</f>
        <v>0.63762999999999992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0.18910841393909447</v>
      </c>
      <c r="M26" s="60">
        <f>(1-food_insecure)*(0.21)+food_insecure*(0.3)</f>
        <v>0.27327000000000001</v>
      </c>
      <c r="N26" s="60">
        <f>(1-food_insecure)*(0.21)+food_insecure*(0.3)</f>
        <v>0.27327000000000001</v>
      </c>
      <c r="O26" s="60">
        <f>(1-food_insecure)*(0.21)+food_insecure*(0.3)</f>
        <v>0.27327000000000001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6.1659017389297473E-2</v>
      </c>
      <c r="M27" s="60">
        <f>(1-food_insecure)*(0.3)</f>
        <v>8.9100000000000013E-2</v>
      </c>
      <c r="N27" s="60">
        <f>(1-food_insecure)*(0.3)</f>
        <v>8.9100000000000013E-2</v>
      </c>
      <c r="O27" s="60">
        <f>(1-food_insecure)*(0.3)</f>
        <v>8.9100000000000013E-2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0.307979602813721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0.77</v>
      </c>
      <c r="D34" s="60">
        <f t="shared" si="3"/>
        <v>0.77</v>
      </c>
      <c r="E34" s="60">
        <f t="shared" si="3"/>
        <v>0.77</v>
      </c>
      <c r="F34" s="60">
        <f t="shared" si="3"/>
        <v>0.77</v>
      </c>
      <c r="G34" s="60">
        <f t="shared" si="3"/>
        <v>0.77</v>
      </c>
      <c r="H34" s="60">
        <f t="shared" si="3"/>
        <v>0.77</v>
      </c>
      <c r="I34" s="60">
        <f t="shared" si="3"/>
        <v>0.77</v>
      </c>
      <c r="J34" s="60">
        <f t="shared" si="3"/>
        <v>0.77</v>
      </c>
      <c r="K34" s="60">
        <f t="shared" si="3"/>
        <v>0.77</v>
      </c>
      <c r="L34" s="60">
        <f t="shared" si="3"/>
        <v>0.77</v>
      </c>
      <c r="M34" s="60">
        <f t="shared" si="3"/>
        <v>0.77</v>
      </c>
      <c r="N34" s="60">
        <f t="shared" si="3"/>
        <v>0.77</v>
      </c>
      <c r="O34" s="60">
        <f t="shared" si="3"/>
        <v>0.77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ufNRVPnfPfQpQ6C/lMgFma33q57X+ZdJfHLFpEtlKTgetrpwLhUAr8xIBPTtvIVJTOjgTQ6ebBDorxNVPTaJw==" saltValue="7NSZeJlDGzHDyD6nNg7Z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3b27NCg/dP/Yeyip5CoN9uQ3x+6e2B4MuIz+PFg0A/SA7QywK0hUZPzrLlqvKnMF7aUPI9WT0iv2MJRayzbdMA==" saltValue="OX0ytMl1xYNkYJJ5jx665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504USUzIhr62BEusTkknslMvN59PVlcDd0s6QIxqOPDJqz76FEO/piICyzPce1ZU126wR+c5d5kziU1vV5CYA==" saltValue="3xsXrkihgkuvOesg2F6C1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9eBAeMQ1/yG46qGk6MJrQO4FJzEZtAw1ZzG4HJRuYSf+r7/M6iyVjGuhHSgkUlFInfmVWNDL3MjS0ejmFibng==" saltValue="Avu5RgPmN7UQPuF2NI/E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TU6IDjPm/+zUnt6PExcr2JT4B1zsdPbAvjKQMirIApMpT1I9nh5kGWY2Hn9YdheLIJ3MjxhaIJcRrkqJNRaWg==" saltValue="X/Po8JDzFmA205WTt5Ka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6amSecvkmVw9aD9blFcKeVj1EuZiTqoQnzRSTeVKa6mHokD70XIcjvqseH4NyTiYEoJY/XT3QHaSO1NR1w29Dg==" saltValue="+iaLpILY6nK9f6kWjpCFo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gqvC69F+mx8DYhGiXw9B1vhcYCoQms9MOJj3oPHI/Nd4y8N+ACsa85MgbJfPVVE/a7FtitWXHhOFH6jSzQJdQ==" saltValue="nZ/swwKO42TE72OUW4U84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oB5vxrCArKN1xL0KAOD3hM3/0Qhf4L7V9sso7EDT2q4pwsbuoLigr6vb+Tj/8vjrkfv9VYqKOQwybWQ9Sa4qw==" saltValue="WyJCr0Ej3O1sM1SYGiYw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b63ZsbIkpdmqv8Of2BJY9hZxmWySyZh1fSpuG4HAL2ystJFUAkFPuitGsHwoat97MSaHhNYn7jeJm+PZ8OjbA==" saltValue="0zoA3W1WAjg6k4aKRkxN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XdhkhR7ifhhrE4+L/xYF7x4K9dyMRREGqipnMqfGP/AYc9ZmWAHHDcoJ04wDAxY/1y1e4dBG4LkHFAOHjMkeg==" saltValue="rAHNE2t8fd4fPHtZeT1X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lODNA4gtFXg7QvWdcFuA0Ru2XM5O9qwkT5vHv0T0Ws1j8oZJYQCxW72SILEAtQkm5XeOfCi8o9E3zAf+vXsOw==" saltValue="y2LuZ+ptztELPNIqTDsy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bxbiY3vb6I1nMthkuu0ig/ehTQ3YNN/AFmz17q63ZwNb7pJGrlVtAHIm0Vmy06OjOu3ECQ7e0SwyxrbvB8Ygw==" saltValue="2U/CXLUf9VpFwt+rk0wJ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AyzWk9vxcMq7Fvd6cQBnfpk3YHqoG/ZoMZKcA9bXD3H0OiUh/1aunQD0Y+ZVRi3WOS+gmfeCU5NKd0V3zai3g==" saltValue="zCa8shalVSvnsOXDJ7xw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0.10903997631912343</v>
      </c>
      <c r="G18" s="90">
        <f>MIN(MAX(1-0.89/(1-frac_sam_12_23months+(frac_sam_12_23months*0.89)),0),1)</f>
        <v>0.10869075942175155</v>
      </c>
      <c r="H18" s="90">
        <f>MIN(MAX(1-0.89/(1-frac_sam_24_59months+(frac_sam_24_59months*0.89)),0),1)</f>
        <v>0.10957642016052882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0.10840883073568408</v>
      </c>
      <c r="G20" s="90">
        <f>MIN(MAX(1-0.89/(1-frac_mam_12_23months+(frac_mam_12_23months*0.89)),0),1)</f>
        <v>0.10687646297774844</v>
      </c>
      <c r="H20" s="90">
        <f>MIN(MAX(1-0.89/(1-frac_mam_24_59months+(frac_mam_24_59months*0.89)),0),1)</f>
        <v>0.1085786339804099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9.903014059645221E-3</v>
      </c>
      <c r="G73" s="90">
        <f>MIN(MAX(1-0.99/(1-frac_sam_12_23months+(frac_sam_12_23months*0.99)),0),1)</f>
        <v>9.8677817040976334E-3</v>
      </c>
      <c r="H73" s="90">
        <f>MIN(MAX(1-0.99/(1-frac_sam_24_59months+(frac_sam_24_59months*0.99)),0),1)</f>
        <v>9.957184608405556E-3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9.8393563371721449E-3</v>
      </c>
      <c r="G75" s="90">
        <f>MIN(MAX(1-0.99/(1-frac_mam_12_23months+(frac_mam_12_23months*0.99)),0),1)</f>
        <v>9.6851412744465293E-3</v>
      </c>
      <c r="H75" s="90">
        <f>MIN(MAX(1-0.99/(1-frac_mam_24_59months+(frac_mam_24_59months*0.99)),0),1)</f>
        <v>9.8564747354388249E-3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0.1984296274517332</v>
      </c>
      <c r="G128" s="90">
        <f>MIN(MAX(1-0.8/(1-frac_sam_12_23months+(frac_sam_12_23months*0.8)),0),1)</f>
        <v>0.19785770252328294</v>
      </c>
      <c r="H128" s="90">
        <f>MIN(MAX(1-0.8/(1-frac_sam_24_59months+(frac_sam_24_59months*0.8)),0),1)</f>
        <v>0.19930746501263863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0.19739570959850516</v>
      </c>
      <c r="G130" s="90">
        <f>MIN(MAX(1-0.8/(1-frac_mam_12_23months+(frac_mam_12_23months*0.8)),0),1)</f>
        <v>0.19488043793351406</v>
      </c>
      <c r="H130" s="90">
        <f>MIN(MAX(1-0.8/(1-frac_mam_24_59months+(frac_mam_24_59months*0.8)),0),1)</f>
        <v>0.19767399271881114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6CYxtGVOE5K91V7Ff3bIqoYoZXL3tp+matJB6txYzrMs2sS1BYbEnNx7lruOBf8hgny1SIjjWzhMlF+2Jr1Cw==" saltValue="+co/Upen9xnpEwsUKnrv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0sENaTxKFyLOtTJNnI/N7Ataqvsw/IZ88jeW59dHoPLftgnQ14TRjY4eNUQzB5TNXBjfktqzoxoOY3uaxxszw==" saltValue="ZThBsUSCtiUZcQyg0hKt1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2024-08-06T09:31:13Z</dcterms:modified>
</cp:coreProperties>
</file>