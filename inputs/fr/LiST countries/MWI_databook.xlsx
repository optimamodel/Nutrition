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64090B4-B3B3-4B34-B9C9-ECF1328D784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3" i="2" l="1"/>
  <c r="A40" i="2"/>
  <c r="A24" i="2"/>
  <c r="A25" i="2"/>
  <c r="A26" i="2"/>
  <c r="I6" i="2"/>
  <c r="I12" i="2"/>
  <c r="A35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<sst xmlns="http://schemas.openxmlformats.org/spreadsheetml/2006/main" count="2169" uniqueCount="369">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</sst>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3196098</v>
      </c>
    </row>
    <row r="8" spans="1:3" ht="15" customHeight="1" x14ac:dyDescent="0.25">
      <c r="B8" s="5" t="s">
        <v>37</v>
      </c>
      <c r="C8" s="44">
        <v>0.50700000000000001</v>
      </c>
    </row>
    <row r="9" spans="1:3" ht="15" customHeight="1" x14ac:dyDescent="0.25">
      <c r="B9" s="5" t="s">
        <v>38</v>
      </c>
      <c r="C9" s="45">
        <v>0.77</v>
      </c>
    </row>
    <row r="10" spans="1:3" ht="15" customHeight="1" x14ac:dyDescent="0.25">
      <c r="B10" s="5" t="s">
        <v>39</v>
      </c>
      <c r="C10" s="45">
        <v>0.34760960000000002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0.15459999999999999</v>
      </c>
    </row>
    <row r="24" spans="1:3" ht="15" customHeight="1" x14ac:dyDescent="0.25">
      <c r="B24" s="15" t="s">
        <v>51</v>
      </c>
      <c r="C24" s="45">
        <v>0.46519999999999989</v>
      </c>
    </row>
    <row r="25" spans="1:3" ht="15" customHeight="1" x14ac:dyDescent="0.25">
      <c r="B25" s="15" t="s">
        <v>52</v>
      </c>
      <c r="C25" s="45">
        <v>0.30449999999999999</v>
      </c>
    </row>
    <row r="26" spans="1:3" ht="15" customHeight="1" x14ac:dyDescent="0.25">
      <c r="B26" s="15" t="s">
        <v>53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0.26147459341354901</v>
      </c>
    </row>
    <row r="30" spans="1:3" ht="14.25" customHeight="1" x14ac:dyDescent="0.25">
      <c r="B30" s="25" t="s">
        <v>56</v>
      </c>
      <c r="C30" s="97">
        <v>3.1847694141973401E-2</v>
      </c>
    </row>
    <row r="31" spans="1:3" ht="14.25" customHeight="1" x14ac:dyDescent="0.25">
      <c r="B31" s="25" t="s">
        <v>57</v>
      </c>
      <c r="C31" s="97">
        <v>5.2301559488866299E-2</v>
      </c>
    </row>
    <row r="32" spans="1:3" ht="14.25" customHeight="1" x14ac:dyDescent="0.25">
      <c r="B32" s="25" t="s">
        <v>58</v>
      </c>
      <c r="C32" s="97">
        <v>0.65437615295561202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19.29918</v>
      </c>
    </row>
    <row r="38" spans="1:5" ht="15" customHeight="1" x14ac:dyDescent="0.25">
      <c r="B38" s="11" t="s">
        <v>63</v>
      </c>
      <c r="C38" s="43">
        <v>31.23901</v>
      </c>
      <c r="D38" s="12"/>
      <c r="E38" s="13"/>
    </row>
    <row r="39" spans="1:5" ht="15" customHeight="1" x14ac:dyDescent="0.25">
      <c r="B39" s="11" t="s">
        <v>64</v>
      </c>
      <c r="C39" s="43">
        <v>41.899279999999997</v>
      </c>
      <c r="D39" s="12"/>
      <c r="E39" s="12"/>
    </row>
    <row r="40" spans="1:5" ht="15" customHeight="1" x14ac:dyDescent="0.25">
      <c r="B40" s="11" t="s">
        <v>65</v>
      </c>
      <c r="C40" s="98">
        <v>3.81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71</v>
      </c>
      <c r="C47" s="45">
        <v>0.15164759999999999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3.302</v>
      </c>
      <c r="D51" s="12"/>
    </row>
    <row r="52" spans="1:4" ht="15" customHeight="1" x14ac:dyDescent="0.25">
      <c r="B52" s="11" t="s">
        <v>75</v>
      </c>
      <c r="C52" s="98">
        <v>3.302</v>
      </c>
    </row>
    <row r="53" spans="1:4" ht="15.75" customHeight="1" x14ac:dyDescent="0.25">
      <c r="B53" s="11" t="s">
        <v>76</v>
      </c>
      <c r="C53" s="98">
        <v>10.738</v>
      </c>
    </row>
    <row r="54" spans="1:4" ht="15.75" customHeight="1" x14ac:dyDescent="0.25">
      <c r="B54" s="11" t="s">
        <v>77</v>
      </c>
      <c r="C54" s="98">
        <v>9.6460000000000008</v>
      </c>
    </row>
    <row r="55" spans="1:4" ht="15.75" customHeight="1" x14ac:dyDescent="0.25">
      <c r="B55" s="11" t="s">
        <v>78</v>
      </c>
      <c r="C55" s="98">
        <v>3.8566666666666669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0.49510700000000002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0.1557640226</v>
      </c>
    </row>
    <row r="63" spans="1:4" ht="15.75" customHeight="1" x14ac:dyDescent="0.3">
      <c r="A63" s="4"/>
    </row>
  </sheetData>
  <sheetProtection algorithmName="SHA-512" hashValue="p2JRJuz7+6223OmE29A7vbhf1Dd51B9wvl0s0QWcEcl7Z8eCxmMdbOY23sC650RKUsDSSQaWc7e/riySOJdPBA==" saltValue="JCzyNaRGXNIZ9GZS5ed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674407</v>
      </c>
      <c r="C2" s="49">
        <v>1296125</v>
      </c>
      <c r="D2" s="49">
        <v>1970604</v>
      </c>
      <c r="E2" s="49">
        <v>1469991.5</v>
      </c>
      <c r="F2" s="49">
        <v>938961.5</v>
      </c>
      <c r="G2" s="17">
        <f t="shared" ref="G2:G13" si="0">C2+D2+E2+F2</f>
        <v>5675682</v>
      </c>
      <c r="H2" s="17">
        <f t="shared" ref="H2:H13" si="1">(B2 + stillbirth*B2/(1000-stillbirth))/(1-abortion)</f>
        <v>778878.43132001196</v>
      </c>
      <c r="I2" s="17">
        <f t="shared" ref="I2:I13" si="2">G2-H2</f>
        <v>4896803.5686799884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685330</v>
      </c>
      <c r="C3" s="50">
        <v>1328409</v>
      </c>
      <c r="D3" s="50">
        <v>2040112.5</v>
      </c>
      <c r="E3" s="50">
        <v>1506616.5</v>
      </c>
      <c r="F3" s="50">
        <v>1002122</v>
      </c>
      <c r="G3" s="17">
        <f t="shared" si="0"/>
        <v>5877260</v>
      </c>
      <c r="H3" s="17">
        <f t="shared" si="1"/>
        <v>791493.49774919869</v>
      </c>
      <c r="I3" s="17">
        <f t="shared" si="2"/>
        <v>5085766.5022508018</v>
      </c>
    </row>
    <row r="4" spans="1:9" ht="15.75" customHeight="1" x14ac:dyDescent="0.25">
      <c r="A4" s="5">
        <f t="shared" si="3"/>
        <v>2026</v>
      </c>
      <c r="B4" s="49">
        <v>692256</v>
      </c>
      <c r="C4" s="50">
        <v>1353865</v>
      </c>
      <c r="D4" s="50">
        <v>2114912.5</v>
      </c>
      <c r="E4" s="50">
        <v>1543896.5</v>
      </c>
      <c r="F4" s="50">
        <v>1064118.5</v>
      </c>
      <c r="G4" s="17">
        <f t="shared" si="0"/>
        <v>6076792.5</v>
      </c>
      <c r="H4" s="17">
        <f t="shared" si="1"/>
        <v>799492.3945805222</v>
      </c>
      <c r="I4" s="17">
        <f t="shared" si="2"/>
        <v>5277300.1054194774</v>
      </c>
    </row>
    <row r="5" spans="1:9" ht="15.75" customHeight="1" x14ac:dyDescent="0.25">
      <c r="A5" s="5">
        <f t="shared" si="3"/>
        <v>2027</v>
      </c>
      <c r="B5" s="49">
        <v>702654</v>
      </c>
      <c r="C5" s="50">
        <v>1373368.5</v>
      </c>
      <c r="D5" s="50">
        <v>2193092</v>
      </c>
      <c r="E5" s="50">
        <v>1583653</v>
      </c>
      <c r="F5" s="50">
        <v>1123715.5</v>
      </c>
      <c r="G5" s="17">
        <f t="shared" si="0"/>
        <v>6273829</v>
      </c>
      <c r="H5" s="17">
        <f t="shared" si="1"/>
        <v>811501.13400473562</v>
      </c>
      <c r="I5" s="17">
        <f t="shared" si="2"/>
        <v>5462327.8659952646</v>
      </c>
    </row>
    <row r="6" spans="1:9" ht="15.75" customHeight="1" x14ac:dyDescent="0.25">
      <c r="A6" s="5">
        <f t="shared" si="3"/>
        <v>2028</v>
      </c>
      <c r="B6" s="49">
        <v>711469</v>
      </c>
      <c r="C6" s="50">
        <v>1388467</v>
      </c>
      <c r="D6" s="50">
        <v>2270844</v>
      </c>
      <c r="E6" s="50">
        <v>1625936</v>
      </c>
      <c r="F6" s="50">
        <v>1180598.5</v>
      </c>
      <c r="G6" s="17">
        <f t="shared" si="0"/>
        <v>6465845.5</v>
      </c>
      <c r="H6" s="17">
        <f t="shared" si="1"/>
        <v>821681.65314538195</v>
      </c>
      <c r="I6" s="17">
        <f t="shared" si="2"/>
        <v>5644163.8468546178</v>
      </c>
    </row>
    <row r="7" spans="1:9" ht="15.75" customHeight="1" x14ac:dyDescent="0.25">
      <c r="A7" s="5">
        <f t="shared" si="3"/>
        <v>2029</v>
      </c>
      <c r="B7" s="49">
        <v>722033</v>
      </c>
      <c r="C7" s="50">
        <v>1399922</v>
      </c>
      <c r="D7" s="50">
        <v>2347211.5</v>
      </c>
      <c r="E7" s="50">
        <v>1671626.5</v>
      </c>
      <c r="F7" s="50">
        <v>1233290.5</v>
      </c>
      <c r="G7" s="17">
        <f t="shared" si="0"/>
        <v>6652050.5</v>
      </c>
      <c r="H7" s="17">
        <f t="shared" si="1"/>
        <v>833882.10739402496</v>
      </c>
      <c r="I7" s="17">
        <f t="shared" si="2"/>
        <v>5818168.3926059753</v>
      </c>
    </row>
    <row r="8" spans="1:9" ht="15.75" customHeight="1" x14ac:dyDescent="0.25">
      <c r="A8" s="5">
        <f t="shared" si="3"/>
        <v>2030</v>
      </c>
      <c r="B8" s="49">
        <v>727191</v>
      </c>
      <c r="C8" s="50">
        <v>1407441</v>
      </c>
      <c r="D8" s="50">
        <v>2421434</v>
      </c>
      <c r="E8" s="50">
        <v>1720760.5</v>
      </c>
      <c r="F8" s="50">
        <v>1280026</v>
      </c>
      <c r="G8" s="17">
        <f t="shared" si="0"/>
        <v>6829661.5</v>
      </c>
      <c r="H8" s="17">
        <f t="shared" si="1"/>
        <v>839839.12585431465</v>
      </c>
      <c r="I8" s="17">
        <f t="shared" si="2"/>
        <v>5989822.3741456857</v>
      </c>
    </row>
    <row r="9" spans="1:9" ht="15.75" customHeight="1" x14ac:dyDescent="0.25">
      <c r="A9" s="5">
        <f t="shared" si="3"/>
        <v>2031</v>
      </c>
      <c r="B9" s="49">
        <v>733783</v>
      </c>
      <c r="C9" s="50">
        <v>1411597</v>
      </c>
      <c r="D9" s="50">
        <v>2490941.5</v>
      </c>
      <c r="E9" s="50">
        <v>1771908</v>
      </c>
      <c r="F9" s="50">
        <v>1321773</v>
      </c>
      <c r="G9" s="17">
        <f t="shared" si="0"/>
        <v>6996219.5</v>
      </c>
      <c r="H9" s="17">
        <f t="shared" si="1"/>
        <v>847452.28321961709</v>
      </c>
      <c r="I9" s="17">
        <f t="shared" si="2"/>
        <v>6148767.2167803831</v>
      </c>
    </row>
    <row r="10" spans="1:9" ht="15.75" customHeight="1" x14ac:dyDescent="0.25">
      <c r="A10" s="5">
        <f t="shared" si="3"/>
        <v>2032</v>
      </c>
      <c r="B10" s="49">
        <v>739362</v>
      </c>
      <c r="C10" s="50">
        <v>1415414.5</v>
      </c>
      <c r="D10" s="50">
        <v>2554418</v>
      </c>
      <c r="E10" s="50">
        <v>1826199.5</v>
      </c>
      <c r="F10" s="50">
        <v>1360366</v>
      </c>
      <c r="G10" s="17">
        <f t="shared" si="0"/>
        <v>7156398</v>
      </c>
      <c r="H10" s="17">
        <f t="shared" si="1"/>
        <v>853895.51819246646</v>
      </c>
      <c r="I10" s="17">
        <f t="shared" si="2"/>
        <v>6302502.4818075337</v>
      </c>
    </row>
    <row r="11" spans="1:9" ht="15.75" customHeight="1" x14ac:dyDescent="0.25">
      <c r="A11" s="5">
        <f t="shared" si="3"/>
        <v>2033</v>
      </c>
      <c r="B11" s="49">
        <v>745029</v>
      </c>
      <c r="C11" s="50">
        <v>1421385</v>
      </c>
      <c r="D11" s="50">
        <v>2612433.5</v>
      </c>
      <c r="E11" s="50">
        <v>1885400.5</v>
      </c>
      <c r="F11" s="50">
        <v>1397688.5</v>
      </c>
      <c r="G11" s="17">
        <f t="shared" si="0"/>
        <v>7316907.5</v>
      </c>
      <c r="H11" s="17">
        <f t="shared" si="1"/>
        <v>860440.38512043504</v>
      </c>
      <c r="I11" s="17">
        <f t="shared" si="2"/>
        <v>6456467.1148795653</v>
      </c>
    </row>
    <row r="12" spans="1:9" ht="15.75" customHeight="1" x14ac:dyDescent="0.25">
      <c r="A12" s="5">
        <f t="shared" si="3"/>
        <v>2034</v>
      </c>
      <c r="B12" s="49">
        <v>750207</v>
      </c>
      <c r="C12" s="50">
        <v>1431135.5</v>
      </c>
      <c r="D12" s="50">
        <v>2662721</v>
      </c>
      <c r="E12" s="50">
        <v>1950142</v>
      </c>
      <c r="F12" s="50">
        <v>1434725.5</v>
      </c>
      <c r="G12" s="17">
        <f t="shared" si="0"/>
        <v>7478724</v>
      </c>
      <c r="H12" s="17">
        <f t="shared" si="1"/>
        <v>866420.50175234268</v>
      </c>
      <c r="I12" s="17">
        <f t="shared" si="2"/>
        <v>6612303.498247657</v>
      </c>
    </row>
    <row r="13" spans="1:9" ht="15.75" customHeight="1" x14ac:dyDescent="0.25">
      <c r="A13" s="5">
        <f t="shared" si="3"/>
        <v>2035</v>
      </c>
      <c r="B13" s="49">
        <v>754660</v>
      </c>
      <c r="C13" s="50">
        <v>1446816</v>
      </c>
      <c r="D13" s="50">
        <v>2702461</v>
      </c>
      <c r="E13" s="50">
        <v>2020431.5</v>
      </c>
      <c r="F13" s="50">
        <v>1471682.5</v>
      </c>
      <c r="G13" s="17">
        <f t="shared" si="0"/>
        <v>7641391</v>
      </c>
      <c r="H13" s="17">
        <f t="shared" si="1"/>
        <v>871563.30966309691</v>
      </c>
      <c r="I13" s="17">
        <f t="shared" si="2"/>
        <v>6769827.6903369036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HzG5x+hod273cRnSxUc1/AXaoxQpmeU90o3nj9wgqrbFzdbgjZN4QmQ4tEN/ps8qoaCZVKehnJKTDECXoreXQ==" saltValue="8BU0NrbEg17S1RJJqfKI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1.277209872279011E-2</v>
      </c>
    </row>
    <row r="4" spans="1:8" ht="15.75" customHeight="1" x14ac:dyDescent="0.25">
      <c r="B4" s="19" t="s">
        <v>97</v>
      </c>
      <c r="C4" s="99">
        <v>5.3933894606610487E-2</v>
      </c>
    </row>
    <row r="5" spans="1:8" ht="15.75" customHeight="1" x14ac:dyDescent="0.25">
      <c r="B5" s="19" t="s">
        <v>98</v>
      </c>
      <c r="C5" s="99">
        <v>7.7123692287630718E-2</v>
      </c>
    </row>
    <row r="6" spans="1:8" ht="15.75" customHeight="1" x14ac:dyDescent="0.25">
      <c r="B6" s="19" t="s">
        <v>99</v>
      </c>
      <c r="C6" s="99">
        <v>0.244385075561493</v>
      </c>
    </row>
    <row r="7" spans="1:8" ht="15.75" customHeight="1" x14ac:dyDescent="0.25">
      <c r="B7" s="19" t="s">
        <v>100</v>
      </c>
      <c r="C7" s="99">
        <v>0.41540115845988412</v>
      </c>
    </row>
    <row r="8" spans="1:8" ht="15.75" customHeight="1" x14ac:dyDescent="0.25">
      <c r="B8" s="19" t="s">
        <v>101</v>
      </c>
      <c r="C8" s="99">
        <v>1.690199830980013E-3</v>
      </c>
    </row>
    <row r="9" spans="1:8" ht="15.75" customHeight="1" x14ac:dyDescent="0.25">
      <c r="B9" s="19" t="s">
        <v>102</v>
      </c>
      <c r="C9" s="99">
        <v>8.066139193386071E-2</v>
      </c>
    </row>
    <row r="10" spans="1:8" ht="15.75" customHeight="1" x14ac:dyDescent="0.25">
      <c r="B10" s="19" t="s">
        <v>103</v>
      </c>
      <c r="C10" s="99">
        <v>0.1140324885967509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106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107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108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109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110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111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112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113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8.1884283999999988E-2</v>
      </c>
    </row>
    <row r="27" spans="1:8" ht="15.75" customHeight="1" x14ac:dyDescent="0.25">
      <c r="B27" s="19" t="s">
        <v>120</v>
      </c>
      <c r="C27" s="99">
        <v>8.1848189999999994E-3</v>
      </c>
    </row>
    <row r="28" spans="1:8" ht="15.75" customHeight="1" x14ac:dyDescent="0.25">
      <c r="B28" s="19" t="s">
        <v>121</v>
      </c>
      <c r="C28" s="99">
        <v>0.14548327699999999</v>
      </c>
    </row>
    <row r="29" spans="1:8" ht="15.75" customHeight="1" x14ac:dyDescent="0.25">
      <c r="B29" s="19" t="s">
        <v>122</v>
      </c>
      <c r="C29" s="99">
        <v>0.157612682</v>
      </c>
    </row>
    <row r="30" spans="1:8" ht="15.75" customHeight="1" x14ac:dyDescent="0.25">
      <c r="B30" s="19" t="s">
        <v>2</v>
      </c>
      <c r="C30" s="99">
        <v>9.9204118000000008E-2</v>
      </c>
    </row>
    <row r="31" spans="1:8" ht="15.75" customHeight="1" x14ac:dyDescent="0.25">
      <c r="B31" s="19" t="s">
        <v>123</v>
      </c>
      <c r="C31" s="99">
        <v>0.10218857200000001</v>
      </c>
    </row>
    <row r="32" spans="1:8" ht="15.75" customHeight="1" x14ac:dyDescent="0.25">
      <c r="B32" s="19" t="s">
        <v>124</v>
      </c>
      <c r="C32" s="99">
        <v>1.7390224999999999E-2</v>
      </c>
    </row>
    <row r="33" spans="2:3" ht="15.75" customHeight="1" x14ac:dyDescent="0.25">
      <c r="B33" s="19" t="s">
        <v>125</v>
      </c>
      <c r="C33" s="99">
        <v>7.9143570999999996E-2</v>
      </c>
    </row>
    <row r="34" spans="2:3" ht="15.75" customHeight="1" x14ac:dyDescent="0.25">
      <c r="B34" s="19" t="s">
        <v>126</v>
      </c>
      <c r="C34" s="99">
        <v>0.308908452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hOQP0dsLWAKGnfgmn/YAKaqwdSVDrMNCUtk/rGgdAFquQbopJXBmwumilA2TZSLFZTXlC/6Ip0XYv/J6ZCmoSQ==" saltValue="rVds4rFz3vl8EjhnRpcM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132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133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137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hH8DERVwbmAUa7f/j3tiAuf+HOqDYT96Xngbib7f2esPt12F7Ohd0SA8LMWl2hEqO0qQDRSRJ2wPdueHuuR2w==" saltValue="I4QcS/b4h9soYfGLLsY5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A53U8l8Sa6e1o/t1bt0F78pHhaeOcpDdkjF6lSD1JX2UdFvbTbTTbFeb9rrGtPJrlJs5yrUxlWD3lvPK52HhzQ==" saltValue="lgvw7KpEDYsbMrnVDCST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iO4CdlpgLn+DwBstfBxsB3nyi+8o3oYlRugVc4Gl/Vxa+KtgWYO4L/bcWPVsDdioKC97IL2+ewugHV7Tr7PEw==" saltValue="kJvK4XfhxLcS1hndMPKR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algorithmName="SHA-512" hashValue="BaVyR6gxCik2db3NjsFNFLaeq65J3Vn3yKmKhIuN6t7H8NrMvgadMX+rxc3XWgJ/fTlrdz6yZ00kBxmjxGH/Fg==" saltValue="4r1zwtjcfm1OEzSQhsYJ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2BQhTbBzdPqggNynKk3yafDYiCkGfRIvlbpUjXzcRqP/HA+aUC+AD19WIEtDqbff7tjDS5Ev3M893vcwstFLXA==" saltValue="7YCexiaNUzCY4WZ3lRfA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Th9QePFoO1fccd7Xw1gF9MKFe43NqF0/NP5h6m5kwT/6MG2NdljDLJiJXi+z+r+qt/NNABdUNTglTGHxnO2a/Q==" saltValue="q80u1Em00WTKhVzQ52BC6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0.33427040000000002</v>
      </c>
      <c r="C10" s="96">
        <v>0.95</v>
      </c>
      <c r="D10" s="56">
        <v>14.13040526178168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14.13040526178168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14.13040526178168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14.13040526178168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0.36680000000000001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14.13040526178168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0.75737939999999992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3.1508066666666702E-2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0.51400000000000001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0.56868370000000001</v>
      </c>
      <c r="C19" s="96">
        <v>0.95</v>
      </c>
      <c r="D19" s="56">
        <v>0.80800494022236113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0.74117850000000007</v>
      </c>
      <c r="C23" s="96">
        <v>0.95</v>
      </c>
      <c r="D23" s="56">
        <v>4.621869686333798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0.93888883792254008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2.1000000000000001E-2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0.513741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0.17305509999999999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7.1500000000000008E-2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0.77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0.15307589999999999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0.88163790000000009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1.8209000000000001E-3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0.20602480000000001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0.24399999999999999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sdZbn/oiLr0H2aB0ZPUCqzwBzJQnTOxc+7xt3mtNWUwmaLF6FlEejHsgaX/4aDInypIT1XR1eTfclIgX90l5yQ==" saltValue="4/c+VG0307Lfq77U0ji5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dvIgLIyWNezCMpGoLNnTxXu5Ev5VuMLBqBuopZe5AKApiZOW8fmvesxD6O5QScAET+cYlyIHerh+0AuM5ahGw==" saltValue="lbnSmTOJy7l5c1OOo7kI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fA6X9YHvfCfzVMhDqhW7SmC9RWgHAefPiqAEjYT34PFetw/CYXeXcX3joJ8Ctx26I+r8noEfZtkF0hnw2M3GA==" saltValue="d4pY9IFYZOefHtfMrE66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3.302</v>
      </c>
      <c r="C2" s="21">
        <f>'Données pop de l''année de ref'!C52</f>
        <v>3.302</v>
      </c>
      <c r="D2" s="21">
        <f>'Données pop de l''année de ref'!C53</f>
        <v>10.738</v>
      </c>
      <c r="E2" s="21">
        <f>'Données pop de l''année de ref'!C54</f>
        <v>9.6460000000000008</v>
      </c>
      <c r="F2" s="21">
        <f>'Données pop de l''année de ref'!C55</f>
        <v>3.8566666666666669</v>
      </c>
    </row>
    <row r="3" spans="1:6" ht="15.75" customHeight="1" x14ac:dyDescent="0.25">
      <c r="A3" s="3" t="s">
        <v>238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237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RmG34Q6qECSxZcAgbzg/VP4QBPSu3Q7d1tVpX1HgYZQbINIXmRTPcMjipLaiGZ9kLWiU+LO1aJ2ZUw68kdequw==" saltValue="4PTjSqkn7tJNMvpCXDTh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Azw2C25JZK01zLENY6Rn6sNi+Qyg5SWd31xwjKGAKhAZIojrfCO53euk2IWn15NLMpPPKbEi5ZkhTG9lRRm0A==" saltValue="aJsW1gO/MmIPWhYGzPXp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9jT3hQIOvBL98PiHLcjBNQR9ALw0QdcDUgDjiBnuDKM12H1f+m+rGzhRJPQyHWsSySFU1vdQpuci0YGuVxpFBQ==" saltValue="x7A8efT2baZBikPVX4wy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S7pQTT0sj4UjKg3neCXjrJCw3nR5kXZ3nhXU+stXNkrAFQ9oD8f0dSLF7OEvxtBVyGiIR80aHlFdnCkmtuJew==" saltValue="1Fte+Y45NzZ9EPd85HCP8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W0hEcxRbMKtAMAGoRDOeyju3rm+jsvLwJJ8DDzD16bodybc1zi6vOBbtjq3SahiSRljSS2SOCH3Alu22N+vfQ==" saltValue="00VGFjxE/xoGKhb00bXP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A5PPSbumR5Unj3pijcTzHohTGupU6tTGbpwpvlaqqSxgXddOdY+q2luQmgaiUX7jiAwpD6VP9GP68h9GHhXEQ==" saltValue="bQwfBMwlGvNhY5XDkVrS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9NxLt/ntAilzhq2uyoTDcW91Eao1W5b7Ontw0mZtt4ZvrKJaPUod8GMIAijVAPdDhDKwSUpjgNmZXpdlQOFXQ==" saltValue="ZHMRxt4O/+q6yt4faRfz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HYApLzV1TYmZCTedidISPJ5nj7zbZ7f1vz0Coc62adsGBE1YHqTiwmHlFrxu2qpxF75IhUfPTcRDRkYpDDxGw==" saltValue="3a/WGPLzk06cy36AOuTAj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5kqldCTtBPV1v5+uRjIe5fTcLEm+DfyRATVhsm6/AtLWSy1homjSCXi/gWSEq1JtRR77zux/q1jNkqPeNXLxA==" saltValue="mfhAlKKzww9f8RAPIB6D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BRBM3Nr9GTYC7fKHRQ0+IsjSa/r9p0rH8dFoNwEZhUC+s29c3+AN7dnrnwevqPyomBG1Nl8o7TJ0fv82NT6mA==" saltValue="V3xX8GI0yQckW/Ji2TOI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fdiy9Gkh53qbID9w5gQPEyJUEM6axr9b8QPyGSyrnZvGSCvZ9UuCarlbnCkac52LCA+TSDKC6tDlT6RS0tblg==" saltValue="M1F89e20xk/mxRRE6HYi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ajtEjQ32Ozybilx0lELKA/VZT5QK5gVfJ+1+tJ2L6KLXbH9ruoW6EtDL2/81rNbHJldZkhBMl4hdWIF7QjAQQ==" saltValue="qHuD22iOnXorkHttXe1X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qu885WnrDlFbrl34d5I3LXS9Vn9Ig+mpHDO5G99vQJsiap7H91KRyqCdRK4w69Iy17ubWXUICjDDKzdPfiogg==" saltValue="fVDQakp3j1ccSBsDpW21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sIvmajgLfjD67iFku1Kp8FWaUyzz0zarrz7MWKUDJF4Wf3IWjseWSQobN+n5XaSjlbaHy47D09LivCqHieUFA==" saltValue="UEDuDnNQ0xE3p77qKtKF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mGTX9pW0j3/Op2+DJ+FgXZmL4A9hFfbEM1y7EQKQ9e5AaZclLpje+tKU4IXFJN7bH2UMVrScdMcpktGylQZag==" saltValue="AleLO7dljDYiCZhJNPP1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+ORzb/3bgni+8R8bDXoiIChQRgPElL7pavOCqOWDRZ0KZFm3gzQHyS4XTaivuiviq9zl09sPj+xrN8gPRpnkQ==" saltValue="1pvL7J7y9uVQrdYkBq7M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