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FD5A825-2446-4E3E-9DB2-00446683370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A29" i="2"/>
  <c r="A26" i="2"/>
  <c r="A25" i="2"/>
  <c r="A15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A3" i="2"/>
  <c r="H2" i="2"/>
  <c r="G2" i="2"/>
  <c r="A2" i="2"/>
  <c r="A40" i="2" s="1"/>
  <c r="C33" i="1"/>
  <c r="C20" i="1"/>
  <c r="A31" i="2" l="1"/>
  <c r="I4" i="2"/>
  <c r="I8" i="2"/>
  <c r="A18" i="2"/>
  <c r="A33" i="2"/>
  <c r="A17" i="2"/>
  <c r="I12" i="2"/>
  <c r="A20" i="2"/>
  <c r="A34" i="2"/>
  <c r="I40" i="2"/>
  <c r="A21" i="2"/>
  <c r="A37" i="2"/>
  <c r="I2" i="2"/>
  <c r="A23" i="2"/>
  <c r="I38" i="2"/>
  <c r="A16" i="2"/>
  <c r="A24" i="2"/>
  <c r="A32" i="2"/>
  <c r="A19" i="2"/>
  <c r="A27" i="2"/>
  <c r="A35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<sst xmlns="http://schemas.openxmlformats.org/spreadsheetml/2006/main" count="2101" uniqueCount="337">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</sst>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14530298.25</v>
      </c>
    </row>
    <row r="8" spans="1:3" ht="15" customHeight="1" x14ac:dyDescent="0.25">
      <c r="B8" s="5" t="s">
        <v>19</v>
      </c>
      <c r="C8" s="44">
        <v>0.14799999999999999</v>
      </c>
    </row>
    <row r="9" spans="1:3" ht="15" customHeight="1" x14ac:dyDescent="0.25">
      <c r="B9" s="5" t="s">
        <v>20</v>
      </c>
      <c r="C9" s="45">
        <v>0.48840000000000011</v>
      </c>
    </row>
    <row r="10" spans="1:3" ht="15" customHeight="1" x14ac:dyDescent="0.25">
      <c r="B10" s="5" t="s">
        <v>21</v>
      </c>
      <c r="C10" s="45">
        <v>0.66547080993652297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0.20180000000000001</v>
      </c>
    </row>
    <row r="24" spans="1:3" ht="15" customHeight="1" x14ac:dyDescent="0.25">
      <c r="B24" s="15" t="s">
        <v>33</v>
      </c>
      <c r="C24" s="45">
        <v>0.58740000000000003</v>
      </c>
    </row>
    <row r="25" spans="1:3" ht="15" customHeight="1" x14ac:dyDescent="0.25">
      <c r="B25" s="15" t="s">
        <v>34</v>
      </c>
      <c r="C25" s="45">
        <v>0.18479999999999999</v>
      </c>
    </row>
    <row r="26" spans="1:3" ht="15" customHeight="1" x14ac:dyDescent="0.25">
      <c r="B26" s="15" t="s">
        <v>35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0.38903520674993503</v>
      </c>
    </row>
    <row r="30" spans="1:3" ht="14.25" customHeight="1" x14ac:dyDescent="0.25">
      <c r="B30" s="25" t="s">
        <v>38</v>
      </c>
      <c r="C30" s="99">
        <v>3.0554486722926998E-2</v>
      </c>
    </row>
    <row r="31" spans="1:3" ht="14.25" customHeight="1" x14ac:dyDescent="0.25">
      <c r="B31" s="25" t="s">
        <v>39</v>
      </c>
      <c r="C31" s="99">
        <v>3.3490630273111603E-2</v>
      </c>
    </row>
    <row r="32" spans="1:3" ht="14.25" customHeight="1" x14ac:dyDescent="0.25">
      <c r="B32" s="25" t="s">
        <v>40</v>
      </c>
      <c r="C32" s="99">
        <v>0.54691967625402593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16.004100000000001</v>
      </c>
    </row>
    <row r="38" spans="1:5" ht="15" customHeight="1" x14ac:dyDescent="0.25">
      <c r="B38" s="11" t="s">
        <v>45</v>
      </c>
      <c r="C38" s="43">
        <v>22.90615</v>
      </c>
      <c r="D38" s="12"/>
      <c r="E38" s="13"/>
    </row>
    <row r="39" spans="1:5" ht="15" customHeight="1" x14ac:dyDescent="0.25">
      <c r="B39" s="11" t="s">
        <v>46</v>
      </c>
      <c r="C39" s="43">
        <v>27.273630000000001</v>
      </c>
      <c r="D39" s="12"/>
      <c r="E39" s="12"/>
    </row>
    <row r="40" spans="1:5" ht="15" customHeight="1" x14ac:dyDescent="0.25">
      <c r="B40" s="11" t="s">
        <v>47</v>
      </c>
      <c r="C40" s="100">
        <v>1.23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2.1753700000000001E-2</v>
      </c>
      <c r="D45" s="12"/>
    </row>
    <row r="46" spans="1:5" ht="15.75" customHeight="1" x14ac:dyDescent="0.25">
      <c r="B46" s="11" t="s">
        <v>52</v>
      </c>
      <c r="C46" s="45">
        <v>0.13988120000000001</v>
      </c>
      <c r="D46" s="12"/>
    </row>
    <row r="47" spans="1:5" ht="15.75" customHeight="1" x14ac:dyDescent="0.25">
      <c r="B47" s="11" t="s">
        <v>53</v>
      </c>
      <c r="C47" s="45">
        <v>0.39040259999999999</v>
      </c>
      <c r="D47" s="12"/>
      <c r="E47" s="13"/>
    </row>
    <row r="48" spans="1:5" ht="15" customHeight="1" x14ac:dyDescent="0.25">
      <c r="B48" s="11" t="s">
        <v>54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0.48978300000000002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Q3G5D8yQXxZCIaasqEH67ypyCZ9O3PuzuFQOhRsQvLQ8KpaaO3P3+76lfZVTvrxzcRuFGKJXmmvg8cyxj4+gkQ==" saltValue="potMOmCbQW105mqb4c0t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iZiuG4g5/ggz2KOodFHLktg6hEHPMRFP5/5Ynh6ubsGuAZtQ7mQuNts177Gl+JCPblzBCco/st8nv78/u50CA==" saltValue="IJDg2bV5JNqPgYQS3VTx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1.1453498854650119E-2</v>
      </c>
    </row>
    <row r="4" spans="1:8" ht="15.75" customHeight="1" x14ac:dyDescent="0.25">
      <c r="B4" s="19" t="s">
        <v>79</v>
      </c>
      <c r="C4" s="101">
        <v>9.4447090555290908E-2</v>
      </c>
    </row>
    <row r="5" spans="1:8" ht="15.75" customHeight="1" x14ac:dyDescent="0.25">
      <c r="B5" s="19" t="s">
        <v>80</v>
      </c>
      <c r="C5" s="101">
        <v>8.4743491525650902E-2</v>
      </c>
    </row>
    <row r="6" spans="1:8" ht="15.75" customHeight="1" x14ac:dyDescent="0.25">
      <c r="B6" s="19" t="s">
        <v>81</v>
      </c>
      <c r="C6" s="101">
        <v>0.25140407485959188</v>
      </c>
    </row>
    <row r="7" spans="1:8" ht="15.75" customHeight="1" x14ac:dyDescent="0.25">
      <c r="B7" s="19" t="s">
        <v>82</v>
      </c>
      <c r="C7" s="101">
        <v>0.33003026699697391</v>
      </c>
    </row>
    <row r="8" spans="1:8" ht="15.75" customHeight="1" x14ac:dyDescent="0.25">
      <c r="B8" s="19" t="s">
        <v>83</v>
      </c>
      <c r="C8" s="101">
        <v>1.377999862200013E-3</v>
      </c>
    </row>
    <row r="9" spans="1:8" ht="15.75" customHeight="1" x14ac:dyDescent="0.25">
      <c r="B9" s="19" t="s">
        <v>84</v>
      </c>
      <c r="C9" s="101">
        <v>9.7865990213400936E-2</v>
      </c>
    </row>
    <row r="10" spans="1:8" ht="15.75" customHeight="1" x14ac:dyDescent="0.25">
      <c r="B10" s="19" t="s">
        <v>85</v>
      </c>
      <c r="C10" s="101">
        <v>0.1286775871322412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88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89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90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91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92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93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94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95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2.5897033999999999E-2</v>
      </c>
    </row>
    <row r="27" spans="1:8" ht="15.75" customHeight="1" x14ac:dyDescent="0.25">
      <c r="B27" s="19" t="s">
        <v>102</v>
      </c>
      <c r="C27" s="101">
        <v>7.1412350000000001E-3</v>
      </c>
    </row>
    <row r="28" spans="1:8" ht="15.75" customHeight="1" x14ac:dyDescent="0.25">
      <c r="B28" s="19" t="s">
        <v>103</v>
      </c>
      <c r="C28" s="101">
        <v>0.25594161900000001</v>
      </c>
    </row>
    <row r="29" spans="1:8" ht="15.75" customHeight="1" x14ac:dyDescent="0.25">
      <c r="B29" s="19" t="s">
        <v>104</v>
      </c>
      <c r="C29" s="101">
        <v>0.146367004</v>
      </c>
    </row>
    <row r="30" spans="1:8" ht="15.75" customHeight="1" x14ac:dyDescent="0.25">
      <c r="B30" s="19" t="s">
        <v>2</v>
      </c>
      <c r="C30" s="101">
        <v>1.7554395E-2</v>
      </c>
    </row>
    <row r="31" spans="1:8" ht="15.75" customHeight="1" x14ac:dyDescent="0.25">
      <c r="B31" s="19" t="s">
        <v>105</v>
      </c>
      <c r="C31" s="101">
        <v>1.8078031000000001E-2</v>
      </c>
    </row>
    <row r="32" spans="1:8" ht="15.75" customHeight="1" x14ac:dyDescent="0.25">
      <c r="B32" s="19" t="s">
        <v>106</v>
      </c>
      <c r="C32" s="101">
        <v>1.1440346000000001E-2</v>
      </c>
    </row>
    <row r="33" spans="2:3" ht="15.75" customHeight="1" x14ac:dyDescent="0.25">
      <c r="B33" s="19" t="s">
        <v>107</v>
      </c>
      <c r="C33" s="101">
        <v>0.15128762500000001</v>
      </c>
    </row>
    <row r="34" spans="2:3" ht="15.75" customHeight="1" x14ac:dyDescent="0.25">
      <c r="B34" s="19" t="s">
        <v>108</v>
      </c>
      <c r="C34" s="101">
        <v>0.36629271099999999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g8d7mGbFzSkSxEVx02JekD18/tsRJjtOz5Zx1a1h/0nm/Apb5z+9tQQZnjayXyZCwNVntsPxdZwGB5pWaEkTtw==" saltValue="+mE37GwpW27goJ9dJ3QV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114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115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119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120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R8TrZAojyvMrWWm8mlA9NwPfkDRKQmj8mkEkeKmzsE7QECQV9Lmr6m55vHg6QlcG0KpOR7XYJ4F0th/Nz3WXw==" saltValue="JZp/HCDbRcWk2ySk05ai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132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O6kOnSBeJTJHZ9RFjQVHtgKZKou9I8sUiy7bmAGCXOwjwKULedj8FVuOFd/sk3HwlY4PS4WiHzZgWQND3W8ZHQ==" saltValue="waI70s31e29Ditb87Ekv6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4Ik/2EjsxJwUYaGT/QePvfyXTDhtLfuhV2aHSJhN78WOO3kKttnzrJx96+34dP6XM/TWhDeH2h5VUPVWsSKEQ==" saltValue="JzJQ3EvvBdLtjkS7oyHA0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gkcVJYRQgvZY+jirSxYuzb78Ec3BLAo7Z0iRMhDnad36AS0md7ydFPtaonnDkTkVaGdb53rwfHFpOpzIujI4aw==" saltValue="TYr6f65dp+r+Tib1n477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HRTNikrPDVQB61JB9nGJfWL+jUv4a0TYMXr03g64fGMq+1A4b3GqcSbIl8tibrJ4ON7k08DcJX6238oF5CdKg==" saltValue="ErYiQn0jWuXmYDGmcDxX2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a2MIVyhsnH3LF/dhHAGgsE9xFlIigq5NvFX1We6FOjefCecSR/qqEFXmRW4n6pzDY8NAYgVKIFJeSCpl4J7Xg==" saltValue="Ww1CGb7UMBniZcMHEiaO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52.760864598354758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18.97207947747092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4.3198252403857333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0.30196771524327881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0.19283527130965261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0.25</v>
      </c>
      <c r="C9" s="98">
        <v>0.95</v>
      </c>
      <c r="D9" s="56">
        <v>0.13712730404241971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0.45950000000000002</v>
      </c>
      <c r="C10" s="98">
        <v>0.95</v>
      </c>
      <c r="D10" s="56">
        <v>13.591732347475441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13.591732347475441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13.591732347475441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13.591732347475441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0.45950000000000002</v>
      </c>
      <c r="C14" s="98">
        <v>0.95</v>
      </c>
      <c r="D14" s="56">
        <v>13.591732347475441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13.591732347475441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0.33097508532551267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1.31943922222222E-2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0.32600000000000001</v>
      </c>
      <c r="C18" s="98">
        <v>0.95</v>
      </c>
      <c r="D18" s="56">
        <v>4.3198252403857333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0.59965789999999997</v>
      </c>
      <c r="C19" s="98">
        <v>0.95</v>
      </c>
      <c r="D19" s="56">
        <v>4.3198252403857333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23.22190166838157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4.4935547009666941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0.456700457953225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0.45950000000000002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0.72358090000000008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0.33847410000000011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2.8E-3</v>
      </c>
      <c r="C31" s="98">
        <v>0.95</v>
      </c>
      <c r="D31" s="56">
        <v>131.01447505742911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0.42470191970084459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0.61728539999999998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0.49194979999999999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6.1071800000000002E-2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0.14936920000000001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</v>
      </c>
      <c r="C38" s="98">
        <v>0.95</v>
      </c>
      <c r="D38" s="56">
        <v>1.0071502667191461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Po2LFEKdPWk7lekPAMhH6hD7GvCderw6p5f0UuPJde8jYENpUzI/2kUDkXwpGrAILdu2UBptHgMOegyxDqJGKQ==" saltValue="Keb+QhKsDOzeivEepMDt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xM1S3BX0HbSPzydw9aZE156Qf/2cSjt09+FkOEFlYNCb0RpfEf0Yy3WAW+JSV/dgHFGzZhfVqVWNS0lHhr0nw==" saltValue="tZxmtrzQDArN7ZDg+Uuk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7UxZ3CNf11+dsy5uTTIQu7q3O5Fm7yo8TR+TAii/Dd3BwNDx5xJn0jFxcjF0nHkYecLSrLjY31T7neeAqg0mOw==" saltValue="frSJZncEHvrlVVVMYTkm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208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pZd/EDCpiMYmwsH2OxrKyte6lUswEJ8OaJ5g96QagwEBKb8N/kMT6GjTeuMBA6x4Qy9RBzLWNvJ7WDFDyxicCA==" saltValue="oaoGe6UMp43OVO9iPpnW/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IpSfW1zzQeAwDGPuzKiR7Q3DSgWv/W2vcIW6/CAzSO826hUedzGYX+3TQ2fCmGxZPbxzUytpOzR1VPRcMZbuA==" saltValue="9x3DQ7xomaOBrBA+vg4Y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msLEOVaG9fsQkzHxNQq4+XdtfHUfz7FTUn84yoVW88teDSYgKkHhx96cA8b6BDOOhG6kTGoUXhOWOj7UR1Twhw==" saltValue="muRecpvUX3b79Ts4aAMo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eujUyNtYnQYZEo6jrYcW8CLVsZG9d4fKRtx94nmF/owoJqVMy+NNwRnD1mUfgiXFDuV8uyJc+9/uzA40QCtOw==" saltValue="Q4DIyJP11zAuVPaXhtt4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uHBPBAYhEjqltUGIIe8SVBmFxJuGtRF3J9kqcGKyTngPP9FMzwx6w7v0BY0t008sybdgsmoCCT9KPj9QyFQ4g==" saltValue="Azhd56od2XwJ0l9+jz0i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jLOVBeQg6zhNTyJCJ1AtLDayuT2dyOTE4ifpZuImRF7viYa4eMlo9MwWFUTf30bgrdWIRLKgMsvX0t4SN9obg==" saltValue="YY2+0pzI2pGuZsS9Ee6zS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L86ZXYbFcMWJQKnUzCMpR1mzPGcMZhQZPdkLNtThktYAu0oPWnFJRLsotFiEPQCqrsK1UozKgK2bX3rQnkijA==" saltValue="fgWrU+UMj+9F9xEcLrc7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zCAGP4Z8t+xYf52drXHMyNFLDd3pSS2wfW3+I52tb2SXMxF6vPGQu+6JoG+YQ0RrQBKJUPefK+X002Tc+ri0Q==" saltValue="OX9IhtyvL1j5Nr5By9Kj5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QcxQWyDXZoR3bACCo96b9Mr2ozX21EmGYaE68qHiqNGpFns+pLIiSOdHoauDOuxStC47aWM869A2ujz3GK+BA==" saltValue="qBOtT0HzuVtAkRjL6RX6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Upg/co2MeurzrzmkdaF9u14uQTblSWNK660V8FvWKXSFIcRIysXuC/LxF//VJcWLmjdjwf+/7JqUtV1I0CdQ==" saltValue="VR8MSBzBK2d7aO4OohRZ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jkRtMTX9hjO2g1G4nCstIShhWZ/hD+tluXyuE22EDU+OAoWnw0g0gO0Y3aOPsg4LkGppxd0mTsP2ePGRTzrww==" saltValue="MvBhwLqXlq3EbC1oOWHV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KIZaVBDgq7j9SD+SYCOIyj+nIvRTVZ9d9jQ1dUz+uflrL+d2Nph/n639MXVGSwDcQu+dQvJOCBetvYgDCx/+Q==" saltValue="SE7A5Ybg5Mb7wcuUouu4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+iWVEHi8DwMHUtkwytFxs4oMjT+sgmcjr34YKi7csC5WkeMjfnCV1o4pRhPieoIum+rWOoOhF3L2NFXwBztJA==" saltValue="LQlo4AgIa0kmURIZest1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RtD1uHqneWoknWxN1/2kktgBVycXy3WLSg6Fswp4c3QeEICTInrc6o/9qAf2SESTB7kYsny35pSCI/cUDpNMw==" saltValue="p2p6B0AgVVyV7Q2Wu8u9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0.10763709441504343</v>
      </c>
      <c r="G18" s="90">
        <f>MIN(MAX(1-0.89/(1-frac_sam_12_23months+(frac_sam_12_23months*0.89)),0),1)</f>
        <v>0.10765835274293389</v>
      </c>
      <c r="H18" s="90">
        <f>MIN(MAX(1-0.89/(1-frac_sam_24_59months+(frac_sam_24_59months*0.89)),0),1)</f>
        <v>0.1081366924219086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0.10230700714448537</v>
      </c>
      <c r="G20" s="90">
        <f>MIN(MAX(1-0.89/(1-frac_mam_12_23months+(frac_mam_12_23months*0.89)),0),1)</f>
        <v>0.10166517583796908</v>
      </c>
      <c r="H20" s="90">
        <f>MIN(MAX(1-0.89/(1-frac_mam_24_59months+(frac_mam_24_59months*0.89)),0),1)</f>
        <v>0.10252726778545229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9.7616298195302154E-3</v>
      </c>
      <c r="G73" s="90">
        <f>MIN(MAX(1-0.99/(1-frac_sam_12_23months+(frac_sam_12_23months*0.99)),0),1)</f>
        <v>9.763769244791054E-3</v>
      </c>
      <c r="H73" s="90">
        <f>MIN(MAX(1-0.99/(1-frac_sam_24_59months+(frac_sam_24_59months*0.99)),0),1)</f>
        <v>9.8119335805449959E-3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9.2281223255759048E-3</v>
      </c>
      <c r="G75" s="90">
        <f>MIN(MAX(1-0.99/(1-frac_mam_12_23months+(frac_mam_12_23months*0.99)),0),1)</f>
        <v>9.1642677115725268E-3</v>
      </c>
      <c r="H75" s="90">
        <f>MIN(MAX(1-0.99/(1-frac_mam_24_59months+(frac_mam_24_59months*0.99)),0),1)</f>
        <v>9.2500548012316441E-3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0.19612984753798679</v>
      </c>
      <c r="G128" s="90">
        <f>MIN(MAX(1-0.8/(1-frac_sam_12_23months+(frac_sam_12_23months*0.8)),0),1)</f>
        <v>0.19616474121327676</v>
      </c>
      <c r="H128" s="90">
        <f>MIN(MAX(1-0.8/(1-frac_sam_24_59months+(frac_sam_24_59months*0.8)),0),1)</f>
        <v>0.19694953249413216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0.18733763132852432</v>
      </c>
      <c r="G130" s="90">
        <f>MIN(MAX(1-0.8/(1-frac_mam_12_23months+(frac_mam_12_23months*0.8)),0),1)</f>
        <v>0.18627304469651618</v>
      </c>
      <c r="H130" s="90">
        <f>MIN(MAX(1-0.8/(1-frac_mam_24_59months+(frac_mam_24_59months*0.8)),0),1)</f>
        <v>0.1877026796043697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sXJ5XAY5KYBrSaTGAy4yl+ahSZDyT+WfzprpU4iIcdv7kfB3mT4tWLcnDRmngnuydTt4m9NRLBAwQvbXrlzmA==" saltValue="9LhdQ71jefOGd5DXaX2i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gmXBbkxNZkD3x2bL5y+6mhwhAysZRSX+nT2lLFJ84a0wC3PvwaquwkUtugDINOhPo7pbnZJkUWl0NOBHyuCfg==" saltValue="DOVhbJVx3uj7WEJeOgBnT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2024-08-06T08:44:29Z</dcterms:modified>
</cp:coreProperties>
</file>