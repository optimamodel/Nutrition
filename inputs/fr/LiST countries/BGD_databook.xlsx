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32AF351-620D-4DDE-A28A-5440C09AF41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<sst xmlns="http://schemas.openxmlformats.org/spreadsheetml/2006/main" count="2102" uniqueCount="337">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</sst>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14530298.25</v>
      </c>
    </row>
    <row r="8" spans="1:3" ht="15" customHeight="1" x14ac:dyDescent="0.25">
      <c r="B8" s="5" t="s">
        <v>19</v>
      </c>
      <c r="C8" s="44">
        <v>0.14799999999999999</v>
      </c>
    </row>
    <row r="9" spans="1:3" ht="15" customHeight="1" x14ac:dyDescent="0.25">
      <c r="B9" s="5" t="s">
        <v>20</v>
      </c>
      <c r="C9" s="45">
        <v>0.48840000000000011</v>
      </c>
    </row>
    <row r="10" spans="1:3" ht="15" customHeight="1" x14ac:dyDescent="0.25">
      <c r="B10" s="5" t="s">
        <v>21</v>
      </c>
      <c r="C10" s="45">
        <v>0.66547080993652297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0.27500000000000002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0.20180000000000001</v>
      </c>
    </row>
    <row r="24" spans="1:3" ht="15" customHeight="1" x14ac:dyDescent="0.25">
      <c r="B24" s="15" t="s">
        <v>33</v>
      </c>
      <c r="C24" s="45">
        <v>0.58740000000000003</v>
      </c>
    </row>
    <row r="25" spans="1:3" ht="15" customHeight="1" x14ac:dyDescent="0.25">
      <c r="B25" s="15" t="s">
        <v>34</v>
      </c>
      <c r="C25" s="45">
        <v>0.18479999999999999</v>
      </c>
    </row>
    <row r="26" spans="1:3" ht="15" customHeight="1" x14ac:dyDescent="0.25">
      <c r="B26" s="15" t="s">
        <v>35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0.38903520674993503</v>
      </c>
    </row>
    <row r="30" spans="1:3" ht="14.25" customHeight="1" x14ac:dyDescent="0.25">
      <c r="B30" s="25" t="s">
        <v>38</v>
      </c>
      <c r="C30" s="99">
        <v>3.0554486722926998E-2</v>
      </c>
    </row>
    <row r="31" spans="1:3" ht="14.25" customHeight="1" x14ac:dyDescent="0.25">
      <c r="B31" s="25" t="s">
        <v>39</v>
      </c>
      <c r="C31" s="99">
        <v>3.3490630273111603E-2</v>
      </c>
    </row>
    <row r="32" spans="1:3" ht="14.25" customHeight="1" x14ac:dyDescent="0.25">
      <c r="B32" s="25" t="s">
        <v>40</v>
      </c>
      <c r="C32" s="99">
        <v>0.54691967625402593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16.004100000000001</v>
      </c>
    </row>
    <row r="38" spans="1:5" ht="15" customHeight="1" x14ac:dyDescent="0.25">
      <c r="B38" s="11" t="s">
        <v>45</v>
      </c>
      <c r="C38" s="43">
        <v>22.90615</v>
      </c>
      <c r="D38" s="12"/>
      <c r="E38" s="13"/>
    </row>
    <row r="39" spans="1:5" ht="15" customHeight="1" x14ac:dyDescent="0.25">
      <c r="B39" s="11" t="s">
        <v>46</v>
      </c>
      <c r="C39" s="43">
        <v>27.273630000000001</v>
      </c>
      <c r="D39" s="12"/>
      <c r="E39" s="12"/>
    </row>
    <row r="40" spans="1:5" ht="15" customHeight="1" x14ac:dyDescent="0.25">
      <c r="B40" s="11" t="s">
        <v>47</v>
      </c>
      <c r="C40" s="100">
        <v>1.23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2.1753700000000001E-2</v>
      </c>
      <c r="D45" s="12"/>
    </row>
    <row r="46" spans="1:5" ht="15.75" customHeight="1" x14ac:dyDescent="0.25">
      <c r="B46" s="11" t="s">
        <v>52</v>
      </c>
      <c r="C46" s="45">
        <v>0.13988120000000001</v>
      </c>
      <c r="D46" s="12"/>
    </row>
    <row r="47" spans="1:5" ht="15.75" customHeight="1" x14ac:dyDescent="0.25">
      <c r="B47" s="11" t="s">
        <v>53</v>
      </c>
      <c r="C47" s="45">
        <v>0.39040259999999999</v>
      </c>
      <c r="D47" s="12"/>
      <c r="E47" s="13"/>
    </row>
    <row r="48" spans="1:5" ht="15" customHeight="1" x14ac:dyDescent="0.25">
      <c r="B48" s="11" t="s">
        <v>54</v>
      </c>
      <c r="C48" s="46">
        <v>0.44796249999999999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0.48978300000000002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0.27809780000000001</v>
      </c>
    </row>
    <row r="63" spans="1:4" ht="15.75" customHeight="1" x14ac:dyDescent="0.3">
      <c r="A63" s="4"/>
    </row>
  </sheetData>
  <sheetProtection algorithmName="SHA-512" hashValue="jVVltQtCavV4sO3MYjj3qMcCOrTwDgbKnx0H/RwUMe4/Eadl7B5JSiVMSUywkRXTBOSoaStnnp1m0prQ1bCcgg==" saltValue="s67D2G2hbX6vaT/n8wHJ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2977540</v>
      </c>
      <c r="C2" s="49">
        <v>9409673.4999999981</v>
      </c>
      <c r="D2" s="49">
        <v>15884243</v>
      </c>
      <c r="E2" s="49">
        <v>13877624.5</v>
      </c>
      <c r="F2" s="49">
        <v>10343160.5</v>
      </c>
      <c r="G2" s="17">
        <f t="shared" ref="G2:G13" si="0">C2+D2+E2+F2</f>
        <v>49514701.5</v>
      </c>
      <c r="H2" s="17">
        <f t="shared" ref="H2:H13" si="1">(B2 + stillbirth*B2/(1000-stillbirth))/(1-abortion)</f>
        <v>3454383.633551199</v>
      </c>
      <c r="I2" s="17">
        <f t="shared" ref="I2:I13" si="2">G2-H2</f>
        <v>46060317.866448805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2960932</v>
      </c>
      <c r="C3" s="50">
        <v>9215686.5</v>
      </c>
      <c r="D3" s="50">
        <v>15973189.5</v>
      </c>
      <c r="E3" s="50">
        <v>14016460.5</v>
      </c>
      <c r="F3" s="50">
        <v>10573920.5</v>
      </c>
      <c r="G3" s="17">
        <f t="shared" si="0"/>
        <v>49779257</v>
      </c>
      <c r="H3" s="17">
        <f t="shared" si="1"/>
        <v>3435115.9147679023</v>
      </c>
      <c r="I3" s="17">
        <f t="shared" si="2"/>
        <v>46344141.085232094</v>
      </c>
    </row>
    <row r="4" spans="1:9" ht="15.75" customHeight="1" x14ac:dyDescent="0.25">
      <c r="A4" s="5">
        <f t="shared" si="3"/>
        <v>2026</v>
      </c>
      <c r="B4" s="49">
        <v>2934630</v>
      </c>
      <c r="C4" s="50">
        <v>9029393.5</v>
      </c>
      <c r="D4" s="50">
        <v>16022168</v>
      </c>
      <c r="E4" s="50">
        <v>14150235.5</v>
      </c>
      <c r="F4" s="50">
        <v>10798742</v>
      </c>
      <c r="G4" s="17">
        <f t="shared" si="0"/>
        <v>50000539</v>
      </c>
      <c r="H4" s="17">
        <f t="shared" si="1"/>
        <v>3404601.7324799518</v>
      </c>
      <c r="I4" s="17">
        <f t="shared" si="2"/>
        <v>46595937.267520048</v>
      </c>
    </row>
    <row r="5" spans="1:9" ht="15.75" customHeight="1" x14ac:dyDescent="0.25">
      <c r="A5" s="5">
        <f t="shared" si="3"/>
        <v>2027</v>
      </c>
      <c r="B5" s="49">
        <v>2913331</v>
      </c>
      <c r="C5" s="50">
        <v>8861999.5</v>
      </c>
      <c r="D5" s="50">
        <v>16017689</v>
      </c>
      <c r="E5" s="50">
        <v>14300705</v>
      </c>
      <c r="F5" s="50">
        <v>11009040.5</v>
      </c>
      <c r="G5" s="17">
        <f t="shared" si="0"/>
        <v>50189434</v>
      </c>
      <c r="H5" s="17">
        <f t="shared" si="1"/>
        <v>3379891.7648519743</v>
      </c>
      <c r="I5" s="17">
        <f t="shared" si="2"/>
        <v>46809542.235148028</v>
      </c>
    </row>
    <row r="6" spans="1:9" ht="15.75" customHeight="1" x14ac:dyDescent="0.25">
      <c r="A6" s="5">
        <f t="shared" si="3"/>
        <v>2028</v>
      </c>
      <c r="B6" s="49">
        <v>2882811</v>
      </c>
      <c r="C6" s="50">
        <v>8718976.9999999981</v>
      </c>
      <c r="D6" s="50">
        <v>15958229</v>
      </c>
      <c r="E6" s="50">
        <v>14466278.5</v>
      </c>
      <c r="F6" s="50">
        <v>11204588.5</v>
      </c>
      <c r="G6" s="17">
        <f t="shared" si="0"/>
        <v>50348073</v>
      </c>
      <c r="H6" s="17">
        <f t="shared" si="1"/>
        <v>3344484.083176503</v>
      </c>
      <c r="I6" s="17">
        <f t="shared" si="2"/>
        <v>47003588.916823499</v>
      </c>
    </row>
    <row r="7" spans="1:9" ht="15.75" customHeight="1" x14ac:dyDescent="0.25">
      <c r="A7" s="5">
        <f t="shared" si="3"/>
        <v>2029</v>
      </c>
      <c r="B7" s="49">
        <v>2857451</v>
      </c>
      <c r="C7" s="50">
        <v>8603258.9999999981</v>
      </c>
      <c r="D7" s="50">
        <v>15850282.5</v>
      </c>
      <c r="E7" s="50">
        <v>14622684.5</v>
      </c>
      <c r="F7" s="50">
        <v>11384526.5</v>
      </c>
      <c r="G7" s="17">
        <f t="shared" si="0"/>
        <v>50460752.5</v>
      </c>
      <c r="H7" s="17">
        <f t="shared" si="1"/>
        <v>3315062.759215496</v>
      </c>
      <c r="I7" s="17">
        <f t="shared" si="2"/>
        <v>47145689.740784504</v>
      </c>
    </row>
    <row r="8" spans="1:9" ht="15.75" customHeight="1" x14ac:dyDescent="0.25">
      <c r="A8" s="5">
        <f t="shared" si="3"/>
        <v>2030</v>
      </c>
      <c r="B8" s="49">
        <v>2815531</v>
      </c>
      <c r="C8" s="50">
        <v>8525298.5</v>
      </c>
      <c r="D8" s="50">
        <v>15688010</v>
      </c>
      <c r="E8" s="50">
        <v>14772988</v>
      </c>
      <c r="F8" s="50">
        <v>11557595</v>
      </c>
      <c r="G8" s="17">
        <f t="shared" si="0"/>
        <v>50543891.5</v>
      </c>
      <c r="H8" s="17">
        <f t="shared" si="1"/>
        <v>3266429.4035196975</v>
      </c>
      <c r="I8" s="17">
        <f t="shared" si="2"/>
        <v>47277462.096480303</v>
      </c>
    </row>
    <row r="9" spans="1:9" ht="15.75" customHeight="1" x14ac:dyDescent="0.25">
      <c r="A9" s="5">
        <f t="shared" si="3"/>
        <v>2031</v>
      </c>
      <c r="B9" s="49">
        <v>2785574</v>
      </c>
      <c r="C9" s="50">
        <v>8478782.5000000019</v>
      </c>
      <c r="D9" s="50">
        <v>15475792</v>
      </c>
      <c r="E9" s="50">
        <v>14934301</v>
      </c>
      <c r="F9" s="50">
        <v>11723759</v>
      </c>
      <c r="G9" s="17">
        <f t="shared" si="0"/>
        <v>50612634.5</v>
      </c>
      <c r="H9" s="17">
        <f t="shared" si="1"/>
        <v>3231674.8845173358</v>
      </c>
      <c r="I9" s="17">
        <f t="shared" si="2"/>
        <v>47380959.615482666</v>
      </c>
    </row>
    <row r="10" spans="1:9" ht="15.75" customHeight="1" x14ac:dyDescent="0.25">
      <c r="A10" s="5">
        <f t="shared" si="3"/>
        <v>2032</v>
      </c>
      <c r="B10" s="49">
        <v>2751608</v>
      </c>
      <c r="C10" s="50">
        <v>8455924.5</v>
      </c>
      <c r="D10" s="50">
        <v>15232027.5</v>
      </c>
      <c r="E10" s="50">
        <v>15103671.5</v>
      </c>
      <c r="F10" s="50">
        <v>11857176.5</v>
      </c>
      <c r="G10" s="17">
        <f t="shared" si="0"/>
        <v>50648800</v>
      </c>
      <c r="H10" s="17">
        <f t="shared" si="1"/>
        <v>3192269.3368178252</v>
      </c>
      <c r="I10" s="17">
        <f t="shared" si="2"/>
        <v>47456530.663182177</v>
      </c>
    </row>
    <row r="11" spans="1:9" ht="15.75" customHeight="1" x14ac:dyDescent="0.25">
      <c r="A11" s="5">
        <f t="shared" si="3"/>
        <v>2033</v>
      </c>
      <c r="B11" s="49">
        <v>2717355</v>
      </c>
      <c r="C11" s="50">
        <v>8451911</v>
      </c>
      <c r="D11" s="50">
        <v>14981528.5</v>
      </c>
      <c r="E11" s="50">
        <v>15267894.5</v>
      </c>
      <c r="F11" s="50">
        <v>11971552</v>
      </c>
      <c r="G11" s="17">
        <f t="shared" si="0"/>
        <v>50672886</v>
      </c>
      <c r="H11" s="17">
        <f t="shared" si="1"/>
        <v>3152530.8269741195</v>
      </c>
      <c r="I11" s="17">
        <f t="shared" si="2"/>
        <v>47520355.173025884</v>
      </c>
    </row>
    <row r="12" spans="1:9" ht="15.75" customHeight="1" x14ac:dyDescent="0.25">
      <c r="A12" s="5">
        <f t="shared" si="3"/>
        <v>2034</v>
      </c>
      <c r="B12" s="49">
        <v>2687898</v>
      </c>
      <c r="C12" s="50">
        <v>8452420</v>
      </c>
      <c r="D12" s="50">
        <v>14735639.5</v>
      </c>
      <c r="E12" s="50">
        <v>15402107.5</v>
      </c>
      <c r="F12" s="50">
        <v>12085220.5</v>
      </c>
      <c r="G12" s="17">
        <f t="shared" si="0"/>
        <v>50675387.5</v>
      </c>
      <c r="H12" s="17">
        <f t="shared" si="1"/>
        <v>3118356.3813937013</v>
      </c>
      <c r="I12" s="17">
        <f t="shared" si="2"/>
        <v>47557031.118606299</v>
      </c>
    </row>
    <row r="13" spans="1:9" ht="15.75" customHeight="1" x14ac:dyDescent="0.25">
      <c r="A13" s="5">
        <f t="shared" si="3"/>
        <v>2035</v>
      </c>
      <c r="B13" s="49">
        <v>2651357</v>
      </c>
      <c r="C13" s="50">
        <v>8458460.5000000019</v>
      </c>
      <c r="D13" s="50">
        <v>14505049</v>
      </c>
      <c r="E13" s="50">
        <v>15493063</v>
      </c>
      <c r="F13" s="50">
        <v>12205751.5</v>
      </c>
      <c r="G13" s="17">
        <f t="shared" si="0"/>
        <v>50662324</v>
      </c>
      <c r="H13" s="17">
        <f t="shared" si="1"/>
        <v>3075963.4555711788</v>
      </c>
      <c r="I13" s="17">
        <f t="shared" si="2"/>
        <v>47586360.544428818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Si6SEOQArRNDD3/6lwdr+vDFi5J/yFyLn3B3TU0ic2R4zTS+PMBe5jLHGT9fjvno2sCvHUDjSmiRj9vqFAhmg==" saltValue="NLR5G9pJP2MsGGJdqQuw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1.1453498854650119E-2</v>
      </c>
    </row>
    <row r="4" spans="1:8" ht="15.75" customHeight="1" x14ac:dyDescent="0.25">
      <c r="B4" s="19" t="s">
        <v>79</v>
      </c>
      <c r="C4" s="101">
        <v>9.4447090555290908E-2</v>
      </c>
    </row>
    <row r="5" spans="1:8" ht="15.75" customHeight="1" x14ac:dyDescent="0.25">
      <c r="B5" s="19" t="s">
        <v>80</v>
      </c>
      <c r="C5" s="101">
        <v>8.4743491525650902E-2</v>
      </c>
    </row>
    <row r="6" spans="1:8" ht="15.75" customHeight="1" x14ac:dyDescent="0.25">
      <c r="B6" s="19" t="s">
        <v>81</v>
      </c>
      <c r="C6" s="101">
        <v>0.25140407485959188</v>
      </c>
    </row>
    <row r="7" spans="1:8" ht="15.75" customHeight="1" x14ac:dyDescent="0.25">
      <c r="B7" s="19" t="s">
        <v>82</v>
      </c>
      <c r="C7" s="101">
        <v>0.33003026699697391</v>
      </c>
    </row>
    <row r="8" spans="1:8" ht="15.75" customHeight="1" x14ac:dyDescent="0.25">
      <c r="B8" s="19" t="s">
        <v>83</v>
      </c>
      <c r="C8" s="101">
        <v>1.377999862200013E-3</v>
      </c>
    </row>
    <row r="9" spans="1:8" ht="15.75" customHeight="1" x14ac:dyDescent="0.25">
      <c r="B9" s="19" t="s">
        <v>84</v>
      </c>
      <c r="C9" s="101">
        <v>9.7865990213400936E-2</v>
      </c>
    </row>
    <row r="10" spans="1:8" ht="15.75" customHeight="1" x14ac:dyDescent="0.25">
      <c r="B10" s="19" t="s">
        <v>85</v>
      </c>
      <c r="C10" s="101">
        <v>0.1286775871322412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88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89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90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91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92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93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94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95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2.5897033999999999E-2</v>
      </c>
    </row>
    <row r="27" spans="1:8" ht="15.75" customHeight="1" x14ac:dyDescent="0.25">
      <c r="B27" s="19" t="s">
        <v>102</v>
      </c>
      <c r="C27" s="101">
        <v>7.1412350000000001E-3</v>
      </c>
    </row>
    <row r="28" spans="1:8" ht="15.75" customHeight="1" x14ac:dyDescent="0.25">
      <c r="B28" s="19" t="s">
        <v>103</v>
      </c>
      <c r="C28" s="101">
        <v>0.25594161900000001</v>
      </c>
    </row>
    <row r="29" spans="1:8" ht="15.75" customHeight="1" x14ac:dyDescent="0.25">
      <c r="B29" s="19" t="s">
        <v>104</v>
      </c>
      <c r="C29" s="101">
        <v>0.146367004</v>
      </c>
    </row>
    <row r="30" spans="1:8" ht="15.75" customHeight="1" x14ac:dyDescent="0.25">
      <c r="B30" s="19" t="s">
        <v>2</v>
      </c>
      <c r="C30" s="101">
        <v>1.7554395E-2</v>
      </c>
    </row>
    <row r="31" spans="1:8" ht="15.75" customHeight="1" x14ac:dyDescent="0.25">
      <c r="B31" s="19" t="s">
        <v>105</v>
      </c>
      <c r="C31" s="101">
        <v>1.8078031000000001E-2</v>
      </c>
    </row>
    <row r="32" spans="1:8" ht="15.75" customHeight="1" x14ac:dyDescent="0.25">
      <c r="B32" s="19" t="s">
        <v>106</v>
      </c>
      <c r="C32" s="101">
        <v>1.1440346000000001E-2</v>
      </c>
    </row>
    <row r="33" spans="2:3" ht="15.75" customHeight="1" x14ac:dyDescent="0.25">
      <c r="B33" s="19" t="s">
        <v>107</v>
      </c>
      <c r="C33" s="101">
        <v>0.15128762500000001</v>
      </c>
    </row>
    <row r="34" spans="2:3" ht="15.75" customHeight="1" x14ac:dyDescent="0.25">
      <c r="B34" s="19" t="s">
        <v>108</v>
      </c>
      <c r="C34" s="101">
        <v>0.36629271099999999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9qmzdpGBFEpoRbGdCYWe98FbE71qAKjVtzgDRE9QmDv/Kd1/1k/xybLzGA7NCchMoLVOncLLeRBlLXv+bFJb0A==" saltValue="dDe3CSPr2zk66ixXv2I2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114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115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119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120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tH0RdQU2N5fb0l/8QW6P5j6QcbDB+VkcCtuYBm1bBj9oViHXv9FfcCiW0y163Z8d0aumiX0pLJVWwRpE4k+eA==" saltValue="2Zrmsg3oMeYuyuKOQgDW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132</v>
      </c>
      <c r="C5" s="52">
        <v>3.6194E-3</v>
      </c>
      <c r="D5" s="52">
        <v>2.2722800000000001E-2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oClPbMAuUAeIVMvVGsrUXwkKTeWmiN8yGdZsbWiyzoU5W87oGwBUUG0II4O1LPq2G0Q5EHYw7Uj2snqhcQFFPw==" saltValue="7SXqLVUWK/Ta1p+MhrO0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+MOI4k7Sk8x4Yh0CI1uuZNpGYgZM2OVevpofSJ/A2NtYd2nrI9IXDH9AOhYwXQ9j9zdlRlPRQkdgJ98VaP0rA==" saltValue="jjXOy4OZfxwdS65q/SlC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TkcUFk9BcHFwZddL0eEnXL7R38A0gNGiZMGwegb7VdlOPlGGtdwl0JfJ5PM+cmvYaK+hVkNKa3vQgo7shwc9zg==" saltValue="gbeYvBDBIbQkefFIhOHIR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d/jMiXzeFxoDKKyGI5ka3P2UIgdolTXdS6av6tiKvJWwQmXskeUYq8wy7ZEIIP1bnMEtD3O09eS4hkM3hzMBTg==" saltValue="/2++sCCTkw8+hgOAHwD2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5f0lbIAMXwu8dUY3JlNma/ORGK9uQGUIYMTf2gYHvBwK2cE5sbD8IwSXdW/NJimhrmOBJtJRLkWLDXCwU7XZ4g==" saltValue="CQb9nUHtYmq0uZNQgPom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40.263780634947473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0.37919859620596902</v>
      </c>
      <c r="C3" s="98">
        <v>0.95</v>
      </c>
      <c r="D3" s="56">
        <v>42.574020447454849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135.8779028845432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0.30196771524327881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0.45950000000000002</v>
      </c>
      <c r="C10" s="98">
        <v>0.95</v>
      </c>
      <c r="D10" s="56">
        <v>13.591732347475441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0.45950000000000002</v>
      </c>
      <c r="C11" s="98">
        <v>0.95</v>
      </c>
      <c r="D11" s="56">
        <v>13.591732347475441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0.45950000000000002</v>
      </c>
      <c r="C12" s="98">
        <v>0.95</v>
      </c>
      <c r="D12" s="56">
        <v>13.591732347475441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0.45950000000000002</v>
      </c>
      <c r="C13" s="98">
        <v>0.95</v>
      </c>
      <c r="D13" s="56">
        <v>13.591732347475441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0.45950000000000002</v>
      </c>
      <c r="C14" s="98">
        <v>0.95</v>
      </c>
      <c r="D14" s="56">
        <v>13.591732347475441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0.45950000000000002</v>
      </c>
      <c r="C15" s="98">
        <v>0.95</v>
      </c>
      <c r="D15" s="56">
        <v>13.591732347475441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0.98</v>
      </c>
      <c r="C16" s="98">
        <v>0.95</v>
      </c>
      <c r="D16" s="56">
        <v>0.33097508532551267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1.31943922222222E-2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0.32267420597698898</v>
      </c>
      <c r="C18" s="98">
        <v>0.95</v>
      </c>
      <c r="D18" s="56">
        <v>3.2163028334016039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0.59295189999999998</v>
      </c>
      <c r="C19" s="98">
        <v>0.95</v>
      </c>
      <c r="D19" s="56">
        <v>3.2163028334016039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0.14936920000000001</v>
      </c>
      <c r="C21" s="98">
        <v>0.95</v>
      </c>
      <c r="D21" s="56">
        <v>2.626153737244413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23.22190166838157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4.4935547009666941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0.52185945795806499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0.45950000000000002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19.59004600780592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0.38748887772116702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73.100645834826111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0.96</v>
      </c>
      <c r="C31" s="98">
        <v>0.95</v>
      </c>
      <c r="D31" s="56">
        <v>2.265403049085001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0.66493210580190532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0.33847410000000011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0.72358090000000008</v>
      </c>
      <c r="C38" s="98">
        <v>0.95</v>
      </c>
      <c r="D38" s="56">
        <v>1.6048641310337011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j6z/Zyb82ogaQuHOMh5BQR4A8uMHPLfQ+vbcXAWXzNJRmAOFw4cUqBt+IxNS6njHJyquZewWtdJF42N2BtYADg==" saltValue="iKLLPfhW5o431ksPCrvS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v8ifIJlLyq7LT+RqgVAjHYLAUobLHIRZD0iD2ZBj94Go0RnXxlS6L8tQpZuRJ9Uynl9vwwWU8wx3wlnHj5Kqg==" saltValue="zT4Hzou9W5k0hVNFY1wh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8qKgpN/sCTwYgFUdw6yF0Z7XBYIfcz9fgK1+51hPRd0XrVkqc/S4+QYDjKM+qCfPF4C5I/WSdEdPjs4kqWfj1w==" saltValue="drqvg1HswOxe8zo1VNot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208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DDTJqJ37bJa5b6HCDkOlljt7JthVOuiiSa1nXbfhOpQZpaly21bJUwf5IR2b57f8e8ZdIHbXuM+GN9jVftFvJA==" saltValue="SQDA2Oq0mDOik8/y7zex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0.14799999999999999</v>
      </c>
      <c r="E2" s="60">
        <f>food_insecure</f>
        <v>0.14799999999999999</v>
      </c>
      <c r="F2" s="60">
        <f>food_insecure</f>
        <v>0.14799999999999999</v>
      </c>
      <c r="G2" s="60">
        <f>food_insecure</f>
        <v>0.14799999999999999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0.14799999999999999</v>
      </c>
      <c r="F5" s="60">
        <f>food_insecure</f>
        <v>0.14799999999999999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0.14799999999999999</v>
      </c>
      <c r="F8" s="60">
        <f>food_insecure</f>
        <v>0.14799999999999999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0.14799999999999999</v>
      </c>
      <c r="F9" s="60">
        <f>food_insecure</f>
        <v>0.14799999999999999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0.14799999999999999</v>
      </c>
      <c r="I15" s="60">
        <f>food_insecure</f>
        <v>0.14799999999999999</v>
      </c>
      <c r="J15" s="60">
        <f>food_insecure</f>
        <v>0.14799999999999999</v>
      </c>
      <c r="K15" s="60">
        <f>food_insecure</f>
        <v>0.14799999999999999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0.27500000000000002</v>
      </c>
      <c r="M24" s="60">
        <f>famplan_unmet_need</f>
        <v>0.27500000000000002</v>
      </c>
      <c r="N24" s="60">
        <f>famplan_unmet_need</f>
        <v>0.27500000000000002</v>
      </c>
      <c r="O24" s="60">
        <f>famplan_unmet_need</f>
        <v>0.27500000000000002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0.17431647035827658</v>
      </c>
      <c r="M25" s="60">
        <f>(1-food_insecure)*(0.49)+food_insecure*(0.7)</f>
        <v>0.52107999999999999</v>
      </c>
      <c r="N25" s="60">
        <f>(1-food_insecure)*(0.49)+food_insecure*(0.7)</f>
        <v>0.52107999999999999</v>
      </c>
      <c r="O25" s="60">
        <f>(1-food_insecure)*(0.49)+food_insecure*(0.7)</f>
        <v>0.52107999999999999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7.4707058724975683E-2</v>
      </c>
      <c r="M26" s="60">
        <f>(1-food_insecure)*(0.21)+food_insecure*(0.3)</f>
        <v>0.22331999999999999</v>
      </c>
      <c r="N26" s="60">
        <f>(1-food_insecure)*(0.21)+food_insecure*(0.3)</f>
        <v>0.22331999999999999</v>
      </c>
      <c r="O26" s="60">
        <f>(1-food_insecure)*(0.21)+food_insecure*(0.3)</f>
        <v>0.22331999999999999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8.5505660980224732E-2</v>
      </c>
      <c r="M27" s="60">
        <f>(1-food_insecure)*(0.3)</f>
        <v>0.25559999999999999</v>
      </c>
      <c r="N27" s="60">
        <f>(1-food_insecure)*(0.3)</f>
        <v>0.25559999999999999</v>
      </c>
      <c r="O27" s="60">
        <f>(1-food_insecure)*(0.3)</f>
        <v>0.25559999999999999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0.66547080993652297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0.48840000000000011</v>
      </c>
      <c r="D34" s="60">
        <f t="shared" si="3"/>
        <v>0.48840000000000011</v>
      </c>
      <c r="E34" s="60">
        <f t="shared" si="3"/>
        <v>0.48840000000000011</v>
      </c>
      <c r="F34" s="60">
        <f t="shared" si="3"/>
        <v>0.48840000000000011</v>
      </c>
      <c r="G34" s="60">
        <f t="shared" si="3"/>
        <v>0.48840000000000011</v>
      </c>
      <c r="H34" s="60">
        <f t="shared" si="3"/>
        <v>0.48840000000000011</v>
      </c>
      <c r="I34" s="60">
        <f t="shared" si="3"/>
        <v>0.48840000000000011</v>
      </c>
      <c r="J34" s="60">
        <f t="shared" si="3"/>
        <v>0.48840000000000011</v>
      </c>
      <c r="K34" s="60">
        <f t="shared" si="3"/>
        <v>0.48840000000000011</v>
      </c>
      <c r="L34" s="60">
        <f t="shared" si="3"/>
        <v>0.48840000000000011</v>
      </c>
      <c r="M34" s="60">
        <f t="shared" si="3"/>
        <v>0.48840000000000011</v>
      </c>
      <c r="N34" s="60">
        <f t="shared" si="3"/>
        <v>0.48840000000000011</v>
      </c>
      <c r="O34" s="60">
        <f t="shared" si="3"/>
        <v>0.48840000000000011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TXapHv8TMm7aONP9aoomI0qpSlF8f90q25Q/rMW7Vcq7z3ZdJJQyZ8RNznKJGM+xsDYAv8sX7l0yM+JGqZUtQ==" saltValue="HZpL18/dNM62MfuTsYgsn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BiEtwSdOjD5AgPXZOQ7WKoJO/KrMRerwvTw4mhTarh0VNrdKA1pCXOvKTJY0H4JcdjcuU7PJmmZLHcgnfCyIw==" saltValue="qAmvzdUhV+cBMT/6KA8J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hQ8DNR1AFeYpvs4FgU4oDabLIFyKurXG61ppXgAvIrJ/gG+zCoiL66Oh/8urP9wW7UBLlyvT94YFcdhypPImA==" saltValue="lbVJJSBI859+bKr2rv5k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rmauMKkpUKCC3zaAXFdK/4cjprFJXFqDL5JiQmp7FkmvP7FKvmYrPatQ7+hIZg0Kk0/06y9+OdLW5YhGsPr7A==" saltValue="aXGpyFAieDC6ZgoXhXvl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Wc0PYlE6CltAtKcyfiE8qB0dwt2TmzMHDNFNX2igAC4smgdgxBTGNRXOxDPNMFV/l3sg+C6L388xJPri0CfFQ==" saltValue="axF4Gy1ow+a48wU03AiP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Ka4JJCc4FwMK2gOwIwq44oFmUlRU2hcCbCRCzw+Bq8oaD5kTLbP3XCFHTV7Y7IJx8fVAfh45+D0n3KacZ1LOQ==" saltValue="YovJQnrzHJQjPq3LwDL2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+tfDbcnCTOIT8wmEXZxNfRIOpRevQ40YHqvtKiW2/0yc97GbYKlZalOzCYHAbUc28t3pApyQsBHnHeMt89u9Q==" saltValue="2TjyN0236ju1l/YF/noQ3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Rk5bopnt7n+yK0kxIEriuHLtYEfwJagg4gvCvyTuBu9ymhfNB09htTe39VYYPucLhf7oHK07Kw2AVqzk7mCxA==" saltValue="zWll3seTX68V/XmOXI7O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tEvjVqBVA99LAN2iL28tF1DeM8xWmKu1+ooTf5l5Q86S8s9aiD+3uHzGkc0P+tTpaJNA2uWFKcB4l+6bT9p6Q==" saltValue="PSQ4QCNYZCNrnch0OFXL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nut2FUCg7RBXFMcdIAWIyU50tM94Q73XmYxCdrhfm6t7zGF6nvI+F9kuk21+pU7+Z+mZqdOpX1bkBfyzUHMDA==" saltValue="/rBzh7gT0rn3bYcJYGfN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ZLSWK9EnN4X/QashOplswDWvMB7xbbmgYuWEQLmbzRAOPmDTjfSNfudvH0ANES3mLKRGekk4lsy1yAELea3GQ==" saltValue="OK8pTLT61YsCyZxurted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mfHdRPoy39zUiWVGn2Hsn8/OyN+QgPAsMxvc5EnTx9lMtNniXQf49+//KE48P61jVVEwBa+AC/oi2dBPuT/XQ==" saltValue="iI5dXlbIxM8ct2mMt/c9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YItW1AoedhZMYxkhEw42WNsId+mHJHkuYv7FT50FGbcISpN8mr0XJHwnXtX1qsBK7eBMhcqO63/gZPzTlzMvA==" saltValue="qFsLec6PpoXX57QjchqW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ROoL12HjD2rkSwIQGNL4F9hiSxlyHDYSjOk11g33raRG2QLzPPSPFwQ9MaAvuNc05Ey9UsB8wxdA/Mn5sNcQA==" saltValue="6vi0Vn6SbQtmkA8SnIaJ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IENnqjlCPY0zyPKzlYhrWRagkc8v/rSiNhaBkYbMphOeB4jNXZzDF9ldVIUbfsoO4j/IKgT7wuqbv5uvOCNlw==" saltValue="lX9NGXPrUuZq54TdGB0A/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2024-05-17T00:13:13Z</dcterms:modified>
</cp:coreProperties>
</file>