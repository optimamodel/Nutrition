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B2770CC-F256-498C-9081-518B01E4178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<sst xmlns="http://schemas.openxmlformats.org/spreadsheetml/2006/main" count="2159" uniqueCount="368">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</sst>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16831403.5</v>
      </c>
    </row>
    <row r="8" spans="1:3" ht="15" customHeight="1" x14ac:dyDescent="0.25">
      <c r="B8" s="5" t="s">
        <v>37</v>
      </c>
      <c r="C8" s="44">
        <v>0.187</v>
      </c>
    </row>
    <row r="9" spans="1:3" ht="15" customHeight="1" x14ac:dyDescent="0.25">
      <c r="B9" s="5" t="s">
        <v>38</v>
      </c>
      <c r="C9" s="45">
        <v>0.48840000000000011</v>
      </c>
    </row>
    <row r="10" spans="1:3" ht="15" customHeight="1" x14ac:dyDescent="0.25">
      <c r="B10" s="5" t="s">
        <v>39</v>
      </c>
      <c r="C10" s="45">
        <v>0.72279169999999993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0.136899788914078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0.20180000000000001</v>
      </c>
    </row>
    <row r="24" spans="1:3" ht="15" customHeight="1" x14ac:dyDescent="0.25">
      <c r="B24" s="15" t="s">
        <v>51</v>
      </c>
      <c r="C24" s="45">
        <v>0.58740000000000003</v>
      </c>
    </row>
    <row r="25" spans="1:3" ht="15" customHeight="1" x14ac:dyDescent="0.25">
      <c r="B25" s="15" t="s">
        <v>52</v>
      </c>
      <c r="C25" s="45">
        <v>0.18479999999999999</v>
      </c>
    </row>
    <row r="26" spans="1:3" ht="15" customHeight="1" x14ac:dyDescent="0.25">
      <c r="B26" s="15" t="s">
        <v>53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0.38903520674993503</v>
      </c>
    </row>
    <row r="30" spans="1:3" ht="14.25" customHeight="1" x14ac:dyDescent="0.25">
      <c r="B30" s="25" t="s">
        <v>56</v>
      </c>
      <c r="C30" s="99">
        <v>3.0554486722926998E-2</v>
      </c>
    </row>
    <row r="31" spans="1:3" ht="14.25" customHeight="1" x14ac:dyDescent="0.25">
      <c r="B31" s="25" t="s">
        <v>57</v>
      </c>
      <c r="C31" s="99">
        <v>3.3490630273111603E-2</v>
      </c>
    </row>
    <row r="32" spans="1:3" ht="14.25" customHeight="1" x14ac:dyDescent="0.25">
      <c r="B32" s="25" t="s">
        <v>58</v>
      </c>
      <c r="C32" s="99">
        <v>0.54691967625402593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16.004100000000001</v>
      </c>
    </row>
    <row r="38" spans="1:5" ht="15" customHeight="1" x14ac:dyDescent="0.25">
      <c r="B38" s="11" t="s">
        <v>63</v>
      </c>
      <c r="C38" s="43">
        <v>22.90615</v>
      </c>
      <c r="D38" s="12"/>
      <c r="E38" s="13"/>
    </row>
    <row r="39" spans="1:5" ht="15" customHeight="1" x14ac:dyDescent="0.25">
      <c r="B39" s="11" t="s">
        <v>64</v>
      </c>
      <c r="C39" s="43">
        <v>27.273630000000001</v>
      </c>
      <c r="D39" s="12"/>
      <c r="E39" s="12"/>
    </row>
    <row r="40" spans="1:5" ht="15" customHeight="1" x14ac:dyDescent="0.25">
      <c r="B40" s="11" t="s">
        <v>65</v>
      </c>
      <c r="C40" s="100">
        <v>1.23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2.1753700000000001E-2</v>
      </c>
      <c r="D45" s="12"/>
    </row>
    <row r="46" spans="1:5" ht="15.75" customHeight="1" x14ac:dyDescent="0.25">
      <c r="B46" s="11" t="s">
        <v>70</v>
      </c>
      <c r="C46" s="45">
        <v>0.13988120000000001</v>
      </c>
      <c r="D46" s="12"/>
    </row>
    <row r="47" spans="1:5" ht="15.75" customHeight="1" x14ac:dyDescent="0.25">
      <c r="B47" s="11" t="s">
        <v>71</v>
      </c>
      <c r="C47" s="45">
        <v>0.39040259999999999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0.67600000000000005</v>
      </c>
      <c r="D51" s="12"/>
    </row>
    <row r="52" spans="1:4" ht="15" customHeight="1" x14ac:dyDescent="0.25">
      <c r="B52" s="11" t="s">
        <v>75</v>
      </c>
      <c r="C52" s="100">
        <v>0.67600000000000005</v>
      </c>
    </row>
    <row r="53" spans="1:4" ht="15.75" customHeight="1" x14ac:dyDescent="0.25">
      <c r="B53" s="11" t="s">
        <v>76</v>
      </c>
      <c r="C53" s="100">
        <v>2.3140000000000001</v>
      </c>
    </row>
    <row r="54" spans="1:4" ht="15.75" customHeight="1" x14ac:dyDescent="0.25">
      <c r="B54" s="11" t="s">
        <v>77</v>
      </c>
      <c r="C54" s="100">
        <v>2.34</v>
      </c>
    </row>
    <row r="55" spans="1:4" ht="15.75" customHeight="1" x14ac:dyDescent="0.25">
      <c r="B55" s="11" t="s">
        <v>78</v>
      </c>
      <c r="C55" s="100">
        <v>0.754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0.48978300000000002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0.23046702490000001</v>
      </c>
    </row>
    <row r="63" spans="1:4" ht="15.75" customHeight="1" x14ac:dyDescent="0.3">
      <c r="A63" s="4"/>
    </row>
  </sheetData>
  <sheetProtection algorithmName="SHA-512" hashValue="pOQETb0lL3Nrwqo/FuAWPrZBCZBjtY6Yl7p0CzpFVhCsbfY6QH47MFRbB7Tzv7yRWFQQOBleeFGDvJZwKUlbqQ==" saltValue="wvYXGXwZYuw4FrJuBeEm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3469124</v>
      </c>
      <c r="C2" s="49">
        <v>8453378</v>
      </c>
      <c r="D2" s="49">
        <v>16937138</v>
      </c>
      <c r="E2" s="49">
        <v>13761322.5</v>
      </c>
      <c r="F2" s="49">
        <v>10240900</v>
      </c>
      <c r="G2" s="17">
        <f t="shared" ref="G2:G13" si="0">C2+D2+E2+F2</f>
        <v>49392738.5</v>
      </c>
      <c r="H2" s="17">
        <f t="shared" ref="H2:H13" si="1">(B2 + stillbirth*B2/(1000-stillbirth))/(1-abortion)</f>
        <v>4024693.2596571902</v>
      </c>
      <c r="I2" s="17">
        <f t="shared" ref="I2:I13" si="2">G2-H2</f>
        <v>45368045.240342811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3441259</v>
      </c>
      <c r="C3" s="50">
        <v>8279631.4999999991</v>
      </c>
      <c r="D3" s="50">
        <v>16970987</v>
      </c>
      <c r="E3" s="50">
        <v>13958628</v>
      </c>
      <c r="F3" s="50">
        <v>10722841</v>
      </c>
      <c r="G3" s="17">
        <f t="shared" si="0"/>
        <v>49932087.5</v>
      </c>
      <c r="H3" s="17">
        <f t="shared" si="1"/>
        <v>3992365.7678522426</v>
      </c>
      <c r="I3" s="17">
        <f t="shared" si="2"/>
        <v>45939721.732147761</v>
      </c>
    </row>
    <row r="4" spans="1:9" ht="15.75" customHeight="1" x14ac:dyDescent="0.25">
      <c r="A4" s="5">
        <f t="shared" si="3"/>
        <v>2026</v>
      </c>
      <c r="B4" s="49">
        <v>3407860</v>
      </c>
      <c r="C4" s="50">
        <v>8101045</v>
      </c>
      <c r="D4" s="50">
        <v>16958171.5</v>
      </c>
      <c r="E4" s="50">
        <v>14190044.5</v>
      </c>
      <c r="F4" s="50">
        <v>11194566.5</v>
      </c>
      <c r="G4" s="17">
        <f t="shared" si="0"/>
        <v>50443827.5</v>
      </c>
      <c r="H4" s="17">
        <f t="shared" si="1"/>
        <v>3953618.0234132167</v>
      </c>
      <c r="I4" s="17">
        <f t="shared" si="2"/>
        <v>46490209.476586781</v>
      </c>
    </row>
    <row r="5" spans="1:9" ht="15.75" customHeight="1" x14ac:dyDescent="0.25">
      <c r="A5" s="5">
        <f t="shared" si="3"/>
        <v>2027</v>
      </c>
      <c r="B5" s="49">
        <v>3372729</v>
      </c>
      <c r="C5" s="50">
        <v>7932599.5</v>
      </c>
      <c r="D5" s="50">
        <v>16903946.5</v>
      </c>
      <c r="E5" s="50">
        <v>14467018</v>
      </c>
      <c r="F5" s="50">
        <v>11624708.999999998</v>
      </c>
      <c r="G5" s="17">
        <f t="shared" si="0"/>
        <v>50928273</v>
      </c>
      <c r="H5" s="17">
        <f t="shared" si="1"/>
        <v>3912860.9046405763</v>
      </c>
      <c r="I5" s="17">
        <f t="shared" si="2"/>
        <v>47015412.095359422</v>
      </c>
    </row>
    <row r="6" spans="1:9" ht="15.75" customHeight="1" x14ac:dyDescent="0.25">
      <c r="A6" s="5">
        <f t="shared" si="3"/>
        <v>2028</v>
      </c>
      <c r="B6" s="49">
        <v>3334941</v>
      </c>
      <c r="C6" s="50">
        <v>7786700</v>
      </c>
      <c r="D6" s="50">
        <v>16814577.5</v>
      </c>
      <c r="E6" s="50">
        <v>14789360</v>
      </c>
      <c r="F6" s="50">
        <v>11994985</v>
      </c>
      <c r="G6" s="17">
        <f t="shared" si="0"/>
        <v>51385622.5</v>
      </c>
      <c r="H6" s="17">
        <f t="shared" si="1"/>
        <v>3869021.2757037249</v>
      </c>
      <c r="I6" s="17">
        <f t="shared" si="2"/>
        <v>47516601.224296272</v>
      </c>
    </row>
    <row r="7" spans="1:9" ht="15.75" customHeight="1" x14ac:dyDescent="0.25">
      <c r="A7" s="5">
        <f t="shared" si="3"/>
        <v>2029</v>
      </c>
      <c r="B7" s="49">
        <v>3295324</v>
      </c>
      <c r="C7" s="50">
        <v>7668632.5</v>
      </c>
      <c r="D7" s="50">
        <v>16693067.000000002</v>
      </c>
      <c r="E7" s="50">
        <v>15137868</v>
      </c>
      <c r="F7" s="50">
        <v>12306396.499999998</v>
      </c>
      <c r="G7" s="17">
        <f t="shared" si="0"/>
        <v>51805964</v>
      </c>
      <c r="H7" s="17">
        <f t="shared" si="1"/>
        <v>3823059.7381894016</v>
      </c>
      <c r="I7" s="17">
        <f t="shared" si="2"/>
        <v>47982904.261810601</v>
      </c>
    </row>
    <row r="8" spans="1:9" ht="15.75" customHeight="1" x14ac:dyDescent="0.25">
      <c r="A8" s="5">
        <f t="shared" si="3"/>
        <v>2030</v>
      </c>
      <c r="B8" s="49">
        <v>3252257</v>
      </c>
      <c r="C8" s="50">
        <v>7580187.5</v>
      </c>
      <c r="D8" s="50">
        <v>16538421.999999998</v>
      </c>
      <c r="E8" s="50">
        <v>15485830</v>
      </c>
      <c r="F8" s="50">
        <v>12569925.500000002</v>
      </c>
      <c r="G8" s="17">
        <f t="shared" si="0"/>
        <v>52174365</v>
      </c>
      <c r="H8" s="17">
        <f t="shared" si="1"/>
        <v>3773095.6940636644</v>
      </c>
      <c r="I8" s="17">
        <f t="shared" si="2"/>
        <v>48401269.305936337</v>
      </c>
    </row>
    <row r="9" spans="1:9" ht="15.75" customHeight="1" x14ac:dyDescent="0.25">
      <c r="A9" s="5">
        <f t="shared" si="3"/>
        <v>2031</v>
      </c>
      <c r="B9" s="49">
        <v>3206837</v>
      </c>
      <c r="C9" s="50">
        <v>7521919</v>
      </c>
      <c r="D9" s="50">
        <v>16349140</v>
      </c>
      <c r="E9" s="50">
        <v>15806139.5</v>
      </c>
      <c r="F9" s="50">
        <v>12796565.5</v>
      </c>
      <c r="G9" s="17">
        <f t="shared" si="0"/>
        <v>52473764</v>
      </c>
      <c r="H9" s="17">
        <f t="shared" si="1"/>
        <v>3720401.824414257</v>
      </c>
      <c r="I9" s="17">
        <f t="shared" si="2"/>
        <v>48753362.175585747</v>
      </c>
    </row>
    <row r="10" spans="1:9" ht="15.75" customHeight="1" x14ac:dyDescent="0.25">
      <c r="A10" s="5">
        <f t="shared" si="3"/>
        <v>2032</v>
      </c>
      <c r="B10" s="49">
        <v>3162889</v>
      </c>
      <c r="C10" s="50">
        <v>7492387</v>
      </c>
      <c r="D10" s="50">
        <v>16125158</v>
      </c>
      <c r="E10" s="50">
        <v>16071354</v>
      </c>
      <c r="F10" s="50">
        <v>12997844.5</v>
      </c>
      <c r="G10" s="17">
        <f t="shared" si="0"/>
        <v>52686743.5</v>
      </c>
      <c r="H10" s="17">
        <f t="shared" si="1"/>
        <v>3669415.6909190537</v>
      </c>
      <c r="I10" s="17">
        <f t="shared" si="2"/>
        <v>49017327.809080943</v>
      </c>
    </row>
    <row r="11" spans="1:9" ht="15.75" customHeight="1" x14ac:dyDescent="0.25">
      <c r="A11" s="5">
        <f t="shared" si="3"/>
        <v>2033</v>
      </c>
      <c r="B11" s="49">
        <v>3113924</v>
      </c>
      <c r="C11" s="50">
        <v>7491639.5</v>
      </c>
      <c r="D11" s="50">
        <v>15875667.5</v>
      </c>
      <c r="E11" s="50">
        <v>16265687.5</v>
      </c>
      <c r="F11" s="50">
        <v>13188261.999999998</v>
      </c>
      <c r="G11" s="17">
        <f t="shared" si="0"/>
        <v>52821256.5</v>
      </c>
      <c r="H11" s="17">
        <f t="shared" si="1"/>
        <v>3612609.1007080623</v>
      </c>
      <c r="I11" s="17">
        <f t="shared" si="2"/>
        <v>49208647.39929194</v>
      </c>
    </row>
    <row r="12" spans="1:9" ht="15.75" customHeight="1" x14ac:dyDescent="0.25">
      <c r="A12" s="5">
        <f t="shared" si="3"/>
        <v>2034</v>
      </c>
      <c r="B12" s="49">
        <v>3066967</v>
      </c>
      <c r="C12" s="50">
        <v>7520415</v>
      </c>
      <c r="D12" s="50">
        <v>15614189.999999998</v>
      </c>
      <c r="E12" s="50">
        <v>16387120.5</v>
      </c>
      <c r="F12" s="50">
        <v>13382414</v>
      </c>
      <c r="G12" s="17">
        <f t="shared" si="0"/>
        <v>52904139.5</v>
      </c>
      <c r="H12" s="17">
        <f t="shared" si="1"/>
        <v>3558132.0853595994</v>
      </c>
      <c r="I12" s="17">
        <f t="shared" si="2"/>
        <v>49346007.414640397</v>
      </c>
    </row>
    <row r="13" spans="1:9" ht="15.75" customHeight="1" x14ac:dyDescent="0.25">
      <c r="A13" s="5">
        <f t="shared" si="3"/>
        <v>2035</v>
      </c>
      <c r="B13" s="49">
        <v>3020759</v>
      </c>
      <c r="C13" s="50">
        <v>7578661</v>
      </c>
      <c r="D13" s="50">
        <v>15356855</v>
      </c>
      <c r="E13" s="50">
        <v>16442654.999999998</v>
      </c>
      <c r="F13" s="50">
        <v>13592612.5</v>
      </c>
      <c r="G13" s="17">
        <f t="shared" si="0"/>
        <v>52970783.5</v>
      </c>
      <c r="H13" s="17">
        <f t="shared" si="1"/>
        <v>3504524.0199972084</v>
      </c>
      <c r="I13" s="17">
        <f t="shared" si="2"/>
        <v>49466259.480002791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iAeQdPMq64pOHtO9XITXcs+3d3ctF2t9jrIO0KNPn2MBxru929H/PHhCQX72+jMXpDcGmwaGCp6aIOT8BH5UQ==" saltValue="vxU0RUdBu2QvM5NX7tgh0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1.1453498854650119E-2</v>
      </c>
    </row>
    <row r="4" spans="1:8" ht="15.75" customHeight="1" x14ac:dyDescent="0.25">
      <c r="B4" s="19" t="s">
        <v>97</v>
      </c>
      <c r="C4" s="101">
        <v>9.4447090555290908E-2</v>
      </c>
    </row>
    <row r="5" spans="1:8" ht="15.75" customHeight="1" x14ac:dyDescent="0.25">
      <c r="B5" s="19" t="s">
        <v>98</v>
      </c>
      <c r="C5" s="101">
        <v>8.4743491525650902E-2</v>
      </c>
    </row>
    <row r="6" spans="1:8" ht="15.75" customHeight="1" x14ac:dyDescent="0.25">
      <c r="B6" s="19" t="s">
        <v>99</v>
      </c>
      <c r="C6" s="101">
        <v>0.25140407485959188</v>
      </c>
    </row>
    <row r="7" spans="1:8" ht="15.75" customHeight="1" x14ac:dyDescent="0.25">
      <c r="B7" s="19" t="s">
        <v>100</v>
      </c>
      <c r="C7" s="101">
        <v>0.33003026699697391</v>
      </c>
    </row>
    <row r="8" spans="1:8" ht="15.75" customHeight="1" x14ac:dyDescent="0.25">
      <c r="B8" s="19" t="s">
        <v>101</v>
      </c>
      <c r="C8" s="101">
        <v>1.377999862200013E-3</v>
      </c>
    </row>
    <row r="9" spans="1:8" ht="15.75" customHeight="1" x14ac:dyDescent="0.25">
      <c r="B9" s="19" t="s">
        <v>102</v>
      </c>
      <c r="C9" s="101">
        <v>9.7865990213400936E-2</v>
      </c>
    </row>
    <row r="10" spans="1:8" ht="15.75" customHeight="1" x14ac:dyDescent="0.25">
      <c r="B10" s="19" t="s">
        <v>103</v>
      </c>
      <c r="C10" s="101">
        <v>0.1286775871322412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106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107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108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109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110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111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112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113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2.5897033999999999E-2</v>
      </c>
    </row>
    <row r="27" spans="1:8" ht="15.75" customHeight="1" x14ac:dyDescent="0.25">
      <c r="B27" s="19" t="s">
        <v>120</v>
      </c>
      <c r="C27" s="101">
        <v>7.1412350000000001E-3</v>
      </c>
    </row>
    <row r="28" spans="1:8" ht="15.75" customHeight="1" x14ac:dyDescent="0.25">
      <c r="B28" s="19" t="s">
        <v>121</v>
      </c>
      <c r="C28" s="101">
        <v>0.25594161900000001</v>
      </c>
    </row>
    <row r="29" spans="1:8" ht="15.75" customHeight="1" x14ac:dyDescent="0.25">
      <c r="B29" s="19" t="s">
        <v>122</v>
      </c>
      <c r="C29" s="101">
        <v>0.146367004</v>
      </c>
    </row>
    <row r="30" spans="1:8" ht="15.75" customHeight="1" x14ac:dyDescent="0.25">
      <c r="B30" s="19" t="s">
        <v>2</v>
      </c>
      <c r="C30" s="101">
        <v>1.7554395E-2</v>
      </c>
    </row>
    <row r="31" spans="1:8" ht="15.75" customHeight="1" x14ac:dyDescent="0.25">
      <c r="B31" s="19" t="s">
        <v>123</v>
      </c>
      <c r="C31" s="101">
        <v>1.8078031000000001E-2</v>
      </c>
    </row>
    <row r="32" spans="1:8" ht="15.75" customHeight="1" x14ac:dyDescent="0.25">
      <c r="B32" s="19" t="s">
        <v>124</v>
      </c>
      <c r="C32" s="101">
        <v>1.1440346000000001E-2</v>
      </c>
    </row>
    <row r="33" spans="2:3" ht="15.75" customHeight="1" x14ac:dyDescent="0.25">
      <c r="B33" s="19" t="s">
        <v>125</v>
      </c>
      <c r="C33" s="101">
        <v>0.15128762500000001</v>
      </c>
    </row>
    <row r="34" spans="2:3" ht="15.75" customHeight="1" x14ac:dyDescent="0.25">
      <c r="B34" s="19" t="s">
        <v>126</v>
      </c>
      <c r="C34" s="101">
        <v>0.36629271099999999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uleMmO9LuQXpe6SN2HfXw+PS4ZE8Yo4D8GicYCrgqxPKKwfQaKOkkLsSOHQ7FjF/0Ckv/qzvg32RCwnhsqX0Cg==" saltValue="3SkJy3JO3CkA/8Drox7g5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132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133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137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138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fsmCCwuFvs/jeZ6CfQ9cPASG8JFLqeEKL5aSXj5MJdwpIRy+euVyt06CLvTAnhkSmMzTakDX6KV6u9H5JrYhQ==" saltValue="VQNUnlOPoLz58nMtPNwA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3.6194000000000504E-3</v>
      </c>
      <c r="D5" s="52">
        <f t="shared" si="0"/>
        <v>2.2722900000000101E-2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WZdUMWqgHmWGosFSU7bzJPu5Tw992UFWz1WOYVqUq1SfeYxIclWniFH2WSHUEyJX/pVqeQgJQFvf8TSsUPMyVw==" saltValue="qLEAdKzD1QDxpKhFaacS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Q5RRQm5YN9mGwSYwTAl6pHc+QRKqRc/wqJzIKqEDJDbV2WIvhb8bLRqZtKRbL3Lu3uFcGMWcFiUkQE+T0Th3A==" saltValue="2M9JpcVZpIsS1J1NWXVu+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2688.3055009073801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0.40860999999999997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0.39543999999999996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1.5421000531693801E-2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96938.719570000001</v>
      </c>
      <c r="C22" s="109">
        <v>96592.95723</v>
      </c>
      <c r="D22" s="109">
        <v>96271.086960000001</v>
      </c>
      <c r="E22" s="109">
        <v>95953.980410000004</v>
      </c>
      <c r="F22" s="109">
        <v>95595.973689999999</v>
      </c>
      <c r="G22" s="109">
        <v>95180.252269999997</v>
      </c>
      <c r="H22" s="109">
        <v>94714.145340000003</v>
      </c>
      <c r="I22" s="109">
        <v>94085.984020000004</v>
      </c>
      <c r="J22" s="109">
        <v>93117.233439999996</v>
      </c>
      <c r="K22" s="109">
        <v>91579.037930000006</v>
      </c>
      <c r="L22" s="109">
        <v>88759.600539999999</v>
      </c>
      <c r="M22" s="109">
        <v>85058.565000000002</v>
      </c>
      <c r="N22" s="109">
        <v>79439.731530000005</v>
      </c>
      <c r="O22" s="109">
        <v>71636.774720000001</v>
      </c>
    </row>
  </sheetData>
  <sheetProtection algorithmName="SHA-512" hashValue="AWxoFRIL19RaNkNptsQZyTy6/7r7akRDr9rxVcqUOx3wF8XP4IZTptPtq7UvqzJaStclPPX8rf1gT1/MmByIBw==" saltValue="GeXVUOcLGCVGtBNy92a8T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7NhHtCAMQPd2LS2VF6YT3c37eSAApBmjG9ynOLESGiiaH2z2YaOJtJhrrT8KKZSDwFWqJFtupw7Uqdpj9taKSA==" saltValue="R/xMfJf931YIDk162vRy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Of4TfJqPrA8uBqgwSpfFuyHjdWgM2Tq7ejfj8reUSGGU1Eb10OtUcByThh8hsfd60qwn9/RKd0HGaEj8F01mQ==" saltValue="C5sK34GEDzNbMqDrzwJV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17.026484135107474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17.026484135107474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8.851070189484922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0.19283527130965261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0.25</v>
      </c>
      <c r="C9" s="98">
        <v>0.95</v>
      </c>
      <c r="D9" s="56">
        <v>0.24171699078812695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0.45950000000000002</v>
      </c>
      <c r="C10" s="98">
        <v>0.95</v>
      </c>
      <c r="D10" s="56">
        <v>13.591732347475441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13.591732347475441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13.591732347475441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13.591732347475441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0.45950000000000002</v>
      </c>
      <c r="C14" s="98">
        <v>0.95</v>
      </c>
      <c r="D14" s="56">
        <v>13.591732347475441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13.591732347475441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1.31943922222222E-2</v>
      </c>
      <c r="C17" s="98">
        <v>0.95</v>
      </c>
      <c r="D17" s="56">
        <v>4.9725113424072598E-2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0.32600000000000001</v>
      </c>
      <c r="C18" s="98">
        <v>0.95</v>
      </c>
      <c r="D18" s="56">
        <v>8.851070189484922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0.59965789999999997</v>
      </c>
      <c r="C19" s="98">
        <v>0.95</v>
      </c>
      <c r="D19" s="56">
        <v>3.2163028334016039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8.851070189484922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4.4935547009666941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0.456700457953225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5.9759056444818865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0.72358090000000008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0.33847410000000011</v>
      </c>
      <c r="C29" s="98">
        <v>0.95</v>
      </c>
      <c r="D29" s="56">
        <v>26.81689264396762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2.8E-3</v>
      </c>
      <c r="C31" s="98">
        <v>0.95</v>
      </c>
      <c r="D31" s="56">
        <v>212.53756605284229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0.96</v>
      </c>
      <c r="C32" s="98">
        <v>0.95</v>
      </c>
      <c r="D32" s="56">
        <v>0.43509474246063523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0.61728539999999998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0.49194979999999999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6.1071800000000002E-2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0.14936920000000001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0.43</v>
      </c>
      <c r="C38" s="98">
        <v>0.95</v>
      </c>
      <c r="D38" s="56">
        <v>1.0566586602615426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iMMa8Ry1qOsKOWe2VymrzTSr+IoEKP+txBS/6WVjji5HCyLPYWQ/QM9rDkBreZXi/5GDMZfHD2YyKrXeCIAnvA==" saltValue="ayQ6xQ1R5aFk+y///bG4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qN1oRfp2uWGDWrM/zSszg4dz4M9aAV4XVUdPLZ+A5M1bXjCAgk63PGlNCfuTuia4u12ZpgOEknl7wn8HXVeEg==" saltValue="1ZLKvnsiNQ3+suXRUYt3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b82y99HpKdiHe3DquarFrxx/VKgbrMp30UgkWQYJHZVSubtLEMRu8OFQfcFYAPVL5NmPFTUMO3O15oyBfAmdQ==" saltValue="VsmXCQPFPpBIX2QERXTzU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0.67600000000000005</v>
      </c>
      <c r="C2" s="21">
        <f>'Données pop de l''année de ref'!C52</f>
        <v>0.67600000000000005</v>
      </c>
      <c r="D2" s="21">
        <f>'Données pop de l''année de ref'!C53</f>
        <v>2.3140000000000001</v>
      </c>
      <c r="E2" s="21">
        <f>'Données pop de l''année de ref'!C54</f>
        <v>2.34</v>
      </c>
      <c r="F2" s="21">
        <f>'Données pop de l''année de ref'!C55</f>
        <v>0.754</v>
      </c>
    </row>
    <row r="3" spans="1:6" ht="15.75" customHeight="1" x14ac:dyDescent="0.25">
      <c r="A3" s="3" t="s">
        <v>238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237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sheetProtection algorithmName="SHA-512" hashValue="QD1bk3qdpIKulMNb1Ci8y//m5Pa27uAs763F8gcLDLnR/JoepjaHQnZztzVL5GDvTvq3YCBewUjc4fZKPaPEkw==" saltValue="xXf9zvydG15Cn+79diD9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0.187</v>
      </c>
      <c r="F2" s="60">
        <f>food_insecure</f>
        <v>0.187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0.187</v>
      </c>
      <c r="F5" s="60">
        <f>food_insecure</f>
        <v>0.187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1.4646666666666671E-2</v>
      </c>
      <c r="D7" s="60">
        <f>diarrhoea_1_5mo*frac_diarrhea_severe</f>
        <v>1.4646666666666671E-2</v>
      </c>
      <c r="E7" s="60">
        <f>diarrhoea_6_11mo*frac_diarrhea_severe</f>
        <v>5.0136666666666677E-2</v>
      </c>
      <c r="F7" s="60">
        <f>diarrhoea_12_23mo*frac_diarrhea_severe</f>
        <v>5.0700000000000009E-2</v>
      </c>
      <c r="G7" s="60">
        <f>diarrhoea_24_59mo*frac_diarrhea_severe</f>
        <v>1.6336666666666669E-2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0.187</v>
      </c>
      <c r="F8" s="60">
        <f>food_insecure</f>
        <v>0.187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0.187</v>
      </c>
      <c r="F9" s="60">
        <f>food_insecure</f>
        <v>0.187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1.4646666666666671E-2</v>
      </c>
      <c r="D12" s="60">
        <f>diarrhoea_1_5mo*frac_diarrhea_severe</f>
        <v>1.4646666666666671E-2</v>
      </c>
      <c r="E12" s="60">
        <f>diarrhoea_6_11mo*frac_diarrhea_severe</f>
        <v>5.0136666666666677E-2</v>
      </c>
      <c r="F12" s="60">
        <f>diarrhoea_12_23mo*frac_diarrhea_severe</f>
        <v>5.0700000000000009E-2</v>
      </c>
      <c r="G12" s="60">
        <f>diarrhoea_24_59mo*frac_diarrhea_severe</f>
        <v>1.6336666666666669E-2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0.187</v>
      </c>
      <c r="I15" s="60">
        <f t="shared" si="0"/>
        <v>0.187</v>
      </c>
      <c r="J15" s="60">
        <f t="shared" si="0"/>
        <v>0.187</v>
      </c>
      <c r="K15" s="60">
        <f t="shared" si="0"/>
        <v>0.187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0.187</v>
      </c>
      <c r="I16" s="60">
        <f t="shared" si="0"/>
        <v>0.187</v>
      </c>
      <c r="J16" s="60">
        <f t="shared" si="0"/>
        <v>0.187</v>
      </c>
      <c r="K16" s="60">
        <f t="shared" si="0"/>
        <v>0.187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0.136899788914078</v>
      </c>
      <c r="M24" s="60">
        <f>famplan_unmet_need</f>
        <v>0.136899788914078</v>
      </c>
      <c r="N24" s="60">
        <f>famplan_unmet_need</f>
        <v>0.136899788914078</v>
      </c>
      <c r="O24" s="60">
        <f>famplan_unmet_need</f>
        <v>0.136899788914078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0.14671803694100002</v>
      </c>
      <c r="M25" s="60">
        <f>(1-food_insecure)*(0.49)+food_insecure*(0.7)</f>
        <v>0.52926999999999991</v>
      </c>
      <c r="N25" s="60">
        <f>(1-food_insecure)*(0.49)+food_insecure*(0.7)</f>
        <v>0.52926999999999991</v>
      </c>
      <c r="O25" s="60">
        <f>(1-food_insecure)*(0.49)+food_insecure*(0.7)</f>
        <v>0.52926999999999991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6.2879158689000014E-2</v>
      </c>
      <c r="M26" s="60">
        <f>(1-food_insecure)*(0.21)+food_insecure*(0.3)</f>
        <v>0.22682999999999998</v>
      </c>
      <c r="N26" s="60">
        <f>(1-food_insecure)*(0.21)+food_insecure*(0.3)</f>
        <v>0.22682999999999998</v>
      </c>
      <c r="O26" s="60">
        <f>(1-food_insecure)*(0.21)+food_insecure*(0.3)</f>
        <v>0.22682999999999998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6.7611104370000008E-2</v>
      </c>
      <c r="M27" s="60">
        <f>(1-food_insecure)*(0.3)</f>
        <v>0.24389999999999998</v>
      </c>
      <c r="N27" s="60">
        <f>(1-food_insecure)*(0.3)</f>
        <v>0.24389999999999998</v>
      </c>
      <c r="O27" s="60">
        <f>(1-food_insecure)*(0.3)</f>
        <v>0.24389999999999998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0.72279169999999993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0.48840000000000011</v>
      </c>
      <c r="D34" s="60">
        <f t="shared" si="4"/>
        <v>0.48840000000000011</v>
      </c>
      <c r="E34" s="60">
        <f t="shared" si="4"/>
        <v>0.48840000000000011</v>
      </c>
      <c r="F34" s="60">
        <f t="shared" si="4"/>
        <v>0.48840000000000011</v>
      </c>
      <c r="G34" s="60">
        <f t="shared" si="4"/>
        <v>0.48840000000000011</v>
      </c>
      <c r="H34" s="60">
        <f t="shared" si="4"/>
        <v>0.48840000000000011</v>
      </c>
      <c r="I34" s="60">
        <f t="shared" si="4"/>
        <v>0.48840000000000011</v>
      </c>
      <c r="J34" s="60">
        <f t="shared" si="4"/>
        <v>0.48840000000000011</v>
      </c>
      <c r="K34" s="60">
        <f t="shared" si="4"/>
        <v>0.48840000000000011</v>
      </c>
      <c r="L34" s="60">
        <f t="shared" si="4"/>
        <v>0.48840000000000011</v>
      </c>
      <c r="M34" s="60">
        <f t="shared" si="4"/>
        <v>0.48840000000000011</v>
      </c>
      <c r="N34" s="60">
        <f t="shared" si="4"/>
        <v>0.48840000000000011</v>
      </c>
      <c r="O34" s="60">
        <f t="shared" si="4"/>
        <v>0.48840000000000011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POM0a1mzIZcIvN15syOgLa0fr4FaPc/Mj/eoP3gTzTY+pOwCUTzCczCOjzkT94Mt5LBoobweSd4ynjgY5DumQ==" saltValue="9tmqQs6I1PxImhde8EbgN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5GXVWgajEuEGqII74ewEQIKNoeqE2INtfCK97HvUy0zgj7UE2MBBbhckHhww9jKJDFs7BQj5utMmqCB3ebZJw==" saltValue="gcGhAyj8zNUSKmA1o1dc/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sFmtAiDFnKM5vNWjZtecyH0ZJQeRAR2bKj78xOQfaE66FoEvIPjRkcwR2lPHZjqMJIwZmQ2+P/Qd6hF8al8EQ==" saltValue="PzkQJF756C2PPt5xklbUD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4uCBwKDhnzdOFOgFvlbxHHAVXaogbP7xZzj3EhsmPceKCKuCHbgoJDm8PJG5i1aeHxnfHXHt1M3jNVkFba1GQ==" saltValue="Rw5MLI+AsC/1UXM8La1Lc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dAlLVa9GYiY3MrcAQALRox5Row5EvhgeYW8yAkq3qB6ygSx3ENlXStgNtzbEw4kutVsVf12m8EBzC+rxB/sl0Q==" saltValue="z4aL4lbjNfGoh69RY+ck9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+skrmczo27Y5XkOmEWz8cl55eRBQiV0FcqgR+O1kSMuuHkaQEZKjjdWI7bDN5Xz5EXrMqWW52sJdIUWwwTI/Uw==" saltValue="81ioai2/OFHLopIK+b1XF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n78iLVh6zjhMHbIDxuZkJu7qNasH3MJzoKJQ9np0UyihkYVYRYI/7JjYdpX5sOTjLNLkffqX+jO45PDfee2VA==" saltValue="sNq3xKfbe7JE5cKEnbW+S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fIVRsoIfwIscqp6PK6gLeZkXHRri0BzKv+Ca+lRGUNUbHxO1FSC0pY2/UqLPcCsnBg88oBzdnWzvg+jJaUp7MQ==" saltValue="Mm1oBNDQRnUf6otk3eLk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+fSixjqoDFfGUR0YrS+0qaIspn9kjidCmbruAO10SWOc41aNHeTbIHro2H3W3gMYw1Kf+yjHNUIpt1FjKxIZg==" saltValue="upN3jtMFDzih0HeeW+Pg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vGTpbtMOdUaFD/Xf6nTuLnKYGvvIMByWDLMJ+NOaDXk4j85mGXnESdT3FzkcczspWvbxo1lsZ4vi91SbDghJg==" saltValue="bF3Ul1JDwTJ+DzFjbMCJ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yqcIstNdP00GFYcrJYfPlU1iiaEeua3reCDZzHZu3w2EE58A0ioxrHKfxI3DYFw0aRvYJpTvotKgP8WwrqT9g==" saltValue="y9cSYvKgRhh4AntX5LKy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DfnUTmyPPaiCHKF4NvtRiejO188YBpP2l41YYASwVE6bqc8YpFYBcz4p0yOc9fL1HPvUq8W7ZeLAZUszrQZFw==" saltValue="kxlEwzT79dxdSOyyKZIR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kSkzWay8+xssCg5clifXi5gB7Ym/h+38gk8TGa44bSfXaivvIShsjPB7XSm3BwhY3DhPeutBPUq2I7fhDZfjQ==" saltValue="1F2N32ofY9MrkI7tYXqG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+dNBuTG2blb6WSOP5r4+pkV4rL4mTGnsJyk3uSqKgCk6vxllUrYzwe4cJ0XoDUkOfuXC+KvRS09STpQEAOTLA==" saltValue="oBVMuwJ+VCYxU5DsWJEP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4zMmnJWt5/ucunVJO4qNlg9XVVCZbXFW8ff/beXOviiGBtmQDswDmUnvUTnKyDAw1hjs0Q0uSkbClelfUuxtnQ==" saltValue="IEh/xXypSPYqDQzq042cx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