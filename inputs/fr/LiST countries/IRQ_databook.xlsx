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AF5932FE-DB8C-417D-ACB0-CFEEE3C25BA7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<sst xmlns="http://schemas.openxmlformats.org/spreadsheetml/2006/main" count="2102" uniqueCount="337">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</sst>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5896681.375</v>
      </c>
    </row>
    <row r="8" spans="1:3" ht="15" customHeight="1" x14ac:dyDescent="0.25">
      <c r="B8" s="5" t="s">
        <v>19</v>
      </c>
      <c r="C8" s="44">
        <v>2.5000000000000001E-2</v>
      </c>
    </row>
    <row r="9" spans="1:3" ht="15" customHeight="1" x14ac:dyDescent="0.25">
      <c r="B9" s="5" t="s">
        <v>20</v>
      </c>
      <c r="C9" s="45">
        <v>1</v>
      </c>
    </row>
    <row r="10" spans="1:3" ht="15" customHeight="1" x14ac:dyDescent="0.25">
      <c r="B10" s="5" t="s">
        <v>21</v>
      </c>
      <c r="C10" s="45">
        <v>0.68451698300000008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0.40699999999999997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9.7699999999999995E-2</v>
      </c>
    </row>
    <row r="24" spans="1:3" ht="15" customHeight="1" x14ac:dyDescent="0.25">
      <c r="B24" s="15" t="s">
        <v>33</v>
      </c>
      <c r="C24" s="45">
        <v>0.48899999999999999</v>
      </c>
    </row>
    <row r="25" spans="1:3" ht="15" customHeight="1" x14ac:dyDescent="0.25">
      <c r="B25" s="15" t="s">
        <v>34</v>
      </c>
      <c r="C25" s="45">
        <v>0.35959999999999998</v>
      </c>
    </row>
    <row r="26" spans="1:3" ht="15" customHeight="1" x14ac:dyDescent="0.25">
      <c r="B26" s="15" t="s">
        <v>35</v>
      </c>
      <c r="C26" s="45">
        <v>5.3699999999999998E-2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0.34453989050682299</v>
      </c>
    </row>
    <row r="30" spans="1:3" ht="14.25" customHeight="1" x14ac:dyDescent="0.25">
      <c r="B30" s="25" t="s">
        <v>38</v>
      </c>
      <c r="C30" s="99">
        <v>4.9975046177627103E-2</v>
      </c>
    </row>
    <row r="31" spans="1:3" ht="14.25" customHeight="1" x14ac:dyDescent="0.25">
      <c r="B31" s="25" t="s">
        <v>39</v>
      </c>
      <c r="C31" s="99">
        <v>6.4980512501330898E-2</v>
      </c>
    </row>
    <row r="32" spans="1:3" ht="14.25" customHeight="1" x14ac:dyDescent="0.25">
      <c r="B32" s="25" t="s">
        <v>40</v>
      </c>
      <c r="C32" s="99">
        <v>0.540504550814219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14.07315</v>
      </c>
    </row>
    <row r="38" spans="1:5" ht="15" customHeight="1" x14ac:dyDescent="0.25">
      <c r="B38" s="11" t="s">
        <v>45</v>
      </c>
      <c r="C38" s="43">
        <v>20.749110000000002</v>
      </c>
      <c r="D38" s="12"/>
      <c r="E38" s="13"/>
    </row>
    <row r="39" spans="1:5" ht="15" customHeight="1" x14ac:dyDescent="0.25">
      <c r="B39" s="11" t="s">
        <v>46</v>
      </c>
      <c r="C39" s="43">
        <v>24.521650000000001</v>
      </c>
      <c r="D39" s="12"/>
      <c r="E39" s="12"/>
    </row>
    <row r="40" spans="1:5" ht="15" customHeight="1" x14ac:dyDescent="0.25">
      <c r="B40" s="11" t="s">
        <v>47</v>
      </c>
      <c r="C40" s="100">
        <v>0.76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11.679830000000001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7.5027000000000002E-3</v>
      </c>
      <c r="D45" s="12"/>
    </row>
    <row r="46" spans="1:5" ht="15.75" customHeight="1" x14ac:dyDescent="0.25">
      <c r="B46" s="11" t="s">
        <v>52</v>
      </c>
      <c r="C46" s="45">
        <v>8.0615500000000007E-2</v>
      </c>
      <c r="D46" s="12"/>
    </row>
    <row r="47" spans="1:5" ht="15.75" customHeight="1" x14ac:dyDescent="0.25">
      <c r="B47" s="11" t="s">
        <v>53</v>
      </c>
      <c r="C47" s="45">
        <v>7.3865899999999998E-2</v>
      </c>
      <c r="D47" s="12"/>
      <c r="E47" s="13"/>
    </row>
    <row r="48" spans="1:5" ht="15" customHeight="1" x14ac:dyDescent="0.25">
      <c r="B48" s="11" t="s">
        <v>54</v>
      </c>
      <c r="C48" s="46">
        <v>0.83801590000000004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2.9</v>
      </c>
      <c r="D51" s="12"/>
    </row>
    <row r="52" spans="1:4" ht="15" customHeight="1" x14ac:dyDescent="0.25">
      <c r="B52" s="11" t="s">
        <v>57</v>
      </c>
      <c r="C52" s="100">
        <v>2.9</v>
      </c>
    </row>
    <row r="53" spans="1:4" ht="15.75" customHeight="1" x14ac:dyDescent="0.25">
      <c r="B53" s="11" t="s">
        <v>58</v>
      </c>
      <c r="C53" s="100">
        <v>2.9</v>
      </c>
    </row>
    <row r="54" spans="1:4" ht="15.75" customHeight="1" x14ac:dyDescent="0.25">
      <c r="B54" s="11" t="s">
        <v>59</v>
      </c>
      <c r="C54" s="100">
        <v>2.9</v>
      </c>
    </row>
    <row r="55" spans="1:4" ht="15.75" customHeight="1" x14ac:dyDescent="0.25">
      <c r="B55" s="11" t="s">
        <v>60</v>
      </c>
      <c r="C55" s="100">
        <v>2.9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2.0689655172413789E-2</v>
      </c>
    </row>
    <row r="59" spans="1:4" ht="15.75" customHeight="1" x14ac:dyDescent="0.25">
      <c r="B59" s="11" t="s">
        <v>63</v>
      </c>
      <c r="C59" s="45">
        <v>0.57473999999999992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K5C9ftZdRo3ZckfVxd2bQZHc38/5P2kGCK6mbsOdOvlcgjXmLyVoxuUvk0G6l557a1Vp/TIImcdCXsbEwLhsFw==" saltValue="HkuHFjBN+uXMwDD8os7c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1225578</v>
      </c>
      <c r="C2" s="49">
        <v>2853668</v>
      </c>
      <c r="D2" s="49">
        <v>4020944.5</v>
      </c>
      <c r="E2" s="49">
        <v>3076029</v>
      </c>
      <c r="F2" s="49">
        <v>2017523</v>
      </c>
      <c r="G2" s="17">
        <f t="shared" ref="G2:G13" si="0">C2+D2+E2+F2</f>
        <v>11968164.5</v>
      </c>
      <c r="H2" s="17">
        <f t="shared" ref="H2:H13" si="1">(B2 + stillbirth*B2/(1000-stillbirth))/(1-abortion)</f>
        <v>1409161.0340475726</v>
      </c>
      <c r="I2" s="17">
        <f t="shared" ref="I2:I13" si="2">G2-H2</f>
        <v>10559003.465952428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1240380</v>
      </c>
      <c r="C3" s="50">
        <v>2943360</v>
      </c>
      <c r="D3" s="50">
        <v>4100439.5</v>
      </c>
      <c r="E3" s="50">
        <v>3171546</v>
      </c>
      <c r="F3" s="50">
        <v>2067499.5</v>
      </c>
      <c r="G3" s="17">
        <f t="shared" si="0"/>
        <v>12282845</v>
      </c>
      <c r="H3" s="17">
        <f t="shared" si="1"/>
        <v>1426180.2703801212</v>
      </c>
      <c r="I3" s="17">
        <f t="shared" si="2"/>
        <v>10856664.729619879</v>
      </c>
    </row>
    <row r="4" spans="1:9" ht="15.75" customHeight="1" x14ac:dyDescent="0.25">
      <c r="A4" s="5">
        <f t="shared" si="3"/>
        <v>2026</v>
      </c>
      <c r="B4" s="49">
        <v>1252833</v>
      </c>
      <c r="C4" s="50">
        <v>3044395</v>
      </c>
      <c r="D4" s="50">
        <v>4181569</v>
      </c>
      <c r="E4" s="50">
        <v>3267616.5</v>
      </c>
      <c r="F4" s="50">
        <v>2120027.5</v>
      </c>
      <c r="G4" s="17">
        <f t="shared" si="0"/>
        <v>12613608</v>
      </c>
      <c r="H4" s="17">
        <f t="shared" si="1"/>
        <v>1440498.6429006741</v>
      </c>
      <c r="I4" s="17">
        <f t="shared" si="2"/>
        <v>11173109.357099326</v>
      </c>
    </row>
    <row r="5" spans="1:9" ht="15.75" customHeight="1" x14ac:dyDescent="0.25">
      <c r="A5" s="5">
        <f t="shared" si="3"/>
        <v>2027</v>
      </c>
      <c r="B5" s="49">
        <v>1263818</v>
      </c>
      <c r="C5" s="50">
        <v>3142151</v>
      </c>
      <c r="D5" s="50">
        <v>4263799.4999999991</v>
      </c>
      <c r="E5" s="50">
        <v>3366517</v>
      </c>
      <c r="F5" s="50">
        <v>2173698</v>
      </c>
      <c r="G5" s="17">
        <f t="shared" si="0"/>
        <v>12946165.5</v>
      </c>
      <c r="H5" s="17">
        <f t="shared" si="1"/>
        <v>1453129.1192628581</v>
      </c>
      <c r="I5" s="17">
        <f t="shared" si="2"/>
        <v>11493036.380737143</v>
      </c>
    </row>
    <row r="6" spans="1:9" ht="15.75" customHeight="1" x14ac:dyDescent="0.25">
      <c r="A6" s="5">
        <f t="shared" si="3"/>
        <v>2028</v>
      </c>
      <c r="B6" s="49">
        <v>1281195</v>
      </c>
      <c r="C6" s="50">
        <v>3232911.5</v>
      </c>
      <c r="D6" s="50">
        <v>4346687</v>
      </c>
      <c r="E6" s="50">
        <v>3467365.5</v>
      </c>
      <c r="F6" s="50">
        <v>2228752.5</v>
      </c>
      <c r="G6" s="17">
        <f t="shared" si="0"/>
        <v>13275716.5</v>
      </c>
      <c r="H6" s="17">
        <f t="shared" si="1"/>
        <v>1473109.0726306932</v>
      </c>
      <c r="I6" s="17">
        <f t="shared" si="2"/>
        <v>11802607.427369308</v>
      </c>
    </row>
    <row r="7" spans="1:9" ht="15.75" customHeight="1" x14ac:dyDescent="0.25">
      <c r="A7" s="5">
        <f t="shared" si="3"/>
        <v>2029</v>
      </c>
      <c r="B7" s="49">
        <v>1298371</v>
      </c>
      <c r="C7" s="50">
        <v>3305907.5</v>
      </c>
      <c r="D7" s="50">
        <v>4435266.5</v>
      </c>
      <c r="E7" s="50">
        <v>3565914</v>
      </c>
      <c r="F7" s="50">
        <v>2286962</v>
      </c>
      <c r="G7" s="17">
        <f t="shared" si="0"/>
        <v>13594050</v>
      </c>
      <c r="H7" s="17">
        <f t="shared" si="1"/>
        <v>1492857.9176008224</v>
      </c>
      <c r="I7" s="17">
        <f t="shared" si="2"/>
        <v>12101192.082399178</v>
      </c>
    </row>
    <row r="8" spans="1:9" ht="15.75" customHeight="1" x14ac:dyDescent="0.25">
      <c r="A8" s="5">
        <f t="shared" si="3"/>
        <v>2030</v>
      </c>
      <c r="B8" s="49">
        <v>1315984</v>
      </c>
      <c r="C8" s="50">
        <v>3347958.5</v>
      </c>
      <c r="D8" s="50">
        <v>4536124.5</v>
      </c>
      <c r="E8" s="50">
        <v>3659798</v>
      </c>
      <c r="F8" s="50">
        <v>2350862.5</v>
      </c>
      <c r="G8" s="17">
        <f t="shared" si="0"/>
        <v>13894743.5</v>
      </c>
      <c r="H8" s="17">
        <f t="shared" si="1"/>
        <v>1513109.2221221831</v>
      </c>
      <c r="I8" s="17">
        <f t="shared" si="2"/>
        <v>12381634.277877817</v>
      </c>
    </row>
    <row r="9" spans="1:9" ht="15.75" customHeight="1" x14ac:dyDescent="0.25">
      <c r="A9" s="5">
        <f t="shared" si="3"/>
        <v>2031</v>
      </c>
      <c r="B9" s="49">
        <v>1329073</v>
      </c>
      <c r="C9" s="50">
        <v>3353973</v>
      </c>
      <c r="D9" s="50">
        <v>4656659</v>
      </c>
      <c r="E9" s="50">
        <v>3746743.5</v>
      </c>
      <c r="F9" s="50">
        <v>2421551.5</v>
      </c>
      <c r="G9" s="17">
        <f t="shared" si="0"/>
        <v>14178927</v>
      </c>
      <c r="H9" s="17">
        <f t="shared" si="1"/>
        <v>1528158.8630056262</v>
      </c>
      <c r="I9" s="17">
        <f t="shared" si="2"/>
        <v>12650768.136994373</v>
      </c>
    </row>
    <row r="10" spans="1:9" ht="15.75" customHeight="1" x14ac:dyDescent="0.25">
      <c r="A10" s="5">
        <f t="shared" si="3"/>
        <v>2032</v>
      </c>
      <c r="B10" s="49">
        <v>1347387</v>
      </c>
      <c r="C10" s="50">
        <v>3338457.5</v>
      </c>
      <c r="D10" s="50">
        <v>4791280</v>
      </c>
      <c r="E10" s="50">
        <v>3826860</v>
      </c>
      <c r="F10" s="50">
        <v>2499238</v>
      </c>
      <c r="G10" s="17">
        <f t="shared" si="0"/>
        <v>14455835.5</v>
      </c>
      <c r="H10" s="17">
        <f t="shared" si="1"/>
        <v>1549216.1724363989</v>
      </c>
      <c r="I10" s="17">
        <f t="shared" si="2"/>
        <v>12906619.327563601</v>
      </c>
    </row>
    <row r="11" spans="1:9" ht="15.75" customHeight="1" x14ac:dyDescent="0.25">
      <c r="A11" s="5">
        <f t="shared" si="3"/>
        <v>2033</v>
      </c>
      <c r="B11" s="49">
        <v>1358931</v>
      </c>
      <c r="C11" s="50">
        <v>3321773</v>
      </c>
      <c r="D11" s="50">
        <v>4926317.5</v>
      </c>
      <c r="E11" s="50">
        <v>3902664.5</v>
      </c>
      <c r="F11" s="50">
        <v>2582149</v>
      </c>
      <c r="G11" s="17">
        <f t="shared" si="0"/>
        <v>14732904</v>
      </c>
      <c r="H11" s="17">
        <f t="shared" si="1"/>
        <v>1562489.38309867</v>
      </c>
      <c r="I11" s="17">
        <f t="shared" si="2"/>
        <v>13170414.616901331</v>
      </c>
    </row>
    <row r="12" spans="1:9" ht="15.75" customHeight="1" x14ac:dyDescent="0.25">
      <c r="A12" s="5">
        <f t="shared" si="3"/>
        <v>2034</v>
      </c>
      <c r="B12" s="49">
        <v>1372440</v>
      </c>
      <c r="C12" s="50">
        <v>3307870.5</v>
      </c>
      <c r="D12" s="50">
        <v>5054703.5</v>
      </c>
      <c r="E12" s="50">
        <v>3979642</v>
      </c>
      <c r="F12" s="50">
        <v>2667728.5</v>
      </c>
      <c r="G12" s="17">
        <f t="shared" si="0"/>
        <v>15009944.5</v>
      </c>
      <c r="H12" s="17">
        <f t="shared" si="1"/>
        <v>1578021.9370519465</v>
      </c>
      <c r="I12" s="17">
        <f t="shared" si="2"/>
        <v>13431922.562948054</v>
      </c>
    </row>
    <row r="13" spans="1:9" ht="15.75" customHeight="1" x14ac:dyDescent="0.25">
      <c r="A13" s="5">
        <f t="shared" si="3"/>
        <v>2035</v>
      </c>
      <c r="B13" s="49">
        <v>1384256</v>
      </c>
      <c r="C13" s="50">
        <v>3303294</v>
      </c>
      <c r="D13" s="50">
        <v>5170587</v>
      </c>
      <c r="E13" s="50">
        <v>4058892</v>
      </c>
      <c r="F13" s="50">
        <v>2755396.5</v>
      </c>
      <c r="G13" s="17">
        <f t="shared" si="0"/>
        <v>15288169.5</v>
      </c>
      <c r="H13" s="17">
        <f t="shared" si="1"/>
        <v>1591607.891416586</v>
      </c>
      <c r="I13" s="17">
        <f t="shared" si="2"/>
        <v>13696561.608583413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37ucNI1TXQ4Ka/QDn4AHHSorLHbDjehe/p7YgpirvFeEqGb7nRwHJbfz9K/KDvS20HrR00FnPd1o0Bq9bVThA==" saltValue="7acbL9/5w36gop0cY0TUN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8.5402008540200851E-3</v>
      </c>
    </row>
    <row r="4" spans="1:8" ht="15.75" customHeight="1" x14ac:dyDescent="0.25">
      <c r="B4" s="19" t="s">
        <v>79</v>
      </c>
      <c r="C4" s="101">
        <v>3.9174803917480412E-2</v>
      </c>
    </row>
    <row r="5" spans="1:8" ht="15.75" customHeight="1" x14ac:dyDescent="0.25">
      <c r="B5" s="19" t="s">
        <v>80</v>
      </c>
      <c r="C5" s="101">
        <v>4.0943404094340358E-2</v>
      </c>
    </row>
    <row r="6" spans="1:8" ht="15.75" customHeight="1" x14ac:dyDescent="0.25">
      <c r="B6" s="19" t="s">
        <v>81</v>
      </c>
      <c r="C6" s="101">
        <v>0.1985424198542417</v>
      </c>
    </row>
    <row r="7" spans="1:8" ht="15.75" customHeight="1" x14ac:dyDescent="0.25">
      <c r="B7" s="19" t="s">
        <v>82</v>
      </c>
      <c r="C7" s="101">
        <v>0.46786794678679522</v>
      </c>
    </row>
    <row r="8" spans="1:8" ht="15.75" customHeight="1" x14ac:dyDescent="0.25">
      <c r="B8" s="19" t="s">
        <v>83</v>
      </c>
      <c r="C8" s="101">
        <v>1.280800128080012E-3</v>
      </c>
    </row>
    <row r="9" spans="1:8" ht="15.75" customHeight="1" x14ac:dyDescent="0.25">
      <c r="B9" s="19" t="s">
        <v>84</v>
      </c>
      <c r="C9" s="101">
        <v>0.1650498165049816</v>
      </c>
    </row>
    <row r="10" spans="1:8" ht="15.75" customHeight="1" x14ac:dyDescent="0.25">
      <c r="B10" s="19" t="s">
        <v>85</v>
      </c>
      <c r="C10" s="101">
        <v>7.8600607860060706E-2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8.5069069706236899E-2</v>
      </c>
      <c r="D14" s="55">
        <v>8.5069069706236899E-2</v>
      </c>
      <c r="E14" s="55">
        <v>8.5069069706236899E-2</v>
      </c>
      <c r="F14" s="55">
        <v>8.5069069706236899E-2</v>
      </c>
    </row>
    <row r="15" spans="1:8" ht="15.75" customHeight="1" x14ac:dyDescent="0.25">
      <c r="B15" s="19" t="s">
        <v>88</v>
      </c>
      <c r="C15" s="101">
        <v>0.51331124517246551</v>
      </c>
      <c r="D15" s="101">
        <v>0.51331124517246551</v>
      </c>
      <c r="E15" s="101">
        <v>0.51331124517246551</v>
      </c>
      <c r="F15" s="101">
        <v>0.51331124517246551</v>
      </c>
    </row>
    <row r="16" spans="1:8" ht="15.75" customHeight="1" x14ac:dyDescent="0.25">
      <c r="B16" s="19" t="s">
        <v>89</v>
      </c>
      <c r="C16" s="101">
        <v>1.204797646468374E-2</v>
      </c>
      <c r="D16" s="101">
        <v>1.204797646468374E-2</v>
      </c>
      <c r="E16" s="101">
        <v>1.204797646468374E-2</v>
      </c>
      <c r="F16" s="101">
        <v>1.204797646468374E-2</v>
      </c>
    </row>
    <row r="17" spans="1:8" ht="15.75" customHeight="1" x14ac:dyDescent="0.25">
      <c r="B17" s="19" t="s">
        <v>90</v>
      </c>
      <c r="C17" s="101">
        <v>8.7439330663440316E-3</v>
      </c>
      <c r="D17" s="101">
        <v>8.7439330663440316E-3</v>
      </c>
      <c r="E17" s="101">
        <v>8.7439330663440316E-3</v>
      </c>
      <c r="F17" s="101">
        <v>8.7439330663440316E-3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2.3634672156064261E-2</v>
      </c>
      <c r="D19" s="101">
        <v>2.3634672156064261E-2</v>
      </c>
      <c r="E19" s="101">
        <v>2.3634672156064261E-2</v>
      </c>
      <c r="F19" s="101">
        <v>2.3634672156064261E-2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0.222793513098864</v>
      </c>
      <c r="D21" s="101">
        <v>0.222793513098864</v>
      </c>
      <c r="E21" s="101">
        <v>0.222793513098864</v>
      </c>
      <c r="F21" s="101">
        <v>0.222793513098864</v>
      </c>
    </row>
    <row r="22" spans="1:8" ht="15.75" customHeight="1" x14ac:dyDescent="0.25">
      <c r="B22" s="19" t="s">
        <v>95</v>
      </c>
      <c r="C22" s="101">
        <v>0.13439959033534171</v>
      </c>
      <c r="D22" s="101">
        <v>0.13439959033534171</v>
      </c>
      <c r="E22" s="101">
        <v>0.13439959033534171</v>
      </c>
      <c r="F22" s="101">
        <v>0.13439959033534171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7.1492997000000003E-2</v>
      </c>
    </row>
    <row r="27" spans="1:8" ht="15.75" customHeight="1" x14ac:dyDescent="0.25">
      <c r="B27" s="19" t="s">
        <v>102</v>
      </c>
      <c r="C27" s="101">
        <v>2.4622926999999999E-2</v>
      </c>
    </row>
    <row r="28" spans="1:8" ht="15.75" customHeight="1" x14ac:dyDescent="0.25">
      <c r="B28" s="19" t="s">
        <v>103</v>
      </c>
      <c r="C28" s="101">
        <v>0.300465973</v>
      </c>
    </row>
    <row r="29" spans="1:8" ht="15.75" customHeight="1" x14ac:dyDescent="0.25">
      <c r="B29" s="19" t="s">
        <v>104</v>
      </c>
      <c r="C29" s="101">
        <v>0.10581837400000001</v>
      </c>
    </row>
    <row r="30" spans="1:8" ht="15.75" customHeight="1" x14ac:dyDescent="0.25">
      <c r="B30" s="19" t="s">
        <v>2</v>
      </c>
      <c r="C30" s="101">
        <v>3.6280391000000002E-2</v>
      </c>
    </row>
    <row r="31" spans="1:8" ht="15.75" customHeight="1" x14ac:dyDescent="0.25">
      <c r="B31" s="19" t="s">
        <v>105</v>
      </c>
      <c r="C31" s="101">
        <v>4.1639915E-2</v>
      </c>
    </row>
    <row r="32" spans="1:8" ht="15.75" customHeight="1" x14ac:dyDescent="0.25">
      <c r="B32" s="19" t="s">
        <v>106</v>
      </c>
      <c r="C32" s="101">
        <v>9.9941725999999995E-2</v>
      </c>
    </row>
    <row r="33" spans="2:3" ht="15.75" customHeight="1" x14ac:dyDescent="0.25">
      <c r="B33" s="19" t="s">
        <v>107</v>
      </c>
      <c r="C33" s="101">
        <v>9.6583884999999994E-2</v>
      </c>
    </row>
    <row r="34" spans="2:3" ht="15.75" customHeight="1" x14ac:dyDescent="0.25">
      <c r="B34" s="19" t="s">
        <v>108</v>
      </c>
      <c r="C34" s="101">
        <v>0.22315381200000001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7Z/2eX8pVLUGY5XSMclGk/Xn7HxYmXiLR/caOz9XQvohQlleCuMbnGkKS1NjwfwUL+4NCxqLFVv9J6DrRf1RTQ==" saltValue="/MRlFq8BtDd2TTq3OKp+G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0.56317057409589366</v>
      </c>
      <c r="D2" s="52">
        <f>IFERROR(1-_xlfn.NORM.DIST(_xlfn.NORM.INV(SUM(D4:D5), 0, 1) + 1, 0, 1, TRUE), "")</f>
        <v>0.56317057409589366</v>
      </c>
      <c r="E2" s="52">
        <f>IFERROR(1-_xlfn.NORM.DIST(_xlfn.NORM.INV(SUM(E4:E5), 0, 1) + 1, 0, 1, TRUE), "")</f>
        <v>0.62668537632574395</v>
      </c>
      <c r="F2" s="52">
        <f>IFERROR(1-_xlfn.NORM.DIST(_xlfn.NORM.INV(SUM(F4:F5), 0, 1) + 1, 0, 1, TRUE), "")</f>
        <v>0.52192443162125235</v>
      </c>
      <c r="G2" s="52">
        <f>IFERROR(1-_xlfn.NORM.DIST(_xlfn.NORM.INV(SUM(G4:G5), 0, 1) + 1, 0, 1, TRUE), "")</f>
        <v>0.56622630441502286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0.31360392590410641</v>
      </c>
      <c r="D3" s="52">
        <f>IFERROR(_xlfn.NORM.DIST(_xlfn.NORM.INV(SUM(D4:D5), 0, 1) + 1, 0, 1, TRUE) - SUM(D4:D5), "")</f>
        <v>0.31360392590410641</v>
      </c>
      <c r="E3" s="52">
        <f>IFERROR(_xlfn.NORM.DIST(_xlfn.NORM.INV(SUM(E4:E5), 0, 1) + 1, 0, 1, TRUE) - SUM(E4:E5), "")</f>
        <v>0.28041142367425603</v>
      </c>
      <c r="F3" s="52">
        <f>IFERROR(_xlfn.NORM.DIST(_xlfn.NORM.INV(SUM(F4:F5), 0, 1) + 1, 0, 1, TRUE) - SUM(F4:F5), "")</f>
        <v>0.33235926837874774</v>
      </c>
      <c r="G3" s="52">
        <f>IFERROR(_xlfn.NORM.DIST(_xlfn.NORM.INV(SUM(G4:G5), 0, 1) + 1, 0, 1, TRUE) - SUM(G4:G5), "")</f>
        <v>0.31212299558497719</v>
      </c>
    </row>
    <row r="4" spans="1:15" ht="15.75" customHeight="1" x14ac:dyDescent="0.25">
      <c r="B4" s="5" t="s">
        <v>114</v>
      </c>
      <c r="C4" s="45">
        <v>7.3705199999999998E-2</v>
      </c>
      <c r="D4" s="53">
        <v>7.3705199999999998E-2</v>
      </c>
      <c r="E4" s="53">
        <v>4.3158500000000002E-2</v>
      </c>
      <c r="F4" s="53">
        <v>9.2870799999999989E-2</v>
      </c>
      <c r="G4" s="53">
        <v>8.613670000000001E-2</v>
      </c>
    </row>
    <row r="5" spans="1:15" ht="15.75" customHeight="1" x14ac:dyDescent="0.25">
      <c r="B5" s="5" t="s">
        <v>115</v>
      </c>
      <c r="C5" s="45">
        <v>4.9520300000000003E-2</v>
      </c>
      <c r="D5" s="53">
        <v>4.9520300000000003E-2</v>
      </c>
      <c r="E5" s="53">
        <v>4.9744700000000003E-2</v>
      </c>
      <c r="F5" s="53">
        <v>5.2845499999999997E-2</v>
      </c>
      <c r="G5" s="53">
        <v>3.5513999999999997E-2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0.59699149608488467</v>
      </c>
      <c r="D8" s="52">
        <f>IFERROR(1-_xlfn.NORM.DIST(_xlfn.NORM.INV(SUM(D10:D11), 0, 1) + 1, 0, 1, TRUE), "")</f>
        <v>0.59699149608488467</v>
      </c>
      <c r="E8" s="52">
        <f>IFERROR(1-_xlfn.NORM.DIST(_xlfn.NORM.INV(SUM(E10:E11), 0, 1) + 1, 0, 1, TRUE), "")</f>
        <v>0.75300664809991891</v>
      </c>
      <c r="F8" s="52">
        <f>IFERROR(1-_xlfn.NORM.DIST(_xlfn.NORM.INV(SUM(F10:F11), 0, 1) + 1, 0, 1, TRUE), "")</f>
        <v>0.83184511316120591</v>
      </c>
      <c r="G8" s="52">
        <f>IFERROR(1-_xlfn.NORM.DIST(_xlfn.NORM.INV(SUM(G10:G11), 0, 1) + 1, 0, 1, TRUE), "")</f>
        <v>0.86084384418868432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0.29654690391511529</v>
      </c>
      <c r="D9" s="52">
        <f>IFERROR(_xlfn.NORM.DIST(_xlfn.NORM.INV(SUM(D10:D11), 0, 1) + 1, 0, 1, TRUE) - SUM(D10:D11), "")</f>
        <v>0.29654690391511529</v>
      </c>
      <c r="E9" s="52">
        <f>IFERROR(_xlfn.NORM.DIST(_xlfn.NORM.INV(SUM(E10:E11), 0, 1) + 1, 0, 1, TRUE) - SUM(E10:E11), "")</f>
        <v>0.20090075190008111</v>
      </c>
      <c r="F9" s="52">
        <f>IFERROR(_xlfn.NORM.DIST(_xlfn.NORM.INV(SUM(F10:F11), 0, 1) + 1, 0, 1, TRUE) - SUM(F10:F11), "")</f>
        <v>0.14324348683879404</v>
      </c>
      <c r="G9" s="52">
        <f>IFERROR(_xlfn.NORM.DIST(_xlfn.NORM.INV(SUM(G10:G11), 0, 1) + 1, 0, 1, TRUE) - SUM(G10:G11), "")</f>
        <v>0.12058145581131569</v>
      </c>
    </row>
    <row r="10" spans="1:15" ht="15.75" customHeight="1" x14ac:dyDescent="0.25">
      <c r="B10" s="5" t="s">
        <v>119</v>
      </c>
      <c r="C10" s="45">
        <v>6.7019900000000007E-2</v>
      </c>
      <c r="D10" s="53">
        <v>6.7019900000000007E-2</v>
      </c>
      <c r="E10" s="53">
        <v>3.39999E-2</v>
      </c>
      <c r="F10" s="53">
        <v>1.8997099999999999E-2</v>
      </c>
      <c r="G10" s="53">
        <v>1.39382E-2</v>
      </c>
    </row>
    <row r="11" spans="1:15" ht="15.75" customHeight="1" x14ac:dyDescent="0.25">
      <c r="B11" s="5" t="s">
        <v>120</v>
      </c>
      <c r="C11" s="45">
        <v>3.9441700000000003E-2</v>
      </c>
      <c r="D11" s="53">
        <v>3.9441700000000003E-2</v>
      </c>
      <c r="E11" s="53">
        <v>1.20927E-2</v>
      </c>
      <c r="F11" s="53">
        <v>5.9142999999999999E-3</v>
      </c>
      <c r="G11" s="53">
        <v>4.6365E-3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0.54937793849999994</v>
      </c>
      <c r="D14" s="54">
        <v>0.54968166127100004</v>
      </c>
      <c r="E14" s="54">
        <v>0.54968166127100004</v>
      </c>
      <c r="F14" s="54">
        <v>0.41497549182100002</v>
      </c>
      <c r="G14" s="54">
        <v>0.41497549182100002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0.28699999999999998</v>
      </c>
      <c r="M14" s="55">
        <v>0.28699999999999998</v>
      </c>
      <c r="N14" s="55">
        <v>0.28699999999999998</v>
      </c>
      <c r="O14" s="55">
        <v>0.28699999999999998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0.31574947637348993</v>
      </c>
      <c r="D15" s="52">
        <f t="shared" si="0"/>
        <v>0.31592403799889451</v>
      </c>
      <c r="E15" s="52">
        <f t="shared" si="0"/>
        <v>0.31592403799889451</v>
      </c>
      <c r="F15" s="52">
        <f t="shared" si="0"/>
        <v>0.23850301416920153</v>
      </c>
      <c r="G15" s="52">
        <f t="shared" si="0"/>
        <v>0.23850301416920153</v>
      </c>
      <c r="H15" s="52">
        <f t="shared" si="0"/>
        <v>0.19253789999999998</v>
      </c>
      <c r="I15" s="52">
        <f t="shared" si="0"/>
        <v>0.19253789999999998</v>
      </c>
      <c r="J15" s="52">
        <f t="shared" si="0"/>
        <v>0.19253789999999998</v>
      </c>
      <c r="K15" s="52">
        <f t="shared" si="0"/>
        <v>0.19253789999999998</v>
      </c>
      <c r="L15" s="52">
        <f t="shared" si="0"/>
        <v>0.16495037999999995</v>
      </c>
      <c r="M15" s="52">
        <f t="shared" si="0"/>
        <v>0.16495037999999995</v>
      </c>
      <c r="N15" s="52">
        <f t="shared" si="0"/>
        <v>0.16495037999999995</v>
      </c>
      <c r="O15" s="52">
        <f t="shared" si="0"/>
        <v>0.16495037999999995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Hvphmt4Cb7DqxUXZypxTyfF6W4/8uR64c3L9x8eCj0zXQviBjQYf7JZGiCMKvbNsbH+Yo7opS36DUjvQdUnQQ==" saltValue="OBwwZz8hlWkWKiahVKsC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0.4494938</v>
      </c>
      <c r="D2" s="53">
        <v>0.2296231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0.18113000000000001</v>
      </c>
      <c r="D3" s="53">
        <v>0.16158719999999999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0.27054450000000002</v>
      </c>
      <c r="D4" s="53">
        <v>0.34594730000000001</v>
      </c>
      <c r="E4" s="53">
        <v>0.60375319999999999</v>
      </c>
      <c r="F4" s="53">
        <v>0.35332019999999997</v>
      </c>
      <c r="G4" s="53">
        <v>0</v>
      </c>
    </row>
    <row r="5" spans="1:7" x14ac:dyDescent="0.25">
      <c r="B5" s="3" t="s">
        <v>132</v>
      </c>
      <c r="C5" s="52">
        <v>9.8831699999999995E-2</v>
      </c>
      <c r="D5" s="52">
        <v>0.26284239999999998</v>
      </c>
      <c r="E5" s="52">
        <f>1-SUM(E2:E4)</f>
        <v>0.39624680000000001</v>
      </c>
      <c r="F5" s="52">
        <f>1-SUM(F2:F4)</f>
        <v>0.64667980000000003</v>
      </c>
      <c r="G5" s="52">
        <f>1-SUM(G2:G4)</f>
        <v>1</v>
      </c>
    </row>
  </sheetData>
  <sheetProtection algorithmName="SHA-512" hashValue="5lcSVw22HrV/a0NClDzIKw8FRtmGxII1SdS+wJGBPRCByRQfue3o7LqHfzxZ/fAkZXV7BgwalzgKFneCQFpnKQ==" saltValue="o3gEve+laiMe/4ZfARnBw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5mMBtzr5wrcVJJEw7DerQiNG3uCQ3cQWRYJ4QVzs6p/8Po6CaEgQ7ypPIopnB04UWFMoqn//4MrkoGZWk0Rfw==" saltValue="p6RhXwmBomxW0+BoRZ1Jq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yNMWdM0j8U58aYuJFHoULI4ZwfqlIGDDZ0StIDCKtly2MhuEYOhiWSpsmYju9y+k7h4aH6b2N4ifTFi4bU/icA==" saltValue="G9UHA/VLHziv9VccH76Qg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ydPcShnJkwWJwkEEn1L7HmmKoiZrUcC2BVM9k1etU9R3Uo7dYTdLE9Zmi4o+VJe4cO88xIN5IaKH08YEsa/ZtQ==" saltValue="vMlPA2r+pjTs6r40Nvm2N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xqV5mnRbaaFoBI/NwsOehuX+jZGspnJ41OyDZZYSOEa9mgMH4mdQPHLtfMStUP65WPXvTdNyizhosU9xKsWz4w==" saltValue="ZVR5FdyLsugTuMqveGF7H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60.999124309244628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0.37637351333082802</v>
      </c>
      <c r="C3" s="98">
        <v>0.95</v>
      </c>
      <c r="D3" s="56">
        <v>39.946692681048077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460.96006935232163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1.1116611428744601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13.078992124843991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13.078992124843991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13.078992124843991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13.078992124843991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13.078992124843991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13.078992124843991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0.73</v>
      </c>
      <c r="C16" s="98">
        <v>0.95</v>
      </c>
      <c r="D16" s="56">
        <v>0.78575792473933481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0.45184999999999997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0.30407319606886202</v>
      </c>
      <c r="C18" s="98">
        <v>0.95</v>
      </c>
      <c r="D18" s="56">
        <v>10.612768372685171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0.98498779999999997</v>
      </c>
      <c r="C19" s="98">
        <v>0.95</v>
      </c>
      <c r="D19" s="56">
        <v>10.612768372685171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0.83547650000000007</v>
      </c>
      <c r="C21" s="98">
        <v>0.95</v>
      </c>
      <c r="D21" s="56">
        <v>14.651964526226051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22.60519511135972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4.3210955878812296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0.83576336365205195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18.641046941214839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0.70069243590474695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120.4259539033133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2.2583380955776229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1.694013274674657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0.44582569999999999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0.25434099999999998</v>
      </c>
      <c r="C38" s="98">
        <v>0.95</v>
      </c>
      <c r="D38" s="56">
        <v>3.1210547735760681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wNMC/gkMeVveDD0ynO2zIsFNdn5yB+mz2zV3oXU8AY5tLr/08U19vlsNwXW5ZmeCSqL1vIZ6ChbTllvwf+JA5Q==" saltValue="KnZQcvIa/xZSklZdL0wJ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+KrNtmeDKjtJySnkXaqZ580mk44LWy1lrlN3S2bimd4+p4kIA2TJtkMy5XpKCtpTJB3aKBlOaT/VJRf70Savw==" saltValue="/cPx1+vZV/7hVk1u5hTG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vHKKQvaT1nEXdA1kv32wdiM7MtssNU51ZcgR0J4/92pfNa7Q5yfTzgcvOwLdqcbhEDdfK+757//Q418WbbDuw==" saltValue="bPEFADIL/mafzQjvM9f3d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209</v>
      </c>
      <c r="B3" s="21">
        <f>frac_mam_1month * 2.6</f>
        <v>0.17425174000000002</v>
      </c>
      <c r="C3" s="21">
        <f>frac_mam_1_5months * 2.6</f>
        <v>0.17425174000000002</v>
      </c>
      <c r="D3" s="21">
        <f>frac_mam_6_11months * 2.6</f>
        <v>8.8399740000000004E-2</v>
      </c>
      <c r="E3" s="21">
        <f>frac_mam_12_23months * 2.6</f>
        <v>4.9392459999999999E-2</v>
      </c>
      <c r="F3" s="21">
        <f>frac_mam_24_59months * 2.6</f>
        <v>3.6239319999999998E-2</v>
      </c>
    </row>
    <row r="4" spans="1:6" ht="15.75" customHeight="1" x14ac:dyDescent="0.25">
      <c r="A4" s="3" t="s">
        <v>208</v>
      </c>
      <c r="B4" s="21">
        <f>frac_sam_1month * 2.6</f>
        <v>0.10254842000000002</v>
      </c>
      <c r="C4" s="21">
        <f>frac_sam_1_5months * 2.6</f>
        <v>0.10254842000000002</v>
      </c>
      <c r="D4" s="21">
        <f>frac_sam_6_11months * 2.6</f>
        <v>3.144102E-2</v>
      </c>
      <c r="E4" s="21">
        <f>frac_sam_12_23months * 2.6</f>
        <v>1.5377180000000001E-2</v>
      </c>
      <c r="F4" s="21">
        <f>frac_sam_24_59months * 2.6</f>
        <v>1.20549E-2</v>
      </c>
    </row>
  </sheetData>
  <sheetProtection algorithmName="SHA-512" hashValue="dRN+J6zkjOvRQtAa5N61fE5n250W/yyFoHfgDl2tZCuWJHF5g6XW5HqpSouHKxs9U64ksfwZy1K3bFPDA/vJ9w==" saltValue="YlRqkge5nikzM3qeGYOUX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2.5000000000000001E-2</v>
      </c>
      <c r="E2" s="60">
        <f>food_insecure</f>
        <v>2.5000000000000001E-2</v>
      </c>
      <c r="F2" s="60">
        <f>food_insecure</f>
        <v>2.5000000000000001E-2</v>
      </c>
      <c r="G2" s="60">
        <f>food_insecure</f>
        <v>2.5000000000000001E-2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2.5000000000000001E-2</v>
      </c>
      <c r="F5" s="60">
        <f>food_insecure</f>
        <v>2.5000000000000001E-2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2.5000000000000001E-2</v>
      </c>
      <c r="F8" s="60">
        <f>food_insecure</f>
        <v>2.5000000000000001E-2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2.5000000000000001E-2</v>
      </c>
      <c r="F9" s="60">
        <f>food_insecure</f>
        <v>2.5000000000000001E-2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2.5000000000000001E-2</v>
      </c>
      <c r="I15" s="60">
        <f>food_insecure</f>
        <v>2.5000000000000001E-2</v>
      </c>
      <c r="J15" s="60">
        <f>food_insecure</f>
        <v>2.5000000000000001E-2</v>
      </c>
      <c r="K15" s="60">
        <f>food_insecure</f>
        <v>2.5000000000000001E-2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0.40699999999999997</v>
      </c>
      <c r="M24" s="60">
        <f>famplan_unmet_need</f>
        <v>0.40699999999999997</v>
      </c>
      <c r="N24" s="60">
        <f>famplan_unmet_need</f>
        <v>0.40699999999999997</v>
      </c>
      <c r="O24" s="60">
        <f>famplan_unmet_need</f>
        <v>0.40699999999999997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0.15624296416924996</v>
      </c>
      <c r="M25" s="60">
        <f>(1-food_insecure)*(0.49)+food_insecure*(0.7)</f>
        <v>0.49525000000000002</v>
      </c>
      <c r="N25" s="60">
        <f>(1-food_insecure)*(0.49)+food_insecure*(0.7)</f>
        <v>0.49525000000000002</v>
      </c>
      <c r="O25" s="60">
        <f>(1-food_insecure)*(0.49)+food_insecure*(0.7)</f>
        <v>0.49525000000000002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6.6961270358249975E-2</v>
      </c>
      <c r="M26" s="60">
        <f>(1-food_insecure)*(0.21)+food_insecure*(0.3)</f>
        <v>0.21224999999999999</v>
      </c>
      <c r="N26" s="60">
        <f>(1-food_insecure)*(0.21)+food_insecure*(0.3)</f>
        <v>0.21224999999999999</v>
      </c>
      <c r="O26" s="60">
        <f>(1-food_insecure)*(0.21)+food_insecure*(0.3)</f>
        <v>0.21224999999999999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9.2278782472499973E-2</v>
      </c>
      <c r="M27" s="60">
        <f>(1-food_insecure)*(0.3)</f>
        <v>0.29249999999999998</v>
      </c>
      <c r="N27" s="60">
        <f>(1-food_insecure)*(0.3)</f>
        <v>0.29249999999999998</v>
      </c>
      <c r="O27" s="60">
        <f>(1-food_insecure)*(0.3)</f>
        <v>0.29249999999999998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r59eMpzTa5IHKbnGW09WtldNFIFn7Y5cqjhUoYwMPokOzclvFjI21o1vqCxz3AoA7akcq7mKDzyjwOICkQRQA==" saltValue="o7cpqfOtFq98AK8lY809W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cXhWUcY0p8WIGqr+5a8xqMGsvImTEhmHugQhuB4KjcOv7WAmclHsaW7GfCXDBy0VnnhTP5Z+SeMb6m6c5pXvfA==" saltValue="OS+M19qpqg9Px4omeiWnc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f4TIfUhluh5lMvPVW4LgQOd9pvFJNENdNndK7YyG6i1bJD9WTx0LXzwkjE0Qrid17+O8ZVs+OWhnCqAmI7GhQ==" saltValue="hSzQSZTPPeDk/mTs/1ul9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9ifWWAEbCqAX5aKrRLCOT208teMmsbokg+Mvy4rTrnUlmwlfDJXmBseumPPEhKXi2WD0z9W3OFIUenJ92omXw==" saltValue="eM64HtywCBPXJH5C6Ei3R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2CeErZh74VTxypPZljmXSwcR6QkUMstU5LPAgkbe3rd/AzAxoglEoqLqHYq1jxkQjKaHMISxR8fqcbmXvjXQQ==" saltValue="G0F2oIJ82bx4CvwQBo2ra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TxcH7jeOf+Q7xwgA1z5znqcYUipCZHh09i5hR2H8PP4IrFMiMFOmzeMZ7r7gSRCsAzudnvzQIhqeXaehdNmMZQ==" saltValue="gbZKJulORQALQ7rh3ZZn2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W6jhZ/T/e/EYBuKBiryloJ7KQhfj6+o4tu2z4GWUZfLfGT0/uu1RONk2s2TPyo9ZNNb3cqHbSCImJE+lTCWJfw==" saltValue="Vp42Ydj9pdBQu8sINiVzK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eH8pm4K+FbpCNmgs8k81CTfkfjbkUzJP5m5aQAcaFsg4T4lp256lZ9ShL2MdBlErX8hak1IlVEzyk+jl/I4nQ==" saltValue="nkzIrjO8ZySlzH02OUB+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6Wna58xYiXvRubzBGgMdPk6bUVusNAKFR9Iv4jF9l8imDnnI2gAuRFVeSY6f+qGbj77JQODwZodtk+tUf3/0vg==" saltValue="z9yFKnn9vQ1iyTU8Hv43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lXqgH1IvS///yy0F2x9n9gq1NWJMXFcxDT89yXA/MP1uNpdzUTM2NBkKgefrJLayxNIy+Vaq7i4j0ygqHMhurQ==" saltValue="23yw3UoUU406FjULN6Wu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eTkGQjVDZEbW5//vR0/kyMYRVk96lBJ+4qUPGFgUjfQ/mbZ3WF1KCrOzZLmmo8DZYZJPNjWgqSAU7n+viuPLgA==" saltValue="DM9RxkdugCeECm8Y4Tkp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miZ71k3PzN9XG5hrmmc6Ov8yKwl+DldvjoXhdp9tCKR097tKgwOyIe/dxKdNzkpO5Qi84XaRK5pc9tvL8OO3g==" saltValue="qauapi+ShTcyAT2zHzN+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/rlXx5JftdH/T6F8NfFZ5c+YVTSAWU7kk3vAcoF4cTY7Fa+qobVh8fRgBmDwkmuNHroL8ihWgFo38tlpA2FHQ==" saltValue="WKIxP0OXLURKr3ZLHD/w6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zptsDD+mdJ0jTb6uKpH2EQJQQJeLdMbFPtYgghgfDh4bPzMNKHGgnr8l6EwDxYBMevJT3NIiTF1An/oFLQ5mg==" saltValue="9x+ybGHetIpdYhBNvBZ/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emmQQ3YL+G+fPNvbWjrHiVhoR2B9LuHSUTSz0adwEnPl2OJkx9i8zx/mBe4vK7I6jsisjMcxn2408TgXzYCZxg==" saltValue="iOj+qJMT0ezrvcXgTTQBF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2024-05-17T00:31:51Z</dcterms:modified>
</cp:coreProperties>
</file>