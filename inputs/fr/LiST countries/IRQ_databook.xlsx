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07E1EF2-50C4-4D76-828F-0F5F88B7DE6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5" i="2"/>
  <c r="A26" i="2"/>
  <c r="I4" i="2"/>
  <c r="I8" i="2"/>
  <c r="I12" i="2"/>
  <c r="A31" i="2"/>
  <c r="A34" i="2"/>
  <c r="A40" i="2"/>
  <c r="I2" i="2"/>
  <c r="I6" i="2"/>
  <c r="A19" i="2"/>
  <c r="A35" i="2"/>
  <c r="A36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<sst xmlns="http://schemas.openxmlformats.org/spreadsheetml/2006/main" count="2159" uniqueCount="368">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</sst>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5857402</v>
      </c>
    </row>
    <row r="8" spans="1:3" ht="15" customHeight="1" x14ac:dyDescent="0.25">
      <c r="B8" s="5" t="s">
        <v>37</v>
      </c>
      <c r="C8" s="44">
        <v>2.5000000000000001E-2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0.14336677859999999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9.7699999999999995E-2</v>
      </c>
    </row>
    <row r="24" spans="1:3" ht="15" customHeight="1" x14ac:dyDescent="0.25">
      <c r="B24" s="15" t="s">
        <v>51</v>
      </c>
      <c r="C24" s="45">
        <v>0.48899999999999999</v>
      </c>
    </row>
    <row r="25" spans="1:3" ht="15" customHeight="1" x14ac:dyDescent="0.25">
      <c r="B25" s="15" t="s">
        <v>52</v>
      </c>
      <c r="C25" s="45">
        <v>0.35959999999999998</v>
      </c>
    </row>
    <row r="26" spans="1:3" ht="15" customHeight="1" x14ac:dyDescent="0.25">
      <c r="B26" s="15" t="s">
        <v>53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0.34453989050682299</v>
      </c>
    </row>
    <row r="30" spans="1:3" ht="14.25" customHeight="1" x14ac:dyDescent="0.25">
      <c r="B30" s="25" t="s">
        <v>56</v>
      </c>
      <c r="C30" s="99">
        <v>4.9975046177627103E-2</v>
      </c>
    </row>
    <row r="31" spans="1:3" ht="14.25" customHeight="1" x14ac:dyDescent="0.25">
      <c r="B31" s="25" t="s">
        <v>57</v>
      </c>
      <c r="C31" s="99">
        <v>6.4980512501330898E-2</v>
      </c>
    </row>
    <row r="32" spans="1:3" ht="14.25" customHeight="1" x14ac:dyDescent="0.25">
      <c r="B32" s="25" t="s">
        <v>58</v>
      </c>
      <c r="C32" s="99">
        <v>0.540504550814219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14.07315</v>
      </c>
    </row>
    <row r="38" spans="1:5" ht="15" customHeight="1" x14ac:dyDescent="0.25">
      <c r="B38" s="11" t="s">
        <v>63</v>
      </c>
      <c r="C38" s="43">
        <v>20.749110000000002</v>
      </c>
      <c r="D38" s="12"/>
      <c r="E38" s="13"/>
    </row>
    <row r="39" spans="1:5" ht="15" customHeight="1" x14ac:dyDescent="0.25">
      <c r="B39" s="11" t="s">
        <v>64</v>
      </c>
      <c r="C39" s="43">
        <v>24.521650000000001</v>
      </c>
      <c r="D39" s="12"/>
      <c r="E39" s="12"/>
    </row>
    <row r="40" spans="1:5" ht="15" customHeight="1" x14ac:dyDescent="0.25">
      <c r="B40" s="11" t="s">
        <v>65</v>
      </c>
      <c r="C40" s="100">
        <v>0.76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7.5027000000000002E-3</v>
      </c>
      <c r="D45" s="12"/>
    </row>
    <row r="46" spans="1:5" ht="15.75" customHeight="1" x14ac:dyDescent="0.25">
      <c r="B46" s="11" t="s">
        <v>70</v>
      </c>
      <c r="C46" s="45">
        <v>8.0615500000000007E-2</v>
      </c>
      <c r="D46" s="12"/>
    </row>
    <row r="47" spans="1:5" ht="15.75" customHeight="1" x14ac:dyDescent="0.25">
      <c r="B47" s="11" t="s">
        <v>71</v>
      </c>
      <c r="C47" s="45">
        <v>7.3865899999999998E-2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2.9</v>
      </c>
      <c r="D51" s="12"/>
    </row>
    <row r="52" spans="1:4" ht="15" customHeight="1" x14ac:dyDescent="0.25">
      <c r="B52" s="11" t="s">
        <v>75</v>
      </c>
      <c r="C52" s="100">
        <v>2.9</v>
      </c>
    </row>
    <row r="53" spans="1:4" ht="15.75" customHeight="1" x14ac:dyDescent="0.25">
      <c r="B53" s="11" t="s">
        <v>76</v>
      </c>
      <c r="C53" s="100">
        <v>2.9</v>
      </c>
    </row>
    <row r="54" spans="1:4" ht="15.75" customHeight="1" x14ac:dyDescent="0.25">
      <c r="B54" s="11" t="s">
        <v>77</v>
      </c>
      <c r="C54" s="100">
        <v>2.9</v>
      </c>
    </row>
    <row r="55" spans="1:4" ht="15.75" customHeight="1" x14ac:dyDescent="0.25">
      <c r="B55" s="11" t="s">
        <v>78</v>
      </c>
      <c r="C55" s="100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0.57473999999999992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0.108613574</v>
      </c>
    </row>
    <row r="63" spans="1:4" ht="15.75" customHeight="1" x14ac:dyDescent="0.3">
      <c r="A63" s="4"/>
    </row>
  </sheetData>
  <sheetProtection algorithmName="SHA-512" hashValue="gRjWSpMG+ucP0Y+Szz0utdfhFSf3334X7nv1EmlN2UVxyW62ji7EUmjKo7LRcGcz6g8G2WdXJHdCBm0DhyR0jw==" saltValue="ZIGKMAqM7IlPfUtUvHFy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k+o1s258nck/IWcrbZkwYLNEULGZvi+NUiD/UJ9aE1+ay/6XxCUwzwD5i8UQbb1EkuUKsdhxG8OMCcEYF8vAw==" saltValue="RBwmY0G3DEAQwZsZuroA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8.5402008540200851E-3</v>
      </c>
    </row>
    <row r="4" spans="1:8" ht="15.75" customHeight="1" x14ac:dyDescent="0.25">
      <c r="B4" s="19" t="s">
        <v>97</v>
      </c>
      <c r="C4" s="101">
        <v>3.9174803917480412E-2</v>
      </c>
    </row>
    <row r="5" spans="1:8" ht="15.75" customHeight="1" x14ac:dyDescent="0.25">
      <c r="B5" s="19" t="s">
        <v>98</v>
      </c>
      <c r="C5" s="101">
        <v>4.0943404094340358E-2</v>
      </c>
    </row>
    <row r="6" spans="1:8" ht="15.75" customHeight="1" x14ac:dyDescent="0.25">
      <c r="B6" s="19" t="s">
        <v>99</v>
      </c>
      <c r="C6" s="101">
        <v>0.1985424198542417</v>
      </c>
    </row>
    <row r="7" spans="1:8" ht="15.75" customHeight="1" x14ac:dyDescent="0.25">
      <c r="B7" s="19" t="s">
        <v>100</v>
      </c>
      <c r="C7" s="101">
        <v>0.46786794678679522</v>
      </c>
    </row>
    <row r="8" spans="1:8" ht="15.75" customHeight="1" x14ac:dyDescent="0.25">
      <c r="B8" s="19" t="s">
        <v>101</v>
      </c>
      <c r="C8" s="101">
        <v>1.280800128080012E-3</v>
      </c>
    </row>
    <row r="9" spans="1:8" ht="15.75" customHeight="1" x14ac:dyDescent="0.25">
      <c r="B9" s="19" t="s">
        <v>102</v>
      </c>
      <c r="C9" s="101">
        <v>0.1650498165049816</v>
      </c>
    </row>
    <row r="10" spans="1:8" ht="15.75" customHeight="1" x14ac:dyDescent="0.25">
      <c r="B10" s="19" t="s">
        <v>103</v>
      </c>
      <c r="C10" s="101">
        <v>7.8600607860060706E-2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106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107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108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113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7.1492997000000003E-2</v>
      </c>
    </row>
    <row r="27" spans="1:8" ht="15.75" customHeight="1" x14ac:dyDescent="0.25">
      <c r="B27" s="19" t="s">
        <v>120</v>
      </c>
      <c r="C27" s="101">
        <v>2.4622926999999999E-2</v>
      </c>
    </row>
    <row r="28" spans="1:8" ht="15.75" customHeight="1" x14ac:dyDescent="0.25">
      <c r="B28" s="19" t="s">
        <v>121</v>
      </c>
      <c r="C28" s="101">
        <v>0.300465973</v>
      </c>
    </row>
    <row r="29" spans="1:8" ht="15.75" customHeight="1" x14ac:dyDescent="0.25">
      <c r="B29" s="19" t="s">
        <v>122</v>
      </c>
      <c r="C29" s="101">
        <v>0.10581837400000001</v>
      </c>
    </row>
    <row r="30" spans="1:8" ht="15.75" customHeight="1" x14ac:dyDescent="0.25">
      <c r="B30" s="19" t="s">
        <v>2</v>
      </c>
      <c r="C30" s="101">
        <v>3.6280391000000002E-2</v>
      </c>
    </row>
    <row r="31" spans="1:8" ht="15.75" customHeight="1" x14ac:dyDescent="0.25">
      <c r="B31" s="19" t="s">
        <v>123</v>
      </c>
      <c r="C31" s="101">
        <v>4.1639915E-2</v>
      </c>
    </row>
    <row r="32" spans="1:8" ht="15.75" customHeight="1" x14ac:dyDescent="0.25">
      <c r="B32" s="19" t="s">
        <v>124</v>
      </c>
      <c r="C32" s="101">
        <v>9.9941725999999995E-2</v>
      </c>
    </row>
    <row r="33" spans="2:3" ht="15.75" customHeight="1" x14ac:dyDescent="0.25">
      <c r="B33" s="19" t="s">
        <v>125</v>
      </c>
      <c r="C33" s="101">
        <v>9.6583884999999994E-2</v>
      </c>
    </row>
    <row r="34" spans="2:3" ht="15.75" customHeight="1" x14ac:dyDescent="0.25">
      <c r="B34" s="19" t="s">
        <v>126</v>
      </c>
      <c r="C34" s="101">
        <v>0.22315381200000001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VsVjhtzeXjxIsxQiBM/AOPsu4yDZYydxRFqQGWU3RsWzk7NhQoWfVV4PlR2lexBjX2A8a4HETvC73IsuQnWZYw==" saltValue="YBsSKP+X9ucnYOdBbPVg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132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133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137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138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PV3aP22PecBF3lg4WH9pnR5+rSmc5fmJsFApA/Q2ICGqZvrmzTqKV/ayNXEMXfZbOJ/eFHxs+TkkK9NTrYtsw==" saltValue="IhQ2254KJQ2j7uRC4Wdt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9.8831700000000078E-2</v>
      </c>
      <c r="D5" s="52">
        <f t="shared" si="0"/>
        <v>0.26284240000000003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99fjolvZqrYNP0ZwclH3PCTAXOMsVU04/EYRQAzN9dJA19/CxZPZmcUFe7z1w5oSw1NnjvqFZ+gffXEArQiWAw==" saltValue="u+7OIp9V50m8UPg2M0Yqo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9I25U4fDJQx8c5uk6LpC1/Rq32vgnDi9Qi8T0hy0XharC9y/FKqjtUF3blsEXzYOMyOee2s9MBiPU35CCdUPQ==" saltValue="2tLvlQ1prJU1w1jInK8Rz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5937.1954660027104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0.40344000000000002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0.11663999999999999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1.0879761515328849E-2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97304.985430000001</v>
      </c>
      <c r="C22" s="109">
        <v>97107.73977</v>
      </c>
      <c r="D22" s="109">
        <v>96924.003700000001</v>
      </c>
      <c r="E22" s="109">
        <v>96565.643960000001</v>
      </c>
      <c r="F22" s="109">
        <v>96020.317349999998</v>
      </c>
      <c r="G22" s="109">
        <v>95458.675749999995</v>
      </c>
      <c r="H22" s="109">
        <v>94796.104579999999</v>
      </c>
      <c r="I22" s="109">
        <v>93941.191170000006</v>
      </c>
      <c r="J22" s="109">
        <v>92716.333840000007</v>
      </c>
      <c r="K22" s="109">
        <v>90678.213010000007</v>
      </c>
      <c r="L22" s="109">
        <v>87615.477729999999</v>
      </c>
      <c r="M22" s="109">
        <v>83086.606639999998</v>
      </c>
      <c r="N22" s="109">
        <v>76399.769589999996</v>
      </c>
      <c r="O22" s="109">
        <v>67197.552809999994</v>
      </c>
    </row>
  </sheetData>
  <sheetProtection algorithmName="SHA-512" hashValue="Cd/rXfqEuLVQyneyKcKpemzvV+R55I1XMzkXVlVRq5ZP0OxuFsrW9zZ2ex7e77D20OAXHCXubsIrDDNb7lOaTw==" saltValue="3mVYZoN1h/Hjlnrovmsm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A3mmZKQ+n979Piyb0ZfVhQhic0YEikgkTe6QgRl6dkO1jfeICv53Ou8xy4NBs+nRCOuBD+sbREuY3ERzgUzMQ==" saltValue="ttyauSvbgcAtit5SKZU9H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KA2bF3fJN0c78jhxdrHu/E1RUTu5cEILMi/B3Jojr7j1cvEcIM+zMTVMUqjgKHU8wpQ2JahA8NCQWEbKXX97A==" saltValue="sFwCzY6vYDxJ/5KY0BIDp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0.25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13.078992124843991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13.078992124843991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13.078992124843991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13.078992124843991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13.078992124843991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13.078992124843991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0.45184999999999997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0.2296231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0.2296231</v>
      </c>
      <c r="C19" s="98">
        <v>0.95</v>
      </c>
      <c r="D19" s="56">
        <v>10.612768372685171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4.3210955878812296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0.67891314657797597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0.25434099999999998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0.44582569999999999</v>
      </c>
      <c r="C29" s="98">
        <v>0.95</v>
      </c>
      <c r="D29" s="56">
        <v>193.6128732031849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0.97391609999999995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0.1581882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7.8589800000000001E-2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0.83547650000000007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7.35566E-2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a7gmEf2QiVAhFoJN1rX174DanmjG1HIfRZ3jQ9sLPutiBwmNbZFq2HlELAs7XJXWOWPWVH9Ye4guJm6Rc4qdgw==" saltValue="FrfTbOloDSR4gI+bzo0g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OKKXHpta2qW5Rn/+eOAbkFGpZSlTdpNZYqIu8mGhyQaDbflEwlNpzHLRAM7RDw7Dk09YvZMYiDaj9nn6sq34A==" saltValue="jqNg+xpve+JdNB+u7a2/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uwec9b8gvhNOrCZpkBRLkBAFs2O4eGtPWjjvrtVFCOzzvmfdZX2GsK2SmaGdFdEVIJA9W8hE8m+k1wPEpS2wA==" saltValue="mt8n5L84hdm9ZVlvlaOa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237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sheetProtection algorithmName="SHA-512" hashValue="lPsfwZx2Voplc7LMgMHNCYBwrdNULDlAon2vMxP0gfz1XE148hHzXG0klROkpnVveLoTixfk/4UvR8VHh5F0aA==" saltValue="zgAVeipxAHV0wZGf2hEo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2.5000000000000001E-2</v>
      </c>
      <c r="F2" s="60">
        <f>food_insecure</f>
        <v>2.5000000000000001E-2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2.5000000000000001E-2</v>
      </c>
      <c r="I15" s="60">
        <f t="shared" si="0"/>
        <v>2.5000000000000001E-2</v>
      </c>
      <c r="J15" s="60">
        <f t="shared" si="0"/>
        <v>2.5000000000000001E-2</v>
      </c>
      <c r="K15" s="60">
        <f t="shared" si="0"/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2.5000000000000001E-2</v>
      </c>
      <c r="I16" s="60">
        <f t="shared" si="0"/>
        <v>2.5000000000000001E-2</v>
      </c>
      <c r="J16" s="60">
        <f t="shared" si="0"/>
        <v>2.5000000000000001E-2</v>
      </c>
      <c r="K16" s="60">
        <f t="shared" si="0"/>
        <v>2.5000000000000001E-2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0.14336677859999999</v>
      </c>
      <c r="M24" s="60">
        <f>famplan_unmet_need</f>
        <v>0.14336677859999999</v>
      </c>
      <c r="N24" s="60">
        <f>famplan_unmet_need</f>
        <v>0.14336677859999999</v>
      </c>
      <c r="O24" s="60">
        <f>famplan_unmet_need</f>
        <v>0.14336677859999999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MFgl9e9kShgp8vXx1cAN8g3Jj65VAZ64lcV6cctlhWRSWWaX+LG+Jr4hrljEPftvO1djfivTP399P7dAq/0Mg==" saltValue="0aPAgKGKZhU9WpQMgvLK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1Ig9wBx2dMg7IKp4pJd5rjLuAvNttD84VIwx8YskP9Ek8vmwmB1o8bLU6Mbl8s3pWvrXdlWjEN/vAzk0uoLthA==" saltValue="YhlNM1QOfkEM05EzkYvn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f/QzKaVOmvKTn3OT1Ua/KaxQ5i+h1AdtVmrVm0fbfbZUBRT4y1zbOhWJxZkRvVrDfiR33jLv01rsq3frbzZhw==" saltValue="iRZIotPIy8/mMLhzWJjv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igFU8jUxeU6ayqUEURt2/h/SUcMz02qg6eJ5gH0P4m5PUWF+aIzEd6p9EO7em383Af1NNW6k/Z3cIAPuWfIzQ==" saltValue="KnasAfGiELLoPgouwuZq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v8B2H7Kzwm6rXOXsNwVcwQr1jGBfStfmHROFbOdBBRYWMlLO4MYOG4feB1A1op6yj8OWQWBZ7qYkdhP9ZqAGCA==" saltValue="6RBDN872pi1j/dCSuYPL6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MkhjmHrxW69On4pY3eCAwMutIFA3d3HcpigRnNpMlBYJq+KH/qr3Y3WHms9pxeIWZP8uZpGXBP1Nws59gkKeHw==" saltValue="1TOEHWBHXxusOUn41Y9w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Otup2Ww05q1i1cgPeWrGM+v83r6elWpxnrf+I5lQGk0ESTt5ccos64GTjIzo4OmlPg3EOqdOFnSFzsEYz5bLg==" saltValue="JJ8oeaTB4D6a4RL4b9lM8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wU/D783sJQh0vwnIgaYgFoleQ9liOgT50AO0r8BUz1PLQlfsUxgTgjNVeAKQxKFI8DLgeXouz+baWQ2EiwlSg==" saltValue="24jLlb5Yp9u9CEjRw2sa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QHkK0HQNGzALZBBTsIoQuPej9VIl9o9lfVQrWl+Odn4kwwC1oc/kXe0IGcyY9z5X0uHcq4O6CmWUU352wistMg==" saltValue="TGRo0XIg3Nw7uMWpfwgN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sMSEUEMjWv6Mm7SOJ0TbCzehEk8mdtmkIqTQiTy7Z8gFvDbWqesAe2BmzsE2nQU+6uIW9ADWI4oujvso/MJqA==" saltValue="O+oMsOhr4ldqIGuEmnLk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wuR903c0e9TxdWchxTTJneed+s1UT+9+ZZifNJIV/OfzabUoMKcAOF3mESJX6GJkg2Y1khm2mZz7YiPZkPP7Q==" saltValue="d+oFBiPtvkSpTe6dAOjQ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wWDfdEnEe5AbRbxi2X+96HZOn1U3KxB5dGF7rHftNYLbJoOj1J4UKTdVEGeuByqaKkqFdw4xXvVkGnUXyFHTQ==" saltValue="b5Iu61/wArw05TavwlwI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8PdgYHsX8CQS4XlqzFLZ0ZvBTWFdk0+rIvhZqNwzihNW0yzpMm1VOKgU/QiP63B4pN6S/xnei7wYoX3l8M5Cw==" saltValue="fQtSpQafAjfsuPp1+sBi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B/htU+8somXiyANDGgmX8bKx4XgGO9xnPoxRYbBd7Bl5uUuQvEj/jAmnceo0cKeQ9WMc6t6UeLjPccYAkAr/Q==" saltValue="M2FnXMuyRztjl6hoa1Lo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BN53nCnIbSnlYsY58YVhxp97XfrE8RKA5SHyctI57HFPldao/nFmEoYFUAH34JvbhNM40V6ormGAUYIH4Hchpg==" saltValue="26vGERmf0wO69JQU4GeFy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