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68DA44A-DF72-4A67-A84F-319DA5EFCF0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I38" i="2" s="1"/>
  <c r="A34" i="2"/>
  <c r="A33" i="2"/>
  <c r="A32" i="2"/>
  <c r="A23" i="2"/>
  <c r="A20" i="2"/>
  <c r="A18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4" i="2" l="1"/>
  <c r="A36" i="2"/>
  <c r="A15" i="2"/>
  <c r="A26" i="2"/>
  <c r="A16" i="2"/>
  <c r="A28" i="2"/>
  <c r="A39" i="2"/>
  <c r="A25" i="2"/>
  <c r="A3" i="2"/>
  <c r="I3" i="2"/>
  <c r="I7" i="2"/>
  <c r="I11" i="2"/>
  <c r="A17" i="2"/>
  <c r="A31" i="2"/>
  <c r="I39" i="2"/>
  <c r="A19" i="2"/>
  <c r="A27" i="2"/>
  <c r="A35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<sst xmlns="http://schemas.openxmlformats.org/spreadsheetml/2006/main" count="2101" uniqueCount="337">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</sst>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304521.15234375</v>
      </c>
    </row>
    <row r="8" spans="1:3" ht="15" customHeight="1" x14ac:dyDescent="0.25">
      <c r="B8" s="5" t="s">
        <v>19</v>
      </c>
      <c r="C8" s="44">
        <v>0.67099999999999993</v>
      </c>
    </row>
    <row r="9" spans="1:3" ht="15" customHeight="1" x14ac:dyDescent="0.25">
      <c r="B9" s="5" t="s">
        <v>20</v>
      </c>
      <c r="C9" s="45">
        <v>1</v>
      </c>
    </row>
    <row r="10" spans="1:3" ht="15" customHeight="1" x14ac:dyDescent="0.25">
      <c r="B10" s="5" t="s">
        <v>21</v>
      </c>
      <c r="C10" s="45">
        <v>0.32603321079999997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0.624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9.4700000000000006E-2</v>
      </c>
    </row>
    <row r="24" spans="1:3" ht="15" customHeight="1" x14ac:dyDescent="0.25">
      <c r="B24" s="15" t="s">
        <v>33</v>
      </c>
      <c r="C24" s="45">
        <v>0.47560000000000002</v>
      </c>
    </row>
    <row r="25" spans="1:3" ht="15" customHeight="1" x14ac:dyDescent="0.25">
      <c r="B25" s="15" t="s">
        <v>34</v>
      </c>
      <c r="C25" s="45">
        <v>0.35120000000000001</v>
      </c>
    </row>
    <row r="26" spans="1:3" ht="15" customHeight="1" x14ac:dyDescent="0.25">
      <c r="B26" s="15" t="s">
        <v>35</v>
      </c>
      <c r="C26" s="45">
        <v>7.85E-2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0.20134766316932501</v>
      </c>
    </row>
    <row r="30" spans="1:3" ht="14.25" customHeight="1" x14ac:dyDescent="0.25">
      <c r="B30" s="25" t="s">
        <v>38</v>
      </c>
      <c r="C30" s="99">
        <v>3.7040067899888597E-2</v>
      </c>
    </row>
    <row r="31" spans="1:3" ht="14.25" customHeight="1" x14ac:dyDescent="0.25">
      <c r="B31" s="25" t="s">
        <v>39</v>
      </c>
      <c r="C31" s="99">
        <v>9.42970158051466E-2</v>
      </c>
    </row>
    <row r="32" spans="1:3" ht="14.25" customHeight="1" x14ac:dyDescent="0.25">
      <c r="B32" s="25" t="s">
        <v>40</v>
      </c>
      <c r="C32" s="99">
        <v>0.66731525312564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34.303510000000003</v>
      </c>
    </row>
    <row r="38" spans="1:5" ht="15" customHeight="1" x14ac:dyDescent="0.25">
      <c r="B38" s="11" t="s">
        <v>45</v>
      </c>
      <c r="C38" s="43">
        <v>49.96163</v>
      </c>
      <c r="D38" s="12"/>
      <c r="E38" s="13"/>
    </row>
    <row r="39" spans="1:5" ht="15" customHeight="1" x14ac:dyDescent="0.25">
      <c r="B39" s="11" t="s">
        <v>46</v>
      </c>
      <c r="C39" s="43">
        <v>74.305310000000006</v>
      </c>
      <c r="D39" s="12"/>
      <c r="E39" s="12"/>
    </row>
    <row r="40" spans="1:5" ht="15" customHeight="1" x14ac:dyDescent="0.25">
      <c r="B40" s="11" t="s">
        <v>47</v>
      </c>
      <c r="C40" s="100">
        <v>7.25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31.207560000000001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7.9141000000000003E-3</v>
      </c>
      <c r="D45" s="12"/>
    </row>
    <row r="46" spans="1:5" ht="15.75" customHeight="1" x14ac:dyDescent="0.25">
      <c r="B46" s="11" t="s">
        <v>52</v>
      </c>
      <c r="C46" s="45">
        <v>8.5036E-2</v>
      </c>
      <c r="D46" s="12"/>
    </row>
    <row r="47" spans="1:5" ht="15.75" customHeight="1" x14ac:dyDescent="0.25">
      <c r="B47" s="11" t="s">
        <v>53</v>
      </c>
      <c r="C47" s="45">
        <v>7.3474499999999998E-2</v>
      </c>
      <c r="D47" s="12"/>
      <c r="E47" s="13"/>
    </row>
    <row r="48" spans="1:5" ht="15" customHeight="1" x14ac:dyDescent="0.25">
      <c r="B48" s="11" t="s">
        <v>54</v>
      </c>
      <c r="C48" s="46">
        <v>0.83357539999999997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0.44195400000000001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0.21075215999999999</v>
      </c>
    </row>
    <row r="63" spans="1:4" ht="15.75" customHeight="1" x14ac:dyDescent="0.3">
      <c r="A63" s="4"/>
    </row>
  </sheetData>
  <sheetProtection algorithmName="SHA-512" hashValue="OirB45pQ/OcziTLYoBvGOdMFFRvLP1ZysPOS+YnCMdJEFIKXRJXvU3SvYA+VGSrBDO7Y4eUjyJMQYJc7lsqQdQ==" saltValue="T99Cb91W+dqdJVWjg5Dh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65299.000000000007</v>
      </c>
      <c r="C2" s="49">
        <v>146800</v>
      </c>
      <c r="D2" s="49">
        <v>193207</v>
      </c>
      <c r="E2" s="49">
        <v>143607.5</v>
      </c>
      <c r="F2" s="49">
        <v>93350.5</v>
      </c>
      <c r="G2" s="17">
        <f t="shared" ref="G2:G13" si="0">C2+D2+E2+F2</f>
        <v>576965</v>
      </c>
      <c r="H2" s="17">
        <f t="shared" ref="H2:H13" si="1">(B2 + stillbirth*B2/(1000-stillbirth))/(1-abortion)</f>
        <v>76593.711952282683</v>
      </c>
      <c r="I2" s="17">
        <f t="shared" ref="I2:I13" si="2">G2-H2</f>
        <v>500371.2880477173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65981</v>
      </c>
      <c r="C3" s="50">
        <v>149891.5</v>
      </c>
      <c r="D3" s="50">
        <v>198809</v>
      </c>
      <c r="E3" s="50">
        <v>146623.5</v>
      </c>
      <c r="F3" s="50">
        <v>96554</v>
      </c>
      <c r="G3" s="17">
        <f t="shared" si="0"/>
        <v>591878</v>
      </c>
      <c r="H3" s="17">
        <f t="shared" si="1"/>
        <v>77393.676906592169</v>
      </c>
      <c r="I3" s="17">
        <f t="shared" si="2"/>
        <v>514484.32309340785</v>
      </c>
    </row>
    <row r="4" spans="1:9" ht="15.75" customHeight="1" x14ac:dyDescent="0.25">
      <c r="A4" s="5">
        <f t="shared" si="3"/>
        <v>2026</v>
      </c>
      <c r="B4" s="49">
        <v>66446</v>
      </c>
      <c r="C4" s="50">
        <v>153045.5</v>
      </c>
      <c r="D4" s="50">
        <v>204581</v>
      </c>
      <c r="E4" s="50">
        <v>149845</v>
      </c>
      <c r="F4" s="50">
        <v>99638</v>
      </c>
      <c r="G4" s="17">
        <f t="shared" si="0"/>
        <v>607109.5</v>
      </c>
      <c r="H4" s="17">
        <f t="shared" si="1"/>
        <v>77939.107557257754</v>
      </c>
      <c r="I4" s="17">
        <f t="shared" si="2"/>
        <v>529170.39244274225</v>
      </c>
    </row>
    <row r="5" spans="1:9" ht="15.75" customHeight="1" x14ac:dyDescent="0.25">
      <c r="A5" s="5">
        <f t="shared" si="3"/>
        <v>2027</v>
      </c>
      <c r="B5" s="49">
        <v>67017</v>
      </c>
      <c r="C5" s="50">
        <v>156053.5</v>
      </c>
      <c r="D5" s="50">
        <v>210539.5</v>
      </c>
      <c r="E5" s="50">
        <v>153353</v>
      </c>
      <c r="F5" s="50">
        <v>102656</v>
      </c>
      <c r="G5" s="17">
        <f t="shared" si="0"/>
        <v>622602</v>
      </c>
      <c r="H5" s="17">
        <f t="shared" si="1"/>
        <v>78608.872936892265</v>
      </c>
      <c r="I5" s="17">
        <f t="shared" si="2"/>
        <v>543993.12706310768</v>
      </c>
    </row>
    <row r="6" spans="1:9" ht="15.75" customHeight="1" x14ac:dyDescent="0.25">
      <c r="A6" s="5">
        <f t="shared" si="3"/>
        <v>2028</v>
      </c>
      <c r="B6" s="49">
        <v>67699</v>
      </c>
      <c r="C6" s="50">
        <v>158831.5</v>
      </c>
      <c r="D6" s="50">
        <v>216509</v>
      </c>
      <c r="E6" s="50">
        <v>157153</v>
      </c>
      <c r="F6" s="50">
        <v>105768</v>
      </c>
      <c r="G6" s="17">
        <f t="shared" si="0"/>
        <v>638261.5</v>
      </c>
      <c r="H6" s="17">
        <f t="shared" si="1"/>
        <v>79408.837891201765</v>
      </c>
      <c r="I6" s="17">
        <f t="shared" si="2"/>
        <v>558852.66210879828</v>
      </c>
    </row>
    <row r="7" spans="1:9" ht="15.75" customHeight="1" x14ac:dyDescent="0.25">
      <c r="A7" s="5">
        <f t="shared" si="3"/>
        <v>2029</v>
      </c>
      <c r="B7" s="49">
        <v>68210</v>
      </c>
      <c r="C7" s="50">
        <v>161417</v>
      </c>
      <c r="D7" s="50">
        <v>222276.5</v>
      </c>
      <c r="E7" s="50">
        <v>161210.5</v>
      </c>
      <c r="F7" s="50">
        <v>108824.5</v>
      </c>
      <c r="G7" s="17">
        <f t="shared" si="0"/>
        <v>653728.5</v>
      </c>
      <c r="H7" s="17">
        <f t="shared" si="1"/>
        <v>80008.225122363292</v>
      </c>
      <c r="I7" s="17">
        <f t="shared" si="2"/>
        <v>573720.27487763669</v>
      </c>
    </row>
    <row r="8" spans="1:9" ht="15.75" customHeight="1" x14ac:dyDescent="0.25">
      <c r="A8" s="5">
        <f t="shared" si="3"/>
        <v>2030</v>
      </c>
      <c r="B8" s="49">
        <v>68811</v>
      </c>
      <c r="C8" s="50">
        <v>163706.5</v>
      </c>
      <c r="D8" s="50">
        <v>227856.5</v>
      </c>
      <c r="E8" s="50">
        <v>165687</v>
      </c>
      <c r="F8" s="50">
        <v>111570</v>
      </c>
      <c r="G8" s="17">
        <f t="shared" si="0"/>
        <v>668820</v>
      </c>
      <c r="H8" s="17">
        <f t="shared" si="1"/>
        <v>80713.179576234295</v>
      </c>
      <c r="I8" s="17">
        <f t="shared" si="2"/>
        <v>588106.82042376569</v>
      </c>
    </row>
    <row r="9" spans="1:9" ht="15.75" customHeight="1" x14ac:dyDescent="0.25">
      <c r="A9" s="5">
        <f t="shared" si="3"/>
        <v>2031</v>
      </c>
      <c r="B9" s="49">
        <v>69216</v>
      </c>
      <c r="C9" s="50">
        <v>165285.5</v>
      </c>
      <c r="D9" s="50">
        <v>233490.5</v>
      </c>
      <c r="E9" s="50">
        <v>170560</v>
      </c>
      <c r="F9" s="50">
        <v>113942.5</v>
      </c>
      <c r="G9" s="17">
        <f t="shared" si="0"/>
        <v>683278.5</v>
      </c>
      <c r="H9" s="17">
        <f t="shared" si="1"/>
        <v>81188.232078426881</v>
      </c>
      <c r="I9" s="17">
        <f t="shared" si="2"/>
        <v>602090.26792157313</v>
      </c>
    </row>
    <row r="10" spans="1:9" ht="15.75" customHeight="1" x14ac:dyDescent="0.25">
      <c r="A10" s="5">
        <f t="shared" si="3"/>
        <v>2032</v>
      </c>
      <c r="B10" s="49">
        <v>69693</v>
      </c>
      <c r="C10" s="50">
        <v>166159</v>
      </c>
      <c r="D10" s="50">
        <v>239177</v>
      </c>
      <c r="E10" s="50">
        <v>175670.5</v>
      </c>
      <c r="F10" s="50">
        <v>116046</v>
      </c>
      <c r="G10" s="17">
        <f t="shared" si="0"/>
        <v>697052.5</v>
      </c>
      <c r="H10" s="17">
        <f t="shared" si="1"/>
        <v>81747.738358787057</v>
      </c>
      <c r="I10" s="17">
        <f t="shared" si="2"/>
        <v>615304.76164121297</v>
      </c>
    </row>
    <row r="11" spans="1:9" ht="15.75" customHeight="1" x14ac:dyDescent="0.25">
      <c r="A11" s="5">
        <f t="shared" si="3"/>
        <v>2033</v>
      </c>
      <c r="B11" s="49">
        <v>70210</v>
      </c>
      <c r="C11" s="50">
        <v>166706.5</v>
      </c>
      <c r="D11" s="50">
        <v>244717</v>
      </c>
      <c r="E11" s="50">
        <v>180991.5</v>
      </c>
      <c r="F11" s="50">
        <v>118187</v>
      </c>
      <c r="G11" s="17">
        <f t="shared" si="0"/>
        <v>710602</v>
      </c>
      <c r="H11" s="17">
        <f t="shared" si="1"/>
        <v>82354.163404795894</v>
      </c>
      <c r="I11" s="17">
        <f t="shared" si="2"/>
        <v>628247.83659520408</v>
      </c>
    </row>
    <row r="12" spans="1:9" ht="15.75" customHeight="1" x14ac:dyDescent="0.25">
      <c r="A12" s="5">
        <f t="shared" si="3"/>
        <v>2034</v>
      </c>
      <c r="B12" s="49">
        <v>70747</v>
      </c>
      <c r="C12" s="50">
        <v>167211.5</v>
      </c>
      <c r="D12" s="50">
        <v>249967.50000000009</v>
      </c>
      <c r="E12" s="50">
        <v>186416</v>
      </c>
      <c r="F12" s="50">
        <v>120493.5</v>
      </c>
      <c r="G12" s="17">
        <f t="shared" si="0"/>
        <v>724088.50000000012</v>
      </c>
      <c r="H12" s="17">
        <f t="shared" si="1"/>
        <v>82984.04783362904</v>
      </c>
      <c r="I12" s="17">
        <f t="shared" si="2"/>
        <v>641104.45216637105</v>
      </c>
    </row>
    <row r="13" spans="1:9" ht="15.75" customHeight="1" x14ac:dyDescent="0.25">
      <c r="A13" s="5">
        <f t="shared" si="3"/>
        <v>2035</v>
      </c>
      <c r="B13" s="49">
        <v>71004</v>
      </c>
      <c r="C13" s="50">
        <v>167860.5</v>
      </c>
      <c r="D13" s="50">
        <v>254719</v>
      </c>
      <c r="E13" s="50">
        <v>191956.5</v>
      </c>
      <c r="F13" s="50">
        <v>122999</v>
      </c>
      <c r="G13" s="17">
        <f t="shared" si="0"/>
        <v>737535</v>
      </c>
      <c r="H13" s="17">
        <f t="shared" si="1"/>
        <v>83285.500902921631</v>
      </c>
      <c r="I13" s="17">
        <f t="shared" si="2"/>
        <v>654249.49909707834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1KgoriOEKS6Gx+Sxh9UunCOCX05Q19fE/cU65n0sACiUNdlvfZrV1n+5aaiuDBpvh9aCtTUSbg0PlrIUH/KGw==" saltValue="fVyeuG3FY4WWcrulQtTUx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2.2703597729640201E-2</v>
      </c>
    </row>
    <row r="4" spans="1:8" ht="15.75" customHeight="1" x14ac:dyDescent="0.25">
      <c r="B4" s="19" t="s">
        <v>79</v>
      </c>
      <c r="C4" s="101">
        <v>6.8627193137280607E-2</v>
      </c>
    </row>
    <row r="5" spans="1:8" ht="15.75" customHeight="1" x14ac:dyDescent="0.25">
      <c r="B5" s="19" t="s">
        <v>80</v>
      </c>
      <c r="C5" s="101">
        <v>0.107747889225211</v>
      </c>
    </row>
    <row r="6" spans="1:8" ht="15.75" customHeight="1" x14ac:dyDescent="0.25">
      <c r="B6" s="19" t="s">
        <v>81</v>
      </c>
      <c r="C6" s="101">
        <v>0.25067987493201233</v>
      </c>
    </row>
    <row r="7" spans="1:8" ht="15.75" customHeight="1" x14ac:dyDescent="0.25">
      <c r="B7" s="19" t="s">
        <v>82</v>
      </c>
      <c r="C7" s="101">
        <v>0.38467066153293428</v>
      </c>
    </row>
    <row r="8" spans="1:8" ht="15.75" customHeight="1" x14ac:dyDescent="0.25">
      <c r="B8" s="19" t="s">
        <v>83</v>
      </c>
      <c r="C8" s="101">
        <v>3.6380996361900331E-3</v>
      </c>
    </row>
    <row r="9" spans="1:8" ht="15.75" customHeight="1" x14ac:dyDescent="0.25">
      <c r="B9" s="19" t="s">
        <v>84</v>
      </c>
      <c r="C9" s="101">
        <v>4.9439595056040453E-2</v>
      </c>
    </row>
    <row r="10" spans="1:8" ht="15.75" customHeight="1" x14ac:dyDescent="0.25">
      <c r="B10" s="19" t="s">
        <v>85</v>
      </c>
      <c r="C10" s="101">
        <v>0.1124930887506911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0.168372174260598</v>
      </c>
      <c r="D14" s="55">
        <v>0.168372174260598</v>
      </c>
      <c r="E14" s="55">
        <v>0.168372174260598</v>
      </c>
      <c r="F14" s="55">
        <v>0.168372174260598</v>
      </c>
    </row>
    <row r="15" spans="1:8" ht="15.75" customHeight="1" x14ac:dyDescent="0.25">
      <c r="B15" s="19" t="s">
        <v>88</v>
      </c>
      <c r="C15" s="101">
        <v>0.1776060016341538</v>
      </c>
      <c r="D15" s="101">
        <v>0.1776060016341538</v>
      </c>
      <c r="E15" s="101">
        <v>0.1776060016341538</v>
      </c>
      <c r="F15" s="101">
        <v>0.1776060016341538</v>
      </c>
    </row>
    <row r="16" spans="1:8" ht="15.75" customHeight="1" x14ac:dyDescent="0.25">
      <c r="B16" s="19" t="s">
        <v>89</v>
      </c>
      <c r="C16" s="101">
        <v>2.4094016967912031E-2</v>
      </c>
      <c r="D16" s="101">
        <v>2.4094016967912031E-2</v>
      </c>
      <c r="E16" s="101">
        <v>2.4094016967912031E-2</v>
      </c>
      <c r="F16" s="101">
        <v>2.4094016967912031E-2</v>
      </c>
    </row>
    <row r="17" spans="1:8" ht="15.75" customHeight="1" x14ac:dyDescent="0.25">
      <c r="B17" s="19" t="s">
        <v>90</v>
      </c>
      <c r="C17" s="101">
        <v>4.9735591408575953E-2</v>
      </c>
      <c r="D17" s="101">
        <v>4.9735591408575953E-2</v>
      </c>
      <c r="E17" s="101">
        <v>4.9735591408575953E-2</v>
      </c>
      <c r="F17" s="101">
        <v>4.9735591408575953E-2</v>
      </c>
    </row>
    <row r="18" spans="1:8" ht="15.75" customHeight="1" x14ac:dyDescent="0.25">
      <c r="B18" s="19" t="s">
        <v>91</v>
      </c>
      <c r="C18" s="101">
        <v>0.1483260063722035</v>
      </c>
      <c r="D18" s="101">
        <v>0.1483260063722035</v>
      </c>
      <c r="E18" s="101">
        <v>0.1483260063722035</v>
      </c>
      <c r="F18" s="101">
        <v>0.1483260063722035</v>
      </c>
    </row>
    <row r="19" spans="1:8" ht="15.75" customHeight="1" x14ac:dyDescent="0.25">
      <c r="B19" s="19" t="s">
        <v>92</v>
      </c>
      <c r="C19" s="101">
        <v>2.6308364059891669E-2</v>
      </c>
      <c r="D19" s="101">
        <v>2.6308364059891669E-2</v>
      </c>
      <c r="E19" s="101">
        <v>2.6308364059891669E-2</v>
      </c>
      <c r="F19" s="101">
        <v>2.6308364059891669E-2</v>
      </c>
    </row>
    <row r="20" spans="1:8" ht="15.75" customHeight="1" x14ac:dyDescent="0.25">
      <c r="B20" s="19" t="s">
        <v>93</v>
      </c>
      <c r="C20" s="101">
        <v>0.1045476359491857</v>
      </c>
      <c r="D20" s="101">
        <v>0.1045476359491857</v>
      </c>
      <c r="E20" s="101">
        <v>0.1045476359491857</v>
      </c>
      <c r="F20" s="101">
        <v>0.1045476359491857</v>
      </c>
    </row>
    <row r="21" spans="1:8" ht="15.75" customHeight="1" x14ac:dyDescent="0.25">
      <c r="B21" s="19" t="s">
        <v>94</v>
      </c>
      <c r="C21" s="101">
        <v>8.989209806027508E-2</v>
      </c>
      <c r="D21" s="101">
        <v>8.989209806027508E-2</v>
      </c>
      <c r="E21" s="101">
        <v>8.989209806027508E-2</v>
      </c>
      <c r="F21" s="101">
        <v>8.989209806027508E-2</v>
      </c>
    </row>
    <row r="22" spans="1:8" ht="15.75" customHeight="1" x14ac:dyDescent="0.25">
      <c r="B22" s="19" t="s">
        <v>95</v>
      </c>
      <c r="C22" s="101">
        <v>0.2111181112872042</v>
      </c>
      <c r="D22" s="101">
        <v>0.2111181112872042</v>
      </c>
      <c r="E22" s="101">
        <v>0.2111181112872042</v>
      </c>
      <c r="F22" s="101">
        <v>0.2111181112872042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8.7170950000000011E-2</v>
      </c>
    </row>
    <row r="27" spans="1:8" ht="15.75" customHeight="1" x14ac:dyDescent="0.25">
      <c r="B27" s="19" t="s">
        <v>102</v>
      </c>
      <c r="C27" s="101">
        <v>8.9932480000000006E-3</v>
      </c>
    </row>
    <row r="28" spans="1:8" ht="15.75" customHeight="1" x14ac:dyDescent="0.25">
      <c r="B28" s="19" t="s">
        <v>103</v>
      </c>
      <c r="C28" s="101">
        <v>0.15608702499999999</v>
      </c>
    </row>
    <row r="29" spans="1:8" ht="15.75" customHeight="1" x14ac:dyDescent="0.25">
      <c r="B29" s="19" t="s">
        <v>104</v>
      </c>
      <c r="C29" s="101">
        <v>0.16826559799999999</v>
      </c>
    </row>
    <row r="30" spans="1:8" ht="15.75" customHeight="1" x14ac:dyDescent="0.25">
      <c r="B30" s="19" t="s">
        <v>2</v>
      </c>
      <c r="C30" s="101">
        <v>0.106258319</v>
      </c>
    </row>
    <row r="31" spans="1:8" ht="15.75" customHeight="1" x14ac:dyDescent="0.25">
      <c r="B31" s="19" t="s">
        <v>105</v>
      </c>
      <c r="C31" s="101">
        <v>0.11025383499999999</v>
      </c>
    </row>
    <row r="32" spans="1:8" ht="15.75" customHeight="1" x14ac:dyDescent="0.25">
      <c r="B32" s="19" t="s">
        <v>106</v>
      </c>
      <c r="C32" s="101">
        <v>1.8920856E-2</v>
      </c>
    </row>
    <row r="33" spans="2:3" ht="15.75" customHeight="1" x14ac:dyDescent="0.25">
      <c r="B33" s="19" t="s">
        <v>107</v>
      </c>
      <c r="C33" s="101">
        <v>8.4360093999999997E-2</v>
      </c>
    </row>
    <row r="34" spans="2:3" ht="15.75" customHeight="1" x14ac:dyDescent="0.25">
      <c r="B34" s="19" t="s">
        <v>108</v>
      </c>
      <c r="C34" s="101">
        <v>0.25969007599999999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sTjqsMCyDB0eZs2RE3vPB7ChVLA1FlUJYkzlm+e3R6jaOiAZ92RJwPeyxLVuSXn9z4nmQHDmeLC68drJsPJtMw==" saltValue="0tmsMb9xm+mcW2koUXzP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0.41806741415087145</v>
      </c>
      <c r="D2" s="52">
        <f>IFERROR(1-_xlfn.NORM.DIST(_xlfn.NORM.INV(SUM(D4:D5), 0, 1) + 1, 0, 1, TRUE), "")</f>
        <v>0.41806741415087145</v>
      </c>
      <c r="E2" s="52">
        <f>IFERROR(1-_xlfn.NORM.DIST(_xlfn.NORM.INV(SUM(E4:E5), 0, 1) + 1, 0, 1, TRUE), "")</f>
        <v>0.42211361339396858</v>
      </c>
      <c r="F2" s="52">
        <f>IFERROR(1-_xlfn.NORM.DIST(_xlfn.NORM.INV(SUM(F4:F5), 0, 1) + 1, 0, 1, TRUE), "")</f>
        <v>0.32241815125424611</v>
      </c>
      <c r="G2" s="52">
        <f>IFERROR(1-_xlfn.NORM.DIST(_xlfn.NORM.INV(SUM(G4:G5), 0, 1) + 1, 0, 1, TRUE), "")</f>
        <v>0.32599805635413626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0.36809028584912856</v>
      </c>
      <c r="D3" s="52">
        <f>IFERROR(_xlfn.NORM.DIST(_xlfn.NORM.INV(SUM(D4:D5), 0, 1) + 1, 0, 1, TRUE) - SUM(D4:D5), "")</f>
        <v>0.36809028584912856</v>
      </c>
      <c r="E3" s="52">
        <f>IFERROR(_xlfn.NORM.DIST(_xlfn.NORM.INV(SUM(E4:E5), 0, 1) + 1, 0, 1, TRUE) - SUM(E4:E5), "")</f>
        <v>0.3670465866060314</v>
      </c>
      <c r="F3" s="52">
        <f>IFERROR(_xlfn.NORM.DIST(_xlfn.NORM.INV(SUM(F4:F5), 0, 1) + 1, 0, 1, TRUE) - SUM(F4:F5), "")</f>
        <v>0.38265654874575389</v>
      </c>
      <c r="G3" s="52">
        <f>IFERROR(_xlfn.NORM.DIST(_xlfn.NORM.INV(SUM(G4:G5), 0, 1) + 1, 0, 1, TRUE) - SUM(G4:G5), "")</f>
        <v>0.38250234364586372</v>
      </c>
    </row>
    <row r="4" spans="1:15" ht="15.75" customHeight="1" x14ac:dyDescent="0.25">
      <c r="B4" s="5" t="s">
        <v>114</v>
      </c>
      <c r="C4" s="45">
        <v>0.12901570000000001</v>
      </c>
      <c r="D4" s="53">
        <v>0.12901570000000001</v>
      </c>
      <c r="E4" s="53">
        <v>0.14196690000000001</v>
      </c>
      <c r="F4" s="53">
        <v>0.21009059999999999</v>
      </c>
      <c r="G4" s="53">
        <v>0.19938420000000001</v>
      </c>
    </row>
    <row r="5" spans="1:15" ht="15.75" customHeight="1" x14ac:dyDescent="0.25">
      <c r="B5" s="5" t="s">
        <v>115</v>
      </c>
      <c r="C5" s="45">
        <v>8.4826599999999988E-2</v>
      </c>
      <c r="D5" s="53">
        <v>8.4826599999999988E-2</v>
      </c>
      <c r="E5" s="53">
        <v>6.8872900000000001E-2</v>
      </c>
      <c r="F5" s="53">
        <v>8.4834699999999999E-2</v>
      </c>
      <c r="G5" s="53">
        <v>9.21154E-2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0.75113087877308815</v>
      </c>
      <c r="D8" s="52">
        <f>IFERROR(1-_xlfn.NORM.DIST(_xlfn.NORM.INV(SUM(D10:D11), 0, 1) + 1, 0, 1, TRUE), "")</f>
        <v>0.75113087877308815</v>
      </c>
      <c r="E8" s="52">
        <f>IFERROR(1-_xlfn.NORM.DIST(_xlfn.NORM.INV(SUM(E10:E11), 0, 1) + 1, 0, 1, TRUE), "")</f>
        <v>0.6970525667403431</v>
      </c>
      <c r="F8" s="52">
        <f>IFERROR(1-_xlfn.NORM.DIST(_xlfn.NORM.INV(SUM(F10:F11), 0, 1) + 1, 0, 1, TRUE), "")</f>
        <v>0.69660320813808829</v>
      </c>
      <c r="G8" s="52">
        <f>IFERROR(1-_xlfn.NORM.DIST(_xlfn.NORM.INV(SUM(G10:G11), 0, 1) + 1, 0, 1, TRUE), "")</f>
        <v>0.7556680087837766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0.20220072122691185</v>
      </c>
      <c r="D9" s="52">
        <f>IFERROR(_xlfn.NORM.DIST(_xlfn.NORM.INV(SUM(D10:D11), 0, 1) + 1, 0, 1, TRUE) - SUM(D10:D11), "")</f>
        <v>0.20220072122691185</v>
      </c>
      <c r="E9" s="52">
        <f>IFERROR(_xlfn.NORM.DIST(_xlfn.NORM.INV(SUM(E10:E11), 0, 1) + 1, 0, 1, TRUE) - SUM(E10:E11), "")</f>
        <v>0.2381804332596569</v>
      </c>
      <c r="F9" s="52">
        <f>IFERROR(_xlfn.NORM.DIST(_xlfn.NORM.INV(SUM(F10:F11), 0, 1) + 1, 0, 1, TRUE) - SUM(F10:F11), "")</f>
        <v>0.23846699186191173</v>
      </c>
      <c r="G9" s="52">
        <f>IFERROR(_xlfn.NORM.DIST(_xlfn.NORM.INV(SUM(G10:G11), 0, 1) + 1, 0, 1, TRUE) - SUM(G10:G11), "")</f>
        <v>0.19905049121622345</v>
      </c>
    </row>
    <row r="10" spans="1:15" ht="15.75" customHeight="1" x14ac:dyDescent="0.25">
      <c r="B10" s="5" t="s">
        <v>119</v>
      </c>
      <c r="C10" s="45">
        <v>3.0892099999999999E-2</v>
      </c>
      <c r="D10" s="53">
        <v>3.0892099999999999E-2</v>
      </c>
      <c r="E10" s="53">
        <v>5.1153299999999999E-2</v>
      </c>
      <c r="F10" s="53">
        <v>4.85412E-2</v>
      </c>
      <c r="G10" s="53">
        <v>3.8479699999999999E-2</v>
      </c>
    </row>
    <row r="11" spans="1:15" ht="15.75" customHeight="1" x14ac:dyDescent="0.25">
      <c r="B11" s="5" t="s">
        <v>120</v>
      </c>
      <c r="C11" s="45">
        <v>1.57763E-2</v>
      </c>
      <c r="D11" s="53">
        <v>1.57763E-2</v>
      </c>
      <c r="E11" s="53">
        <v>1.3613699999999999E-2</v>
      </c>
      <c r="F11" s="53">
        <v>1.63886E-2</v>
      </c>
      <c r="G11" s="53">
        <v>6.8018000000000002E-3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0.7510305827499999</v>
      </c>
      <c r="D14" s="54">
        <v>0.74746872583599999</v>
      </c>
      <c r="E14" s="54">
        <v>0.74746872583599999</v>
      </c>
      <c r="F14" s="54">
        <v>0.77730240855800004</v>
      </c>
      <c r="G14" s="54">
        <v>0.77730240855800004</v>
      </c>
      <c r="H14" s="45">
        <v>0.505</v>
      </c>
      <c r="I14" s="55">
        <v>0.505</v>
      </c>
      <c r="J14" s="55">
        <v>0.505</v>
      </c>
      <c r="K14" s="55">
        <v>0.505</v>
      </c>
      <c r="L14" s="45">
        <v>0.43099999999999999</v>
      </c>
      <c r="M14" s="55">
        <v>0.43099999999999999</v>
      </c>
      <c r="N14" s="55">
        <v>0.43099999999999999</v>
      </c>
      <c r="O14" s="55">
        <v>0.43099999999999999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0.33192097016869349</v>
      </c>
      <c r="D15" s="52">
        <f t="shared" si="0"/>
        <v>0.33034679325812355</v>
      </c>
      <c r="E15" s="52">
        <f t="shared" si="0"/>
        <v>0.33034679325812355</v>
      </c>
      <c r="F15" s="52">
        <f t="shared" si="0"/>
        <v>0.34353190867184236</v>
      </c>
      <c r="G15" s="52">
        <f t="shared" si="0"/>
        <v>0.34353190867184236</v>
      </c>
      <c r="H15" s="52">
        <f t="shared" si="0"/>
        <v>0.22318677000000001</v>
      </c>
      <c r="I15" s="52">
        <f t="shared" si="0"/>
        <v>0.22318677000000001</v>
      </c>
      <c r="J15" s="52">
        <f t="shared" si="0"/>
        <v>0.22318677000000001</v>
      </c>
      <c r="K15" s="52">
        <f t="shared" si="0"/>
        <v>0.22318677000000001</v>
      </c>
      <c r="L15" s="52">
        <f t="shared" si="0"/>
        <v>0.190482174</v>
      </c>
      <c r="M15" s="52">
        <f t="shared" si="0"/>
        <v>0.190482174</v>
      </c>
      <c r="N15" s="52">
        <f t="shared" si="0"/>
        <v>0.190482174</v>
      </c>
      <c r="O15" s="52">
        <f t="shared" si="0"/>
        <v>0.190482174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RkqvmtJQI9pyEwm+4+KuBlQBM2K4+2oKSxTuocZo8mrL0tkX/v0FiohydEoOz5XYI0PSr0sgXYGQWrs70KVuA==" saltValue="T6Ezaz8MGhpte4gUtPtN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0.79560320000000007</v>
      </c>
      <c r="D2" s="53">
        <v>0.57174320000000001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0.1297005</v>
      </c>
      <c r="D3" s="53">
        <v>0.22481670000000001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2.5244800000000001E-2</v>
      </c>
      <c r="D4" s="53">
        <v>0.15797639999999999</v>
      </c>
      <c r="E4" s="53">
        <v>0.95396140000000007</v>
      </c>
      <c r="F4" s="53">
        <v>0.74900520000000004</v>
      </c>
      <c r="G4" s="53">
        <v>0</v>
      </c>
    </row>
    <row r="5" spans="1:7" x14ac:dyDescent="0.25">
      <c r="B5" s="3" t="s">
        <v>132</v>
      </c>
      <c r="C5" s="52">
        <v>4.9451500000000002E-2</v>
      </c>
      <c r="D5" s="52">
        <v>4.5463700000000003E-2</v>
      </c>
      <c r="E5" s="52">
        <f>1-SUM(E2:E4)</f>
        <v>4.603859999999993E-2</v>
      </c>
      <c r="F5" s="52">
        <f>1-SUM(F2:F4)</f>
        <v>0.25099479999999996</v>
      </c>
      <c r="G5" s="52">
        <f>1-SUM(G2:G4)</f>
        <v>1</v>
      </c>
    </row>
  </sheetData>
  <sheetProtection algorithmName="SHA-512" hashValue="l1yqVbdbdcJheddamfptJevHJiXzlbhbUcvNnZXuLdClyJ01ezcGHR3rKFS9GBHRTBCijF/Ek77y5k3F5vQp/g==" saltValue="iDSJJLlRwGMzwK9v5yg2s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ljP2PKpPu7RG4PuUjlAorDyKoYm+LBZSkEmlwj9CAgFV7ulqdaUahHHdOuVpypYuuZxcX0Of3t9VYICNRv9bQ==" saltValue="ZdAm6MKmyAFfH9YMS5mmy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cfZpgr3xIgcS7Vse6dYeU1Np8ef/PzFguFVMqLBHOAS+CXPphF07EIC0Kl41PC+oFigDGNNdSwl3u8erhFqsjw==" saltValue="pEPgqwdX1TTP1d2ge4vej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rs4r+qDSpXKN7tySo1L2flU5m3ado+d4AQp7IyA4ORZe4xFkjCyL87R74VwfjXQK/bpnFh1eclGDqAtZLtY5AA==" saltValue="RIR8K1QJb4k7enB+3PKB8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8sAxAVV5x1werX/qg1f/ujy+OkPPE84B3cCTxUMzTgMc/k2zeq3CKzAKNWzs41vJYdCdhS4CIs+qRd7J/1BW4A==" saltValue="5kPyGkS3TC/jlQ9NfrDT+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40.132891251391328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0.24803417483777829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1.812651550310735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0.73277403097668004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15.04169622018882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15.04169622018882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15.04169622018882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15.04169622018882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15.04169622018882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15.04169622018882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0.94460179999999994</v>
      </c>
      <c r="C16" s="98">
        <v>0.95</v>
      </c>
      <c r="D16" s="56">
        <v>0.26987654526012661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0.57174320000000001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0.57174320000000001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25.63150323579427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0.96602919999999992</v>
      </c>
      <c r="C23" s="98">
        <v>0.95</v>
      </c>
      <c r="D23" s="56">
        <v>4.9266956385450174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0.27148055616163802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24.45756191419898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0.2996625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8.0891400000000002E-2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2.7E-2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0.19689090000000001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0.77036389999999999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4.0261999999999997E-3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0.47813240000000001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0.34075339999999998</v>
      </c>
      <c r="C38" s="98">
        <v>0.95</v>
      </c>
      <c r="D38" s="56">
        <v>4.5766564133696477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oaL7PxZI7abR36tjQ93euVyDonkceKytXHmlsBtJbKgtEni9CbWas6/q0XoJDK7IWWXsKW+UD45wt/18FRlzgw==" saltValue="5fPcLNW3GzZXtb5fHVr9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LY6ySCIS0r0ps+lRqMzsOjresQAwblm22VUUl9+eSh7c0cb1Ml615Pjqq11dA3wdbCQt6dFP8Gk3qMn9gKxHhQ==" saltValue="C+yY8SBK8fBKLV8LOibz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ElAj1BTweTsg8lFOI/18rvEr7kOBGKjDGXt/fglyTlkIS41gWqjOyebaM49Xh+5SEvlM6cztrA5tjnzNGlbcA==" saltValue="tLzQTU8Hp28Oh5YboQYYq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8.0319459999999995E-2</v>
      </c>
      <c r="C3" s="21">
        <f>frac_mam_1_5months * 2.6</f>
        <v>8.0319459999999995E-2</v>
      </c>
      <c r="D3" s="21">
        <f>frac_mam_6_11months * 2.6</f>
        <v>0.13299858000000001</v>
      </c>
      <c r="E3" s="21">
        <f>frac_mam_12_23months * 2.6</f>
        <v>0.12620712000000001</v>
      </c>
      <c r="F3" s="21">
        <f>frac_mam_24_59months * 2.6</f>
        <v>0.10004722000000001</v>
      </c>
    </row>
    <row r="4" spans="1:6" ht="15.75" customHeight="1" x14ac:dyDescent="0.25">
      <c r="A4" s="3" t="s">
        <v>208</v>
      </c>
      <c r="B4" s="21">
        <f>frac_sam_1month * 2.6</f>
        <v>4.101838E-2</v>
      </c>
      <c r="C4" s="21">
        <f>frac_sam_1_5months * 2.6</f>
        <v>4.101838E-2</v>
      </c>
      <c r="D4" s="21">
        <f>frac_sam_6_11months * 2.6</f>
        <v>3.5395620000000003E-2</v>
      </c>
      <c r="E4" s="21">
        <f>frac_sam_12_23months * 2.6</f>
        <v>4.261036E-2</v>
      </c>
      <c r="F4" s="21">
        <f>frac_sam_24_59months * 2.6</f>
        <v>1.7684680000000001E-2</v>
      </c>
    </row>
  </sheetData>
  <sheetProtection algorithmName="SHA-512" hashValue="9aSlMFFtVJ9J/uvKIsmhDVS/xhjpqR3/7SkL9Ixtl6jocht5yMAk/GgY2N9B/fnAZuRnILT0WAW0+TZ88LJhTA==" saltValue="8QY5F1zTty4+fqCORo8dF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0.67099999999999993</v>
      </c>
      <c r="E2" s="60">
        <f>food_insecure</f>
        <v>0.67099999999999993</v>
      </c>
      <c r="F2" s="60">
        <f>food_insecure</f>
        <v>0.67099999999999993</v>
      </c>
      <c r="G2" s="60">
        <f>food_insecure</f>
        <v>0.67099999999999993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0.67099999999999993</v>
      </c>
      <c r="F5" s="60">
        <f>food_insecure</f>
        <v>0.67099999999999993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0.67099999999999993</v>
      </c>
      <c r="F8" s="60">
        <f>food_insecure</f>
        <v>0.67099999999999993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0.67099999999999993</v>
      </c>
      <c r="F9" s="60">
        <f>food_insecure</f>
        <v>0.67099999999999993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0.67099999999999993</v>
      </c>
      <c r="I15" s="60">
        <f>food_insecure</f>
        <v>0.67099999999999993</v>
      </c>
      <c r="J15" s="60">
        <f>food_insecure</f>
        <v>0.67099999999999993</v>
      </c>
      <c r="K15" s="60">
        <f>food_insecure</f>
        <v>0.67099999999999993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0.624</v>
      </c>
      <c r="M24" s="60">
        <f>famplan_unmet_need</f>
        <v>0.624</v>
      </c>
      <c r="N24" s="60">
        <f>famplan_unmet_need</f>
        <v>0.624</v>
      </c>
      <c r="O24" s="60">
        <f>famplan_unmet_need</f>
        <v>0.624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0.42521238697417196</v>
      </c>
      <c r="M25" s="60">
        <f>(1-food_insecure)*(0.49)+food_insecure*(0.7)</f>
        <v>0.63090999999999986</v>
      </c>
      <c r="N25" s="60">
        <f>(1-food_insecure)*(0.49)+food_insecure*(0.7)</f>
        <v>0.63090999999999986</v>
      </c>
      <c r="O25" s="60">
        <f>(1-food_insecure)*(0.49)+food_insecure*(0.7)</f>
        <v>0.63090999999999986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0.18223388013178801</v>
      </c>
      <c r="M26" s="60">
        <f>(1-food_insecure)*(0.21)+food_insecure*(0.3)</f>
        <v>0.27039000000000002</v>
      </c>
      <c r="N26" s="60">
        <f>(1-food_insecure)*(0.21)+food_insecure*(0.3)</f>
        <v>0.27039000000000002</v>
      </c>
      <c r="O26" s="60">
        <f>(1-food_insecure)*(0.21)+food_insecure*(0.3)</f>
        <v>0.27039000000000002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6.6520522094040024E-2</v>
      </c>
      <c r="M27" s="60">
        <f>(1-food_insecure)*(0.3)</f>
        <v>9.8700000000000024E-2</v>
      </c>
      <c r="N27" s="60">
        <f>(1-food_insecure)*(0.3)</f>
        <v>9.8700000000000024E-2</v>
      </c>
      <c r="O27" s="60">
        <f>(1-food_insecure)*(0.3)</f>
        <v>9.8700000000000024E-2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60/mkXNqLfyE3wc/zDphRgYbzXzIiNPjksypIQE4NIXmzAqXYPTZngXlPrYfNmDeyZkr+R6QtFDYnhj3nspwg==" saltValue="8YgHxUiUqswhgAms3j7QE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vxZP25NUOUVE/V8VglXS8pJwpjWN1CEtdluOjPFGQeM5/f17CzveZ87yF+px6qxduTecq7y8OgtufHS9WfiQOw==" saltValue="kXs43lyf7dYbIOhp44fMx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661YIA/wys00R2GbVR9PuP+Z+/bYxmjpCgTh5YRb7hrU3hTLMKCEj92LB1jbMhw5GiHSIokO7XeAR023Ljldg==" saltValue="y3Sl8M/8IqRaxqFHHK3M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YrMmToMBDEqxSbzU3IkTCLn9T8FXhm3wbmACuH5B82pQth7X5OLeeaiffnu9vYqlBUKhdFAkFpXLbRy8bBAOA==" saltValue="QB+LtTuk47HBcBwZ/MgyD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HDyAEqDIFdmJfLMS9w4uYyt0RiYAIsVT/QBZNPjHB3B9NEjTlBRdHSZHMLnHyFUZ7oc2FBO1SxsOQrQngvTSg==" saltValue="OWbUfitKbcBunqTTv1kff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IQFd8FL+XV9dd/UiUbi50+t/BgGN5qCzcD53Ce5rbmWxmuQ/Ox1jes4gYAMkWlOq/6eRnEb0wyaVZgB08UV+w==" saltValue="Q3S/nbdh/feh1Cd2lQDo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dAHHP6ZgAa2rJTHJLIS8Km/A2+r21Nh2NZZJ9yOV38Y9jgetMkgriqhI7UA8+QxedWi4rG4ZFNe7wujmxxU5w==" saltValue="jJU3rhRTxack/kPHF+gc3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5gZdwby/uwvZhqgxF3QHEvLFfDdxl32W0x8dNwwrYOjxAJt3bET2I8aKThPTCUkcZhajQ4DxVBGvY7QF2KsUuA==" saltValue="tqg6jMWadxS6IYuldV+x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4CWtfWk0Yopc40qCrD9GxAdLwxvW1rPiPdx5yah6VNKbztG0Y/yv3Hk0/ntB+g8m2TSNMq4DBcsv70pTNtSdg==" saltValue="+/KEly1K4ZqQMprURnSu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0N5q8bKwf9ysUB/uEqSRkfsXEn6EupHj+zM5Sr9npCTrP1TKyo+JVP9zc1HSLkk1Ow6IQVowwMJuCFgEyAGZUA==" saltValue="JrXuDmfr6c5vUQtVaEs4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1/GMB8p0A/t08+LqBNh3kAN9pT3ynafuRgpgIC/8ihd1DMvCCJAjqLACJUSFKfZW7PV4Qv9C9NUyJ5YDvQRTw==" saltValue="icrUQq4Ehto40wzNwkiO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LV4SO3mbwB330kDHl7WQa5z3iuMzgzM04tRNMlXvf7FvHjr8TGkyQGen5tKjcHeFe+qmr3LRl8KgPY+/JPMlg==" saltValue="34pwwKHG1hqc0La7Z5vC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tcg4bel6nHwS4Fu6RiSwusQ/nXMiTx1w00JiGOep7QK6k+c89jeahE7dkKHMtAH9CkSQ1tkXgiI5QpnbcVfDQ==" saltValue="Emj7dDmQl3UEQGyKfYpE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0.108665219927498</v>
      </c>
      <c r="G18" s="90">
        <f>MIN(MAX(1-0.89/(1-frac_sam_12_23months+(frac_sam_12_23months*0.89)),0),1)</f>
        <v>0.10839265843141666</v>
      </c>
      <c r="H18" s="90">
        <f>MIN(MAX(1-0.89/(1-frac_sam_24_59months+(frac_sam_24_59months*0.89)),0),1)</f>
        <v>0.10933360518473201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0.10496375366182087</v>
      </c>
      <c r="G20" s="90">
        <f>MIN(MAX(1-0.89/(1-frac_mam_12_23months+(frac_mam_12_23months*0.89)),0),1)</f>
        <v>0.10522230586930303</v>
      </c>
      <c r="H20" s="90">
        <f>MIN(MAX(1-0.89/(1-frac_mam_24_59months+(frac_mam_24_59months*0.89)),0),1)</f>
        <v>0.10621682406775879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9.8652060195519864E-3</v>
      </c>
      <c r="G73" s="90">
        <f>MIN(MAX(1-0.99/(1-frac_sam_12_23months+(frac_sam_12_23months*0.99)),0),1)</f>
        <v>9.8377262656068609E-3</v>
      </c>
      <c r="H73" s="90">
        <f>MIN(MAX(1-0.99/(1-frac_sam_24_59months+(frac_sam_24_59months*0.99)),0),1)</f>
        <v>9.9326575995045685E-3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9.4933231480699432E-3</v>
      </c>
      <c r="G75" s="90">
        <f>MIN(MAX(1-0.99/(1-frac_mam_12_23months+(frac_mam_12_23months*0.99)),0),1)</f>
        <v>9.5192087381520407E-3</v>
      </c>
      <c r="H75" s="90">
        <f>MIN(MAX(1-0.99/(1-frac_mam_24_59months+(frac_mam_24_59months*0.99)),0),1)</f>
        <v>9.6189043255276996E-3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0.1978158611578088</v>
      </c>
      <c r="G128" s="90">
        <f>MIN(MAX(1-0.8/(1-frac_sam_12_23months+(frac_sam_12_23months*0.8)),0),1)</f>
        <v>0.19736920097742772</v>
      </c>
      <c r="H128" s="90">
        <f>MIN(MAX(1-0.8/(1-frac_sam_24_59months+(frac_sam_24_59months*0.8)),0),1)</f>
        <v>0.19891022951982962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0.19173087337702333</v>
      </c>
      <c r="G130" s="90">
        <f>MIN(MAX(1-0.8/(1-frac_mam_12_23months+(frac_mam_12_23months*0.8)),0),1)</f>
        <v>0.19215726888407114</v>
      </c>
      <c r="H130" s="90">
        <f>MIN(MAX(1-0.8/(1-frac_mam_24_59months+(frac_mam_24_59months*0.8)),0),1)</f>
        <v>0.19379549852894884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S5e1VBh4hdsO9za8+PeSbdrqUkblKIy8bu0RCLLXFLbkoaoD4OnEPG3ra7VSPc4hYtsafIKcL6FevV5pa/zYiA==" saltValue="l+EINsZaTSkabSCK2K9L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fxg8OLE9BsVk639lDJVE0haZfta+MsjrpFnGDlNPV/A1LfwDJAlDOl7MtOr/TSQ4FyVyEDWUj3F5+g6r7qPZw==" saltValue="A0sOPU/HmeY2XdAUXorVq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2024-08-06T09:05:50Z</dcterms:modified>
</cp:coreProperties>
</file>