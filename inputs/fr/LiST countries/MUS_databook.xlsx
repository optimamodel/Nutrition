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CAB431B2-1BCF-4EE7-9498-A7318C5E821D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<sst xmlns="http://schemas.openxmlformats.org/spreadsheetml/2006/main" count="2102" uniqueCount="337">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</sst>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64997.23291015625</v>
      </c>
    </row>
    <row r="8" spans="1:3" ht="15" customHeight="1" x14ac:dyDescent="0.25">
      <c r="B8" s="5" t="s">
        <v>19</v>
      </c>
      <c r="C8" s="44">
        <v>2E-3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0.87688980102539105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0.58099999999999996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9.3299999999999994E-2</v>
      </c>
    </row>
    <row r="24" spans="1:3" ht="15" customHeight="1" x14ac:dyDescent="0.25">
      <c r="B24" s="15" t="s">
        <v>33</v>
      </c>
      <c r="C24" s="45">
        <v>0.53799999999999992</v>
      </c>
    </row>
    <row r="25" spans="1:3" ht="15" customHeight="1" x14ac:dyDescent="0.25">
      <c r="B25" s="15" t="s">
        <v>34</v>
      </c>
      <c r="C25" s="45">
        <v>0.34460000000000002</v>
      </c>
    </row>
    <row r="26" spans="1:3" ht="15" customHeight="1" x14ac:dyDescent="0.25">
      <c r="B26" s="15" t="s">
        <v>35</v>
      </c>
      <c r="C26" s="45">
        <v>2.41E-2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0.28578644131437603</v>
      </c>
    </row>
    <row r="30" spans="1:3" ht="14.25" customHeight="1" x14ac:dyDescent="0.25">
      <c r="B30" s="25" t="s">
        <v>38</v>
      </c>
      <c r="C30" s="99">
        <v>6.9844134891047002E-2</v>
      </c>
    </row>
    <row r="31" spans="1:3" ht="14.25" customHeight="1" x14ac:dyDescent="0.25">
      <c r="B31" s="25" t="s">
        <v>39</v>
      </c>
      <c r="C31" s="99">
        <v>8.7209546463448695E-2</v>
      </c>
    </row>
    <row r="32" spans="1:3" ht="14.25" customHeight="1" x14ac:dyDescent="0.25">
      <c r="B32" s="25" t="s">
        <v>40</v>
      </c>
      <c r="C32" s="99">
        <v>0.55715987733112793</v>
      </c>
    </row>
    <row r="33" spans="1:5" ht="13" customHeight="1" x14ac:dyDescent="0.25">
      <c r="B33" s="27" t="s">
        <v>41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10.557169999999999</v>
      </c>
    </row>
    <row r="38" spans="1:5" ht="15" customHeight="1" x14ac:dyDescent="0.25">
      <c r="B38" s="11" t="s">
        <v>45</v>
      </c>
      <c r="C38" s="43">
        <v>15.31372</v>
      </c>
      <c r="D38" s="12"/>
      <c r="E38" s="13"/>
    </row>
    <row r="39" spans="1:5" ht="15" customHeight="1" x14ac:dyDescent="0.25">
      <c r="B39" s="11" t="s">
        <v>46</v>
      </c>
      <c r="C39" s="43">
        <v>16.61721</v>
      </c>
      <c r="D39" s="12"/>
      <c r="E39" s="12"/>
    </row>
    <row r="40" spans="1:5" ht="15" customHeight="1" x14ac:dyDescent="0.25">
      <c r="B40" s="11" t="s">
        <v>47</v>
      </c>
      <c r="C40" s="100">
        <v>0.84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10.338380000000001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7.9162E-3</v>
      </c>
      <c r="D45" s="12"/>
    </row>
    <row r="46" spans="1:5" ht="15.75" customHeight="1" x14ac:dyDescent="0.25">
      <c r="B46" s="11" t="s">
        <v>52</v>
      </c>
      <c r="C46" s="45">
        <v>8.5058299999999989E-2</v>
      </c>
      <c r="D46" s="12"/>
    </row>
    <row r="47" spans="1:5" ht="15.75" customHeight="1" x14ac:dyDescent="0.25">
      <c r="B47" s="11" t="s">
        <v>53</v>
      </c>
      <c r="C47" s="45">
        <v>7.3472499999999996E-2</v>
      </c>
      <c r="D47" s="12"/>
      <c r="E47" s="13"/>
    </row>
    <row r="48" spans="1:5" ht="15" customHeight="1" x14ac:dyDescent="0.25">
      <c r="B48" s="11" t="s">
        <v>54</v>
      </c>
      <c r="C48" s="46">
        <v>0.83355299999999999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0.55043399999999998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0.17056761000000001</v>
      </c>
    </row>
    <row r="63" spans="1:4" ht="15.75" customHeight="1" x14ac:dyDescent="0.3">
      <c r="A63" s="4"/>
    </row>
  </sheetData>
  <sheetProtection algorithmName="SHA-512" hashValue="ecmo/Me4pDjWrMXOY8Eww2Lqu7x2fPHUpFoR9Pqg7gPbSNpMFCf3qrjOnhN2iCWq47n6q/F6cjyR8cZGsafXLw==" saltValue="NinqHqJ20Vwy/3vlsPlN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13214</v>
      </c>
      <c r="C2" s="49">
        <v>50718.500000000007</v>
      </c>
      <c r="D2" s="49">
        <v>95515.5</v>
      </c>
      <c r="E2" s="49">
        <v>93560.5</v>
      </c>
      <c r="F2" s="49">
        <v>86880</v>
      </c>
      <c r="G2" s="17">
        <f t="shared" ref="G2:G13" si="0">C2+D2+E2+F2</f>
        <v>326674.5</v>
      </c>
      <c r="H2" s="17">
        <f t="shared" ref="H2:H13" si="1">(B2 + stillbirth*B2/(1000-stillbirth))/(1-abortion)</f>
        <v>15172.770962775227</v>
      </c>
      <c r="I2" s="17">
        <f t="shared" ref="I2:I13" si="2">G2-H2</f>
        <v>311501.72903722478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13251</v>
      </c>
      <c r="C3" s="50">
        <v>48814.499999999993</v>
      </c>
      <c r="D3" s="50">
        <v>94986.5</v>
      </c>
      <c r="E3" s="50">
        <v>94753.000000000015</v>
      </c>
      <c r="F3" s="50">
        <v>86635</v>
      </c>
      <c r="G3" s="17">
        <f t="shared" si="0"/>
        <v>325189</v>
      </c>
      <c r="H3" s="17">
        <f t="shared" si="1"/>
        <v>15215.255640058615</v>
      </c>
      <c r="I3" s="17">
        <f t="shared" si="2"/>
        <v>309973.7443599414</v>
      </c>
    </row>
    <row r="4" spans="1:9" ht="15.75" customHeight="1" x14ac:dyDescent="0.25">
      <c r="A4" s="5">
        <f t="shared" si="3"/>
        <v>2026</v>
      </c>
      <c r="B4" s="49">
        <v>13192</v>
      </c>
      <c r="C4" s="50">
        <v>47225</v>
      </c>
      <c r="D4" s="50">
        <v>94241</v>
      </c>
      <c r="E4" s="50">
        <v>95859</v>
      </c>
      <c r="F4" s="50">
        <v>85822.5</v>
      </c>
      <c r="G4" s="17">
        <f t="shared" si="0"/>
        <v>323147.5</v>
      </c>
      <c r="H4" s="17">
        <f t="shared" si="1"/>
        <v>15147.509803309429</v>
      </c>
      <c r="I4" s="17">
        <f t="shared" si="2"/>
        <v>307999.99019669055</v>
      </c>
    </row>
    <row r="5" spans="1:9" ht="15.75" customHeight="1" x14ac:dyDescent="0.25">
      <c r="A5" s="5">
        <f t="shared" si="3"/>
        <v>2027</v>
      </c>
      <c r="B5" s="49">
        <v>13149</v>
      </c>
      <c r="C5" s="50">
        <v>45690.5</v>
      </c>
      <c r="D5" s="50">
        <v>93242</v>
      </c>
      <c r="E5" s="50">
        <v>96800.5</v>
      </c>
      <c r="F5" s="50">
        <v>84569</v>
      </c>
      <c r="G5" s="17">
        <f t="shared" si="0"/>
        <v>320302</v>
      </c>
      <c r="H5" s="17">
        <f t="shared" si="1"/>
        <v>15098.135718899006</v>
      </c>
      <c r="I5" s="17">
        <f t="shared" si="2"/>
        <v>305203.86428110098</v>
      </c>
    </row>
    <row r="6" spans="1:9" ht="15.75" customHeight="1" x14ac:dyDescent="0.25">
      <c r="A6" s="5">
        <f t="shared" si="3"/>
        <v>2028</v>
      </c>
      <c r="B6" s="49">
        <v>13186</v>
      </c>
      <c r="C6" s="50">
        <v>44139.5</v>
      </c>
      <c r="D6" s="50">
        <v>92319.5</v>
      </c>
      <c r="E6" s="50">
        <v>97185</v>
      </c>
      <c r="F6" s="50">
        <v>83061.5</v>
      </c>
      <c r="G6" s="17">
        <f t="shared" si="0"/>
        <v>316705.5</v>
      </c>
      <c r="H6" s="17">
        <f t="shared" si="1"/>
        <v>15140.620396182394</v>
      </c>
      <c r="I6" s="17">
        <f t="shared" si="2"/>
        <v>301564.87960381759</v>
      </c>
    </row>
    <row r="7" spans="1:9" ht="15.75" customHeight="1" x14ac:dyDescent="0.25">
      <c r="A7" s="5">
        <f t="shared" si="3"/>
        <v>2029</v>
      </c>
      <c r="B7" s="49">
        <v>13078</v>
      </c>
      <c r="C7" s="50">
        <v>42804</v>
      </c>
      <c r="D7" s="50">
        <v>90856</v>
      </c>
      <c r="E7" s="50">
        <v>97402</v>
      </c>
      <c r="F7" s="50">
        <v>81577</v>
      </c>
      <c r="G7" s="17">
        <f t="shared" si="0"/>
        <v>312639</v>
      </c>
      <c r="H7" s="17">
        <f t="shared" si="1"/>
        <v>15016.611067895748</v>
      </c>
      <c r="I7" s="17">
        <f t="shared" si="2"/>
        <v>297622.38893210422</v>
      </c>
    </row>
    <row r="8" spans="1:9" ht="15.75" customHeight="1" x14ac:dyDescent="0.25">
      <c r="A8" s="5">
        <f t="shared" si="3"/>
        <v>2030</v>
      </c>
      <c r="B8" s="49">
        <v>12978</v>
      </c>
      <c r="C8" s="50">
        <v>41665.499999999993</v>
      </c>
      <c r="D8" s="50">
        <v>88760.5</v>
      </c>
      <c r="E8" s="50">
        <v>97477.499999999985</v>
      </c>
      <c r="F8" s="50">
        <v>80427</v>
      </c>
      <c r="G8" s="17">
        <f t="shared" si="0"/>
        <v>308330.5</v>
      </c>
      <c r="H8" s="17">
        <f t="shared" si="1"/>
        <v>14901.787615778485</v>
      </c>
      <c r="I8" s="17">
        <f t="shared" si="2"/>
        <v>293428.71238422149</v>
      </c>
    </row>
    <row r="9" spans="1:9" ht="15.75" customHeight="1" x14ac:dyDescent="0.25">
      <c r="A9" s="5">
        <f t="shared" si="3"/>
        <v>2031</v>
      </c>
      <c r="B9" s="49">
        <v>12849</v>
      </c>
      <c r="C9" s="50">
        <v>40787.000000000007</v>
      </c>
      <c r="D9" s="50">
        <v>86645.5</v>
      </c>
      <c r="E9" s="50">
        <v>97122</v>
      </c>
      <c r="F9" s="50">
        <v>79956.5</v>
      </c>
      <c r="G9" s="17">
        <f t="shared" si="0"/>
        <v>304511</v>
      </c>
      <c r="H9" s="17">
        <f t="shared" si="1"/>
        <v>14753.665362547215</v>
      </c>
      <c r="I9" s="17">
        <f t="shared" si="2"/>
        <v>289757.33463745279</v>
      </c>
    </row>
    <row r="10" spans="1:9" ht="15.75" customHeight="1" x14ac:dyDescent="0.25">
      <c r="A10" s="5">
        <f t="shared" si="3"/>
        <v>2032</v>
      </c>
      <c r="B10" s="49">
        <v>12764</v>
      </c>
      <c r="C10" s="50">
        <v>39986.999999999993</v>
      </c>
      <c r="D10" s="50">
        <v>84423.5</v>
      </c>
      <c r="E10" s="50">
        <v>96544.5</v>
      </c>
      <c r="F10" s="50">
        <v>80176.5</v>
      </c>
      <c r="G10" s="17">
        <f t="shared" si="0"/>
        <v>301131.5</v>
      </c>
      <c r="H10" s="17">
        <f t="shared" si="1"/>
        <v>14656.065428247541</v>
      </c>
      <c r="I10" s="17">
        <f t="shared" si="2"/>
        <v>286475.43457175244</v>
      </c>
    </row>
    <row r="11" spans="1:9" ht="15.75" customHeight="1" x14ac:dyDescent="0.25">
      <c r="A11" s="5">
        <f t="shared" si="3"/>
        <v>2033</v>
      </c>
      <c r="B11" s="49">
        <v>12622</v>
      </c>
      <c r="C11" s="50">
        <v>39397</v>
      </c>
      <c r="D11" s="50">
        <v>81888.5</v>
      </c>
      <c r="E11" s="50">
        <v>95783.5</v>
      </c>
      <c r="F11" s="50">
        <v>81076.5</v>
      </c>
      <c r="G11" s="17">
        <f t="shared" si="0"/>
        <v>298145.5</v>
      </c>
      <c r="H11" s="17">
        <f t="shared" si="1"/>
        <v>14493.016126241026</v>
      </c>
      <c r="I11" s="17">
        <f t="shared" si="2"/>
        <v>283652.48387375899</v>
      </c>
    </row>
    <row r="12" spans="1:9" ht="15.75" customHeight="1" x14ac:dyDescent="0.25">
      <c r="A12" s="5">
        <f t="shared" si="3"/>
        <v>2034</v>
      </c>
      <c r="B12" s="49">
        <v>12519</v>
      </c>
      <c r="C12" s="50">
        <v>39115.999999999993</v>
      </c>
      <c r="D12" s="50">
        <v>79155.5</v>
      </c>
      <c r="E12" s="50">
        <v>95081.5</v>
      </c>
      <c r="F12" s="50">
        <v>82496.5</v>
      </c>
      <c r="G12" s="17">
        <f t="shared" si="0"/>
        <v>295849.5</v>
      </c>
      <c r="H12" s="17">
        <f t="shared" si="1"/>
        <v>14374.747970560245</v>
      </c>
      <c r="I12" s="17">
        <f t="shared" si="2"/>
        <v>281474.75202943978</v>
      </c>
    </row>
    <row r="13" spans="1:9" ht="15.75" customHeight="1" x14ac:dyDescent="0.25">
      <c r="A13" s="5">
        <f t="shared" si="3"/>
        <v>2035</v>
      </c>
      <c r="B13" s="49">
        <v>12350</v>
      </c>
      <c r="C13" s="50">
        <v>39042</v>
      </c>
      <c r="D13" s="50">
        <v>76376</v>
      </c>
      <c r="E13" s="50">
        <v>94559.5</v>
      </c>
      <c r="F13" s="50">
        <v>83987.5</v>
      </c>
      <c r="G13" s="17">
        <f t="shared" si="0"/>
        <v>293965</v>
      </c>
      <c r="H13" s="17">
        <f t="shared" si="1"/>
        <v>14180.696336482069</v>
      </c>
      <c r="I13" s="17">
        <f t="shared" si="2"/>
        <v>279784.30366351793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2QzS0WRWy4rfbQpcPEoJdf9jB+E77A+xiwzJUAJ+LX/BzPEJ5vVEV/oDziMqumoBtgLxd7k+4N77dOw+ZO/sGQ==" saltValue="+1thPXnTAdLAYLtdm1ZJI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0.15682070000000009</v>
      </c>
    </row>
    <row r="5" spans="1:8" ht="15.75" customHeight="1" x14ac:dyDescent="0.25">
      <c r="B5" s="19" t="s">
        <v>80</v>
      </c>
      <c r="C5" s="101">
        <v>2.2275900000000019E-2</v>
      </c>
    </row>
    <row r="6" spans="1:8" ht="15.75" customHeight="1" x14ac:dyDescent="0.25">
      <c r="B6" s="19" t="s">
        <v>81</v>
      </c>
      <c r="C6" s="101">
        <v>0.13210289999999991</v>
      </c>
    </row>
    <row r="7" spans="1:8" ht="15.75" customHeight="1" x14ac:dyDescent="0.25">
      <c r="B7" s="19" t="s">
        <v>82</v>
      </c>
      <c r="C7" s="101">
        <v>0.37545339999999938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0.20337500000000061</v>
      </c>
    </row>
    <row r="10" spans="1:8" ht="15.75" customHeight="1" x14ac:dyDescent="0.25">
      <c r="B10" s="19" t="s">
        <v>85</v>
      </c>
      <c r="C10" s="101">
        <v>0.1099721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4.5404581606197217E-2</v>
      </c>
      <c r="D14" s="55">
        <v>4.5404581606197217E-2</v>
      </c>
      <c r="E14" s="55">
        <v>4.5404581606197217E-2</v>
      </c>
      <c r="F14" s="55">
        <v>4.5404581606197217E-2</v>
      </c>
    </row>
    <row r="15" spans="1:8" ht="15.75" customHeight="1" x14ac:dyDescent="0.25">
      <c r="B15" s="19" t="s">
        <v>88</v>
      </c>
      <c r="C15" s="101">
        <v>0.34611365740641248</v>
      </c>
      <c r="D15" s="101">
        <v>0.34611365740641248</v>
      </c>
      <c r="E15" s="101">
        <v>0.34611365740641248</v>
      </c>
      <c r="F15" s="101">
        <v>0.34611365740641248</v>
      </c>
    </row>
    <row r="16" spans="1:8" ht="15.75" customHeight="1" x14ac:dyDescent="0.25">
      <c r="B16" s="19" t="s">
        <v>89</v>
      </c>
      <c r="C16" s="101">
        <v>5.3756684136619749E-2</v>
      </c>
      <c r="D16" s="101">
        <v>5.3756684136619749E-2</v>
      </c>
      <c r="E16" s="101">
        <v>5.3756684136619749E-2</v>
      </c>
      <c r="F16" s="101">
        <v>5.3756684136619749E-2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93</v>
      </c>
      <c r="C20" s="101">
        <v>0.19577964262154141</v>
      </c>
      <c r="D20" s="101">
        <v>0.19577964262154141</v>
      </c>
      <c r="E20" s="101">
        <v>0.19577964262154141</v>
      </c>
      <c r="F20" s="101">
        <v>0.19577964262154141</v>
      </c>
    </row>
    <row r="21" spans="1:8" ht="15.75" customHeight="1" x14ac:dyDescent="0.25">
      <c r="B21" s="19" t="s">
        <v>94</v>
      </c>
      <c r="C21" s="101">
        <v>0.19692985592178661</v>
      </c>
      <c r="D21" s="101">
        <v>0.19692985592178661</v>
      </c>
      <c r="E21" s="101">
        <v>0.19692985592178661</v>
      </c>
      <c r="F21" s="101">
        <v>0.19692985592178661</v>
      </c>
    </row>
    <row r="22" spans="1:8" ht="15.75" customHeight="1" x14ac:dyDescent="0.25">
      <c r="B22" s="19" t="s">
        <v>95</v>
      </c>
      <c r="C22" s="101">
        <v>0.1620155783074424</v>
      </c>
      <c r="D22" s="101">
        <v>0.1620155783074424</v>
      </c>
      <c r="E22" s="101">
        <v>0.1620155783074424</v>
      </c>
      <c r="F22" s="101">
        <v>0.1620155783074424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6.3877289000000004E-2</v>
      </c>
    </row>
    <row r="27" spans="1:8" ht="15.75" customHeight="1" x14ac:dyDescent="0.25">
      <c r="B27" s="19" t="s">
        <v>102</v>
      </c>
      <c r="C27" s="101">
        <v>0.18947355599999999</v>
      </c>
    </row>
    <row r="28" spans="1:8" ht="15.75" customHeight="1" x14ac:dyDescent="0.25">
      <c r="B28" s="19" t="s">
        <v>103</v>
      </c>
      <c r="C28" s="101">
        <v>0.10579783700000001</v>
      </c>
    </row>
    <row r="29" spans="1:8" ht="15.75" customHeight="1" x14ac:dyDescent="0.25">
      <c r="B29" s="19" t="s">
        <v>104</v>
      </c>
      <c r="C29" s="101">
        <v>0.116400988</v>
      </c>
    </row>
    <row r="30" spans="1:8" ht="15.75" customHeight="1" x14ac:dyDescent="0.25">
      <c r="B30" s="19" t="s">
        <v>2</v>
      </c>
      <c r="C30" s="101">
        <v>5.2355714999999997E-2</v>
      </c>
    </row>
    <row r="31" spans="1:8" ht="15.75" customHeight="1" x14ac:dyDescent="0.25">
      <c r="B31" s="19" t="s">
        <v>105</v>
      </c>
      <c r="C31" s="101">
        <v>0.15858112799999999</v>
      </c>
    </row>
    <row r="32" spans="1:8" ht="15.75" customHeight="1" x14ac:dyDescent="0.25">
      <c r="B32" s="19" t="s">
        <v>106</v>
      </c>
      <c r="C32" s="101">
        <v>7.0649206000000006E-2</v>
      </c>
    </row>
    <row r="33" spans="2:3" ht="15.75" customHeight="1" x14ac:dyDescent="0.25">
      <c r="B33" s="19" t="s">
        <v>107</v>
      </c>
      <c r="C33" s="101">
        <v>0.120208732</v>
      </c>
    </row>
    <row r="34" spans="2:3" ht="15.75" customHeight="1" x14ac:dyDescent="0.25">
      <c r="B34" s="19" t="s">
        <v>108</v>
      </c>
      <c r="C34" s="101">
        <v>0.122655549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pQnIwvP2Puz6oWD86yKqgfojXhO8AguGP9NPtdzfUK73G0MHV/zXEagqu94NUaEV5WBO2CxClgAjVbqZghaQww==" saltValue="D2VWG8Fd6qYpGBwydw/Et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0.44451771354283154</v>
      </c>
      <c r="D2" s="52">
        <f>IFERROR(1-_xlfn.NORM.DIST(_xlfn.NORM.INV(SUM(D4:D5), 0, 1) + 1, 0, 1, TRUE), "")</f>
        <v>0.44451771354283154</v>
      </c>
      <c r="E2" s="52">
        <f>IFERROR(1-_xlfn.NORM.DIST(_xlfn.NORM.INV(SUM(E4:E5), 0, 1) + 1, 0, 1, TRUE), "")</f>
        <v>0.34864384608921117</v>
      </c>
      <c r="F2" s="52">
        <f>IFERROR(1-_xlfn.NORM.DIST(_xlfn.NORM.INV(SUM(F4:F5), 0, 1) + 1, 0, 1, TRUE), "")</f>
        <v>0.17995639145896147</v>
      </c>
      <c r="G2" s="52">
        <f>IFERROR(1-_xlfn.NORM.DIST(_xlfn.NORM.INV(SUM(G4:G5), 0, 1) + 1, 0, 1, TRUE), "")</f>
        <v>0.17038300794971728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0.36071870074288248</v>
      </c>
      <c r="D3" s="52">
        <f>IFERROR(_xlfn.NORM.DIST(_xlfn.NORM.INV(SUM(D4:D5), 0, 1) + 1, 0, 1, TRUE) - SUM(D4:D5), "")</f>
        <v>0.36071870074288248</v>
      </c>
      <c r="E3" s="52">
        <f>IFERROR(_xlfn.NORM.DIST(_xlfn.NORM.INV(SUM(E4:E5), 0, 1) + 1, 0, 1, TRUE) - SUM(E4:E5), "")</f>
        <v>0.38076153010126584</v>
      </c>
      <c r="F3" s="52">
        <f>IFERROR(_xlfn.NORM.DIST(_xlfn.NORM.INV(SUM(F4:F5), 0, 1) + 1, 0, 1, TRUE) - SUM(F4:F5), "")</f>
        <v>0.35370171806484851</v>
      </c>
      <c r="G3" s="52">
        <f>IFERROR(_xlfn.NORM.DIST(_xlfn.NORM.INV(SUM(G4:G5), 0, 1) + 1, 0, 1, TRUE) - SUM(G4:G5), "")</f>
        <v>0.34849873728837771</v>
      </c>
    </row>
    <row r="4" spans="1:15" ht="15.75" customHeight="1" x14ac:dyDescent="0.25">
      <c r="B4" s="5" t="s">
        <v>114</v>
      </c>
      <c r="C4" s="45">
        <v>0.113393635714286</v>
      </c>
      <c r="D4" s="53">
        <v>0.113393635714286</v>
      </c>
      <c r="E4" s="53">
        <v>0.16521329047618999</v>
      </c>
      <c r="F4" s="53">
        <v>0.25580331428571401</v>
      </c>
      <c r="G4" s="53">
        <v>0.26141645714285699</v>
      </c>
    </row>
    <row r="5" spans="1:15" ht="15.75" customHeight="1" x14ac:dyDescent="0.25">
      <c r="B5" s="5" t="s">
        <v>115</v>
      </c>
      <c r="C5" s="45">
        <v>8.136995000000001E-2</v>
      </c>
      <c r="D5" s="53">
        <v>8.136995000000001E-2</v>
      </c>
      <c r="E5" s="53">
        <v>0.10538133333333299</v>
      </c>
      <c r="F5" s="53">
        <v>0.210538576190476</v>
      </c>
      <c r="G5" s="53">
        <v>0.21970179761904801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0.6109569956403027</v>
      </c>
      <c r="D8" s="52">
        <f>IFERROR(1-_xlfn.NORM.DIST(_xlfn.NORM.INV(SUM(D10:D11), 0, 1) + 1, 0, 1, TRUE), "")</f>
        <v>0.6109569956403027</v>
      </c>
      <c r="E8" s="52">
        <f>IFERROR(1-_xlfn.NORM.DIST(_xlfn.NORM.INV(SUM(E10:E11), 0, 1) + 1, 0, 1, TRUE), "")</f>
        <v>0.58939751230095949</v>
      </c>
      <c r="F8" s="52">
        <f>IFERROR(1-_xlfn.NORM.DIST(_xlfn.NORM.INV(SUM(F10:F11), 0, 1) + 1, 0, 1, TRUE), "")</f>
        <v>0.63333615294728807</v>
      </c>
      <c r="G8" s="52">
        <f>IFERROR(1-_xlfn.NORM.DIST(_xlfn.NORM.INV(SUM(G10:G11), 0, 1) + 1, 0, 1, TRUE), "")</f>
        <v>0.73754048279180073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0.28908908240847775</v>
      </c>
      <c r="D9" s="52">
        <f>IFERROR(_xlfn.NORM.DIST(_xlfn.NORM.INV(SUM(D10:D11), 0, 1) + 1, 0, 1, TRUE) - SUM(D10:D11), "")</f>
        <v>0.28908908240847775</v>
      </c>
      <c r="E9" s="52">
        <f>IFERROR(_xlfn.NORM.DIST(_xlfn.NORM.INV(SUM(E10:E11), 0, 1) + 1, 0, 1, TRUE) - SUM(E10:E11), "")</f>
        <v>0.3005022901380649</v>
      </c>
      <c r="F9" s="52">
        <f>IFERROR(_xlfn.NORM.DIST(_xlfn.NORM.INV(SUM(F10:F11), 0, 1) + 1, 0, 1, TRUE) - SUM(F10:F11), "")</f>
        <v>0.2766552860771021</v>
      </c>
      <c r="G9" s="52">
        <f>IFERROR(_xlfn.NORM.DIST(_xlfn.NORM.INV(SUM(G10:G11), 0, 1) + 1, 0, 1, TRUE) - SUM(G10:G11), "")</f>
        <v>0.21151682452527237</v>
      </c>
    </row>
    <row r="10" spans="1:15" ht="15.75" customHeight="1" x14ac:dyDescent="0.25">
      <c r="B10" s="5" t="s">
        <v>119</v>
      </c>
      <c r="C10" s="45">
        <v>5.8169595121951197E-2</v>
      </c>
      <c r="D10" s="53">
        <v>5.8169595121951197E-2</v>
      </c>
      <c r="E10" s="53">
        <v>7.0832097560975596E-2</v>
      </c>
      <c r="F10" s="53">
        <v>5.9730256097561003E-2</v>
      </c>
      <c r="G10" s="53">
        <v>3.3807034146341501E-2</v>
      </c>
    </row>
    <row r="11" spans="1:15" ht="15.75" customHeight="1" x14ac:dyDescent="0.25">
      <c r="B11" s="5" t="s">
        <v>120</v>
      </c>
      <c r="C11" s="45">
        <v>4.1784326829268303E-2</v>
      </c>
      <c r="D11" s="53">
        <v>4.1784326829268303E-2</v>
      </c>
      <c r="E11" s="53">
        <v>3.92681E-2</v>
      </c>
      <c r="F11" s="53">
        <v>3.0278304878048799E-2</v>
      </c>
      <c r="G11" s="53">
        <v>1.7135658536585399E-2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0.50235673049999996</v>
      </c>
      <c r="D14" s="54">
        <v>0.47946105178800003</v>
      </c>
      <c r="E14" s="54">
        <v>0.47946105178800003</v>
      </c>
      <c r="F14" s="54">
        <v>0.29359077824300001</v>
      </c>
      <c r="G14" s="54">
        <v>0.29359077824300001</v>
      </c>
      <c r="H14" s="45">
        <v>0.29299999999999998</v>
      </c>
      <c r="I14" s="55">
        <v>0.29299999999999998</v>
      </c>
      <c r="J14" s="55">
        <v>0.29299999999999998</v>
      </c>
      <c r="K14" s="55">
        <v>0.29299999999999998</v>
      </c>
      <c r="L14" s="45">
        <v>0.25</v>
      </c>
      <c r="M14" s="55">
        <v>0.25</v>
      </c>
      <c r="N14" s="55">
        <v>0.25</v>
      </c>
      <c r="O14" s="55">
        <v>0.25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0.27651422459603697</v>
      </c>
      <c r="D15" s="52">
        <f t="shared" si="0"/>
        <v>0.26391166457987597</v>
      </c>
      <c r="E15" s="52">
        <f t="shared" si="0"/>
        <v>0.26391166457987597</v>
      </c>
      <c r="F15" s="52">
        <f t="shared" si="0"/>
        <v>0.16160234643140745</v>
      </c>
      <c r="G15" s="52">
        <f t="shared" si="0"/>
        <v>0.16160234643140745</v>
      </c>
      <c r="H15" s="52">
        <f t="shared" si="0"/>
        <v>0.16127716199999997</v>
      </c>
      <c r="I15" s="52">
        <f t="shared" si="0"/>
        <v>0.16127716199999997</v>
      </c>
      <c r="J15" s="52">
        <f t="shared" si="0"/>
        <v>0.16127716199999997</v>
      </c>
      <c r="K15" s="52">
        <f t="shared" si="0"/>
        <v>0.16127716199999997</v>
      </c>
      <c r="L15" s="52">
        <f t="shared" si="0"/>
        <v>0.13760849999999999</v>
      </c>
      <c r="M15" s="52">
        <f t="shared" si="0"/>
        <v>0.13760849999999999</v>
      </c>
      <c r="N15" s="52">
        <f t="shared" si="0"/>
        <v>0.13760849999999999</v>
      </c>
      <c r="O15" s="52">
        <f t="shared" si="0"/>
        <v>0.13760849999999999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xvSMDEjRC4ksvqHK9lXRrs8rZiAMj2zPPclNWmzS20Zz7jFWo8pUBA/5EfP3QpfGq+5p1phMYapsvPSSENh+Q==" saltValue="mP1zXAwS74dHYdEGl+Mv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0.71099749285714298</v>
      </c>
      <c r="D2" s="53">
        <v>0.49434740714285702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0.162410978571429</v>
      </c>
      <c r="D3" s="53">
        <v>0.18356257142857099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0.107555923809524</v>
      </c>
      <c r="D4" s="53">
        <v>0.30326668809523799</v>
      </c>
      <c r="E4" s="53">
        <v>0.96036435581395296</v>
      </c>
      <c r="F4" s="53">
        <v>0.79145990697674407</v>
      </c>
      <c r="G4" s="53">
        <v>0</v>
      </c>
    </row>
    <row r="5" spans="1:7" x14ac:dyDescent="0.25">
      <c r="B5" s="3" t="s">
        <v>132</v>
      </c>
      <c r="C5" s="52">
        <v>1.9035609523809501E-2</v>
      </c>
      <c r="D5" s="52">
        <v>1.88233357142857E-2</v>
      </c>
      <c r="E5" s="52">
        <f>1-SUM(E2:E4)</f>
        <v>3.9635644186047037E-2</v>
      </c>
      <c r="F5" s="52">
        <f>1-SUM(F2:F4)</f>
        <v>0.20854009302325593</v>
      </c>
      <c r="G5" s="52">
        <f>1-SUM(G2:G4)</f>
        <v>1</v>
      </c>
    </row>
  </sheetData>
  <sheetProtection algorithmName="SHA-512" hashValue="/VdcBl+7kCGpuRPx2m17QAgKOJO9mebBz3ia97MgAYzZ1Hlz0nSVlZQUNkotCOwSAq5W4tr7qHwrOdy+Hk9C/A==" saltValue="ogQJquR2jCHWkxmtuuvBW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AYhuCq3emZnnUO1kFvt7hvkgZohYL/aUrVmeYzKDdOgwVWxbFgw1m7OIVvnrXJz7yhMSugIdx/u7EswyOXB6JA==" saltValue="mvsbDe+bOhtL2fXjJazEk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ZOdvuER0vnX84neZ+onVCauMJONt4TK/oSR2atiTOQpo19UKv7WMS9VzE7sIvWZmseQJtKU4NulnTSXD/RThzQ==" saltValue="Ph5qvC5roqaZZh4J04ldt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8mq3RQmRxNEKpxettBLYia6X0ClvtwPWzJwpGK/M8vc26dsMXlqYXs26ig3is+AYuytFIrr+lu6Y/qxwsqVL3Q==" saltValue="Kkgd6BMepzpKIPPTKibIE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ggM6izg3tlY6R/FlYeySAEePcIVg9AnUdpI7Iy2FzKn05CcWw6ut0tj9QdJ1GgpGBcOc0+j2acIdoNDp41o6aA==" saltValue="a1W3XSdPgPjEx8GnSUJS6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93.027728303273577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40.664575323137043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963.09440282969467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4.8071619083375428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13.79687476693295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13.79687476693295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13.79687476693295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13.79687476693295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13.79687476693295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13.79687476693295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0.97</v>
      </c>
      <c r="C16" s="98">
        <v>0.95</v>
      </c>
      <c r="D16" s="56">
        <v>1.5036405668283011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0.1239142344</v>
      </c>
      <c r="C18" s="98">
        <v>0.95</v>
      </c>
      <c r="D18" s="56">
        <v>22.037631612682791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0.95458749999999992</v>
      </c>
      <c r="C19" s="98">
        <v>0.95</v>
      </c>
      <c r="D19" s="56">
        <v>22.037631612682791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0.99</v>
      </c>
      <c r="C21" s="98">
        <v>0.95</v>
      </c>
      <c r="D21" s="56">
        <v>39.551659581876919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24.220431056059901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4.7697722391868336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0.93898121280000002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19.360281839651481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0.73634697839999996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193.52643272006361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2.0037238135004318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3.309249219374832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4.8035127560183009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IupRk/T66fs7L4g8ERgo9kWkOV0lNcHrAu3ZLFmUrAHgGJLI7O1zwhIoIiFwjwoGHUf6/CBzEmrhgCOoMOuAwg==" saltValue="7i+tl5gBmlEaAwfhYQKs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9tx6fyGzVk6PEvy4muqLdeqC4WigspI3VjIb8E7mjOzImPyvbMiU07+BHj6vtXEsgEZMBWMxqvH57BU4dDY01Q==" saltValue="aAX1sfzqNZ0tfEtTP4CO+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hcVIgoR8eR7On+wN4MC8KGrCxcitNkDKfAZVVJLg62+ProafzMm6+P18mwvLasCZf/GmmWqxyldXMXDjsSXjZA==" saltValue="ulWifPQshxMvqMEScvKU2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0.1512409473170731</v>
      </c>
      <c r="C3" s="21">
        <f>frac_mam_1_5months * 2.6</f>
        <v>0.1512409473170731</v>
      </c>
      <c r="D3" s="21">
        <f>frac_mam_6_11months * 2.6</f>
        <v>0.18416345365853656</v>
      </c>
      <c r="E3" s="21">
        <f>frac_mam_12_23months * 2.6</f>
        <v>0.15529866585365862</v>
      </c>
      <c r="F3" s="21">
        <f>frac_mam_24_59months * 2.6</f>
        <v>8.7898288780487902E-2</v>
      </c>
    </row>
    <row r="4" spans="1:6" ht="15.75" customHeight="1" x14ac:dyDescent="0.25">
      <c r="A4" s="3" t="s">
        <v>208</v>
      </c>
      <c r="B4" s="21">
        <f>frac_sam_1month * 2.6</f>
        <v>0.10863924975609759</v>
      </c>
      <c r="C4" s="21">
        <f>frac_sam_1_5months * 2.6</f>
        <v>0.10863924975609759</v>
      </c>
      <c r="D4" s="21">
        <f>frac_sam_6_11months * 2.6</f>
        <v>0.10209706</v>
      </c>
      <c r="E4" s="21">
        <f>frac_sam_12_23months * 2.6</f>
        <v>7.8723592682926877E-2</v>
      </c>
      <c r="F4" s="21">
        <f>frac_sam_24_59months * 2.6</f>
        <v>4.4552712195122038E-2</v>
      </c>
    </row>
  </sheetData>
  <sheetProtection algorithmName="SHA-512" hashValue="oeCi8ppvyjrMn3mL8JqOu5nYDwEd1PBrg38TXvonefXqrom6UHn2TOPfGSoj0P8F+q07yfnv42FKAXPEXRJjVA==" saltValue="HXBVPhRX/piKSWLECGdON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2E-3</v>
      </c>
      <c r="E2" s="60">
        <f>food_insecure</f>
        <v>2E-3</v>
      </c>
      <c r="F2" s="60">
        <f>food_insecure</f>
        <v>2E-3</v>
      </c>
      <c r="G2" s="60">
        <f>food_insecure</f>
        <v>2E-3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2E-3</v>
      </c>
      <c r="F5" s="60">
        <f>food_insecure</f>
        <v>2E-3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2E-3</v>
      </c>
      <c r="F8" s="60">
        <f>food_insecure</f>
        <v>2E-3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2E-3</v>
      </c>
      <c r="F9" s="60">
        <f>food_insecure</f>
        <v>2E-3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2E-3</v>
      </c>
      <c r="I15" s="60">
        <f>food_insecure</f>
        <v>2E-3</v>
      </c>
      <c r="J15" s="60">
        <f>food_insecure</f>
        <v>2E-3</v>
      </c>
      <c r="K15" s="60">
        <f>food_insecure</f>
        <v>2E-3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0.58099999999999996</v>
      </c>
      <c r="M24" s="60">
        <f>famplan_unmet_need</f>
        <v>0.58099999999999996</v>
      </c>
      <c r="N24" s="60">
        <f>famplan_unmet_need</f>
        <v>0.58099999999999996</v>
      </c>
      <c r="O24" s="60">
        <f>famplan_unmet_need</f>
        <v>0.58099999999999996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6.0375703781127728E-2</v>
      </c>
      <c r="M25" s="60">
        <f>(1-food_insecure)*(0.49)+food_insecure*(0.7)</f>
        <v>0.49042000000000002</v>
      </c>
      <c r="N25" s="60">
        <f>(1-food_insecure)*(0.49)+food_insecure*(0.7)</f>
        <v>0.49042000000000002</v>
      </c>
      <c r="O25" s="60">
        <f>(1-food_insecure)*(0.49)+food_insecure*(0.7)</f>
        <v>0.49042000000000002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2.5875301620483307E-2</v>
      </c>
      <c r="M26" s="60">
        <f>(1-food_insecure)*(0.21)+food_insecure*(0.3)</f>
        <v>0.21017999999999998</v>
      </c>
      <c r="N26" s="60">
        <f>(1-food_insecure)*(0.21)+food_insecure*(0.3)</f>
        <v>0.21017999999999998</v>
      </c>
      <c r="O26" s="60">
        <f>(1-food_insecure)*(0.21)+food_insecure*(0.3)</f>
        <v>0.21017999999999998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3.6859193572997918E-2</v>
      </c>
      <c r="M27" s="60">
        <f>(1-food_insecure)*(0.3)</f>
        <v>0.2994</v>
      </c>
      <c r="N27" s="60">
        <f>(1-food_insecure)*(0.3)</f>
        <v>0.2994</v>
      </c>
      <c r="O27" s="60">
        <f>(1-food_insecure)*(0.3)</f>
        <v>0.2994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0.87688980102539105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2abt8TZuJ7fGryVrm1DcvbXC6LKFxiAK7mapECDW8ORHpzMSpnxVFvbHrMItlBXfAujbHS3L0P/fYf3EaIdfuw==" saltValue="+S1PiFQYX5/9V/5pu+O4z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v/o3CNRO/qPel+Y3CSi3/nIdw7FmC3M+9adDWzxedm4tyyE3Jp3pj4agpqX7Gi+EES+f0TbVLTEMsWu+PlMExA==" saltValue="8Zz4NIDJ45PgEQ4hgyeGR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2PXjczLawF5LjTXPjJWocS9/PNp4bMhp4iYKShHvCs51u7wQYzMLAm9WMwQjffLejOez9HeLzPHV3Zjzk6PyRg==" saltValue="gYDQYSWTleADrEr4V1oCa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lSckxPLaVTofgpnv+KbKtnJRYBHcrgEeSD63PtthhcpXtVOsNqOE8QKm0tC0hw1yBLvUIzn3UIE8vC4MIWVoQ==" saltValue="2jd5CEMkqk5QZBGD6Otj4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FxpfG4U0TRYwAVxay3lL+I1KAFCILrdlkx5KBw9GSwigHxN7iRowx0BgZcbPBvX1rIXrWuq5UqGenTintF4I8w==" saltValue="60WAPFkN5vP2ETe26CRSC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JT9CaRC64ozFv8p1OQGomHzDP1A2MxoPbqP+aYNe1Y2jU71zHVQRHqUm3p90EU8lvG7ku6HCCsrn4XZ0iDMp6A==" saltValue="mD1q1BBEKe8RGlzFRnYaN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XhXrNPr0AaNLe/2EHQMoldnZep5MJynHfFqH2HyfBB2He3lL6a6hsJ+wXiF7QSF90keeYRDDeKI1qKbiycp68A==" saltValue="3pdVARhjIyEcYAT3+wY3I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QUMPKBhwLrIvZmfwUJ50vvEZzsiPGmjYkKxo3kTr61YTrcRWmkF99Su60T/PmUG+KNDMiHUQb6Wm5PXyKRl2Ig==" saltValue="TsOYYCtwz+KjCKdJenhr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NZrTJHkirvJgfwnZ34JJyZ31D+6SGymyB3j6WUUTKAcKosmS5kjl+sQQURBnkLb0MY1F3g6Z38nJEBT9CEPN0Q==" saltValue="beblubzeW4BUoOSD8H8D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AUOjEbjzd1WESyEpuhH03K67nmtFexwipcPFcFLSK1y7CH7JeEup3sero0VLy1xMHsgjlxqzz4qVh2evtEYXvw==" saltValue="mSluXY5jzdAGmMOrqtU6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Je9dhDYRliS6SiaeKuoIcn2JwREQDCYEzuHyQ2xMbayNMAbs/tm1SvmaMYXf1TaHz+6eyS2KNTEN5cBC2qI0sw==" saltValue="o3SSDyXZl3Pmcskwe3kZ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SvU9hywihVWUdGn126jnywl7PkIgqSwOgIhbmmtScXwntr9L2dep0pp4mTkaM7TYgmTq/ZbeeYLHGACD0OPayA==" saltValue="wp5Hh8il7nmvFKKNCLf5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XHxwWF7BqHky+L7gOYEE4QClV4zS7dfrNrH4oucZw5qUb/La9guBst6QMZoGYO9NGbQGPQBNfCETd+6+I4B6dQ==" saltValue="YdEkzTxt+Z1LGPwXi+631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S9oGba9v3Ht1fJm151DuGR0K2VcmXExkWYdkrBEtDr6NenZjLp999VgkBki12ciCWhPVVpWYK0DPhnytyJoJFg==" saltValue="vQZohhhNqwkf54jb4gwm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hqt3xp4HCdE/TYCmy6CyT1vuW7PwqDmV6f4ktsVlzbszWQxixXVn6EVv0U1x+NHK70ZU0WmPQp48DzQtyckQbQ==" saltValue="mhTCn+LKeh9o9XiBolzcp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2024-05-17T00:42:18Z</dcterms:modified>
</cp:coreProperties>
</file>