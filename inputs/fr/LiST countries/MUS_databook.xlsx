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F6493CDA-7015-4B4D-B6EC-AF2C3C3B4BC7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A40" i="2"/>
  <c r="H39" i="2"/>
  <c r="G39" i="2"/>
  <c r="I39" i="2" s="1"/>
  <c r="H38" i="2"/>
  <c r="G38" i="2"/>
  <c r="I38" i="2" s="1"/>
  <c r="A34" i="2"/>
  <c r="A31" i="2"/>
  <c r="A26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2" i="2" l="1"/>
  <c r="I8" i="2"/>
  <c r="A24" i="2"/>
  <c r="I6" i="2"/>
  <c r="I12" i="2"/>
  <c r="A35" i="2"/>
  <c r="A36" i="2"/>
  <c r="I13" i="2"/>
  <c r="A37" i="2"/>
  <c r="A19" i="2"/>
  <c r="A22" i="2"/>
  <c r="I3" i="2"/>
  <c r="I9" i="2"/>
  <c r="A23" i="2"/>
  <c r="I4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<sst xmlns="http://schemas.openxmlformats.org/spreadsheetml/2006/main" count="2169" uniqueCount="369">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</sst>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65672</v>
      </c>
    </row>
    <row r="8" spans="1:3" ht="15" customHeight="1" x14ac:dyDescent="0.25">
      <c r="B8" s="5" t="s">
        <v>37</v>
      </c>
      <c r="C8" s="44">
        <v>0.10299999999999999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0.87056100000000003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0.125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9.3299999999999994E-2</v>
      </c>
    </row>
    <row r="24" spans="1:3" ht="15" customHeight="1" x14ac:dyDescent="0.25">
      <c r="B24" s="15" t="s">
        <v>51</v>
      </c>
      <c r="C24" s="45">
        <v>0.53799999999999992</v>
      </c>
    </row>
    <row r="25" spans="1:3" ht="15" customHeight="1" x14ac:dyDescent="0.25">
      <c r="B25" s="15" t="s">
        <v>52</v>
      </c>
      <c r="C25" s="45">
        <v>0.34460000000000002</v>
      </c>
    </row>
    <row r="26" spans="1:3" ht="15" customHeight="1" x14ac:dyDescent="0.25">
      <c r="B26" s="15" t="s">
        <v>53</v>
      </c>
      <c r="C26" s="45">
        <v>2.41E-2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0.28578644131437603</v>
      </c>
    </row>
    <row r="30" spans="1:3" ht="14.25" customHeight="1" x14ac:dyDescent="0.25">
      <c r="B30" s="25" t="s">
        <v>56</v>
      </c>
      <c r="C30" s="97">
        <v>6.9844134891047002E-2</v>
      </c>
    </row>
    <row r="31" spans="1:3" ht="14.25" customHeight="1" x14ac:dyDescent="0.25">
      <c r="B31" s="25" t="s">
        <v>57</v>
      </c>
      <c r="C31" s="97">
        <v>8.7209546463448695E-2</v>
      </c>
    </row>
    <row r="32" spans="1:3" ht="14.25" customHeight="1" x14ac:dyDescent="0.25">
      <c r="B32" s="25" t="s">
        <v>58</v>
      </c>
      <c r="C32" s="97">
        <v>0.55715987733112793</v>
      </c>
    </row>
    <row r="33" spans="1:5" ht="13.25" customHeight="1" x14ac:dyDescent="0.25">
      <c r="B33" s="27" t="s">
        <v>59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10.557169999999999</v>
      </c>
    </row>
    <row r="38" spans="1:5" ht="15" customHeight="1" x14ac:dyDescent="0.25">
      <c r="B38" s="11" t="s">
        <v>63</v>
      </c>
      <c r="C38" s="43">
        <v>15.31372</v>
      </c>
      <c r="D38" s="12"/>
      <c r="E38" s="13"/>
    </row>
    <row r="39" spans="1:5" ht="15" customHeight="1" x14ac:dyDescent="0.25">
      <c r="B39" s="11" t="s">
        <v>64</v>
      </c>
      <c r="C39" s="43">
        <v>16.61721</v>
      </c>
      <c r="D39" s="12"/>
      <c r="E39" s="12"/>
    </row>
    <row r="40" spans="1:5" ht="15" customHeight="1" x14ac:dyDescent="0.25">
      <c r="B40" s="11" t="s">
        <v>65</v>
      </c>
      <c r="C40" s="98">
        <v>0.84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10.338380000000001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7.9162E-3</v>
      </c>
      <c r="D45" s="12"/>
    </row>
    <row r="46" spans="1:5" ht="15.75" customHeight="1" x14ac:dyDescent="0.25">
      <c r="B46" s="11" t="s">
        <v>70</v>
      </c>
      <c r="C46" s="45">
        <v>8.5058299999999989E-2</v>
      </c>
      <c r="D46" s="12"/>
    </row>
    <row r="47" spans="1:5" ht="15.75" customHeight="1" x14ac:dyDescent="0.25">
      <c r="B47" s="11" t="s">
        <v>71</v>
      </c>
      <c r="C47" s="45">
        <v>7.3472499999999996E-2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3.3</v>
      </c>
      <c r="D51" s="12"/>
    </row>
    <row r="52" spans="1:4" ht="15" customHeight="1" x14ac:dyDescent="0.25">
      <c r="B52" s="11" t="s">
        <v>75</v>
      </c>
      <c r="C52" s="98">
        <v>3.3</v>
      </c>
    </row>
    <row r="53" spans="1:4" ht="15.75" customHeight="1" x14ac:dyDescent="0.25">
      <c r="B53" s="11" t="s">
        <v>76</v>
      </c>
      <c r="C53" s="98">
        <v>3.3</v>
      </c>
    </row>
    <row r="54" spans="1:4" ht="15.75" customHeight="1" x14ac:dyDescent="0.25">
      <c r="B54" s="11" t="s">
        <v>77</v>
      </c>
      <c r="C54" s="98">
        <v>3.3</v>
      </c>
    </row>
    <row r="55" spans="1:4" ht="15.75" customHeight="1" x14ac:dyDescent="0.25">
      <c r="B55" s="11" t="s">
        <v>78</v>
      </c>
      <c r="C55" s="98">
        <v>3.3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0.55043399999999998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0.1869435005</v>
      </c>
    </row>
    <row r="63" spans="1:4" ht="15.75" customHeight="1" x14ac:dyDescent="0.3">
      <c r="A63" s="4"/>
    </row>
  </sheetData>
  <sheetProtection algorithmName="SHA-512" hashValue="PsPRXuUhdbzgMHDkR/QM8a7WcPgILszPf7acM6MeftwTuCEUZFYrCj9h4A+eoYQVcaBn596D6s94NA3kMIAdfQ==" saltValue="Y1yvU/jYaQp78+BfSf08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11600</v>
      </c>
      <c r="C2" s="49">
        <v>43204</v>
      </c>
      <c r="D2" s="49">
        <v>93240.5</v>
      </c>
      <c r="E2" s="49">
        <v>94393.5</v>
      </c>
      <c r="F2" s="49">
        <v>93335.5</v>
      </c>
      <c r="G2" s="17">
        <f t="shared" ref="G2:G13" si="0">C2+D2+E2+F2</f>
        <v>324173.5</v>
      </c>
      <c r="H2" s="17">
        <f t="shared" ref="H2:H13" si="1">(B2 + stillbirth*B2/(1000-stillbirth))/(1-abortion)</f>
        <v>13319.520445602591</v>
      </c>
      <c r="I2" s="17">
        <f t="shared" ref="I2:I13" si="2">G2-H2</f>
        <v>310853.9795543974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11408</v>
      </c>
      <c r="C3" s="50">
        <v>41266.5</v>
      </c>
      <c r="D3" s="50">
        <v>92212</v>
      </c>
      <c r="E3" s="50">
        <v>95458.5</v>
      </c>
      <c r="F3" s="50">
        <v>92813</v>
      </c>
      <c r="G3" s="17">
        <f t="shared" si="0"/>
        <v>321750</v>
      </c>
      <c r="H3" s="17">
        <f t="shared" si="1"/>
        <v>13099.059417537444</v>
      </c>
      <c r="I3" s="17">
        <f t="shared" si="2"/>
        <v>308650.94058246253</v>
      </c>
    </row>
    <row r="4" spans="1:9" ht="15.75" customHeight="1" x14ac:dyDescent="0.25">
      <c r="A4" s="5">
        <f t="shared" si="3"/>
        <v>2026</v>
      </c>
      <c r="B4" s="49">
        <v>11254</v>
      </c>
      <c r="C4" s="50">
        <v>39244</v>
      </c>
      <c r="D4" s="50">
        <v>91138</v>
      </c>
      <c r="E4" s="50">
        <v>96268</v>
      </c>
      <c r="F4" s="50">
        <v>92012.5</v>
      </c>
      <c r="G4" s="17">
        <f t="shared" si="0"/>
        <v>318662.5</v>
      </c>
      <c r="H4" s="17">
        <f t="shared" si="1"/>
        <v>12922.231301276859</v>
      </c>
      <c r="I4" s="17">
        <f t="shared" si="2"/>
        <v>305740.26869872311</v>
      </c>
    </row>
    <row r="5" spans="1:9" ht="15.75" customHeight="1" x14ac:dyDescent="0.25">
      <c r="A5" s="5">
        <f t="shared" si="3"/>
        <v>2027</v>
      </c>
      <c r="B5" s="49">
        <v>11119</v>
      </c>
      <c r="C5" s="50">
        <v>37296.5</v>
      </c>
      <c r="D5" s="50">
        <v>89932.5</v>
      </c>
      <c r="E5" s="50">
        <v>96596</v>
      </c>
      <c r="F5" s="50">
        <v>91110.5</v>
      </c>
      <c r="G5" s="17">
        <f t="shared" si="0"/>
        <v>314935.5</v>
      </c>
      <c r="H5" s="17">
        <f t="shared" si="1"/>
        <v>12767.219640918551</v>
      </c>
      <c r="I5" s="17">
        <f t="shared" si="2"/>
        <v>302168.28035908146</v>
      </c>
    </row>
    <row r="6" spans="1:9" ht="15.75" customHeight="1" x14ac:dyDescent="0.25">
      <c r="A6" s="5">
        <f t="shared" si="3"/>
        <v>2028</v>
      </c>
      <c r="B6" s="49">
        <v>10975</v>
      </c>
      <c r="C6" s="50">
        <v>35530.5</v>
      </c>
      <c r="D6" s="50">
        <v>88538.5</v>
      </c>
      <c r="E6" s="50">
        <v>96306.000000000015</v>
      </c>
      <c r="F6" s="50">
        <v>90271.5</v>
      </c>
      <c r="G6" s="17">
        <f t="shared" si="0"/>
        <v>310646.5</v>
      </c>
      <c r="H6" s="17">
        <f t="shared" si="1"/>
        <v>12601.873869869692</v>
      </c>
      <c r="I6" s="17">
        <f t="shared" si="2"/>
        <v>298044.62613013032</v>
      </c>
    </row>
    <row r="7" spans="1:9" ht="15.75" customHeight="1" x14ac:dyDescent="0.25">
      <c r="A7" s="5">
        <f t="shared" si="3"/>
        <v>2029</v>
      </c>
      <c r="B7" s="49">
        <v>10842</v>
      </c>
      <c r="C7" s="50">
        <v>33995.5</v>
      </c>
      <c r="D7" s="50">
        <v>86881</v>
      </c>
      <c r="E7" s="50">
        <v>95487</v>
      </c>
      <c r="F7" s="50">
        <v>89620</v>
      </c>
      <c r="G7" s="17">
        <f t="shared" si="0"/>
        <v>305983.5</v>
      </c>
      <c r="H7" s="17">
        <f t="shared" si="1"/>
        <v>12449.158678553733</v>
      </c>
      <c r="I7" s="17">
        <f t="shared" si="2"/>
        <v>293534.34132144629</v>
      </c>
    </row>
    <row r="8" spans="1:9" ht="15.75" customHeight="1" x14ac:dyDescent="0.25">
      <c r="A8" s="5">
        <f t="shared" si="3"/>
        <v>2030</v>
      </c>
      <c r="B8" s="49">
        <v>10733</v>
      </c>
      <c r="C8" s="50">
        <v>32700</v>
      </c>
      <c r="D8" s="50">
        <v>84942.5</v>
      </c>
      <c r="E8" s="50">
        <v>94337</v>
      </c>
      <c r="F8" s="50">
        <v>89259</v>
      </c>
      <c r="G8" s="17">
        <f t="shared" si="0"/>
        <v>301238.5</v>
      </c>
      <c r="H8" s="17">
        <f t="shared" si="1"/>
        <v>12324.001115745914</v>
      </c>
      <c r="I8" s="17">
        <f t="shared" si="2"/>
        <v>288914.49888425408</v>
      </c>
    </row>
    <row r="9" spans="1:9" ht="15.75" customHeight="1" x14ac:dyDescent="0.25">
      <c r="A9" s="5">
        <f t="shared" si="3"/>
        <v>2031</v>
      </c>
      <c r="B9" s="49">
        <v>10610</v>
      </c>
      <c r="C9" s="50">
        <v>31641.5</v>
      </c>
      <c r="D9" s="50">
        <v>82709</v>
      </c>
      <c r="E9" s="50">
        <v>93036.5</v>
      </c>
      <c r="F9" s="50">
        <v>89275.5</v>
      </c>
      <c r="G9" s="17">
        <f t="shared" si="0"/>
        <v>296662.5</v>
      </c>
      <c r="H9" s="17">
        <f t="shared" si="1"/>
        <v>12182.768269641681</v>
      </c>
      <c r="I9" s="17">
        <f t="shared" si="2"/>
        <v>284479.73173035833</v>
      </c>
    </row>
    <row r="10" spans="1:9" ht="15.75" customHeight="1" x14ac:dyDescent="0.25">
      <c r="A10" s="5">
        <f t="shared" si="3"/>
        <v>2032</v>
      </c>
      <c r="B10" s="49">
        <v>10501</v>
      </c>
      <c r="C10" s="50">
        <v>30822</v>
      </c>
      <c r="D10" s="50">
        <v>80132</v>
      </c>
      <c r="E10" s="50">
        <v>91780.499999999985</v>
      </c>
      <c r="F10" s="50">
        <v>89735.5</v>
      </c>
      <c r="G10" s="17">
        <f t="shared" si="0"/>
        <v>292470</v>
      </c>
      <c r="H10" s="17">
        <f t="shared" si="1"/>
        <v>12057.610706833861</v>
      </c>
      <c r="I10" s="17">
        <f t="shared" si="2"/>
        <v>280412.38929316611</v>
      </c>
    </row>
    <row r="11" spans="1:9" ht="15.75" customHeight="1" x14ac:dyDescent="0.25">
      <c r="A11" s="5">
        <f t="shared" si="3"/>
        <v>2033</v>
      </c>
      <c r="B11" s="49">
        <v>10377</v>
      </c>
      <c r="C11" s="50">
        <v>30248.5</v>
      </c>
      <c r="D11" s="50">
        <v>77240.5</v>
      </c>
      <c r="E11" s="50">
        <v>90693.999999999985</v>
      </c>
      <c r="F11" s="50">
        <v>90620</v>
      </c>
      <c r="G11" s="17">
        <f t="shared" si="0"/>
        <v>288803</v>
      </c>
      <c r="H11" s="17">
        <f t="shared" si="1"/>
        <v>11915.229626208456</v>
      </c>
      <c r="I11" s="17">
        <f t="shared" si="2"/>
        <v>276887.77037379157</v>
      </c>
    </row>
    <row r="12" spans="1:9" ht="15.75" customHeight="1" x14ac:dyDescent="0.25">
      <c r="A12" s="5">
        <f t="shared" si="3"/>
        <v>2034</v>
      </c>
      <c r="B12" s="49">
        <v>10261</v>
      </c>
      <c r="C12" s="50">
        <v>29925</v>
      </c>
      <c r="D12" s="50">
        <v>74146.5</v>
      </c>
      <c r="E12" s="50">
        <v>89771.5</v>
      </c>
      <c r="F12" s="50">
        <v>91757.5</v>
      </c>
      <c r="G12" s="17">
        <f t="shared" si="0"/>
        <v>285600.5</v>
      </c>
      <c r="H12" s="17">
        <f t="shared" si="1"/>
        <v>11782.034421752431</v>
      </c>
      <c r="I12" s="17">
        <f t="shared" si="2"/>
        <v>273818.46557824756</v>
      </c>
    </row>
    <row r="13" spans="1:9" ht="15.75" customHeight="1" x14ac:dyDescent="0.25">
      <c r="A13" s="5">
        <f t="shared" si="3"/>
        <v>2035</v>
      </c>
      <c r="B13" s="49">
        <v>10136</v>
      </c>
      <c r="C13" s="50">
        <v>29851.5</v>
      </c>
      <c r="D13" s="50">
        <v>71008</v>
      </c>
      <c r="E13" s="50">
        <v>88924</v>
      </c>
      <c r="F13" s="50">
        <v>92895.999999999985</v>
      </c>
      <c r="G13" s="17">
        <f t="shared" si="0"/>
        <v>282679.5</v>
      </c>
      <c r="H13" s="17">
        <f t="shared" si="1"/>
        <v>11638.50510660585</v>
      </c>
      <c r="I13" s="17">
        <f t="shared" si="2"/>
        <v>271040.99489339418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XMdaCw08nchwEd+EbKf9vcNtW5Uq8A/iVuAZ1Z17Dc8bV46Xkkg/hdxJoslARjiJQhQriTPXV98q0Ad5sbJlUA==" saltValue="UW5SF36FYbXPkQy+8aNNe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0.15682070000000009</v>
      </c>
    </row>
    <row r="5" spans="1:8" ht="15.75" customHeight="1" x14ac:dyDescent="0.25">
      <c r="B5" s="19" t="s">
        <v>98</v>
      </c>
      <c r="C5" s="99">
        <v>2.2275900000000019E-2</v>
      </c>
    </row>
    <row r="6" spans="1:8" ht="15.75" customHeight="1" x14ac:dyDescent="0.25">
      <c r="B6" s="19" t="s">
        <v>99</v>
      </c>
      <c r="C6" s="99">
        <v>0.13210289999999991</v>
      </c>
    </row>
    <row r="7" spans="1:8" ht="15.75" customHeight="1" x14ac:dyDescent="0.25">
      <c r="B7" s="19" t="s">
        <v>100</v>
      </c>
      <c r="C7" s="99">
        <v>0.37545339999999938</v>
      </c>
    </row>
    <row r="8" spans="1:8" ht="15.75" customHeight="1" x14ac:dyDescent="0.25">
      <c r="B8" s="19" t="s">
        <v>101</v>
      </c>
      <c r="C8" s="99">
        <v>0</v>
      </c>
    </row>
    <row r="9" spans="1:8" ht="15.75" customHeight="1" x14ac:dyDescent="0.25">
      <c r="B9" s="19" t="s">
        <v>102</v>
      </c>
      <c r="C9" s="99">
        <v>0.20337500000000061</v>
      </c>
    </row>
    <row r="10" spans="1:8" ht="15.75" customHeight="1" x14ac:dyDescent="0.25">
      <c r="B10" s="19" t="s">
        <v>103</v>
      </c>
      <c r="C10" s="99">
        <v>0.1099721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4.5404581606197217E-2</v>
      </c>
      <c r="D14" s="55">
        <v>4.5404581606197217E-2</v>
      </c>
      <c r="E14" s="55">
        <v>4.5404581606197217E-2</v>
      </c>
      <c r="F14" s="55">
        <v>4.5404581606197217E-2</v>
      </c>
    </row>
    <row r="15" spans="1:8" ht="15.75" customHeight="1" x14ac:dyDescent="0.25">
      <c r="B15" s="19" t="s">
        <v>106</v>
      </c>
      <c r="C15" s="99">
        <v>0.34611365740641248</v>
      </c>
      <c r="D15" s="99">
        <v>0.34611365740641248</v>
      </c>
      <c r="E15" s="99">
        <v>0.34611365740641248</v>
      </c>
      <c r="F15" s="99">
        <v>0.34611365740641248</v>
      </c>
    </row>
    <row r="16" spans="1:8" ht="15.75" customHeight="1" x14ac:dyDescent="0.25">
      <c r="B16" s="19" t="s">
        <v>107</v>
      </c>
      <c r="C16" s="99">
        <v>5.3756684136619749E-2</v>
      </c>
      <c r="D16" s="99">
        <v>5.3756684136619749E-2</v>
      </c>
      <c r="E16" s="99">
        <v>5.3756684136619749E-2</v>
      </c>
      <c r="F16" s="99">
        <v>5.3756684136619749E-2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111</v>
      </c>
      <c r="C20" s="99">
        <v>0.19577964262154141</v>
      </c>
      <c r="D20" s="99">
        <v>0.19577964262154141</v>
      </c>
      <c r="E20" s="99">
        <v>0.19577964262154141</v>
      </c>
      <c r="F20" s="99">
        <v>0.19577964262154141</v>
      </c>
    </row>
    <row r="21" spans="1:8" ht="15.75" customHeight="1" x14ac:dyDescent="0.25">
      <c r="B21" s="19" t="s">
        <v>112</v>
      </c>
      <c r="C21" s="99">
        <v>0.19692985592178661</v>
      </c>
      <c r="D21" s="99">
        <v>0.19692985592178661</v>
      </c>
      <c r="E21" s="99">
        <v>0.19692985592178661</v>
      </c>
      <c r="F21" s="99">
        <v>0.19692985592178661</v>
      </c>
    </row>
    <row r="22" spans="1:8" ht="15.75" customHeight="1" x14ac:dyDescent="0.25">
      <c r="B22" s="19" t="s">
        <v>113</v>
      </c>
      <c r="C22" s="99">
        <v>0.1620155783074424</v>
      </c>
      <c r="D22" s="99">
        <v>0.1620155783074424</v>
      </c>
      <c r="E22" s="99">
        <v>0.1620155783074424</v>
      </c>
      <c r="F22" s="99">
        <v>0.1620155783074424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6.3877289000000004E-2</v>
      </c>
    </row>
    <row r="27" spans="1:8" ht="15.75" customHeight="1" x14ac:dyDescent="0.25">
      <c r="B27" s="19" t="s">
        <v>120</v>
      </c>
      <c r="C27" s="99">
        <v>0.18947355599999999</v>
      </c>
    </row>
    <row r="28" spans="1:8" ht="15.75" customHeight="1" x14ac:dyDescent="0.25">
      <c r="B28" s="19" t="s">
        <v>121</v>
      </c>
      <c r="C28" s="99">
        <v>0.10579783700000001</v>
      </c>
    </row>
    <row r="29" spans="1:8" ht="15.75" customHeight="1" x14ac:dyDescent="0.25">
      <c r="B29" s="19" t="s">
        <v>122</v>
      </c>
      <c r="C29" s="99">
        <v>0.116400988</v>
      </c>
    </row>
    <row r="30" spans="1:8" ht="15.75" customHeight="1" x14ac:dyDescent="0.25">
      <c r="B30" s="19" t="s">
        <v>2</v>
      </c>
      <c r="C30" s="99">
        <v>5.2355714999999997E-2</v>
      </c>
    </row>
    <row r="31" spans="1:8" ht="15.75" customHeight="1" x14ac:dyDescent="0.25">
      <c r="B31" s="19" t="s">
        <v>123</v>
      </c>
      <c r="C31" s="99">
        <v>0.15858112799999999</v>
      </c>
    </row>
    <row r="32" spans="1:8" ht="15.75" customHeight="1" x14ac:dyDescent="0.25">
      <c r="B32" s="19" t="s">
        <v>124</v>
      </c>
      <c r="C32" s="99">
        <v>7.0649206000000006E-2</v>
      </c>
    </row>
    <row r="33" spans="2:3" ht="15.75" customHeight="1" x14ac:dyDescent="0.25">
      <c r="B33" s="19" t="s">
        <v>125</v>
      </c>
      <c r="C33" s="99">
        <v>0.120208732</v>
      </c>
    </row>
    <row r="34" spans="2:3" ht="15.75" customHeight="1" x14ac:dyDescent="0.25">
      <c r="B34" s="19" t="s">
        <v>126</v>
      </c>
      <c r="C34" s="99">
        <v>0.122655549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5dESNTdCVUzw7cH6stkgGsAiG2nLZeD95cUB2CEwPF85TVRqqwymUNWV6KZ4yVs9rN0mNHhxlZQ6gTRPsRTfXQ==" saltValue="Cq0hECUQYKEmiE7A/mSzz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0.44451771354283154</v>
      </c>
      <c r="D2" s="52">
        <f>IFERROR(1-_xlfn.NORM.DIST(_xlfn.NORM.INV(SUM(D4:D5), 0, 1) + 1, 0, 1, TRUE), "")</f>
        <v>0.44451771354283154</v>
      </c>
      <c r="E2" s="52">
        <f>IFERROR(1-_xlfn.NORM.DIST(_xlfn.NORM.INV(SUM(E4:E5), 0, 1) + 1, 0, 1, TRUE), "")</f>
        <v>0.34864384608921117</v>
      </c>
      <c r="F2" s="52">
        <f>IFERROR(1-_xlfn.NORM.DIST(_xlfn.NORM.INV(SUM(F4:F5), 0, 1) + 1, 0, 1, TRUE), "")</f>
        <v>0.17995639145896147</v>
      </c>
      <c r="G2" s="52">
        <f>IFERROR(1-_xlfn.NORM.DIST(_xlfn.NORM.INV(SUM(G4:G5), 0, 1) + 1, 0, 1, TRUE), "")</f>
        <v>0.17038300794971728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0.36071870074288248</v>
      </c>
      <c r="D3" s="52">
        <f>IFERROR(_xlfn.NORM.DIST(_xlfn.NORM.INV(SUM(D4:D5), 0, 1) + 1, 0, 1, TRUE) - SUM(D4:D5), "")</f>
        <v>0.36071870074288248</v>
      </c>
      <c r="E3" s="52">
        <f>IFERROR(_xlfn.NORM.DIST(_xlfn.NORM.INV(SUM(E4:E5), 0, 1) + 1, 0, 1, TRUE) - SUM(E4:E5), "")</f>
        <v>0.38076153010126584</v>
      </c>
      <c r="F3" s="52">
        <f>IFERROR(_xlfn.NORM.DIST(_xlfn.NORM.INV(SUM(F4:F5), 0, 1) + 1, 0, 1, TRUE) - SUM(F4:F5), "")</f>
        <v>0.35370171806484851</v>
      </c>
      <c r="G3" s="52">
        <f>IFERROR(_xlfn.NORM.DIST(_xlfn.NORM.INV(SUM(G4:G5), 0, 1) + 1, 0, 1, TRUE) - SUM(G4:G5), "")</f>
        <v>0.34849873728837771</v>
      </c>
    </row>
    <row r="4" spans="1:15" ht="15.75" customHeight="1" x14ac:dyDescent="0.25">
      <c r="B4" s="5" t="s">
        <v>132</v>
      </c>
      <c r="C4" s="45">
        <v>0.113393635714286</v>
      </c>
      <c r="D4" s="53">
        <v>0.113393635714286</v>
      </c>
      <c r="E4" s="53">
        <v>0.16521329047618999</v>
      </c>
      <c r="F4" s="53">
        <v>0.25580331428571401</v>
      </c>
      <c r="G4" s="53">
        <v>0.26141645714285699</v>
      </c>
    </row>
    <row r="5" spans="1:15" ht="15.75" customHeight="1" x14ac:dyDescent="0.25">
      <c r="B5" s="5" t="s">
        <v>133</v>
      </c>
      <c r="C5" s="45">
        <v>8.136995000000001E-2</v>
      </c>
      <c r="D5" s="53">
        <v>8.136995000000001E-2</v>
      </c>
      <c r="E5" s="53">
        <v>0.10538133333333299</v>
      </c>
      <c r="F5" s="53">
        <v>0.210538576190476</v>
      </c>
      <c r="G5" s="53">
        <v>0.21970179761904801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0.6109569956403027</v>
      </c>
      <c r="D8" s="52">
        <f>IFERROR(1-_xlfn.NORM.DIST(_xlfn.NORM.INV(SUM(D10:D11), 0, 1) + 1, 0, 1, TRUE), "")</f>
        <v>0.6109569956403027</v>
      </c>
      <c r="E8" s="52">
        <f>IFERROR(1-_xlfn.NORM.DIST(_xlfn.NORM.INV(SUM(E10:E11), 0, 1) + 1, 0, 1, TRUE), "")</f>
        <v>0.58939751230095949</v>
      </c>
      <c r="F8" s="52">
        <f>IFERROR(1-_xlfn.NORM.DIST(_xlfn.NORM.INV(SUM(F10:F11), 0, 1) + 1, 0, 1, TRUE), "")</f>
        <v>0.63333615294728807</v>
      </c>
      <c r="G8" s="52">
        <f>IFERROR(1-_xlfn.NORM.DIST(_xlfn.NORM.INV(SUM(G10:G11), 0, 1) + 1, 0, 1, TRUE), "")</f>
        <v>0.73754048279180073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0.28908908240847775</v>
      </c>
      <c r="D9" s="52">
        <f>IFERROR(_xlfn.NORM.DIST(_xlfn.NORM.INV(SUM(D10:D11), 0, 1) + 1, 0, 1, TRUE) - SUM(D10:D11), "")</f>
        <v>0.28908908240847775</v>
      </c>
      <c r="E9" s="52">
        <f>IFERROR(_xlfn.NORM.DIST(_xlfn.NORM.INV(SUM(E10:E11), 0, 1) + 1, 0, 1, TRUE) - SUM(E10:E11), "")</f>
        <v>0.3005022901380649</v>
      </c>
      <c r="F9" s="52">
        <f>IFERROR(_xlfn.NORM.DIST(_xlfn.NORM.INV(SUM(F10:F11), 0, 1) + 1, 0, 1, TRUE) - SUM(F10:F11), "")</f>
        <v>0.2766552860771021</v>
      </c>
      <c r="G9" s="52">
        <f>IFERROR(_xlfn.NORM.DIST(_xlfn.NORM.INV(SUM(G10:G11), 0, 1) + 1, 0, 1, TRUE) - SUM(G10:G11), "")</f>
        <v>0.21151682452527237</v>
      </c>
    </row>
    <row r="10" spans="1:15" ht="15.75" customHeight="1" x14ac:dyDescent="0.25">
      <c r="B10" s="5" t="s">
        <v>137</v>
      </c>
      <c r="C10" s="45">
        <v>5.8169595121951197E-2</v>
      </c>
      <c r="D10" s="53">
        <v>5.8169595121951197E-2</v>
      </c>
      <c r="E10" s="53">
        <v>7.0832097560975596E-2</v>
      </c>
      <c r="F10" s="53">
        <v>5.9730256097561003E-2</v>
      </c>
      <c r="G10" s="53">
        <v>3.3807034146341501E-2</v>
      </c>
    </row>
    <row r="11" spans="1:15" ht="15.75" customHeight="1" x14ac:dyDescent="0.25">
      <c r="B11" s="5" t="s">
        <v>138</v>
      </c>
      <c r="C11" s="45">
        <v>4.1784326829268303E-2</v>
      </c>
      <c r="D11" s="53">
        <v>4.1784326829268303E-2</v>
      </c>
      <c r="E11" s="53">
        <v>3.92681E-2</v>
      </c>
      <c r="F11" s="53">
        <v>3.0278304878048799E-2</v>
      </c>
      <c r="G11" s="53">
        <v>1.7135658536585399E-2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0.50235673049999996</v>
      </c>
      <c r="D14" s="54">
        <v>0.47946105178800003</v>
      </c>
      <c r="E14" s="54">
        <v>0.47946105178800003</v>
      </c>
      <c r="F14" s="54">
        <v>0.29359077824300001</v>
      </c>
      <c r="G14" s="54">
        <v>0.29359077824300001</v>
      </c>
      <c r="H14" s="45">
        <v>0.29299999999999998</v>
      </c>
      <c r="I14" s="55">
        <v>0.29299999999999998</v>
      </c>
      <c r="J14" s="55">
        <v>0.29299999999999998</v>
      </c>
      <c r="K14" s="55">
        <v>0.29299999999999998</v>
      </c>
      <c r="L14" s="45">
        <v>0.25</v>
      </c>
      <c r="M14" s="55">
        <v>0.25</v>
      </c>
      <c r="N14" s="55">
        <v>0.25</v>
      </c>
      <c r="O14" s="55">
        <v>0.25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0.27651422459603697</v>
      </c>
      <c r="D15" s="52">
        <f t="shared" si="0"/>
        <v>0.26391166457987597</v>
      </c>
      <c r="E15" s="52">
        <f t="shared" si="0"/>
        <v>0.26391166457987597</v>
      </c>
      <c r="F15" s="52">
        <f t="shared" si="0"/>
        <v>0.16160234643140745</v>
      </c>
      <c r="G15" s="52">
        <f t="shared" si="0"/>
        <v>0.16160234643140745</v>
      </c>
      <c r="H15" s="52">
        <f t="shared" si="0"/>
        <v>0.16127716199999997</v>
      </c>
      <c r="I15" s="52">
        <f t="shared" si="0"/>
        <v>0.16127716199999997</v>
      </c>
      <c r="J15" s="52">
        <f t="shared" si="0"/>
        <v>0.16127716199999997</v>
      </c>
      <c r="K15" s="52">
        <f t="shared" si="0"/>
        <v>0.16127716199999997</v>
      </c>
      <c r="L15" s="52">
        <f t="shared" si="0"/>
        <v>0.13760849999999999</v>
      </c>
      <c r="M15" s="52">
        <f t="shared" si="0"/>
        <v>0.13760849999999999</v>
      </c>
      <c r="N15" s="52">
        <f t="shared" si="0"/>
        <v>0.13760849999999999</v>
      </c>
      <c r="O15" s="52">
        <f t="shared" si="0"/>
        <v>0.13760849999999999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j+F9YGlzrhE23gXku4Rq2ePQJia0MM3uTw5l8TlSEdqOx8hZ9qXi4AMX+WdUSQxGVfypCNtnYWo0TVx1W3AYMw==" saltValue="tlvVhjBY0nZB5JuonAHw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0.71099749285714298</v>
      </c>
      <c r="D2" s="53">
        <v>0.49434740714285702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0.162410978571429</v>
      </c>
      <c r="D3" s="53">
        <v>0.18356257142857099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0.107555923809524</v>
      </c>
      <c r="D4" s="53">
        <v>0.30326668809523799</v>
      </c>
      <c r="E4" s="53">
        <v>0.96036435581395296</v>
      </c>
      <c r="F4" s="53">
        <v>0.79145990697674407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1.9035604761904024E-2</v>
      </c>
      <c r="D5" s="52">
        <f t="shared" si="0"/>
        <v>1.882333333333408E-2</v>
      </c>
      <c r="E5" s="52">
        <f>1-SUM(E2:E4)</f>
        <v>3.9635644186047037E-2</v>
      </c>
      <c r="F5" s="52">
        <f>1-SUM(F2:F4)</f>
        <v>0.20854009302325593</v>
      </c>
      <c r="G5" s="52">
        <f>1-SUM(G2:G4)</f>
        <v>1</v>
      </c>
    </row>
  </sheetData>
  <sheetProtection algorithmName="SHA-512" hashValue="W5ctSy2HIEiTxmF0rfT3DoOD/vWkI1dLhRSDApTRlSGSjpLGJZnVTd3bTwAPkXFx/ixFO77jCVnuPHwGjQaNFQ==" saltValue="Am0r3x2b+DOnoQqlTquI8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/ZJsFHv16vQXkJohv7DxJ+d0KK+KfY38YGvEjzNgPvFJShyru5p9eQtuMUKElxN75iAMdlrqsF1rrKSdSFO5YQ==" saltValue="zlx1lthLohuYcWdJwU1zP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10256.2303053576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0.43796000000000002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0.50395999999999996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1.2022314368715165E-2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98486.193859999999</v>
      </c>
      <c r="C22" s="107">
        <v>98398.145480000007</v>
      </c>
      <c r="D22" s="107">
        <v>98290.220329999996</v>
      </c>
      <c r="E22" s="107">
        <v>97995.128710000005</v>
      </c>
      <c r="F22" s="107">
        <v>97516.871679999997</v>
      </c>
      <c r="G22" s="107">
        <v>96917.520149999997</v>
      </c>
      <c r="H22" s="107">
        <v>96155.702959999995</v>
      </c>
      <c r="I22" s="107">
        <v>95030.257169999997</v>
      </c>
      <c r="J22" s="107">
        <v>93432.272140000001</v>
      </c>
      <c r="K22" s="107">
        <v>91113.732019999996</v>
      </c>
      <c r="L22" s="107">
        <v>87870.201350000003</v>
      </c>
      <c r="M22" s="107">
        <v>83555.23616</v>
      </c>
      <c r="N22" s="107">
        <v>77455.434309999997</v>
      </c>
      <c r="O22" s="107">
        <v>69115.379050000003</v>
      </c>
    </row>
  </sheetData>
  <sheetProtection algorithmName="SHA-512" hashValue="HYc1UTIoSU1tnGH5s1Et6PSvyHKdAfj5jiIG78Qazs0gRi8CT7fvQxVSbQWTJE4inWAQ4ChBf2NgHoCc+YsXZw==" saltValue="cwC45JcVUuXjkd+waBag8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D92MqN7ZBM1Qy4G2pSbnk1fVKYvL3zvbHmrYb9ESJVApdTr4FxtQnDbrmJaC5oswQvHV9JibWYLU+yjni+IG7g==" saltValue="XczBdaUFRZxY3JHnpae+E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sedKb9YxPWGgrLXQzuZlihHfADoaKjlfo568RNNnUKsOAf+SVyYznhr5MSXWL0eZw1HcbGf66dPz7i+WnYhguQ==" saltValue="ZO/I9hX9dyT9+M3gRIJ2n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6.8747382117628364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2.1291837256908908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0.2139553248340432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0.78848199824391296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0.22197642864885933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13.79687476693295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13.79687476693295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13.79687476693295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13.79687476693295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0.31330000000000002</v>
      </c>
      <c r="C14" s="96">
        <v>0.95</v>
      </c>
      <c r="D14" s="56">
        <v>2.7509100930955666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13.79687476693295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2.1562548532894295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0.58636119533868591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</v>
      </c>
      <c r="C18" s="96">
        <v>0.95</v>
      </c>
      <c r="D18" s="56">
        <v>6.8747382117628364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</v>
      </c>
      <c r="C19" s="96">
        <v>0.95</v>
      </c>
      <c r="D19" s="56">
        <v>22.037631612682791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7.2638561333206297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6.8747382117628364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4.7697722391868336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0.70361648160000001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4.4432147531692987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8.8360724993186164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57.448392612859095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125.66324080233395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0.65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0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0.99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2.2145073762257557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5.8497136845734818</v>
      </c>
      <c r="E39" s="56" t="s">
        <v>230</v>
      </c>
      <c r="F39" s="96">
        <v>1</v>
      </c>
      <c r="G39" s="96">
        <v>1</v>
      </c>
    </row>
  </sheetData>
  <sheetProtection algorithmName="SHA-512" hashValue="16L5zKLMqp0q5g7xjf66gnXEsGRJCj2qJl8yjhotvzHAXb94b0cK2rpSNVEGY7OIcl+oaBM62f/jfhXTJpNHZQ==" saltValue="Z6i6MAXj69fqTqmdkmlk7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1emox5Oj6CJfm1OS6a8UQCkzGDK6Ek+gwVXu8cHJAGCeRwoD11GEbLQF0sxAVpJ4qz8O/YWDZ1QD0I7ylvSjqg==" saltValue="JPLViC1NYElERcdzl3Wvc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rznc9uHUbqItjk1GVwtbAts1n10M5yEhaf9vVXlg8qswI6hMcKez5+nGmlNzS9NwzuQ+kQoVh3cJArAQ3SuaKA==" saltValue="EtTqRKa23wrSKLb676Tg+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238</v>
      </c>
      <c r="B3" s="21">
        <f>frac_mam_1month * 2.6</f>
        <v>0.1512409473170731</v>
      </c>
      <c r="C3" s="21">
        <f>frac_mam_1_5months * 2.6</f>
        <v>0.1512409473170731</v>
      </c>
      <c r="D3" s="21">
        <f>frac_mam_6_11months * 2.6</f>
        <v>0.18416345365853656</v>
      </c>
      <c r="E3" s="21">
        <f>frac_mam_12_23months * 2.6</f>
        <v>0.15529866585365862</v>
      </c>
      <c r="F3" s="21">
        <f>frac_mam_24_59months * 2.6</f>
        <v>8.7898288780487902E-2</v>
      </c>
    </row>
    <row r="4" spans="1:6" ht="15.75" customHeight="1" x14ac:dyDescent="0.25">
      <c r="A4" s="3" t="s">
        <v>237</v>
      </c>
      <c r="B4" s="21">
        <f>frac_sam_1month * 2.6</f>
        <v>0.10863924975609759</v>
      </c>
      <c r="C4" s="21">
        <f>frac_sam_1_5months * 2.6</f>
        <v>0.10863924975609759</v>
      </c>
      <c r="D4" s="21">
        <f>frac_sam_6_11months * 2.6</f>
        <v>0.10209706</v>
      </c>
      <c r="E4" s="21">
        <f>frac_sam_12_23months * 2.6</f>
        <v>7.8723592682926877E-2</v>
      </c>
      <c r="F4" s="21">
        <f>frac_sam_24_59months * 2.6</f>
        <v>4.4552712195122038E-2</v>
      </c>
    </row>
  </sheetData>
  <sheetProtection algorithmName="SHA-512" hashValue="jM4X3bpDL2xrSD6wf4pXoHO+8Q7zMzyB6hfE9J0I0cS8uT85HmTYzXVWFQf4v2koRtiz9ezwljiM7f2AIbkeUw==" saltValue="E8KHW6Lc0hZtJW666VSqS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0.10299999999999999</v>
      </c>
      <c r="F2" s="60">
        <f>food_insecure</f>
        <v>0.10299999999999999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0.10299999999999999</v>
      </c>
      <c r="F5" s="60">
        <f>food_insecure</f>
        <v>0.10299999999999999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0.10299999999999999</v>
      </c>
      <c r="F8" s="60">
        <f>food_insecure</f>
        <v>0.10299999999999999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0.10299999999999999</v>
      </c>
      <c r="F9" s="60">
        <f>food_insecure</f>
        <v>0.10299999999999999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0.10299999999999999</v>
      </c>
      <c r="I15" s="60">
        <f t="shared" si="0"/>
        <v>0.10299999999999999</v>
      </c>
      <c r="J15" s="60">
        <f t="shared" si="0"/>
        <v>0.10299999999999999</v>
      </c>
      <c r="K15" s="60">
        <f t="shared" si="0"/>
        <v>0.10299999999999999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0.10299999999999999</v>
      </c>
      <c r="I16" s="60">
        <f t="shared" si="0"/>
        <v>0.10299999999999999</v>
      </c>
      <c r="J16" s="60">
        <f t="shared" si="0"/>
        <v>0.10299999999999999</v>
      </c>
      <c r="K16" s="60">
        <f t="shared" si="0"/>
        <v>0.10299999999999999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0.125</v>
      </c>
      <c r="M24" s="60">
        <f>famplan_unmet_need</f>
        <v>0.125</v>
      </c>
      <c r="N24" s="60">
        <f>famplan_unmet_need</f>
        <v>0.125</v>
      </c>
      <c r="O24" s="60">
        <f>famplan_unmet_need</f>
        <v>0.125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6.622487556999998E-2</v>
      </c>
      <c r="M25" s="60">
        <f>(1-food_insecure)*(0.49)+food_insecure*(0.7)</f>
        <v>0.51163000000000003</v>
      </c>
      <c r="N25" s="60">
        <f>(1-food_insecure)*(0.49)+food_insecure*(0.7)</f>
        <v>0.51163000000000003</v>
      </c>
      <c r="O25" s="60">
        <f>(1-food_insecure)*(0.49)+food_insecure*(0.7)</f>
        <v>0.51163000000000003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2.8382089529999995E-2</v>
      </c>
      <c r="M26" s="60">
        <f>(1-food_insecure)*(0.21)+food_insecure*(0.3)</f>
        <v>0.21927000000000002</v>
      </c>
      <c r="N26" s="60">
        <f>(1-food_insecure)*(0.21)+food_insecure*(0.3)</f>
        <v>0.21927000000000002</v>
      </c>
      <c r="O26" s="60">
        <f>(1-food_insecure)*(0.21)+food_insecure*(0.3)</f>
        <v>0.21927000000000002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3.4832034899999996E-2</v>
      </c>
      <c r="M27" s="60">
        <f>(1-food_insecure)*(0.3)</f>
        <v>0.26910000000000001</v>
      </c>
      <c r="N27" s="60">
        <f>(1-food_insecure)*(0.3)</f>
        <v>0.26910000000000001</v>
      </c>
      <c r="O27" s="60">
        <f>(1-food_insecure)*(0.3)</f>
        <v>0.26910000000000001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0.87056100000000003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O4iZajlV1+1r4b/kDeavl3ktg+6xRJ2JHZzSiKooNFGStO3doCSvz8qgnJfslq7W5MdlmZqTp6IL6HoKYuyFMg==" saltValue="Phv2NKMybA1kdkZ9uwwCs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ts/CVLCM+vm76OkKwrtxzByjyYeQALDVoR0c/GTcv7L96N/lTiAepg6hnwthP3Qcc9MbGXZvwaJdc35wjMN3jg==" saltValue="MJURUUmCytXx6nbccCwHa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5DN831OWBGIICA3fLveKjnYxnqPdtpRfLzjofw2Q4zwwMjpRv+lMQC39xIPPzOsvj45lAV4neChMY4ILnLCSJA==" saltValue="bCHiJSxUykxEW+jt/peyE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OBV9VbgU7aYJYztRmJXZjVSkbmO+zt2HqAniOWPTWpW8dXIQ9dj4J+VGHdJ0FoqJMX8zNS1syms73GXfeOWkvg==" saltValue="huwv6kIz81QL+19mzFjjD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/+6Xz7cNS0PyPtycEBfMBBIcbJnhCVPxyOV8K7+x812ZGCVkm0Sh+WV2zUQm9Ov21e4f0xJRyYK+5RR5K4Ny8w==" saltValue="DYEFoiZhs2yLM6Rs87YaL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tN4gE+Yh6rmGrAjoi/CANo/tb9H4om9TbcHPCB4cXAkRg5ljlieGS1tVsNyKCHRwbXMke54QCLjZpJO9TbAC1g==" saltValue="OpAuUaIpdoOu8Fhc/FNuX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dqfp+wiWuXfsezBLRi6RtbB6WuYDHKZMeTGiPrNq4DVtMFfM6lUhz3mG5OMOZVKsmqXxeBWQQ+TnZHKofXwPoA==" saltValue="XeOB8eKDdZCSqBhMnSoCk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5paJhfaBJObrePAgZ4PC513TMrxFWdpWBtzLGU6tU/IDWI+2HbYgieu/vnBu2hdagGWUox68sc3epMy1wEblqw==" saltValue="I8FLec4uSrWDR8DMMZzA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rW6hPFHL7o2mP/S+t8VQueF3JU7gbsyt21dx8Y82LdMjFXv5IEf5H3B/A8SmNO0n+nYh1NKEUQjYXU7KEjjHdw==" saltValue="fLDz1mgU+1KnSEBUlx2u/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vkpYcrnWo2Mubw8uD+fo7oZSy2h5zuZfbfdRY2jwmY/OOihdfaJEgZ5X2KbVP3KlXTzRanPz7Xhv5mNEQ1/uYQ==" saltValue="e74hmUSD7fOBxXQv0u/j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+PQwu/FlJoC8unm1+rAgl5mvipJSsLYvXq059Bt3Dd+KKHsEgmYnFTYYugjyXQWF2xPprLlvQdlw7UH3lG1D/w==" saltValue="zXH8jz8hjJb0xtT+d+KY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fRJrs1Nh13Z+kjdLWnek3D6aqb5WxybHmAniOrenv28w1xJ6YBnjiTkNpsFKk9o+0/cHm3dFeyA20YurDpQ+HQ==" saltValue="GC6hm7GB8OjD17TCv2t0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rKdOddjUDmuGzrct7s/4I1vmumiBQRfHh/FPmu4pl39YeTb4kb50xm3b92CqFTovi6i/1S9v9t/SosjVzFUVA==" saltValue="DjBkz7SV8PrsUlkntBaHV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NeKPyxmMKptv44kUevwFoKm1PinPb8zMkjPQfog+u/hkp+GfJF6If2/rTiNnvCig3TKDsc/8bj3kiOx+7zG2Ng==" saltValue="4quHu2/sMOGp6Nhyx/YC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4eQoe9OktDsMfvCwcJJFWhpK4nbNan976ljbqTXy+B2dCMKh3oN3Yb5R3DjgzvUjDVFwdm+iXx+z2lMcW3khXg==" saltValue="DCy1O7AjkOF5XWu8Lqa1J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2026-04-29T06:49:21Z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