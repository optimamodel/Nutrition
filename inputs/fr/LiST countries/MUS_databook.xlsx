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89430C0-024D-49DD-A872-826B7F65E78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A24" i="2"/>
  <c r="A36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<sst xmlns="http://schemas.openxmlformats.org/spreadsheetml/2006/main" count="2159" uniqueCount="368">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</sst>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65672</v>
      </c>
    </row>
    <row r="8" spans="1:3" ht="15" customHeight="1" x14ac:dyDescent="0.25">
      <c r="B8" s="5" t="s">
        <v>37</v>
      </c>
      <c r="C8" s="44">
        <v>0.10299999999999999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0.87056100000000003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9.3299999999999994E-2</v>
      </c>
    </row>
    <row r="24" spans="1:3" ht="15" customHeight="1" x14ac:dyDescent="0.25">
      <c r="B24" s="15" t="s">
        <v>51</v>
      </c>
      <c r="C24" s="45">
        <v>0.53799999999999992</v>
      </c>
    </row>
    <row r="25" spans="1:3" ht="15" customHeight="1" x14ac:dyDescent="0.25">
      <c r="B25" s="15" t="s">
        <v>52</v>
      </c>
      <c r="C25" s="45">
        <v>0.34460000000000002</v>
      </c>
    </row>
    <row r="26" spans="1:3" ht="15" customHeight="1" x14ac:dyDescent="0.25">
      <c r="B26" s="15" t="s">
        <v>53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0.28578644131437603</v>
      </c>
    </row>
    <row r="30" spans="1:3" ht="14.25" customHeight="1" x14ac:dyDescent="0.25">
      <c r="B30" s="25" t="s">
        <v>56</v>
      </c>
      <c r="C30" s="99">
        <v>6.9844134891047002E-2</v>
      </c>
    </row>
    <row r="31" spans="1:3" ht="14.25" customHeight="1" x14ac:dyDescent="0.25">
      <c r="B31" s="25" t="s">
        <v>57</v>
      </c>
      <c r="C31" s="99">
        <v>8.7209546463448695E-2</v>
      </c>
    </row>
    <row r="32" spans="1:3" ht="14.25" customHeight="1" x14ac:dyDescent="0.25">
      <c r="B32" s="25" t="s">
        <v>58</v>
      </c>
      <c r="C32" s="99">
        <v>0.55715987733112793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10.557169999999999</v>
      </c>
    </row>
    <row r="38" spans="1:5" ht="15" customHeight="1" x14ac:dyDescent="0.25">
      <c r="B38" s="11" t="s">
        <v>63</v>
      </c>
      <c r="C38" s="43">
        <v>15.31372</v>
      </c>
      <c r="D38" s="12"/>
      <c r="E38" s="13"/>
    </row>
    <row r="39" spans="1:5" ht="15" customHeight="1" x14ac:dyDescent="0.25">
      <c r="B39" s="11" t="s">
        <v>64</v>
      </c>
      <c r="C39" s="43">
        <v>16.61721</v>
      </c>
      <c r="D39" s="12"/>
      <c r="E39" s="12"/>
    </row>
    <row r="40" spans="1:5" ht="15" customHeight="1" x14ac:dyDescent="0.25">
      <c r="B40" s="11" t="s">
        <v>65</v>
      </c>
      <c r="C40" s="100">
        <v>0.84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7.9162E-3</v>
      </c>
      <c r="D45" s="12"/>
    </row>
    <row r="46" spans="1:5" ht="15.75" customHeight="1" x14ac:dyDescent="0.25">
      <c r="B46" s="11" t="s">
        <v>70</v>
      </c>
      <c r="C46" s="45">
        <v>8.5058299999999989E-2</v>
      </c>
      <c r="D46" s="12"/>
    </row>
    <row r="47" spans="1:5" ht="15.75" customHeight="1" x14ac:dyDescent="0.25">
      <c r="B47" s="11" t="s">
        <v>71</v>
      </c>
      <c r="C47" s="45">
        <v>7.3472499999999996E-2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0.55043399999999998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0.1869435005</v>
      </c>
    </row>
    <row r="63" spans="1:4" ht="15.75" customHeight="1" x14ac:dyDescent="0.3">
      <c r="A63" s="4"/>
    </row>
  </sheetData>
  <sheetProtection algorithmName="SHA-512" hashValue="PYHxHLvbAFyS9OzpXNCNVyKMMLNY2wihJqi8E6yezlJqyaz2YEolbm/yIl2lry8TT6mfNp6pMlnopMeIFqYb5w==" saltValue="POy+vTHVpHcW1i0C/Pqd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58788.5</v>
      </c>
      <c r="C2" s="49">
        <v>10136</v>
      </c>
      <c r="D2" s="49">
        <v>29851.5</v>
      </c>
      <c r="E2" s="49">
        <v>71008</v>
      </c>
      <c r="F2" s="49">
        <v>88924</v>
      </c>
      <c r="G2" s="17">
        <f t="shared" ref="G2:G13" si="0">C2+D2+E2+F2</f>
        <v>199919.5</v>
      </c>
      <c r="H2" s="17">
        <f t="shared" ref="H2:H13" si="1">(B2 + stillbirth*B2/(1000-stillbirth))/(1-abortion)</f>
        <v>67502.985147957574</v>
      </c>
      <c r="I2" s="17">
        <f t="shared" ref="I2:I13" si="2">G2-H2</f>
        <v>132416.51485204243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11600</v>
      </c>
      <c r="C3" s="50">
        <v>43204</v>
      </c>
      <c r="D3" s="50">
        <v>93240.5</v>
      </c>
      <c r="E3" s="50">
        <v>94393.5</v>
      </c>
      <c r="F3" s="50">
        <v>93335.5</v>
      </c>
      <c r="G3" s="17">
        <f t="shared" si="0"/>
        <v>324173.5</v>
      </c>
      <c r="H3" s="17">
        <f t="shared" si="1"/>
        <v>13319.520445602591</v>
      </c>
      <c r="I3" s="17">
        <f t="shared" si="2"/>
        <v>310853.9795543974</v>
      </c>
    </row>
    <row r="4" spans="1:9" ht="15.75" customHeight="1" x14ac:dyDescent="0.25">
      <c r="A4" s="5">
        <f t="shared" si="3"/>
        <v>2026</v>
      </c>
      <c r="B4" s="49">
        <v>11408</v>
      </c>
      <c r="C4" s="50">
        <v>41266.5</v>
      </c>
      <c r="D4" s="50">
        <v>92212</v>
      </c>
      <c r="E4" s="50">
        <v>95458.5</v>
      </c>
      <c r="F4" s="50">
        <v>92813</v>
      </c>
      <c r="G4" s="17">
        <f t="shared" si="0"/>
        <v>321750</v>
      </c>
      <c r="H4" s="17">
        <f t="shared" si="1"/>
        <v>13099.059417537444</v>
      </c>
      <c r="I4" s="17">
        <f t="shared" si="2"/>
        <v>308650.94058246253</v>
      </c>
    </row>
    <row r="5" spans="1:9" ht="15.75" customHeight="1" x14ac:dyDescent="0.25">
      <c r="A5" s="5">
        <f t="shared" si="3"/>
        <v>2027</v>
      </c>
      <c r="B5" s="49">
        <v>11254</v>
      </c>
      <c r="C5" s="50">
        <v>39244</v>
      </c>
      <c r="D5" s="50">
        <v>91138</v>
      </c>
      <c r="E5" s="50">
        <v>96268</v>
      </c>
      <c r="F5" s="50">
        <v>92012.5</v>
      </c>
      <c r="G5" s="17">
        <f t="shared" si="0"/>
        <v>318662.5</v>
      </c>
      <c r="H5" s="17">
        <f t="shared" si="1"/>
        <v>12922.231301276859</v>
      </c>
      <c r="I5" s="17">
        <f t="shared" si="2"/>
        <v>305740.26869872311</v>
      </c>
    </row>
    <row r="6" spans="1:9" ht="15.75" customHeight="1" x14ac:dyDescent="0.25">
      <c r="A6" s="5">
        <f t="shared" si="3"/>
        <v>2028</v>
      </c>
      <c r="B6" s="49">
        <v>11119</v>
      </c>
      <c r="C6" s="50">
        <v>37296.5</v>
      </c>
      <c r="D6" s="50">
        <v>89932.5</v>
      </c>
      <c r="E6" s="50">
        <v>96596</v>
      </c>
      <c r="F6" s="50">
        <v>91110.5</v>
      </c>
      <c r="G6" s="17">
        <f t="shared" si="0"/>
        <v>314935.5</v>
      </c>
      <c r="H6" s="17">
        <f t="shared" si="1"/>
        <v>12767.219640918551</v>
      </c>
      <c r="I6" s="17">
        <f t="shared" si="2"/>
        <v>302168.28035908146</v>
      </c>
    </row>
    <row r="7" spans="1:9" ht="15.75" customHeight="1" x14ac:dyDescent="0.25">
      <c r="A7" s="5">
        <f t="shared" si="3"/>
        <v>2029</v>
      </c>
      <c r="B7" s="49">
        <v>10975</v>
      </c>
      <c r="C7" s="50">
        <v>35530.5</v>
      </c>
      <c r="D7" s="50">
        <v>88538.5</v>
      </c>
      <c r="E7" s="50">
        <v>96306.000000000015</v>
      </c>
      <c r="F7" s="50">
        <v>90271.5</v>
      </c>
      <c r="G7" s="17">
        <f t="shared" si="0"/>
        <v>310646.5</v>
      </c>
      <c r="H7" s="17">
        <f t="shared" si="1"/>
        <v>12601.873869869692</v>
      </c>
      <c r="I7" s="17">
        <f t="shared" si="2"/>
        <v>298044.62613013032</v>
      </c>
    </row>
    <row r="8" spans="1:9" ht="15.75" customHeight="1" x14ac:dyDescent="0.25">
      <c r="A8" s="5">
        <f t="shared" si="3"/>
        <v>2030</v>
      </c>
      <c r="B8" s="49">
        <v>10842</v>
      </c>
      <c r="C8" s="50">
        <v>33995.5</v>
      </c>
      <c r="D8" s="50">
        <v>86881</v>
      </c>
      <c r="E8" s="50">
        <v>95487</v>
      </c>
      <c r="F8" s="50">
        <v>89620</v>
      </c>
      <c r="G8" s="17">
        <f t="shared" si="0"/>
        <v>305983.5</v>
      </c>
      <c r="H8" s="17">
        <f t="shared" si="1"/>
        <v>12449.158678553733</v>
      </c>
      <c r="I8" s="17">
        <f t="shared" si="2"/>
        <v>293534.34132144629</v>
      </c>
    </row>
    <row r="9" spans="1:9" ht="15.75" customHeight="1" x14ac:dyDescent="0.25">
      <c r="A9" s="5">
        <f t="shared" si="3"/>
        <v>2031</v>
      </c>
      <c r="B9" s="49">
        <v>10733</v>
      </c>
      <c r="C9" s="50">
        <v>32700.000000000004</v>
      </c>
      <c r="D9" s="50">
        <v>84942.5</v>
      </c>
      <c r="E9" s="50">
        <v>94337</v>
      </c>
      <c r="F9" s="50">
        <v>89259</v>
      </c>
      <c r="G9" s="17">
        <f t="shared" si="0"/>
        <v>301238.5</v>
      </c>
      <c r="H9" s="17">
        <f t="shared" si="1"/>
        <v>12324.001115745914</v>
      </c>
      <c r="I9" s="17">
        <f t="shared" si="2"/>
        <v>288914.49888425408</v>
      </c>
    </row>
    <row r="10" spans="1:9" ht="15.75" customHeight="1" x14ac:dyDescent="0.25">
      <c r="A10" s="5">
        <f t="shared" si="3"/>
        <v>2032</v>
      </c>
      <c r="B10" s="49">
        <v>10610</v>
      </c>
      <c r="C10" s="50">
        <v>31641.5</v>
      </c>
      <c r="D10" s="50">
        <v>82709</v>
      </c>
      <c r="E10" s="50">
        <v>93036.5</v>
      </c>
      <c r="F10" s="50">
        <v>89275.5</v>
      </c>
      <c r="G10" s="17">
        <f t="shared" si="0"/>
        <v>296662.5</v>
      </c>
      <c r="H10" s="17">
        <f t="shared" si="1"/>
        <v>12182.768269641681</v>
      </c>
      <c r="I10" s="17">
        <f t="shared" si="2"/>
        <v>284479.73173035833</v>
      </c>
    </row>
    <row r="11" spans="1:9" ht="15.75" customHeight="1" x14ac:dyDescent="0.25">
      <c r="A11" s="5">
        <f t="shared" si="3"/>
        <v>2033</v>
      </c>
      <c r="B11" s="49">
        <v>10501</v>
      </c>
      <c r="C11" s="50">
        <v>30822</v>
      </c>
      <c r="D11" s="50">
        <v>80132</v>
      </c>
      <c r="E11" s="50">
        <v>91780.499999999985</v>
      </c>
      <c r="F11" s="50">
        <v>89735.5</v>
      </c>
      <c r="G11" s="17">
        <f t="shared" si="0"/>
        <v>292470</v>
      </c>
      <c r="H11" s="17">
        <f t="shared" si="1"/>
        <v>12057.610706833861</v>
      </c>
      <c r="I11" s="17">
        <f t="shared" si="2"/>
        <v>280412.38929316611</v>
      </c>
    </row>
    <row r="12" spans="1:9" ht="15.75" customHeight="1" x14ac:dyDescent="0.25">
      <c r="A12" s="5">
        <f t="shared" si="3"/>
        <v>2034</v>
      </c>
      <c r="B12" s="49">
        <v>10377</v>
      </c>
      <c r="C12" s="50">
        <v>30248.5</v>
      </c>
      <c r="D12" s="50">
        <v>77240.5</v>
      </c>
      <c r="E12" s="50">
        <v>90693.999999999985</v>
      </c>
      <c r="F12" s="50">
        <v>90620</v>
      </c>
      <c r="G12" s="17">
        <f t="shared" si="0"/>
        <v>288803</v>
      </c>
      <c r="H12" s="17">
        <f t="shared" si="1"/>
        <v>11915.229626208456</v>
      </c>
      <c r="I12" s="17">
        <f t="shared" si="2"/>
        <v>276887.77037379157</v>
      </c>
    </row>
    <row r="13" spans="1:9" ht="15.75" customHeight="1" x14ac:dyDescent="0.25">
      <c r="A13" s="5">
        <f t="shared" si="3"/>
        <v>2035</v>
      </c>
      <c r="B13" s="49">
        <v>10261</v>
      </c>
      <c r="C13" s="50">
        <v>29925</v>
      </c>
      <c r="D13" s="50">
        <v>74146.5</v>
      </c>
      <c r="E13" s="50">
        <v>89771.5</v>
      </c>
      <c r="F13" s="50">
        <v>91757.5</v>
      </c>
      <c r="G13" s="17">
        <f t="shared" si="0"/>
        <v>285600.5</v>
      </c>
      <c r="H13" s="17">
        <f t="shared" si="1"/>
        <v>11782.034421752431</v>
      </c>
      <c r="I13" s="17">
        <f t="shared" si="2"/>
        <v>273818.46557824756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VuXtTosxURuzDC6/FEGUkX0WswBb9voMXWrpU3iuNSPh3UOVtF23ouKe5GCTSs4lWKq3mNNHYNRXDHrmnANWQ==" saltValue="mUti3C1WEIz8Cf9UUnbL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0.15682070000000009</v>
      </c>
    </row>
    <row r="5" spans="1:8" ht="15.75" customHeight="1" x14ac:dyDescent="0.25">
      <c r="B5" s="19" t="s">
        <v>98</v>
      </c>
      <c r="C5" s="101">
        <v>2.2275900000000019E-2</v>
      </c>
    </row>
    <row r="6" spans="1:8" ht="15.75" customHeight="1" x14ac:dyDescent="0.25">
      <c r="B6" s="19" t="s">
        <v>99</v>
      </c>
      <c r="C6" s="101">
        <v>0.13210289999999991</v>
      </c>
    </row>
    <row r="7" spans="1:8" ht="15.75" customHeight="1" x14ac:dyDescent="0.25">
      <c r="B7" s="19" t="s">
        <v>100</v>
      </c>
      <c r="C7" s="101">
        <v>0.37545339999999938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0.20337500000000061</v>
      </c>
    </row>
    <row r="10" spans="1:8" ht="15.75" customHeight="1" x14ac:dyDescent="0.25">
      <c r="B10" s="19" t="s">
        <v>103</v>
      </c>
      <c r="C10" s="101">
        <v>0.1099721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106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107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112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113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6.3877289000000004E-2</v>
      </c>
    </row>
    <row r="27" spans="1:8" ht="15.75" customHeight="1" x14ac:dyDescent="0.25">
      <c r="B27" s="19" t="s">
        <v>120</v>
      </c>
      <c r="C27" s="101">
        <v>0.18947355599999999</v>
      </c>
    </row>
    <row r="28" spans="1:8" ht="15.75" customHeight="1" x14ac:dyDescent="0.25">
      <c r="B28" s="19" t="s">
        <v>121</v>
      </c>
      <c r="C28" s="101">
        <v>0.10579783700000001</v>
      </c>
    </row>
    <row r="29" spans="1:8" ht="15.75" customHeight="1" x14ac:dyDescent="0.25">
      <c r="B29" s="19" t="s">
        <v>122</v>
      </c>
      <c r="C29" s="101">
        <v>0.116400988</v>
      </c>
    </row>
    <row r="30" spans="1:8" ht="15.75" customHeight="1" x14ac:dyDescent="0.25">
      <c r="B30" s="19" t="s">
        <v>2</v>
      </c>
      <c r="C30" s="101">
        <v>5.2355714999999997E-2</v>
      </c>
    </row>
    <row r="31" spans="1:8" ht="15.75" customHeight="1" x14ac:dyDescent="0.25">
      <c r="B31" s="19" t="s">
        <v>123</v>
      </c>
      <c r="C31" s="101">
        <v>0.15858112799999999</v>
      </c>
    </row>
    <row r="32" spans="1:8" ht="15.75" customHeight="1" x14ac:dyDescent="0.25">
      <c r="B32" s="19" t="s">
        <v>124</v>
      </c>
      <c r="C32" s="101">
        <v>7.0649206000000006E-2</v>
      </c>
    </row>
    <row r="33" spans="2:3" ht="15.75" customHeight="1" x14ac:dyDescent="0.25">
      <c r="B33" s="19" t="s">
        <v>125</v>
      </c>
      <c r="C33" s="101">
        <v>0.120208732</v>
      </c>
    </row>
    <row r="34" spans="2:3" ht="15.75" customHeight="1" x14ac:dyDescent="0.25">
      <c r="B34" s="19" t="s">
        <v>126</v>
      </c>
      <c r="C34" s="101">
        <v>0.122655549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lt/zixEn4FcGiqwxxMFfq9SNJyzPEJBBUb7ehjcadAK/IAuXdn5AXXdyb2gVW7TRmv3t3x2qc/fy9xr6Yet0Q==" saltValue="uFYEGs1RHw31B7vkPYzWt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Cdw8irNgRKYMIbhmyIODioLwSolrjWpjnofx930jIZncFi13KpF/qE0C1B+peVCFbeV/gBHX9nB+sJ870kZJA==" saltValue="hWer28OPGXnPhOtXWeRQ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v4+H5kq0BmVIqodKenmYl8Qzjb9HuZrFalUYXXl/eN85t3WoDRG53RVcmAfZbLRp4B4FoEs0gl696DZuyNkolA==" saltValue="F1kvQy9DclpQ7PtfFLDm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DrFq/uLL95lT1+fBYTFV355CdwuuVPmBBpvyWHrFQyllVOLs8W2EWSgsW0dye4jIMUn2ETjv8xfr2vZyx21/g==" saltValue="t+UWSVQKpkFYmKQhOJ3J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10256.2303053576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0.43796000000000002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0.50395999999999996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1.2022314368715165E-2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98486.193859999999</v>
      </c>
      <c r="C22" s="109">
        <v>98398.145480000007</v>
      </c>
      <c r="D22" s="109">
        <v>98290.220329999996</v>
      </c>
      <c r="E22" s="109">
        <v>97995.128710000005</v>
      </c>
      <c r="F22" s="109">
        <v>97516.871679999997</v>
      </c>
      <c r="G22" s="109">
        <v>96917.520149999997</v>
      </c>
      <c r="H22" s="109">
        <v>96155.702959999995</v>
      </c>
      <c r="I22" s="109">
        <v>95030.257169999997</v>
      </c>
      <c r="J22" s="109">
        <v>93432.272140000001</v>
      </c>
      <c r="K22" s="109">
        <v>91113.732019999996</v>
      </c>
      <c r="L22" s="109">
        <v>87870.201350000003</v>
      </c>
      <c r="M22" s="109">
        <v>83555.23616</v>
      </c>
      <c r="N22" s="109">
        <v>77455.434309999997</v>
      </c>
      <c r="O22" s="109">
        <v>69115.379050000003</v>
      </c>
    </row>
  </sheetData>
  <sheetProtection algorithmName="SHA-512" hashValue="EMZO4mkqXS2L5+qU60cmgxzd0B24P3wDrtKcIw/X0MN8o+ap80/4zxxY1QyJOsJyAmJn0eZJ2417yoOAXOaq7A==" saltValue="O1S7oo7yZWenX4NTMCTO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EltH8AUvXk5kT3TbX9dNrSrHpXOniDA2QR7JFBqXrzZM/FSEWChwvFreCMV/LClpTpF4uDHlr0FNUkcjwIuvg==" saltValue="EKzlFJ4PVcUIpIDBOzQZ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yiXL/3izcBuroDZSCXSvpfOZWxlhEjieGgpaEcvv4jDDCveWFPk/UGVj8dpFd1Vo+MJ2ZYSng0SH9VE+6zw0w==" saltValue="o5VeX5eFTFSodE1JfBoK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13.79687476693295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13.79687476693295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13.79687476693295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13.79687476693295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13.79687476693295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22.037631612682791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4.7697722391868336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0.70361648160000001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yq1Q2DwGGt7P4xTqf+Vau6JsNUOyGGqpjNjt+C1VFNgXPHMDtsyqmiyrBCQu38O82IiXujO5DtHw8Kh+krlWYA==" saltValue="PmigBYLECHDex6Z9p/Vq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R1YiLlZTbKTV7f9wyt0IN7yz59Y5y6TYaew6zPQvUUj7mgVQLVSFmnRKX8DvbWca+ploRoHWeGMYmN8E86q1Q==" saltValue="CumuWMqXfLmeklSXg2mE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4yp2ll4CRUdgt70CQq0VbSN7d+r0LsC47bGBEerM+aUe+8ZID4RUmT042Rfn25iPJvChxw1sjOe8kP/iKX3aA==" saltValue="FKgcjlUKv+/5BdEg+VWW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j8WCiKLED8f7W4RYiGb0W8jIKopm/LXM4pMgqwyRQWCc3oaYLFmxBoAdFPTXxDDz9ZEC8XHQLfnl0KST6QAl+g==" saltValue="Q9shCLZPKxur1Ea/gKO6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JHMnFb01JyDCN0bioAJcxGjjhzsct1zBRYe9i26TK59mdT+QLLjxfsFCgB3QndDbxXx2eJK8C5poHsBhsGJcA==" saltValue="NdK+Jg/fUfsyWXG8r5el3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mDlCLjP1SxNINNSmiB7dfWcUWdw7tzWCLfSU14FBS8N+vF/O0e4t/N9UF2NE5vAGgOzDR1MxXgyl+8PeIY7sg==" saltValue="/MHrkFLEC4ub80luR6P08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RunFj3AOhqssdCj1TZelDr7xrHgKV+YbwhO+jJKGNntBdNkRVqBR7pXpaNzEKdNGUTDmIhYnBb2lJwgxKYFYg==" saltValue="kmrsgF18g4/MZ2ZWP7mK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zEd0MN5bXULLKMTUNBxac/MUXb1+D7ReWakAK1ds2L7BEYbgxRrqihQ+LnsAG6uIxzqxoK7zfSnO85FC13xlQ==" saltValue="euQ57vmrmmo446scTo1V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0vCmD6iGGOQPZoS+Q7/r5EFMqqlwbxNIkdIJ34YEAoU2bzlVYA6Fdh0d1wkCotLQWYMuV+99ZUJgqYCPl8uR2g==" saltValue="5HJQ53CpLhK3PHAfH4ja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62OTqkfOa5nQY5/J82HLUH+2pYBBqoH0UMnDFvGecfFdjMicCTDX2gsYAbnPu4diy2z7+2nQxEogYpFiJWaOGg==" saltValue="D2+dgxFwDqNrtGm8yQt/8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Jp8Y/PkJGlpcCE18kx0nGOjkHS7s8V7xwmv8VkzXj7hDHSAtaOETOuy9EaESzh8STqdKlZgsCX88R3VGsUkeQ==" saltValue="s+BQesf9qtVP8+Ee6Raey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zkAS+RsWeXqJeoXMN79DEYWrhaU7IjFz4it+9Vnmjpp30Ra6Quq+eNuNQJc87DuUDmcNrUI44qBd3pvbVuJKw==" saltValue="FQ8HtQoSJV9OuzU74E7d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EDKi+oM11sxSfRWeNL7jB9T79uhyZyKy2sgiSW6l49GnCk092IM35bB6V0DL1GX2adTYa1aeC8j+ANmRGcvtw==" saltValue="zZhycfhydFyB2tjpxC62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X2D0QoxThuIImyTJrn98rNidXdyh2AQf7ciUH8iv27WxrLG9V2DE3dsbZn1o8vZz6zpmN1u8Cy00Im/r4aIYg==" saltValue="uAM1+618g3QMdH0OJ4IT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xCKzaISuoIT/m94Sxt7uJbc51DDCMueHZyNsOciNuqIdXnGCQd1wpSxnLJ9SiErYsflfUhrcWFVG57dqUQLDw==" saltValue="ZRJaq5byYfzzSfxx+bhR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e5UOSO0Tf8fYT/cEdkJsNVdzi09pDTroLLkQq+M+s40e8QrXOL4VmTlPWnXCBU0J+DNitUbOut48zO/AC2+kA==" saltValue="55mPiPKqsKGIbXxJDRUe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19PWbFE5SJwfQa2F/Hac+G2/nWLpBfSB6eqWsdM3CR/cgeMZjPCgKQtcb1wHu4gmQvZUbxg5DifLMDL7njYCg==" saltValue="UmiT/79pYDS7hGe7+ey0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irDHdn43eApCwYnzjONGtjlSVaBoFLqUEBuwenoK+CuArF1begb+779gRQ0qbj5ybEm35tfqwC28n7cR6RPmw==" saltValue="awd21TLICxvz/5Pk/5pZ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EDKBEkRi1qOCKDrdJ8ZpHjZZFs63jfVuzP0cZqXSMszGc9la7OgPCxLVRx9/7LPs1Sgd/wDjp3sXpImGTHHOA==" saltValue="8N3EGVQ91I1+wkV0O7HPL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