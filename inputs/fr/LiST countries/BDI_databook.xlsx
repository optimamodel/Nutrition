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D7FBE6D-43A0-431F-84B7-F59F703AA16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9" i="2" l="1"/>
  <c r="A31" i="2"/>
  <c r="A34" i="2"/>
  <c r="A15" i="2"/>
  <c r="A28" i="2"/>
  <c r="A17" i="2"/>
  <c r="A29" i="2"/>
  <c r="A18" i="2"/>
  <c r="A3" i="2"/>
  <c r="A20" i="2"/>
  <c r="A33" i="2"/>
  <c r="A21" i="2"/>
  <c r="A23" i="2"/>
  <c r="A36" i="2"/>
  <c r="A25" i="2"/>
  <c r="A37" i="2"/>
  <c r="I4" i="2"/>
  <c r="A26" i="2"/>
  <c r="I38" i="2"/>
  <c r="A16" i="2"/>
  <c r="A24" i="2"/>
  <c r="A32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<sst xmlns="http://schemas.openxmlformats.org/spreadsheetml/2006/main" count="2101" uniqueCount="337">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</sst>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2134003.421875</v>
      </c>
    </row>
    <row r="8" spans="1:3" ht="15" customHeight="1" x14ac:dyDescent="0.25">
      <c r="B8" s="5" t="s">
        <v>19</v>
      </c>
      <c r="C8" s="44">
        <v>0.71799999999999997</v>
      </c>
    </row>
    <row r="9" spans="1:3" ht="15" customHeight="1" x14ac:dyDescent="0.25">
      <c r="B9" s="5" t="s">
        <v>20</v>
      </c>
      <c r="C9" s="45">
        <v>0.21</v>
      </c>
    </row>
    <row r="10" spans="1:3" ht="15" customHeight="1" x14ac:dyDescent="0.25">
      <c r="B10" s="5" t="s">
        <v>21</v>
      </c>
      <c r="C10" s="45">
        <v>0.31669290542602502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3.6499999999999998E-2</v>
      </c>
    </row>
    <row r="24" spans="1:3" ht="15" customHeight="1" x14ac:dyDescent="0.25">
      <c r="B24" s="15" t="s">
        <v>33</v>
      </c>
      <c r="C24" s="45">
        <v>0.49450000000000011</v>
      </c>
    </row>
    <row r="25" spans="1:3" ht="15" customHeight="1" x14ac:dyDescent="0.25">
      <c r="B25" s="15" t="s">
        <v>34</v>
      </c>
      <c r="C25" s="45">
        <v>0.37509999999999999</v>
      </c>
    </row>
    <row r="26" spans="1:3" ht="15" customHeight="1" x14ac:dyDescent="0.25">
      <c r="B26" s="15" t="s">
        <v>35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0.19090989580981799</v>
      </c>
    </row>
    <row r="30" spans="1:3" ht="14.25" customHeight="1" x14ac:dyDescent="0.25">
      <c r="B30" s="25" t="s">
        <v>38</v>
      </c>
      <c r="C30" s="99">
        <v>4.81342613461836E-2</v>
      </c>
    </row>
    <row r="31" spans="1:3" ht="14.25" customHeight="1" x14ac:dyDescent="0.25">
      <c r="B31" s="25" t="s">
        <v>39</v>
      </c>
      <c r="C31" s="99">
        <v>9.7345412653664407E-2</v>
      </c>
    </row>
    <row r="32" spans="1:3" ht="14.25" customHeight="1" x14ac:dyDescent="0.25">
      <c r="B32" s="25" t="s">
        <v>40</v>
      </c>
      <c r="C32" s="99">
        <v>0.66361043019033406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20.44547</v>
      </c>
    </row>
    <row r="38" spans="1:5" ht="15" customHeight="1" x14ac:dyDescent="0.25">
      <c r="B38" s="11" t="s">
        <v>45</v>
      </c>
      <c r="C38" s="43">
        <v>37.628990000000002</v>
      </c>
      <c r="D38" s="12"/>
      <c r="E38" s="13"/>
    </row>
    <row r="39" spans="1:5" ht="15" customHeight="1" x14ac:dyDescent="0.25">
      <c r="B39" s="11" t="s">
        <v>46</v>
      </c>
      <c r="C39" s="43">
        <v>52.604759999999999</v>
      </c>
      <c r="D39" s="12"/>
      <c r="E39" s="12"/>
    </row>
    <row r="40" spans="1:5" ht="15" customHeight="1" x14ac:dyDescent="0.25">
      <c r="B40" s="11" t="s">
        <v>47</v>
      </c>
      <c r="C40" s="100">
        <v>4.9400000000000004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7.9351999999999999E-3</v>
      </c>
      <c r="D45" s="12"/>
    </row>
    <row r="46" spans="1:5" ht="15.75" customHeight="1" x14ac:dyDescent="0.25">
      <c r="B46" s="11" t="s">
        <v>52</v>
      </c>
      <c r="C46" s="45">
        <v>8.5262499999999991E-2</v>
      </c>
      <c r="D46" s="12"/>
    </row>
    <row r="47" spans="1:5" ht="15.75" customHeight="1" x14ac:dyDescent="0.25">
      <c r="B47" s="11" t="s">
        <v>53</v>
      </c>
      <c r="C47" s="45">
        <v>7.3454400000000003E-2</v>
      </c>
      <c r="D47" s="12"/>
      <c r="E47" s="13"/>
    </row>
    <row r="48" spans="1:5" ht="15" customHeight="1" x14ac:dyDescent="0.25">
      <c r="B48" s="11" t="s">
        <v>54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0.53929500000000008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umED5q1/WWCDnMP17sbD1ZOKNkmp/w6oqzjcc1Sz4cPBfOsskVD/JwbM0Rsu5BFb5Ne9BwsVaLrs0aNB/zlz/g==" saltValue="2v5sM0x6KfFYOE+vg9N1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zSmoSRY2xg1hFfDysIHewG6/eIZjZBdg82yqD4W015FO8CF64L8od381Ox/oO6JataqmxLH7nsYrowZNnsofA==" saltValue="nKzPFDYZzyEAdJTdUB3dC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1.14185011418501E-2</v>
      </c>
    </row>
    <row r="4" spans="1:8" ht="15.75" customHeight="1" x14ac:dyDescent="0.25">
      <c r="B4" s="19" t="s">
        <v>79</v>
      </c>
      <c r="C4" s="101">
        <v>5.5858105585810461E-2</v>
      </c>
    </row>
    <row r="5" spans="1:8" ht="15.75" customHeight="1" x14ac:dyDescent="0.25">
      <c r="B5" s="19" t="s">
        <v>80</v>
      </c>
      <c r="C5" s="101">
        <v>7.1107207110720647E-2</v>
      </c>
    </row>
    <row r="6" spans="1:8" ht="15.75" customHeight="1" x14ac:dyDescent="0.25">
      <c r="B6" s="19" t="s">
        <v>81</v>
      </c>
      <c r="C6" s="101">
        <v>0.24179002417900219</v>
      </c>
    </row>
    <row r="7" spans="1:8" ht="15.75" customHeight="1" x14ac:dyDescent="0.25">
      <c r="B7" s="19" t="s">
        <v>82</v>
      </c>
      <c r="C7" s="101">
        <v>0.42007884200788481</v>
      </c>
    </row>
    <row r="8" spans="1:8" ht="15.75" customHeight="1" x14ac:dyDescent="0.25">
      <c r="B8" s="19" t="s">
        <v>83</v>
      </c>
      <c r="C8" s="101">
        <v>1.6044001604400141E-3</v>
      </c>
    </row>
    <row r="9" spans="1:8" ht="15.75" customHeight="1" x14ac:dyDescent="0.25">
      <c r="B9" s="19" t="s">
        <v>84</v>
      </c>
      <c r="C9" s="101">
        <v>8.5042508504250727E-2</v>
      </c>
    </row>
    <row r="10" spans="1:8" ht="15.75" customHeight="1" x14ac:dyDescent="0.25">
      <c r="B10" s="19" t="s">
        <v>85</v>
      </c>
      <c r="C10" s="101">
        <v>0.113100411310041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88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89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90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91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92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93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94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95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8.6116069000000003E-2</v>
      </c>
    </row>
    <row r="27" spans="1:8" ht="15.75" customHeight="1" x14ac:dyDescent="0.25">
      <c r="B27" s="19" t="s">
        <v>102</v>
      </c>
      <c r="C27" s="101">
        <v>8.4963420000000005E-3</v>
      </c>
    </row>
    <row r="28" spans="1:8" ht="15.75" customHeight="1" x14ac:dyDescent="0.25">
      <c r="B28" s="19" t="s">
        <v>103</v>
      </c>
      <c r="C28" s="101">
        <v>0.155313541</v>
      </c>
    </row>
    <row r="29" spans="1:8" ht="15.75" customHeight="1" x14ac:dyDescent="0.25">
      <c r="B29" s="19" t="s">
        <v>104</v>
      </c>
      <c r="C29" s="101">
        <v>0.16740253699999999</v>
      </c>
    </row>
    <row r="30" spans="1:8" ht="15.75" customHeight="1" x14ac:dyDescent="0.25">
      <c r="B30" s="19" t="s">
        <v>2</v>
      </c>
      <c r="C30" s="101">
        <v>0.104102105</v>
      </c>
    </row>
    <row r="31" spans="1:8" ht="15.75" customHeight="1" x14ac:dyDescent="0.25">
      <c r="B31" s="19" t="s">
        <v>105</v>
      </c>
      <c r="C31" s="101">
        <v>0.108491529</v>
      </c>
    </row>
    <row r="32" spans="1:8" ht="15.75" customHeight="1" x14ac:dyDescent="0.25">
      <c r="B32" s="19" t="s">
        <v>106</v>
      </c>
      <c r="C32" s="101">
        <v>1.8703009999999999E-2</v>
      </c>
    </row>
    <row r="33" spans="2:3" ht="15.75" customHeight="1" x14ac:dyDescent="0.25">
      <c r="B33" s="19" t="s">
        <v>107</v>
      </c>
      <c r="C33" s="101">
        <v>8.4263411999999996E-2</v>
      </c>
    </row>
    <row r="34" spans="2:3" ht="15.75" customHeight="1" x14ac:dyDescent="0.25">
      <c r="B34" s="19" t="s">
        <v>108</v>
      </c>
      <c r="C34" s="101">
        <v>0.267111455</v>
      </c>
    </row>
    <row r="35" spans="2:3" ht="15.75" customHeight="1" x14ac:dyDescent="0.25">
      <c r="B35" s="27" t="s">
        <v>41</v>
      </c>
      <c r="C35" s="48">
        <f>SUM(C26:C34)</f>
        <v>0.99999999999999989</v>
      </c>
    </row>
  </sheetData>
  <sheetProtection algorithmName="SHA-512" hashValue="KhEwLZP2RcpWf1OZi0exUY6NeGkWLKqGH9uavg+7rZ2vlDMpDW3KH07JSh/CNRD5N8/YEKJ4LmQDrl5m5pPggw==" saltValue="wEVC2k68n5uCEAN9cINr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114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115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119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120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fERExjKThxiLxBxdbPFnc/SJzURz8HRMh2wILOq+gLBfwIkzl+jy/TXku4GQvlFkvEzR/OWqVULzQF1e5fBLw==" saltValue="l3NQnSnG/MTvTGnz1nIo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132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zsO0kC20t/7DIwDmqYbGl2LMORLUOorzzkeT7QHh2f7ds/6Xw2zz40tiFFE4gFWfFwk4uOgeNCWXmVXGvxAcjw==" saltValue="6ButKoWe1hDgrsDVhdxG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XaSnpdaFACuwgqanQgj9fqY8Ka/WoGvVbpVwlZPd2//dFbs4D7o6mhnlGPlqjb5avIG6TOLM2V+2s+kvJpH8g==" saltValue="r5o+M0hXo/rSfjLFJX/q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oj4iw1TkfleJhxMVReMTAJOA7M5V+AFW18hJdT3RB5HILDoco9ppZ/tIfFBFwbqlJ03eenQQPYg94/pHzsSRpQ==" saltValue="/NW0W/9sywEV+l7R09kq3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Wo9rZGg9uIjORy6uyWsMOQB5kA+8m+/rlmJewCDEfjwRTS7cAqSP3QieBWveJd0cVH+ElQvDU37M1TfWqudIQ==" saltValue="zckRjfCbXt48AgnKaf3Vo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S/Rnidz/YXfT84esI1NfiDeHxEzATh4Svhu38FjrizucN5PioCYzONqIYDoPR40NwPZY2OKhvHE/Qlv+xnTNBA==" saltValue="p6Ga2RGyAMXK5FCauHQt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18.90295910129235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7.7469307070758147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7.9370542524598214E-2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0.39138418028773941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1.44447E-2</v>
      </c>
      <c r="C10" s="98">
        <v>0.95</v>
      </c>
      <c r="D10" s="56">
        <v>14.128320781922749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14.128320781922749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14.128320781922749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14.128320781922749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1.44447E-2</v>
      </c>
      <c r="C14" s="98">
        <v>0.95</v>
      </c>
      <c r="D14" s="56">
        <v>14.128320781922749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14.128320781922749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0.43771369999999998</v>
      </c>
      <c r="C16" s="98">
        <v>0.95</v>
      </c>
      <c r="D16" s="56">
        <v>1.370610817405721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1.7000000000000001E-2</v>
      </c>
      <c r="C18" s="98">
        <v>0.95</v>
      </c>
      <c r="D18" s="56">
        <v>7.7469307070758147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0.80849019999999994</v>
      </c>
      <c r="C19" s="98">
        <v>0.95</v>
      </c>
      <c r="D19" s="56">
        <v>7.7469307070758147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24.050195803135828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0.46131729999999999</v>
      </c>
      <c r="C23" s="98">
        <v>0.95</v>
      </c>
      <c r="D23" s="56">
        <v>4.6205668864219671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0.62554248831658099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0.02</v>
      </c>
      <c r="C26" s="98">
        <v>0.95</v>
      </c>
      <c r="D26" s="56">
        <v>2.717384924943516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0.35550359999999998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0.18486040000000001</v>
      </c>
      <c r="C29" s="98">
        <v>0.95</v>
      </c>
      <c r="D29" s="56">
        <v>51.177416086436217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6.9099999999999995E-2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0.81</v>
      </c>
      <c r="C32" s="98">
        <v>0.95</v>
      </c>
      <c r="D32" s="56">
        <v>2.228732372651042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6.3035899999999992E-2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0.73656490000000008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1.6022E-3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0.38674399999999998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0.06</v>
      </c>
      <c r="C38" s="98">
        <v>0.95</v>
      </c>
      <c r="D38" s="56">
        <v>5.0533824920002237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GhfU5laoeGXNy/Od+rRo8F9ufhaCt8lKqEulbNdm8Dp/9a9a/7KG3XBZUUQ8Hq2jFyfAMY990Gb8eI3n/S/KFA==" saltValue="717TD6ne1Q23niaQESvE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dhUaDJHqjdeFdCZnqkDsiIm4FdjO9yIvUb5PQqhXlk8L6i16v/jrcKv01RtouIwmbh7lytJQKaB/ZgVdOCw2Q==" saltValue="3NpP4HVmHekjLQHXVKmr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7pibWFtoPUmJ/2qmZUNj87T53tASDsx7VrSh+ZzpPd9mqyG9N5KVktd26fbNgOmaiCQTYuMk9apRPW61K1FgQ==" saltValue="8vJ/POdRBcWfbz0mH7bk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208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N6DavMoKHiU1zaHBKncBvLUia+Nwb4AMXZEzYbWW8xf5Se9cBwmB7I4F1QPtbqLXvvmkEi0BgiSPvEFnh94Fsg==" saltValue="1yIiIcStJXrVIsevxuFb6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yT4MQCENtEEv/VIEODMFRkmVkFvV+h52Xr9wiHzQqjxVs9olAMAd8Q8FxFwzWYlEIVunpR/i3xLqsAj+aciTA==" saltValue="ALfT+rPPrHSNwqunE/i6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s69dGgQ3YKOpoxix7JYXi6W2IA9rWzlQaqk31L/uk4U/L5XHKH/iq4MSp6PuF1WDVzThcU40NgNe5ua7G+wAA==" saltValue="cNaGDlihTpNElN3ndoy/L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DR1zum4zBUDzVghziVDsWgtJUiNfzOfL45Ch596GAkQxm3m6YGafY7506rolLpI1pcgEHnF5/70tG2VXDXdWQ==" saltValue="M2vA0aYL2XgjKkpPFsC6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UbWBVm7kFU9IsAVGpKdBma1GmjML9ktP9vLL9ygwLfZ51bkvz8rqjNts75Ng7gXzW9msZ0zCB4EX0G5R51Sg==" saltValue="DqOpJseMh6+vsRd5lFpr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GYYI9JknMXul2i5uxkEKKnIfPyAXoz1rrp3SQAPnFQoCoPCu06hvONW9GE6BbteVHioojuGGNjz/H+BQu3W6g==" saltValue="gyxWnupX6R9gFhLP1iMHa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TQGKRd/QrCyMPWZfQuKpwbyWUcPeDGEr5onPoky1twQe6LrdGSrVNWgXRS8efHmN0kWqSuzuAlvet9uUeEufA==" saltValue="aV0WEWwJhFUHO26hhXfU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bilMpyFTYWWr+EZySHhaF6yuHBA8zFuPi/iRjwCvg4Me9G/IfarhATbsgmvFNllqRRtp5/8xGwN2zdb+FppaA==" saltValue="xCUgAxq+EApqSSoabHwlL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XYGxjnm2CMACoP1R4sdHwIoylJgRg7fcay1x4fk9TpGUpkVX0YqmKWa1Equx1MK1HZYERnOIc2h73zzQyNAsg==" saltValue="3xBc8QCjPmHFtMAk1gar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/HgYOcQQ8dyipy0jDRfeSCQgsBOYbaSY6QxgVNgpIR6AOoaXS7MjSU7FCQJbBlERSqQITZRJFS9ytJ7wq5vpg==" saltValue="zlC29/8+cNLin3bOgtAZ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/xTZVGmA7i3+d4k5B9ExSGaYOcBxeodvxX49shq7SdNAzSY2Z97ZkHH+RrzOFeZHOLLmOl5rGEIVRZM2fJLYg==" saltValue="0eeHVPG9vyyL8vdpE1KA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5OZobiSLMUWU4g1RgBUnCeQB9J9D/QBJGTcE6Zzuu8yxLM8y1xl2kOnHQAxxmnf7G4GfgNZSlx6kuZSV8dKmQ==" saltValue="A1xvYshu4ajv64w8pAJ1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KtqpC4f2P5WbyActnO47Edho3LrOcDuneTpLkElmaG84c13Va5gBB4+mIsT5B1PttHKDIKqroL2lEev0b6srw==" saltValue="+SGKTs8JN8DPaQ67myUy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6qj8dtBbRmrLwjjuOfseZWoYxiGjgpc4kTSVdezUXW5/59NXfY5tHA3MexIwD50jDDKJODWrM8I0OZ4Zw+yvA==" saltValue="+qTHbtjNy3MN6fz9CUGL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0.10802066127621901</v>
      </c>
      <c r="G18" s="90">
        <f>MIN(MAX(1-0.89/(1-frac_sam_12_23months+(frac_sam_12_23months*0.89)),0),1)</f>
        <v>0.1091652272411604</v>
      </c>
      <c r="H18" s="90">
        <f>MIN(MAX(1-0.89/(1-frac_sam_24_59months+(frac_sam_24_59months*0.89)),0),1)</f>
        <v>0.10927592059788926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0.10208591092688191</v>
      </c>
      <c r="G20" s="90">
        <f>MIN(MAX(1-0.89/(1-frac_mam_12_23months+(frac_mam_12_23months*0.89)),0),1)</f>
        <v>0.10290782881824667</v>
      </c>
      <c r="H20" s="90">
        <f>MIN(MAX(1-0.89/(1-frac_mam_24_59months+(frac_mam_24_59months*0.89)),0),1)</f>
        <v>0.1074354934780708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9.8002460134284375E-3</v>
      </c>
      <c r="G73" s="90">
        <f>MIN(MAX(1-0.99/(1-frac_sam_12_23months+(frac_sam_12_23months*0.99)),0),1)</f>
        <v>9.9156566949625269E-3</v>
      </c>
      <c r="H73" s="90">
        <f>MIN(MAX(1-0.99/(1-frac_sam_24_59months+(frac_sam_24_59months*0.99)),0),1)</f>
        <v>9.9268326028562059E-3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9.2061164929010397E-3</v>
      </c>
      <c r="G75" s="90">
        <f>MIN(MAX(1-0.99/(1-frac_mam_12_23months+(frac_mam_12_23months*0.99)),0),1)</f>
        <v>9.2879722935511611E-3</v>
      </c>
      <c r="H75" s="90">
        <f>MIN(MAX(1-0.99/(1-frac_mam_24_59months+(frac_mam_24_59months*0.99)),0),1)</f>
        <v>9.7413454296848556E-3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0.19675922871937568</v>
      </c>
      <c r="G128" s="90">
        <f>MIN(MAX(1-0.8/(1-frac_sam_12_23months+(frac_sam_12_23months*0.8)),0),1)</f>
        <v>0.19863466579820022</v>
      </c>
      <c r="H128" s="90">
        <f>MIN(MAX(1-0.8/(1-frac_sam_24_59months+(frac_sam_24_59months*0.8)),0),1)</f>
        <v>0.19881583377864154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0.18697104844554957</v>
      </c>
      <c r="G130" s="90">
        <f>MIN(MAX(1-0.8/(1-frac_mam_12_23months+(frac_mam_12_23months*0.8)),0),1)</f>
        <v>0.18833305056885974</v>
      </c>
      <c r="H130" s="90">
        <f>MIN(MAX(1-0.8/(1-frac_mam_24_59months+(frac_mam_24_59months*0.8)),0),1)</f>
        <v>0.19579886937765145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dXQKoljrv9Nc9C6lQ2X0zIW2lN3avapkVzCaOZScdiH1DrEqpR5PM5nFtcQUpGb44YyKIfk+5VPID+WmpqAqw==" saltValue="wOzXEG8fG57konK9UUf2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CZ3kYmUXpHipeo7dHXJ+DVEyDyTF627mYwwMIDNcJHdAf0y1c6BmIc9KwHJmfemFMEBU8Pu/Tn5gD6gzGKUxw==" saltValue="YHNkmIxgknIJnF33EMZ/c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2024-08-06T08:42:50Z</dcterms:modified>
</cp:coreProperties>
</file>