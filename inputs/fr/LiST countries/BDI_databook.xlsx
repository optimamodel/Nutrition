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95FE9AF-9B8E-4E49-B1EA-76E97D45337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6" i="2"/>
  <c r="A31" i="2"/>
  <c r="A22" i="2"/>
  <c r="A24" i="2"/>
  <c r="A36" i="2"/>
  <c r="I4" i="2"/>
  <c r="I8" i="2"/>
  <c r="I12" i="2"/>
  <c r="A25" i="2"/>
  <c r="A34" i="2"/>
  <c r="A40" i="2"/>
  <c r="I2" i="2"/>
  <c r="I6" i="2"/>
  <c r="A19" i="2"/>
  <c r="A35" i="2"/>
  <c r="I3" i="2"/>
  <c r="I7" i="2"/>
  <c r="I11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<sst xmlns="http://schemas.openxmlformats.org/spreadsheetml/2006/main" count="2159" uniqueCount="368">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</sst>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2101915.5</v>
      </c>
    </row>
    <row r="8" spans="1:3" ht="15" customHeight="1" x14ac:dyDescent="0.25">
      <c r="B8" s="5" t="s">
        <v>37</v>
      </c>
      <c r="C8" s="44">
        <v>0.71799999999999997</v>
      </c>
    </row>
    <row r="9" spans="1:3" ht="15" customHeight="1" x14ac:dyDescent="0.25">
      <c r="B9" s="5" t="s">
        <v>38</v>
      </c>
      <c r="C9" s="45">
        <v>0.21</v>
      </c>
    </row>
    <row r="10" spans="1:3" ht="15" customHeight="1" x14ac:dyDescent="0.25">
      <c r="B10" s="5" t="s">
        <v>39</v>
      </c>
      <c r="C10" s="45">
        <v>0.31014619999999998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3.6499999999999998E-2</v>
      </c>
    </row>
    <row r="24" spans="1:3" ht="15" customHeight="1" x14ac:dyDescent="0.25">
      <c r="B24" s="15" t="s">
        <v>51</v>
      </c>
      <c r="C24" s="45">
        <v>0.49450000000000011</v>
      </c>
    </row>
    <row r="25" spans="1:3" ht="15" customHeight="1" x14ac:dyDescent="0.25">
      <c r="B25" s="15" t="s">
        <v>52</v>
      </c>
      <c r="C25" s="45">
        <v>0.37509999999999999</v>
      </c>
    </row>
    <row r="26" spans="1:3" ht="15" customHeight="1" x14ac:dyDescent="0.25">
      <c r="B26" s="15" t="s">
        <v>53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0.19090989580981799</v>
      </c>
    </row>
    <row r="30" spans="1:3" ht="14.25" customHeight="1" x14ac:dyDescent="0.25">
      <c r="B30" s="25" t="s">
        <v>56</v>
      </c>
      <c r="C30" s="99">
        <v>4.81342613461836E-2</v>
      </c>
    </row>
    <row r="31" spans="1:3" ht="14.25" customHeight="1" x14ac:dyDescent="0.25">
      <c r="B31" s="25" t="s">
        <v>57</v>
      </c>
      <c r="C31" s="99">
        <v>9.7345412653664407E-2</v>
      </c>
    </row>
    <row r="32" spans="1:3" ht="14.25" customHeight="1" x14ac:dyDescent="0.25">
      <c r="B32" s="25" t="s">
        <v>58</v>
      </c>
      <c r="C32" s="99">
        <v>0.66361043019033406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20.44547</v>
      </c>
    </row>
    <row r="38" spans="1:5" ht="15" customHeight="1" x14ac:dyDescent="0.25">
      <c r="B38" s="11" t="s">
        <v>63</v>
      </c>
      <c r="C38" s="43">
        <v>37.628990000000002</v>
      </c>
      <c r="D38" s="12"/>
      <c r="E38" s="13"/>
    </row>
    <row r="39" spans="1:5" ht="15" customHeight="1" x14ac:dyDescent="0.25">
      <c r="B39" s="11" t="s">
        <v>64</v>
      </c>
      <c r="C39" s="43">
        <v>52.604759999999999</v>
      </c>
      <c r="D39" s="12"/>
      <c r="E39" s="12"/>
    </row>
    <row r="40" spans="1:5" ht="15" customHeight="1" x14ac:dyDescent="0.25">
      <c r="B40" s="11" t="s">
        <v>65</v>
      </c>
      <c r="C40" s="100">
        <v>4.9400000000000004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7.9351999999999999E-3</v>
      </c>
      <c r="D45" s="12"/>
    </row>
    <row r="46" spans="1:5" ht="15.75" customHeight="1" x14ac:dyDescent="0.25">
      <c r="B46" s="11" t="s">
        <v>70</v>
      </c>
      <c r="C46" s="45">
        <v>8.5262499999999991E-2</v>
      </c>
      <c r="D46" s="12"/>
    </row>
    <row r="47" spans="1:5" ht="15.75" customHeight="1" x14ac:dyDescent="0.25">
      <c r="B47" s="11" t="s">
        <v>71</v>
      </c>
      <c r="C47" s="45">
        <v>7.3454400000000003E-2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3.718</v>
      </c>
      <c r="D51" s="12"/>
    </row>
    <row r="52" spans="1:4" ht="15" customHeight="1" x14ac:dyDescent="0.25">
      <c r="B52" s="11" t="s">
        <v>75</v>
      </c>
      <c r="C52" s="100">
        <v>3.718</v>
      </c>
    </row>
    <row r="53" spans="1:4" ht="15.75" customHeight="1" x14ac:dyDescent="0.25">
      <c r="B53" s="11" t="s">
        <v>76</v>
      </c>
      <c r="C53" s="100">
        <v>10.061999999999999</v>
      </c>
    </row>
    <row r="54" spans="1:4" ht="15.75" customHeight="1" x14ac:dyDescent="0.25">
      <c r="B54" s="11" t="s">
        <v>77</v>
      </c>
      <c r="C54" s="100">
        <v>9.5679999999999996</v>
      </c>
    </row>
    <row r="55" spans="1:4" ht="15.75" customHeight="1" x14ac:dyDescent="0.25">
      <c r="B55" s="11" t="s">
        <v>78</v>
      </c>
      <c r="C55" s="100">
        <v>4.0906666666666656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0.53929500000000008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WrcIbnjbvseBiWxH2UOsKla82zvYBTf2EiYVtPMIKlEzLRl6LhYrS8eyctA2gzMAcHYHObbVB8HXukuvpdVqfA==" saltValue="q0dsXBYC18qoGrVCpv6T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xcMuAVM4dojS1aHEF6GdRrOmlRnhkRxBINL4B2jcfv+0N27M1TT4rVh3gi20PdFoj3cgjxkx7BM2IMzJFxrCQ==" saltValue="nezXIycoBj1FCmLWic091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1.14185011418501E-2</v>
      </c>
    </row>
    <row r="4" spans="1:8" ht="15.75" customHeight="1" x14ac:dyDescent="0.25">
      <c r="B4" s="19" t="s">
        <v>97</v>
      </c>
      <c r="C4" s="101">
        <v>5.5858105585810461E-2</v>
      </c>
    </row>
    <row r="5" spans="1:8" ht="15.75" customHeight="1" x14ac:dyDescent="0.25">
      <c r="B5" s="19" t="s">
        <v>98</v>
      </c>
      <c r="C5" s="101">
        <v>7.1107207110720647E-2</v>
      </c>
    </row>
    <row r="6" spans="1:8" ht="15.75" customHeight="1" x14ac:dyDescent="0.25">
      <c r="B6" s="19" t="s">
        <v>99</v>
      </c>
      <c r="C6" s="101">
        <v>0.24179002417900219</v>
      </c>
    </row>
    <row r="7" spans="1:8" ht="15.75" customHeight="1" x14ac:dyDescent="0.25">
      <c r="B7" s="19" t="s">
        <v>100</v>
      </c>
      <c r="C7" s="101">
        <v>0.42007884200788481</v>
      </c>
    </row>
    <row r="8" spans="1:8" ht="15.75" customHeight="1" x14ac:dyDescent="0.25">
      <c r="B8" s="19" t="s">
        <v>101</v>
      </c>
      <c r="C8" s="101">
        <v>1.6044001604400141E-3</v>
      </c>
    </row>
    <row r="9" spans="1:8" ht="15.75" customHeight="1" x14ac:dyDescent="0.25">
      <c r="B9" s="19" t="s">
        <v>102</v>
      </c>
      <c r="C9" s="101">
        <v>8.5042508504250727E-2</v>
      </c>
    </row>
    <row r="10" spans="1:8" ht="15.75" customHeight="1" x14ac:dyDescent="0.25">
      <c r="B10" s="19" t="s">
        <v>103</v>
      </c>
      <c r="C10" s="101">
        <v>0.113100411310041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106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107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108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109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110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111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112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113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8.6116069000000003E-2</v>
      </c>
    </row>
    <row r="27" spans="1:8" ht="15.75" customHeight="1" x14ac:dyDescent="0.25">
      <c r="B27" s="19" t="s">
        <v>120</v>
      </c>
      <c r="C27" s="101">
        <v>8.4963420000000005E-3</v>
      </c>
    </row>
    <row r="28" spans="1:8" ht="15.75" customHeight="1" x14ac:dyDescent="0.25">
      <c r="B28" s="19" t="s">
        <v>121</v>
      </c>
      <c r="C28" s="101">
        <v>0.155313541</v>
      </c>
    </row>
    <row r="29" spans="1:8" ht="15.75" customHeight="1" x14ac:dyDescent="0.25">
      <c r="B29" s="19" t="s">
        <v>122</v>
      </c>
      <c r="C29" s="101">
        <v>0.16740253699999999</v>
      </c>
    </row>
    <row r="30" spans="1:8" ht="15.75" customHeight="1" x14ac:dyDescent="0.25">
      <c r="B30" s="19" t="s">
        <v>2</v>
      </c>
      <c r="C30" s="101">
        <v>0.104102105</v>
      </c>
    </row>
    <row r="31" spans="1:8" ht="15.75" customHeight="1" x14ac:dyDescent="0.25">
      <c r="B31" s="19" t="s">
        <v>123</v>
      </c>
      <c r="C31" s="101">
        <v>0.108491529</v>
      </c>
    </row>
    <row r="32" spans="1:8" ht="15.75" customHeight="1" x14ac:dyDescent="0.25">
      <c r="B32" s="19" t="s">
        <v>124</v>
      </c>
      <c r="C32" s="101">
        <v>1.8703009999999999E-2</v>
      </c>
    </row>
    <row r="33" spans="2:3" ht="15.75" customHeight="1" x14ac:dyDescent="0.25">
      <c r="B33" s="19" t="s">
        <v>125</v>
      </c>
      <c r="C33" s="101">
        <v>8.4263411999999996E-2</v>
      </c>
    </row>
    <row r="34" spans="2:3" ht="15.75" customHeight="1" x14ac:dyDescent="0.25">
      <c r="B34" s="19" t="s">
        <v>126</v>
      </c>
      <c r="C34" s="101">
        <v>0.267111455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BHLCmgB8S3u0Dj+wMc7U6SJiqw64iY/T/hPKr/uQqUf5nEx8WUJDQbwYH2Pb6gg6ShLRN8uf4YEpEhUB6cdDzg==" saltValue="y9VDIXwp74Q0Zde1StAC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132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133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137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138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iYy63c/KsVtGRtDmgdVA3MFQJ5zn679DniAVro8mvnLRmQZI5wkrenln1bMytuJsXncjdkMQo2lutuJM3eDhw==" saltValue="aRIqCFkaMCMqj1WLo1zu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Y00CjrCSkmKYV+D90HjIQY0omonjODaHptXTxfKc/5ImHX2xa/sN7lWiHF4QmL6OxbukTkMaSBYz16KIIncL7Q==" saltValue="y4QuQEBIUSiqCNPNZ7qe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0EZh6fdouUX+VOPE0wrYczSO/e8pPIJFKTTQrV5M82pniucoKIEz00YN/YLnUBb2MruqGj6UZ56k2o4ahaOaw==" saltValue="q/qAjJnPa0/aEYtMIXfy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259.02503136351498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0.39593000000000006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0.79430999999999996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2.138854763711296E-2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94196.491729999994</v>
      </c>
      <c r="C22" s="109">
        <v>93082.269329999996</v>
      </c>
      <c r="D22" s="109">
        <v>92171.097160000005</v>
      </c>
      <c r="E22" s="109">
        <v>91505.709619999994</v>
      </c>
      <c r="F22" s="109">
        <v>90583.435500000007</v>
      </c>
      <c r="G22" s="109">
        <v>89531.146089999995</v>
      </c>
      <c r="H22" s="109">
        <v>88232.524439999994</v>
      </c>
      <c r="I22" s="109">
        <v>86495.281279999996</v>
      </c>
      <c r="J22" s="109">
        <v>83956.980439999999</v>
      </c>
      <c r="K22" s="109">
        <v>80518.794710000002</v>
      </c>
      <c r="L22" s="109">
        <v>75673.172730000006</v>
      </c>
      <c r="M22" s="109">
        <v>69202.52347</v>
      </c>
      <c r="N22" s="109">
        <v>60553.24699</v>
      </c>
      <c r="O22" s="109">
        <v>50189.293489999996</v>
      </c>
    </row>
  </sheetData>
  <sheetProtection algorithmName="SHA-512" hashValue="T+gbkvHp3FOxs5W8BRntZSduaK1ESaY2h1eMIemWuGF1WjtUrhqMuFiuu5F1VpF7bD1zEg6UWUcx3ii7PVFs8A==" saltValue="frXgVb95hlVvS3vnNrtq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GdKA/yjA2TMIanXI1MP0+72cFlQs8/fZ9DKAmboZacfdNRGgD/UTyPBtSMzhmnxFlX/Jk2BWIUlsVo/2GF46uw==" saltValue="OC9Rsa1tzRWwQzoF775T2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ulxLuXeivsW2mN4yvPaHqD9aujvTlOc4WZibomsRuGc5VR1soTKY3Xy/BkuR72ueRcPqS7Q0LQxEevpo63jQQ==" saltValue="rNnS3atvTKpZGEUj98kNc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4.1399999999999997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1.44447E-2</v>
      </c>
      <c r="C10" s="98">
        <v>0.95</v>
      </c>
      <c r="D10" s="56">
        <v>14.128320781922749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14.128320781922749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14.128320781922749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14.128320781922749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1.52E-2</v>
      </c>
      <c r="C14" s="98">
        <v>0.95</v>
      </c>
      <c r="D14" s="56">
        <v>2.526857727737974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14.128320781922749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0.20699999999999999</v>
      </c>
      <c r="C16" s="98">
        <v>0.95</v>
      </c>
      <c r="D16" s="56">
        <v>1.3707011258955988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1.7000000000000001E-2</v>
      </c>
      <c r="C18" s="98">
        <v>0.95</v>
      </c>
      <c r="D18" s="56">
        <v>4.1359416581371553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0.80849019999999994</v>
      </c>
      <c r="C19" s="98">
        <v>0.95</v>
      </c>
      <c r="D19" s="56">
        <v>0.77483113726549069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4.1399999999999997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0.46131729999999999</v>
      </c>
      <c r="C23" s="98">
        <v>0.95</v>
      </c>
      <c r="D23" s="56">
        <v>4.6205668864219671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0.62554248831658099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0.02</v>
      </c>
      <c r="C26" s="98">
        <v>0.95</v>
      </c>
      <c r="D26" s="56">
        <v>2.7175639713408395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0.35550359999999998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0.18486040000000001</v>
      </c>
      <c r="C29" s="98">
        <v>0.95</v>
      </c>
      <c r="D29" s="56">
        <v>51.177416086436217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6.9099999999999995E-2</v>
      </c>
      <c r="C31" s="98">
        <v>0.95</v>
      </c>
      <c r="D31" s="56">
        <v>107.6179170931423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0.68700000000000006</v>
      </c>
      <c r="C32" s="98">
        <v>0.95</v>
      </c>
      <c r="D32" s="56">
        <v>2.2288792221084957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6.3035899999999992E-2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0.73656490000000008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1.6022E-3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0.38674399999999998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0.06</v>
      </c>
      <c r="C38" s="98">
        <v>0.95</v>
      </c>
      <c r="D38" s="56">
        <v>5.053715455475948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+0+EzmojoDUzH/e5BuOW/KnXnarQJiBK3tPgq9bgegv45CSyO/kZZPOySpnIGMTkEJaswj5aV+4PHKgkOmW2lA==" saltValue="nCdt8l4UqfKpqruOxE8X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2BtvAX5Fo85DGiVUeDUMwycH/8gFAJT3LzjOSVNZRu6RiC5rr7IeXOTItch5Jpl42L+l70ppwx7Jem+wKSEUg==" saltValue="B25SoHPa+4HtvR3zJIkj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HOW0USGQUAH8Vrpozqb9TTz1pxE7ceeBS+jXKJ7L3OyucmLyrER15xPHsr1WtjZTrWDJN9wqCEBDFnO5d8OhQ==" saltValue="Mu4OCyS7kI52XBAIAMbi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3.718</v>
      </c>
      <c r="C2" s="21">
        <f>'Données pop de l''année de ref'!C52</f>
        <v>3.718</v>
      </c>
      <c r="D2" s="21">
        <f>'Données pop de l''année de ref'!C53</f>
        <v>10.061999999999999</v>
      </c>
      <c r="E2" s="21">
        <f>'Données pop de l''année de ref'!C54</f>
        <v>9.5679999999999996</v>
      </c>
      <c r="F2" s="21">
        <f>'Données pop de l''année de ref'!C55</f>
        <v>4.0906666666666656</v>
      </c>
    </row>
    <row r="3" spans="1:6" ht="15.75" customHeight="1" x14ac:dyDescent="0.25">
      <c r="A3" s="3" t="s">
        <v>238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237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XtF7IM3WKJFka7TXsrunJcRALaSmRHTazWerga+qYl+TJL0UiKZqYhGJzLIKtmwib3nrROkRwSlo2pIDI97shA==" saltValue="ir9ZIUR7OdGTBm4lOxxf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otShsbrm24crRpkmgLLUaW4MRPae9avG4rx8+6tDkDk+LMYoIb1yCaHiBC3UC4UW+Qr0fxXRCbpEi+uQuWecw==" saltValue="V1bj3wJR/3Z6YYnMJlqF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4s6JmROjPborVpCXXC9XSmQwKQ4bbnbfn3lC56ddu4CgLXwJSnozGNEK1qbCg2hKmhp5cNLv7P6v5on7sa6qZw==" saltValue="SeQM37IsW8ITD93FlL5o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O+48cyb8uJ2up219bVOPfEAgkSDhW29S6tXFbWFabJV1/WulYU1AAkySQLXLKBIJ4u4Xbe14FtHImzzhy2bgw==" saltValue="aFMpPYNTHDtg/mU6+amPm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gBlEV8UCMyca/vRWou3EPWl2GKoXUZ3kgBDXr0zvfc70xHwPU06idvlyeurGaSP93GOihkwnZcYsFkXr/bzyw==" saltValue="0OaaROZC1U1EkF8oym0W9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n3Aj0IPFoLvdVEZLtYWh+UYnW9FmInUM05q9RihlW22l+OkvAY9QD2svzVxWFTt07mrwfdVdFoYqz6YqWz2yMA==" saltValue="6rEtKcCuhgLEm9o5CzTT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LCofK/yO+ky602oAMLx15sYG0Ke+8dZepJvsCC5hJJjqN2t4I84s90hs3OS6AGrXNLSQVsuCZ9O4Mr2jh2teWA==" saltValue="hIuOb5AQAaArql1ZTsPvi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JSwkxBufErShpqiOOYMWNmTOVj523rE8DLdHEFmqHDFgUXPjPxeJ2mozG2fVdm6iLjjb5xl+2L4gnUoQIUMpw==" saltValue="p+vO1UKcwxH9s7sclKrMk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DAcrbYVqiYkAc3kWebiT/6PfRm3ToXl04MfUDU3FgZ8jXGFmA3agWJrjSifAvcMG2xaZtiB3hWXj2srlVaLpA==" saltValue="lui5kdz6sy+kHk+U5USB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qGV6dah8GEfgG/maiJyCmhc3gxxVQjccpoI6UAwlFU/sjG0aGXZb9EgWCn1ICOqo9p3RQ7SMonSG4MAwwK8xsQ==" saltValue="R9ENasKU7//8D9YiQWfT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q0nDo8yss1GkVgAEetNXux0i1+95h6FpmkX9RsuKKoBGZPI63gh/8/pjbXP4Bzdgs57EGAkyXQulo0b11zuyw==" saltValue="uHxL/4b672YD4pDK2CYT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qCLzkepaEcZsSTSBflMrPIROCEgE2elwBpEePWbBdTbuV+CD1NdrynDl103S7kDFFDZW5a4ACKG1mE0H/QhDg==" saltValue="KqT5xbyomfNUjqSalOM0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zdvvT2WYhb/sHqpOLnYcuZh/FGi8iNQQPJpjyxpHQDZgCniaXCbZSAkl1UDhC+eW4xyBw2BW3pQ9W0NhKNclw==" saltValue="E5rymUQXrn7pMXMLvIyP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Li7QnLHtXyDzg+X3e/A5zdDIMO71jKB8B5G5tRxnG/0N2YqEdHY5RvXxkAhtihx1uWiB6ndp3g3h334cePG8A==" saltValue="AGjRpoOK5OmVLi38cQ8v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9TQC3kUOw+iNTnq1xF6uZ3qKweYCIY47dx73fh8+kefdVFOauPeui6BMm3N9ATjOKSjYyGv7pK93yXsBInnHw==" saltValue="YojDQFoo/6utKsTw+QNI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wqTa0Ot3ohiLm2wr+BrWafNqEBh6QN8uBvm1heXtrBifqF/Eq/AOdkUtSWw8gARyfcGNSQkUpzgJEX2vGNy6g==" saltValue="VpJEpmIRYlx+QGOdO+cS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