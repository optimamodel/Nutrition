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56A80EC-EA52-4714-803E-86A52D56B50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23" i="2"/>
  <c r="A25" i="2"/>
  <c r="A35" i="2"/>
  <c r="I4" i="2"/>
  <c r="I8" i="2"/>
  <c r="I12" i="2"/>
  <c r="A37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<sst xmlns="http://schemas.openxmlformats.org/spreadsheetml/2006/main" count="2159" uniqueCount="368">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</sst>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255743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0.97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0.17019999999999999</v>
      </c>
    </row>
    <row r="24" spans="1:3" ht="15" customHeight="1" x14ac:dyDescent="0.25">
      <c r="B24" s="15" t="s">
        <v>51</v>
      </c>
      <c r="C24" s="45">
        <v>0.45119999999999999</v>
      </c>
    </row>
    <row r="25" spans="1:3" ht="15" customHeight="1" x14ac:dyDescent="0.25">
      <c r="B25" s="15" t="s">
        <v>52</v>
      </c>
      <c r="C25" s="45">
        <v>0.29249999999999998</v>
      </c>
    </row>
    <row r="26" spans="1:3" ht="15" customHeight="1" x14ac:dyDescent="0.25">
      <c r="B26" s="15" t="s">
        <v>53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0.20134766316932501</v>
      </c>
    </row>
    <row r="30" spans="1:3" ht="14.25" customHeight="1" x14ac:dyDescent="0.25">
      <c r="B30" s="25" t="s">
        <v>56</v>
      </c>
      <c r="C30" s="99">
        <v>3.7040067899888597E-2</v>
      </c>
    </row>
    <row r="31" spans="1:3" ht="14.25" customHeight="1" x14ac:dyDescent="0.25">
      <c r="B31" s="25" t="s">
        <v>57</v>
      </c>
      <c r="C31" s="99">
        <v>9.42970158051466E-2</v>
      </c>
    </row>
    <row r="32" spans="1:3" ht="14.25" customHeight="1" x14ac:dyDescent="0.25">
      <c r="B32" s="25" t="s">
        <v>58</v>
      </c>
      <c r="C32" s="99">
        <v>0.66731525312564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28.475850000000001</v>
      </c>
    </row>
    <row r="38" spans="1:5" ht="15" customHeight="1" x14ac:dyDescent="0.25">
      <c r="B38" s="11" t="s">
        <v>63</v>
      </c>
      <c r="C38" s="43">
        <v>57.189909999999998</v>
      </c>
      <c r="D38" s="12"/>
      <c r="E38" s="13"/>
    </row>
    <row r="39" spans="1:5" ht="15" customHeight="1" x14ac:dyDescent="0.25">
      <c r="B39" s="11" t="s">
        <v>64</v>
      </c>
      <c r="C39" s="43">
        <v>76.775000000000006</v>
      </c>
      <c r="D39" s="12"/>
      <c r="E39" s="12"/>
    </row>
    <row r="40" spans="1:5" ht="15" customHeight="1" x14ac:dyDescent="0.25">
      <c r="B40" s="11" t="s">
        <v>65</v>
      </c>
      <c r="C40" s="100">
        <v>2.12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7.9638E-3</v>
      </c>
      <c r="D45" s="12"/>
    </row>
    <row r="46" spans="1:5" ht="15.75" customHeight="1" x14ac:dyDescent="0.25">
      <c r="B46" s="11" t="s">
        <v>70</v>
      </c>
      <c r="C46" s="45">
        <v>8.5570199999999999E-2</v>
      </c>
      <c r="D46" s="12"/>
    </row>
    <row r="47" spans="1:5" ht="15.75" customHeight="1" x14ac:dyDescent="0.25">
      <c r="B47" s="11" t="s">
        <v>71</v>
      </c>
      <c r="C47" s="45">
        <v>7.3427199999999998E-2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0.42923099999999997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bruypVgJUEiufsKmrxpGQeOHF5+r58vxaTjvJeHCubKTCPQcaZZCrac/1L+56FgSY7O01feYrhaMGC5TTr1/ag==" saltValue="SVryJqG+L7bBEKFfQ3Rx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56763</v>
      </c>
      <c r="C2" s="49">
        <v>89448</v>
      </c>
      <c r="D2" s="49">
        <v>133420.5</v>
      </c>
      <c r="E2" s="49">
        <v>123148</v>
      </c>
      <c r="F2" s="49">
        <v>83056.000000000015</v>
      </c>
      <c r="G2" s="17">
        <f t="shared" ref="G2:G13" si="0">C2+D2+E2+F2</f>
        <v>429072.5</v>
      </c>
      <c r="H2" s="17">
        <f t="shared" ref="H2:H13" si="1">(B2 + stillbirth*B2/(1000-stillbirth))/(1-abortion)</f>
        <v>65486.159227575728</v>
      </c>
      <c r="I2" s="17">
        <f t="shared" ref="I2:I13" si="2">G2-H2</f>
        <v>363586.34077242424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57351</v>
      </c>
      <c r="C3" s="50">
        <v>93265.5</v>
      </c>
      <c r="D3" s="50">
        <v>137738.5</v>
      </c>
      <c r="E3" s="50">
        <v>124137.49999999999</v>
      </c>
      <c r="F3" s="50">
        <v>86502</v>
      </c>
      <c r="G3" s="17">
        <f t="shared" si="0"/>
        <v>441643.5</v>
      </c>
      <c r="H3" s="17">
        <f t="shared" si="1"/>
        <v>66164.52121735453</v>
      </c>
      <c r="I3" s="17">
        <f t="shared" si="2"/>
        <v>375478.97878264548</v>
      </c>
    </row>
    <row r="4" spans="1:9" ht="15.75" customHeight="1" x14ac:dyDescent="0.25">
      <c r="A4" s="5">
        <f t="shared" si="3"/>
        <v>2026</v>
      </c>
      <c r="B4" s="49">
        <v>57895</v>
      </c>
      <c r="C4" s="50">
        <v>96853.5</v>
      </c>
      <c r="D4" s="50">
        <v>143005</v>
      </c>
      <c r="E4" s="50">
        <v>124448.5</v>
      </c>
      <c r="F4" s="50">
        <v>90314.500000000015</v>
      </c>
      <c r="G4" s="17">
        <f t="shared" si="0"/>
        <v>454621.5</v>
      </c>
      <c r="H4" s="17">
        <f t="shared" si="1"/>
        <v>66792.121425585268</v>
      </c>
      <c r="I4" s="17">
        <f t="shared" si="2"/>
        <v>387829.37857441476</v>
      </c>
    </row>
    <row r="5" spans="1:9" ht="15.75" customHeight="1" x14ac:dyDescent="0.25">
      <c r="A5" s="5">
        <f t="shared" si="3"/>
        <v>2027</v>
      </c>
      <c r="B5" s="49">
        <v>58448</v>
      </c>
      <c r="C5" s="50">
        <v>100242</v>
      </c>
      <c r="D5" s="50">
        <v>149094</v>
      </c>
      <c r="E5" s="50">
        <v>124250</v>
      </c>
      <c r="F5" s="50">
        <v>94354</v>
      </c>
      <c r="G5" s="17">
        <f t="shared" si="0"/>
        <v>467940</v>
      </c>
      <c r="H5" s="17">
        <f t="shared" si="1"/>
        <v>67430.10472549629</v>
      </c>
      <c r="I5" s="17">
        <f t="shared" si="2"/>
        <v>400509.89527450374</v>
      </c>
    </row>
    <row r="6" spans="1:9" ht="15.75" customHeight="1" x14ac:dyDescent="0.25">
      <c r="A6" s="5">
        <f t="shared" si="3"/>
        <v>2028</v>
      </c>
      <c r="B6" s="49">
        <v>59086</v>
      </c>
      <c r="C6" s="50">
        <v>103382.5</v>
      </c>
      <c r="D6" s="50">
        <v>155947.5</v>
      </c>
      <c r="E6" s="50">
        <v>123708.49999999999</v>
      </c>
      <c r="F6" s="50">
        <v>98434</v>
      </c>
      <c r="G6" s="17">
        <f t="shared" si="0"/>
        <v>481472.5</v>
      </c>
      <c r="H6" s="17">
        <f t="shared" si="1"/>
        <v>68166.150557943358</v>
      </c>
      <c r="I6" s="17">
        <f t="shared" si="2"/>
        <v>413306.34944205661</v>
      </c>
    </row>
    <row r="7" spans="1:9" ht="15.75" customHeight="1" x14ac:dyDescent="0.25">
      <c r="A7" s="5">
        <f t="shared" si="3"/>
        <v>2029</v>
      </c>
      <c r="B7" s="49">
        <v>59710</v>
      </c>
      <c r="C7" s="50">
        <v>106265.5</v>
      </c>
      <c r="D7" s="50">
        <v>163445.49999999997</v>
      </c>
      <c r="E7" s="50">
        <v>122978.5</v>
      </c>
      <c r="F7" s="50">
        <v>102364</v>
      </c>
      <c r="G7" s="17">
        <f t="shared" si="0"/>
        <v>495053.5</v>
      </c>
      <c r="H7" s="17">
        <f t="shared" si="1"/>
        <v>68886.044914443322</v>
      </c>
      <c r="I7" s="17">
        <f t="shared" si="2"/>
        <v>426167.45508555666</v>
      </c>
    </row>
    <row r="8" spans="1:9" ht="15.75" customHeight="1" x14ac:dyDescent="0.25">
      <c r="A8" s="5">
        <f t="shared" si="3"/>
        <v>2030</v>
      </c>
      <c r="B8" s="49">
        <v>60353</v>
      </c>
      <c r="C8" s="50">
        <v>108886</v>
      </c>
      <c r="D8" s="50">
        <v>171434.5</v>
      </c>
      <c r="E8" s="50">
        <v>122402</v>
      </c>
      <c r="F8" s="50">
        <v>105995.5</v>
      </c>
      <c r="G8" s="17">
        <f t="shared" si="0"/>
        <v>508718</v>
      </c>
      <c r="H8" s="17">
        <f t="shared" si="1"/>
        <v>69627.859131157224</v>
      </c>
      <c r="I8" s="17">
        <f t="shared" si="2"/>
        <v>439090.14086884278</v>
      </c>
    </row>
    <row r="9" spans="1:9" ht="15.75" customHeight="1" x14ac:dyDescent="0.25">
      <c r="A9" s="5">
        <f t="shared" si="3"/>
        <v>2031</v>
      </c>
      <c r="B9" s="49">
        <v>61070</v>
      </c>
      <c r="C9" s="50">
        <v>111257</v>
      </c>
      <c r="D9" s="50">
        <v>179784</v>
      </c>
      <c r="E9" s="50">
        <v>122316.49999999999</v>
      </c>
      <c r="F9" s="50">
        <v>109225.50000000001</v>
      </c>
      <c r="G9" s="17">
        <f t="shared" si="0"/>
        <v>522583</v>
      </c>
      <c r="H9" s="17">
        <f t="shared" si="1"/>
        <v>70455.045435020162</v>
      </c>
      <c r="I9" s="17">
        <f t="shared" si="2"/>
        <v>452127.95456497982</v>
      </c>
    </row>
    <row r="10" spans="1:9" ht="15.75" customHeight="1" x14ac:dyDescent="0.25">
      <c r="A10" s="5">
        <f t="shared" si="3"/>
        <v>2032</v>
      </c>
      <c r="B10" s="49">
        <v>61824</v>
      </c>
      <c r="C10" s="50">
        <v>113441</v>
      </c>
      <c r="D10" s="50">
        <v>188265.5</v>
      </c>
      <c r="E10" s="50">
        <v>123003</v>
      </c>
      <c r="F10" s="50">
        <v>112003</v>
      </c>
      <c r="G10" s="17">
        <f t="shared" si="0"/>
        <v>536712.5</v>
      </c>
      <c r="H10" s="17">
        <f t="shared" si="1"/>
        <v>71324.917782457618</v>
      </c>
      <c r="I10" s="17">
        <f t="shared" si="2"/>
        <v>465387.5822175424</v>
      </c>
    </row>
    <row r="11" spans="1:9" ht="15.75" customHeight="1" x14ac:dyDescent="0.25">
      <c r="A11" s="5">
        <f t="shared" si="3"/>
        <v>2033</v>
      </c>
      <c r="B11" s="49">
        <v>62583</v>
      </c>
      <c r="C11" s="50">
        <v>115456</v>
      </c>
      <c r="D11" s="50">
        <v>196284.5</v>
      </c>
      <c r="E11" s="50">
        <v>124667.49999999999</v>
      </c>
      <c r="F11" s="50">
        <v>114241</v>
      </c>
      <c r="G11" s="17">
        <f t="shared" si="0"/>
        <v>550649</v>
      </c>
      <c r="H11" s="17">
        <f t="shared" si="1"/>
        <v>72200.558514161894</v>
      </c>
      <c r="I11" s="17">
        <f t="shared" si="2"/>
        <v>478448.44148583809</v>
      </c>
    </row>
    <row r="12" spans="1:9" ht="15.75" customHeight="1" x14ac:dyDescent="0.25">
      <c r="A12" s="5">
        <f t="shared" si="3"/>
        <v>2034</v>
      </c>
      <c r="B12" s="49">
        <v>63231</v>
      </c>
      <c r="C12" s="50">
        <v>117332</v>
      </c>
      <c r="D12" s="50">
        <v>203532</v>
      </c>
      <c r="E12" s="50">
        <v>127554.49999999999</v>
      </c>
      <c r="F12" s="50">
        <v>115831.5</v>
      </c>
      <c r="G12" s="17">
        <f t="shared" si="0"/>
        <v>564250</v>
      </c>
      <c r="H12" s="17">
        <f t="shared" si="1"/>
        <v>72948.141115142629</v>
      </c>
      <c r="I12" s="17">
        <f t="shared" si="2"/>
        <v>491301.85888485739</v>
      </c>
    </row>
    <row r="13" spans="1:9" ht="15.75" customHeight="1" x14ac:dyDescent="0.25">
      <c r="A13" s="5">
        <f t="shared" si="3"/>
        <v>2035</v>
      </c>
      <c r="B13" s="49">
        <v>63886</v>
      </c>
      <c r="C13" s="50">
        <v>119132</v>
      </c>
      <c r="D13" s="50">
        <v>210122.5</v>
      </c>
      <c r="E13" s="50">
        <v>131677</v>
      </c>
      <c r="F13" s="50">
        <v>116724.5</v>
      </c>
      <c r="G13" s="17">
        <f t="shared" si="0"/>
        <v>577656</v>
      </c>
      <c r="H13" s="17">
        <f t="shared" si="1"/>
        <v>73703.799454096908</v>
      </c>
      <c r="I13" s="17">
        <f t="shared" si="2"/>
        <v>503952.20054590306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cCQJ35rb7QOp71DW5SGOagO40Xd3evAPWIOnRj7BneqHIFL6+xkus2yRwtkQGaMzHkA48DjjnryaIfHxMKdew==" saltValue="7wSyFzxLz/BCMjE76I11O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7.305099269490082E-3</v>
      </c>
    </row>
    <row r="4" spans="1:8" ht="15.75" customHeight="1" x14ac:dyDescent="0.25">
      <c r="B4" s="19" t="s">
        <v>97</v>
      </c>
      <c r="C4" s="101">
        <v>5.32383946761604E-2</v>
      </c>
    </row>
    <row r="5" spans="1:8" ht="15.75" customHeight="1" x14ac:dyDescent="0.25">
      <c r="B5" s="19" t="s">
        <v>98</v>
      </c>
      <c r="C5" s="101">
        <v>6.7692193230780781E-2</v>
      </c>
    </row>
    <row r="6" spans="1:8" ht="15.75" customHeight="1" x14ac:dyDescent="0.25">
      <c r="B6" s="19" t="s">
        <v>99</v>
      </c>
      <c r="C6" s="101">
        <v>0.24032487596751251</v>
      </c>
    </row>
    <row r="7" spans="1:8" ht="15.75" customHeight="1" x14ac:dyDescent="0.25">
      <c r="B7" s="19" t="s">
        <v>100</v>
      </c>
      <c r="C7" s="101">
        <v>0.4413514558648543</v>
      </c>
    </row>
    <row r="8" spans="1:8" ht="15.75" customHeight="1" x14ac:dyDescent="0.25">
      <c r="B8" s="19" t="s">
        <v>101</v>
      </c>
      <c r="C8" s="101">
        <v>7.862699213730083E-3</v>
      </c>
    </row>
    <row r="9" spans="1:8" ht="15.75" customHeight="1" x14ac:dyDescent="0.25">
      <c r="B9" s="19" t="s">
        <v>102</v>
      </c>
      <c r="C9" s="101">
        <v>7.0404592959540754E-2</v>
      </c>
    </row>
    <row r="10" spans="1:8" ht="15.75" customHeight="1" x14ac:dyDescent="0.25">
      <c r="B10" s="19" t="s">
        <v>103</v>
      </c>
      <c r="C10" s="101">
        <v>0.1118206888179311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106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107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108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109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110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111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112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113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8.6943652999999996E-2</v>
      </c>
    </row>
    <row r="27" spans="1:8" ht="15.75" customHeight="1" x14ac:dyDescent="0.25">
      <c r="B27" s="19" t="s">
        <v>120</v>
      </c>
      <c r="C27" s="101">
        <v>8.5220880000000006E-3</v>
      </c>
    </row>
    <row r="28" spans="1:8" ht="15.75" customHeight="1" x14ac:dyDescent="0.25">
      <c r="B28" s="19" t="s">
        <v>121</v>
      </c>
      <c r="C28" s="101">
        <v>0.152896541</v>
      </c>
    </row>
    <row r="29" spans="1:8" ht="15.75" customHeight="1" x14ac:dyDescent="0.25">
      <c r="B29" s="19" t="s">
        <v>122</v>
      </c>
      <c r="C29" s="101">
        <v>0.16599547100000001</v>
      </c>
    </row>
    <row r="30" spans="1:8" ht="15.75" customHeight="1" x14ac:dyDescent="0.25">
      <c r="B30" s="19" t="s">
        <v>2</v>
      </c>
      <c r="C30" s="101">
        <v>0.10566703099999999</v>
      </c>
    </row>
    <row r="31" spans="1:8" ht="15.75" customHeight="1" x14ac:dyDescent="0.25">
      <c r="B31" s="19" t="s">
        <v>123</v>
      </c>
      <c r="C31" s="101">
        <v>0.108493031</v>
      </c>
    </row>
    <row r="32" spans="1:8" ht="15.75" customHeight="1" x14ac:dyDescent="0.25">
      <c r="B32" s="19" t="s">
        <v>124</v>
      </c>
      <c r="C32" s="101">
        <v>1.8539073999999999E-2</v>
      </c>
    </row>
    <row r="33" spans="2:3" ht="15.75" customHeight="1" x14ac:dyDescent="0.25">
      <c r="B33" s="19" t="s">
        <v>125</v>
      </c>
      <c r="C33" s="101">
        <v>8.3873541999999995E-2</v>
      </c>
    </row>
    <row r="34" spans="2:3" ht="15.75" customHeight="1" x14ac:dyDescent="0.25">
      <c r="B34" s="19" t="s">
        <v>126</v>
      </c>
      <c r="C34" s="101">
        <v>0.26906956999999998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HPOs5alzXdj39cY/EHqugr56L92xXk0nICfhKlDTgDNZmmIjXk4Fp5TTdtAelOmfvjJ1BU08foBD1x6UhlNEBQ==" saltValue="hGTbVLYroMefQaJISzXor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132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133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137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nFc8sQcVcN69mGsrk6MVm4lC39/ULFWvuXKP+qCkeLv4vmL9VlAJiaB7hWaR6c5bXzTH5nRallNV2j4JMhe+w==" saltValue="kTDrmNA5dr+p4q87ylx1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3.3306520183487009E-2</v>
      </c>
      <c r="D5" s="52">
        <f t="shared" si="0"/>
        <v>3.1888914678898095E-2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7PowL5sXWwckRQY9nkrgy4wXBMAF3TQBchfMYhtjI11VJ8whSMPhA7sEKtC9G0a6yiv/gQ+VCr/G0pIL4txsQQ==" saltValue="EMDy3BlJVfodhq/HM4NW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jb2nRA/AW0U2F7SLyMRrlZ6YlSoJhsgYz3wYcy0zYz9aCmQ9aD7GbhMzZRrwo5rUddl0VCJVhy4UR8tNc1PnA==" saltValue="NMGMFNwRsZanyrYcoaUe+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7182.2653820502701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0.47020000000000001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0.52767000000000008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1.2633260271661199E-2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91688.894549999997</v>
      </c>
      <c r="C22" s="109">
        <v>90786.516050000006</v>
      </c>
      <c r="D22" s="109">
        <v>90192.798169999995</v>
      </c>
      <c r="E22" s="109">
        <v>89611.497810000001</v>
      </c>
      <c r="F22" s="109">
        <v>88785.601500000004</v>
      </c>
      <c r="G22" s="109">
        <v>87500.256420000005</v>
      </c>
      <c r="H22" s="109">
        <v>85494.828020000001</v>
      </c>
      <c r="I22" s="109">
        <v>82690.048120000007</v>
      </c>
      <c r="J22" s="109">
        <v>79253.71213</v>
      </c>
      <c r="K22" s="109">
        <v>75297.087710000007</v>
      </c>
      <c r="L22" s="109">
        <v>70837.421730000002</v>
      </c>
      <c r="M22" s="109">
        <v>65631.340490000002</v>
      </c>
      <c r="N22" s="109">
        <v>58978.418440000001</v>
      </c>
      <c r="O22" s="109">
        <v>50530.115740000001</v>
      </c>
    </row>
  </sheetData>
  <sheetProtection algorithmName="SHA-512" hashValue="sauU04jUhk2DUzqgvppErBZD1JwjjBGc1FEJdw9jXl4ALlWoth9Fo08CmaXgTq7VenKxnoTaN9DlEFDwbCnW+g==" saltValue="29xm7g24GZPDWwllvAf9K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oMZLBvCUwFuvO/g5MdxGE/9Hkf9dyzT0Qqmv6T81qKTrel+4YlJXwC5shVoYkgox0g0w0UUzLybKQ9xfYA1fCw==" saltValue="HF+i1FuyIYz9messCnwa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Go7PWk7YHGJDxAJj/GqfLM9qqOaikN6BP5bPSelbHeD6EFEGS9IgYTJm3nKTuz+lhlqZOsk98Y02Oazjow0oXw==" saltValue="EK0p+rios1JaCVTlNPAr9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0.70706266146872643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0.23003335421429147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8.6999999999999994E-2</v>
      </c>
      <c r="C10" s="98">
        <v>0.95</v>
      </c>
      <c r="D10" s="56">
        <v>13.67055113600504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13.67055113600504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13.67055113600504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13.67055113600504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8.6999999999999994E-2</v>
      </c>
      <c r="C14" s="98">
        <v>0.95</v>
      </c>
      <c r="D14" s="56">
        <v>13.67055113600504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13.67055113600504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0.27600000000000002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0.63700000000000001</v>
      </c>
      <c r="C23" s="98">
        <v>0.95</v>
      </c>
      <c r="D23" s="56">
        <v>4.6908199698568867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0.48123363019999998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0.23400000000000001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0.40400000000000003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0.40699999999999997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7.0000000000000007E-2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0.24221039999999999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0.40781970000000001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2E-3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gDEQd2H3BbgAYTfl1eQJU4UnUanpYpT8Kjq+GkfDfuhIcesGVltDsGrRPmkUHNE9X73MCKXbgmNMyrhdH3s83g==" saltValue="2cbICSk2LND5s8/MAIDA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nv5qBut1noaqPPZtjwZ0ZzZrHbxb9VPjheutH3y8YypUclZ23h7536tXdAeHEln1Ok+h60v+JlllQ4Rcn2M/g==" saltValue="gN2sicZfeEQINEemRXMI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4QtSgv3d4RmXjagoref4zYuanwdVbLP8W9yYS+5x4vOmsHcMVe7uc9Z83l2uFIdpUa7oIhCxozz3GwDQ4bvuw==" saltValue="r/73nb/XkEk/t6GV8jTsC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237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aSSNBlC2VMOIc+AFhajKXHsYM3xGfJtKIUS4NNlfjfUJSwMviBSo0fC4tPkphLJ8khOG1ikWP7d+ZPY6XGIqXw==" saltValue="gFHE/45ZNVNhOhoC+kSDG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q5Aood3ME7h9p9FoWI6TavYQtkMP/ArUurcA9AERXUV8It+fteTLD0Jy2Drom9uXQ+b2dsFZ75gyoHkNl9Srw==" saltValue="isZa3Bht21Bw36LtemfA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qI4fJdu6qA+0DDukVtMLcjPvgGzNjIpFBJckLghYwkETy9plzKuhR7UZJxRk1irJIN5zXnP09ZulcfsMq3ceRg==" saltValue="nalj2HDTPLv8cmXkRIuHE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F0GrsEotOWEppPRs3VW42233VdkJ8kgddJeg6nJ+i6/Ey1Kw3hozObY9rj1MDkr34F1mNUuPavAUWFnjH0+cQ==" saltValue="jyBzfXvYI8Q1QlnFmPjV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gjDT8B7hjQ9Cs4+d8v+ELuAijzH6HibBRp+coh7OEbpe5Scfy/LqjQZF60y7plBYMyuuzyYdw7flLdQ2bG0kQ==" saltValue="C3veksUsY6WG0EEhsPcA9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zp2dKmizIqsxHIjzKkD1vVcp9/TLhdWDBtv88YwXXaJ6USE68NfZyFR5EB0VrvZRtxwsJ3a4ro4GAr/kJWlMrA==" saltValue="9vz2B4anWqySylr4Lzsa7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Ik8A6ilizM9SSqYNkLCLQAIBBnR1K1b5vPIMaPXOmeyAv4S7jhDjUeSB8/JqTsjWy3ovPiO8Sj9NXqRMwNQOZw==" saltValue="fs1EqnfxoRpMTkRvEG4S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1+szrcdRYI2JWM9DBZScN79ZSqcOcFT/wDbBLnk93lCZ1sJIwa3zSlClU8kkdKV7+EMZqyTd1oEUE5nx13tzsA==" saltValue="BJ1kbTJIKnmX4uPFEOU+r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0GRcyqVOm8CZuqrfv7flKKkh2rHFwpxIZR8Vj6B9saQjK/ztPX9L2v8ug1pcQQCo4OUShjONh3ntYFjdGA0Lg==" saltValue="RtYGfmZKsxp48/NNBQQt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SKcCv9pZQAMURwumQKNbozlUxRqYkv9+zHz+WABbumvFVNIEwuNGxcT+dU9WrzboDPxj+xQ3whd1uGMOsCB2BA==" saltValue="LKfI7mTqIr6oI5UDD7CT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gaqsZO1rmoOIAfG2daellNHq7/CSdN4985yeJODDdqIF3ZYZcpSIp50aWd3+6ww55y3Iek0ULUWMEKSDc3kKw==" saltValue="EmLLpal4dCPz6jQ/f6xz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rQ+EN1f7PunyxUxU144FosJc/g7JXKhQpmywG29Ef3wzzvMzqQ6aUr/tF1rZLUre6ljp+32g4OguI3foVTv3g==" saltValue="6yk7A6cs22ghRJbNcvp4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wLw6PUMV+ONyDH3VPSqL85FpDOH6P+Qfg5XS5EysIT6e95EB+3ODIkkHI+3G9OhXplyiPeYIkOi5bvZsvu4Kw==" saltValue="KchsswQQgNCSGuro5Xhb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Csy/KRXIsgbguMkUugOLk7rd5e7i9/RsPPir0lqWSa5g/W5gb2yNJCSzw8mfZQ7+l1e0RsuJcIgQNzro59PdA==" saltValue="85MzT3knOfCP3yEqgd29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/5MyLPV+bIZKB0DIDDY5qulmMLdWwoPVWaCe2ww5NIN0lJrIR2ppSsd8kIgKUUwV45Q9qfYGeZKS5PhGxCeMA==" saltValue="fUni1HEIWJ5igJirZgzf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Yex7lti1XEAZUD3MRAF7Kfe3A4nESMkp/kTiUbItc5nZDO5U1Q4eU2y0807OosyzHKWJ23YoP/+e4/T9C0poFA==" saltValue="mxa8TRRTiekqT4i5WarHS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2025-07-04T03:54:09Z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