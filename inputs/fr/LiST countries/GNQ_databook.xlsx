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C53D62C1-C0A9-4792-8708-1B6FBF0D0D04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<sst xmlns="http://schemas.openxmlformats.org/spreadsheetml/2006/main" count="2102" uniqueCount="337">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</sst>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238060.677734375</v>
      </c>
    </row>
    <row r="8" spans="1:3" ht="15" customHeight="1" x14ac:dyDescent="0.25">
      <c r="B8" s="5" t="s">
        <v>19</v>
      </c>
      <c r="C8" s="44">
        <v>1.4999999999999999E-2</v>
      </c>
    </row>
    <row r="9" spans="1:3" ht="15" customHeight="1" x14ac:dyDescent="0.25">
      <c r="B9" s="5" t="s">
        <v>20</v>
      </c>
      <c r="C9" s="45">
        <v>0.97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0.79500000000000004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0.17019999999999999</v>
      </c>
    </row>
    <row r="24" spans="1:3" ht="15" customHeight="1" x14ac:dyDescent="0.25">
      <c r="B24" s="15" t="s">
        <v>33</v>
      </c>
      <c r="C24" s="45">
        <v>0.45119999999999999</v>
      </c>
    </row>
    <row r="25" spans="1:3" ht="15" customHeight="1" x14ac:dyDescent="0.25">
      <c r="B25" s="15" t="s">
        <v>34</v>
      </c>
      <c r="C25" s="45">
        <v>0.29249999999999998</v>
      </c>
    </row>
    <row r="26" spans="1:3" ht="15" customHeight="1" x14ac:dyDescent="0.25">
      <c r="B26" s="15" t="s">
        <v>35</v>
      </c>
      <c r="C26" s="45">
        <v>8.6099999999999996E-2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0.20134766316932501</v>
      </c>
    </row>
    <row r="30" spans="1:3" ht="14.25" customHeight="1" x14ac:dyDescent="0.25">
      <c r="B30" s="25" t="s">
        <v>38</v>
      </c>
      <c r="C30" s="99">
        <v>3.7040067899888597E-2</v>
      </c>
    </row>
    <row r="31" spans="1:3" ht="14.25" customHeight="1" x14ac:dyDescent="0.25">
      <c r="B31" s="25" t="s">
        <v>39</v>
      </c>
      <c r="C31" s="99">
        <v>9.42970158051466E-2</v>
      </c>
    </row>
    <row r="32" spans="1:3" ht="14.25" customHeight="1" x14ac:dyDescent="0.25">
      <c r="B32" s="25" t="s">
        <v>40</v>
      </c>
      <c r="C32" s="99">
        <v>0.66731525312564</v>
      </c>
    </row>
    <row r="33" spans="1:5" ht="13" customHeight="1" x14ac:dyDescent="0.25">
      <c r="B33" s="27" t="s">
        <v>41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28.475850000000001</v>
      </c>
    </row>
    <row r="38" spans="1:5" ht="15" customHeight="1" x14ac:dyDescent="0.25">
      <c r="B38" s="11" t="s">
        <v>45</v>
      </c>
      <c r="C38" s="43">
        <v>57.189909999999998</v>
      </c>
      <c r="D38" s="12"/>
      <c r="E38" s="13"/>
    </row>
    <row r="39" spans="1:5" ht="15" customHeight="1" x14ac:dyDescent="0.25">
      <c r="B39" s="11" t="s">
        <v>46</v>
      </c>
      <c r="C39" s="43">
        <v>76.775000000000006</v>
      </c>
      <c r="D39" s="12"/>
      <c r="E39" s="12"/>
    </row>
    <row r="40" spans="1:5" ht="15" customHeight="1" x14ac:dyDescent="0.25">
      <c r="B40" s="11" t="s">
        <v>47</v>
      </c>
      <c r="C40" s="100">
        <v>2.12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15.00699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7.9638E-3</v>
      </c>
      <c r="D45" s="12"/>
    </row>
    <row r="46" spans="1:5" ht="15.75" customHeight="1" x14ac:dyDescent="0.25">
      <c r="B46" s="11" t="s">
        <v>52</v>
      </c>
      <c r="C46" s="45">
        <v>8.5570199999999999E-2</v>
      </c>
      <c r="D46" s="12"/>
    </row>
    <row r="47" spans="1:5" ht="15.75" customHeight="1" x14ac:dyDescent="0.25">
      <c r="B47" s="11" t="s">
        <v>53</v>
      </c>
      <c r="C47" s="45">
        <v>7.3427199999999998E-2</v>
      </c>
      <c r="D47" s="12"/>
      <c r="E47" s="13"/>
    </row>
    <row r="48" spans="1:5" ht="15" customHeight="1" x14ac:dyDescent="0.25">
      <c r="B48" s="11" t="s">
        <v>54</v>
      </c>
      <c r="C48" s="46">
        <v>0.83303880000000008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0.42923099999999997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AMFF0d4RhFRyP0LAjVwLBX6s20OSlPHqK4FAvcWOUFtJ0AmCvYLSfFOVVMJHC1QD96+HJP4NzqaMXUbEeDkNMQ==" saltValue="D/oWO3E5asgWdjjXKxZ8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50600</v>
      </c>
      <c r="C2" s="49">
        <v>106331.5</v>
      </c>
      <c r="D2" s="49">
        <v>121703</v>
      </c>
      <c r="E2" s="49">
        <v>122548.5</v>
      </c>
      <c r="F2" s="49">
        <v>64957</v>
      </c>
      <c r="G2" s="17">
        <f t="shared" ref="G2:G13" si="0">C2+D2+E2+F2</f>
        <v>415540</v>
      </c>
      <c r="H2" s="17">
        <f t="shared" ref="H2:H13" si="1">(B2 + stillbirth*B2/(1000-stillbirth))/(1-abortion)</f>
        <v>58376.048780285251</v>
      </c>
      <c r="I2" s="17">
        <f t="shared" ref="I2:I13" si="2">G2-H2</f>
        <v>357163.95121971477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50908</v>
      </c>
      <c r="C3" s="50">
        <v>112095</v>
      </c>
      <c r="D3" s="50">
        <v>123628.5</v>
      </c>
      <c r="E3" s="50">
        <v>124788</v>
      </c>
      <c r="F3" s="50">
        <v>68294.5</v>
      </c>
      <c r="G3" s="17">
        <f t="shared" si="0"/>
        <v>428806</v>
      </c>
      <c r="H3" s="17">
        <f t="shared" si="1"/>
        <v>58731.381251121769</v>
      </c>
      <c r="I3" s="17">
        <f t="shared" si="2"/>
        <v>370074.61874887825</v>
      </c>
    </row>
    <row r="4" spans="1:9" ht="15.75" customHeight="1" x14ac:dyDescent="0.25">
      <c r="A4" s="5">
        <f t="shared" si="3"/>
        <v>2026</v>
      </c>
      <c r="B4" s="49">
        <v>51214</v>
      </c>
      <c r="C4" s="50">
        <v>115975.5</v>
      </c>
      <c r="D4" s="50">
        <v>127281</v>
      </c>
      <c r="E4" s="50">
        <v>126151.5</v>
      </c>
      <c r="F4" s="50">
        <v>72177</v>
      </c>
      <c r="G4" s="17">
        <f t="shared" si="0"/>
        <v>441585</v>
      </c>
      <c r="H4" s="17">
        <f t="shared" si="1"/>
        <v>59084.406368251563</v>
      </c>
      <c r="I4" s="17">
        <f t="shared" si="2"/>
        <v>382500.59363174846</v>
      </c>
    </row>
    <row r="5" spans="1:9" ht="15.75" customHeight="1" x14ac:dyDescent="0.25">
      <c r="A5" s="5">
        <f t="shared" si="3"/>
        <v>2027</v>
      </c>
      <c r="B5" s="49">
        <v>51538</v>
      </c>
      <c r="C5" s="50">
        <v>118932</v>
      </c>
      <c r="D5" s="50">
        <v>132591.5</v>
      </c>
      <c r="E5" s="50">
        <v>126727</v>
      </c>
      <c r="F5" s="50">
        <v>76542</v>
      </c>
      <c r="G5" s="17">
        <f t="shared" si="0"/>
        <v>454792.5</v>
      </c>
      <c r="H5" s="17">
        <f t="shared" si="1"/>
        <v>59458.197668741923</v>
      </c>
      <c r="I5" s="17">
        <f t="shared" si="2"/>
        <v>395334.30233125808</v>
      </c>
    </row>
    <row r="6" spans="1:9" ht="15.75" customHeight="1" x14ac:dyDescent="0.25">
      <c r="A6" s="5">
        <f t="shared" si="3"/>
        <v>2028</v>
      </c>
      <c r="B6" s="49">
        <v>51855</v>
      </c>
      <c r="C6" s="50">
        <v>121150</v>
      </c>
      <c r="D6" s="50">
        <v>139305.5</v>
      </c>
      <c r="E6" s="50">
        <v>126649</v>
      </c>
      <c r="F6" s="50">
        <v>81244</v>
      </c>
      <c r="G6" s="17">
        <f t="shared" si="0"/>
        <v>468348.5</v>
      </c>
      <c r="H6" s="17">
        <f t="shared" si="1"/>
        <v>59823.913231258732</v>
      </c>
      <c r="I6" s="17">
        <f t="shared" si="2"/>
        <v>408524.58676874125</v>
      </c>
    </row>
    <row r="7" spans="1:9" ht="15.75" customHeight="1" x14ac:dyDescent="0.25">
      <c r="A7" s="5">
        <f t="shared" si="3"/>
        <v>2029</v>
      </c>
      <c r="B7" s="49">
        <v>52426</v>
      </c>
      <c r="C7" s="50">
        <v>122777</v>
      </c>
      <c r="D7" s="50">
        <v>147181.5</v>
      </c>
      <c r="E7" s="50">
        <v>126074.5</v>
      </c>
      <c r="F7" s="50">
        <v>86095.5</v>
      </c>
      <c r="G7" s="17">
        <f t="shared" si="0"/>
        <v>482128.5</v>
      </c>
      <c r="H7" s="17">
        <f t="shared" si="1"/>
        <v>60482.662714530328</v>
      </c>
      <c r="I7" s="17">
        <f t="shared" si="2"/>
        <v>421645.83728546969</v>
      </c>
    </row>
    <row r="8" spans="1:9" ht="15.75" customHeight="1" x14ac:dyDescent="0.25">
      <c r="A8" s="5">
        <f t="shared" si="3"/>
        <v>2030</v>
      </c>
      <c r="B8" s="49">
        <v>52783</v>
      </c>
      <c r="C8" s="50">
        <v>123978</v>
      </c>
      <c r="D8" s="50">
        <v>155989.5</v>
      </c>
      <c r="E8" s="50">
        <v>125129.5</v>
      </c>
      <c r="F8" s="50">
        <v>90904.5</v>
      </c>
      <c r="G8" s="17">
        <f t="shared" si="0"/>
        <v>496001.5</v>
      </c>
      <c r="H8" s="17">
        <f t="shared" si="1"/>
        <v>60894.52535118175</v>
      </c>
      <c r="I8" s="17">
        <f t="shared" si="2"/>
        <v>435106.97464881826</v>
      </c>
    </row>
    <row r="9" spans="1:9" ht="15.75" customHeight="1" x14ac:dyDescent="0.25">
      <c r="A9" s="5">
        <f t="shared" si="3"/>
        <v>2031</v>
      </c>
      <c r="B9" s="49">
        <v>53278</v>
      </c>
      <c r="C9" s="50">
        <v>125763</v>
      </c>
      <c r="D9" s="50">
        <v>164650.5</v>
      </c>
      <c r="E9" s="50">
        <v>123920.5</v>
      </c>
      <c r="F9" s="50">
        <v>95485.5</v>
      </c>
      <c r="G9" s="17">
        <f t="shared" si="0"/>
        <v>509819.5</v>
      </c>
      <c r="H9" s="17">
        <f t="shared" si="1"/>
        <v>61465.595393597578</v>
      </c>
      <c r="I9" s="17">
        <f t="shared" si="2"/>
        <v>448353.90460640244</v>
      </c>
    </row>
    <row r="10" spans="1:9" ht="15.75" customHeight="1" x14ac:dyDescent="0.25">
      <c r="A10" s="5">
        <f t="shared" si="3"/>
        <v>2032</v>
      </c>
      <c r="B10" s="49">
        <v>53428</v>
      </c>
      <c r="C10" s="50">
        <v>128114.5</v>
      </c>
      <c r="D10" s="50">
        <v>172867</v>
      </c>
      <c r="E10" s="50">
        <v>122791.5</v>
      </c>
      <c r="F10" s="50">
        <v>99690</v>
      </c>
      <c r="G10" s="17">
        <f t="shared" si="0"/>
        <v>523463</v>
      </c>
      <c r="H10" s="17">
        <f t="shared" si="1"/>
        <v>61638.646921602376</v>
      </c>
      <c r="I10" s="17">
        <f t="shared" si="2"/>
        <v>461824.35307839763</v>
      </c>
    </row>
    <row r="11" spans="1:9" ht="15.75" customHeight="1" x14ac:dyDescent="0.25">
      <c r="A11" s="5">
        <f t="shared" si="3"/>
        <v>2033</v>
      </c>
      <c r="B11" s="49">
        <v>53504</v>
      </c>
      <c r="C11" s="50">
        <v>130137.5</v>
      </c>
      <c r="D11" s="50">
        <v>181066</v>
      </c>
      <c r="E11" s="50">
        <v>122245.5</v>
      </c>
      <c r="F11" s="50">
        <v>103401.5</v>
      </c>
      <c r="G11" s="17">
        <f t="shared" si="0"/>
        <v>536850.5</v>
      </c>
      <c r="H11" s="17">
        <f t="shared" si="1"/>
        <v>61726.326362458145</v>
      </c>
      <c r="I11" s="17">
        <f t="shared" si="2"/>
        <v>475124.17363754183</v>
      </c>
    </row>
    <row r="12" spans="1:9" ht="15.75" customHeight="1" x14ac:dyDescent="0.25">
      <c r="A12" s="5">
        <f t="shared" si="3"/>
        <v>2034</v>
      </c>
      <c r="B12" s="49">
        <v>53932</v>
      </c>
      <c r="C12" s="50">
        <v>131880</v>
      </c>
      <c r="D12" s="50">
        <v>188794.5</v>
      </c>
      <c r="E12" s="50">
        <v>122729.5</v>
      </c>
      <c r="F12" s="50">
        <v>106478.5</v>
      </c>
      <c r="G12" s="17">
        <f t="shared" si="0"/>
        <v>549882.5</v>
      </c>
      <c r="H12" s="17">
        <f t="shared" si="1"/>
        <v>62220.100055698502</v>
      </c>
      <c r="I12" s="17">
        <f t="shared" si="2"/>
        <v>487662.39994430152</v>
      </c>
    </row>
    <row r="13" spans="1:9" ht="15.75" customHeight="1" x14ac:dyDescent="0.25">
      <c r="A13" s="5">
        <f t="shared" si="3"/>
        <v>2035</v>
      </c>
      <c r="B13" s="49">
        <v>54215</v>
      </c>
      <c r="C13" s="50">
        <v>133347.5</v>
      </c>
      <c r="D13" s="50">
        <v>195619</v>
      </c>
      <c r="E13" s="50">
        <v>124666</v>
      </c>
      <c r="F13" s="50">
        <v>108802</v>
      </c>
      <c r="G13" s="17">
        <f t="shared" si="0"/>
        <v>562434.5</v>
      </c>
      <c r="H13" s="17">
        <f t="shared" si="1"/>
        <v>62546.590605200887</v>
      </c>
      <c r="I13" s="17">
        <f t="shared" si="2"/>
        <v>499887.90939479909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86EgSXqe94QpBGBEeQKb9+6C7bV/f1Iz9iKyPtdliMAdehoYxFnvDuBJblDZq75OVuyfBHaQyLx7T1LxyIsESg==" saltValue="jtS2jutlZSgiYocbFEnug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7.305099269490082E-3</v>
      </c>
    </row>
    <row r="4" spans="1:8" ht="15.75" customHeight="1" x14ac:dyDescent="0.25">
      <c r="B4" s="19" t="s">
        <v>79</v>
      </c>
      <c r="C4" s="101">
        <v>5.32383946761604E-2</v>
      </c>
    </row>
    <row r="5" spans="1:8" ht="15.75" customHeight="1" x14ac:dyDescent="0.25">
      <c r="B5" s="19" t="s">
        <v>80</v>
      </c>
      <c r="C5" s="101">
        <v>6.7692193230780781E-2</v>
      </c>
    </row>
    <row r="6" spans="1:8" ht="15.75" customHeight="1" x14ac:dyDescent="0.25">
      <c r="B6" s="19" t="s">
        <v>81</v>
      </c>
      <c r="C6" s="101">
        <v>0.24032487596751251</v>
      </c>
    </row>
    <row r="7" spans="1:8" ht="15.75" customHeight="1" x14ac:dyDescent="0.25">
      <c r="B7" s="19" t="s">
        <v>82</v>
      </c>
      <c r="C7" s="101">
        <v>0.4413514558648543</v>
      </c>
    </row>
    <row r="8" spans="1:8" ht="15.75" customHeight="1" x14ac:dyDescent="0.25">
      <c r="B8" s="19" t="s">
        <v>83</v>
      </c>
      <c r="C8" s="101">
        <v>7.862699213730083E-3</v>
      </c>
    </row>
    <row r="9" spans="1:8" ht="15.75" customHeight="1" x14ac:dyDescent="0.25">
      <c r="B9" s="19" t="s">
        <v>84</v>
      </c>
      <c r="C9" s="101">
        <v>7.0404592959540754E-2</v>
      </c>
    </row>
    <row r="10" spans="1:8" ht="15.75" customHeight="1" x14ac:dyDescent="0.25">
      <c r="B10" s="19" t="s">
        <v>85</v>
      </c>
      <c r="C10" s="101">
        <v>0.1118206888179311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0.1469392595461291</v>
      </c>
      <c r="D14" s="55">
        <v>0.1469392595461291</v>
      </c>
      <c r="E14" s="55">
        <v>0.1469392595461291</v>
      </c>
      <c r="F14" s="55">
        <v>0.1469392595461291</v>
      </c>
    </row>
    <row r="15" spans="1:8" ht="15.75" customHeight="1" x14ac:dyDescent="0.25">
      <c r="B15" s="19" t="s">
        <v>88</v>
      </c>
      <c r="C15" s="101">
        <v>0.23712937024363909</v>
      </c>
      <c r="D15" s="101">
        <v>0.23712937024363909</v>
      </c>
      <c r="E15" s="101">
        <v>0.23712937024363909</v>
      </c>
      <c r="F15" s="101">
        <v>0.23712937024363909</v>
      </c>
    </row>
    <row r="16" spans="1:8" ht="15.75" customHeight="1" x14ac:dyDescent="0.25">
      <c r="B16" s="19" t="s">
        <v>89</v>
      </c>
      <c r="C16" s="101">
        <v>3.7117086195434149E-2</v>
      </c>
      <c r="D16" s="101">
        <v>3.7117086195434149E-2</v>
      </c>
      <c r="E16" s="101">
        <v>3.7117086195434149E-2</v>
      </c>
      <c r="F16" s="101">
        <v>3.7117086195434149E-2</v>
      </c>
    </row>
    <row r="17" spans="1:8" ht="15.75" customHeight="1" x14ac:dyDescent="0.25">
      <c r="B17" s="19" t="s">
        <v>90</v>
      </c>
      <c r="C17" s="101">
        <v>6.4691924277210433E-2</v>
      </c>
      <c r="D17" s="101">
        <v>6.4691924277210433E-2</v>
      </c>
      <c r="E17" s="101">
        <v>6.4691924277210433E-2</v>
      </c>
      <c r="F17" s="101">
        <v>6.4691924277210433E-2</v>
      </c>
    </row>
    <row r="18" spans="1:8" ht="15.75" customHeight="1" x14ac:dyDescent="0.25">
      <c r="B18" s="19" t="s">
        <v>91</v>
      </c>
      <c r="C18" s="101">
        <v>0.1268361424234847</v>
      </c>
      <c r="D18" s="101">
        <v>0.1268361424234847</v>
      </c>
      <c r="E18" s="101">
        <v>0.1268361424234847</v>
      </c>
      <c r="F18" s="101">
        <v>0.1268361424234847</v>
      </c>
    </row>
    <row r="19" spans="1:8" ht="15.75" customHeight="1" x14ac:dyDescent="0.25">
      <c r="B19" s="19" t="s">
        <v>92</v>
      </c>
      <c r="C19" s="101">
        <v>1.7499491580409809E-2</v>
      </c>
      <c r="D19" s="101">
        <v>1.7499491580409809E-2</v>
      </c>
      <c r="E19" s="101">
        <v>1.7499491580409809E-2</v>
      </c>
      <c r="F19" s="101">
        <v>1.7499491580409809E-2</v>
      </c>
    </row>
    <row r="20" spans="1:8" ht="15.75" customHeight="1" x14ac:dyDescent="0.25">
      <c r="B20" s="19" t="s">
        <v>93</v>
      </c>
      <c r="C20" s="101">
        <v>0.25313723606834909</v>
      </c>
      <c r="D20" s="101">
        <v>0.25313723606834909</v>
      </c>
      <c r="E20" s="101">
        <v>0.25313723606834909</v>
      </c>
      <c r="F20" s="101">
        <v>0.25313723606834909</v>
      </c>
    </row>
    <row r="21" spans="1:8" ht="15.75" customHeight="1" x14ac:dyDescent="0.25">
      <c r="B21" s="19" t="s">
        <v>94</v>
      </c>
      <c r="C21" s="101">
        <v>3.6213588278603132E-2</v>
      </c>
      <c r="D21" s="101">
        <v>3.6213588278603132E-2</v>
      </c>
      <c r="E21" s="101">
        <v>3.6213588278603132E-2</v>
      </c>
      <c r="F21" s="101">
        <v>3.6213588278603132E-2</v>
      </c>
    </row>
    <row r="22" spans="1:8" ht="15.75" customHeight="1" x14ac:dyDescent="0.25">
      <c r="B22" s="19" t="s">
        <v>95</v>
      </c>
      <c r="C22" s="101">
        <v>8.043590138674063E-2</v>
      </c>
      <c r="D22" s="101">
        <v>8.043590138674063E-2</v>
      </c>
      <c r="E22" s="101">
        <v>8.043590138674063E-2</v>
      </c>
      <c r="F22" s="101">
        <v>8.043590138674063E-2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8.6943652999999996E-2</v>
      </c>
    </row>
    <row r="27" spans="1:8" ht="15.75" customHeight="1" x14ac:dyDescent="0.25">
      <c r="B27" s="19" t="s">
        <v>102</v>
      </c>
      <c r="C27" s="101">
        <v>8.5220880000000006E-3</v>
      </c>
    </row>
    <row r="28" spans="1:8" ht="15.75" customHeight="1" x14ac:dyDescent="0.25">
      <c r="B28" s="19" t="s">
        <v>103</v>
      </c>
      <c r="C28" s="101">
        <v>0.152896541</v>
      </c>
    </row>
    <row r="29" spans="1:8" ht="15.75" customHeight="1" x14ac:dyDescent="0.25">
      <c r="B29" s="19" t="s">
        <v>104</v>
      </c>
      <c r="C29" s="101">
        <v>0.16599547100000001</v>
      </c>
    </row>
    <row r="30" spans="1:8" ht="15.75" customHeight="1" x14ac:dyDescent="0.25">
      <c r="B30" s="19" t="s">
        <v>2</v>
      </c>
      <c r="C30" s="101">
        <v>0.10566703099999999</v>
      </c>
    </row>
    <row r="31" spans="1:8" ht="15.75" customHeight="1" x14ac:dyDescent="0.25">
      <c r="B31" s="19" t="s">
        <v>105</v>
      </c>
      <c r="C31" s="101">
        <v>0.108493031</v>
      </c>
    </row>
    <row r="32" spans="1:8" ht="15.75" customHeight="1" x14ac:dyDescent="0.25">
      <c r="B32" s="19" t="s">
        <v>106</v>
      </c>
      <c r="C32" s="101">
        <v>1.8539073999999999E-2</v>
      </c>
    </row>
    <row r="33" spans="2:3" ht="15.75" customHeight="1" x14ac:dyDescent="0.25">
      <c r="B33" s="19" t="s">
        <v>107</v>
      </c>
      <c r="C33" s="101">
        <v>8.3873541999999995E-2</v>
      </c>
    </row>
    <row r="34" spans="2:3" ht="15.75" customHeight="1" x14ac:dyDescent="0.25">
      <c r="B34" s="19" t="s">
        <v>108</v>
      </c>
      <c r="C34" s="101">
        <v>0.26906956999999998</v>
      </c>
    </row>
    <row r="35" spans="2:3" ht="15.75" customHeight="1" x14ac:dyDescent="0.25">
      <c r="B35" s="27" t="s">
        <v>41</v>
      </c>
      <c r="C35" s="48">
        <f>SUM(C26:C34)</f>
        <v>1.0000000009999999</v>
      </c>
    </row>
  </sheetData>
  <sheetProtection algorithmName="SHA-512" hashValue="lgGCEO4v7na5DyAd2dfOgQDMfE5bSM1gPR52wMIpGauQDeVHW1gzi6PwxJm9Rkbb23wPulkeZ2j4Q+L+YG10Ow==" saltValue="OlRqC0tzZSmswZsoCT9r6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114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115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119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120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0.48720162700000003</v>
      </c>
      <c r="D14" s="54">
        <v>0.481282526652</v>
      </c>
      <c r="E14" s="54">
        <v>0.481282526652</v>
      </c>
      <c r="F14" s="54">
        <v>0.54058460914799999</v>
      </c>
      <c r="G14" s="54">
        <v>0.54058460914799999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0.42799999999999999</v>
      </c>
      <c r="M14" s="55">
        <v>0.42799999999999999</v>
      </c>
      <c r="N14" s="55">
        <v>0.42799999999999999</v>
      </c>
      <c r="O14" s="55">
        <v>0.42799999999999999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0.20912204155883699</v>
      </c>
      <c r="D15" s="52">
        <f t="shared" si="0"/>
        <v>0.20658138019736461</v>
      </c>
      <c r="E15" s="52">
        <f t="shared" si="0"/>
        <v>0.20658138019736461</v>
      </c>
      <c r="F15" s="52">
        <f t="shared" si="0"/>
        <v>0.23203567236920516</v>
      </c>
      <c r="G15" s="52">
        <f t="shared" si="0"/>
        <v>0.23203567236920516</v>
      </c>
      <c r="H15" s="52">
        <f t="shared" si="0"/>
        <v>0.223629351</v>
      </c>
      <c r="I15" s="52">
        <f t="shared" si="0"/>
        <v>0.223629351</v>
      </c>
      <c r="J15" s="52">
        <f t="shared" si="0"/>
        <v>0.223629351</v>
      </c>
      <c r="K15" s="52">
        <f t="shared" si="0"/>
        <v>0.223629351</v>
      </c>
      <c r="L15" s="52">
        <f t="shared" si="0"/>
        <v>0.18371086799999997</v>
      </c>
      <c r="M15" s="52">
        <f t="shared" si="0"/>
        <v>0.18371086799999997</v>
      </c>
      <c r="N15" s="52">
        <f t="shared" si="0"/>
        <v>0.18371086799999997</v>
      </c>
      <c r="O15" s="52">
        <f t="shared" si="0"/>
        <v>0.18371086799999997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oq6buTdhxRv+f67d1QXsXb09bL/BUX7N1s9G3E7nUpTDU8uZGgAUdtTGFUB3GIsVbbH2W85B/lJjeXAyA8n6Q==" saltValue="wTRc1ru4PUIgaVXieqcv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0.45676642935779799</v>
      </c>
      <c r="D2" s="53">
        <v>0.28061695596330299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0.38675512568807302</v>
      </c>
      <c r="D3" s="53">
        <v>0.41258372201834898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0.123171924770642</v>
      </c>
      <c r="D4" s="53">
        <v>0.27491040733944999</v>
      </c>
      <c r="E4" s="53">
        <v>0.95196375229357699</v>
      </c>
      <c r="F4" s="53">
        <v>0.70327111743119308</v>
      </c>
      <c r="G4" s="53">
        <v>0</v>
      </c>
    </row>
    <row r="5" spans="1:7" x14ac:dyDescent="0.25">
      <c r="B5" s="3" t="s">
        <v>132</v>
      </c>
      <c r="C5" s="52">
        <v>3.33065256880734E-2</v>
      </c>
      <c r="D5" s="52">
        <v>3.1888914678899101E-2</v>
      </c>
      <c r="E5" s="52">
        <f>1-SUM(E2:E4)</f>
        <v>4.8036247706423008E-2</v>
      </c>
      <c r="F5" s="52">
        <f>1-SUM(F2:F4)</f>
        <v>0.29672888256880692</v>
      </c>
      <c r="G5" s="52">
        <f>1-SUM(G2:G4)</f>
        <v>1</v>
      </c>
    </row>
  </sheetData>
  <sheetProtection algorithmName="SHA-512" hashValue="CUMDwATU7ySEhgNeBrl8W8QlSeg+hbZ6feOVWuKCXW1P3Afa+/wPd8BiSB40rwJObp/8J+JaXGUlFqcQQVn71w==" saltValue="qK3T4VlDkuYrQSjo/yXqH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wfNzi175u04AW2s8yynLm+4UzC3Zw4ueQrceeJNP1fveduUuwlFdv5d5KdV33Pawv/JA46GGCaiP3y1dySBgA==" saltValue="gIaV6X6hKQJQk7/bEJu8c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IoFsmo0m7gym/JjZH27HyLtKccPpaN5CRwvWyh4QmcsnPD8oxqPDA7uqwJXKka4pPSpIBrfcdpYVKiJ7J80APw==" saltValue="QgSEzZI5k3mlg2+ioKdUy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/JtWeil4RxLD+dVOJOW4LghYSzu4s2LdxCegGDlYHiUPb0oHmG3cZncj7pVa99/pN5Dogt5/5BgxbAT2Ci9tKg==" saltValue="lumqD5kfVJb2TBtoXfFwi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7lLoXoHVdgKBhnBkLxG+UUsO696zCsSl8htq8oDo8Vse41mL2HQu1EdCs+cYay3Xbjy15mU2rnSM08gImPbp/A==" saltValue="Rls2YYQzEvjOIdzaHMRdW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87.391752012908441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0.219042236</v>
      </c>
      <c r="C3" s="98">
        <v>0.95</v>
      </c>
      <c r="D3" s="56">
        <v>40.53825169220913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874.73534732467272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0.99400898758412304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8.6999999999999994E-2</v>
      </c>
      <c r="C10" s="98">
        <v>0.95</v>
      </c>
      <c r="D10" s="56">
        <v>13.67055113600504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8.6999999999999994E-2</v>
      </c>
      <c r="C11" s="98">
        <v>0.95</v>
      </c>
      <c r="D11" s="56">
        <v>13.67055113600504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8.6999999999999994E-2</v>
      </c>
      <c r="C12" s="98">
        <v>0.95</v>
      </c>
      <c r="D12" s="56">
        <v>13.67055113600504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8.6999999999999994E-2</v>
      </c>
      <c r="C13" s="98">
        <v>0.95</v>
      </c>
      <c r="D13" s="56">
        <v>13.67055113600504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8.6999999999999994E-2</v>
      </c>
      <c r="C14" s="98">
        <v>0.95</v>
      </c>
      <c r="D14" s="56">
        <v>13.67055113600504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8.6999999999999994E-2</v>
      </c>
      <c r="C15" s="98">
        <v>0.95</v>
      </c>
      <c r="D15" s="56">
        <v>13.67055113600504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0.6</v>
      </c>
      <c r="C16" s="98">
        <v>0.95</v>
      </c>
      <c r="D16" s="56">
        <v>1.3773362239396929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8.4750284300000006E-2</v>
      </c>
      <c r="C18" s="98">
        <v>0.95</v>
      </c>
      <c r="D18" s="56">
        <v>20.02723308412703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0.6631279000000001</v>
      </c>
      <c r="C19" s="98">
        <v>0.95</v>
      </c>
      <c r="D19" s="56">
        <v>20.02723308412703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0.40781970000000001</v>
      </c>
      <c r="C21" s="98">
        <v>0.95</v>
      </c>
      <c r="D21" s="56">
        <v>10.32305644607259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23.936202886472088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4.6908199698568867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0.64220971160000007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8.6999999999999994E-2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19.219496467459528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0.50361942729999998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180.6631632031546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0.08</v>
      </c>
      <c r="C31" s="98">
        <v>0.95</v>
      </c>
      <c r="D31" s="56">
        <v>1.304771366326084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3.0250294891780638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0.08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0.40699999999999997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0.40400000000000003</v>
      </c>
      <c r="C38" s="98">
        <v>0.95</v>
      </c>
      <c r="D38" s="56">
        <v>6.1461020173279026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1hVjLFaLq69fQwcdPDjkoMBJn83YEnWDeB2pBAqT0NbypfKu/a2jJBp4giOdBL/sxofphLkjUFfiDnKa9TgMcg==" saltValue="dyf5JQX1OWVwJ9c1df9w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2B8LsjHp8kUtikTgdtCz2QNUkyLfluqZfjKG/oFjc2sX6PNlwf3bSOOHFW1mc6RrhfvM4x4hSJUO9e+zOCW/g==" saltValue="C3jse9ki85VyG+Zxwz6l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0rt1m3xzkCK43lj8p9+ShE1ntIhn+y363mbaQUyfYXDPxpOmWG+9+zVBNljrzT/4uB2a1xrGMwBOhEzMwsRSQ==" saltValue="UOdpbLubs0Erw1dEP5BaV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208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sheetProtection algorithmName="SHA-512" hashValue="wfw5f2GPqw3FZ73HM1jqfWf8X5c9F9ckFlVkYgT1PK2BUnqLrlmlig6flIJJ2JiVFkUcfOMlAKtsEhPBO6Vccg==" saltValue="UA32ibxVNoOoYmoX0Z73g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0.79500000000000004</v>
      </c>
      <c r="M24" s="60">
        <f>famplan_unmet_need</f>
        <v>0.79500000000000004</v>
      </c>
      <c r="N24" s="60">
        <f>famplan_unmet_need</f>
        <v>0.79500000000000004</v>
      </c>
      <c r="O24" s="60">
        <f>famplan_unmet_need</f>
        <v>0.79500000000000004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0.33236672209398005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0.14244288089742002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0.19915718620860001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0.97</v>
      </c>
      <c r="D34" s="60">
        <f t="shared" si="3"/>
        <v>0.97</v>
      </c>
      <c r="E34" s="60">
        <f t="shared" si="3"/>
        <v>0.97</v>
      </c>
      <c r="F34" s="60">
        <f t="shared" si="3"/>
        <v>0.97</v>
      </c>
      <c r="G34" s="60">
        <f t="shared" si="3"/>
        <v>0.97</v>
      </c>
      <c r="H34" s="60">
        <f t="shared" si="3"/>
        <v>0.97</v>
      </c>
      <c r="I34" s="60">
        <f t="shared" si="3"/>
        <v>0.97</v>
      </c>
      <c r="J34" s="60">
        <f t="shared" si="3"/>
        <v>0.97</v>
      </c>
      <c r="K34" s="60">
        <f t="shared" si="3"/>
        <v>0.97</v>
      </c>
      <c r="L34" s="60">
        <f t="shared" si="3"/>
        <v>0.97</v>
      </c>
      <c r="M34" s="60">
        <f t="shared" si="3"/>
        <v>0.97</v>
      </c>
      <c r="N34" s="60">
        <f t="shared" si="3"/>
        <v>0.97</v>
      </c>
      <c r="O34" s="60">
        <f t="shared" si="3"/>
        <v>0.97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Q+4qz+9z4GBNUN3ODBxRcUwjeJzaNmLfaHweYK1w0tNQGfASh6U8B2m61/E3ObMoJtFijOY3oT3S6tUbSNbdA==" saltValue="P6mw4OGBvanK2nmy7tAqf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jw1k8HIQzzX76dbkNv5sWuhMHFkckr0xmeueUP/Q0py4+VS2ZKPr4pfXAirtQ7I6ktaIVN69HgbVJKz9vPxUJg==" saltValue="b6bCr46T8hbyGlCS60otd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wVAqb5mWSpQ0u1k/LaoPQmSqpRsIXbj46Z/D7TvfcztBKcpbhbsnbN7U8Wu44hGTplMf/+KqiheKveN3JXk3g==" saltValue="M3dfNU3HUyeaPZca7hmdr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uz31wMm0bUCzR33sY+CoTIKQpo7+5LZPkaLNud4AAuDc6tz6bkJwND0CuzxPNSXiT0IFA8bFMQVbrEFnMRsKw==" saltValue="NhH0gLk5OVsFY3JpKXqL1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jjWm3pDoAalMSHtY/fH9SO7Y/biDxI9OUa4EO0wwH68UEn9aKopJ8D/JdexzkCnD+KRgQ4kOYuSF4ozZ28498g==" saltValue="Y2WzFURsbhSul4D404HN6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8p19FY5jlBgMaQXE2G8hodqeyaIvWDMkAO8z4LB8Msxwn+F0YhxnG5VPOaumkxTQlKKNlhTv4DxkdlUOD4PeCg==" saltValue="cZUhCA3+M3ac0lMTaURQw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BzdLVRLWNATA8K0d3+R11sPja2Kb0GdgJ5DxF+zO3pJOTCCsihqehaPqqvWB4LMwerFVgeIdfu8H9HreY4OGkQ==" saltValue="ktprSeINVAKYNoT7MGGCA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15FeX9l0HCT/EvcmzoTmZLPF7LTtcUUfGXCPZi1zs+dRcqix+3As4Scvnn4rA2caKX3TbFaBNoltUWvC2rKQww==" saltValue="uPCicN9jbsZw4WVqUjRI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iJt08+9rpw55idkxyrKJvV10q26oCpSv31UNrUmzS5SubpOI80UnbwGSAAic9y5KGhlwYpUsssjMQQZaztf3g==" saltValue="i2aTNQSkL/ddQJ5n74xq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a0nEEX0lFnM7pQ9YMf0KEjXo47fTpNP9xBRHcmWCp1M+42CWbctS1dHqCjSKOpZdz1czHWMnWETmYeAFeNSMng==" saltValue="uOV7ZIAeicBE8JUPBYli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pqKqgF05Vll+r4c+Hqn++ihbdkpg2MgPUilPG/VI8DmDtrjOXH4Xfvshfc04tYnGbZ6K3au1/t8J22DwEZDv3w==" saltValue="Pt9hLzhFOko0KcLXlbOn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6ui05V8I4rDa/BNx97RTsjEPY0ZqUmbAgfnhcuMFiGc/vWUOT4j3YuPBZXYQK+GJoxVwhhZaDr/WBi/M+oLQA==" saltValue="yKa5cei1INtACUDQhxd5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4QLIDIKrQptH1MrRNFrYUzybB33dO+QIp0DHs7k8Bh5ER9AyxJMSevNP040C5eZg4XoqDiUe4G1NO8NA+WBonQ==" saltValue="r90Oxm56G9XgFu5PnWwt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zVrEpP1Yazg0hzvlEnO4DCzMS1AfdjtI8WFanYuGeLoawzFoJkSlbao1xIZFIsnaV29jjLSbHNDhiVkr2EONyw==" saltValue="1WGwp5riErC4Zh40h18U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49/djVqgr6vOH2XPWGkMFMfq2xRcdcyGNktelEBQZ7or7AAF5vES9uVqwFoDpU3c/8z8w+dUK8mmFEuGMXlCnQ==" saltValue="pGgkcyUr+3B5yN5T4C1uo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2024-05-17T00:27:53Z</dcterms:modified>
</cp:coreProperties>
</file>