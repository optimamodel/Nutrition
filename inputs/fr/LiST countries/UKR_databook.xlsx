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B655BE8-2FE7-4928-9A5E-D2ED6F38548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<sst xmlns="http://schemas.openxmlformats.org/spreadsheetml/2006/main" count="2102" uniqueCount="337">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</sst>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1331818.34375</v>
      </c>
    </row>
    <row r="8" spans="1:3" ht="15" customHeight="1" x14ac:dyDescent="0.25">
      <c r="B8" s="5" t="s">
        <v>19</v>
      </c>
      <c r="C8" s="44">
        <v>0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0.86682701110839799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8.8000000000000009E-2</v>
      </c>
    </row>
    <row r="24" spans="1:3" ht="15" customHeight="1" x14ac:dyDescent="0.25">
      <c r="B24" s="15" t="s">
        <v>33</v>
      </c>
      <c r="C24" s="45">
        <v>0.56720000000000004</v>
      </c>
    </row>
    <row r="25" spans="1:3" ht="15" customHeight="1" x14ac:dyDescent="0.25">
      <c r="B25" s="15" t="s">
        <v>34</v>
      </c>
      <c r="C25" s="45">
        <v>0.32450000000000001</v>
      </c>
    </row>
    <row r="26" spans="1:3" ht="15" customHeight="1" x14ac:dyDescent="0.25">
      <c r="B26" s="15" t="s">
        <v>35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0.57290349526853401</v>
      </c>
    </row>
    <row r="30" spans="1:3" ht="14.25" customHeight="1" x14ac:dyDescent="0.25">
      <c r="B30" s="25" t="s">
        <v>38</v>
      </c>
      <c r="C30" s="99">
        <v>2.97816918362898E-2</v>
      </c>
    </row>
    <row r="31" spans="1:3" ht="14.25" customHeight="1" x14ac:dyDescent="0.25">
      <c r="B31" s="25" t="s">
        <v>39</v>
      </c>
      <c r="C31" s="99">
        <v>2.5306962187057899E-2</v>
      </c>
    </row>
    <row r="32" spans="1:3" ht="14.25" customHeight="1" x14ac:dyDescent="0.25">
      <c r="B32" s="25" t="s">
        <v>40</v>
      </c>
      <c r="C32" s="99">
        <v>0.37200785070811798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4.8260399999999999</v>
      </c>
    </row>
    <row r="38" spans="1:5" ht="15" customHeight="1" x14ac:dyDescent="0.25">
      <c r="B38" s="11" t="s">
        <v>45</v>
      </c>
      <c r="C38" s="43">
        <v>7.0373799999999997</v>
      </c>
      <c r="D38" s="12"/>
      <c r="E38" s="13"/>
    </row>
    <row r="39" spans="1:5" ht="15" customHeight="1" x14ac:dyDescent="0.25">
      <c r="B39" s="11" t="s">
        <v>46</v>
      </c>
      <c r="C39" s="43">
        <v>8.2232299999999992</v>
      </c>
      <c r="D39" s="12"/>
      <c r="E39" s="12"/>
    </row>
    <row r="40" spans="1:5" ht="15" customHeight="1" x14ac:dyDescent="0.25">
      <c r="B40" s="11" t="s">
        <v>47</v>
      </c>
      <c r="C40" s="100">
        <v>0.17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5.9396000000000006E-3</v>
      </c>
      <c r="D45" s="12"/>
    </row>
    <row r="46" spans="1:5" ht="15.75" customHeight="1" x14ac:dyDescent="0.25">
      <c r="B46" s="11" t="s">
        <v>52</v>
      </c>
      <c r="C46" s="45">
        <v>6.3820600000000005E-2</v>
      </c>
      <c r="D46" s="12"/>
    </row>
    <row r="47" spans="1:5" ht="15.75" customHeight="1" x14ac:dyDescent="0.25">
      <c r="B47" s="11" t="s">
        <v>53</v>
      </c>
      <c r="C47" s="45">
        <v>7.5353000000000003E-2</v>
      </c>
      <c r="D47" s="12"/>
      <c r="E47" s="13"/>
    </row>
    <row r="48" spans="1:5" ht="15" customHeight="1" x14ac:dyDescent="0.25">
      <c r="B48" s="11" t="s">
        <v>54</v>
      </c>
      <c r="C48" s="46">
        <v>0.85488680000000006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0.64658700000000002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LnoiGS9yDiDkFKy1Jcpmh3anbXCc6hjDIyQFneqe+D1mfBDVJCXy6RqYXpegbPiAw2tJd6wYvo3rhcUrlJiLSA==" saltValue="IFTOivsyy/qR3DpUK63k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214410</v>
      </c>
      <c r="C2" s="49">
        <v>1217649.5</v>
      </c>
      <c r="D2" s="49">
        <v>1246723.5</v>
      </c>
      <c r="E2" s="49">
        <v>2693524.5</v>
      </c>
      <c r="F2" s="49">
        <v>2826256</v>
      </c>
      <c r="G2" s="17">
        <f t="shared" ref="G2:G13" si="0">C2+D2+E2+F2</f>
        <v>7984153.5</v>
      </c>
      <c r="H2" s="17">
        <f t="shared" ref="H2:H13" si="1">(B2 + stillbirth*B2/(1000-stillbirth))/(1-abortion)</f>
        <v>244857.9351687193</v>
      </c>
      <c r="I2" s="17">
        <f t="shared" ref="I2:I13" si="2">G2-H2</f>
        <v>7739295.5648312811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237722</v>
      </c>
      <c r="C3" s="50">
        <v>1362299.5</v>
      </c>
      <c r="D3" s="50">
        <v>1457424</v>
      </c>
      <c r="E3" s="50">
        <v>2642679.5</v>
      </c>
      <c r="F3" s="50">
        <v>2903412.5</v>
      </c>
      <c r="G3" s="17">
        <f t="shared" si="0"/>
        <v>8365815.5</v>
      </c>
      <c r="H3" s="17">
        <f t="shared" si="1"/>
        <v>271480.42565262021</v>
      </c>
      <c r="I3" s="17">
        <f t="shared" si="2"/>
        <v>8094335.0743473796</v>
      </c>
    </row>
    <row r="4" spans="1:9" ht="15.75" customHeight="1" x14ac:dyDescent="0.25">
      <c r="A4" s="5">
        <f t="shared" si="3"/>
        <v>2026</v>
      </c>
      <c r="B4" s="49">
        <v>254121</v>
      </c>
      <c r="C4" s="50">
        <v>1446733</v>
      </c>
      <c r="D4" s="50">
        <v>1602840</v>
      </c>
      <c r="E4" s="50">
        <v>2535339</v>
      </c>
      <c r="F4" s="50">
        <v>2949903</v>
      </c>
      <c r="G4" s="17">
        <f t="shared" si="0"/>
        <v>8534815</v>
      </c>
      <c r="H4" s="17">
        <f t="shared" si="1"/>
        <v>290208.21483610896</v>
      </c>
      <c r="I4" s="17">
        <f t="shared" si="2"/>
        <v>8244606.7851638906</v>
      </c>
    </row>
    <row r="5" spans="1:9" ht="15.75" customHeight="1" x14ac:dyDescent="0.25">
      <c r="A5" s="5">
        <f t="shared" si="3"/>
        <v>2027</v>
      </c>
      <c r="B5" s="49">
        <v>261123</v>
      </c>
      <c r="C5" s="50">
        <v>1478044.5</v>
      </c>
      <c r="D5" s="50">
        <v>1706463</v>
      </c>
      <c r="E5" s="50">
        <v>2384197.5</v>
      </c>
      <c r="F5" s="50">
        <v>2989180</v>
      </c>
      <c r="G5" s="17">
        <f t="shared" si="0"/>
        <v>8557885</v>
      </c>
      <c r="H5" s="17">
        <f t="shared" si="1"/>
        <v>298204.55484847486</v>
      </c>
      <c r="I5" s="17">
        <f t="shared" si="2"/>
        <v>8259680.4451515255</v>
      </c>
    </row>
    <row r="6" spans="1:9" ht="15.75" customHeight="1" x14ac:dyDescent="0.25">
      <c r="A6" s="5">
        <f t="shared" si="3"/>
        <v>2028</v>
      </c>
      <c r="B6" s="49">
        <v>264431</v>
      </c>
      <c r="C6" s="50">
        <v>1471822</v>
      </c>
      <c r="D6" s="50">
        <v>1805841.5</v>
      </c>
      <c r="E6" s="50">
        <v>2223611</v>
      </c>
      <c r="F6" s="50">
        <v>3019077.5</v>
      </c>
      <c r="G6" s="17">
        <f t="shared" si="0"/>
        <v>8520352</v>
      </c>
      <c r="H6" s="17">
        <f t="shared" si="1"/>
        <v>301982.31731075799</v>
      </c>
      <c r="I6" s="17">
        <f t="shared" si="2"/>
        <v>8218369.6826892421</v>
      </c>
    </row>
    <row r="7" spans="1:9" ht="15.75" customHeight="1" x14ac:dyDescent="0.25">
      <c r="A7" s="5">
        <f t="shared" si="3"/>
        <v>2029</v>
      </c>
      <c r="B7" s="49">
        <v>266854</v>
      </c>
      <c r="C7" s="50">
        <v>1432587.5</v>
      </c>
      <c r="D7" s="50">
        <v>1913673.5</v>
      </c>
      <c r="E7" s="50">
        <v>2066883</v>
      </c>
      <c r="F7" s="50">
        <v>3023946</v>
      </c>
      <c r="G7" s="17">
        <f t="shared" si="0"/>
        <v>8437090</v>
      </c>
      <c r="H7" s="17">
        <f t="shared" si="1"/>
        <v>304749.40269350039</v>
      </c>
      <c r="I7" s="17">
        <f t="shared" si="2"/>
        <v>8132340.5973064993</v>
      </c>
    </row>
    <row r="8" spans="1:9" ht="15.75" customHeight="1" x14ac:dyDescent="0.25">
      <c r="A8" s="5">
        <f t="shared" si="3"/>
        <v>2030</v>
      </c>
      <c r="B8" s="49">
        <v>269312</v>
      </c>
      <c r="C8" s="50">
        <v>1378091</v>
      </c>
      <c r="D8" s="50">
        <v>2021948.5</v>
      </c>
      <c r="E8" s="50">
        <v>1925464.5</v>
      </c>
      <c r="F8" s="50">
        <v>3002286</v>
      </c>
      <c r="G8" s="17">
        <f t="shared" si="0"/>
        <v>8327790</v>
      </c>
      <c r="H8" s="17">
        <f t="shared" si="1"/>
        <v>307556.4583562247</v>
      </c>
      <c r="I8" s="17">
        <f t="shared" si="2"/>
        <v>8020233.5416437751</v>
      </c>
    </row>
    <row r="9" spans="1:9" ht="15.75" customHeight="1" x14ac:dyDescent="0.25">
      <c r="A9" s="5">
        <f t="shared" si="3"/>
        <v>2031</v>
      </c>
      <c r="B9" s="49">
        <v>272672</v>
      </c>
      <c r="C9" s="50">
        <v>1315415</v>
      </c>
      <c r="D9" s="50">
        <v>2124610</v>
      </c>
      <c r="E9" s="50">
        <v>1801472.5</v>
      </c>
      <c r="F9" s="50">
        <v>2956105.5</v>
      </c>
      <c r="G9" s="17">
        <f t="shared" si="0"/>
        <v>8197603</v>
      </c>
      <c r="H9" s="17">
        <f t="shared" si="1"/>
        <v>311393.60523448081</v>
      </c>
      <c r="I9" s="17">
        <f t="shared" si="2"/>
        <v>7886209.3947655195</v>
      </c>
    </row>
    <row r="10" spans="1:9" ht="15.75" customHeight="1" x14ac:dyDescent="0.25">
      <c r="A10" s="5">
        <f t="shared" si="3"/>
        <v>2032</v>
      </c>
      <c r="B10" s="49">
        <v>275427</v>
      </c>
      <c r="C10" s="50">
        <v>1233812</v>
      </c>
      <c r="D10" s="50">
        <v>2221921.5</v>
      </c>
      <c r="E10" s="50">
        <v>1703576.5</v>
      </c>
      <c r="F10" s="50">
        <v>2894109</v>
      </c>
      <c r="G10" s="17">
        <f t="shared" si="0"/>
        <v>8053419</v>
      </c>
      <c r="H10" s="17">
        <f t="shared" si="1"/>
        <v>314539.83727305091</v>
      </c>
      <c r="I10" s="17">
        <f t="shared" si="2"/>
        <v>7738879.162726949</v>
      </c>
    </row>
    <row r="11" spans="1:9" ht="15.75" customHeight="1" x14ac:dyDescent="0.25">
      <c r="A11" s="5">
        <f t="shared" si="3"/>
        <v>2033</v>
      </c>
      <c r="B11" s="49">
        <v>279081</v>
      </c>
      <c r="C11" s="50">
        <v>1145618.5</v>
      </c>
      <c r="D11" s="50">
        <v>2299995.5</v>
      </c>
      <c r="E11" s="50">
        <v>1642955</v>
      </c>
      <c r="F11" s="50">
        <v>2793500</v>
      </c>
      <c r="G11" s="17">
        <f t="shared" si="0"/>
        <v>7882069</v>
      </c>
      <c r="H11" s="17">
        <f t="shared" si="1"/>
        <v>318712.73450315447</v>
      </c>
      <c r="I11" s="17">
        <f t="shared" si="2"/>
        <v>7563356.2654968454</v>
      </c>
    </row>
    <row r="12" spans="1:9" ht="15.75" customHeight="1" x14ac:dyDescent="0.25">
      <c r="A12" s="5">
        <f t="shared" si="3"/>
        <v>2034</v>
      </c>
      <c r="B12" s="49">
        <v>282726</v>
      </c>
      <c r="C12" s="50">
        <v>1060136</v>
      </c>
      <c r="D12" s="50">
        <v>2350997</v>
      </c>
      <c r="E12" s="50">
        <v>1619498.5</v>
      </c>
      <c r="F12" s="50">
        <v>2658849.5</v>
      </c>
      <c r="G12" s="17">
        <f t="shared" si="0"/>
        <v>7689481</v>
      </c>
      <c r="H12" s="17">
        <f t="shared" si="1"/>
        <v>322875.35366126266</v>
      </c>
      <c r="I12" s="17">
        <f t="shared" si="2"/>
        <v>7366605.6463387376</v>
      </c>
    </row>
    <row r="13" spans="1:9" ht="15.75" customHeight="1" x14ac:dyDescent="0.25">
      <c r="A13" s="5">
        <f t="shared" si="3"/>
        <v>2035</v>
      </c>
      <c r="B13" s="49">
        <v>287795</v>
      </c>
      <c r="C13" s="50">
        <v>985884.49999999988</v>
      </c>
      <c r="D13" s="50">
        <v>2370537.5</v>
      </c>
      <c r="E13" s="50">
        <v>1622593</v>
      </c>
      <c r="F13" s="50">
        <v>2514085.5</v>
      </c>
      <c r="G13" s="17">
        <f t="shared" si="0"/>
        <v>7493100.5</v>
      </c>
      <c r="H13" s="17">
        <f t="shared" si="1"/>
        <v>328664.19221063185</v>
      </c>
      <c r="I13" s="17">
        <f t="shared" si="2"/>
        <v>7164436.3077893686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WGhOls5B4tUH3uPE0jNja6SpEh4KqF45zNRG2l7tFBaktnJzjgzpxduPJOfQlnC44JJ+dtcGIilp7+suD7RpQ==" saltValue="p0nHrVUSrPRIhXsp03zu+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5.505921618550734E-2</v>
      </c>
    </row>
    <row r="5" spans="1:8" ht="15.75" customHeight="1" x14ac:dyDescent="0.25">
      <c r="B5" s="19" t="s">
        <v>80</v>
      </c>
      <c r="C5" s="101">
        <v>3.1744383940946891E-2</v>
      </c>
    </row>
    <row r="6" spans="1:8" ht="15.75" customHeight="1" x14ac:dyDescent="0.25">
      <c r="B6" s="19" t="s">
        <v>81</v>
      </c>
      <c r="C6" s="101">
        <v>0.1737396152025559</v>
      </c>
    </row>
    <row r="7" spans="1:8" ht="15.75" customHeight="1" x14ac:dyDescent="0.25">
      <c r="B7" s="19" t="s">
        <v>82</v>
      </c>
      <c r="C7" s="101">
        <v>0.38069658064395451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0.2666497047516671</v>
      </c>
    </row>
    <row r="10" spans="1:8" ht="15.75" customHeight="1" x14ac:dyDescent="0.25">
      <c r="B10" s="19" t="s">
        <v>85</v>
      </c>
      <c r="C10" s="101">
        <v>9.2110499275368213E-2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88</v>
      </c>
      <c r="C15" s="101">
        <v>0.16312824572178389</v>
      </c>
      <c r="D15" s="101">
        <v>0.16312824572178389</v>
      </c>
      <c r="E15" s="101">
        <v>0.16312824572178389</v>
      </c>
      <c r="F15" s="101">
        <v>0.16312824572178389</v>
      </c>
    </row>
    <row r="16" spans="1:8" ht="15.75" customHeight="1" x14ac:dyDescent="0.25">
      <c r="B16" s="19" t="s">
        <v>89</v>
      </c>
      <c r="C16" s="101">
        <v>1.043185977361526E-2</v>
      </c>
      <c r="D16" s="101">
        <v>1.043185977361526E-2</v>
      </c>
      <c r="E16" s="101">
        <v>1.043185977361526E-2</v>
      </c>
      <c r="F16" s="101">
        <v>1.043185977361526E-2</v>
      </c>
    </row>
    <row r="17" spans="1:8" ht="15.75" customHeight="1" x14ac:dyDescent="0.25">
      <c r="B17" s="19" t="s">
        <v>90</v>
      </c>
      <c r="C17" s="101">
        <v>5.610694382909396E-2</v>
      </c>
      <c r="D17" s="101">
        <v>5.610694382909396E-2</v>
      </c>
      <c r="E17" s="101">
        <v>5.610694382909396E-2</v>
      </c>
      <c r="F17" s="101">
        <v>5.610694382909396E-2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7.3411218117903063E-2</v>
      </c>
      <c r="D19" s="101">
        <v>7.3411218117903063E-2</v>
      </c>
      <c r="E19" s="101">
        <v>7.3411218117903063E-2</v>
      </c>
      <c r="F19" s="101">
        <v>7.3411218117903063E-2</v>
      </c>
    </row>
    <row r="20" spans="1:8" ht="15.75" customHeight="1" x14ac:dyDescent="0.25">
      <c r="B20" s="19" t="s">
        <v>93</v>
      </c>
      <c r="C20" s="101">
        <v>0.2483207157957853</v>
      </c>
      <c r="D20" s="101">
        <v>0.2483207157957853</v>
      </c>
      <c r="E20" s="101">
        <v>0.2483207157957853</v>
      </c>
      <c r="F20" s="101">
        <v>0.2483207157957853</v>
      </c>
    </row>
    <row r="21" spans="1:8" ht="15.75" customHeight="1" x14ac:dyDescent="0.25">
      <c r="B21" s="19" t="s">
        <v>94</v>
      </c>
      <c r="C21" s="101">
        <v>0.2568545372870949</v>
      </c>
      <c r="D21" s="101">
        <v>0.2568545372870949</v>
      </c>
      <c r="E21" s="101">
        <v>0.2568545372870949</v>
      </c>
      <c r="F21" s="101">
        <v>0.2568545372870949</v>
      </c>
    </row>
    <row r="22" spans="1:8" ht="15.75" customHeight="1" x14ac:dyDescent="0.25">
      <c r="B22" s="19" t="s">
        <v>95</v>
      </c>
      <c r="C22" s="101">
        <v>0.1831764614981759</v>
      </c>
      <c r="D22" s="101">
        <v>0.1831764614981759</v>
      </c>
      <c r="E22" s="101">
        <v>0.1831764614981759</v>
      </c>
      <c r="F22" s="101">
        <v>0.1831764614981759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4.9599230000000001E-2</v>
      </c>
    </row>
    <row r="27" spans="1:8" ht="15.75" customHeight="1" x14ac:dyDescent="0.25">
      <c r="B27" s="19" t="s">
        <v>102</v>
      </c>
      <c r="C27" s="101">
        <v>5.3032503999999987E-2</v>
      </c>
    </row>
    <row r="28" spans="1:8" ht="15.75" customHeight="1" x14ac:dyDescent="0.25">
      <c r="B28" s="19" t="s">
        <v>103</v>
      </c>
      <c r="C28" s="101">
        <v>0.110220151</v>
      </c>
    </row>
    <row r="29" spans="1:8" ht="15.75" customHeight="1" x14ac:dyDescent="0.25">
      <c r="B29" s="19" t="s">
        <v>104</v>
      </c>
      <c r="C29" s="101">
        <v>0.122891953</v>
      </c>
    </row>
    <row r="30" spans="1:8" ht="15.75" customHeight="1" x14ac:dyDescent="0.25">
      <c r="B30" s="19" t="s">
        <v>2</v>
      </c>
      <c r="C30" s="101">
        <v>7.3900320000000005E-2</v>
      </c>
    </row>
    <row r="31" spans="1:8" ht="15.75" customHeight="1" x14ac:dyDescent="0.25">
      <c r="B31" s="19" t="s">
        <v>105</v>
      </c>
      <c r="C31" s="101">
        <v>5.9789176999999999E-2</v>
      </c>
    </row>
    <row r="32" spans="1:8" ht="15.75" customHeight="1" x14ac:dyDescent="0.25">
      <c r="B32" s="19" t="s">
        <v>106</v>
      </c>
      <c r="C32" s="101">
        <v>0.12020602599999999</v>
      </c>
    </row>
    <row r="33" spans="2:3" ht="15.75" customHeight="1" x14ac:dyDescent="0.25">
      <c r="B33" s="19" t="s">
        <v>107</v>
      </c>
      <c r="C33" s="101">
        <v>0.11539405899999999</v>
      </c>
    </row>
    <row r="34" spans="2:3" ht="15.75" customHeight="1" x14ac:dyDescent="0.25">
      <c r="B34" s="19" t="s">
        <v>108</v>
      </c>
      <c r="C34" s="101">
        <v>0.29496657999999998</v>
      </c>
    </row>
    <row r="35" spans="2:3" ht="15.75" customHeight="1" x14ac:dyDescent="0.25">
      <c r="B35" s="27" t="s">
        <v>41</v>
      </c>
      <c r="C35" s="48">
        <f>SUM(C26:C34)</f>
        <v>0.99999999999999989</v>
      </c>
    </row>
  </sheetData>
  <sheetProtection algorithmName="SHA-512" hashValue="va2t3P2drk2YFDsea9XfcevaRZW9NCDcunQWS69TZb4KCBO4+uNfb7iGkRLI8eumYRIYrlfpmUeaK+A1V+kFiw==" saltValue="TuXlqgx39FlY6j3iMpQk9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114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115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119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120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T6DTmcb5OajrsufKWYp0XR5Q1VupZdDN8QJuN6f9he7E4rngg+66bYXg6pUfMq/CnkyTFQx8fdRy8F8lSKU8w==" saltValue="u82PMjlVU6TMrXY11DPT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132</v>
      </c>
      <c r="C5" s="52">
        <v>9.2592900000000006E-2</v>
      </c>
      <c r="D5" s="52">
        <v>0.12327009999999999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4jhIlkk7xzWu8m4DyKiD4UoIuq7vI8FZ7MxpYtxfuA3gZ/daWlBH2hpKQesrSe2LbW931rQQRgIIZUjkaKnQhQ==" saltValue="kAqaISkee/v44qq7QfVUn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91jT48YGe+nlq2gjDJFV5V65N54xacoIh8lW5BVpzRDcwMsShRLoeXGa+FteddH+GxK70zlUYH66RUO9AP6bQ==" saltValue="ipw5vuKPNnnsLQQO+qQKF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maFJfPChjdCmyAMO2u0TkXv0G0yPFIymakXiz1GNyYj6Dyes+I3RB6/EInFcJ4bPdG39jnYTpEzDKEo+MIfEHw==" saltValue="Yn0shwLV8kWHznMRxRYn1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N3OqjS99yni0oy3uWvXnC9/nUAVmcsuWEl308uAsG154KepT5n3ifwpXNy+AStmX/O0z3TnDPEtqDQbBJm4DDg==" saltValue="JovBQmKSYNtJdMBRznP7S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ygzTClfw1rEU9XYZ9ptGMHXC6SmBQhin89DBmopZ0RPupDn8FMewiP4Xg4Z3G3JtZPHrNBdSroaucpYrRuvzTA==" saltValue="e8xP09IeMRCpFm2m5mklN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45.538469166818018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0.24387949941879999</v>
      </c>
      <c r="C3" s="98">
        <v>0.95</v>
      </c>
      <c r="D3" s="56">
        <v>42.692246247747647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218.572803066435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9.5296125674998819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3.4021799999999998E-2</v>
      </c>
      <c r="C10" s="98">
        <v>0.95</v>
      </c>
      <c r="D10" s="56">
        <v>13.70995814776825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3.4021799999999998E-2</v>
      </c>
      <c r="C11" s="98">
        <v>0.95</v>
      </c>
      <c r="D11" s="56">
        <v>13.70995814776825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3.4021799999999998E-2</v>
      </c>
      <c r="C12" s="98">
        <v>0.95</v>
      </c>
      <c r="D12" s="56">
        <v>13.70995814776825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3.4021799999999998E-2</v>
      </c>
      <c r="C13" s="98">
        <v>0.95</v>
      </c>
      <c r="D13" s="56">
        <v>13.70995814776825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3.4021799999999998E-2</v>
      </c>
      <c r="C14" s="98">
        <v>0.95</v>
      </c>
      <c r="D14" s="56">
        <v>13.70995814776825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3.4021799999999998E-2</v>
      </c>
      <c r="C15" s="98">
        <v>0.95</v>
      </c>
      <c r="D15" s="56">
        <v>13.70995814776825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0.44919677959070559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0.12451569696742</v>
      </c>
      <c r="C18" s="98">
        <v>0.95</v>
      </c>
      <c r="D18" s="56">
        <v>5.0978270834575747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0.97745300000000002</v>
      </c>
      <c r="C19" s="98">
        <v>0.95</v>
      </c>
      <c r="D19" s="56">
        <v>5.0978270834575747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0.62716769999999999</v>
      </c>
      <c r="C21" s="98">
        <v>0.95</v>
      </c>
      <c r="D21" s="56">
        <v>93.973155012451954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23.487909719040388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4.5674458261497017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0.9435388978290401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3.4021799999999998E-2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19.711165685025641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0.7399211048616201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85.139330298277699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3.1374405621372272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0.93094042298659452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0.58499999999999996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0.59233060000000004</v>
      </c>
      <c r="C38" s="98">
        <v>0.95</v>
      </c>
      <c r="D38" s="56">
        <v>1.380272503608452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qjMr+2O7MlvdZu3VkCDgCAMRnZnFXnzypXae4UEc3GxO3cR7VzcODGhHgcieZK1smDOM6OwV/0XMyAF0CJyiKw==" saltValue="BaJV1Yg7Ap8U5ODP4Loe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vvvmRfqjdCbY0IeeymMDfsfQD4HLkUf29cnSOJpGiojc5+E46TEDtOUSze9dpAGNvxipLXHOoYGBOJa5NHr7A==" saltValue="YtuoGLvIsqdznc6nFYDd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e0Tz3DlpuGd0YMLfzZwxMd6AIXxFnDiapgQNel31pQMCu3bj+FXcYKsWOGLIxPG8D9kPxgWsMrb1HjSOryxTQ==" saltValue="BPgVr4RhDC180AcubCN1/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208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OC36Ua+aD+akycl9YZolYs7DRVgk35lF+ndk1GAtUBFKVXgEB5JZSwyy4CQfdcaFioqYSC0E0zazNsMlnT/a3w==" saltValue="Shs280jGryiG4zDzEndV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6.5254764556884975E-2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2.7966327667236422E-2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3.9951896667480599E-2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VECz6TLguv7/isrYGI+gnIT9MsX16kyswSlcQgB70KIUHqldEXMzsLJdyr6yiMbWskanuGPQ+lXwODF0QL3Hw==" saltValue="PNGGiZ6+8PqhLokWa+u20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geRLjbB9aj7gAtWXz3cHHrkoe5os7IRPosKwBipfsyeJQACVCgmhMLk7TAB4y1QX0PzrXuJUtdMu3u18cx3cGQ==" saltValue="ePCN4tp6NrTC6CpFpNjub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p7+rLs5mhxx9CUyrZWqq7n7Al0K8UitwB65eT7Yz1grOgJQXJfB0hI11y0l0Y0zf9VL/45foZWJcDYuy6f+eQ==" saltValue="JRZ+R4J6VzAwzCtp0cjc/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18BoCp3cbXZoBMM37Q+/q23EI8ieSbz2bkgqeKpO1TfAgIcBWPdMSgfc+hnnKAyWQaCrNkWeYeVrVWf9SMtLQ==" saltValue="Cdtc6uxYVP/wwDn6IOAyx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GBgmkP8E4RwOlvUuMFLzqEpVyO/gZ7OaAFQroW9dAd3bnP9sZj2tKCygEclOCBEXN15bcXK560egoJ8yZC0GEQ==" saltValue="RGV8LDWr/mkc21APMDxcH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NgcF+W6SttWOKw63yQze9dc6mi40VWIVQTFEViYS6QBojUbnbO66WUp6Qb0xGi/x9MufZbECaHAVkyHt4aQ9A==" saltValue="U95DjYdJir0aS57wtmg+W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uXBc4uMhVAAkk/CbkTFa/2WWQZ8SLhYrqxXrKbBFoLgUzFMI5Ui9TwNyNEqx9vjOiUdF0PIVyxvvL/nx30SeMQ==" saltValue="+4fRkwHT77/UDjgIZpN25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Qu6GmipRB+kt+u562vn9oW5BMLKHkTMwpvqoObB0D/FnUQYZfDYlWNZI5oEhc6ftTcbA4I7bFUixrq2tnL8HA==" saltValue="I+ilH6lGEWpPBO9oubuC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z0xmLUjnimTBZMkY5w9y64o+xUDGNE9fZHcxhWB1F9vx2khsCNI5UqqspCHNlhNThrTNs+f9i6/lYagqi8Quw==" saltValue="kevFBJdYJGZgJJXhnmTk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6kVbP51tIzextt593Onq6SctA0is0sMdF4+0wNj+bnaUOybomnAigCJmuX/Ws0A/hS/TjXlOWBJKA14Y9hzKQ==" saltValue="pW3BDL5GZ8Wnf0A/nFGZ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GL40QzE/8S1CEHhg0Kcj1pv19IJCEBE2WQpvB84ZbHX/yfh3FYgMElbavCAdEOw9tpnGMSfcVFc6j+YJKiasUA==" saltValue="l8F2dsoVBR2r1kDu10Gj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Ol1R/3gO5BoEJatWz6u4s2Tko/60fzsAz3P0AJEeRuSSTPXR15LZDdcjzzx+9mM8N+LslxbigAhaX7PQI0VAQ==" saltValue="Hu3hmlhMefC1skgM/Eil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XWPxGtGt3MdQTz3x1SPadmvZ9UTVAiGG0ZVR4hydyHynO+2LHk/hHqHzAu9aS6YDwBEbabjRcWNlo+lRhdhBA==" saltValue="FNy9cmsnR0l7lsyk7j7x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Qcse4W+BD0BN1p1xVXBSMqQml01muEVfuM2xpxXLYHDga2yoz+4dTbfdZhRy1GrSLes7Seh5gBWjk+PfIT9Bg==" saltValue="FOq/pHSyTffds8JXaywE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44Zcg11rLyYZkWEUkesiD3HE1TvbjUfeXjT4PjrNOOKRpB3nzNVVJG9d92GItSi3AAzZQAw7a9KrTabHEXIPIA==" saltValue="xq/4d4Nplw87nvxtu66WE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2024-05-17T01:01:42Z</dcterms:modified>
</cp:coreProperties>
</file>