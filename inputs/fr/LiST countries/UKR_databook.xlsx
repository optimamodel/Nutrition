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AC123EA-6280-4A09-8D52-1DF60F1A9362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2" i="2" l="1"/>
  <c r="A23" i="2"/>
  <c r="A24" i="2"/>
  <c r="A25" i="2"/>
  <c r="A26" i="2"/>
  <c r="A31" i="2"/>
  <c r="I4" i="2"/>
  <c r="I8" i="2"/>
  <c r="I12" i="2"/>
  <c r="A34" i="2"/>
  <c r="A40" i="2"/>
  <c r="I2" i="2"/>
  <c r="I6" i="2"/>
  <c r="A19" i="2"/>
  <c r="A35" i="2"/>
  <c r="A36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<sst xmlns="http://schemas.openxmlformats.org/spreadsheetml/2006/main" count="2159" uniqueCount="368">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</sst>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1317340.5</v>
      </c>
    </row>
    <row r="8" spans="1:3" ht="15" customHeight="1" x14ac:dyDescent="0.25">
      <c r="B8" s="5" t="s">
        <v>37</v>
      </c>
      <c r="C8" s="44">
        <v>0.01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0.86682701110839799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8.8000000000000009E-2</v>
      </c>
    </row>
    <row r="24" spans="1:3" ht="15" customHeight="1" x14ac:dyDescent="0.25">
      <c r="B24" s="15" t="s">
        <v>51</v>
      </c>
      <c r="C24" s="45">
        <v>0.56720000000000004</v>
      </c>
    </row>
    <row r="25" spans="1:3" ht="15" customHeight="1" x14ac:dyDescent="0.25">
      <c r="B25" s="15" t="s">
        <v>52</v>
      </c>
      <c r="C25" s="45">
        <v>0.32450000000000001</v>
      </c>
    </row>
    <row r="26" spans="1:3" ht="15" customHeight="1" x14ac:dyDescent="0.25">
      <c r="B26" s="15" t="s">
        <v>53</v>
      </c>
      <c r="C26" s="45">
        <v>2.0299999999999999E-2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0.57290349526853401</v>
      </c>
    </row>
    <row r="30" spans="1:3" ht="14.25" customHeight="1" x14ac:dyDescent="0.25">
      <c r="B30" s="25" t="s">
        <v>56</v>
      </c>
      <c r="C30" s="99">
        <v>2.97816918362898E-2</v>
      </c>
    </row>
    <row r="31" spans="1:3" ht="14.25" customHeight="1" x14ac:dyDescent="0.25">
      <c r="B31" s="25" t="s">
        <v>57</v>
      </c>
      <c r="C31" s="99">
        <v>2.5306962187057899E-2</v>
      </c>
    </row>
    <row r="32" spans="1:3" ht="14.25" customHeight="1" x14ac:dyDescent="0.25">
      <c r="B32" s="25" t="s">
        <v>58</v>
      </c>
      <c r="C32" s="99">
        <v>0.37200785070811798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4.8260399999999999</v>
      </c>
    </row>
    <row r="38" spans="1:5" ht="15" customHeight="1" x14ac:dyDescent="0.25">
      <c r="B38" s="11" t="s">
        <v>63</v>
      </c>
      <c r="C38" s="43">
        <v>7.0373799999999997</v>
      </c>
      <c r="D38" s="12"/>
      <c r="E38" s="13"/>
    </row>
    <row r="39" spans="1:5" ht="15" customHeight="1" x14ac:dyDescent="0.25">
      <c r="B39" s="11" t="s">
        <v>64</v>
      </c>
      <c r="C39" s="43">
        <v>8.2232299999999992</v>
      </c>
      <c r="D39" s="12"/>
      <c r="E39" s="12"/>
    </row>
    <row r="40" spans="1:5" ht="15" customHeight="1" x14ac:dyDescent="0.25">
      <c r="B40" s="11" t="s">
        <v>65</v>
      </c>
      <c r="C40" s="100">
        <v>0.17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4.9424900000000003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5.9396000000000006E-3</v>
      </c>
      <c r="D45" s="12"/>
    </row>
    <row r="46" spans="1:5" ht="15.75" customHeight="1" x14ac:dyDescent="0.25">
      <c r="B46" s="11" t="s">
        <v>70</v>
      </c>
      <c r="C46" s="45">
        <v>6.3820600000000005E-2</v>
      </c>
      <c r="D46" s="12"/>
    </row>
    <row r="47" spans="1:5" ht="15.75" customHeight="1" x14ac:dyDescent="0.25">
      <c r="B47" s="11" t="s">
        <v>71</v>
      </c>
      <c r="C47" s="45">
        <v>7.5353000000000003E-2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2.8</v>
      </c>
      <c r="D51" s="12"/>
    </row>
    <row r="52" spans="1:4" ht="15" customHeight="1" x14ac:dyDescent="0.25">
      <c r="B52" s="11" t="s">
        <v>75</v>
      </c>
      <c r="C52" s="100">
        <v>2.8</v>
      </c>
    </row>
    <row r="53" spans="1:4" ht="15.75" customHeight="1" x14ac:dyDescent="0.25">
      <c r="B53" s="11" t="s">
        <v>76</v>
      </c>
      <c r="C53" s="100">
        <v>2.8</v>
      </c>
    </row>
    <row r="54" spans="1:4" ht="15.75" customHeight="1" x14ac:dyDescent="0.25">
      <c r="B54" s="11" t="s">
        <v>77</v>
      </c>
      <c r="C54" s="100">
        <v>2.8</v>
      </c>
    </row>
    <row r="55" spans="1:4" ht="15.75" customHeight="1" x14ac:dyDescent="0.25">
      <c r="B55" s="11" t="s">
        <v>78</v>
      </c>
      <c r="C55" s="100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0.64658700000000002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5.6338878000000002E-2</v>
      </c>
    </row>
    <row r="63" spans="1:4" ht="15.75" customHeight="1" x14ac:dyDescent="0.3">
      <c r="A63" s="4"/>
    </row>
  </sheetData>
  <sheetProtection algorithmName="SHA-512" hashValue="bFSN/NMqcfT04FPT0AdHn/z2/lTc8M9CfgH5Ud82PlOFVLF4XoT3v5yaZirHFhnQAiL4h8XcRhY0OSZdmcBwNw==" saltValue="rfyan2Cn08xq81QexwgS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206937</v>
      </c>
      <c r="C2" s="49">
        <v>999757.5</v>
      </c>
      <c r="D2" s="49">
        <v>1833726.5</v>
      </c>
      <c r="E2" s="49">
        <v>2903698.5000000005</v>
      </c>
      <c r="F2" s="49">
        <v>2970554</v>
      </c>
      <c r="G2" s="17">
        <f t="shared" ref="G2:G13" si="0">C2+D2+E2+F2</f>
        <v>8707736.5</v>
      </c>
      <c r="H2" s="17">
        <f t="shared" ref="H2:H13" si="1">(B2 + stillbirth*B2/(1000-stillbirth))/(1-abortion)</f>
        <v>236323.70938859784</v>
      </c>
      <c r="I2" s="17">
        <f t="shared" ref="I2:I13" si="2">G2-H2</f>
        <v>8471412.7906114031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220203</v>
      </c>
      <c r="C3" s="50">
        <v>1075080</v>
      </c>
      <c r="D3" s="50">
        <v>2038187.0000000002</v>
      </c>
      <c r="E3" s="50">
        <v>2952725.9999999995</v>
      </c>
      <c r="F3" s="50">
        <v>3062865</v>
      </c>
      <c r="G3" s="17">
        <f t="shared" si="0"/>
        <v>9128858</v>
      </c>
      <c r="H3" s="17">
        <f t="shared" si="1"/>
        <v>251473.5875097127</v>
      </c>
      <c r="I3" s="17">
        <f t="shared" si="2"/>
        <v>8877384.4124902878</v>
      </c>
    </row>
    <row r="4" spans="1:9" ht="15.75" customHeight="1" x14ac:dyDescent="0.25">
      <c r="A4" s="5">
        <f t="shared" si="3"/>
        <v>2026</v>
      </c>
      <c r="B4" s="49">
        <v>242008</v>
      </c>
      <c r="C4" s="50">
        <v>1115382</v>
      </c>
      <c r="D4" s="50">
        <v>2150501.5</v>
      </c>
      <c r="E4" s="50">
        <v>2934092.4999999995</v>
      </c>
      <c r="F4" s="50">
        <v>3147220.5</v>
      </c>
      <c r="G4" s="17">
        <f t="shared" si="0"/>
        <v>9347196.5</v>
      </c>
      <c r="H4" s="17">
        <f t="shared" si="1"/>
        <v>276375.07193839573</v>
      </c>
      <c r="I4" s="17">
        <f t="shared" si="2"/>
        <v>9070821.4280616045</v>
      </c>
    </row>
    <row r="5" spans="1:9" ht="15.75" customHeight="1" x14ac:dyDescent="0.25">
      <c r="A5" s="5">
        <f t="shared" si="3"/>
        <v>2027</v>
      </c>
      <c r="B5" s="49">
        <v>239583</v>
      </c>
      <c r="C5" s="50">
        <v>1123187.5</v>
      </c>
      <c r="D5" s="50">
        <v>2130547</v>
      </c>
      <c r="E5" s="50">
        <v>2813705.5</v>
      </c>
      <c r="F5" s="50">
        <v>3206441</v>
      </c>
      <c r="G5" s="17">
        <f t="shared" si="0"/>
        <v>9273881</v>
      </c>
      <c r="H5" s="17">
        <f t="shared" si="1"/>
        <v>273605.70253965433</v>
      </c>
      <c r="I5" s="17">
        <f t="shared" si="2"/>
        <v>9000275.2974603456</v>
      </c>
    </row>
    <row r="6" spans="1:9" ht="15.75" customHeight="1" x14ac:dyDescent="0.25">
      <c r="A6" s="5">
        <f t="shared" si="3"/>
        <v>2028</v>
      </c>
      <c r="B6" s="49">
        <v>237882</v>
      </c>
      <c r="C6" s="50">
        <v>1126854.5</v>
      </c>
      <c r="D6" s="50">
        <v>2123684</v>
      </c>
      <c r="E6" s="50">
        <v>2698615.5</v>
      </c>
      <c r="F6" s="50">
        <v>3251501.5000000005</v>
      </c>
      <c r="G6" s="17">
        <f t="shared" si="0"/>
        <v>9200655.5</v>
      </c>
      <c r="H6" s="17">
        <f t="shared" si="1"/>
        <v>271663.14693253714</v>
      </c>
      <c r="I6" s="17">
        <f t="shared" si="2"/>
        <v>8928992.3530674633</v>
      </c>
    </row>
    <row r="7" spans="1:9" ht="15.75" customHeight="1" x14ac:dyDescent="0.25">
      <c r="A7" s="5">
        <f t="shared" si="3"/>
        <v>2029</v>
      </c>
      <c r="B7" s="49">
        <v>235848</v>
      </c>
      <c r="C7" s="50">
        <v>1117465</v>
      </c>
      <c r="D7" s="50">
        <v>2127806</v>
      </c>
      <c r="E7" s="50">
        <v>2592446.5</v>
      </c>
      <c r="F7" s="50">
        <v>3273358.5</v>
      </c>
      <c r="G7" s="17">
        <f t="shared" si="0"/>
        <v>9111076</v>
      </c>
      <c r="H7" s="17">
        <f t="shared" si="1"/>
        <v>269340.30266159278</v>
      </c>
      <c r="I7" s="17">
        <f t="shared" si="2"/>
        <v>8841735.6973384079</v>
      </c>
    </row>
    <row r="8" spans="1:9" ht="15.75" customHeight="1" x14ac:dyDescent="0.25">
      <c r="A8" s="5">
        <f t="shared" si="3"/>
        <v>2030</v>
      </c>
      <c r="B8" s="49">
        <v>234943</v>
      </c>
      <c r="C8" s="50">
        <v>1100959</v>
      </c>
      <c r="D8" s="50">
        <v>2132341</v>
      </c>
      <c r="E8" s="50">
        <v>2494000</v>
      </c>
      <c r="F8" s="50">
        <v>3272651.5</v>
      </c>
      <c r="G8" s="17">
        <f t="shared" si="0"/>
        <v>8999951.5</v>
      </c>
      <c r="H8" s="17">
        <f t="shared" si="1"/>
        <v>268306.7854220625</v>
      </c>
      <c r="I8" s="17">
        <f t="shared" si="2"/>
        <v>8731644.7145779375</v>
      </c>
    </row>
    <row r="9" spans="1:9" ht="15.75" customHeight="1" x14ac:dyDescent="0.25">
      <c r="A9" s="5">
        <f t="shared" si="3"/>
        <v>2031</v>
      </c>
      <c r="B9" s="49">
        <v>234054</v>
      </c>
      <c r="C9" s="50">
        <v>1077663.5</v>
      </c>
      <c r="D9" s="50">
        <v>2140612.5</v>
      </c>
      <c r="E9" s="50">
        <v>2402435</v>
      </c>
      <c r="F9" s="50">
        <v>3253797.5</v>
      </c>
      <c r="G9" s="17">
        <f t="shared" si="0"/>
        <v>8874508.5</v>
      </c>
      <c r="H9" s="17">
        <f t="shared" si="1"/>
        <v>267291.54031052394</v>
      </c>
      <c r="I9" s="17">
        <f t="shared" si="2"/>
        <v>8607216.9596894756</v>
      </c>
    </row>
    <row r="10" spans="1:9" ht="15.75" customHeight="1" x14ac:dyDescent="0.25">
      <c r="A10" s="5">
        <f t="shared" si="3"/>
        <v>2032</v>
      </c>
      <c r="B10" s="49">
        <v>233013</v>
      </c>
      <c r="C10" s="50">
        <v>1039054.0000000001</v>
      </c>
      <c r="D10" s="50">
        <v>2159022.5</v>
      </c>
      <c r="E10" s="50">
        <v>2322773</v>
      </c>
      <c r="F10" s="50">
        <v>3219402</v>
      </c>
      <c r="G10" s="17">
        <f t="shared" si="0"/>
        <v>8740251.5</v>
      </c>
      <c r="H10" s="17">
        <f t="shared" si="1"/>
        <v>266102.70998306415</v>
      </c>
      <c r="I10" s="17">
        <f t="shared" si="2"/>
        <v>8474148.7900169361</v>
      </c>
    </row>
    <row r="11" spans="1:9" ht="15.75" customHeight="1" x14ac:dyDescent="0.25">
      <c r="A11" s="5">
        <f t="shared" si="3"/>
        <v>2033</v>
      </c>
      <c r="B11" s="49">
        <v>232316</v>
      </c>
      <c r="C11" s="50">
        <v>986088.5</v>
      </c>
      <c r="D11" s="50">
        <v>2175616.5</v>
      </c>
      <c r="E11" s="50">
        <v>2262080.5</v>
      </c>
      <c r="F11" s="50">
        <v>3158984.5</v>
      </c>
      <c r="G11" s="17">
        <f t="shared" si="0"/>
        <v>8582770</v>
      </c>
      <c r="H11" s="17">
        <f t="shared" si="1"/>
        <v>265306.73040742596</v>
      </c>
      <c r="I11" s="17">
        <f t="shared" si="2"/>
        <v>8317463.2695925739</v>
      </c>
    </row>
    <row r="12" spans="1:9" ht="15.75" customHeight="1" x14ac:dyDescent="0.25">
      <c r="A12" s="5">
        <f t="shared" si="3"/>
        <v>2034</v>
      </c>
      <c r="B12" s="49">
        <v>231449</v>
      </c>
      <c r="C12" s="50">
        <v>934982.5</v>
      </c>
      <c r="D12" s="50">
        <v>2180737.5</v>
      </c>
      <c r="E12" s="50">
        <v>2216451.5</v>
      </c>
      <c r="F12" s="50">
        <v>3078740.5</v>
      </c>
      <c r="G12" s="17">
        <f t="shared" si="0"/>
        <v>8410912</v>
      </c>
      <c r="H12" s="17">
        <f t="shared" si="1"/>
        <v>264316.60947187594</v>
      </c>
      <c r="I12" s="17">
        <f t="shared" si="2"/>
        <v>8146595.3905281238</v>
      </c>
    </row>
    <row r="13" spans="1:9" ht="15.75" customHeight="1" x14ac:dyDescent="0.25">
      <c r="A13" s="5">
        <f t="shared" si="3"/>
        <v>2035</v>
      </c>
      <c r="B13" s="49">
        <v>230811</v>
      </c>
      <c r="C13" s="50">
        <v>893432.5</v>
      </c>
      <c r="D13" s="50">
        <v>2175384</v>
      </c>
      <c r="E13" s="50">
        <v>2175658.5</v>
      </c>
      <c r="F13" s="50">
        <v>2994510</v>
      </c>
      <c r="G13" s="17">
        <f t="shared" si="0"/>
        <v>8238985</v>
      </c>
      <c r="H13" s="17">
        <f t="shared" si="1"/>
        <v>263588.00836820703</v>
      </c>
      <c r="I13" s="17">
        <f t="shared" si="2"/>
        <v>7975396.9916317929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0jL0yFigclJphClmUw2zu1zwZIHw2ncGIVX5WNT0ClMvprGhej5QZvW/S9wgnhiNLWauuA80OuUAx672lnEjcQ==" saltValue="HgHQP4f4se0y57mlSuav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5.505921618550734E-2</v>
      </c>
    </row>
    <row r="5" spans="1:8" ht="15.75" customHeight="1" x14ac:dyDescent="0.25">
      <c r="B5" s="19" t="s">
        <v>98</v>
      </c>
      <c r="C5" s="101">
        <v>3.1744383940946891E-2</v>
      </c>
    </row>
    <row r="6" spans="1:8" ht="15.75" customHeight="1" x14ac:dyDescent="0.25">
      <c r="B6" s="19" t="s">
        <v>99</v>
      </c>
      <c r="C6" s="101">
        <v>0.1737396152025559</v>
      </c>
    </row>
    <row r="7" spans="1:8" ht="15.75" customHeight="1" x14ac:dyDescent="0.25">
      <c r="B7" s="19" t="s">
        <v>100</v>
      </c>
      <c r="C7" s="101">
        <v>0.38069658064395451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0.2666497047516671</v>
      </c>
    </row>
    <row r="10" spans="1:8" ht="15.75" customHeight="1" x14ac:dyDescent="0.25">
      <c r="B10" s="19" t="s">
        <v>103</v>
      </c>
      <c r="C10" s="101">
        <v>9.2110499275368213E-2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8.5700179765477169E-3</v>
      </c>
      <c r="D14" s="55">
        <v>8.5700179765477169E-3</v>
      </c>
      <c r="E14" s="55">
        <v>8.5700179765477169E-3</v>
      </c>
      <c r="F14" s="55">
        <v>8.5700179765477169E-3</v>
      </c>
    </row>
    <row r="15" spans="1:8" ht="15.75" customHeight="1" x14ac:dyDescent="0.25">
      <c r="B15" s="19" t="s">
        <v>106</v>
      </c>
      <c r="C15" s="101">
        <v>0.16312824572178389</v>
      </c>
      <c r="D15" s="101">
        <v>0.16312824572178389</v>
      </c>
      <c r="E15" s="101">
        <v>0.16312824572178389</v>
      </c>
      <c r="F15" s="101">
        <v>0.16312824572178389</v>
      </c>
    </row>
    <row r="16" spans="1:8" ht="15.75" customHeight="1" x14ac:dyDescent="0.25">
      <c r="B16" s="19" t="s">
        <v>107</v>
      </c>
      <c r="C16" s="101">
        <v>1.043185977361526E-2</v>
      </c>
      <c r="D16" s="101">
        <v>1.043185977361526E-2</v>
      </c>
      <c r="E16" s="101">
        <v>1.043185977361526E-2</v>
      </c>
      <c r="F16" s="101">
        <v>1.043185977361526E-2</v>
      </c>
    </row>
    <row r="17" spans="1:8" ht="15.75" customHeight="1" x14ac:dyDescent="0.25">
      <c r="B17" s="19" t="s">
        <v>108</v>
      </c>
      <c r="C17" s="101">
        <v>5.610694382909396E-2</v>
      </c>
      <c r="D17" s="101">
        <v>5.610694382909396E-2</v>
      </c>
      <c r="E17" s="101">
        <v>5.610694382909396E-2</v>
      </c>
      <c r="F17" s="101">
        <v>5.610694382909396E-2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7.3411218117903063E-2</v>
      </c>
      <c r="D19" s="101">
        <v>7.3411218117903063E-2</v>
      </c>
      <c r="E19" s="101">
        <v>7.3411218117903063E-2</v>
      </c>
      <c r="F19" s="101">
        <v>7.3411218117903063E-2</v>
      </c>
    </row>
    <row r="20" spans="1:8" ht="15.75" customHeight="1" x14ac:dyDescent="0.25">
      <c r="B20" s="19" t="s">
        <v>111</v>
      </c>
      <c r="C20" s="101">
        <v>0.2483207157957853</v>
      </c>
      <c r="D20" s="101">
        <v>0.2483207157957853</v>
      </c>
      <c r="E20" s="101">
        <v>0.2483207157957853</v>
      </c>
      <c r="F20" s="101">
        <v>0.2483207157957853</v>
      </c>
    </row>
    <row r="21" spans="1:8" ht="15.75" customHeight="1" x14ac:dyDescent="0.25">
      <c r="B21" s="19" t="s">
        <v>112</v>
      </c>
      <c r="C21" s="101">
        <v>0.2568545372870949</v>
      </c>
      <c r="D21" s="101">
        <v>0.2568545372870949</v>
      </c>
      <c r="E21" s="101">
        <v>0.2568545372870949</v>
      </c>
      <c r="F21" s="101">
        <v>0.2568545372870949</v>
      </c>
    </row>
    <row r="22" spans="1:8" ht="15.75" customHeight="1" x14ac:dyDescent="0.25">
      <c r="B22" s="19" t="s">
        <v>113</v>
      </c>
      <c r="C22" s="101">
        <v>0.1831764614981759</v>
      </c>
      <c r="D22" s="101">
        <v>0.1831764614981759</v>
      </c>
      <c r="E22" s="101">
        <v>0.1831764614981759</v>
      </c>
      <c r="F22" s="101">
        <v>0.1831764614981759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4.9599230000000001E-2</v>
      </c>
    </row>
    <row r="27" spans="1:8" ht="15.75" customHeight="1" x14ac:dyDescent="0.25">
      <c r="B27" s="19" t="s">
        <v>120</v>
      </c>
      <c r="C27" s="101">
        <v>5.3032503999999987E-2</v>
      </c>
    </row>
    <row r="28" spans="1:8" ht="15.75" customHeight="1" x14ac:dyDescent="0.25">
      <c r="B28" s="19" t="s">
        <v>121</v>
      </c>
      <c r="C28" s="101">
        <v>0.110220151</v>
      </c>
    </row>
    <row r="29" spans="1:8" ht="15.75" customHeight="1" x14ac:dyDescent="0.25">
      <c r="B29" s="19" t="s">
        <v>122</v>
      </c>
      <c r="C29" s="101">
        <v>0.122891953</v>
      </c>
    </row>
    <row r="30" spans="1:8" ht="15.75" customHeight="1" x14ac:dyDescent="0.25">
      <c r="B30" s="19" t="s">
        <v>2</v>
      </c>
      <c r="C30" s="101">
        <v>7.3900320000000005E-2</v>
      </c>
    </row>
    <row r="31" spans="1:8" ht="15.75" customHeight="1" x14ac:dyDescent="0.25">
      <c r="B31" s="19" t="s">
        <v>123</v>
      </c>
      <c r="C31" s="101">
        <v>5.9789176999999999E-2</v>
      </c>
    </row>
    <row r="32" spans="1:8" ht="15.75" customHeight="1" x14ac:dyDescent="0.25">
      <c r="B32" s="19" t="s">
        <v>124</v>
      </c>
      <c r="C32" s="101">
        <v>0.12020602599999999</v>
      </c>
    </row>
    <row r="33" spans="2:3" ht="15.75" customHeight="1" x14ac:dyDescent="0.25">
      <c r="B33" s="19" t="s">
        <v>125</v>
      </c>
      <c r="C33" s="101">
        <v>0.11539405899999999</v>
      </c>
    </row>
    <row r="34" spans="2:3" ht="15.75" customHeight="1" x14ac:dyDescent="0.25">
      <c r="B34" s="19" t="s">
        <v>126</v>
      </c>
      <c r="C34" s="101">
        <v>0.29496657999999998</v>
      </c>
    </row>
    <row r="35" spans="2:3" ht="15.75" customHeight="1" x14ac:dyDescent="0.25">
      <c r="B35" s="27" t="s">
        <v>59</v>
      </c>
      <c r="C35" s="48">
        <f>SUM(C26:C34)</f>
        <v>0.99999999999999989</v>
      </c>
    </row>
  </sheetData>
  <sheetProtection algorithmName="SHA-512" hashValue="Kh8vSyBVDlHYoEktPWcUHLA34ltJRlL9M51f+KnDwQh3GgY4rUiXOPpvcmPop0JCDZUfx+0szr5jaaBcOezLNg==" saltValue="r6RLHeNt+hrTnoIAghh5z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132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133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137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138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0.40111343449999998</v>
      </c>
      <c r="D14" s="54">
        <v>0.364943678725</v>
      </c>
      <c r="E14" s="54">
        <v>0.364943678725</v>
      </c>
      <c r="F14" s="54">
        <v>0.146891302015</v>
      </c>
      <c r="G14" s="54">
        <v>0.146891302015</v>
      </c>
      <c r="H14" s="45">
        <v>0.248</v>
      </c>
      <c r="I14" s="55">
        <v>0.248</v>
      </c>
      <c r="J14" s="55">
        <v>0.248</v>
      </c>
      <c r="K14" s="55">
        <v>0.248</v>
      </c>
      <c r="L14" s="45">
        <v>0.23499999999999999</v>
      </c>
      <c r="M14" s="55">
        <v>0.23499999999999999</v>
      </c>
      <c r="N14" s="55">
        <v>0.23499999999999999</v>
      </c>
      <c r="O14" s="55">
        <v>0.23499999999999999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0.2593547322730515</v>
      </c>
      <c r="D15" s="52">
        <f t="shared" si="0"/>
        <v>0.23596783839576158</v>
      </c>
      <c r="E15" s="52">
        <f t="shared" si="0"/>
        <v>0.23596783839576158</v>
      </c>
      <c r="F15" s="52">
        <f t="shared" si="0"/>
        <v>9.4978006295972806E-2</v>
      </c>
      <c r="G15" s="52">
        <f t="shared" si="0"/>
        <v>9.4978006295972806E-2</v>
      </c>
      <c r="H15" s="52">
        <f t="shared" si="0"/>
        <v>0.160353576</v>
      </c>
      <c r="I15" s="52">
        <f t="shared" si="0"/>
        <v>0.160353576</v>
      </c>
      <c r="J15" s="52">
        <f t="shared" si="0"/>
        <v>0.160353576</v>
      </c>
      <c r="K15" s="52">
        <f t="shared" si="0"/>
        <v>0.160353576</v>
      </c>
      <c r="L15" s="52">
        <f t="shared" si="0"/>
        <v>0.151947945</v>
      </c>
      <c r="M15" s="52">
        <f t="shared" si="0"/>
        <v>0.151947945</v>
      </c>
      <c r="N15" s="52">
        <f t="shared" si="0"/>
        <v>0.151947945</v>
      </c>
      <c r="O15" s="52">
        <f t="shared" si="0"/>
        <v>0.151947945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7dDpvPj4oknwBM2iO3Q0pDYqaRcoFZbr/iUbaYhGDOjW1eMcbYtBZXv/FllzsfsBsqbyQdzHGO5NnEy5924ktA==" saltValue="6JI6+Qgdu/9whAzjHQ3Z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0.3332405</v>
      </c>
      <c r="D2" s="53">
        <v>0.18352399999999999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0.48439080000000001</v>
      </c>
      <c r="D3" s="53">
        <v>0.32418390000000002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8.9775800000000003E-2</v>
      </c>
      <c r="D4" s="53">
        <v>0.36902190000000001</v>
      </c>
      <c r="E4" s="53">
        <v>0.56530579999999997</v>
      </c>
      <c r="F4" s="53">
        <v>0.30857899999999999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9.2592900000000089E-2</v>
      </c>
      <c r="D5" s="52">
        <f t="shared" si="0"/>
        <v>0.1232702</v>
      </c>
      <c r="E5" s="52">
        <f>1-SUM(E2:E4)</f>
        <v>0.43469420000000003</v>
      </c>
      <c r="F5" s="52">
        <f>1-SUM(F2:F4)</f>
        <v>0.69142100000000006</v>
      </c>
      <c r="G5" s="52">
        <f>1-SUM(G2:G4)</f>
        <v>1</v>
      </c>
    </row>
  </sheetData>
  <sheetProtection algorithmName="SHA-512" hashValue="4Us2xjuaVuqBrtbbFETwMbDpElFOSDRqK3yY5UCWXCC6wqtp8LQ3PhoMg6bhj3SQYaxEnTNeqNY2Qn+z+DYb6g==" saltValue="OvINZ/Ihjktnb9XBSDCDS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a1VstS9WgO8PYBRtaccIYTbIZWddMU0+N+q9UvEJA0ZvHIVVgARn5bVgobgC0quaUM49tYsxny5rwJ1dtWZYg==" saltValue="G3byZhW20zC+SMSDD2P/o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4533.9755859375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0.48555999999999999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0.61699999999999999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1.7321538197112404E-2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99105.197249999997</v>
      </c>
      <c r="C22" s="109">
        <v>99029.366110000003</v>
      </c>
      <c r="D22" s="109">
        <v>98935.621199999994</v>
      </c>
      <c r="E22" s="109">
        <v>98692.318499999994</v>
      </c>
      <c r="F22" s="109">
        <v>98317.24209</v>
      </c>
      <c r="G22" s="109">
        <v>97710.435840000006</v>
      </c>
      <c r="H22" s="109">
        <v>96693.658739999999</v>
      </c>
      <c r="I22" s="109">
        <v>95151.748430000007</v>
      </c>
      <c r="J22" s="109">
        <v>92928.720809999999</v>
      </c>
      <c r="K22" s="109">
        <v>90044.375150000007</v>
      </c>
      <c r="L22" s="109">
        <v>86272.903250000003</v>
      </c>
      <c r="M22" s="109">
        <v>81345.712729999999</v>
      </c>
      <c r="N22" s="109">
        <v>74599.238939999996</v>
      </c>
      <c r="O22" s="109">
        <v>65741.880050000007</v>
      </c>
    </row>
  </sheetData>
  <sheetProtection algorithmName="SHA-512" hashValue="0X1oGbmqD6SMREEubipRNZXQebuOSRVToceFIU+x+b1tEVYiAJOxCuWMFk0j75/zj4Li7npXHgv4pZul3QINfA==" saltValue="Z683F50iVgQ1NYKKEMmZs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8QstRuZiiY1mJGQMtpYCExVnJYAtwhuMzsnKAB6ehP1NOs5jJ105/CdJUj7PGzSPpOCZH02hL0uNNZZ8/jpO7Q==" saltValue="69DhCQGO9sRGh9XUlSQ5K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jU1Es42QFyAa08z9moa9y048Oz1Dnml7+p7O1egdhcqMpIvlte3cfm5DesMVWHORjh7tWg9yDpQICjGi9g8hcw==" saltValue="h0d9XHgAzuR0QYnauKHGw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3.4021799999999998E-2</v>
      </c>
      <c r="C10" s="98">
        <v>0.95</v>
      </c>
      <c r="D10" s="56">
        <v>13.70995814776825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13.70995814776825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13.70995814776825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13.70995814776825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3.4021799999999998E-2</v>
      </c>
      <c r="C14" s="98">
        <v>0.95</v>
      </c>
      <c r="D14" s="56">
        <v>13.70995814776825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13.70995814776825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0.41105120000000001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0.18352399999999999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0.18352399999999999</v>
      </c>
      <c r="C19" s="98">
        <v>0.95</v>
      </c>
      <c r="D19" s="56">
        <v>5.0978270834575747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4.5674458261497017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0.70703173875388003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3.4021799999999998E-2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0.59233060000000004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0.58499999999999996</v>
      </c>
      <c r="C29" s="98">
        <v>0.95</v>
      </c>
      <c r="D29" s="56">
        <v>85.139330298277699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0.27220169999999999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0.62716769999999999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ki/5pUraazWI8CK0nlRRuEt9FcPqCgWJf8o+zU7w2Nd+DpUQCs1nSPCF5M5YuFeAxjj1BGILt+pmL/Mi88jDJg==" saltValue="X+YUlAaRj6UyuqGP3cNq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Iq/9pWD2xrGOv5tzmfpMocpsuSQvO3Q3ComKTbp4sWfNBSnM+FUHUT4tIQJSPwHaFVeBLj0JUvoWt+2UkLEKw==" saltValue="Ylh7IiSAw19qf6p+8TNuI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Z9/Gm5+Rc8uRmdaCCtC7tIZ8aMVWz2GM/RjF5UP+u2KYQ3VRnSbX0kwlACwxn9hicQACDSAM0daFc6K6uRmwA==" saltValue="CUUdr486bAKWfjoVhQ76M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237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sheetProtection algorithmName="SHA-512" hashValue="M3TmH4u6fzKkktv+G4I07Y1JBSbIUOppmpxNB08r89HAsKuW0sjh8B3GnRdY14A4YNiuk9Iqzh9cnXw8sgD4wg==" saltValue="111Cv3ERXoSmdqZB3vkOr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0.01</v>
      </c>
      <c r="F2" s="60">
        <f>food_insecure</f>
        <v>0.01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0.01</v>
      </c>
      <c r="F5" s="60">
        <f>food_insecure</f>
        <v>0.01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0.01</v>
      </c>
      <c r="F8" s="60">
        <f>food_insecure</f>
        <v>0.01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0.01</v>
      </c>
      <c r="F9" s="60">
        <f>food_insecure</f>
        <v>0.01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0.01</v>
      </c>
      <c r="I15" s="60">
        <f t="shared" si="0"/>
        <v>0.01</v>
      </c>
      <c r="J15" s="60">
        <f t="shared" si="0"/>
        <v>0.01</v>
      </c>
      <c r="K15" s="60">
        <f t="shared" si="0"/>
        <v>0.01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0.01</v>
      </c>
      <c r="I16" s="60">
        <f t="shared" si="0"/>
        <v>0.01</v>
      </c>
      <c r="J16" s="60">
        <f t="shared" si="0"/>
        <v>0.01</v>
      </c>
      <c r="K16" s="60">
        <f t="shared" si="0"/>
        <v>0.01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0.32</v>
      </c>
      <c r="M24" s="60">
        <f>famplan_unmet_need</f>
        <v>0.32</v>
      </c>
      <c r="N24" s="60">
        <f>famplan_unmet_need</f>
        <v>0.32</v>
      </c>
      <c r="O24" s="60">
        <f>famplan_unmet_need</f>
        <v>0.32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6.553442783355734E-2</v>
      </c>
      <c r="M25" s="60">
        <f>(1-food_insecure)*(0.49)+food_insecure*(0.7)</f>
        <v>0.49209999999999998</v>
      </c>
      <c r="N25" s="60">
        <f>(1-food_insecure)*(0.49)+food_insecure*(0.7)</f>
        <v>0.49209999999999998</v>
      </c>
      <c r="O25" s="60">
        <f>(1-food_insecure)*(0.49)+food_insecure*(0.7)</f>
        <v>0.49209999999999998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2.8086183357238864E-2</v>
      </c>
      <c r="M26" s="60">
        <f>(1-food_insecure)*(0.21)+food_insecure*(0.3)</f>
        <v>0.2109</v>
      </c>
      <c r="N26" s="60">
        <f>(1-food_insecure)*(0.21)+food_insecure*(0.3)</f>
        <v>0.2109</v>
      </c>
      <c r="O26" s="60">
        <f>(1-food_insecure)*(0.21)+food_insecure*(0.3)</f>
        <v>0.2109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3.9552377700805795E-2</v>
      </c>
      <c r="M27" s="60">
        <f>(1-food_insecure)*(0.3)</f>
        <v>0.29699999999999999</v>
      </c>
      <c r="N27" s="60">
        <f>(1-food_insecure)*(0.3)</f>
        <v>0.29699999999999999</v>
      </c>
      <c r="O27" s="60">
        <f>(1-food_insecure)*(0.3)</f>
        <v>0.29699999999999999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0.86682701110839799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pVwEDm5vLyjZMNYf3hwVXnMKzsU5Mi9kDUJhxa849Txd180BepG2S6WlJNhpSdBeDFJYCD44jdEhPPdgJfNidQ==" saltValue="rtRqYGXXEHfMcagPiSktU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hDbphf0dIkzeZ+/oX7xvBKSGL1SZp604+ZMOzabxbEo/nig8bY3lhBvkBn6W/BgeicTcGXM8jFKumk6pFVjGFA==" saltValue="aPFeVNuAxej50T7LMJI6e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jkyVfu7ig75P6h/WSHjOSRldzS6QKfJzvW46/Q7sMiDxFVFyDHjRmMBT9NDaLuVzbhq2F5tf9No2YiwkS3qe6w==" saltValue="fuOaQVcg7qny5l1iqYOzc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pswAkAResNcdAeUW8+D1zYFUQtjT+AU90rAJFNU9XYD7plIqOJBL7yLzePR86gOUqVsFXUFbvUORzVR4y/0+1w==" saltValue="c5YPQCMsZ6ppy4qHP2SUz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YApZb7Y8EKyw2edvWPQZLI7DP5bxgBpO3XXRsmNrr6I1Fvlp0Rwm+SiimA9hND7DMKM8bixaDZH7RJmlxNEBWQ==" saltValue="qbm06cF6KAfRjGs7Vkd3W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bidfPTgrQlY9FUo5mm5I5Hc5qxSt0U3UTd8cez/AxsuKoP77eRRovl36Kpubh+6OQFWbTzm21ptjkz3HhTYVgg==" saltValue="JN/koDwVTnPOd7s+tfw4F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ujyyypQd+Uow9+wT30pB2g3J7AvbkNNEEz+EaVYgBGZA9abultYgh9rsik7oVZY+KYSEj1kPGmAwCC2hN6a5g==" saltValue="oVEK2ackhAOS+ar67g+RX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/Bc3xU3ifoQojYCJWDsfDV6Y2DzVBXnimyZZa0l7ylPjWHi94tmFFMjMpXC/4qVuW2hcc2L+h3KMD09+ebI1hg==" saltValue="11d/VTHAg2zmkEHYTddW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Keq+XWDF50leWQC3rpvfiYXRziZw8gZ7DWJoJfj9sfdQqgHEMqz4DeicoKKGFtAFzmbzh6et/MZXrXaaSJtQdg==" saltValue="29/TAd6KF9iRlofocgPX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igUSdQ7AZgI4pTFMIOQjTlPv/IPTp66Rw/rYZNBW8ZjsFNX5byc52/lDgQqngAN1sltasE5u7Y9C38dw/oRquQ==" saltValue="2mhs4ZfE231cLpzmzlml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gxh7yXpALqIJR9mFRHp0BQREMlq4bkiFIV4b2tluUOkrSCDdigcCCNS9zSK3xO94h5BIPy78fUIco2HXPBUnxg==" saltValue="IDXNXaInbmAJfnmSHKfe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0LPjk84zeiVE+Ad3Wjlun2+e3NhTeW0fwx8XC8ehFiJjgWvDlMo6FkhXzUm+hssa9qLxKC7wCjWpuz0/TAA4Q==" saltValue="ZQ2qDKBiL6IBpbaGOdBa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BjJAFYm27C88MMiaiV66WtomM7biqN/8inajiwhWIQbhD6QQwpor9I+X7U6jWAuZVk/b+UHh6WfraTDJIvoj9g==" saltValue="rzSO1wlmMhsByn3uEktLl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3GaAo8RsYxQcWOw0ZzfHCdXpQwpH85Hh0NKnccI1iCYtjNPnmiKH/3mPTxrmyVYD3K4cUDw0UztCFR0CWM+1kw==" saltValue="3jMAOWtFwHwJbl3bVUJt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Zt+MGMbfUNB8kZ0FLzUhot0SKlJBH+tD1WuYa3gygSl4OF01UimZGTNbXfxWHBYTyV6mfmyGizx5n/Ze82OcXg==" saltValue="Ge098oUnH3dxe8uPKLg3i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