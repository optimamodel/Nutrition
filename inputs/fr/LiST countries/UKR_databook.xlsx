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536AF634-B866-4CD5-B866-E8AFA44C420C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7" i="2"/>
  <c r="A36" i="2"/>
  <c r="A34" i="2"/>
  <c r="A26" i="2"/>
  <c r="A25" i="2"/>
  <c r="A24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4" i="2" l="1"/>
  <c r="A31" i="2"/>
  <c r="I6" i="2"/>
  <c r="I12" i="2"/>
  <c r="A35" i="2"/>
  <c r="A19" i="2"/>
  <c r="A22" i="2"/>
  <c r="I39" i="2"/>
  <c r="I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<sst xmlns="http://schemas.openxmlformats.org/spreadsheetml/2006/main" count="2169" uniqueCount="369">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</sst>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1317340.5</v>
      </c>
    </row>
    <row r="8" spans="1:3" ht="15" customHeight="1" x14ac:dyDescent="0.25">
      <c r="B8" s="5" t="s">
        <v>37</v>
      </c>
      <c r="C8" s="44">
        <v>0.01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0.86682701110839799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8.8000000000000009E-2</v>
      </c>
    </row>
    <row r="24" spans="1:3" ht="15" customHeight="1" x14ac:dyDescent="0.25">
      <c r="B24" s="15" t="s">
        <v>51</v>
      </c>
      <c r="C24" s="45">
        <v>0.56720000000000004</v>
      </c>
    </row>
    <row r="25" spans="1:3" ht="15" customHeight="1" x14ac:dyDescent="0.25">
      <c r="B25" s="15" t="s">
        <v>52</v>
      </c>
      <c r="C25" s="45">
        <v>0.32450000000000001</v>
      </c>
    </row>
    <row r="26" spans="1:3" ht="15" customHeight="1" x14ac:dyDescent="0.25">
      <c r="B26" s="15" t="s">
        <v>53</v>
      </c>
      <c r="C26" s="45">
        <v>2.0299999999999999E-2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0.57290349526853401</v>
      </c>
    </row>
    <row r="30" spans="1:3" ht="14.25" customHeight="1" x14ac:dyDescent="0.25">
      <c r="B30" s="25" t="s">
        <v>56</v>
      </c>
      <c r="C30" s="97">
        <v>2.97816918362898E-2</v>
      </c>
    </row>
    <row r="31" spans="1:3" ht="14.25" customHeight="1" x14ac:dyDescent="0.25">
      <c r="B31" s="25" t="s">
        <v>57</v>
      </c>
      <c r="C31" s="97">
        <v>2.5306962187057899E-2</v>
      </c>
    </row>
    <row r="32" spans="1:3" ht="14.25" customHeight="1" x14ac:dyDescent="0.25">
      <c r="B32" s="25" t="s">
        <v>58</v>
      </c>
      <c r="C32" s="97">
        <v>0.37200785070811798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4.8260399999999999</v>
      </c>
    </row>
    <row r="38" spans="1:5" ht="15" customHeight="1" x14ac:dyDescent="0.25">
      <c r="B38" s="11" t="s">
        <v>63</v>
      </c>
      <c r="C38" s="43">
        <v>7.0373799999999997</v>
      </c>
      <c r="D38" s="12"/>
      <c r="E38" s="13"/>
    </row>
    <row r="39" spans="1:5" ht="15" customHeight="1" x14ac:dyDescent="0.25">
      <c r="B39" s="11" t="s">
        <v>64</v>
      </c>
      <c r="C39" s="43">
        <v>8.2232299999999992</v>
      </c>
      <c r="D39" s="12"/>
      <c r="E39" s="12"/>
    </row>
    <row r="40" spans="1:5" ht="15" customHeight="1" x14ac:dyDescent="0.25">
      <c r="B40" s="11" t="s">
        <v>65</v>
      </c>
      <c r="C40" s="98">
        <v>0.17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4.9424900000000003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5.9396000000000006E-3</v>
      </c>
      <c r="D45" s="12"/>
    </row>
    <row r="46" spans="1:5" ht="15.75" customHeight="1" x14ac:dyDescent="0.25">
      <c r="B46" s="11" t="s">
        <v>70</v>
      </c>
      <c r="C46" s="45">
        <v>6.3820600000000005E-2</v>
      </c>
      <c r="D46" s="12"/>
    </row>
    <row r="47" spans="1:5" ht="15.75" customHeight="1" x14ac:dyDescent="0.25">
      <c r="B47" s="11" t="s">
        <v>71</v>
      </c>
      <c r="C47" s="45">
        <v>7.5353000000000003E-2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0.64658700000000002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5.6338878000000002E-2</v>
      </c>
    </row>
    <row r="63" spans="1:4" ht="15.75" customHeight="1" x14ac:dyDescent="0.3">
      <c r="A63" s="4"/>
    </row>
  </sheetData>
  <sheetProtection algorithmName="SHA-512" hashValue="rX58PAF68Bn2XDKaOk9EFdGs0AUuEAqm4fIPSHvk51NAOA4ejDMiAZ6QT0rnDB9HtEXj3En/VhbuORokzP8f0w==" saltValue="wZqrlK21KafQW8zg0LYh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206937</v>
      </c>
      <c r="C2" s="49">
        <v>999757.5</v>
      </c>
      <c r="D2" s="49">
        <v>1833726.5</v>
      </c>
      <c r="E2" s="49">
        <v>2903698.5000000005</v>
      </c>
      <c r="F2" s="49">
        <v>2970554</v>
      </c>
      <c r="G2" s="17">
        <f t="shared" ref="G2:G13" si="0">C2+D2+E2+F2</f>
        <v>8707736.5</v>
      </c>
      <c r="H2" s="17">
        <f t="shared" ref="H2:H13" si="1">(B2 + stillbirth*B2/(1000-stillbirth))/(1-abortion)</f>
        <v>236323.70938859784</v>
      </c>
      <c r="I2" s="17">
        <f t="shared" ref="I2:I13" si="2">G2-H2</f>
        <v>8471412.7906114031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220203</v>
      </c>
      <c r="C3" s="50">
        <v>1075080</v>
      </c>
      <c r="D3" s="50">
        <v>2038187.0000000002</v>
      </c>
      <c r="E3" s="50">
        <v>2952725.9999999995</v>
      </c>
      <c r="F3" s="50">
        <v>3062865</v>
      </c>
      <c r="G3" s="17">
        <f t="shared" si="0"/>
        <v>9128858</v>
      </c>
      <c r="H3" s="17">
        <f t="shared" si="1"/>
        <v>251473.5875097127</v>
      </c>
      <c r="I3" s="17">
        <f t="shared" si="2"/>
        <v>8877384.4124902878</v>
      </c>
    </row>
    <row r="4" spans="1:9" ht="15.75" customHeight="1" x14ac:dyDescent="0.25">
      <c r="A4" s="5">
        <f t="shared" si="3"/>
        <v>2026</v>
      </c>
      <c r="B4" s="49">
        <v>242008</v>
      </c>
      <c r="C4" s="50">
        <v>1115382</v>
      </c>
      <c r="D4" s="50">
        <v>2150501.5</v>
      </c>
      <c r="E4" s="50">
        <v>2934092.4999999995</v>
      </c>
      <c r="F4" s="50">
        <v>3147220.5</v>
      </c>
      <c r="G4" s="17">
        <f t="shared" si="0"/>
        <v>9347196.5</v>
      </c>
      <c r="H4" s="17">
        <f t="shared" si="1"/>
        <v>276375.07193839573</v>
      </c>
      <c r="I4" s="17">
        <f t="shared" si="2"/>
        <v>9070821.4280616045</v>
      </c>
    </row>
    <row r="5" spans="1:9" ht="15.75" customHeight="1" x14ac:dyDescent="0.25">
      <c r="A5" s="5">
        <f t="shared" si="3"/>
        <v>2027</v>
      </c>
      <c r="B5" s="49">
        <v>239583</v>
      </c>
      <c r="C5" s="50">
        <v>1123187.5</v>
      </c>
      <c r="D5" s="50">
        <v>2130547</v>
      </c>
      <c r="E5" s="50">
        <v>2813705.5</v>
      </c>
      <c r="F5" s="50">
        <v>3206441</v>
      </c>
      <c r="G5" s="17">
        <f t="shared" si="0"/>
        <v>9273881</v>
      </c>
      <c r="H5" s="17">
        <f t="shared" si="1"/>
        <v>273605.70253965433</v>
      </c>
      <c r="I5" s="17">
        <f t="shared" si="2"/>
        <v>9000275.2974603456</v>
      </c>
    </row>
    <row r="6" spans="1:9" ht="15.75" customHeight="1" x14ac:dyDescent="0.25">
      <c r="A6" s="5">
        <f t="shared" si="3"/>
        <v>2028</v>
      </c>
      <c r="B6" s="49">
        <v>237882</v>
      </c>
      <c r="C6" s="50">
        <v>1126854.5</v>
      </c>
      <c r="D6" s="50">
        <v>2123684</v>
      </c>
      <c r="E6" s="50">
        <v>2698615.5</v>
      </c>
      <c r="F6" s="50">
        <v>3251501.5000000005</v>
      </c>
      <c r="G6" s="17">
        <f t="shared" si="0"/>
        <v>9200655.5</v>
      </c>
      <c r="H6" s="17">
        <f t="shared" si="1"/>
        <v>271663.14693253714</v>
      </c>
      <c r="I6" s="17">
        <f t="shared" si="2"/>
        <v>8928992.3530674633</v>
      </c>
    </row>
    <row r="7" spans="1:9" ht="15.75" customHeight="1" x14ac:dyDescent="0.25">
      <c r="A7" s="5">
        <f t="shared" si="3"/>
        <v>2029</v>
      </c>
      <c r="B7" s="49">
        <v>235848</v>
      </c>
      <c r="C7" s="50">
        <v>1117465</v>
      </c>
      <c r="D7" s="50">
        <v>2127806</v>
      </c>
      <c r="E7" s="50">
        <v>2592446.5</v>
      </c>
      <c r="F7" s="50">
        <v>3273358.5</v>
      </c>
      <c r="G7" s="17">
        <f t="shared" si="0"/>
        <v>9111076</v>
      </c>
      <c r="H7" s="17">
        <f t="shared" si="1"/>
        <v>269340.30266159278</v>
      </c>
      <c r="I7" s="17">
        <f t="shared" si="2"/>
        <v>8841735.6973384079</v>
      </c>
    </row>
    <row r="8" spans="1:9" ht="15.75" customHeight="1" x14ac:dyDescent="0.25">
      <c r="A8" s="5">
        <f t="shared" si="3"/>
        <v>2030</v>
      </c>
      <c r="B8" s="49">
        <v>234943</v>
      </c>
      <c r="C8" s="50">
        <v>1100959</v>
      </c>
      <c r="D8" s="50">
        <v>2132341</v>
      </c>
      <c r="E8" s="50">
        <v>2494000</v>
      </c>
      <c r="F8" s="50">
        <v>3272651.5</v>
      </c>
      <c r="G8" s="17">
        <f t="shared" si="0"/>
        <v>8999951.5</v>
      </c>
      <c r="H8" s="17">
        <f t="shared" si="1"/>
        <v>268306.7854220625</v>
      </c>
      <c r="I8" s="17">
        <f t="shared" si="2"/>
        <v>8731644.7145779375</v>
      </c>
    </row>
    <row r="9" spans="1:9" ht="15.75" customHeight="1" x14ac:dyDescent="0.25">
      <c r="A9" s="5">
        <f t="shared" si="3"/>
        <v>2031</v>
      </c>
      <c r="B9" s="49">
        <v>234054</v>
      </c>
      <c r="C9" s="50">
        <v>1077663.5</v>
      </c>
      <c r="D9" s="50">
        <v>2140612.5</v>
      </c>
      <c r="E9" s="50">
        <v>2402435</v>
      </c>
      <c r="F9" s="50">
        <v>3253797.5</v>
      </c>
      <c r="G9" s="17">
        <f t="shared" si="0"/>
        <v>8874508.5</v>
      </c>
      <c r="H9" s="17">
        <f t="shared" si="1"/>
        <v>267291.54031052394</v>
      </c>
      <c r="I9" s="17">
        <f t="shared" si="2"/>
        <v>8607216.9596894756</v>
      </c>
    </row>
    <row r="10" spans="1:9" ht="15.75" customHeight="1" x14ac:dyDescent="0.25">
      <c r="A10" s="5">
        <f t="shared" si="3"/>
        <v>2032</v>
      </c>
      <c r="B10" s="49">
        <v>233013</v>
      </c>
      <c r="C10" s="50">
        <v>1039054.0000000001</v>
      </c>
      <c r="D10" s="50">
        <v>2159022.5</v>
      </c>
      <c r="E10" s="50">
        <v>2322773</v>
      </c>
      <c r="F10" s="50">
        <v>3219402</v>
      </c>
      <c r="G10" s="17">
        <f t="shared" si="0"/>
        <v>8740251.5</v>
      </c>
      <c r="H10" s="17">
        <f t="shared" si="1"/>
        <v>266102.70998306415</v>
      </c>
      <c r="I10" s="17">
        <f t="shared" si="2"/>
        <v>8474148.7900169361</v>
      </c>
    </row>
    <row r="11" spans="1:9" ht="15.75" customHeight="1" x14ac:dyDescent="0.25">
      <c r="A11" s="5">
        <f t="shared" si="3"/>
        <v>2033</v>
      </c>
      <c r="B11" s="49">
        <v>232316</v>
      </c>
      <c r="C11" s="50">
        <v>986088.5</v>
      </c>
      <c r="D11" s="50">
        <v>2175616.5</v>
      </c>
      <c r="E11" s="50">
        <v>2262080.5</v>
      </c>
      <c r="F11" s="50">
        <v>3158984.5</v>
      </c>
      <c r="G11" s="17">
        <f t="shared" si="0"/>
        <v>8582770</v>
      </c>
      <c r="H11" s="17">
        <f t="shared" si="1"/>
        <v>265306.73040742596</v>
      </c>
      <c r="I11" s="17">
        <f t="shared" si="2"/>
        <v>8317463.2695925739</v>
      </c>
    </row>
    <row r="12" spans="1:9" ht="15.75" customHeight="1" x14ac:dyDescent="0.25">
      <c r="A12" s="5">
        <f t="shared" si="3"/>
        <v>2034</v>
      </c>
      <c r="B12" s="49">
        <v>231449</v>
      </c>
      <c r="C12" s="50">
        <v>934982.5</v>
      </c>
      <c r="D12" s="50">
        <v>2180737.5</v>
      </c>
      <c r="E12" s="50">
        <v>2216451.5</v>
      </c>
      <c r="F12" s="50">
        <v>3078740.5</v>
      </c>
      <c r="G12" s="17">
        <f t="shared" si="0"/>
        <v>8410912</v>
      </c>
      <c r="H12" s="17">
        <f t="shared" si="1"/>
        <v>264316.60947187594</v>
      </c>
      <c r="I12" s="17">
        <f t="shared" si="2"/>
        <v>8146595.3905281238</v>
      </c>
    </row>
    <row r="13" spans="1:9" ht="15.75" customHeight="1" x14ac:dyDescent="0.25">
      <c r="A13" s="5">
        <f t="shared" si="3"/>
        <v>2035</v>
      </c>
      <c r="B13" s="49">
        <v>230811</v>
      </c>
      <c r="C13" s="50">
        <v>893432.5</v>
      </c>
      <c r="D13" s="50">
        <v>2175384</v>
      </c>
      <c r="E13" s="50">
        <v>2175658.5</v>
      </c>
      <c r="F13" s="50">
        <v>2994510</v>
      </c>
      <c r="G13" s="17">
        <f t="shared" si="0"/>
        <v>8238985</v>
      </c>
      <c r="H13" s="17">
        <f t="shared" si="1"/>
        <v>263588.00836820703</v>
      </c>
      <c r="I13" s="17">
        <f t="shared" si="2"/>
        <v>7975396.9916317929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ISIstKNgdnBUAJesw3JLARzN4zADcpwUvBvEvqT5kZT5E47QOqB189pC5wz+t/7/Jix1WQVna2w2L4ZNj6VbQ==" saltValue="Br1GQge+wHwAiVJkO149X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5.505921618550734E-2</v>
      </c>
    </row>
    <row r="5" spans="1:8" ht="15.75" customHeight="1" x14ac:dyDescent="0.25">
      <c r="B5" s="19" t="s">
        <v>98</v>
      </c>
      <c r="C5" s="99">
        <v>3.1744383940946891E-2</v>
      </c>
    </row>
    <row r="6" spans="1:8" ht="15.75" customHeight="1" x14ac:dyDescent="0.25">
      <c r="B6" s="19" t="s">
        <v>99</v>
      </c>
      <c r="C6" s="99">
        <v>0.1737396152025559</v>
      </c>
    </row>
    <row r="7" spans="1:8" ht="15.75" customHeight="1" x14ac:dyDescent="0.25">
      <c r="B7" s="19" t="s">
        <v>100</v>
      </c>
      <c r="C7" s="99">
        <v>0.38069658064395451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0.2666497047516671</v>
      </c>
    </row>
    <row r="10" spans="1:8" ht="15.75" customHeight="1" x14ac:dyDescent="0.25">
      <c r="B10" s="19" t="s">
        <v>103</v>
      </c>
      <c r="C10" s="99">
        <v>9.2110499275368213E-2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8.5700179765477169E-3</v>
      </c>
      <c r="D14" s="55">
        <v>8.5700179765477169E-3</v>
      </c>
      <c r="E14" s="55">
        <v>8.5700179765477169E-3</v>
      </c>
      <c r="F14" s="55">
        <v>8.5700179765477169E-3</v>
      </c>
    </row>
    <row r="15" spans="1:8" ht="15.75" customHeight="1" x14ac:dyDescent="0.25">
      <c r="B15" s="19" t="s">
        <v>106</v>
      </c>
      <c r="C15" s="99">
        <v>0.16312824572178389</v>
      </c>
      <c r="D15" s="99">
        <v>0.16312824572178389</v>
      </c>
      <c r="E15" s="99">
        <v>0.16312824572178389</v>
      </c>
      <c r="F15" s="99">
        <v>0.16312824572178389</v>
      </c>
    </row>
    <row r="16" spans="1:8" ht="15.75" customHeight="1" x14ac:dyDescent="0.25">
      <c r="B16" s="19" t="s">
        <v>107</v>
      </c>
      <c r="C16" s="99">
        <v>1.043185977361526E-2</v>
      </c>
      <c r="D16" s="99">
        <v>1.043185977361526E-2</v>
      </c>
      <c r="E16" s="99">
        <v>1.043185977361526E-2</v>
      </c>
      <c r="F16" s="99">
        <v>1.043185977361526E-2</v>
      </c>
    </row>
    <row r="17" spans="1:8" ht="15.75" customHeight="1" x14ac:dyDescent="0.25">
      <c r="B17" s="19" t="s">
        <v>108</v>
      </c>
      <c r="C17" s="99">
        <v>5.610694382909396E-2</v>
      </c>
      <c r="D17" s="99">
        <v>5.610694382909396E-2</v>
      </c>
      <c r="E17" s="99">
        <v>5.610694382909396E-2</v>
      </c>
      <c r="F17" s="99">
        <v>5.610694382909396E-2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7.3411218117903063E-2</v>
      </c>
      <c r="D19" s="99">
        <v>7.3411218117903063E-2</v>
      </c>
      <c r="E19" s="99">
        <v>7.3411218117903063E-2</v>
      </c>
      <c r="F19" s="99">
        <v>7.3411218117903063E-2</v>
      </c>
    </row>
    <row r="20" spans="1:8" ht="15.75" customHeight="1" x14ac:dyDescent="0.25">
      <c r="B20" s="19" t="s">
        <v>111</v>
      </c>
      <c r="C20" s="99">
        <v>0.2483207157957853</v>
      </c>
      <c r="D20" s="99">
        <v>0.2483207157957853</v>
      </c>
      <c r="E20" s="99">
        <v>0.2483207157957853</v>
      </c>
      <c r="F20" s="99">
        <v>0.2483207157957853</v>
      </c>
    </row>
    <row r="21" spans="1:8" ht="15.75" customHeight="1" x14ac:dyDescent="0.25">
      <c r="B21" s="19" t="s">
        <v>112</v>
      </c>
      <c r="C21" s="99">
        <v>0.2568545372870949</v>
      </c>
      <c r="D21" s="99">
        <v>0.2568545372870949</v>
      </c>
      <c r="E21" s="99">
        <v>0.2568545372870949</v>
      </c>
      <c r="F21" s="99">
        <v>0.2568545372870949</v>
      </c>
    </row>
    <row r="22" spans="1:8" ht="15.75" customHeight="1" x14ac:dyDescent="0.25">
      <c r="B22" s="19" t="s">
        <v>113</v>
      </c>
      <c r="C22" s="99">
        <v>0.1831764614981759</v>
      </c>
      <c r="D22" s="99">
        <v>0.1831764614981759</v>
      </c>
      <c r="E22" s="99">
        <v>0.1831764614981759</v>
      </c>
      <c r="F22" s="99">
        <v>0.1831764614981759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4.9599230000000001E-2</v>
      </c>
    </row>
    <row r="27" spans="1:8" ht="15.75" customHeight="1" x14ac:dyDescent="0.25">
      <c r="B27" s="19" t="s">
        <v>120</v>
      </c>
      <c r="C27" s="99">
        <v>5.3032503999999987E-2</v>
      </c>
    </row>
    <row r="28" spans="1:8" ht="15.75" customHeight="1" x14ac:dyDescent="0.25">
      <c r="B28" s="19" t="s">
        <v>121</v>
      </c>
      <c r="C28" s="99">
        <v>0.110220151</v>
      </c>
    </row>
    <row r="29" spans="1:8" ht="15.75" customHeight="1" x14ac:dyDescent="0.25">
      <c r="B29" s="19" t="s">
        <v>122</v>
      </c>
      <c r="C29" s="99">
        <v>0.122891953</v>
      </c>
    </row>
    <row r="30" spans="1:8" ht="15.75" customHeight="1" x14ac:dyDescent="0.25">
      <c r="B30" s="19" t="s">
        <v>2</v>
      </c>
      <c r="C30" s="99">
        <v>7.3900320000000005E-2</v>
      </c>
    </row>
    <row r="31" spans="1:8" ht="15.75" customHeight="1" x14ac:dyDescent="0.25">
      <c r="B31" s="19" t="s">
        <v>123</v>
      </c>
      <c r="C31" s="99">
        <v>5.9789176999999999E-2</v>
      </c>
    </row>
    <row r="32" spans="1:8" ht="15.75" customHeight="1" x14ac:dyDescent="0.25">
      <c r="B32" s="19" t="s">
        <v>124</v>
      </c>
      <c r="C32" s="99">
        <v>0.12020602599999999</v>
      </c>
    </row>
    <row r="33" spans="2:3" ht="15.75" customHeight="1" x14ac:dyDescent="0.25">
      <c r="B33" s="19" t="s">
        <v>125</v>
      </c>
      <c r="C33" s="99">
        <v>0.11539405899999999</v>
      </c>
    </row>
    <row r="34" spans="2:3" ht="15.75" customHeight="1" x14ac:dyDescent="0.25">
      <c r="B34" s="19" t="s">
        <v>126</v>
      </c>
      <c r="C34" s="99">
        <v>0.29496657999999998</v>
      </c>
    </row>
    <row r="35" spans="2:3" ht="15.75" customHeight="1" x14ac:dyDescent="0.25">
      <c r="B35" s="27" t="s">
        <v>59</v>
      </c>
      <c r="C35" s="48">
        <f>SUM(C26:C34)</f>
        <v>0.99999999999999989</v>
      </c>
    </row>
  </sheetData>
  <sheetProtection algorithmName="SHA-512" hashValue="q51IKgFCa9N0NZMNj4WY3uiTg9LZiBrA/3sPTuxuDN1I2AHtzbI+R0orkhXLAqPjM9sAiFK0ylw2isrxXCHzew==" saltValue="0at+mR3HKhrDPJeoTSRNs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132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133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137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138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0.40111343449999998</v>
      </c>
      <c r="D14" s="54">
        <v>0.364943678725</v>
      </c>
      <c r="E14" s="54">
        <v>0.364943678725</v>
      </c>
      <c r="F14" s="54">
        <v>0.146891302015</v>
      </c>
      <c r="G14" s="54">
        <v>0.146891302015</v>
      </c>
      <c r="H14" s="45">
        <v>0.248</v>
      </c>
      <c r="I14" s="55">
        <v>0.248</v>
      </c>
      <c r="J14" s="55">
        <v>0.248</v>
      </c>
      <c r="K14" s="55">
        <v>0.248</v>
      </c>
      <c r="L14" s="45">
        <v>0.23499999999999999</v>
      </c>
      <c r="M14" s="55">
        <v>0.23499999999999999</v>
      </c>
      <c r="N14" s="55">
        <v>0.23499999999999999</v>
      </c>
      <c r="O14" s="55">
        <v>0.23499999999999999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0.2593547322730515</v>
      </c>
      <c r="D15" s="52">
        <f t="shared" si="0"/>
        <v>0.23596783839576158</v>
      </c>
      <c r="E15" s="52">
        <f t="shared" si="0"/>
        <v>0.23596783839576158</v>
      </c>
      <c r="F15" s="52">
        <f t="shared" si="0"/>
        <v>9.4978006295972806E-2</v>
      </c>
      <c r="G15" s="52">
        <f t="shared" si="0"/>
        <v>9.4978006295972806E-2</v>
      </c>
      <c r="H15" s="52">
        <f t="shared" si="0"/>
        <v>0.160353576</v>
      </c>
      <c r="I15" s="52">
        <f t="shared" si="0"/>
        <v>0.160353576</v>
      </c>
      <c r="J15" s="52">
        <f t="shared" si="0"/>
        <v>0.160353576</v>
      </c>
      <c r="K15" s="52">
        <f t="shared" si="0"/>
        <v>0.160353576</v>
      </c>
      <c r="L15" s="52">
        <f t="shared" si="0"/>
        <v>0.151947945</v>
      </c>
      <c r="M15" s="52">
        <f t="shared" si="0"/>
        <v>0.151947945</v>
      </c>
      <c r="N15" s="52">
        <f t="shared" si="0"/>
        <v>0.151947945</v>
      </c>
      <c r="O15" s="52">
        <f t="shared" si="0"/>
        <v>0.151947945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pqvSvJxyvIu5IqcMybahvVofjj81tGX4le3+B7r5ID0LaP3B615copxVTrvamet8/7GZIpqqb60X7fTN1mL/g==" saltValue="wVhAj4N3Of372Nf7iafp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0.3332405</v>
      </c>
      <c r="D2" s="53">
        <v>0.18352399999999999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0.48439080000000001</v>
      </c>
      <c r="D3" s="53">
        <v>0.32418390000000002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8.9775800000000003E-2</v>
      </c>
      <c r="D4" s="53">
        <v>0.36902190000000001</v>
      </c>
      <c r="E4" s="53">
        <v>0.56530579999999997</v>
      </c>
      <c r="F4" s="53">
        <v>0.30857899999999999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9.2592900000000089E-2</v>
      </c>
      <c r="D5" s="52">
        <f t="shared" si="0"/>
        <v>0.1232702</v>
      </c>
      <c r="E5" s="52">
        <f>1-SUM(E2:E4)</f>
        <v>0.43469420000000003</v>
      </c>
      <c r="F5" s="52">
        <f>1-SUM(F2:F4)</f>
        <v>0.69142100000000006</v>
      </c>
      <c r="G5" s="52">
        <f>1-SUM(G2:G4)</f>
        <v>1</v>
      </c>
    </row>
  </sheetData>
  <sheetProtection algorithmName="SHA-512" hashValue="NrVXxPTH4NWjBsJsSOHAwn0mj8j++eFjsS+sGb5tzF+RXfpMjOvWsbJ1KqvHodb+8wmRmhyOq4cU88AiG656Jw==" saltValue="+SXixC6oZpHTB4rY0n6ku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pDCdIvuFhfx419nyLYxU1q7r12Buyw5z8E2YoJttwnJbAoOoSmp7c5KqY20vFW/amV0G8BEhOLZbP7M/wDEwQ==" saltValue="gN8JC/pGiHAPGYscwXM7H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4533.9755859375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0.48555999999999999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0.61699999999999999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1.7321538197112404E-2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99105.197249999997</v>
      </c>
      <c r="C22" s="107">
        <v>99029.366110000003</v>
      </c>
      <c r="D22" s="107">
        <v>98935.621199999994</v>
      </c>
      <c r="E22" s="107">
        <v>98692.318499999994</v>
      </c>
      <c r="F22" s="107">
        <v>98317.24209</v>
      </c>
      <c r="G22" s="107">
        <v>97710.435840000006</v>
      </c>
      <c r="H22" s="107">
        <v>96693.658739999999</v>
      </c>
      <c r="I22" s="107">
        <v>95151.748430000007</v>
      </c>
      <c r="J22" s="107">
        <v>92928.720809999999</v>
      </c>
      <c r="K22" s="107">
        <v>90044.375150000007</v>
      </c>
      <c r="L22" s="107">
        <v>86272.903250000003</v>
      </c>
      <c r="M22" s="107">
        <v>81345.712729999999</v>
      </c>
      <c r="N22" s="107">
        <v>74599.238939999996</v>
      </c>
      <c r="O22" s="107">
        <v>65741.880050000007</v>
      </c>
    </row>
  </sheetData>
  <sheetProtection algorithmName="SHA-512" hashValue="9pKNYer7SHmUG7RD3OqKohSvkaYKUrYFqRDlPMypCQmUIJvRmgvKQ9T8JspvS7PgdODeA+7rXOphGFMUMrQEHQ==" saltValue="ArDdBPGrC5ARhXWPfNg0A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KG+tr4G/X4FAQAOpbsjOIXB20/68otaLXU9gCJ9Xdgx1Ekd1MocvS+wZHzEGPySyN3CHID4NPgAz6bVyk0tucQ==" saltValue="dFh/YdBQFr+P9S8jqYnoq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594OmIRPjxjbTInhOJoNqpV/1aaKuRW2Ck66KzXKNUbC2aREE6NdhYj/cz8T+eTqbV9bzzpT1BbQ2hJQoe2qNA==" saltValue="fBmmaBMYZR0ADkDMcISL6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3.4021799999999998E-2</v>
      </c>
      <c r="C10" s="96">
        <v>0.95</v>
      </c>
      <c r="D10" s="56">
        <v>13.70995814776825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13.70995814776825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13.70995814776825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13.70995814776825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3.4021799999999998E-2</v>
      </c>
      <c r="C14" s="96">
        <v>0.95</v>
      </c>
      <c r="D14" s="56">
        <v>13.70995814776825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13.70995814776825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0.41105120000000001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0.18352399999999999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0.18352399999999999</v>
      </c>
      <c r="C19" s="96">
        <v>0.95</v>
      </c>
      <c r="D19" s="56">
        <v>5.0978270834575747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4.5674458261497017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0.70703173875388003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3.4021799999999998E-2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0.59233060000000004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0.58499999999999996</v>
      </c>
      <c r="C29" s="96">
        <v>0.95</v>
      </c>
      <c r="D29" s="56">
        <v>85.139330298277699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0.27220169999999999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0.62716769999999999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BD9u4Sp+taVlP6DYoGSeKwb9MyUs5YG51HuvgjFnL2q4z9N8craljaPFpBNz+En0WRBMY7Llb44MGVUDw2ouBw==" saltValue="wYgTUTn0x2nPgXVrimtD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4Qhd0sVw8Z5InDrtrLFh9G/uOiPO2BwQzgDK3gvyNSIbPWAM8jYURp0wBqb6VbgH46DXw/Ra1WSUuaXw8Dqnnw==" saltValue="I1PDy/j7bP5BBDEJ8Gtqj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xpxwkhYprgD9mGvjrvBHSSkiguIvVVoJOxF0yxLGMQd9VgZygb5/9CZNzjQJsQ6fYC9o+CLNrgr9bOYPaQEGQ==" saltValue="hW5OTHzHVb7K8Y6XHbkLw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237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sheetProtection algorithmName="SHA-512" hashValue="nSoewL9owiTcW4aO+pjC6mbEGnfXf7cplowJ/1sH8vFq44WKpbVJTCDOG+hn/o8hnmsqy8r+Nfprw0OBG43Jng==" saltValue="clceAd9Rkw7hNyCGDJm5y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0.32</v>
      </c>
      <c r="M24" s="60">
        <f>famplan_unmet_need</f>
        <v>0.32</v>
      </c>
      <c r="N24" s="60">
        <f>famplan_unmet_need</f>
        <v>0.32</v>
      </c>
      <c r="O24" s="60">
        <f>famplan_unmet_need</f>
        <v>0.32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6.553442783355734E-2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2.8086183357238864E-2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3.9552377700805795E-2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0.86682701110839799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ZqcWjOwdpIZBkua7/hCI7Ssk3CmG3YERcKPBsNglT+/mw7fSeof5lesZ/keEK52cAtXYX4MzQLsASanRxfxkw==" saltValue="zFgzxsoAlw8IcpO2VCp43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UXviEPfnHfjV+dQdfdSQhbwZ1WCdry9mNY3yJuUGzl8vuRFkFfJ5GA1UE1vmVKlZ7GdtzMbdBxhebWNk6kbNdw==" saltValue="f2iWcSGPmcQ6Q+NSVhJZE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abl3MKQE3RJiyvTMOpQttuadowDjLJR2Zcp3DpNcbqlp8hhn+hdq6sRR/EVY9CEEOkNsj5kRsRQOaZyNlkgBw==" saltValue="OEl9znGXy4RcA7ijVe516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eKdu4ig93c4uIq8PMR0cpt3dOK7hYBisHw8dA0B71h+7Zo3PiVYyc83UtgbjPWstqkFqW/HOQVQpOcUcrWW7A==" saltValue="UkvJGGs9p91zSUbYeQtd5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j3zv+AcqjIkAUwwVe5A6dvEqzZpZ+BmB8VgZvrv0UAEnjWVufQAXGl6u8v/6izVsNo8ZmG8DU5anTU3PlRyLXQ==" saltValue="aEP7dv26j3gLhGxNhDg69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k8LPgSBRNR4LzObrX9AVgPe5hcBKnL/c0Byv9BjxdeU7CkfCpn+MgYHv4blrgWfabC7St6BwxL36M6z6dugGOQ==" saltValue="FaO18sSfptELgxLHYiW5N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5VexXMih1ulaSZosHvBJ1gSdiweyAWH+1HfVIjiM6EGF/TDfI+ob4TPAFd/ezD1I3f0Bsd0FEknrIxpFL6s+g==" saltValue="Q+T7VczpUzcHCZLKIoWIz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Idd8rok2UkgMsk7TthL6y2N9iT9X5T3zgJG2nGWGrB14EBG0BhN6DqFgRS0NEY+CeeWaOjIwW4cisyPhHUf9nw==" saltValue="sAG41+qamYCt3Bbl2Erb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7i4EnyeK3RNTyJ37+tK0GK1B+wf3R3PjaR06SlKO/pZl7GbavL8WjHUHXHdMw6hRlbImz05xPTVg7Ol+ZbFVsg==" saltValue="WWlolS06JYbD/L6mN4f1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QNWa3JsUhv6FHl+ehqjotiuTO13FowDTLrwjcFcdhZ57l+g67T8R9zIviIn4548e3DVHgBNFrgBFEr7KMd17g==" saltValue="QPxItpMrRxuj8k67yrCj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WiqrEwZ/f846tWg0iGZYZIiVnnDeuZ2c0PovUQMfy85sKZyw/6ykqdFuInNDKEUzE3vGkhr7lbmWFymDcLIGA==" saltValue="4jzFrFXdmMzo9/CwxgsT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6pxI6Sfb4bKkTiOXO2A6ltQpIFAdS/wtHoRpreMJyLuj9vMVhloDr2kKUS2WrIvfhrUUcCF4YJDmPUFA7mVRMw==" saltValue="HseZFa7AwPy+lu7iGrTe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7qzWBWfPPrkUiwB0Yj+P/Eo98dISOXx7wpgCoGGknaPrSXGk+VZkAEdm/0MGlXC8EukjoQk0k2sJekq0YbZww==" saltValue="5e5NSk7bRnQxjMG8nQYD3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5mXOp4CsL5fWsGheNqECesY0DomSevxQ9TvDNbtluxKSCb496+4BFQsj2biuOOUPDpxkgDYwVvsFVlRqVikd4A==" saltValue="4dx2rwzLeigChTwSJNo7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bwheAoQ77HQ3xFk0A84T4loh2j+Nkc/2HoNhSnaKwdszhAg+d+syX4PwsHMgSg9E7KH9Tco3TGeOpM+uxuOHrQ==" saltValue="6xqn/7WgvSV0E+PaMMySC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2026-04-29T07:49:31Z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