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640A0ADF-4C52-4966-A314-1C64DDBADBA2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<sst xmlns="http://schemas.openxmlformats.org/spreadsheetml/2006/main" count="2102" uniqueCount="337">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</sst>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1263402.15625</v>
      </c>
    </row>
    <row r="8" spans="1:3" ht="15" customHeight="1" x14ac:dyDescent="0.25">
      <c r="B8" s="5" t="s">
        <v>19</v>
      </c>
      <c r="C8" s="44">
        <v>4.8000000000000001E-2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0.78182266235351605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0.49199999999999999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8.7300000000000003E-2</v>
      </c>
    </row>
    <row r="24" spans="1:3" ht="15" customHeight="1" x14ac:dyDescent="0.25">
      <c r="B24" s="15" t="s">
        <v>33</v>
      </c>
      <c r="C24" s="45">
        <v>0.59660000000000002</v>
      </c>
    </row>
    <row r="25" spans="1:3" ht="15" customHeight="1" x14ac:dyDescent="0.25">
      <c r="B25" s="15" t="s">
        <v>34</v>
      </c>
      <c r="C25" s="45">
        <v>0.28710000000000002</v>
      </c>
    </row>
    <row r="26" spans="1:3" ht="15" customHeight="1" x14ac:dyDescent="0.25">
      <c r="B26" s="15" t="s">
        <v>35</v>
      </c>
      <c r="C26" s="45">
        <v>2.9000000000000001E-2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0.32097876330389902</v>
      </c>
    </row>
    <row r="30" spans="1:3" ht="14.25" customHeight="1" x14ac:dyDescent="0.25">
      <c r="B30" s="25" t="s">
        <v>38</v>
      </c>
      <c r="C30" s="99">
        <v>0.11435649369624799</v>
      </c>
    </row>
    <row r="31" spans="1:3" ht="14.25" customHeight="1" x14ac:dyDescent="0.25">
      <c r="B31" s="25" t="s">
        <v>39</v>
      </c>
      <c r="C31" s="99">
        <v>0.128931423055959</v>
      </c>
    </row>
    <row r="32" spans="1:3" ht="14.25" customHeight="1" x14ac:dyDescent="0.25">
      <c r="B32" s="25" t="s">
        <v>40</v>
      </c>
      <c r="C32" s="99">
        <v>0.43573331994389503</v>
      </c>
    </row>
    <row r="33" spans="1:5" ht="13" customHeight="1" x14ac:dyDescent="0.25">
      <c r="B33" s="27" t="s">
        <v>41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13.569990000000001</v>
      </c>
    </row>
    <row r="38" spans="1:5" ht="15" customHeight="1" x14ac:dyDescent="0.25">
      <c r="B38" s="11" t="s">
        <v>45</v>
      </c>
      <c r="C38" s="43">
        <v>27.63936</v>
      </c>
      <c r="D38" s="12"/>
      <c r="E38" s="13"/>
    </row>
    <row r="39" spans="1:5" ht="15" customHeight="1" x14ac:dyDescent="0.25">
      <c r="B39" s="11" t="s">
        <v>46</v>
      </c>
      <c r="C39" s="43">
        <v>31.419</v>
      </c>
      <c r="D39" s="12"/>
      <c r="E39" s="12"/>
    </row>
    <row r="40" spans="1:5" ht="15" customHeight="1" x14ac:dyDescent="0.25">
      <c r="B40" s="11" t="s">
        <v>47</v>
      </c>
      <c r="C40" s="100">
        <v>0.17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5.9144999999999996E-3</v>
      </c>
      <c r="D45" s="12"/>
    </row>
    <row r="46" spans="1:5" ht="15.75" customHeight="1" x14ac:dyDescent="0.25">
      <c r="B46" s="11" t="s">
        <v>52</v>
      </c>
      <c r="C46" s="45">
        <v>6.3550899999999994E-2</v>
      </c>
      <c r="D46" s="12"/>
    </row>
    <row r="47" spans="1:5" ht="15.75" customHeight="1" x14ac:dyDescent="0.25">
      <c r="B47" s="11" t="s">
        <v>53</v>
      </c>
      <c r="C47" s="45">
        <v>7.5376799999999994E-2</v>
      </c>
      <c r="D47" s="12"/>
      <c r="E47" s="13"/>
    </row>
    <row r="48" spans="1:5" ht="15" customHeight="1" x14ac:dyDescent="0.25">
      <c r="B48" s="11" t="s">
        <v>54</v>
      </c>
      <c r="C48" s="46">
        <v>0.85515780000000008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0.58725400000000005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5.6252946999999998E-2</v>
      </c>
    </row>
    <row r="63" spans="1:4" ht="15.75" customHeight="1" x14ac:dyDescent="0.3">
      <c r="A63" s="4"/>
    </row>
  </sheetData>
  <sheetProtection algorithmName="SHA-512" hashValue="Hr/uKe8UwP9L5ggTOb9le01+RSXr/0GUCg0a9aiLk531EhHoMTFpSRK4BWAH9po1HfRrfZbz62GXBR+WWicn9A==" saltValue="moQADb2fx7WXavx1wxzT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255447</v>
      </c>
      <c r="C2" s="49">
        <v>573742</v>
      </c>
      <c r="D2" s="49">
        <v>837671</v>
      </c>
      <c r="E2" s="49">
        <v>783489.5</v>
      </c>
      <c r="F2" s="49">
        <v>441391</v>
      </c>
      <c r="G2" s="17">
        <f t="shared" ref="G2:G13" si="0">C2+D2+E2+F2</f>
        <v>2636293.5</v>
      </c>
      <c r="H2" s="17">
        <f t="shared" ref="H2:H13" si="1">(B2 + stillbirth*B2/(1000-stillbirth))/(1-abortion)</f>
        <v>292955.358381094</v>
      </c>
      <c r="I2" s="17">
        <f t="shared" ref="I2:I13" si="2">G2-H2</f>
        <v>2343338.1416189061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253441</v>
      </c>
      <c r="C3" s="50">
        <v>596506</v>
      </c>
      <c r="D3" s="50">
        <v>836095.00000000012</v>
      </c>
      <c r="E3" s="50">
        <v>796858.5</v>
      </c>
      <c r="F3" s="50">
        <v>459573</v>
      </c>
      <c r="G3" s="17">
        <f t="shared" si="0"/>
        <v>2689032.5</v>
      </c>
      <c r="H3" s="17">
        <f t="shared" si="1"/>
        <v>290654.80895631132</v>
      </c>
      <c r="I3" s="17">
        <f t="shared" si="2"/>
        <v>2398377.6910436889</v>
      </c>
    </row>
    <row r="4" spans="1:9" ht="15.75" customHeight="1" x14ac:dyDescent="0.25">
      <c r="A4" s="5">
        <f t="shared" si="3"/>
        <v>2026</v>
      </c>
      <c r="B4" s="49">
        <v>252625</v>
      </c>
      <c r="C4" s="50">
        <v>620504.5</v>
      </c>
      <c r="D4" s="50">
        <v>837810.5</v>
      </c>
      <c r="E4" s="50">
        <v>803385.5</v>
      </c>
      <c r="F4" s="50">
        <v>481907</v>
      </c>
      <c r="G4" s="17">
        <f t="shared" si="0"/>
        <v>2743607.5</v>
      </c>
      <c r="H4" s="17">
        <f t="shared" si="1"/>
        <v>289718.99224114546</v>
      </c>
      <c r="I4" s="17">
        <f t="shared" si="2"/>
        <v>2453888.5077588544</v>
      </c>
    </row>
    <row r="5" spans="1:9" ht="15.75" customHeight="1" x14ac:dyDescent="0.25">
      <c r="A5" s="5">
        <f t="shared" si="3"/>
        <v>2027</v>
      </c>
      <c r="B5" s="49">
        <v>251739</v>
      </c>
      <c r="C5" s="50">
        <v>644560</v>
      </c>
      <c r="D5" s="50">
        <v>844390</v>
      </c>
      <c r="E5" s="50">
        <v>804429</v>
      </c>
      <c r="F5" s="50">
        <v>508581.5</v>
      </c>
      <c r="G5" s="17">
        <f t="shared" si="0"/>
        <v>2801960.5</v>
      </c>
      <c r="H5" s="17">
        <f t="shared" si="1"/>
        <v>288702.89713129622</v>
      </c>
      <c r="I5" s="17">
        <f t="shared" si="2"/>
        <v>2513257.6028687037</v>
      </c>
    </row>
    <row r="6" spans="1:9" ht="15.75" customHeight="1" x14ac:dyDescent="0.25">
      <c r="A6" s="5">
        <f t="shared" si="3"/>
        <v>2028</v>
      </c>
      <c r="B6" s="49">
        <v>252257</v>
      </c>
      <c r="C6" s="50">
        <v>668044.5</v>
      </c>
      <c r="D6" s="50">
        <v>854149</v>
      </c>
      <c r="E6" s="50">
        <v>804928</v>
      </c>
      <c r="F6" s="50">
        <v>537456.5</v>
      </c>
      <c r="G6" s="17">
        <f t="shared" si="0"/>
        <v>2864578</v>
      </c>
      <c r="H6" s="17">
        <f t="shared" si="1"/>
        <v>289296.95725195302</v>
      </c>
      <c r="I6" s="17">
        <f t="shared" si="2"/>
        <v>2575281.042748047</v>
      </c>
    </row>
    <row r="7" spans="1:9" ht="15.75" customHeight="1" x14ac:dyDescent="0.25">
      <c r="A7" s="5">
        <f t="shared" si="3"/>
        <v>2029</v>
      </c>
      <c r="B7" s="49">
        <v>255381</v>
      </c>
      <c r="C7" s="50">
        <v>689329</v>
      </c>
      <c r="D7" s="50">
        <v>868700.5</v>
      </c>
      <c r="E7" s="50">
        <v>804514</v>
      </c>
      <c r="F7" s="50">
        <v>565873.99999999988</v>
      </c>
      <c r="G7" s="17">
        <f t="shared" si="0"/>
        <v>2928417.5</v>
      </c>
      <c r="H7" s="17">
        <f t="shared" si="1"/>
        <v>292879.66732324974</v>
      </c>
      <c r="I7" s="17">
        <f t="shared" si="2"/>
        <v>2635537.8326767501</v>
      </c>
    </row>
    <row r="8" spans="1:9" ht="15.75" customHeight="1" x14ac:dyDescent="0.25">
      <c r="A8" s="5">
        <f t="shared" si="3"/>
        <v>2030</v>
      </c>
      <c r="B8" s="49">
        <v>258575</v>
      </c>
      <c r="C8" s="50">
        <v>706127.49999999988</v>
      </c>
      <c r="D8" s="50">
        <v>888690</v>
      </c>
      <c r="E8" s="50">
        <v>802347</v>
      </c>
      <c r="F8" s="50">
        <v>593078.5</v>
      </c>
      <c r="G8" s="17">
        <f t="shared" si="0"/>
        <v>2990243</v>
      </c>
      <c r="H8" s="17">
        <f t="shared" si="1"/>
        <v>296542.65578922979</v>
      </c>
      <c r="I8" s="17">
        <f t="shared" si="2"/>
        <v>2693700.34421077</v>
      </c>
    </row>
    <row r="9" spans="1:9" ht="15.75" customHeight="1" x14ac:dyDescent="0.25">
      <c r="A9" s="5">
        <f t="shared" si="3"/>
        <v>2031</v>
      </c>
      <c r="B9" s="49">
        <v>262203</v>
      </c>
      <c r="C9" s="50">
        <v>717009.5</v>
      </c>
      <c r="D9" s="50">
        <v>912325</v>
      </c>
      <c r="E9" s="50">
        <v>800716.5</v>
      </c>
      <c r="F9" s="50">
        <v>619196.5</v>
      </c>
      <c r="G9" s="17">
        <f t="shared" si="0"/>
        <v>3049247.5</v>
      </c>
      <c r="H9" s="17">
        <f t="shared" si="1"/>
        <v>300703.37030224665</v>
      </c>
      <c r="I9" s="17">
        <f t="shared" si="2"/>
        <v>2748544.1296977531</v>
      </c>
    </row>
    <row r="10" spans="1:9" ht="15.75" customHeight="1" x14ac:dyDescent="0.25">
      <c r="A10" s="5">
        <f t="shared" si="3"/>
        <v>2032</v>
      </c>
      <c r="B10" s="49">
        <v>266902</v>
      </c>
      <c r="C10" s="50">
        <v>724570.49999999988</v>
      </c>
      <c r="D10" s="50">
        <v>938928.5</v>
      </c>
      <c r="E10" s="50">
        <v>800506.5</v>
      </c>
      <c r="F10" s="50">
        <v>642799.5</v>
      </c>
      <c r="G10" s="17">
        <f t="shared" si="0"/>
        <v>3106805</v>
      </c>
      <c r="H10" s="17">
        <f t="shared" si="1"/>
        <v>306092.34425391868</v>
      </c>
      <c r="I10" s="17">
        <f t="shared" si="2"/>
        <v>2800712.6557460814</v>
      </c>
    </row>
    <row r="11" spans="1:9" ht="15.75" customHeight="1" x14ac:dyDescent="0.25">
      <c r="A11" s="5">
        <f t="shared" si="3"/>
        <v>2033</v>
      </c>
      <c r="B11" s="49">
        <v>271623</v>
      </c>
      <c r="C11" s="50">
        <v>730548</v>
      </c>
      <c r="D11" s="50">
        <v>968996.5</v>
      </c>
      <c r="E11" s="50">
        <v>800717</v>
      </c>
      <c r="F11" s="50">
        <v>662247.5</v>
      </c>
      <c r="G11" s="17">
        <f t="shared" si="0"/>
        <v>3162509</v>
      </c>
      <c r="H11" s="17">
        <f t="shared" si="1"/>
        <v>311506.54855820548</v>
      </c>
      <c r="I11" s="17">
        <f t="shared" si="2"/>
        <v>2851002.4514417946</v>
      </c>
    </row>
    <row r="12" spans="1:9" ht="15.75" customHeight="1" x14ac:dyDescent="0.25">
      <c r="A12" s="5">
        <f t="shared" si="3"/>
        <v>2034</v>
      </c>
      <c r="B12" s="49">
        <v>276512</v>
      </c>
      <c r="C12" s="50">
        <v>733294.5</v>
      </c>
      <c r="D12" s="50">
        <v>1002247</v>
      </c>
      <c r="E12" s="50">
        <v>799797.50000000012</v>
      </c>
      <c r="F12" s="50">
        <v>677290</v>
      </c>
      <c r="G12" s="17">
        <f t="shared" si="0"/>
        <v>3212629</v>
      </c>
      <c r="H12" s="17">
        <f t="shared" si="1"/>
        <v>317113.42100973224</v>
      </c>
      <c r="I12" s="17">
        <f t="shared" si="2"/>
        <v>2895515.5789902676</v>
      </c>
    </row>
    <row r="13" spans="1:9" ht="15.75" customHeight="1" x14ac:dyDescent="0.25">
      <c r="A13" s="5">
        <f t="shared" si="3"/>
        <v>2035</v>
      </c>
      <c r="B13" s="49">
        <v>279902</v>
      </c>
      <c r="C13" s="50">
        <v>732541</v>
      </c>
      <c r="D13" s="50">
        <v>1037066.5</v>
      </c>
      <c r="E13" s="50">
        <v>798364.49999999988</v>
      </c>
      <c r="F13" s="50">
        <v>688876.5</v>
      </c>
      <c r="G13" s="17">
        <f t="shared" si="0"/>
        <v>3256848.5</v>
      </c>
      <c r="H13" s="17">
        <f t="shared" si="1"/>
        <v>321001.18898082571</v>
      </c>
      <c r="I13" s="17">
        <f t="shared" si="2"/>
        <v>2935847.3110191743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iZuYnKOakQwxElqP0IaRbVSA9KHEmkkAFXRYbCMSZohg9L+H7mkJIXoHmXDQnQuMpnODUzLVALOsF4uZrWhmAA==" saltValue="4nR0xbywS0fpfm2HdTMw3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3.0741955489755001E-3</v>
      </c>
    </row>
    <row r="4" spans="1:8" ht="15.75" customHeight="1" x14ac:dyDescent="0.25">
      <c r="B4" s="19" t="s">
        <v>79</v>
      </c>
      <c r="C4" s="101">
        <v>4.5714087306233192E-2</v>
      </c>
    </row>
    <row r="5" spans="1:8" ht="15.75" customHeight="1" x14ac:dyDescent="0.25">
      <c r="B5" s="19" t="s">
        <v>80</v>
      </c>
      <c r="C5" s="101">
        <v>6.2934905662831719E-2</v>
      </c>
    </row>
    <row r="6" spans="1:8" ht="15.75" customHeight="1" x14ac:dyDescent="0.25">
      <c r="B6" s="19" t="s">
        <v>81</v>
      </c>
      <c r="C6" s="101">
        <v>0.20706367546229029</v>
      </c>
    </row>
    <row r="7" spans="1:8" ht="15.75" customHeight="1" x14ac:dyDescent="0.25">
      <c r="B7" s="19" t="s">
        <v>82</v>
      </c>
      <c r="C7" s="101">
        <v>0.45319363919792882</v>
      </c>
    </row>
    <row r="8" spans="1:8" ht="15.75" customHeight="1" x14ac:dyDescent="0.25">
      <c r="B8" s="19" t="s">
        <v>83</v>
      </c>
      <c r="C8" s="101">
        <v>3.9374278179925862E-4</v>
      </c>
    </row>
    <row r="9" spans="1:8" ht="15.75" customHeight="1" x14ac:dyDescent="0.25">
      <c r="B9" s="19" t="s">
        <v>84</v>
      </c>
      <c r="C9" s="101">
        <v>0.12922187821010439</v>
      </c>
    </row>
    <row r="10" spans="1:8" ht="15.75" customHeight="1" x14ac:dyDescent="0.25">
      <c r="B10" s="19" t="s">
        <v>85</v>
      </c>
      <c r="C10" s="101">
        <v>9.8403875829836771E-2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88</v>
      </c>
      <c r="C15" s="101">
        <v>0.40822241936014758</v>
      </c>
      <c r="D15" s="101">
        <v>0.40822241936014758</v>
      </c>
      <c r="E15" s="101">
        <v>0.40822241936014758</v>
      </c>
      <c r="F15" s="101">
        <v>0.40822241936014758</v>
      </c>
    </row>
    <row r="16" spans="1:8" ht="15.75" customHeight="1" x14ac:dyDescent="0.25">
      <c r="B16" s="19" t="s">
        <v>89</v>
      </c>
      <c r="C16" s="101">
        <v>2.46705865376926E-2</v>
      </c>
      <c r="D16" s="101">
        <v>2.46705865376926E-2</v>
      </c>
      <c r="E16" s="101">
        <v>2.46705865376926E-2</v>
      </c>
      <c r="F16" s="101">
        <v>2.46705865376926E-2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9.4156144041897885E-3</v>
      </c>
      <c r="D19" s="101">
        <v>9.4156144041897885E-3</v>
      </c>
      <c r="E19" s="101">
        <v>9.4156144041897885E-3</v>
      </c>
      <c r="F19" s="101">
        <v>9.4156144041897885E-3</v>
      </c>
    </row>
    <row r="20" spans="1:8" ht="15.75" customHeight="1" x14ac:dyDescent="0.25">
      <c r="B20" s="19" t="s">
        <v>93</v>
      </c>
      <c r="C20" s="101">
        <v>1.6199682475618121E-2</v>
      </c>
      <c r="D20" s="101">
        <v>1.6199682475618121E-2</v>
      </c>
      <c r="E20" s="101">
        <v>1.6199682475618121E-2</v>
      </c>
      <c r="F20" s="101">
        <v>1.6199682475618121E-2</v>
      </c>
    </row>
    <row r="21" spans="1:8" ht="15.75" customHeight="1" x14ac:dyDescent="0.25">
      <c r="B21" s="19" t="s">
        <v>94</v>
      </c>
      <c r="C21" s="101">
        <v>0.20382368632032299</v>
      </c>
      <c r="D21" s="101">
        <v>0.20382368632032299</v>
      </c>
      <c r="E21" s="101">
        <v>0.20382368632032299</v>
      </c>
      <c r="F21" s="101">
        <v>0.20382368632032299</v>
      </c>
    </row>
    <row r="22" spans="1:8" ht="15.75" customHeight="1" x14ac:dyDescent="0.25">
      <c r="B22" s="19" t="s">
        <v>95</v>
      </c>
      <c r="C22" s="101">
        <v>0.17436080328209949</v>
      </c>
      <c r="D22" s="101">
        <v>0.17436080328209949</v>
      </c>
      <c r="E22" s="101">
        <v>0.17436080328209949</v>
      </c>
      <c r="F22" s="101">
        <v>0.17436080328209949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5.4573182999999997E-2</v>
      </c>
    </row>
    <row r="27" spans="1:8" ht="15.75" customHeight="1" x14ac:dyDescent="0.25">
      <c r="B27" s="19" t="s">
        <v>102</v>
      </c>
      <c r="C27" s="101">
        <v>5.9409878999999999E-2</v>
      </c>
    </row>
    <row r="28" spans="1:8" ht="15.75" customHeight="1" x14ac:dyDescent="0.25">
      <c r="B28" s="19" t="s">
        <v>103</v>
      </c>
      <c r="C28" s="101">
        <v>0.12098242100000001</v>
      </c>
    </row>
    <row r="29" spans="1:8" ht="15.75" customHeight="1" x14ac:dyDescent="0.25">
      <c r="B29" s="19" t="s">
        <v>104</v>
      </c>
      <c r="C29" s="101">
        <v>0.13495797500000001</v>
      </c>
    </row>
    <row r="30" spans="1:8" ht="15.75" customHeight="1" x14ac:dyDescent="0.25">
      <c r="B30" s="19" t="s">
        <v>2</v>
      </c>
      <c r="C30" s="101">
        <v>8.1454253000000018E-2</v>
      </c>
    </row>
    <row r="31" spans="1:8" ht="15.75" customHeight="1" x14ac:dyDescent="0.25">
      <c r="B31" s="19" t="s">
        <v>105</v>
      </c>
      <c r="C31" s="101">
        <v>6.5903797E-2</v>
      </c>
    </row>
    <row r="32" spans="1:8" ht="15.75" customHeight="1" x14ac:dyDescent="0.25">
      <c r="B32" s="19" t="s">
        <v>106</v>
      </c>
      <c r="C32" s="101">
        <v>0.13216685</v>
      </c>
    </row>
    <row r="33" spans="2:3" ht="15.75" customHeight="1" x14ac:dyDescent="0.25">
      <c r="B33" s="19" t="s">
        <v>107</v>
      </c>
      <c r="C33" s="101">
        <v>0.12743632599999999</v>
      </c>
    </row>
    <row r="34" spans="2:3" ht="15.75" customHeight="1" x14ac:dyDescent="0.25">
      <c r="B34" s="19" t="s">
        <v>108</v>
      </c>
      <c r="C34" s="101">
        <v>0.22311531600000001</v>
      </c>
    </row>
    <row r="35" spans="2:3" ht="15.75" customHeight="1" x14ac:dyDescent="0.25">
      <c r="B35" s="27" t="s">
        <v>41</v>
      </c>
      <c r="C35" s="48">
        <f>SUM(C26:C34)</f>
        <v>1</v>
      </c>
    </row>
  </sheetData>
  <sheetProtection algorithmName="SHA-512" hashValue="FL1+eM0qcN7vsL6PTKc9Nrl3C7rdPXRG+/lnVb4+bqlNyX4bln6MxHpXViNq6Z0p32qeYH4+54haRHm08sOSsQ==" saltValue="8yOTJWXRMAjx3vPz/8bvNA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114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115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119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120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0.50674149000000002</v>
      </c>
      <c r="D14" s="54">
        <v>0.482549529468</v>
      </c>
      <c r="E14" s="54">
        <v>0.482549529468</v>
      </c>
      <c r="F14" s="54">
        <v>0.36602033348399998</v>
      </c>
      <c r="G14" s="54">
        <v>0.36602033348399998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0.29758596696846001</v>
      </c>
      <c r="D15" s="52">
        <f t="shared" si="0"/>
        <v>0.28337914137820092</v>
      </c>
      <c r="E15" s="52">
        <f t="shared" si="0"/>
        <v>0.28337914137820092</v>
      </c>
      <c r="F15" s="52">
        <f t="shared" si="0"/>
        <v>0.21494690491981294</v>
      </c>
      <c r="G15" s="52">
        <f t="shared" si="0"/>
        <v>0.21494690491981294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ODHZhflEbR1mL5GAr3lHJ0g1dxvklgreNubLhxyam8G5Z1U5IE6/qdH30FOJlblzYJ4Z1ySGeHhjlJ7e9X/vrQ==" saltValue="wAqnbCuGJP71wRBbYc/8A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132</v>
      </c>
      <c r="C5" s="52">
        <v>5.6723700000000002E-2</v>
      </c>
      <c r="D5" s="52">
        <v>4.6961899999999987E-2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SPEpQu6FmDBYfyjuLo37gLz3Bd+KAH45+xpHTZfR/sArq1VFLQDybIIGwAzyxBX3EDtMxQB+zEv9enixUSzApg==" saltValue="P7ucYLv4htikq3zKNq3ju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bahDshxvhm7wJANSBDxexPwDOhMThgfTCsd3Zjx4gVkSaUhqn7l0ufUerprHf/dIokBN+sV9JYhiz1oym5qNQ==" saltValue="4RZ2+FsC5j8IH9eFRISSX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x14ac:dyDescent="0.25">
      <c r="A2" s="8" t="s">
        <v>145</v>
      </c>
      <c r="B2" s="41">
        <v>10</v>
      </c>
    </row>
    <row r="3" spans="1:2" x14ac:dyDescent="0.25">
      <c r="A3" s="8" t="s">
        <v>150</v>
      </c>
      <c r="B3" s="41">
        <v>10</v>
      </c>
    </row>
    <row r="4" spans="1:2" x14ac:dyDescent="0.25">
      <c r="A4" s="8" t="s">
        <v>146</v>
      </c>
      <c r="B4" s="41">
        <v>10</v>
      </c>
    </row>
    <row r="5" spans="1:2" x14ac:dyDescent="0.25">
      <c r="A5" s="8" t="s">
        <v>147</v>
      </c>
      <c r="B5" s="41">
        <v>10</v>
      </c>
    </row>
    <row r="6" spans="1:2" x14ac:dyDescent="0.25">
      <c r="A6" s="8" t="s">
        <v>148</v>
      </c>
      <c r="B6" s="41">
        <v>10</v>
      </c>
    </row>
    <row r="7" spans="1:2" x14ac:dyDescent="0.25">
      <c r="A7" s="8" t="s">
        <v>149</v>
      </c>
      <c r="B7" s="41">
        <v>10</v>
      </c>
    </row>
  </sheetData>
  <sheetProtection algorithmName="SHA-512" hashValue="iQ7w4O1mjZgrsAvb4jZKVuJKJAuS6paaysKCrwCfKES+S5P9ZmcCtC8ezWjqdUicdGMjBD/wY6U8smCbhuPqTQ==" saltValue="h+JIAXk/sP0erQlVaZ9ox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x14ac:dyDescent="0.25">
      <c r="B10" s="32" t="s">
        <v>109</v>
      </c>
      <c r="C10" s="47"/>
      <c r="D10" s="47"/>
      <c r="E10" s="38" t="str">
        <f>IF(E$7="","",E$7)</f>
        <v/>
      </c>
    </row>
    <row r="11" spans="1:5" x14ac:dyDescent="0.25">
      <c r="B11" s="32" t="s">
        <v>96</v>
      </c>
      <c r="C11" s="47"/>
      <c r="D11" s="47"/>
      <c r="E11" s="38" t="str">
        <f>IF(E$7="","",E$7)</f>
        <v/>
      </c>
    </row>
    <row r="12" spans="1:5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lbqyp1AVW8VZWlCRV4khJNgClO12BsIt48SPLyRIA8uZkMdCa01OSxfxX0j48CUGdFkn5CZ+tkupS3q8WDlmoA==" saltValue="UnPsuH9KvjtXBqYlwfuGX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OFh7mTvWAd5LPQibR7w2CHSs4wpHTg2qkdztke1DL7YQu1uWnrg80wzMA95Ioe7wtnsKmSG+Cabm90uKBF4IdQ==" saltValue="VXyljAgOdv2zBKKdidWBp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36.673102552348467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0.2297651940206</v>
      </c>
      <c r="C3" s="98">
        <v>0.95</v>
      </c>
      <c r="D3" s="56">
        <v>44.676188346342542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79.584386436751942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2.387299737651758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2.19022E-2</v>
      </c>
      <c r="C10" s="98">
        <v>0.95</v>
      </c>
      <c r="D10" s="56">
        <v>14.201250215462901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2.19022E-2</v>
      </c>
      <c r="C11" s="98">
        <v>0.95</v>
      </c>
      <c r="D11" s="56">
        <v>14.201250215462901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2.19022E-2</v>
      </c>
      <c r="C12" s="98">
        <v>0.95</v>
      </c>
      <c r="D12" s="56">
        <v>14.201250215462901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2.19022E-2</v>
      </c>
      <c r="C13" s="98">
        <v>0.95</v>
      </c>
      <c r="D13" s="56">
        <v>14.201250215462901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2.19022E-2</v>
      </c>
      <c r="C14" s="98">
        <v>0.95</v>
      </c>
      <c r="D14" s="56">
        <v>14.201250215462901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2.19022E-2</v>
      </c>
      <c r="C15" s="98">
        <v>0.95</v>
      </c>
      <c r="D15" s="56">
        <v>14.201250215462901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0.25753549775160939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0.11101765896826001</v>
      </c>
      <c r="C18" s="98">
        <v>0.95</v>
      </c>
      <c r="D18" s="56">
        <v>1.935478791236098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0.96748329999999994</v>
      </c>
      <c r="C19" s="98">
        <v>0.95</v>
      </c>
      <c r="D19" s="56">
        <v>1.935478791236098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0.65150499999999989</v>
      </c>
      <c r="C21" s="98">
        <v>0.95</v>
      </c>
      <c r="D21" s="56">
        <v>21.219202862704289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24.214287028601191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4.6661477823845638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0.84125521627911992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2.19022E-2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20.50942560811496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0.65971046931085997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</v>
      </c>
      <c r="C29" s="98">
        <v>0.95</v>
      </c>
      <c r="D29" s="56">
        <v>64.905462330614313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0.95</v>
      </c>
      <c r="C31" s="98">
        <v>0.95</v>
      </c>
      <c r="D31" s="56">
        <v>1.9667472266035491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0.49558496612235631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0.95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0.22507530000000001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0.61705699999999997</v>
      </c>
      <c r="C38" s="98">
        <v>0.95</v>
      </c>
      <c r="D38" s="56">
        <v>3.0501808176615341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k44n6+PBEVWcRsEyuR+fd1LToo3f5oanspG9NyCDJaadWlwqVhSuGEkejdotxvnD8JMg8rLAu8vRH2HD3pyc/g==" saltValue="ZN0kY5KnuGufrpzF8Wrws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x14ac:dyDescent="0.25">
      <c r="A2" s="57" t="s">
        <v>180</v>
      </c>
      <c r="B2" s="47" t="s">
        <v>190</v>
      </c>
      <c r="C2" s="47"/>
    </row>
    <row r="3" spans="1:3" x14ac:dyDescent="0.25">
      <c r="A3" s="57" t="s">
        <v>181</v>
      </c>
      <c r="B3" s="47" t="s">
        <v>190</v>
      </c>
      <c r="C3" s="47"/>
    </row>
    <row r="4" spans="1:3" x14ac:dyDescent="0.25">
      <c r="A4" s="57" t="s">
        <v>192</v>
      </c>
      <c r="B4" s="47" t="s">
        <v>185</v>
      </c>
      <c r="C4" s="47"/>
    </row>
    <row r="5" spans="1:3" x14ac:dyDescent="0.25">
      <c r="A5" s="57" t="s">
        <v>189</v>
      </c>
      <c r="B5" s="47" t="s">
        <v>185</v>
      </c>
      <c r="C5" s="47"/>
    </row>
    <row r="6" spans="1:3" x14ac:dyDescent="0.25">
      <c r="A6" s="57" t="s">
        <v>192</v>
      </c>
      <c r="B6" s="58" t="s">
        <v>205</v>
      </c>
      <c r="C6" s="58"/>
    </row>
    <row r="7" spans="1:3" x14ac:dyDescent="0.25">
      <c r="A7" s="57" t="s">
        <v>189</v>
      </c>
      <c r="B7" s="58" t="s">
        <v>205</v>
      </c>
      <c r="C7" s="58"/>
    </row>
    <row r="8" spans="1:3" x14ac:dyDescent="0.25">
      <c r="A8" s="57" t="s">
        <v>200</v>
      </c>
      <c r="B8" s="58" t="s">
        <v>205</v>
      </c>
      <c r="C8" s="58"/>
    </row>
    <row r="9" spans="1:3" x14ac:dyDescent="0.25">
      <c r="A9" s="57" t="s">
        <v>193</v>
      </c>
      <c r="B9" s="58" t="s">
        <v>205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QT+zojvY4PfPUaj56b3RAOR5O1J5Qa0hIB8h0mlv2UFG1qnYYk/RGDbB3efGGjhfH/X4W8/iLWX7pRBeckCdw==" saltValue="gX+zfF6AQv4/31RO4v1kX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x14ac:dyDescent="0.25">
      <c r="A2" s="33" t="s">
        <v>172</v>
      </c>
    </row>
    <row r="3" spans="1:1" x14ac:dyDescent="0.25">
      <c r="A3" s="33" t="s">
        <v>182</v>
      </c>
    </row>
    <row r="4" spans="1:1" x14ac:dyDescent="0.25">
      <c r="A4" s="33" t="s">
        <v>186</v>
      </c>
    </row>
    <row r="5" spans="1:1" x14ac:dyDescent="0.25">
      <c r="A5" s="33" t="s">
        <v>194</v>
      </c>
    </row>
    <row r="6" spans="1:1" x14ac:dyDescent="0.25">
      <c r="A6" s="33" t="s">
        <v>195</v>
      </c>
    </row>
    <row r="7" spans="1:1" x14ac:dyDescent="0.25">
      <c r="A7" s="33" t="s">
        <v>196</v>
      </c>
    </row>
    <row r="8" spans="1:1" x14ac:dyDescent="0.25">
      <c r="A8" s="33" t="s">
        <v>197</v>
      </c>
    </row>
    <row r="9" spans="1:1" x14ac:dyDescent="0.25">
      <c r="A9" s="33" t="s">
        <v>198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V70k9gPsNLdktEOUFWk1pwFTWpUzYjIwqzCNoJYdd4u6ad16S1fl8Rd5uMBugjsoZ0KISlsu5eftS/IWodO5Qg==" saltValue="tfvkb8NvbBRJECAYTcCe8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208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sheetProtection algorithmName="SHA-512" hashValue="yhVKAqiNK1wmYvuClnOhUwQ5i4dizPqIOIVUcT1qoqmpmFkQQUA1Qdwwim2yyO7NHbGlsujdjrvp9vGICd/cMw==" saltValue="gHxpdKh4IPzWUooSEVdPC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4.8000000000000001E-2</v>
      </c>
      <c r="E2" s="60">
        <f>food_insecure</f>
        <v>4.8000000000000001E-2</v>
      </c>
      <c r="F2" s="60">
        <f>food_insecure</f>
        <v>4.8000000000000001E-2</v>
      </c>
      <c r="G2" s="60">
        <f>food_insecure</f>
        <v>4.8000000000000001E-2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4.8000000000000001E-2</v>
      </c>
      <c r="F5" s="60">
        <f>food_insecure</f>
        <v>4.8000000000000001E-2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4.8000000000000001E-2</v>
      </c>
      <c r="F8" s="60">
        <f>food_insecure</f>
        <v>4.8000000000000001E-2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4.8000000000000001E-2</v>
      </c>
      <c r="F9" s="60">
        <f>food_insecure</f>
        <v>4.8000000000000001E-2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4.8000000000000001E-2</v>
      </c>
      <c r="I15" s="60">
        <f>food_insecure</f>
        <v>4.8000000000000001E-2</v>
      </c>
      <c r="J15" s="60">
        <f>food_insecure</f>
        <v>4.8000000000000001E-2</v>
      </c>
      <c r="K15" s="60">
        <f>food_insecure</f>
        <v>4.8000000000000001E-2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0.49199999999999999</v>
      </c>
      <c r="M24" s="60">
        <f>famplan_unmet_need</f>
        <v>0.49199999999999999</v>
      </c>
      <c r="N24" s="60">
        <f>famplan_unmet_need</f>
        <v>0.49199999999999999</v>
      </c>
      <c r="O24" s="60">
        <f>famplan_unmet_need</f>
        <v>0.49199999999999999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0.10910612301025369</v>
      </c>
      <c r="M25" s="60">
        <f>(1-food_insecure)*(0.49)+food_insecure*(0.7)</f>
        <v>0.50007999999999997</v>
      </c>
      <c r="N25" s="60">
        <f>(1-food_insecure)*(0.49)+food_insecure*(0.7)</f>
        <v>0.50007999999999997</v>
      </c>
      <c r="O25" s="60">
        <f>(1-food_insecure)*(0.49)+food_insecure*(0.7)</f>
        <v>0.50007999999999997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4.6759767004394437E-2</v>
      </c>
      <c r="M26" s="60">
        <f>(1-food_insecure)*(0.21)+food_insecure*(0.3)</f>
        <v>0.21431999999999998</v>
      </c>
      <c r="N26" s="60">
        <f>(1-food_insecure)*(0.21)+food_insecure*(0.3)</f>
        <v>0.21431999999999998</v>
      </c>
      <c r="O26" s="60">
        <f>(1-food_insecure)*(0.21)+food_insecure*(0.3)</f>
        <v>0.21431999999999998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6.2311447631835805E-2</v>
      </c>
      <c r="M27" s="60">
        <f>(1-food_insecure)*(0.3)</f>
        <v>0.28559999999999997</v>
      </c>
      <c r="N27" s="60">
        <f>(1-food_insecure)*(0.3)</f>
        <v>0.28559999999999997</v>
      </c>
      <c r="O27" s="60">
        <f>(1-food_insecure)*(0.3)</f>
        <v>0.28559999999999997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0.78182266235351605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N0k7+tHozWTTRYRkcCz0pnAvWTxQo8Qx5HJeA56i78f0r02TGURk91jSEXR4aBJoS2VDce3ksGi6tgbJx1isw==" saltValue="9giiyL2C8vmOy3UXghPwy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JZngq5EFZ2g6UC0wDGmzLDgSFcuRuPNTYt/Eo9wpFXF+hDKMRa1BVpqXOSEurm1eN7nFx2waA0unf4Q3PZ8c+A==" saltValue="UFzu5Y/8bM3yMeHZzS9f3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u9X3QZltj3aqFTjR+Q3+sVoQKB9wgzf0jzFnBSLhe+1Ay6FjLmLs/J+QESgHrspz1kJznuhSzIPWJhsf1+8w6A==" saltValue="9R8fUAe0vHkpItKC0xJVp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MYjMKfAVNd6pAbZdFObk8GzrIHhgQtHk+iOZ5qwGUbVvMDDrPgXGfrHz/OkQKlZtQZlTUqRvAIQt7UXDWZRCYQ==" saltValue="2yxC1mTBGN4b4IaK7oQh5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cXXGD11kalpH7sAlAbD/tCwWtXHtFYG0+LXK2HvZxGqC8JMjqlRqrWm67GxtalGHaqLkBjTGI0/fAHsDyQe3cQ==" saltValue="C1tXUtP/2X9KiKcaYGzHJ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sZoUtiD10vSY155R0mSZZTepbubZmOtSHYQC8mDt+ny+khk4rTVDybmHZVsj1taFTj1YxzWfGgovEeJLvkt9pg==" saltValue="2kczQbY+X4HnY6vBhxpKf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109</v>
      </c>
      <c r="C5" s="8" t="s">
        <v>153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154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96</v>
      </c>
      <c r="C8" s="8" t="s">
        <v>153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154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154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109</v>
      </c>
      <c r="C58" s="8" t="s">
        <v>153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154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96</v>
      </c>
      <c r="C61" s="8" t="s">
        <v>153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154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109</v>
      </c>
      <c r="C111" s="8" t="s">
        <v>153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154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96</v>
      </c>
      <c r="C114" s="8" t="s">
        <v>153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154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97</v>
      </c>
      <c r="C117" s="8" t="s">
        <v>153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154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98</v>
      </c>
      <c r="C120" s="8" t="s">
        <v>153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154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154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109</v>
      </c>
      <c r="C128" s="8" t="s">
        <v>153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154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96</v>
      </c>
      <c r="C131" s="8" t="s">
        <v>153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154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97</v>
      </c>
      <c r="C134" s="8" t="s">
        <v>153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154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98</v>
      </c>
      <c r="C137" s="8" t="s">
        <v>153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154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154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109</v>
      </c>
      <c r="C145" s="8" t="s">
        <v>153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154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96</v>
      </c>
      <c r="C148" s="8" t="s">
        <v>153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154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97</v>
      </c>
      <c r="C151" s="8" t="s">
        <v>153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154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98</v>
      </c>
      <c r="C154" s="8" t="s">
        <v>153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154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TggghdGfNysT00q4QvXtJ89yQyexFsQXrL7REGqBzmrjjmT0xzGqJLqChvQUiMLJLcaMS2scJHWPjcYbB33P3g==" saltValue="vKmgjXgcGfn7LWBoO0Ji5g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OVX3khQS4hyFQiI6+tFqOO/JqRWxGWY+joFT+nP1ZvR0VL7nX2QgUHadxL6MNsyNpvp9eRtWccd6vE6mdOaFQ==" saltValue="JnmPCRutQU2MkS4fkAxnB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nI6aKBxvHIAjpuCViYeeq1BQWxyNTfh+1cFjq0TyQRk7iVD91/lp8d0zdCpTlo0YRb8zRFthk+iUIdb2+2c6wA==" saltValue="i1vur/oboEISJYxi/wxt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287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298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121</v>
      </c>
      <c r="B40" s="11" t="s">
        <v>299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303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311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121</v>
      </c>
      <c r="B63" s="11" t="s">
        <v>312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iFQSEy3Xie6UzcaR3RuYKa1ZE0WH7E6yVQAbCAEVyO57UJNpRXxZ8u7gUP0oPMuElF0LAlej+FwUZUINxYA3vg==" saltValue="u3hqY4h42UXOdFHA507Jo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do7rFHhFPbbeKjL3K/vwsUqtanLkdnxN3Eucgi3kDnLdPoXWpaAb0jaIlXcNH/94kJLg69KFb9XVvyinV7hodw==" saltValue="VT8fvmWX3KzsqSs7t9/3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176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177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178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179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180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190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174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183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176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177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178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179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180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190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174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183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HmuMcmjMEbdYkNlwBG/4o1jXGnpkpiQNZ9F6RaBjHiXQw6mtOf5Ee84+D6E47L0plXMLeHqm6dQYzy57NAU3/g==" saltValue="9ZCXL7FjLc/vZ6/8ATK77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4tbYogD+eu4PKxD+cEkWpaxkJdhueGUmjZAzCE702VEd2qaJQozbfFNyR8s/mk2QVItpN39Gvo8+kxEA+PV8HA==" saltValue="9/M72NZdMD9PS5tDgmzcN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336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336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335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QrHxtPbGMCffgG4O1rxmwD+3CO+q3u9SjWxm9Xlw5wZEFMMsyrC3Q/UvL9n307FvEobfMrtiyD1/CyYWok1Sg==" saltValue="h4SGKhR93CNr5CpeO/C1m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335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335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LzF2UWfClEPB2i1QHc3FhuM1tlQI3TIczatEh3w9TC5WLNQKBAIYZxnR0IGsBUlNMkxKl8YwvWsXg+FX9tJ9Og==" saltValue="Nc9R5CCcM+KqHF9ezKZZow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2024-05-17T00:58:21Z</dcterms:modified>
</cp:coreProperties>
</file>