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BBC855E-D35C-48B6-949F-8A7708159A4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A37" i="2"/>
  <c r="A2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<sst xmlns="http://schemas.openxmlformats.org/spreadsheetml/2006/main" count="2159" uniqueCount="368">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</sst>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2200874</v>
      </c>
    </row>
    <row r="8" spans="1:3" ht="15" customHeight="1" x14ac:dyDescent="0.25">
      <c r="B8" s="5" t="s">
        <v>37</v>
      </c>
      <c r="C8" s="44">
        <v>0.55000000000000004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0.39810580000000001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8.9200000000000002E-2</v>
      </c>
    </row>
    <row r="24" spans="1:3" ht="15" customHeight="1" x14ac:dyDescent="0.25">
      <c r="B24" s="15" t="s">
        <v>51</v>
      </c>
      <c r="C24" s="45">
        <v>0.50560000000000005</v>
      </c>
    </row>
    <row r="25" spans="1:3" ht="15" customHeight="1" x14ac:dyDescent="0.25">
      <c r="B25" s="15" t="s">
        <v>52</v>
      </c>
      <c r="C25" s="45">
        <v>0.33439999999999998</v>
      </c>
    </row>
    <row r="26" spans="1:3" ht="15" customHeight="1" x14ac:dyDescent="0.25">
      <c r="B26" s="15" t="s">
        <v>53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0.219379248368272</v>
      </c>
    </row>
    <row r="30" spans="1:3" ht="14.25" customHeight="1" x14ac:dyDescent="0.25">
      <c r="B30" s="25" t="s">
        <v>56</v>
      </c>
      <c r="C30" s="99">
        <v>3.6089788005909E-2</v>
      </c>
    </row>
    <row r="31" spans="1:3" ht="14.25" customHeight="1" x14ac:dyDescent="0.25">
      <c r="B31" s="25" t="s">
        <v>57</v>
      </c>
      <c r="C31" s="99">
        <v>9.1984534254138703E-2</v>
      </c>
    </row>
    <row r="32" spans="1:3" ht="14.25" customHeight="1" x14ac:dyDescent="0.25">
      <c r="B32" s="25" t="s">
        <v>58</v>
      </c>
      <c r="C32" s="99">
        <v>0.65254642937168006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29.24811</v>
      </c>
    </row>
    <row r="38" spans="1:5" ht="15" customHeight="1" x14ac:dyDescent="0.25">
      <c r="B38" s="11" t="s">
        <v>63</v>
      </c>
      <c r="C38" s="43">
        <v>55.173659999999998</v>
      </c>
      <c r="D38" s="12"/>
      <c r="E38" s="13"/>
    </row>
    <row r="39" spans="1:5" ht="15" customHeight="1" x14ac:dyDescent="0.25">
      <c r="B39" s="11" t="s">
        <v>64</v>
      </c>
      <c r="C39" s="43">
        <v>83.524249999999995</v>
      </c>
      <c r="D39" s="12"/>
      <c r="E39" s="12"/>
    </row>
    <row r="40" spans="1:5" ht="15" customHeight="1" x14ac:dyDescent="0.25">
      <c r="B40" s="11" t="s">
        <v>65</v>
      </c>
      <c r="C40" s="100">
        <v>5.23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71</v>
      </c>
      <c r="C47" s="45">
        <v>7.5394799999999998E-2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2.548</v>
      </c>
      <c r="D51" s="12"/>
    </row>
    <row r="52" spans="1:4" ht="15" customHeight="1" x14ac:dyDescent="0.25">
      <c r="B52" s="11" t="s">
        <v>75</v>
      </c>
      <c r="C52" s="100">
        <v>2.548</v>
      </c>
    </row>
    <row r="53" spans="1:4" ht="15.75" customHeight="1" x14ac:dyDescent="0.25">
      <c r="B53" s="11" t="s">
        <v>76</v>
      </c>
      <c r="C53" s="100">
        <v>4.7839999999999998</v>
      </c>
    </row>
    <row r="54" spans="1:4" ht="15.75" customHeight="1" x14ac:dyDescent="0.25">
      <c r="B54" s="11" t="s">
        <v>77</v>
      </c>
      <c r="C54" s="100">
        <v>4.2639999999999993</v>
      </c>
    </row>
    <row r="55" spans="1:4" ht="15.75" customHeight="1" x14ac:dyDescent="0.25">
      <c r="B55" s="11" t="s">
        <v>78</v>
      </c>
      <c r="C55" s="100">
        <v>1.7766666666666671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0.41818299999999992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0.16890917</v>
      </c>
    </row>
    <row r="63" spans="1:4" ht="15.75" customHeight="1" x14ac:dyDescent="0.3">
      <c r="A63" s="4"/>
    </row>
  </sheetData>
  <sheetProtection algorithmName="SHA-512" hashValue="XVxvoWMm4a3eFj5Wl/wuTJdU2OOoYwCv8Gis4JIlV0Bz6MpFNKWTkMZbbbDeye9RtOi7YJIn0cauiBrLF64eFQ==" saltValue="dgdWwTjGwvlgpStGpWo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3gFGMbIt3NViWPtNuNEk0RE4o3fUuuPE5W/Mtb4wZk9MYtXIKab+Po8f6V2/fdcnJbtkBpMQlS8C8Ef/ZgwPw==" saltValue="kwM/Aqxp/pGP8Z9wtBkC9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2.0984399999999969E-2</v>
      </c>
    </row>
    <row r="4" spans="1:8" ht="15.75" customHeight="1" x14ac:dyDescent="0.25">
      <c r="B4" s="19" t="s">
        <v>97</v>
      </c>
      <c r="C4" s="101">
        <v>5.8862300000000048E-2</v>
      </c>
    </row>
    <row r="5" spans="1:8" ht="15.75" customHeight="1" x14ac:dyDescent="0.25">
      <c r="B5" s="19" t="s">
        <v>98</v>
      </c>
      <c r="C5" s="101">
        <v>8.1531899999999921E-2</v>
      </c>
    </row>
    <row r="6" spans="1:8" ht="15.75" customHeight="1" x14ac:dyDescent="0.25">
      <c r="B6" s="19" t="s">
        <v>99</v>
      </c>
      <c r="C6" s="101">
        <v>0.24317549999999971</v>
      </c>
    </row>
    <row r="7" spans="1:8" ht="15.75" customHeight="1" x14ac:dyDescent="0.25">
      <c r="B7" s="19" t="s">
        <v>100</v>
      </c>
      <c r="C7" s="101">
        <v>0.41259100000000032</v>
      </c>
    </row>
    <row r="8" spans="1:8" ht="15.75" customHeight="1" x14ac:dyDescent="0.25">
      <c r="B8" s="19" t="s">
        <v>101</v>
      </c>
      <c r="C8" s="101">
        <v>4.2646999999999859E-3</v>
      </c>
    </row>
    <row r="9" spans="1:8" ht="15.75" customHeight="1" x14ac:dyDescent="0.25">
      <c r="B9" s="19" t="s">
        <v>102</v>
      </c>
      <c r="C9" s="101">
        <v>6.8128800000000017E-2</v>
      </c>
    </row>
    <row r="10" spans="1:8" ht="15.75" customHeight="1" x14ac:dyDescent="0.25">
      <c r="B10" s="19" t="s">
        <v>103</v>
      </c>
      <c r="C10" s="101">
        <v>0.1104614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106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107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108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109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110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111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112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113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0.215159032</v>
      </c>
    </row>
    <row r="27" spans="1:8" ht="15.75" customHeight="1" x14ac:dyDescent="0.25">
      <c r="B27" s="19" t="s">
        <v>120</v>
      </c>
      <c r="C27" s="101">
        <v>1.8590265000000002E-2</v>
      </c>
    </row>
    <row r="28" spans="1:8" ht="15.75" customHeight="1" x14ac:dyDescent="0.25">
      <c r="B28" s="19" t="s">
        <v>121</v>
      </c>
      <c r="C28" s="101">
        <v>5.4018957999999999E-2</v>
      </c>
    </row>
    <row r="29" spans="1:8" ht="15.75" customHeight="1" x14ac:dyDescent="0.25">
      <c r="B29" s="19" t="s">
        <v>122</v>
      </c>
      <c r="C29" s="101">
        <v>0.129449545</v>
      </c>
    </row>
    <row r="30" spans="1:8" ht="15.75" customHeight="1" x14ac:dyDescent="0.25">
      <c r="B30" s="19" t="s">
        <v>2</v>
      </c>
      <c r="C30" s="101">
        <v>0.14082996</v>
      </c>
    </row>
    <row r="31" spans="1:8" ht="15.75" customHeight="1" x14ac:dyDescent="0.25">
      <c r="B31" s="19" t="s">
        <v>123</v>
      </c>
      <c r="C31" s="101">
        <v>8.710394199999999E-2</v>
      </c>
    </row>
    <row r="32" spans="1:8" ht="15.75" customHeight="1" x14ac:dyDescent="0.25">
      <c r="B32" s="19" t="s">
        <v>124</v>
      </c>
      <c r="C32" s="101">
        <v>1.6266652E-2</v>
      </c>
    </row>
    <row r="33" spans="2:3" ht="15.75" customHeight="1" x14ac:dyDescent="0.25">
      <c r="B33" s="19" t="s">
        <v>125</v>
      </c>
      <c r="C33" s="101">
        <v>8.3666946000000006E-2</v>
      </c>
    </row>
    <row r="34" spans="2:3" ht="15.75" customHeight="1" x14ac:dyDescent="0.25">
      <c r="B34" s="19" t="s">
        <v>126</v>
      </c>
      <c r="C34" s="101">
        <v>0.254914698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CniCdNlDufTFQ9RliSW6sI1Au2exgIpQOf+NgcdnXm7PWL29BD6PVzC64Dn4g0SrpZ96+/l8INarkguAPdb2ig==" saltValue="Wy51rLEhBZ1YuMa5JycH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132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133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137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vsDFIKZ5yV5MCMYo4gBte+ehWfb4T/qTTCCAwN2wYmC5vZ8CXEpxWn1Q4DisCugCAvht44gsNWck6k0GAFB8A==" saltValue="axhTB55LyEx/0W6J16z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f4g0kgH+/tMK1pqSOzwoM5XKD5tG4LnvJo1PNIbgJTY01f/7gkmHFNAWrccqU40XUDP68fcpNfMOk2SxlW1f3A==" saltValue="pv0O70jhYcb9jz52NeS0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ilshouvDuNHh87mXf5QEJzzWEsMDFghdZZQUTmstpqb6GndoRMJyaOMa9xhW5Thii0m4E8Wzsxrn4BXjBO5xw==" saltValue="wGjXZAKRt6tYX4/jEf8n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1302.85103626824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0.36139000000000004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0.57291999999999998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1.7548573585507706E-2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90871.948980000001</v>
      </c>
      <c r="C22" s="109">
        <v>89731.852239999993</v>
      </c>
      <c r="D22" s="109">
        <v>89084.03658</v>
      </c>
      <c r="E22" s="109">
        <v>88542.940669999996</v>
      </c>
      <c r="F22" s="109">
        <v>87825.714470000006</v>
      </c>
      <c r="G22" s="109">
        <v>86953.420490000004</v>
      </c>
      <c r="H22" s="109">
        <v>85853.185249999995</v>
      </c>
      <c r="I22" s="109">
        <v>84392.828039999993</v>
      </c>
      <c r="J22" s="109">
        <v>82343.688899999994</v>
      </c>
      <c r="K22" s="109">
        <v>79614.204289999994</v>
      </c>
      <c r="L22" s="109">
        <v>75674.562900000004</v>
      </c>
      <c r="M22" s="109">
        <v>70395.728099999993</v>
      </c>
      <c r="N22" s="109">
        <v>62947.162109999997</v>
      </c>
      <c r="O22" s="109">
        <v>53443.230250000001</v>
      </c>
    </row>
  </sheetData>
  <sheetProtection algorithmName="SHA-512" hashValue="7MIjDgDpGjHX3PdjsHHAxhBSTmj73aSwtSvBPkckCJmp3L/GeRxRcdDpeACm5r8RdAYcda5M3GSkOtvCkZ4FIg==" saltValue="+cXnTl8yva9r8kGy4Qqmt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oNyCeEmdWZ9jiXcvxIacCYiHByocn8BcqbxyW0r9AssfxpjaMyi0qQWoimIkZuPDR5KROFHqdL9CGR9VeJLUQ==" saltValue="BCDkX3huEDe+7YM6JwRA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hag+TmXRmBRB+D/6jKuji0RtJDrBpUB8O6g1AE8nGPHt7DhChMXrvO9pmYji02lfUnpESQkD4k/poSHwMYk/OA==" saltValue="5QRZYzjlhu6h9k9FeM0e7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0.70706266146872643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0.47062090000000001</v>
      </c>
      <c r="C10" s="98">
        <v>0.95</v>
      </c>
      <c r="D10" s="56">
        <v>13.5103361384934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13.5103361384934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13.5103361384934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13.5103361384934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0.47062090000000001</v>
      </c>
      <c r="C14" s="98">
        <v>0.95</v>
      </c>
      <c r="D14" s="56">
        <v>13.5103361384934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13.5103361384934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0.72296099999999996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0.12681000000000001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0.51300000000000001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0.35273559999999998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0.83967060000000004</v>
      </c>
      <c r="C23" s="98">
        <v>0.95</v>
      </c>
      <c r="D23" s="56">
        <v>4.4426820703529186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0.46026228261281199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1.55E-2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0.2215608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0.2588009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7.9000000000000008E-3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0.8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0.1213046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0.31415670000000001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1.2729E-3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0.38746140000000001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0.105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cqiithCfOmp5VfgGNdaZDJcYf12k7W4S+95FHUR74ZVIrO5/tHLR/dwnzQWG8xwAMlQ13b5XsqPIrGKEsFrc2Q==" saltValue="GFzMfvBa1poK6PL1Yxip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8b5sfd0uNXmUsys8jIA7xPSwaU7MnRMTRbT7YZFtEuyX2srCAXKmDcg1Z/0ObL6zcfPqQ4lyPS17NeVwHRvoQ==" saltValue="ObEvJkxpbuAWuo2B980/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wmKOXbvbLyF9RUjSzLVTNoSd09VGZs5qSHrLF6UZLmkOD6D50EqcdEK85ZTeQ6pM9DKw7Hk+lkXy52uC4PsEQ==" saltValue="L4iMaDnE8GR+s96Qj/5c/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2.548</v>
      </c>
      <c r="C2" s="21">
        <f>'Données pop de l''année de ref'!C52</f>
        <v>2.548</v>
      </c>
      <c r="D2" s="21">
        <f>'Données pop de l''année de ref'!C53</f>
        <v>4.7839999999999998</v>
      </c>
      <c r="E2" s="21">
        <f>'Données pop de l''année de ref'!C54</f>
        <v>4.2639999999999993</v>
      </c>
      <c r="F2" s="21">
        <f>'Données pop de l''année de ref'!C55</f>
        <v>1.7766666666666671</v>
      </c>
    </row>
    <row r="3" spans="1:6" ht="15.75" customHeight="1" x14ac:dyDescent="0.25">
      <c r="A3" s="3" t="s">
        <v>238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237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Sx4hnvQJt0Q+U3Tq+LQd9rjUd7iIV6o+0MR/S18ZTldSazTrvZIhD0Xlab2scnxHi8p1Ll6fmrtkKO14D+f49Q==" saltValue="GQR7qLQk5py+uTXWnx4k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WfNVvp1Ki5VACvjKYRIZYBnk1Yz/7kHJAQ4cL6EF6StT9CJpOrK+oCIWsuG8j7PXNg89tjuBwL4rZLcTWelHg==" saltValue="HobHyCEN/HR0xaBLBjMN9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3Y6zGeIngwhlS9UfKNwnn4JOsXQPquw8td1iSxlz3mHli6yL8MPXgiLQDFn3S13aaLTBPxqRfUGvzV9WCEGz9Q==" saltValue="ccgqGBTW53hScgI09e+a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EcIOz96Dj05zcVoS/9+Azlw9aOlIZQLIa/KPShpkY98r4NfEdn5uIf2BG/JEFEtZrvRw1jr4VDOkG5qdMaIEA==" saltValue="ve7VVgFdxPK4NrmuuAW7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so9Kb7NW1GhSq7MwAhRQMpHExESEbX0pb7hibKFeM5CTrobD1Usb+x9YEsOzJ0lyNKVAUVlA4x4casZvfwJxQ==" saltValue="Sa+Ei/C/qe/0xkXXj2oQ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qwn7BjFtX8+LeyMbmdngxwwlsv2kMPGloUdb29Cym1JI0+pUB0YkXrHVSXuyPXw1t1IBp+vuS6f6FfdoLROkOA==" saltValue="KiJJ2o127GxD+Ckasok/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Wlpv9792vCm3N9z8P4hsy/PXlpY0PS8KCFRPuBN+u4x4mKk84XqkJUp0MyhIoqP85O8uPNsrC/GHQwqkgTASyA==" saltValue="gimHX1FsEXwzdoorgd/z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oBd1VF2yV8JXCEQwYkVcgYWD4pEBD7belk06Fs4v+mI4riEtHt0eVA9rj1jxubltX+vJEEKG63tPJk0DPVn8A==" saltValue="iiDcrVVVGtKLvi4F8CsyF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+BSw7U/EH0r1fhfuHw/BeXXSF1Z0WKpd0i/qbdmtl6q6c4N/a/6up6tAIyLHVztudsD45U9ytGeuPkRCecT+HA==" saltValue="dAjiinIBEDzbTAlpAvwX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bdpwwhgtPllwsm5WvaMJbPpijsUXxVk7yQ9sjljxunFenBO6KRAjcpDPTh+tYIXqKFYtksETyIjP6zha27lHw==" saltValue="SApIAne3UWrceMyAOCgm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GOiC0+MMvcAtVisWlCjmPTXk96LVYyST9iKjGp7AEMxCjcM4duZjrfIMVANHsl+MAt+vTxV5jGrDV9Wo9OBhQ==" saltValue="/6TPn99jtLHb7Ioi0eqN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rGdK9Pw56LlHtztkvPQHN1HteU+9FZwGmwUIdTv58QTYjfqIB+jmqUfwi9DSnMZLxGYf9kkDL5+QzJXRFSwmA==" saltValue="oYhg/1gwXoyHIwgNWsap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0cwlp8K+YS+LzlYkcbjuMu46YywAKc4xjo5vicayPjJc7sLhL8q1rjWOGYhxH6XJRglZreshfZwAXemqxwIUA==" saltValue="RwRJ5pfsyM0jRElGKlLD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UmQahmdc8bLbJ/WvCNl6YoNWEHwAbGx951V7IJwQaOwuqwnRgS4N6XztwGHki2psX4b+UaDnb49Zfo24pKzfw==" saltValue="Ugn8pDvJmEzpLZcRUZxD2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vhUU6XtKf3MVfrHVco4jEDXz1q6QQH4L75aAghN6audrqmVcobp2TGt/PsJceYJBSk2JqDZbNSf5dpKZXaFig==" saltValue="IyJmW2854uy75JGLv4FQ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yOgNxVp/WisL3J5O5CRcvSFfQsp0dq3YboYY++oHf5jySQOlAgzrQmqpU8xaJlM8bvUIB7UiX6RIlRvdEPfjg==" saltValue="kWW6IZs3UY65f0cu/YGO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