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7FBB8672-56BB-4B32-B80B-7F6D00D7673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A22" i="2"/>
  <c r="A23" i="2"/>
  <c r="A37" i="2"/>
  <c r="A26" i="2"/>
  <c r="I39" i="2"/>
  <c r="A31" i="2"/>
  <c r="A34" i="2"/>
  <c r="A40" i="2"/>
  <c r="I2" i="2"/>
  <c r="I6" i="2"/>
  <c r="A19" i="2"/>
  <c r="A35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<sst xmlns="http://schemas.openxmlformats.org/spreadsheetml/2006/main" count="2169" uniqueCount="369">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</sst>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2200874</v>
      </c>
    </row>
    <row r="8" spans="1:3" ht="15" customHeight="1" x14ac:dyDescent="0.25">
      <c r="B8" s="5" t="s">
        <v>37</v>
      </c>
      <c r="C8" s="44">
        <v>0.55000000000000004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0.39810580000000001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0.33140874869999998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8.9200000000000002E-2</v>
      </c>
    </row>
    <row r="24" spans="1:3" ht="15" customHeight="1" x14ac:dyDescent="0.25">
      <c r="B24" s="15" t="s">
        <v>51</v>
      </c>
      <c r="C24" s="45">
        <v>0.50560000000000005</v>
      </c>
    </row>
    <row r="25" spans="1:3" ht="15" customHeight="1" x14ac:dyDescent="0.25">
      <c r="B25" s="15" t="s">
        <v>52</v>
      </c>
      <c r="C25" s="45">
        <v>0.33439999999999998</v>
      </c>
    </row>
    <row r="26" spans="1:3" ht="15" customHeight="1" x14ac:dyDescent="0.25">
      <c r="B26" s="15" t="s">
        <v>53</v>
      </c>
      <c r="C26" s="45">
        <v>7.0800000000000002E-2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0.219379248368272</v>
      </c>
    </row>
    <row r="30" spans="1:3" ht="14.25" customHeight="1" x14ac:dyDescent="0.25">
      <c r="B30" s="25" t="s">
        <v>56</v>
      </c>
      <c r="C30" s="97">
        <v>3.6089788005909E-2</v>
      </c>
    </row>
    <row r="31" spans="1:3" ht="14.25" customHeight="1" x14ac:dyDescent="0.25">
      <c r="B31" s="25" t="s">
        <v>57</v>
      </c>
      <c r="C31" s="97">
        <v>9.1984534254138703E-2</v>
      </c>
    </row>
    <row r="32" spans="1:3" ht="14.25" customHeight="1" x14ac:dyDescent="0.25">
      <c r="B32" s="25" t="s">
        <v>58</v>
      </c>
      <c r="C32" s="97">
        <v>0.65254642937168006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29.24811</v>
      </c>
    </row>
    <row r="38" spans="1:5" ht="15" customHeight="1" x14ac:dyDescent="0.25">
      <c r="B38" s="11" t="s">
        <v>63</v>
      </c>
      <c r="C38" s="43">
        <v>55.173659999999998</v>
      </c>
      <c r="D38" s="12"/>
      <c r="E38" s="13"/>
    </row>
    <row r="39" spans="1:5" ht="15" customHeight="1" x14ac:dyDescent="0.25">
      <c r="B39" s="11" t="s">
        <v>64</v>
      </c>
      <c r="C39" s="43">
        <v>83.524249999999995</v>
      </c>
      <c r="D39" s="12"/>
      <c r="E39" s="12"/>
    </row>
    <row r="40" spans="1:5" ht="15" customHeight="1" x14ac:dyDescent="0.25">
      <c r="B40" s="11" t="s">
        <v>65</v>
      </c>
      <c r="C40" s="98">
        <v>5.23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20.004549999999998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5.8957000000000002E-3</v>
      </c>
      <c r="D45" s="12"/>
    </row>
    <row r="46" spans="1:5" ht="15.75" customHeight="1" x14ac:dyDescent="0.25">
      <c r="B46" s="11" t="s">
        <v>70</v>
      </c>
      <c r="C46" s="45">
        <v>6.3348000000000002E-2</v>
      </c>
      <c r="D46" s="12"/>
    </row>
    <row r="47" spans="1:5" ht="15.75" customHeight="1" x14ac:dyDescent="0.25">
      <c r="B47" s="11" t="s">
        <v>71</v>
      </c>
      <c r="C47" s="45">
        <v>7.5394799999999998E-2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2.548</v>
      </c>
      <c r="D51" s="12"/>
    </row>
    <row r="52" spans="1:4" ht="15" customHeight="1" x14ac:dyDescent="0.25">
      <c r="B52" s="11" t="s">
        <v>75</v>
      </c>
      <c r="C52" s="98">
        <v>2.548</v>
      </c>
    </row>
    <row r="53" spans="1:4" ht="15.75" customHeight="1" x14ac:dyDescent="0.25">
      <c r="B53" s="11" t="s">
        <v>76</v>
      </c>
      <c r="C53" s="98">
        <v>4.7839999999999998</v>
      </c>
    </row>
    <row r="54" spans="1:4" ht="15.75" customHeight="1" x14ac:dyDescent="0.25">
      <c r="B54" s="11" t="s">
        <v>77</v>
      </c>
      <c r="C54" s="98">
        <v>4.2639999999999993</v>
      </c>
    </row>
    <row r="55" spans="1:4" ht="15.75" customHeight="1" x14ac:dyDescent="0.25">
      <c r="B55" s="11" t="s">
        <v>78</v>
      </c>
      <c r="C55" s="98">
        <v>1.7766666666666671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0.41818299999999992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0.16890917</v>
      </c>
    </row>
    <row r="63" spans="1:4" ht="15.75" customHeight="1" x14ac:dyDescent="0.3">
      <c r="A63" s="4"/>
    </row>
  </sheetData>
  <sheetProtection algorithmName="SHA-512" hashValue="WYe1rQFCCk6sJGMkt4J+WV2YWfgY4u/EhJuuZ6SKdcfi1cqFsk7yTz62q32OVXowxtsuuaOuKygHUdBDY5t1GQ==" saltValue="1M8XDjROkeFOvVOgW/D4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483336</v>
      </c>
      <c r="C2" s="49">
        <v>757268.5</v>
      </c>
      <c r="D2" s="49">
        <v>1199243.5</v>
      </c>
      <c r="E2" s="49">
        <v>882839.5</v>
      </c>
      <c r="F2" s="49">
        <v>611737.5</v>
      </c>
      <c r="G2" s="17">
        <f t="shared" ref="G2:G13" si="0">C2+D2+E2+F2</f>
        <v>3451089</v>
      </c>
      <c r="H2" s="17">
        <f t="shared" ref="H2:H13" si="1">(B2 + stillbirth*B2/(1000-stillbirth))/(1-abortion)</f>
        <v>560457.14757701638</v>
      </c>
      <c r="I2" s="17">
        <f t="shared" ref="I2:I13" si="2">G2-H2</f>
        <v>2890631.8524229834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489564</v>
      </c>
      <c r="C3" s="50">
        <v>777575.5</v>
      </c>
      <c r="D3" s="50">
        <v>1228041</v>
      </c>
      <c r="E3" s="50">
        <v>909087.5</v>
      </c>
      <c r="F3" s="50">
        <v>633320.5</v>
      </c>
      <c r="G3" s="17">
        <f t="shared" si="0"/>
        <v>3548024.5</v>
      </c>
      <c r="H3" s="17">
        <f t="shared" si="1"/>
        <v>567678.88797108934</v>
      </c>
      <c r="I3" s="17">
        <f t="shared" si="2"/>
        <v>2980345.6120289108</v>
      </c>
    </row>
    <row r="4" spans="1:9" ht="15.75" customHeight="1" x14ac:dyDescent="0.25">
      <c r="A4" s="5">
        <f t="shared" si="3"/>
        <v>2026</v>
      </c>
      <c r="B4" s="49">
        <v>494197</v>
      </c>
      <c r="C4" s="50">
        <v>797927.5</v>
      </c>
      <c r="D4" s="50">
        <v>1260760.4999999998</v>
      </c>
      <c r="E4" s="50">
        <v>934090.5</v>
      </c>
      <c r="F4" s="50">
        <v>655495</v>
      </c>
      <c r="G4" s="17">
        <f t="shared" si="0"/>
        <v>3648273.5</v>
      </c>
      <c r="H4" s="17">
        <f t="shared" si="1"/>
        <v>573051.12998228718</v>
      </c>
      <c r="I4" s="17">
        <f t="shared" si="2"/>
        <v>3075222.3700177129</v>
      </c>
    </row>
    <row r="5" spans="1:9" ht="15.75" customHeight="1" x14ac:dyDescent="0.25">
      <c r="A5" s="5">
        <f t="shared" si="3"/>
        <v>2027</v>
      </c>
      <c r="B5" s="49">
        <v>499774</v>
      </c>
      <c r="C5" s="50">
        <v>819002.5</v>
      </c>
      <c r="D5" s="50">
        <v>1295683.5</v>
      </c>
      <c r="E5" s="50">
        <v>959140.5</v>
      </c>
      <c r="F5" s="50">
        <v>678212.5</v>
      </c>
      <c r="G5" s="17">
        <f t="shared" si="0"/>
        <v>3752039</v>
      </c>
      <c r="H5" s="17">
        <f t="shared" si="1"/>
        <v>579517.99674171954</v>
      </c>
      <c r="I5" s="17">
        <f t="shared" si="2"/>
        <v>3172521.0032582805</v>
      </c>
    </row>
    <row r="6" spans="1:9" ht="15.75" customHeight="1" x14ac:dyDescent="0.25">
      <c r="A6" s="5">
        <f t="shared" si="3"/>
        <v>2028</v>
      </c>
      <c r="B6" s="49">
        <v>503256</v>
      </c>
      <c r="C6" s="50">
        <v>842173.5</v>
      </c>
      <c r="D6" s="50">
        <v>1330944</v>
      </c>
      <c r="E6" s="50">
        <v>984589</v>
      </c>
      <c r="F6" s="50">
        <v>701415.50000000012</v>
      </c>
      <c r="G6" s="17">
        <f t="shared" si="0"/>
        <v>3859122</v>
      </c>
      <c r="H6" s="17">
        <f t="shared" si="1"/>
        <v>583555.5850609492</v>
      </c>
      <c r="I6" s="17">
        <f t="shared" si="2"/>
        <v>3275566.4149390506</v>
      </c>
    </row>
    <row r="7" spans="1:9" ht="15.75" customHeight="1" x14ac:dyDescent="0.25">
      <c r="A7" s="5">
        <f t="shared" si="3"/>
        <v>2029</v>
      </c>
      <c r="B7" s="49">
        <v>509582</v>
      </c>
      <c r="C7" s="50">
        <v>867048.5</v>
      </c>
      <c r="D7" s="50">
        <v>1366754.5</v>
      </c>
      <c r="E7" s="50">
        <v>1010713.5</v>
      </c>
      <c r="F7" s="50">
        <v>724374</v>
      </c>
      <c r="G7" s="17">
        <f t="shared" si="0"/>
        <v>3968890.5</v>
      </c>
      <c r="H7" s="17">
        <f t="shared" si="1"/>
        <v>590890.96234625834</v>
      </c>
      <c r="I7" s="17">
        <f t="shared" si="2"/>
        <v>3377999.5376537414</v>
      </c>
    </row>
    <row r="8" spans="1:9" ht="15.75" customHeight="1" x14ac:dyDescent="0.25">
      <c r="A8" s="5">
        <f t="shared" si="3"/>
        <v>2030</v>
      </c>
      <c r="B8" s="49">
        <v>514344.00000000006</v>
      </c>
      <c r="C8" s="50">
        <v>892382</v>
      </c>
      <c r="D8" s="50">
        <v>1403670.9999999998</v>
      </c>
      <c r="E8" s="50">
        <v>1037118.5</v>
      </c>
      <c r="F8" s="50">
        <v>746522.5</v>
      </c>
      <c r="G8" s="17">
        <f t="shared" si="0"/>
        <v>4079694</v>
      </c>
      <c r="H8" s="17">
        <f t="shared" si="1"/>
        <v>596412.7876122467</v>
      </c>
      <c r="I8" s="17">
        <f t="shared" si="2"/>
        <v>3483281.2123877532</v>
      </c>
    </row>
    <row r="9" spans="1:9" ht="15.75" customHeight="1" x14ac:dyDescent="0.25">
      <c r="A9" s="5">
        <f t="shared" si="3"/>
        <v>2031</v>
      </c>
      <c r="B9" s="49">
        <v>519480</v>
      </c>
      <c r="C9" s="50">
        <v>917098</v>
      </c>
      <c r="D9" s="50">
        <v>1442522.5</v>
      </c>
      <c r="E9" s="50">
        <v>1063764.9999999998</v>
      </c>
      <c r="F9" s="50">
        <v>768169</v>
      </c>
      <c r="G9" s="17">
        <f t="shared" si="0"/>
        <v>4191554.5</v>
      </c>
      <c r="H9" s="17">
        <f t="shared" si="1"/>
        <v>602368.2883611162</v>
      </c>
      <c r="I9" s="17">
        <f t="shared" si="2"/>
        <v>3589186.2116388837</v>
      </c>
    </row>
    <row r="10" spans="1:9" ht="15.75" customHeight="1" x14ac:dyDescent="0.25">
      <c r="A10" s="5">
        <f t="shared" si="3"/>
        <v>2032</v>
      </c>
      <c r="B10" s="49">
        <v>523267.00000000006</v>
      </c>
      <c r="C10" s="50">
        <v>939756.5</v>
      </c>
      <c r="D10" s="50">
        <v>1483888.5</v>
      </c>
      <c r="E10" s="50">
        <v>1091293.0000000002</v>
      </c>
      <c r="F10" s="50">
        <v>789707.5</v>
      </c>
      <c r="G10" s="17">
        <f t="shared" si="0"/>
        <v>4304645.5</v>
      </c>
      <c r="H10" s="17">
        <f t="shared" si="1"/>
        <v>606759.54251531581</v>
      </c>
      <c r="I10" s="17">
        <f t="shared" si="2"/>
        <v>3697885.957484684</v>
      </c>
    </row>
    <row r="11" spans="1:9" ht="15.75" customHeight="1" x14ac:dyDescent="0.25">
      <c r="A11" s="5">
        <f t="shared" si="3"/>
        <v>2033</v>
      </c>
      <c r="B11" s="49">
        <v>530676</v>
      </c>
      <c r="C11" s="50">
        <v>958954</v>
      </c>
      <c r="D11" s="50">
        <v>1526944</v>
      </c>
      <c r="E11" s="50">
        <v>1119920</v>
      </c>
      <c r="F11" s="50">
        <v>811672</v>
      </c>
      <c r="G11" s="17">
        <f t="shared" si="0"/>
        <v>4417490</v>
      </c>
      <c r="H11" s="17">
        <f t="shared" si="1"/>
        <v>615350.72340479644</v>
      </c>
      <c r="I11" s="17">
        <f t="shared" si="2"/>
        <v>3802139.2765952037</v>
      </c>
    </row>
    <row r="12" spans="1:9" ht="15.75" customHeight="1" x14ac:dyDescent="0.25">
      <c r="A12" s="5">
        <f t="shared" si="3"/>
        <v>2034</v>
      </c>
      <c r="B12" s="49">
        <v>536855</v>
      </c>
      <c r="C12" s="50">
        <v>974251</v>
      </c>
      <c r="D12" s="50">
        <v>1571098</v>
      </c>
      <c r="E12" s="50">
        <v>1147712</v>
      </c>
      <c r="F12" s="50">
        <v>836122.5</v>
      </c>
      <c r="G12" s="17">
        <f t="shared" si="0"/>
        <v>4529183.5</v>
      </c>
      <c r="H12" s="17">
        <f t="shared" si="1"/>
        <v>622515.64535325137</v>
      </c>
      <c r="I12" s="17">
        <f t="shared" si="2"/>
        <v>3906667.8546467489</v>
      </c>
    </row>
    <row r="13" spans="1:9" ht="15.75" customHeight="1" x14ac:dyDescent="0.25">
      <c r="A13" s="5">
        <f t="shared" si="3"/>
        <v>2035</v>
      </c>
      <c r="B13" s="49">
        <v>544105</v>
      </c>
      <c r="C13" s="50">
        <v>986273.5</v>
      </c>
      <c r="D13" s="50">
        <v>1616070.4999999998</v>
      </c>
      <c r="E13" s="50">
        <v>1176007</v>
      </c>
      <c r="F13" s="50">
        <v>861575</v>
      </c>
      <c r="G13" s="17">
        <f t="shared" si="0"/>
        <v>4639926</v>
      </c>
      <c r="H13" s="17">
        <f t="shared" si="1"/>
        <v>630922.45618450199</v>
      </c>
      <c r="I13" s="17">
        <f t="shared" si="2"/>
        <v>4009003.5438154982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nmC8zpo2Vzzy4QoCCMDd9i87XW39+3rR+N2hAFGE5x/Qev1rE52zJIz9IY9XCX3Wz5/j5tW78UWvG0ZkLb49g==" saltValue="JB621J66kP37HThg4gyOp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2.0984399999999969E-2</v>
      </c>
    </row>
    <row r="4" spans="1:8" ht="15.75" customHeight="1" x14ac:dyDescent="0.25">
      <c r="B4" s="19" t="s">
        <v>97</v>
      </c>
      <c r="C4" s="99">
        <v>5.8862300000000048E-2</v>
      </c>
    </row>
    <row r="5" spans="1:8" ht="15.75" customHeight="1" x14ac:dyDescent="0.25">
      <c r="B5" s="19" t="s">
        <v>98</v>
      </c>
      <c r="C5" s="99">
        <v>8.1531899999999921E-2</v>
      </c>
    </row>
    <row r="6" spans="1:8" ht="15.75" customHeight="1" x14ac:dyDescent="0.25">
      <c r="B6" s="19" t="s">
        <v>99</v>
      </c>
      <c r="C6" s="99">
        <v>0.24317549999999971</v>
      </c>
    </row>
    <row r="7" spans="1:8" ht="15.75" customHeight="1" x14ac:dyDescent="0.25">
      <c r="B7" s="19" t="s">
        <v>100</v>
      </c>
      <c r="C7" s="99">
        <v>0.41259100000000032</v>
      </c>
    </row>
    <row r="8" spans="1:8" ht="15.75" customHeight="1" x14ac:dyDescent="0.25">
      <c r="B8" s="19" t="s">
        <v>101</v>
      </c>
      <c r="C8" s="99">
        <v>4.2646999999999859E-3</v>
      </c>
    </row>
    <row r="9" spans="1:8" ht="15.75" customHeight="1" x14ac:dyDescent="0.25">
      <c r="B9" s="19" t="s">
        <v>102</v>
      </c>
      <c r="C9" s="99">
        <v>6.8128800000000017E-2</v>
      </c>
    </row>
    <row r="10" spans="1:8" ht="15.75" customHeight="1" x14ac:dyDescent="0.25">
      <c r="B10" s="19" t="s">
        <v>103</v>
      </c>
      <c r="C10" s="99">
        <v>0.1104614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0.1476401011076009</v>
      </c>
      <c r="D14" s="55">
        <v>0.1476401011076009</v>
      </c>
      <c r="E14" s="55">
        <v>0.1476401011076009</v>
      </c>
      <c r="F14" s="55">
        <v>0.1476401011076009</v>
      </c>
    </row>
    <row r="15" spans="1:8" ht="15.75" customHeight="1" x14ac:dyDescent="0.25">
      <c r="B15" s="19" t="s">
        <v>106</v>
      </c>
      <c r="C15" s="99">
        <v>0.2011911478036702</v>
      </c>
      <c r="D15" s="99">
        <v>0.2011911478036702</v>
      </c>
      <c r="E15" s="99">
        <v>0.2011911478036702</v>
      </c>
      <c r="F15" s="99">
        <v>0.2011911478036702</v>
      </c>
    </row>
    <row r="16" spans="1:8" ht="15.75" customHeight="1" x14ac:dyDescent="0.25">
      <c r="B16" s="19" t="s">
        <v>107</v>
      </c>
      <c r="C16" s="99">
        <v>3.3435292418148833E-2</v>
      </c>
      <c r="D16" s="99">
        <v>3.3435292418148833E-2</v>
      </c>
      <c r="E16" s="99">
        <v>3.3435292418148833E-2</v>
      </c>
      <c r="F16" s="99">
        <v>3.3435292418148833E-2</v>
      </c>
    </row>
    <row r="17" spans="1:8" ht="15.75" customHeight="1" x14ac:dyDescent="0.25">
      <c r="B17" s="19" t="s">
        <v>108</v>
      </c>
      <c r="C17" s="99">
        <v>3.015832246129279E-2</v>
      </c>
      <c r="D17" s="99">
        <v>3.015832246129279E-2</v>
      </c>
      <c r="E17" s="99">
        <v>3.015832246129279E-2</v>
      </c>
      <c r="F17" s="99">
        <v>3.015832246129279E-2</v>
      </c>
    </row>
    <row r="18" spans="1:8" ht="15.75" customHeight="1" x14ac:dyDescent="0.25">
      <c r="B18" s="19" t="s">
        <v>109</v>
      </c>
      <c r="C18" s="99">
        <v>0.4033046735168701</v>
      </c>
      <c r="D18" s="99">
        <v>0.4033046735168701</v>
      </c>
      <c r="E18" s="99">
        <v>0.4033046735168701</v>
      </c>
      <c r="F18" s="99">
        <v>0.4033046735168701</v>
      </c>
    </row>
    <row r="19" spans="1:8" ht="15.75" customHeight="1" x14ac:dyDescent="0.25">
      <c r="B19" s="19" t="s">
        <v>110</v>
      </c>
      <c r="C19" s="99">
        <v>9.5212102324277494E-3</v>
      </c>
      <c r="D19" s="99">
        <v>9.5212102324277494E-3</v>
      </c>
      <c r="E19" s="99">
        <v>9.5212102324277494E-3</v>
      </c>
      <c r="F19" s="99">
        <v>9.5212102324277494E-3</v>
      </c>
    </row>
    <row r="20" spans="1:8" ht="15.75" customHeight="1" x14ac:dyDescent="0.25">
      <c r="B20" s="19" t="s">
        <v>111</v>
      </c>
      <c r="C20" s="99">
        <v>1.192277409131451E-2</v>
      </c>
      <c r="D20" s="99">
        <v>1.192277409131451E-2</v>
      </c>
      <c r="E20" s="99">
        <v>1.192277409131451E-2</v>
      </c>
      <c r="F20" s="99">
        <v>1.192277409131451E-2</v>
      </c>
    </row>
    <row r="21" spans="1:8" ht="15.75" customHeight="1" x14ac:dyDescent="0.25">
      <c r="B21" s="19" t="s">
        <v>112</v>
      </c>
      <c r="C21" s="99">
        <v>5.6537733251141399E-2</v>
      </c>
      <c r="D21" s="99">
        <v>5.6537733251141399E-2</v>
      </c>
      <c r="E21" s="99">
        <v>5.6537733251141399E-2</v>
      </c>
      <c r="F21" s="99">
        <v>5.6537733251141399E-2</v>
      </c>
    </row>
    <row r="22" spans="1:8" ht="15.75" customHeight="1" x14ac:dyDescent="0.25">
      <c r="B22" s="19" t="s">
        <v>113</v>
      </c>
      <c r="C22" s="99">
        <v>0.1062887451175335</v>
      </c>
      <c r="D22" s="99">
        <v>0.1062887451175335</v>
      </c>
      <c r="E22" s="99">
        <v>0.1062887451175335</v>
      </c>
      <c r="F22" s="99">
        <v>0.1062887451175335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0.215159032</v>
      </c>
    </row>
    <row r="27" spans="1:8" ht="15.75" customHeight="1" x14ac:dyDescent="0.25">
      <c r="B27" s="19" t="s">
        <v>120</v>
      </c>
      <c r="C27" s="99">
        <v>1.8590265000000002E-2</v>
      </c>
    </row>
    <row r="28" spans="1:8" ht="15.75" customHeight="1" x14ac:dyDescent="0.25">
      <c r="B28" s="19" t="s">
        <v>121</v>
      </c>
      <c r="C28" s="99">
        <v>5.4018957999999999E-2</v>
      </c>
    </row>
    <row r="29" spans="1:8" ht="15.75" customHeight="1" x14ac:dyDescent="0.25">
      <c r="B29" s="19" t="s">
        <v>122</v>
      </c>
      <c r="C29" s="99">
        <v>0.129449545</v>
      </c>
    </row>
    <row r="30" spans="1:8" ht="15.75" customHeight="1" x14ac:dyDescent="0.25">
      <c r="B30" s="19" t="s">
        <v>2</v>
      </c>
      <c r="C30" s="99">
        <v>0.14082996</v>
      </c>
    </row>
    <row r="31" spans="1:8" ht="15.75" customHeight="1" x14ac:dyDescent="0.25">
      <c r="B31" s="19" t="s">
        <v>123</v>
      </c>
      <c r="C31" s="99">
        <v>8.710394199999999E-2</v>
      </c>
    </row>
    <row r="32" spans="1:8" ht="15.75" customHeight="1" x14ac:dyDescent="0.25">
      <c r="B32" s="19" t="s">
        <v>124</v>
      </c>
      <c r="C32" s="99">
        <v>1.6266652E-2</v>
      </c>
    </row>
    <row r="33" spans="2:3" ht="15.75" customHeight="1" x14ac:dyDescent="0.25">
      <c r="B33" s="19" t="s">
        <v>125</v>
      </c>
      <c r="C33" s="99">
        <v>8.3666946000000006E-2</v>
      </c>
    </row>
    <row r="34" spans="2:3" ht="15.75" customHeight="1" x14ac:dyDescent="0.25">
      <c r="B34" s="19" t="s">
        <v>126</v>
      </c>
      <c r="C34" s="99">
        <v>0.254914698</v>
      </c>
    </row>
    <row r="35" spans="2:3" ht="15.75" customHeight="1" x14ac:dyDescent="0.25">
      <c r="B35" s="27" t="s">
        <v>59</v>
      </c>
      <c r="C35" s="48">
        <f>SUM(C26:C34)</f>
        <v>0.99999999799999995</v>
      </c>
    </row>
  </sheetData>
  <sheetProtection algorithmName="SHA-512" hashValue="3ytfG4MkEMypghe5bPHGqUpDNcuqFbIQpG49oeee+jOJu0eVqJLzDCd9qj0c7B9+Cl4GTNxJbV8s4Gc7kQeexw==" saltValue="dJqe42/4O7cYjkpzIgRgi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0.48321991248159657</v>
      </c>
      <c r="D2" s="52">
        <f>IFERROR(1-_xlfn.NORM.DIST(_xlfn.NORM.INV(SUM(D4:D5), 0, 1) + 1, 0, 1, TRUE), "")</f>
        <v>0.48321991248159657</v>
      </c>
      <c r="E2" s="52">
        <f>IFERROR(1-_xlfn.NORM.DIST(_xlfn.NORM.INV(SUM(E4:E5), 0, 1) + 1, 0, 1, TRUE), "")</f>
        <v>0.42070843327853302</v>
      </c>
      <c r="F2" s="52">
        <f>IFERROR(1-_xlfn.NORM.DIST(_xlfn.NORM.INV(SUM(F4:F5), 0, 1) + 1, 0, 1, TRUE), "")</f>
        <v>0.27448072441437388</v>
      </c>
      <c r="G2" s="52">
        <f>IFERROR(1-_xlfn.NORM.DIST(_xlfn.NORM.INV(SUM(G4:G5), 0, 1) + 1, 0, 1, TRUE), "")</f>
        <v>0.24005114336615963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0.34773008751840345</v>
      </c>
      <c r="D3" s="52">
        <f>IFERROR(_xlfn.NORM.DIST(_xlfn.NORM.INV(SUM(D4:D5), 0, 1) + 1, 0, 1, TRUE) - SUM(D4:D5), "")</f>
        <v>0.34773008751840345</v>
      </c>
      <c r="E3" s="52">
        <f>IFERROR(_xlfn.NORM.DIST(_xlfn.NORM.INV(SUM(E4:E5), 0, 1) + 1, 0, 1, TRUE) - SUM(E4:E5), "")</f>
        <v>0.36741256672146694</v>
      </c>
      <c r="F3" s="52">
        <f>IFERROR(_xlfn.NORM.DIST(_xlfn.NORM.INV(SUM(F4:F5), 0, 1) + 1, 0, 1, TRUE) - SUM(F4:F5), "")</f>
        <v>0.38119247558562608</v>
      </c>
      <c r="G3" s="52">
        <f>IFERROR(_xlfn.NORM.DIST(_xlfn.NORM.INV(SUM(G4:G5), 0, 1) + 1, 0, 1, TRUE) - SUM(G4:G5), "")</f>
        <v>0.37551715663384039</v>
      </c>
    </row>
    <row r="4" spans="1:15" ht="15.75" customHeight="1" x14ac:dyDescent="0.25">
      <c r="B4" s="5" t="s">
        <v>132</v>
      </c>
      <c r="C4" s="45">
        <v>0.11396199999999999</v>
      </c>
      <c r="D4" s="53">
        <v>0.11396199999999999</v>
      </c>
      <c r="E4" s="53">
        <v>0.15460070000000001</v>
      </c>
      <c r="F4" s="53">
        <v>0.22727710000000001</v>
      </c>
      <c r="G4" s="53">
        <v>0.2411103</v>
      </c>
    </row>
    <row r="5" spans="1:15" ht="15.75" customHeight="1" x14ac:dyDescent="0.25">
      <c r="B5" s="5" t="s">
        <v>133</v>
      </c>
      <c r="C5" s="45">
        <v>5.5087999999999998E-2</v>
      </c>
      <c r="D5" s="53">
        <v>5.5087999999999998E-2</v>
      </c>
      <c r="E5" s="53">
        <v>5.7278299999999997E-2</v>
      </c>
      <c r="F5" s="53">
        <v>0.11704970000000001</v>
      </c>
      <c r="G5" s="53">
        <v>0.14332139999999999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0.69029906059379409</v>
      </c>
      <c r="D8" s="52">
        <f>IFERROR(1-_xlfn.NORM.DIST(_xlfn.NORM.INV(SUM(D10:D11), 0, 1) + 1, 0, 1, TRUE), "")</f>
        <v>0.69029906059379409</v>
      </c>
      <c r="E8" s="52">
        <f>IFERROR(1-_xlfn.NORM.DIST(_xlfn.NORM.INV(SUM(E10:E11), 0, 1) + 1, 0, 1, TRUE), "")</f>
        <v>0.62065285310597829</v>
      </c>
      <c r="F8" s="52">
        <f>IFERROR(1-_xlfn.NORM.DIST(_xlfn.NORM.INV(SUM(F10:F11), 0, 1) + 1, 0, 1, TRUE), "")</f>
        <v>0.67797610140566311</v>
      </c>
      <c r="G8" s="52">
        <f>IFERROR(1-_xlfn.NORM.DIST(_xlfn.NORM.INV(SUM(G10:G11), 0, 1) + 1, 0, 1, TRUE), "")</f>
        <v>0.81008996300694902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0.2424650394062059</v>
      </c>
      <c r="D9" s="52">
        <f>IFERROR(_xlfn.NORM.DIST(_xlfn.NORM.INV(SUM(D10:D11), 0, 1) + 1, 0, 1, TRUE) - SUM(D10:D11), "")</f>
        <v>0.2424650394062059</v>
      </c>
      <c r="E9" s="52">
        <f>IFERROR(_xlfn.NORM.DIST(_xlfn.NORM.INV(SUM(E10:E11), 0, 1) + 1, 0, 1, TRUE) - SUM(E10:E11), "")</f>
        <v>0.28377404689402175</v>
      </c>
      <c r="F9" s="52">
        <f>IFERROR(_xlfn.NORM.DIST(_xlfn.NORM.INV(SUM(F10:F11), 0, 1) + 1, 0, 1, TRUE) - SUM(F10:F11), "")</f>
        <v>0.2501596985943369</v>
      </c>
      <c r="G9" s="52">
        <f>IFERROR(_xlfn.NORM.DIST(_xlfn.NORM.INV(SUM(G10:G11), 0, 1) + 1, 0, 1, TRUE) - SUM(G10:G11), "")</f>
        <v>0.159735036993051</v>
      </c>
    </row>
    <row r="10" spans="1:15" ht="15.75" customHeight="1" x14ac:dyDescent="0.25">
      <c r="B10" s="5" t="s">
        <v>137</v>
      </c>
      <c r="C10" s="45">
        <v>4.7805800000000002E-2</v>
      </c>
      <c r="D10" s="53">
        <v>4.7805800000000002E-2</v>
      </c>
      <c r="E10" s="53">
        <v>7.5145600000000007E-2</v>
      </c>
      <c r="F10" s="53">
        <v>5.4266699999999987E-2</v>
      </c>
      <c r="G10" s="53">
        <v>2.5541999999999999E-2</v>
      </c>
    </row>
    <row r="11" spans="1:15" ht="15.75" customHeight="1" x14ac:dyDescent="0.25">
      <c r="B11" s="5" t="s">
        <v>138</v>
      </c>
      <c r="C11" s="45">
        <v>1.9430099999999999E-2</v>
      </c>
      <c r="D11" s="53">
        <v>1.9430099999999999E-2</v>
      </c>
      <c r="E11" s="53">
        <v>2.0427500000000001E-2</v>
      </c>
      <c r="F11" s="53">
        <v>1.7597499999999999E-2</v>
      </c>
      <c r="G11" s="53">
        <v>4.633E-3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0.6963869907500001</v>
      </c>
      <c r="D14" s="54">
        <v>0.68976179290899997</v>
      </c>
      <c r="E14" s="54">
        <v>0.68976179290899997</v>
      </c>
      <c r="F14" s="54">
        <v>0.61698490867699995</v>
      </c>
      <c r="G14" s="54">
        <v>0.61698490867699995</v>
      </c>
      <c r="H14" s="45">
        <v>0.55500000000000005</v>
      </c>
      <c r="I14" s="55">
        <v>0.55500000000000005</v>
      </c>
      <c r="J14" s="55">
        <v>0.55500000000000005</v>
      </c>
      <c r="K14" s="55">
        <v>0.55500000000000005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0.29121720095280723</v>
      </c>
      <c r="D15" s="52">
        <f t="shared" si="0"/>
        <v>0.28844665584406426</v>
      </c>
      <c r="E15" s="52">
        <f t="shared" si="0"/>
        <v>0.28844665584406426</v>
      </c>
      <c r="F15" s="52">
        <f t="shared" si="0"/>
        <v>0.25801260006527382</v>
      </c>
      <c r="G15" s="52">
        <f t="shared" si="0"/>
        <v>0.25801260006527382</v>
      </c>
      <c r="H15" s="52">
        <f t="shared" si="0"/>
        <v>0.23209156499999997</v>
      </c>
      <c r="I15" s="52">
        <f t="shared" si="0"/>
        <v>0.23209156499999997</v>
      </c>
      <c r="J15" s="52">
        <f t="shared" si="0"/>
        <v>0.23209156499999997</v>
      </c>
      <c r="K15" s="52">
        <f t="shared" si="0"/>
        <v>0.23209156499999997</v>
      </c>
      <c r="L15" s="52">
        <f t="shared" si="0"/>
        <v>0.19236417999999997</v>
      </c>
      <c r="M15" s="52">
        <f t="shared" si="0"/>
        <v>0.19236417999999997</v>
      </c>
      <c r="N15" s="52">
        <f t="shared" si="0"/>
        <v>0.19236417999999997</v>
      </c>
      <c r="O15" s="52">
        <f t="shared" si="0"/>
        <v>0.19236417999999997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/K2mbfI6VUkWUpbM25nFvTcX4L48v/KHBTy8RQpwA2Jnkk0QXhwNrQeoi5O3UiqQlUWyhw87OfG7EZtiq0wQEg==" saltValue="16QAdZVWDvbUz9XcCpfe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0.63594139999999999</v>
      </c>
      <c r="D2" s="53">
        <v>0.35273559999999998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0.27326929999999999</v>
      </c>
      <c r="D3" s="53">
        <v>0.45041550000000002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4.2228500000000002E-2</v>
      </c>
      <c r="D4" s="53">
        <v>0.1642421</v>
      </c>
      <c r="E4" s="53">
        <v>0.9582254</v>
      </c>
      <c r="F4" s="53">
        <v>0.68788179999999999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4.856079999999996E-2</v>
      </c>
      <c r="D5" s="52">
        <f t="shared" si="0"/>
        <v>3.2606799999999936E-2</v>
      </c>
      <c r="E5" s="52">
        <f>1-SUM(E2:E4)</f>
        <v>4.1774599999999995E-2</v>
      </c>
      <c r="F5" s="52">
        <f>1-SUM(F2:F4)</f>
        <v>0.31211820000000001</v>
      </c>
      <c r="G5" s="52">
        <f>1-SUM(G2:G4)</f>
        <v>1</v>
      </c>
    </row>
  </sheetData>
  <sheetProtection algorithmName="SHA-512" hashValue="dkE+MgtooyBKFlf0ruAZ0FnzDZPjEY4V/yXrSsDB8pUt+V2lP8Kxvyy8Frs+T305uOfhY2Mcq41gmF34lb1r5g==" saltValue="n3ROIW4A3Km/oHVorHqC/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OsssWUActIp7laXC5Q63aepOupFX7sMWEOfTJSkkdAo2c+UlTR83QbPWyd2Fr5tRZ89+I66DNsDUue64fbWWQ==" saltValue="5mg1JPF/j64nmghXHH9W+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1302.85103626824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0.36139000000000004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0.57291999999999998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1.7548573585507706E-2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90871.948980000001</v>
      </c>
      <c r="C22" s="107">
        <v>89731.852239999993</v>
      </c>
      <c r="D22" s="107">
        <v>89084.03658</v>
      </c>
      <c r="E22" s="107">
        <v>88542.940669999996</v>
      </c>
      <c r="F22" s="107">
        <v>87825.714470000006</v>
      </c>
      <c r="G22" s="107">
        <v>86953.420490000004</v>
      </c>
      <c r="H22" s="107">
        <v>85853.185249999995</v>
      </c>
      <c r="I22" s="107">
        <v>84392.828039999993</v>
      </c>
      <c r="J22" s="107">
        <v>82343.688899999994</v>
      </c>
      <c r="K22" s="107">
        <v>79614.204289999994</v>
      </c>
      <c r="L22" s="107">
        <v>75674.562900000004</v>
      </c>
      <c r="M22" s="107">
        <v>70395.728099999993</v>
      </c>
      <c r="N22" s="107">
        <v>62947.162109999997</v>
      </c>
      <c r="O22" s="107">
        <v>53443.230250000001</v>
      </c>
    </row>
  </sheetData>
  <sheetProtection algorithmName="SHA-512" hashValue="wEQtlRxA8E09sP/V/DFgTWWg/KaqMQZ5bU+HPVKQ3j/JkPYTmZmfwpnI7tSC5GQ4doDjQ0l70jG5YxJ1nCgnzg==" saltValue="LTCn36Nds3vP8rta41Bvb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NOIivZMV87XYPcBSmlyYjCNHH1khcZ4Cxcik5XGUwMfUNLdksMhdGVIGscwSckai7yFWSgUBXTcbowidtUA1Wg==" saltValue="Z+94ueBi8xdegf/ti/KQ2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evbNh6QrvZwODBuHMsjGxftcRmg5wh272lvx903GHQkj1nImVsFxPTf5MVv1owJR9EN+22Unu/Kok9Eabx7Elg==" saltValue="q8Dw5ZGbDBW5Jhw3Vt2Ud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0.70706266146872643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0.47062090000000001</v>
      </c>
      <c r="C10" s="96">
        <v>0.95</v>
      </c>
      <c r="D10" s="56">
        <v>13.5103361384934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13.5103361384934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13.5103361384934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13.5103361384934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0.47062090000000001</v>
      </c>
      <c r="C14" s="96">
        <v>0.95</v>
      </c>
      <c r="D14" s="56">
        <v>13.5103361384934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13.5103361384934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0.72296099999999996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0.12681000000000001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0.51300000000000001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0.35273559999999998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0.83967060000000004</v>
      </c>
      <c r="C23" s="96">
        <v>0.95</v>
      </c>
      <c r="D23" s="56">
        <v>4.4426820703529186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0.46026228261281199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1.55E-2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0.2215608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0.2588009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7.9000000000000008E-3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0.8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0.1213046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0.31415670000000001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1.2729E-3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0.38746140000000001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0.105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EHgdFaMvLsnw6ubtTu4YOhXSf6UGblkv+lzjBOBwAGRUpcU3KSyadb9eFe5J9yah6E2BKXGSsPPvJdaPAK7iUA==" saltValue="hlboP/yaWQ6nlm77aJEd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4d7+GKWewhcC6xaUI0Jxlvxf4m3UVFRfFh5rkt2l3/ZFY3Fu47FncsELRHvPSEDZZU6Qczd3feX9+MUpFBkiOg==" saltValue="ElpIV1/c0Gcyo1O90IPw2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badRk+txAGA3tk3gun7B8ESATWkuWnQi+fboDNpCpxZjhyNUhGeV1pDcnWhkaycH2Par5p9l5T3jTikVytLVg==" saltValue="4uVlb42oWEUY3xGf4Cchp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2.548</v>
      </c>
      <c r="C2" s="21">
        <f>'Données pop de l''année de ref'!C52</f>
        <v>2.548</v>
      </c>
      <c r="D2" s="21">
        <f>'Données pop de l''année de ref'!C53</f>
        <v>4.7839999999999998</v>
      </c>
      <c r="E2" s="21">
        <f>'Données pop de l''année de ref'!C54</f>
        <v>4.2639999999999993</v>
      </c>
      <c r="F2" s="21">
        <f>'Données pop de l''année de ref'!C55</f>
        <v>1.7766666666666671</v>
      </c>
    </row>
    <row r="3" spans="1:6" ht="15.75" customHeight="1" x14ac:dyDescent="0.25">
      <c r="A3" s="3" t="s">
        <v>238</v>
      </c>
      <c r="B3" s="21">
        <f>frac_mam_1month * 2.6</f>
        <v>0.12429508000000002</v>
      </c>
      <c r="C3" s="21">
        <f>frac_mam_1_5months * 2.6</f>
        <v>0.12429508000000002</v>
      </c>
      <c r="D3" s="21">
        <f>frac_mam_6_11months * 2.6</f>
        <v>0.19537856000000003</v>
      </c>
      <c r="E3" s="21">
        <f>frac_mam_12_23months * 2.6</f>
        <v>0.14109341999999997</v>
      </c>
      <c r="F3" s="21">
        <f>frac_mam_24_59months * 2.6</f>
        <v>6.6409200000000002E-2</v>
      </c>
    </row>
    <row r="4" spans="1:6" ht="15.75" customHeight="1" x14ac:dyDescent="0.25">
      <c r="A4" s="3" t="s">
        <v>237</v>
      </c>
      <c r="B4" s="21">
        <f>frac_sam_1month * 2.6</f>
        <v>5.0518259999999995E-2</v>
      </c>
      <c r="C4" s="21">
        <f>frac_sam_1_5months * 2.6</f>
        <v>5.0518259999999995E-2</v>
      </c>
      <c r="D4" s="21">
        <f>frac_sam_6_11months * 2.6</f>
        <v>5.3111500000000006E-2</v>
      </c>
      <c r="E4" s="21">
        <f>frac_sam_12_23months * 2.6</f>
        <v>4.5753499999999996E-2</v>
      </c>
      <c r="F4" s="21">
        <f>frac_sam_24_59months * 2.6</f>
        <v>1.2045800000000001E-2</v>
      </c>
    </row>
  </sheetData>
  <sheetProtection algorithmName="SHA-512" hashValue="/2QGV4eCZD8cWcymJm2bAvYg20YQZMemOakxtQrR6OUy2ZiEy3zSzVxUqjKs54vOZfKccOr1YWEwJw12ILy0gQ==" saltValue="2meXD0Ueo7tIlTT7boeba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0.55000000000000004</v>
      </c>
      <c r="F2" s="60">
        <f>food_insecure</f>
        <v>0.55000000000000004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0.55000000000000004</v>
      </c>
      <c r="F5" s="60">
        <f>food_insecure</f>
        <v>0.55000000000000004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5.559272727272728E-2</v>
      </c>
      <c r="D7" s="60">
        <f>diarrhoea_1_5mo*frac_diarrhea_severe</f>
        <v>5.559272727272728E-2</v>
      </c>
      <c r="E7" s="60">
        <f>diarrhoea_6_11mo*frac_diarrhea_severe</f>
        <v>0.10437818181818183</v>
      </c>
      <c r="F7" s="60">
        <f>diarrhoea_12_23mo*frac_diarrhea_severe</f>
        <v>9.3032727272727267E-2</v>
      </c>
      <c r="G7" s="60">
        <f>diarrhoea_24_59mo*frac_diarrhea_severe</f>
        <v>3.8763636363636375E-2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0.55000000000000004</v>
      </c>
      <c r="F8" s="60">
        <f>food_insecure</f>
        <v>0.55000000000000004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0.55000000000000004</v>
      </c>
      <c r="F9" s="60">
        <f>food_insecure</f>
        <v>0.55000000000000004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5.559272727272728E-2</v>
      </c>
      <c r="D12" s="60">
        <f>diarrhoea_1_5mo*frac_diarrhea_severe</f>
        <v>5.559272727272728E-2</v>
      </c>
      <c r="E12" s="60">
        <f>diarrhoea_6_11mo*frac_diarrhea_severe</f>
        <v>0.10437818181818183</v>
      </c>
      <c r="F12" s="60">
        <f>diarrhoea_12_23mo*frac_diarrhea_severe</f>
        <v>9.3032727272727267E-2</v>
      </c>
      <c r="G12" s="60">
        <f>diarrhoea_24_59mo*frac_diarrhea_severe</f>
        <v>3.8763636363636375E-2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0.55000000000000004</v>
      </c>
      <c r="I15" s="60">
        <f t="shared" si="0"/>
        <v>0.55000000000000004</v>
      </c>
      <c r="J15" s="60">
        <f t="shared" si="0"/>
        <v>0.55000000000000004</v>
      </c>
      <c r="K15" s="60">
        <f t="shared" si="0"/>
        <v>0.55000000000000004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0.55000000000000004</v>
      </c>
      <c r="I16" s="60">
        <f t="shared" si="0"/>
        <v>0.55000000000000004</v>
      </c>
      <c r="J16" s="60">
        <f t="shared" si="0"/>
        <v>0.55000000000000004</v>
      </c>
      <c r="K16" s="60">
        <f t="shared" si="0"/>
        <v>0.55000000000000004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0.33140874869999998</v>
      </c>
      <c r="M24" s="60">
        <f>famplan_unmet_need</f>
        <v>0.33140874869999998</v>
      </c>
      <c r="N24" s="60">
        <f>famplan_unmet_need</f>
        <v>0.33140874869999998</v>
      </c>
      <c r="O24" s="60">
        <f>famplan_unmet_need</f>
        <v>0.33140874869999998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0.36444693810000001</v>
      </c>
      <c r="M25" s="60">
        <f>(1-food_insecure)*(0.49)+food_insecure*(0.7)</f>
        <v>0.60549999999999993</v>
      </c>
      <c r="N25" s="60">
        <f>(1-food_insecure)*(0.49)+food_insecure*(0.7)</f>
        <v>0.60549999999999993</v>
      </c>
      <c r="O25" s="60">
        <f>(1-food_insecure)*(0.49)+food_insecure*(0.7)</f>
        <v>0.60549999999999993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0.15619154490000001</v>
      </c>
      <c r="M26" s="60">
        <f>(1-food_insecure)*(0.21)+food_insecure*(0.3)</f>
        <v>0.25950000000000001</v>
      </c>
      <c r="N26" s="60">
        <f>(1-food_insecure)*(0.21)+food_insecure*(0.3)</f>
        <v>0.25950000000000001</v>
      </c>
      <c r="O26" s="60">
        <f>(1-food_insecure)*(0.21)+food_insecure*(0.3)</f>
        <v>0.25950000000000001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8.1255716999999991E-2</v>
      </c>
      <c r="M27" s="60">
        <f>(1-food_insecure)*(0.3)</f>
        <v>0.13499999999999998</v>
      </c>
      <c r="N27" s="60">
        <f>(1-food_insecure)*(0.3)</f>
        <v>0.13499999999999998</v>
      </c>
      <c r="O27" s="60">
        <f>(1-food_insecure)*(0.3)</f>
        <v>0.13499999999999998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0.39810580000000001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M2j/AhpOaHnzwgqmyAwI6NowYKuwzHCrd3Nno++tMSCS++tsJ9BEdFidens7/IOCGsfwuJ57V6kQtO107ExIw==" saltValue="Gdef4ddTl69wSYXwdXvej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+n0GAZmHaY97RHNDHRebr+3ht0cQp5oeQsK6FsCgammjLiUc9QCCRFCaWQBGZ1gFwaJ9olIDE5VgukQSlXD9oQ==" saltValue="LXVh8wlG4/Lby777JPD5r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s/QS3LaZBOw+Yp2BF0mdI6hFnA3/Hekb1ARCrpFEPlC8zDhVR/Ixp/Lw8PAkvBWLEnBgRQLGAZ6VgzXnft7Qw==" saltValue="3R3GYcT1lISIPo7C/QfA/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jcibaUBxC4f1idQrAww+jcDmWs/riCvmD9g+yIe7FDRNgwOUq1KBR2sxZNFZ5vOf8EkZbpzA7f7svYVGyBY/Q==" saltValue="+fYPHttqbj8/wBplDP7A4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+7gFIEzlnjLsyVH5nf7wktLb6q788Wrn1Qb1K4zEJPsv9jjaq0En5RoiuGHMkjL0raTeu2dmNC9Rq9Me4bOSMQ==" saltValue="kjoeSl2of9Ajv9zz9SULT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SoyN+G3s3fTtr+JFWAoPy5N2XPvHBO1K//i0/3ZTB3KIw3qkUdHsgxbWfh1pjyzylDh0gTZEmIytLPIHs2w3Mw==" saltValue="9oKeNWadVxG8em9CWHZ99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5tYSiiIoX7w/BSpbf1l0/Sz1wn+LexDQtVBjsHM954fLKkRGLsJdSp6U0E5YBA+8uNsXwIcGU9Rbv2j7cApdKQ==" saltValue="QXtS7mrgbpnoxm3aJq0iE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hdfVcnB5HahiQTBOAkaL6OnLE5YkA7TD9rhi+DPBqJ6/0/rr4Hh08mzY9ZlPXT5ln/IU/YYLxLsoYNGVyRXqhg==" saltValue="u0su8e8yXEhH6PHKqWa9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U5zFNu2AOXckCu3SyHG/A9QaEllEpCp0C/1Y895XeU4pVLrVFqoPD22kjXu/6BVIyTMSk9TZ7E2lvVMbePqPGg==" saltValue="BXHGITMYUNum9NIge3WL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zSRTcFZomcKBld6fL/8fg9tkO/acu+y+EKgn19mt3etNPfBydWlg8IWLnSAs22jXJfpcB+5+nDRwVmZHYKCHGw==" saltValue="5FCXrAgrh56C1osnZO2f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YrYYldjEnZr7JO6j42Qu6lWFdNUG+2jav4nZnxO34i90s91QlbMGiQbxV3KcfXK9JqXusLqhOClRTmoe4hOpg==" saltValue="6E615+5OOnNol4jyYjN8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svgt7IkxYdMCCK2cLrs9O3cZvgCqsLzf6soy3XepLrXJpE1hnA1jrWKLZkiCySGxgYal2xTwS4ns9g9ymYkIQ==" saltValue="6EP6FWLxmpNYuuDYcCBi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FYATAmTcTOQ4vBH+8UEGKN0S1U+hLaon91womlohkjQuab76plwpTX340an3UItMKg2qRLu9nS0B0c9f86SYA==" saltValue="G1SXX6nbxNLeWmv5nQK+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GvQLS+pHPvQtvMvVLhchdsLv5c5INh1FQFVwIKdvmr6uNXzTdhVxs11SbrTz2GhdLXDV4vQtYWi57fduIF7egg==" saltValue="M63ybD8S6Y9utsQYkTpu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/UlFYGX9wQnr+UaRzuIA88ZHql3sPQidI45bP44Po2/uFFZaPgprdJrAsAMNdyn9y7BV8pGgYiNNm5+1ybWoLA==" saltValue="IFQXyj+gp/h/b4ZUgX2yB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2025-07-30T01:46:43Z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