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8007389-A90B-44FB-B7BE-72CD69690674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<sst xmlns="http://schemas.openxmlformats.org/spreadsheetml/2006/main" count="2102" uniqueCount="337">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</sst>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2233111.875</v>
      </c>
    </row>
    <row r="8" spans="1:3" ht="15" customHeight="1" x14ac:dyDescent="0.25">
      <c r="B8" s="5" t="s">
        <v>19</v>
      </c>
      <c r="C8" s="44">
        <v>0.495</v>
      </c>
    </row>
    <row r="9" spans="1:3" ht="15" customHeight="1" x14ac:dyDescent="0.25">
      <c r="B9" s="5" t="s">
        <v>20</v>
      </c>
      <c r="C9" s="45">
        <v>1</v>
      </c>
    </row>
    <row r="10" spans="1:3" ht="15" customHeight="1" x14ac:dyDescent="0.25">
      <c r="B10" s="5" t="s">
        <v>21</v>
      </c>
      <c r="C10" s="45">
        <v>0.39810878753662099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0.755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8.9200000000000002E-2</v>
      </c>
    </row>
    <row r="24" spans="1:3" ht="15" customHeight="1" x14ac:dyDescent="0.25">
      <c r="B24" s="15" t="s">
        <v>33</v>
      </c>
      <c r="C24" s="45">
        <v>0.50560000000000005</v>
      </c>
    </row>
    <row r="25" spans="1:3" ht="15" customHeight="1" x14ac:dyDescent="0.25">
      <c r="B25" s="15" t="s">
        <v>34</v>
      </c>
      <c r="C25" s="45">
        <v>0.33439999999999998</v>
      </c>
    </row>
    <row r="26" spans="1:3" ht="15" customHeight="1" x14ac:dyDescent="0.25">
      <c r="B26" s="15" t="s">
        <v>35</v>
      </c>
      <c r="C26" s="45">
        <v>7.0800000000000002E-2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0.219379248368272</v>
      </c>
    </row>
    <row r="30" spans="1:3" ht="14.25" customHeight="1" x14ac:dyDescent="0.25">
      <c r="B30" s="25" t="s">
        <v>38</v>
      </c>
      <c r="C30" s="99">
        <v>3.6089788005909E-2</v>
      </c>
    </row>
    <row r="31" spans="1:3" ht="14.25" customHeight="1" x14ac:dyDescent="0.25">
      <c r="B31" s="25" t="s">
        <v>39</v>
      </c>
      <c r="C31" s="99">
        <v>9.1984534254138703E-2</v>
      </c>
    </row>
    <row r="32" spans="1:3" ht="14.25" customHeight="1" x14ac:dyDescent="0.25">
      <c r="B32" s="25" t="s">
        <v>40</v>
      </c>
      <c r="C32" s="99">
        <v>0.65254642937168006</v>
      </c>
    </row>
    <row r="33" spans="1:5" ht="13" customHeight="1" x14ac:dyDescent="0.25">
      <c r="B33" s="27" t="s">
        <v>41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29.24811</v>
      </c>
    </row>
    <row r="38" spans="1:5" ht="15" customHeight="1" x14ac:dyDescent="0.25">
      <c r="B38" s="11" t="s">
        <v>45</v>
      </c>
      <c r="C38" s="43">
        <v>55.173659999999998</v>
      </c>
      <c r="D38" s="12"/>
      <c r="E38" s="13"/>
    </row>
    <row r="39" spans="1:5" ht="15" customHeight="1" x14ac:dyDescent="0.25">
      <c r="B39" s="11" t="s">
        <v>46</v>
      </c>
      <c r="C39" s="43">
        <v>83.524249999999995</v>
      </c>
      <c r="D39" s="12"/>
      <c r="E39" s="12"/>
    </row>
    <row r="40" spans="1:5" ht="15" customHeight="1" x14ac:dyDescent="0.25">
      <c r="B40" s="11" t="s">
        <v>47</v>
      </c>
      <c r="C40" s="100">
        <v>5.23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20.004549999999998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5.8957000000000002E-3</v>
      </c>
      <c r="D45" s="12"/>
    </row>
    <row r="46" spans="1:5" ht="15.75" customHeight="1" x14ac:dyDescent="0.25">
      <c r="B46" s="11" t="s">
        <v>52</v>
      </c>
      <c r="C46" s="45">
        <v>6.3348000000000002E-2</v>
      </c>
      <c r="D46" s="12"/>
    </row>
    <row r="47" spans="1:5" ht="15.75" customHeight="1" x14ac:dyDescent="0.25">
      <c r="B47" s="11" t="s">
        <v>53</v>
      </c>
      <c r="C47" s="45">
        <v>7.5394799999999998E-2</v>
      </c>
      <c r="D47" s="12"/>
      <c r="E47" s="13"/>
    </row>
    <row r="48" spans="1:5" ht="15" customHeight="1" x14ac:dyDescent="0.25">
      <c r="B48" s="11" t="s">
        <v>54</v>
      </c>
      <c r="C48" s="46">
        <v>0.85536150000000011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0.41818299999999992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0.16890917</v>
      </c>
    </row>
    <row r="63" spans="1:4" ht="15.75" customHeight="1" x14ac:dyDescent="0.3">
      <c r="A63" s="4"/>
    </row>
  </sheetData>
  <sheetProtection algorithmName="SHA-512" hashValue="1dgdgtRO4jD85eSgCjJ3x6j0tCaXmVcazuL/8iJCYdJtdZzur8DJnJrnOtYcEfgTVIlo9ZMwE+m9k2wgnYT4wA==" saltValue="kE3fOFOzRrsrUU9U53Sw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493211</v>
      </c>
      <c r="C2" s="49">
        <v>884702.99999999988</v>
      </c>
      <c r="D2" s="49">
        <v>1158486</v>
      </c>
      <c r="E2" s="49">
        <v>852322</v>
      </c>
      <c r="F2" s="49">
        <v>520757.99999999988</v>
      </c>
      <c r="G2" s="17">
        <f t="shared" ref="G2:G13" si="0">C2+D2+E2+F2</f>
        <v>3416269</v>
      </c>
      <c r="H2" s="17">
        <f t="shared" ref="H2:H13" si="1">(B2 + stillbirth*B2/(1000-stillbirth))/(1-abortion)</f>
        <v>571907.80370923714</v>
      </c>
      <c r="I2" s="17">
        <f t="shared" ref="I2:I13" si="2">G2-H2</f>
        <v>2844361.1962907631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500276</v>
      </c>
      <c r="C3" s="50">
        <v>907771.50000000012</v>
      </c>
      <c r="D3" s="50">
        <v>1188181</v>
      </c>
      <c r="E3" s="50">
        <v>878944</v>
      </c>
      <c r="F3" s="50">
        <v>539119</v>
      </c>
      <c r="G3" s="17">
        <f t="shared" si="0"/>
        <v>3514015.5</v>
      </c>
      <c r="H3" s="17">
        <f t="shared" si="1"/>
        <v>580100.09591927647</v>
      </c>
      <c r="I3" s="17">
        <f t="shared" si="2"/>
        <v>2933915.4040807234</v>
      </c>
    </row>
    <row r="4" spans="1:9" ht="15.75" customHeight="1" x14ac:dyDescent="0.25">
      <c r="A4" s="5">
        <f t="shared" si="3"/>
        <v>2026</v>
      </c>
      <c r="B4" s="49">
        <v>506382</v>
      </c>
      <c r="C4" s="50">
        <v>931435.5</v>
      </c>
      <c r="D4" s="50">
        <v>1221378</v>
      </c>
      <c r="E4" s="50">
        <v>904027.5</v>
      </c>
      <c r="F4" s="50">
        <v>558052.5</v>
      </c>
      <c r="G4" s="17">
        <f t="shared" si="0"/>
        <v>3614893.5</v>
      </c>
      <c r="H4" s="17">
        <f t="shared" si="1"/>
        <v>587180.36997936154</v>
      </c>
      <c r="I4" s="17">
        <f t="shared" si="2"/>
        <v>3027713.1300206385</v>
      </c>
    </row>
    <row r="5" spans="1:9" ht="15.75" customHeight="1" x14ac:dyDescent="0.25">
      <c r="A5" s="5">
        <f t="shared" si="3"/>
        <v>2027</v>
      </c>
      <c r="B5" s="49">
        <v>512962</v>
      </c>
      <c r="C5" s="50">
        <v>956419.50000000012</v>
      </c>
      <c r="D5" s="50">
        <v>1256409.5</v>
      </c>
      <c r="E5" s="50">
        <v>928874</v>
      </c>
      <c r="F5" s="50">
        <v>577478</v>
      </c>
      <c r="G5" s="17">
        <f t="shared" si="0"/>
        <v>3719181</v>
      </c>
      <c r="H5" s="17">
        <f t="shared" si="1"/>
        <v>594810.27553379314</v>
      </c>
      <c r="I5" s="17">
        <f t="shared" si="2"/>
        <v>3124370.724466207</v>
      </c>
    </row>
    <row r="6" spans="1:9" ht="15.75" customHeight="1" x14ac:dyDescent="0.25">
      <c r="A6" s="5">
        <f t="shared" si="3"/>
        <v>2028</v>
      </c>
      <c r="B6" s="49">
        <v>519717</v>
      </c>
      <c r="C6" s="50">
        <v>984195.49999999977</v>
      </c>
      <c r="D6" s="50">
        <v>1291887</v>
      </c>
      <c r="E6" s="50">
        <v>953932</v>
      </c>
      <c r="F6" s="50">
        <v>597477</v>
      </c>
      <c r="G6" s="17">
        <f t="shared" si="0"/>
        <v>3827491.5</v>
      </c>
      <c r="H6" s="17">
        <f t="shared" si="1"/>
        <v>602643.10410828947</v>
      </c>
      <c r="I6" s="17">
        <f t="shared" si="2"/>
        <v>3224848.3958917107</v>
      </c>
    </row>
    <row r="7" spans="1:9" ht="15.75" customHeight="1" x14ac:dyDescent="0.25">
      <c r="A7" s="5">
        <f t="shared" si="3"/>
        <v>2029</v>
      </c>
      <c r="B7" s="49">
        <v>527200</v>
      </c>
      <c r="C7" s="50">
        <v>1014036</v>
      </c>
      <c r="D7" s="50">
        <v>1328074.5</v>
      </c>
      <c r="E7" s="50">
        <v>979690.99999999988</v>
      </c>
      <c r="F7" s="50">
        <v>617659</v>
      </c>
      <c r="G7" s="17">
        <f t="shared" si="0"/>
        <v>3939460.5</v>
      </c>
      <c r="H7" s="17">
        <f t="shared" si="1"/>
        <v>611320.09244625492</v>
      </c>
      <c r="I7" s="17">
        <f t="shared" si="2"/>
        <v>3328140.407553745</v>
      </c>
    </row>
    <row r="8" spans="1:9" ht="15.75" customHeight="1" x14ac:dyDescent="0.25">
      <c r="A8" s="5">
        <f t="shared" si="3"/>
        <v>2030</v>
      </c>
      <c r="B8" s="49">
        <v>533349</v>
      </c>
      <c r="C8" s="50">
        <v>1045271.5</v>
      </c>
      <c r="D8" s="50">
        <v>1365489.5</v>
      </c>
      <c r="E8" s="50">
        <v>1005936</v>
      </c>
      <c r="F8" s="50">
        <v>637238.5</v>
      </c>
      <c r="G8" s="17">
        <f t="shared" si="0"/>
        <v>4053935.5</v>
      </c>
      <c r="H8" s="17">
        <f t="shared" si="1"/>
        <v>618450.22759127</v>
      </c>
      <c r="I8" s="17">
        <f t="shared" si="2"/>
        <v>3435485.2724087299</v>
      </c>
    </row>
    <row r="9" spans="1:9" ht="15.75" customHeight="1" x14ac:dyDescent="0.25">
      <c r="A9" s="5">
        <f t="shared" si="3"/>
        <v>2031</v>
      </c>
      <c r="B9" s="49">
        <v>540373</v>
      </c>
      <c r="C9" s="50">
        <v>1077497.5</v>
      </c>
      <c r="D9" s="50">
        <v>1404243</v>
      </c>
      <c r="E9" s="50">
        <v>1032490.5</v>
      </c>
      <c r="F9" s="50">
        <v>656345</v>
      </c>
      <c r="G9" s="17">
        <f t="shared" si="0"/>
        <v>4170576</v>
      </c>
      <c r="H9" s="17">
        <f t="shared" si="1"/>
        <v>626594.97783660865</v>
      </c>
      <c r="I9" s="17">
        <f t="shared" si="2"/>
        <v>3543981.0221633911</v>
      </c>
    </row>
    <row r="10" spans="1:9" ht="15.75" customHeight="1" x14ac:dyDescent="0.25">
      <c r="A10" s="5">
        <f t="shared" si="3"/>
        <v>2032</v>
      </c>
      <c r="B10" s="49">
        <v>547302</v>
      </c>
      <c r="C10" s="50">
        <v>1109232</v>
      </c>
      <c r="D10" s="50">
        <v>1444209.5</v>
      </c>
      <c r="E10" s="50">
        <v>1060128.5</v>
      </c>
      <c r="F10" s="50">
        <v>675639.5</v>
      </c>
      <c r="G10" s="17">
        <f t="shared" si="0"/>
        <v>4289209.5</v>
      </c>
      <c r="H10" s="17">
        <f t="shared" si="1"/>
        <v>634629.56987105496</v>
      </c>
      <c r="I10" s="17">
        <f t="shared" si="2"/>
        <v>3654579.930128945</v>
      </c>
    </row>
    <row r="11" spans="1:9" ht="15.75" customHeight="1" x14ac:dyDescent="0.25">
      <c r="A11" s="5">
        <f t="shared" si="3"/>
        <v>2033</v>
      </c>
      <c r="B11" s="49">
        <v>556161</v>
      </c>
      <c r="C11" s="50">
        <v>1139330</v>
      </c>
      <c r="D11" s="50">
        <v>1485120</v>
      </c>
      <c r="E11" s="50">
        <v>1089361</v>
      </c>
      <c r="F11" s="50">
        <v>695352.5</v>
      </c>
      <c r="G11" s="17">
        <f t="shared" si="0"/>
        <v>4409163.5</v>
      </c>
      <c r="H11" s="17">
        <f t="shared" si="1"/>
        <v>644902.11292678595</v>
      </c>
      <c r="I11" s="17">
        <f t="shared" si="2"/>
        <v>3764261.3870732142</v>
      </c>
    </row>
    <row r="12" spans="1:9" ht="15.75" customHeight="1" x14ac:dyDescent="0.25">
      <c r="A12" s="5">
        <f t="shared" si="3"/>
        <v>2034</v>
      </c>
      <c r="B12" s="49">
        <v>561597</v>
      </c>
      <c r="C12" s="50">
        <v>1166945.5</v>
      </c>
      <c r="D12" s="50">
        <v>1527513.5</v>
      </c>
      <c r="E12" s="50">
        <v>1118105</v>
      </c>
      <c r="F12" s="50">
        <v>715631</v>
      </c>
      <c r="G12" s="17">
        <f t="shared" si="0"/>
        <v>4528195</v>
      </c>
      <c r="H12" s="17">
        <f t="shared" si="1"/>
        <v>651205.48171005188</v>
      </c>
      <c r="I12" s="17">
        <f t="shared" si="2"/>
        <v>3876989.5182899479</v>
      </c>
    </row>
    <row r="13" spans="1:9" ht="15.75" customHeight="1" x14ac:dyDescent="0.25">
      <c r="A13" s="5">
        <f t="shared" si="3"/>
        <v>2035</v>
      </c>
      <c r="B13" s="49">
        <v>567712</v>
      </c>
      <c r="C13" s="50">
        <v>1192136</v>
      </c>
      <c r="D13" s="50">
        <v>1571748.5</v>
      </c>
      <c r="E13" s="50">
        <v>1147382.5</v>
      </c>
      <c r="F13" s="50">
        <v>738398.5</v>
      </c>
      <c r="G13" s="17">
        <f t="shared" si="0"/>
        <v>4649665.5</v>
      </c>
      <c r="H13" s="17">
        <f t="shared" si="1"/>
        <v>658296.1918111688</v>
      </c>
      <c r="I13" s="17">
        <f t="shared" si="2"/>
        <v>3991369.3081888314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BzaeSSjDDZ7QDeYE5FSRVVuMtuqvVLnDQdOGvtx6HeJ5oScw32IDDzD2/QnwYqazxQ+zQvvW4P6U7lI9GzyYg==" saltValue="WAAA+an29SVKdLEy9ObXK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2.0984399999999969E-2</v>
      </c>
    </row>
    <row r="4" spans="1:8" ht="15.75" customHeight="1" x14ac:dyDescent="0.25">
      <c r="B4" s="19" t="s">
        <v>79</v>
      </c>
      <c r="C4" s="101">
        <v>5.8862300000000048E-2</v>
      </c>
    </row>
    <row r="5" spans="1:8" ht="15.75" customHeight="1" x14ac:dyDescent="0.25">
      <c r="B5" s="19" t="s">
        <v>80</v>
      </c>
      <c r="C5" s="101">
        <v>8.1531899999999921E-2</v>
      </c>
    </row>
    <row r="6" spans="1:8" ht="15.75" customHeight="1" x14ac:dyDescent="0.25">
      <c r="B6" s="19" t="s">
        <v>81</v>
      </c>
      <c r="C6" s="101">
        <v>0.24317549999999971</v>
      </c>
    </row>
    <row r="7" spans="1:8" ht="15.75" customHeight="1" x14ac:dyDescent="0.25">
      <c r="B7" s="19" t="s">
        <v>82</v>
      </c>
      <c r="C7" s="101">
        <v>0.41259100000000032</v>
      </c>
    </row>
    <row r="8" spans="1:8" ht="15.75" customHeight="1" x14ac:dyDescent="0.25">
      <c r="B8" s="19" t="s">
        <v>83</v>
      </c>
      <c r="C8" s="101">
        <v>4.2646999999999859E-3</v>
      </c>
    </row>
    <row r="9" spans="1:8" ht="15.75" customHeight="1" x14ac:dyDescent="0.25">
      <c r="B9" s="19" t="s">
        <v>84</v>
      </c>
      <c r="C9" s="101">
        <v>6.8128800000000017E-2</v>
      </c>
    </row>
    <row r="10" spans="1:8" ht="15.75" customHeight="1" x14ac:dyDescent="0.25">
      <c r="B10" s="19" t="s">
        <v>85</v>
      </c>
      <c r="C10" s="101">
        <v>0.1104614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0.1476401011076009</v>
      </c>
      <c r="D14" s="55">
        <v>0.1476401011076009</v>
      </c>
      <c r="E14" s="55">
        <v>0.1476401011076009</v>
      </c>
      <c r="F14" s="55">
        <v>0.1476401011076009</v>
      </c>
    </row>
    <row r="15" spans="1:8" ht="15.75" customHeight="1" x14ac:dyDescent="0.25">
      <c r="B15" s="19" t="s">
        <v>88</v>
      </c>
      <c r="C15" s="101">
        <v>0.2011911478036702</v>
      </c>
      <c r="D15" s="101">
        <v>0.2011911478036702</v>
      </c>
      <c r="E15" s="101">
        <v>0.2011911478036702</v>
      </c>
      <c r="F15" s="101">
        <v>0.2011911478036702</v>
      </c>
    </row>
    <row r="16" spans="1:8" ht="15.75" customHeight="1" x14ac:dyDescent="0.25">
      <c r="B16" s="19" t="s">
        <v>89</v>
      </c>
      <c r="C16" s="101">
        <v>3.3435292418148833E-2</v>
      </c>
      <c r="D16" s="101">
        <v>3.3435292418148833E-2</v>
      </c>
      <c r="E16" s="101">
        <v>3.3435292418148833E-2</v>
      </c>
      <c r="F16" s="101">
        <v>3.3435292418148833E-2</v>
      </c>
    </row>
    <row r="17" spans="1:8" ht="15.75" customHeight="1" x14ac:dyDescent="0.25">
      <c r="B17" s="19" t="s">
        <v>90</v>
      </c>
      <c r="C17" s="101">
        <v>3.015832246129279E-2</v>
      </c>
      <c r="D17" s="101">
        <v>3.015832246129279E-2</v>
      </c>
      <c r="E17" s="101">
        <v>3.015832246129279E-2</v>
      </c>
      <c r="F17" s="101">
        <v>3.015832246129279E-2</v>
      </c>
    </row>
    <row r="18" spans="1:8" ht="15.75" customHeight="1" x14ac:dyDescent="0.25">
      <c r="B18" s="19" t="s">
        <v>91</v>
      </c>
      <c r="C18" s="101">
        <v>0.4033046735168701</v>
      </c>
      <c r="D18" s="101">
        <v>0.4033046735168701</v>
      </c>
      <c r="E18" s="101">
        <v>0.4033046735168701</v>
      </c>
      <c r="F18" s="101">
        <v>0.4033046735168701</v>
      </c>
    </row>
    <row r="19" spans="1:8" ht="15.75" customHeight="1" x14ac:dyDescent="0.25">
      <c r="B19" s="19" t="s">
        <v>92</v>
      </c>
      <c r="C19" s="101">
        <v>9.5212102324277494E-3</v>
      </c>
      <c r="D19" s="101">
        <v>9.5212102324277494E-3</v>
      </c>
      <c r="E19" s="101">
        <v>9.5212102324277494E-3</v>
      </c>
      <c r="F19" s="101">
        <v>9.5212102324277494E-3</v>
      </c>
    </row>
    <row r="20" spans="1:8" ht="15.75" customHeight="1" x14ac:dyDescent="0.25">
      <c r="B20" s="19" t="s">
        <v>93</v>
      </c>
      <c r="C20" s="101">
        <v>1.192277409131451E-2</v>
      </c>
      <c r="D20" s="101">
        <v>1.192277409131451E-2</v>
      </c>
      <c r="E20" s="101">
        <v>1.192277409131451E-2</v>
      </c>
      <c r="F20" s="101">
        <v>1.192277409131451E-2</v>
      </c>
    </row>
    <row r="21" spans="1:8" ht="15.75" customHeight="1" x14ac:dyDescent="0.25">
      <c r="B21" s="19" t="s">
        <v>94</v>
      </c>
      <c r="C21" s="101">
        <v>5.6537733251141399E-2</v>
      </c>
      <c r="D21" s="101">
        <v>5.6537733251141399E-2</v>
      </c>
      <c r="E21" s="101">
        <v>5.6537733251141399E-2</v>
      </c>
      <c r="F21" s="101">
        <v>5.6537733251141399E-2</v>
      </c>
    </row>
    <row r="22" spans="1:8" ht="15.75" customHeight="1" x14ac:dyDescent="0.25">
      <c r="B22" s="19" t="s">
        <v>95</v>
      </c>
      <c r="C22" s="101">
        <v>0.1062887451175335</v>
      </c>
      <c r="D22" s="101">
        <v>0.1062887451175335</v>
      </c>
      <c r="E22" s="101">
        <v>0.1062887451175335</v>
      </c>
      <c r="F22" s="101">
        <v>0.1062887451175335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0.215159032</v>
      </c>
    </row>
    <row r="27" spans="1:8" ht="15.75" customHeight="1" x14ac:dyDescent="0.25">
      <c r="B27" s="19" t="s">
        <v>102</v>
      </c>
      <c r="C27" s="101">
        <v>1.8590265000000002E-2</v>
      </c>
    </row>
    <row r="28" spans="1:8" ht="15.75" customHeight="1" x14ac:dyDescent="0.25">
      <c r="B28" s="19" t="s">
        <v>103</v>
      </c>
      <c r="C28" s="101">
        <v>5.4018957999999999E-2</v>
      </c>
    </row>
    <row r="29" spans="1:8" ht="15.75" customHeight="1" x14ac:dyDescent="0.25">
      <c r="B29" s="19" t="s">
        <v>104</v>
      </c>
      <c r="C29" s="101">
        <v>0.129449545</v>
      </c>
    </row>
    <row r="30" spans="1:8" ht="15.75" customHeight="1" x14ac:dyDescent="0.25">
      <c r="B30" s="19" t="s">
        <v>2</v>
      </c>
      <c r="C30" s="101">
        <v>0.14082996</v>
      </c>
    </row>
    <row r="31" spans="1:8" ht="15.75" customHeight="1" x14ac:dyDescent="0.25">
      <c r="B31" s="19" t="s">
        <v>105</v>
      </c>
      <c r="C31" s="101">
        <v>8.710394199999999E-2</v>
      </c>
    </row>
    <row r="32" spans="1:8" ht="15.75" customHeight="1" x14ac:dyDescent="0.25">
      <c r="B32" s="19" t="s">
        <v>106</v>
      </c>
      <c r="C32" s="101">
        <v>1.6266652E-2</v>
      </c>
    </row>
    <row r="33" spans="2:3" ht="15.75" customHeight="1" x14ac:dyDescent="0.25">
      <c r="B33" s="19" t="s">
        <v>107</v>
      </c>
      <c r="C33" s="101">
        <v>8.3666946000000006E-2</v>
      </c>
    </row>
    <row r="34" spans="2:3" ht="15.75" customHeight="1" x14ac:dyDescent="0.25">
      <c r="B34" s="19" t="s">
        <v>108</v>
      </c>
      <c r="C34" s="101">
        <v>0.254914698</v>
      </c>
    </row>
    <row r="35" spans="2:3" ht="15.75" customHeight="1" x14ac:dyDescent="0.25">
      <c r="B35" s="27" t="s">
        <v>41</v>
      </c>
      <c r="C35" s="48">
        <f>SUM(C26:C34)</f>
        <v>0.99999999799999995</v>
      </c>
    </row>
  </sheetData>
  <sheetProtection algorithmName="SHA-512" hashValue="jwE1iSwbtyAa0xZmL++DH5iWyZaZHMZz4NgaQXKAw7hGGQWiNxL3qWDVt8//EFgnx0G98y9P1bqz/F4Q6q4TFw==" saltValue="Lx3aa4A7pAzrH23hvvP+x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0.48321991248159657</v>
      </c>
      <c r="D2" s="52">
        <f>IFERROR(1-_xlfn.NORM.DIST(_xlfn.NORM.INV(SUM(D4:D5), 0, 1) + 1, 0, 1, TRUE), "")</f>
        <v>0.48321991248159657</v>
      </c>
      <c r="E2" s="52">
        <f>IFERROR(1-_xlfn.NORM.DIST(_xlfn.NORM.INV(SUM(E4:E5), 0, 1) + 1, 0, 1, TRUE), "")</f>
        <v>0.42070843327853302</v>
      </c>
      <c r="F2" s="52">
        <f>IFERROR(1-_xlfn.NORM.DIST(_xlfn.NORM.INV(SUM(F4:F5), 0, 1) + 1, 0, 1, TRUE), "")</f>
        <v>0.27448072441437388</v>
      </c>
      <c r="G2" s="52">
        <f>IFERROR(1-_xlfn.NORM.DIST(_xlfn.NORM.INV(SUM(G4:G5), 0, 1) + 1, 0, 1, TRUE), "")</f>
        <v>0.24005114336615963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0.34773008751840345</v>
      </c>
      <c r="D3" s="52">
        <f>IFERROR(_xlfn.NORM.DIST(_xlfn.NORM.INV(SUM(D4:D5), 0, 1) + 1, 0, 1, TRUE) - SUM(D4:D5), "")</f>
        <v>0.34773008751840345</v>
      </c>
      <c r="E3" s="52">
        <f>IFERROR(_xlfn.NORM.DIST(_xlfn.NORM.INV(SUM(E4:E5), 0, 1) + 1, 0, 1, TRUE) - SUM(E4:E5), "")</f>
        <v>0.36741256672146694</v>
      </c>
      <c r="F3" s="52">
        <f>IFERROR(_xlfn.NORM.DIST(_xlfn.NORM.INV(SUM(F4:F5), 0, 1) + 1, 0, 1, TRUE) - SUM(F4:F5), "")</f>
        <v>0.38119247558562608</v>
      </c>
      <c r="G3" s="52">
        <f>IFERROR(_xlfn.NORM.DIST(_xlfn.NORM.INV(SUM(G4:G5), 0, 1) + 1, 0, 1, TRUE) - SUM(G4:G5), "")</f>
        <v>0.37551715663384039</v>
      </c>
    </row>
    <row r="4" spans="1:15" ht="15.75" customHeight="1" x14ac:dyDescent="0.25">
      <c r="B4" s="5" t="s">
        <v>114</v>
      </c>
      <c r="C4" s="45">
        <v>0.11396199999999999</v>
      </c>
      <c r="D4" s="53">
        <v>0.11396199999999999</v>
      </c>
      <c r="E4" s="53">
        <v>0.15460070000000001</v>
      </c>
      <c r="F4" s="53">
        <v>0.22727710000000001</v>
      </c>
      <c r="G4" s="53">
        <v>0.2411103</v>
      </c>
    </row>
    <row r="5" spans="1:15" ht="15.75" customHeight="1" x14ac:dyDescent="0.25">
      <c r="B5" s="5" t="s">
        <v>115</v>
      </c>
      <c r="C5" s="45">
        <v>5.5087999999999998E-2</v>
      </c>
      <c r="D5" s="53">
        <v>5.5087999999999998E-2</v>
      </c>
      <c r="E5" s="53">
        <v>5.7278299999999997E-2</v>
      </c>
      <c r="F5" s="53">
        <v>0.11704970000000001</v>
      </c>
      <c r="G5" s="53">
        <v>0.14332139999999999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0.69029906059379409</v>
      </c>
      <c r="D8" s="52">
        <f>IFERROR(1-_xlfn.NORM.DIST(_xlfn.NORM.INV(SUM(D10:D11), 0, 1) + 1, 0, 1, TRUE), "")</f>
        <v>0.69029906059379409</v>
      </c>
      <c r="E8" s="52">
        <f>IFERROR(1-_xlfn.NORM.DIST(_xlfn.NORM.INV(SUM(E10:E11), 0, 1) + 1, 0, 1, TRUE), "")</f>
        <v>0.62065285310597829</v>
      </c>
      <c r="F8" s="52">
        <f>IFERROR(1-_xlfn.NORM.DIST(_xlfn.NORM.INV(SUM(F10:F11), 0, 1) + 1, 0, 1, TRUE), "")</f>
        <v>0.67797610140566311</v>
      </c>
      <c r="G8" s="52">
        <f>IFERROR(1-_xlfn.NORM.DIST(_xlfn.NORM.INV(SUM(G10:G11), 0, 1) + 1, 0, 1, TRUE), "")</f>
        <v>0.81008996300694902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0.2424650394062059</v>
      </c>
      <c r="D9" s="52">
        <f>IFERROR(_xlfn.NORM.DIST(_xlfn.NORM.INV(SUM(D10:D11), 0, 1) + 1, 0, 1, TRUE) - SUM(D10:D11), "")</f>
        <v>0.2424650394062059</v>
      </c>
      <c r="E9" s="52">
        <f>IFERROR(_xlfn.NORM.DIST(_xlfn.NORM.INV(SUM(E10:E11), 0, 1) + 1, 0, 1, TRUE) - SUM(E10:E11), "")</f>
        <v>0.28377404689402175</v>
      </c>
      <c r="F9" s="52">
        <f>IFERROR(_xlfn.NORM.DIST(_xlfn.NORM.INV(SUM(F10:F11), 0, 1) + 1, 0, 1, TRUE) - SUM(F10:F11), "")</f>
        <v>0.2501596985943369</v>
      </c>
      <c r="G9" s="52">
        <f>IFERROR(_xlfn.NORM.DIST(_xlfn.NORM.INV(SUM(G10:G11), 0, 1) + 1, 0, 1, TRUE) - SUM(G10:G11), "")</f>
        <v>0.159735036993051</v>
      </c>
    </row>
    <row r="10" spans="1:15" ht="15.75" customHeight="1" x14ac:dyDescent="0.25">
      <c r="B10" s="5" t="s">
        <v>119</v>
      </c>
      <c r="C10" s="45">
        <v>4.7805800000000002E-2</v>
      </c>
      <c r="D10" s="53">
        <v>4.7805800000000002E-2</v>
      </c>
      <c r="E10" s="53">
        <v>7.5145600000000007E-2</v>
      </c>
      <c r="F10" s="53">
        <v>5.4266699999999987E-2</v>
      </c>
      <c r="G10" s="53">
        <v>2.5541999999999999E-2</v>
      </c>
    </row>
    <row r="11" spans="1:15" ht="15.75" customHeight="1" x14ac:dyDescent="0.25">
      <c r="B11" s="5" t="s">
        <v>120</v>
      </c>
      <c r="C11" s="45">
        <v>1.9430099999999999E-2</v>
      </c>
      <c r="D11" s="53">
        <v>1.9430099999999999E-2</v>
      </c>
      <c r="E11" s="53">
        <v>2.0427500000000001E-2</v>
      </c>
      <c r="F11" s="53">
        <v>1.7597499999999999E-2</v>
      </c>
      <c r="G11" s="53">
        <v>4.633E-3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0.6963869907500001</v>
      </c>
      <c r="D14" s="54">
        <v>0.68976179290899997</v>
      </c>
      <c r="E14" s="54">
        <v>0.68976179290899997</v>
      </c>
      <c r="F14" s="54">
        <v>0.61698490867699995</v>
      </c>
      <c r="G14" s="54">
        <v>0.61698490867699995</v>
      </c>
      <c r="H14" s="45">
        <v>0.55500000000000005</v>
      </c>
      <c r="I14" s="55">
        <v>0.55500000000000005</v>
      </c>
      <c r="J14" s="55">
        <v>0.55500000000000005</v>
      </c>
      <c r="K14" s="55">
        <v>0.55500000000000005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0.29121720095280723</v>
      </c>
      <c r="D15" s="52">
        <f t="shared" si="0"/>
        <v>0.28844665584406426</v>
      </c>
      <c r="E15" s="52">
        <f t="shared" si="0"/>
        <v>0.28844665584406426</v>
      </c>
      <c r="F15" s="52">
        <f t="shared" si="0"/>
        <v>0.25801260006527382</v>
      </c>
      <c r="G15" s="52">
        <f t="shared" si="0"/>
        <v>0.25801260006527382</v>
      </c>
      <c r="H15" s="52">
        <f t="shared" si="0"/>
        <v>0.23209156499999997</v>
      </c>
      <c r="I15" s="52">
        <f t="shared" si="0"/>
        <v>0.23209156499999997</v>
      </c>
      <c r="J15" s="52">
        <f t="shared" si="0"/>
        <v>0.23209156499999997</v>
      </c>
      <c r="K15" s="52">
        <f t="shared" si="0"/>
        <v>0.23209156499999997</v>
      </c>
      <c r="L15" s="52">
        <f t="shared" si="0"/>
        <v>0.19236417999999997</v>
      </c>
      <c r="M15" s="52">
        <f t="shared" si="0"/>
        <v>0.19236417999999997</v>
      </c>
      <c r="N15" s="52">
        <f t="shared" si="0"/>
        <v>0.19236417999999997</v>
      </c>
      <c r="O15" s="52">
        <f t="shared" si="0"/>
        <v>0.19236417999999997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YDD3PySPCPeref4Rkkxf0sHjYQEMISBcrPf6vb46F+tmX5bJjjWI5a+QnSkUv74T/jrzRdwHGVrAQikaQic9yQ==" saltValue="MJRE88qYD3I0vVojoNZ+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0.63594139999999999</v>
      </c>
      <c r="D2" s="53">
        <v>0.35273559999999998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0.27326929999999999</v>
      </c>
      <c r="D3" s="53">
        <v>0.45041550000000002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4.2228500000000002E-2</v>
      </c>
      <c r="D4" s="53">
        <v>0.1642421</v>
      </c>
      <c r="E4" s="53">
        <v>0.9582254</v>
      </c>
      <c r="F4" s="53">
        <v>0.68788179999999999</v>
      </c>
      <c r="G4" s="53">
        <v>0</v>
      </c>
    </row>
    <row r="5" spans="1:7" x14ac:dyDescent="0.25">
      <c r="B5" s="3" t="s">
        <v>132</v>
      </c>
      <c r="C5" s="52">
        <v>4.8560800000000001E-2</v>
      </c>
      <c r="D5" s="52">
        <v>3.2606700000000002E-2</v>
      </c>
      <c r="E5" s="52">
        <f>1-SUM(E2:E4)</f>
        <v>4.1774599999999995E-2</v>
      </c>
      <c r="F5" s="52">
        <f>1-SUM(F2:F4)</f>
        <v>0.31211820000000001</v>
      </c>
      <c r="G5" s="52">
        <f>1-SUM(G2:G4)</f>
        <v>1</v>
      </c>
    </row>
  </sheetData>
  <sheetProtection algorithmName="SHA-512" hashValue="2ej/59hU/Hoqk5q0+9srp84GJ5mbkpcl7Di3Z7ZJM0gedNGnH3UGqT0ozHipxa4chOVc76w0LyL01jblsR6l0g==" saltValue="xsWAJG0ztaZn9lmCxKhsD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+7UKL/TqpMVK/pKuKkIpu3ediXBOeJNnsyXGTW55jaJrKTUHr0FC/L61+nfd7ZopsbG+mZnzqtAnUtiESnGKw==" saltValue="44zEsGgm8zyNngAs68TNd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aTmPKfcVkLHvnzPO0e8t6Vn9z2C2Ja1d5c1eY3+gAYQ72mh3t4I5zNTG/Oa14r14us3e3i1ov6VbrdFwQpvs/g==" saltValue="7+n/ewdpfj6LKFvxjtvX6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RJ4ENfyRxcRgf3lDAP0MRu+19b2vzjIbc6VE5uOX9WNiJCis/IiYPxRYimRhdNoakIeDdvQ08sB/ixngL7bLhw==" saltValue="LCyssb143csKREbRWTaea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kv8jIcm8AcArLQjRUII/9rOC1IOM3KSBhW7EzxQ7mfJC9PYjqAdMmNGd+adMVCKdV5/POqqDKw7S5M9lMWPZzw==" saltValue="2u7qLtUKLSU8QBAFu+IOi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36.632258166992372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0.19779983982423099</v>
      </c>
      <c r="C3" s="98">
        <v>0.95</v>
      </c>
      <c r="D3" s="56">
        <v>42.492624238472807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78.944041068564843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0.27811116005214492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0.47062090000000001</v>
      </c>
      <c r="C10" s="98">
        <v>0.95</v>
      </c>
      <c r="D10" s="56">
        <v>13.5103361384934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0.47062090000000001</v>
      </c>
      <c r="C11" s="98">
        <v>0.95</v>
      </c>
      <c r="D11" s="56">
        <v>13.5103361384934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0.47062090000000001</v>
      </c>
      <c r="C12" s="98">
        <v>0.95</v>
      </c>
      <c r="D12" s="56">
        <v>13.5103361384934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0.47062090000000001</v>
      </c>
      <c r="C13" s="98">
        <v>0.95</v>
      </c>
      <c r="D13" s="56">
        <v>13.5103361384934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0.47062090000000001</v>
      </c>
      <c r="C14" s="98">
        <v>0.95</v>
      </c>
      <c r="D14" s="56">
        <v>13.5103361384934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0.47062090000000001</v>
      </c>
      <c r="C15" s="98">
        <v>0.95</v>
      </c>
      <c r="D15" s="56">
        <v>13.5103361384934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0.83</v>
      </c>
      <c r="C16" s="98">
        <v>0.95</v>
      </c>
      <c r="D16" s="56">
        <v>0.24957385245606781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0.12681000000000001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0.17111061783835499</v>
      </c>
      <c r="C18" s="98">
        <v>0.95</v>
      </c>
      <c r="D18" s="56">
        <v>1.920909267166234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0.194935</v>
      </c>
      <c r="C19" s="98">
        <v>0.95</v>
      </c>
      <c r="D19" s="56">
        <v>1.920909267166234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0.38746140000000001</v>
      </c>
      <c r="C21" s="98">
        <v>0.95</v>
      </c>
      <c r="D21" s="56">
        <v>2.660933893201082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23.038760198171971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4.4426820703529186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0.79123374107525191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0.47062090000000001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19.51310336956082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0.71892547543524499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64.812241154722187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0.8</v>
      </c>
      <c r="C31" s="98">
        <v>0.95</v>
      </c>
      <c r="D31" s="56">
        <v>0.72392879504544738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0.48179068639555001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0.2588009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0.2215608</v>
      </c>
      <c r="C38" s="98">
        <v>0.95</v>
      </c>
      <c r="D38" s="56">
        <v>2.654961354727436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YVNQGdzIJ/ntO90QdERz1GWu96WJmyRX+lnY1g16CqzzYl4gueN5i/jU9X1dYwjdWk6CgakuMwc2m9oKq4z8XQ==" saltValue="fqXtUrix3WIMP1yBNCcG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W76oHF/4yxMGJf1R/0sOXuTYy9zcm0KGvHNYKXe3nAfrMUmFH4oo79caq4R6GuZIu+Y1GgrdOqL2cD0QGFGog==" saltValue="7BJz8fJv9C7JRNGKtszBC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9ciXsNh+nq6BpLscqAaupi1qSlatcibXEoCJT84kC/AxkGX5qICK23LpmKF0gnmCtIrrdYkbDFkSPdOxJ0h+9A==" saltValue="kCqDg1aB6I2/jdBqg0f/G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0.12429508000000002</v>
      </c>
      <c r="C3" s="21">
        <f>frac_mam_1_5months * 2.6</f>
        <v>0.12429508000000002</v>
      </c>
      <c r="D3" s="21">
        <f>frac_mam_6_11months * 2.6</f>
        <v>0.19537856000000003</v>
      </c>
      <c r="E3" s="21">
        <f>frac_mam_12_23months * 2.6</f>
        <v>0.14109341999999997</v>
      </c>
      <c r="F3" s="21">
        <f>frac_mam_24_59months * 2.6</f>
        <v>6.6409200000000002E-2</v>
      </c>
    </row>
    <row r="4" spans="1:6" ht="15.75" customHeight="1" x14ac:dyDescent="0.25">
      <c r="A4" s="3" t="s">
        <v>208</v>
      </c>
      <c r="B4" s="21">
        <f>frac_sam_1month * 2.6</f>
        <v>5.0518259999999995E-2</v>
      </c>
      <c r="C4" s="21">
        <f>frac_sam_1_5months * 2.6</f>
        <v>5.0518259999999995E-2</v>
      </c>
      <c r="D4" s="21">
        <f>frac_sam_6_11months * 2.6</f>
        <v>5.3111500000000006E-2</v>
      </c>
      <c r="E4" s="21">
        <f>frac_sam_12_23months * 2.6</f>
        <v>4.5753499999999996E-2</v>
      </c>
      <c r="F4" s="21">
        <f>frac_sam_24_59months * 2.6</f>
        <v>1.2045800000000001E-2</v>
      </c>
    </row>
  </sheetData>
  <sheetProtection algorithmName="SHA-512" hashValue="oS1AF9JuTTDVi4CHFHxWRxJmO5VZO8Ow0599ag9TQTo9eyhEJ9v7hrIsbBuqHtm6yCDt+HajsH6qUhZhfoMr6g==" saltValue="h9eLewThXRNFLX4Fs4p8t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0.495</v>
      </c>
      <c r="E2" s="60">
        <f>food_insecure</f>
        <v>0.495</v>
      </c>
      <c r="F2" s="60">
        <f>food_insecure</f>
        <v>0.495</v>
      </c>
      <c r="G2" s="60">
        <f>food_insecure</f>
        <v>0.495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0.495</v>
      </c>
      <c r="F5" s="60">
        <f>food_insecure</f>
        <v>0.495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0.495</v>
      </c>
      <c r="F8" s="60">
        <f>food_insecure</f>
        <v>0.495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0.495</v>
      </c>
      <c r="F9" s="60">
        <f>food_insecure</f>
        <v>0.495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0.495</v>
      </c>
      <c r="I15" s="60">
        <f>food_insecure</f>
        <v>0.495</v>
      </c>
      <c r="J15" s="60">
        <f>food_insecure</f>
        <v>0.495</v>
      </c>
      <c r="K15" s="60">
        <f>food_insecure</f>
        <v>0.495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0.755</v>
      </c>
      <c r="M24" s="60">
        <f>famplan_unmet_need</f>
        <v>0.755</v>
      </c>
      <c r="N24" s="60">
        <f>famplan_unmet_need</f>
        <v>0.755</v>
      </c>
      <c r="O24" s="60">
        <f>famplan_unmet_need</f>
        <v>0.755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0.35749328564262395</v>
      </c>
      <c r="M25" s="60">
        <f>(1-food_insecure)*(0.49)+food_insecure*(0.7)</f>
        <v>0.59394999999999998</v>
      </c>
      <c r="N25" s="60">
        <f>(1-food_insecure)*(0.49)+food_insecure*(0.7)</f>
        <v>0.59394999999999998</v>
      </c>
      <c r="O25" s="60">
        <f>(1-food_insecure)*(0.49)+food_insecure*(0.7)</f>
        <v>0.59394999999999998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0.15321140813255313</v>
      </c>
      <c r="M26" s="60">
        <f>(1-food_insecure)*(0.21)+food_insecure*(0.3)</f>
        <v>0.25455</v>
      </c>
      <c r="N26" s="60">
        <f>(1-food_insecure)*(0.21)+food_insecure*(0.3)</f>
        <v>0.25455</v>
      </c>
      <c r="O26" s="60">
        <f>(1-food_insecure)*(0.21)+food_insecure*(0.3)</f>
        <v>0.25455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9.118651868820192E-2</v>
      </c>
      <c r="M27" s="60">
        <f>(1-food_insecure)*(0.3)</f>
        <v>0.1515</v>
      </c>
      <c r="N27" s="60">
        <f>(1-food_insecure)*(0.3)</f>
        <v>0.1515</v>
      </c>
      <c r="O27" s="60">
        <f>(1-food_insecure)*(0.3)</f>
        <v>0.1515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0.39810878753662099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EPFzxmojk+XC5Z4EYArCHkakkj/hcwihwcpxcJc32xjl1EeSx1ima6LEHRIv7KbYG6+j25navCGPk6nU+CTdOQ==" saltValue="8BVe5aBUYyZUqM1RvOjJk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+cmwiJZ7I2KLRNkcLo3ur45CzBehZudqtYW6HvW9pZGbtMHvTsBPfV6+Wd/8LSc+zawLMGHRR2gSwezw1ypojg==" saltValue="SZUfpEIWE6CBp8J3ojj9d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9TB21h2AsIHgGaxd8M6yJ/yTcxrx8F5IkipMr5hmvHKz2p2azJ+7ps+79bS0z1xVYuB5LWLDOOGJmOOgWcBM0g==" saltValue="K++ZrbL6Wv/QGPZZA+nY3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va7+DChsFlfUV+H24zXJaoFkgfWJ4a7JVD6rbnwpq4LzMaoWfDvWEq6yV6fPcPKAdeFXZNggx2udicJd08+HpA==" saltValue="q5/NOEA28g25rqFNTQu7e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BGH8RFqkxsuKNKAEWFLbm5NHhhtbNczTN+d3tOCs6YZdV4o4Ed8XfID0/LImBdneJ6vUNE8cwvPWRTKSRFU/kQ==" saltValue="DqhB8amoHwrOCMjWK/53M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l8Oa5IRMWi3IFbRKxRU8fCrBPiwJ/qF4shM4QWHTsY+dmgN3r2NQ1B7PY91Do+xhzgE8QC3tMs6TDWUxIyGkIg==" saltValue="iajQvCCfGl2YQbzIY5VTS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AmtL3AMeElaG3jPFaXYw7W79z0F7bEm59rPFW6P9TzRaagw/tPCyd7P2yYH+SLzW5fgaHgFrGrAgVGP+xYaEJg==" saltValue="dDBVMjKXjGi4MKaT6uF9Q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jS8oP83DUqLiZuf2RprQM4h4ruM7D+F5gVkL5ZnuHTp1LZceC0LvjTuXaZfrGYqqFXSRAdFG/O0tlcg+CZnaQ==" saltValue="inqhzQb6dSrw7hV0j8i/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gYzcoL991GrzX0FGyaGK+RR0LuYWHUmrdTNIA8665xynyYtzDOSfZf/oo2yi0TgjZV9CChep8V/Nch2ExejOg==" saltValue="tKa5a0LLdUVM3DDfm+Fp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xxE/lYtAKEUzGqjP03HmjVXTTnC5+iwiOd2de1cDCvStANBinKc9WCTMSo2DL5ugpQ+QLRqNezVpJZGUyV1x4Q==" saltValue="+sp1Fv2TcIvJ+B8HzQYy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IoNg0R9WW9MtUl3MX7WTDdpZNBFO9HcyWwMkFSxgEsPTiQCWkWYh7V33hjhs8OmhkEm6CxRZdWdjlZKvbUmnaw==" saltValue="S6FIChkRZ6wNQfF8VQXm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83BLl/Kj5jsAZ4xE215HLhrcf1hW6AmDd5jxYed2u2lhgc+JNkOhJJ1IYTpmAokKnoO+6rTNwZmdcbk0qNdww==" saltValue="Z58LYj1cF6uBKyci+/so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WxHnEJDHwNcK4yljJQqY0B9bEtc4b26cRSsfz4vb45afLczlsxtvuzBsrE5TYviDBeZl9UkInxx7E3S2FWD5Q==" saltValue="p0/D9Ekm8Ucvlcp433x4c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lyTih/5lOaIql5JJ60ZaHj9P629ROV/U7lX+cJdoeeIjI4k05lNWEIDABVzktuYAL0LYESGDu30Up5x0v30bYA==" saltValue="aucpzL3FKRcqRgQZ33Dw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JH1sAma8xZE4hcGnnFzHJnyGXbQAsVltyLMpPUYpWaj+m/M17jq0856u42AN8toDqMivIufhyLvOH0FNwHWvag==" saltValue="OIlodnEzoiXg/b2RElp/H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2024-05-17T00:12:45Z</dcterms:modified>
</cp:coreProperties>
</file>