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E22F2CB5-0DE7-4F93-986E-39CE9FE35DE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A31" i="2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37" i="2" l="1"/>
  <c r="I4" i="2"/>
  <c r="I8" i="2"/>
  <c r="A23" i="2"/>
  <c r="A15" i="2"/>
  <c r="A21" i="2"/>
  <c r="I12" i="2"/>
  <c r="A29" i="2"/>
  <c r="I40" i="2"/>
  <c r="A16" i="2"/>
  <c r="A24" i="2"/>
  <c r="A32" i="2"/>
  <c r="A25" i="2"/>
  <c r="A33" i="2"/>
  <c r="A17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20" i="2"/>
  <c r="A28" i="2"/>
  <c r="A36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<sst xmlns="http://schemas.openxmlformats.org/spreadsheetml/2006/main" count="2101" uniqueCount="337">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</sst>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2233111.875</v>
      </c>
    </row>
    <row r="8" spans="1:3" ht="15" customHeight="1" x14ac:dyDescent="0.25">
      <c r="B8" s="5" t="s">
        <v>19</v>
      </c>
      <c r="C8" s="44">
        <v>0.495</v>
      </c>
    </row>
    <row r="9" spans="1:3" ht="15" customHeight="1" x14ac:dyDescent="0.25">
      <c r="B9" s="5" t="s">
        <v>20</v>
      </c>
      <c r="C9" s="45">
        <v>1</v>
      </c>
    </row>
    <row r="10" spans="1:3" ht="15" customHeight="1" x14ac:dyDescent="0.25">
      <c r="B10" s="5" t="s">
        <v>21</v>
      </c>
      <c r="C10" s="45">
        <v>0.39810878753662099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0.755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8.9200000000000002E-2</v>
      </c>
    </row>
    <row r="24" spans="1:3" ht="15" customHeight="1" x14ac:dyDescent="0.25">
      <c r="B24" s="15" t="s">
        <v>33</v>
      </c>
      <c r="C24" s="45">
        <v>0.50560000000000005</v>
      </c>
    </row>
    <row r="25" spans="1:3" ht="15" customHeight="1" x14ac:dyDescent="0.25">
      <c r="B25" s="15" t="s">
        <v>34</v>
      </c>
      <c r="C25" s="45">
        <v>0.33439999999999998</v>
      </c>
    </row>
    <row r="26" spans="1:3" ht="15" customHeight="1" x14ac:dyDescent="0.25">
      <c r="B26" s="15" t="s">
        <v>35</v>
      </c>
      <c r="C26" s="45">
        <v>7.0800000000000002E-2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0.219379248368272</v>
      </c>
    </row>
    <row r="30" spans="1:3" ht="14.25" customHeight="1" x14ac:dyDescent="0.25">
      <c r="B30" s="25" t="s">
        <v>38</v>
      </c>
      <c r="C30" s="99">
        <v>3.6089788005909E-2</v>
      </c>
    </row>
    <row r="31" spans="1:3" ht="14.25" customHeight="1" x14ac:dyDescent="0.25">
      <c r="B31" s="25" t="s">
        <v>39</v>
      </c>
      <c r="C31" s="99">
        <v>9.1984534254138703E-2</v>
      </c>
    </row>
    <row r="32" spans="1:3" ht="14.25" customHeight="1" x14ac:dyDescent="0.25">
      <c r="B32" s="25" t="s">
        <v>40</v>
      </c>
      <c r="C32" s="99">
        <v>0.65254642937168006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29.24811</v>
      </c>
    </row>
    <row r="38" spans="1:5" ht="15" customHeight="1" x14ac:dyDescent="0.25">
      <c r="B38" s="11" t="s">
        <v>45</v>
      </c>
      <c r="C38" s="43">
        <v>55.173659999999998</v>
      </c>
      <c r="D38" s="12"/>
      <c r="E38" s="13"/>
    </row>
    <row r="39" spans="1:5" ht="15" customHeight="1" x14ac:dyDescent="0.25">
      <c r="B39" s="11" t="s">
        <v>46</v>
      </c>
      <c r="C39" s="43">
        <v>83.524249999999995</v>
      </c>
      <c r="D39" s="12"/>
      <c r="E39" s="12"/>
    </row>
    <row r="40" spans="1:5" ht="15" customHeight="1" x14ac:dyDescent="0.25">
      <c r="B40" s="11" t="s">
        <v>47</v>
      </c>
      <c r="C40" s="100">
        <v>5.23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20.004549999999998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5.8957000000000002E-3</v>
      </c>
      <c r="D45" s="12"/>
    </row>
    <row r="46" spans="1:5" ht="15.75" customHeight="1" x14ac:dyDescent="0.25">
      <c r="B46" s="11" t="s">
        <v>52</v>
      </c>
      <c r="C46" s="45">
        <v>6.3348000000000002E-2</v>
      </c>
      <c r="D46" s="12"/>
    </row>
    <row r="47" spans="1:5" ht="15.75" customHeight="1" x14ac:dyDescent="0.25">
      <c r="B47" s="11" t="s">
        <v>53</v>
      </c>
      <c r="C47" s="45">
        <v>7.5394799999999998E-2</v>
      </c>
      <c r="D47" s="12"/>
      <c r="E47" s="13"/>
    </row>
    <row r="48" spans="1:5" ht="15" customHeight="1" x14ac:dyDescent="0.25">
      <c r="B48" s="11" t="s">
        <v>54</v>
      </c>
      <c r="C48" s="46">
        <v>0.85536150000000011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0.41818299999999992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0.16890917</v>
      </c>
    </row>
    <row r="63" spans="1:4" ht="15.75" customHeight="1" x14ac:dyDescent="0.3">
      <c r="A63" s="4"/>
    </row>
  </sheetData>
  <sheetProtection algorithmName="SHA-512" hashValue="tXvlmjuj0mYiOPkc9w4dX5xxXeIrO1pm+KbEy70RHdBkme97rkk0J/c6fm9ZSMWEVpEpWPLltBsTLYYSLk5FPQ==" saltValue="mEWdr/zuy4lC5MjNW2z8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493211</v>
      </c>
      <c r="C2" s="49">
        <v>884702.99999999988</v>
      </c>
      <c r="D2" s="49">
        <v>1158486</v>
      </c>
      <c r="E2" s="49">
        <v>852322</v>
      </c>
      <c r="F2" s="49">
        <v>520757.99999999988</v>
      </c>
      <c r="G2" s="17">
        <f t="shared" ref="G2:G13" si="0">C2+D2+E2+F2</f>
        <v>3416269</v>
      </c>
      <c r="H2" s="17">
        <f t="shared" ref="H2:H13" si="1">(B2 + stillbirth*B2/(1000-stillbirth))/(1-abortion)</f>
        <v>571907.80370923714</v>
      </c>
      <c r="I2" s="17">
        <f t="shared" ref="I2:I13" si="2">G2-H2</f>
        <v>2844361.1962907631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500276</v>
      </c>
      <c r="C3" s="50">
        <v>907771.50000000012</v>
      </c>
      <c r="D3" s="50">
        <v>1188181</v>
      </c>
      <c r="E3" s="50">
        <v>878944</v>
      </c>
      <c r="F3" s="50">
        <v>539119</v>
      </c>
      <c r="G3" s="17">
        <f t="shared" si="0"/>
        <v>3514015.5</v>
      </c>
      <c r="H3" s="17">
        <f t="shared" si="1"/>
        <v>580100.09591927647</v>
      </c>
      <c r="I3" s="17">
        <f t="shared" si="2"/>
        <v>2933915.4040807234</v>
      </c>
    </row>
    <row r="4" spans="1:9" ht="15.75" customHeight="1" x14ac:dyDescent="0.25">
      <c r="A4" s="5">
        <f t="shared" si="3"/>
        <v>2026</v>
      </c>
      <c r="B4" s="49">
        <v>506382</v>
      </c>
      <c r="C4" s="50">
        <v>931435.5</v>
      </c>
      <c r="D4" s="50">
        <v>1221378</v>
      </c>
      <c r="E4" s="50">
        <v>904027.5</v>
      </c>
      <c r="F4" s="50">
        <v>558052.5</v>
      </c>
      <c r="G4" s="17">
        <f t="shared" si="0"/>
        <v>3614893.5</v>
      </c>
      <c r="H4" s="17">
        <f t="shared" si="1"/>
        <v>587180.36997936154</v>
      </c>
      <c r="I4" s="17">
        <f t="shared" si="2"/>
        <v>3027713.1300206385</v>
      </c>
    </row>
    <row r="5" spans="1:9" ht="15.75" customHeight="1" x14ac:dyDescent="0.25">
      <c r="A5" s="5">
        <f t="shared" si="3"/>
        <v>2027</v>
      </c>
      <c r="B5" s="49">
        <v>512962</v>
      </c>
      <c r="C5" s="50">
        <v>956419.50000000012</v>
      </c>
      <c r="D5" s="50">
        <v>1256409.5</v>
      </c>
      <c r="E5" s="50">
        <v>928874</v>
      </c>
      <c r="F5" s="50">
        <v>577478</v>
      </c>
      <c r="G5" s="17">
        <f t="shared" si="0"/>
        <v>3719181</v>
      </c>
      <c r="H5" s="17">
        <f t="shared" si="1"/>
        <v>594810.27553379314</v>
      </c>
      <c r="I5" s="17">
        <f t="shared" si="2"/>
        <v>3124370.724466207</v>
      </c>
    </row>
    <row r="6" spans="1:9" ht="15.75" customHeight="1" x14ac:dyDescent="0.25">
      <c r="A6" s="5">
        <f t="shared" si="3"/>
        <v>2028</v>
      </c>
      <c r="B6" s="49">
        <v>519717</v>
      </c>
      <c r="C6" s="50">
        <v>984195.49999999977</v>
      </c>
      <c r="D6" s="50">
        <v>1291887</v>
      </c>
      <c r="E6" s="50">
        <v>953932</v>
      </c>
      <c r="F6" s="50">
        <v>597477</v>
      </c>
      <c r="G6" s="17">
        <f t="shared" si="0"/>
        <v>3827491.5</v>
      </c>
      <c r="H6" s="17">
        <f t="shared" si="1"/>
        <v>602643.10410828947</v>
      </c>
      <c r="I6" s="17">
        <f t="shared" si="2"/>
        <v>3224848.3958917107</v>
      </c>
    </row>
    <row r="7" spans="1:9" ht="15.75" customHeight="1" x14ac:dyDescent="0.25">
      <c r="A7" s="5">
        <f t="shared" si="3"/>
        <v>2029</v>
      </c>
      <c r="B7" s="49">
        <v>527200</v>
      </c>
      <c r="C7" s="50">
        <v>1014036</v>
      </c>
      <c r="D7" s="50">
        <v>1328074.5</v>
      </c>
      <c r="E7" s="50">
        <v>979690.99999999988</v>
      </c>
      <c r="F7" s="50">
        <v>617659</v>
      </c>
      <c r="G7" s="17">
        <f t="shared" si="0"/>
        <v>3939460.5</v>
      </c>
      <c r="H7" s="17">
        <f t="shared" si="1"/>
        <v>611320.09244625492</v>
      </c>
      <c r="I7" s="17">
        <f t="shared" si="2"/>
        <v>3328140.407553745</v>
      </c>
    </row>
    <row r="8" spans="1:9" ht="15.75" customHeight="1" x14ac:dyDescent="0.25">
      <c r="A8" s="5">
        <f t="shared" si="3"/>
        <v>2030</v>
      </c>
      <c r="B8" s="49">
        <v>533349</v>
      </c>
      <c r="C8" s="50">
        <v>1045271.5</v>
      </c>
      <c r="D8" s="50">
        <v>1365489.5</v>
      </c>
      <c r="E8" s="50">
        <v>1005936</v>
      </c>
      <c r="F8" s="50">
        <v>637238.5</v>
      </c>
      <c r="G8" s="17">
        <f t="shared" si="0"/>
        <v>4053935.5</v>
      </c>
      <c r="H8" s="17">
        <f t="shared" si="1"/>
        <v>618450.22759127</v>
      </c>
      <c r="I8" s="17">
        <f t="shared" si="2"/>
        <v>3435485.2724087299</v>
      </c>
    </row>
    <row r="9" spans="1:9" ht="15.75" customHeight="1" x14ac:dyDescent="0.25">
      <c r="A9" s="5">
        <f t="shared" si="3"/>
        <v>2031</v>
      </c>
      <c r="B9" s="49">
        <v>540373</v>
      </c>
      <c r="C9" s="50">
        <v>1077497.5</v>
      </c>
      <c r="D9" s="50">
        <v>1404243</v>
      </c>
      <c r="E9" s="50">
        <v>1032490.5</v>
      </c>
      <c r="F9" s="50">
        <v>656345</v>
      </c>
      <c r="G9" s="17">
        <f t="shared" si="0"/>
        <v>4170576</v>
      </c>
      <c r="H9" s="17">
        <f t="shared" si="1"/>
        <v>626594.97783660865</v>
      </c>
      <c r="I9" s="17">
        <f t="shared" si="2"/>
        <v>3543981.0221633911</v>
      </c>
    </row>
    <row r="10" spans="1:9" ht="15.75" customHeight="1" x14ac:dyDescent="0.25">
      <c r="A10" s="5">
        <f t="shared" si="3"/>
        <v>2032</v>
      </c>
      <c r="B10" s="49">
        <v>547302</v>
      </c>
      <c r="C10" s="50">
        <v>1109232</v>
      </c>
      <c r="D10" s="50">
        <v>1444209.5</v>
      </c>
      <c r="E10" s="50">
        <v>1060128.5</v>
      </c>
      <c r="F10" s="50">
        <v>675639.5</v>
      </c>
      <c r="G10" s="17">
        <f t="shared" si="0"/>
        <v>4289209.5</v>
      </c>
      <c r="H10" s="17">
        <f t="shared" si="1"/>
        <v>634629.56987105496</v>
      </c>
      <c r="I10" s="17">
        <f t="shared" si="2"/>
        <v>3654579.930128945</v>
      </c>
    </row>
    <row r="11" spans="1:9" ht="15.75" customHeight="1" x14ac:dyDescent="0.25">
      <c r="A11" s="5">
        <f t="shared" si="3"/>
        <v>2033</v>
      </c>
      <c r="B11" s="49">
        <v>556161</v>
      </c>
      <c r="C11" s="50">
        <v>1139330</v>
      </c>
      <c r="D11" s="50">
        <v>1485120</v>
      </c>
      <c r="E11" s="50">
        <v>1089361</v>
      </c>
      <c r="F11" s="50">
        <v>695352.5</v>
      </c>
      <c r="G11" s="17">
        <f t="shared" si="0"/>
        <v>4409163.5</v>
      </c>
      <c r="H11" s="17">
        <f t="shared" si="1"/>
        <v>644902.11292678595</v>
      </c>
      <c r="I11" s="17">
        <f t="shared" si="2"/>
        <v>3764261.3870732142</v>
      </c>
    </row>
    <row r="12" spans="1:9" ht="15.75" customHeight="1" x14ac:dyDescent="0.25">
      <c r="A12" s="5">
        <f t="shared" si="3"/>
        <v>2034</v>
      </c>
      <c r="B12" s="49">
        <v>561597</v>
      </c>
      <c r="C12" s="50">
        <v>1166945.5</v>
      </c>
      <c r="D12" s="50">
        <v>1527513.5</v>
      </c>
      <c r="E12" s="50">
        <v>1118105</v>
      </c>
      <c r="F12" s="50">
        <v>715631</v>
      </c>
      <c r="G12" s="17">
        <f t="shared" si="0"/>
        <v>4528195</v>
      </c>
      <c r="H12" s="17">
        <f t="shared" si="1"/>
        <v>651205.48171005188</v>
      </c>
      <c r="I12" s="17">
        <f t="shared" si="2"/>
        <v>3876989.5182899479</v>
      </c>
    </row>
    <row r="13" spans="1:9" ht="15.75" customHeight="1" x14ac:dyDescent="0.25">
      <c r="A13" s="5">
        <f t="shared" si="3"/>
        <v>2035</v>
      </c>
      <c r="B13" s="49">
        <v>567712</v>
      </c>
      <c r="C13" s="50">
        <v>1192136</v>
      </c>
      <c r="D13" s="50">
        <v>1571748.5</v>
      </c>
      <c r="E13" s="50">
        <v>1147382.5</v>
      </c>
      <c r="F13" s="50">
        <v>738398.5</v>
      </c>
      <c r="G13" s="17">
        <f t="shared" si="0"/>
        <v>4649665.5</v>
      </c>
      <c r="H13" s="17">
        <f t="shared" si="1"/>
        <v>658296.1918111688</v>
      </c>
      <c r="I13" s="17">
        <f t="shared" si="2"/>
        <v>3991369.3081888314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DR2s5lv/etP0PgyrAQNljYvMdn4tfFIWOZEFCZ1zXEkI7JkdJJbVsibLjfTbuV5AI2FThqojjoz1EQeb0uQBQ==" saltValue="Kx0ki/1iF6Vg14W4YCpx4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2.0984399999999969E-2</v>
      </c>
    </row>
    <row r="4" spans="1:8" ht="15.75" customHeight="1" x14ac:dyDescent="0.25">
      <c r="B4" s="19" t="s">
        <v>79</v>
      </c>
      <c r="C4" s="101">
        <v>5.8862300000000048E-2</v>
      </c>
    </row>
    <row r="5" spans="1:8" ht="15.75" customHeight="1" x14ac:dyDescent="0.25">
      <c r="B5" s="19" t="s">
        <v>80</v>
      </c>
      <c r="C5" s="101">
        <v>8.1531899999999921E-2</v>
      </c>
    </row>
    <row r="6" spans="1:8" ht="15.75" customHeight="1" x14ac:dyDescent="0.25">
      <c r="B6" s="19" t="s">
        <v>81</v>
      </c>
      <c r="C6" s="101">
        <v>0.24317549999999971</v>
      </c>
    </row>
    <row r="7" spans="1:8" ht="15.75" customHeight="1" x14ac:dyDescent="0.25">
      <c r="B7" s="19" t="s">
        <v>82</v>
      </c>
      <c r="C7" s="101">
        <v>0.41259100000000032</v>
      </c>
    </row>
    <row r="8" spans="1:8" ht="15.75" customHeight="1" x14ac:dyDescent="0.25">
      <c r="B8" s="19" t="s">
        <v>83</v>
      </c>
      <c r="C8" s="101">
        <v>4.2646999999999859E-3</v>
      </c>
    </row>
    <row r="9" spans="1:8" ht="15.75" customHeight="1" x14ac:dyDescent="0.25">
      <c r="B9" s="19" t="s">
        <v>84</v>
      </c>
      <c r="C9" s="101">
        <v>6.8128800000000017E-2</v>
      </c>
    </row>
    <row r="10" spans="1:8" ht="15.75" customHeight="1" x14ac:dyDescent="0.25">
      <c r="B10" s="19" t="s">
        <v>85</v>
      </c>
      <c r="C10" s="101">
        <v>0.1104614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0.1476401011076009</v>
      </c>
      <c r="D14" s="55">
        <v>0.1476401011076009</v>
      </c>
      <c r="E14" s="55">
        <v>0.1476401011076009</v>
      </c>
      <c r="F14" s="55">
        <v>0.1476401011076009</v>
      </c>
    </row>
    <row r="15" spans="1:8" ht="15.75" customHeight="1" x14ac:dyDescent="0.25">
      <c r="B15" s="19" t="s">
        <v>88</v>
      </c>
      <c r="C15" s="101">
        <v>0.2011911478036702</v>
      </c>
      <c r="D15" s="101">
        <v>0.2011911478036702</v>
      </c>
      <c r="E15" s="101">
        <v>0.2011911478036702</v>
      </c>
      <c r="F15" s="101">
        <v>0.2011911478036702</v>
      </c>
    </row>
    <row r="16" spans="1:8" ht="15.75" customHeight="1" x14ac:dyDescent="0.25">
      <c r="B16" s="19" t="s">
        <v>89</v>
      </c>
      <c r="C16" s="101">
        <v>3.3435292418148833E-2</v>
      </c>
      <c r="D16" s="101">
        <v>3.3435292418148833E-2</v>
      </c>
      <c r="E16" s="101">
        <v>3.3435292418148833E-2</v>
      </c>
      <c r="F16" s="101">
        <v>3.3435292418148833E-2</v>
      </c>
    </row>
    <row r="17" spans="1:8" ht="15.75" customHeight="1" x14ac:dyDescent="0.25">
      <c r="B17" s="19" t="s">
        <v>90</v>
      </c>
      <c r="C17" s="101">
        <v>3.015832246129279E-2</v>
      </c>
      <c r="D17" s="101">
        <v>3.015832246129279E-2</v>
      </c>
      <c r="E17" s="101">
        <v>3.015832246129279E-2</v>
      </c>
      <c r="F17" s="101">
        <v>3.015832246129279E-2</v>
      </c>
    </row>
    <row r="18" spans="1:8" ht="15.75" customHeight="1" x14ac:dyDescent="0.25">
      <c r="B18" s="19" t="s">
        <v>91</v>
      </c>
      <c r="C18" s="101">
        <v>0.4033046735168701</v>
      </c>
      <c r="D18" s="101">
        <v>0.4033046735168701</v>
      </c>
      <c r="E18" s="101">
        <v>0.4033046735168701</v>
      </c>
      <c r="F18" s="101">
        <v>0.4033046735168701</v>
      </c>
    </row>
    <row r="19" spans="1:8" ht="15.75" customHeight="1" x14ac:dyDescent="0.25">
      <c r="B19" s="19" t="s">
        <v>92</v>
      </c>
      <c r="C19" s="101">
        <v>9.5212102324277494E-3</v>
      </c>
      <c r="D19" s="101">
        <v>9.5212102324277494E-3</v>
      </c>
      <c r="E19" s="101">
        <v>9.5212102324277494E-3</v>
      </c>
      <c r="F19" s="101">
        <v>9.5212102324277494E-3</v>
      </c>
    </row>
    <row r="20" spans="1:8" ht="15.75" customHeight="1" x14ac:dyDescent="0.25">
      <c r="B20" s="19" t="s">
        <v>93</v>
      </c>
      <c r="C20" s="101">
        <v>1.192277409131451E-2</v>
      </c>
      <c r="D20" s="101">
        <v>1.192277409131451E-2</v>
      </c>
      <c r="E20" s="101">
        <v>1.192277409131451E-2</v>
      </c>
      <c r="F20" s="101">
        <v>1.192277409131451E-2</v>
      </c>
    </row>
    <row r="21" spans="1:8" ht="15.75" customHeight="1" x14ac:dyDescent="0.25">
      <c r="B21" s="19" t="s">
        <v>94</v>
      </c>
      <c r="C21" s="101">
        <v>5.6537733251141399E-2</v>
      </c>
      <c r="D21" s="101">
        <v>5.6537733251141399E-2</v>
      </c>
      <c r="E21" s="101">
        <v>5.6537733251141399E-2</v>
      </c>
      <c r="F21" s="101">
        <v>5.6537733251141399E-2</v>
      </c>
    </row>
    <row r="22" spans="1:8" ht="15.75" customHeight="1" x14ac:dyDescent="0.25">
      <c r="B22" s="19" t="s">
        <v>95</v>
      </c>
      <c r="C22" s="101">
        <v>0.1062887451175335</v>
      </c>
      <c r="D22" s="101">
        <v>0.1062887451175335</v>
      </c>
      <c r="E22" s="101">
        <v>0.1062887451175335</v>
      </c>
      <c r="F22" s="101">
        <v>0.1062887451175335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0.215159032</v>
      </c>
    </row>
    <row r="27" spans="1:8" ht="15.75" customHeight="1" x14ac:dyDescent="0.25">
      <c r="B27" s="19" t="s">
        <v>102</v>
      </c>
      <c r="C27" s="101">
        <v>1.8590265000000002E-2</v>
      </c>
    </row>
    <row r="28" spans="1:8" ht="15.75" customHeight="1" x14ac:dyDescent="0.25">
      <c r="B28" s="19" t="s">
        <v>103</v>
      </c>
      <c r="C28" s="101">
        <v>5.4018957999999999E-2</v>
      </c>
    </row>
    <row r="29" spans="1:8" ht="15.75" customHeight="1" x14ac:dyDescent="0.25">
      <c r="B29" s="19" t="s">
        <v>104</v>
      </c>
      <c r="C29" s="101">
        <v>0.129449545</v>
      </c>
    </row>
    <row r="30" spans="1:8" ht="15.75" customHeight="1" x14ac:dyDescent="0.25">
      <c r="B30" s="19" t="s">
        <v>2</v>
      </c>
      <c r="C30" s="101">
        <v>0.14082996</v>
      </c>
    </row>
    <row r="31" spans="1:8" ht="15.75" customHeight="1" x14ac:dyDescent="0.25">
      <c r="B31" s="19" t="s">
        <v>105</v>
      </c>
      <c r="C31" s="101">
        <v>8.710394199999999E-2</v>
      </c>
    </row>
    <row r="32" spans="1:8" ht="15.75" customHeight="1" x14ac:dyDescent="0.25">
      <c r="B32" s="19" t="s">
        <v>106</v>
      </c>
      <c r="C32" s="101">
        <v>1.6266652E-2</v>
      </c>
    </row>
    <row r="33" spans="2:3" ht="15.75" customHeight="1" x14ac:dyDescent="0.25">
      <c r="B33" s="19" t="s">
        <v>107</v>
      </c>
      <c r="C33" s="101">
        <v>8.3666946000000006E-2</v>
      </c>
    </row>
    <row r="34" spans="2:3" ht="15.75" customHeight="1" x14ac:dyDescent="0.25">
      <c r="B34" s="19" t="s">
        <v>108</v>
      </c>
      <c r="C34" s="101">
        <v>0.254914698</v>
      </c>
    </row>
    <row r="35" spans="2:3" ht="15.75" customHeight="1" x14ac:dyDescent="0.25">
      <c r="B35" s="27" t="s">
        <v>41</v>
      </c>
      <c r="C35" s="48">
        <f>SUM(C26:C34)</f>
        <v>0.99999999799999995</v>
      </c>
    </row>
  </sheetData>
  <sheetProtection algorithmName="SHA-512" hashValue="UhlyAjW5KDvKi4C95zNgy28e7bSiSTbKpu7BQGheD9TuPg0jjmv1xf4meWrqxivNzGe0994WDzIdgKGwWBje/Q==" saltValue="t0f30d9QhpURtQam0q8YA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0.48321991248159657</v>
      </c>
      <c r="D2" s="52">
        <f>IFERROR(1-_xlfn.NORM.DIST(_xlfn.NORM.INV(SUM(D4:D5), 0, 1) + 1, 0, 1, TRUE), "")</f>
        <v>0.48321991248159657</v>
      </c>
      <c r="E2" s="52">
        <f>IFERROR(1-_xlfn.NORM.DIST(_xlfn.NORM.INV(SUM(E4:E5), 0, 1) + 1, 0, 1, TRUE), "")</f>
        <v>0.42070843327853302</v>
      </c>
      <c r="F2" s="52">
        <f>IFERROR(1-_xlfn.NORM.DIST(_xlfn.NORM.INV(SUM(F4:F5), 0, 1) + 1, 0, 1, TRUE), "")</f>
        <v>0.27448072441437388</v>
      </c>
      <c r="G2" s="52">
        <f>IFERROR(1-_xlfn.NORM.DIST(_xlfn.NORM.INV(SUM(G4:G5), 0, 1) + 1, 0, 1, TRUE), "")</f>
        <v>0.24005114336615963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0.34773008751840345</v>
      </c>
      <c r="D3" s="52">
        <f>IFERROR(_xlfn.NORM.DIST(_xlfn.NORM.INV(SUM(D4:D5), 0, 1) + 1, 0, 1, TRUE) - SUM(D4:D5), "")</f>
        <v>0.34773008751840345</v>
      </c>
      <c r="E3" s="52">
        <f>IFERROR(_xlfn.NORM.DIST(_xlfn.NORM.INV(SUM(E4:E5), 0, 1) + 1, 0, 1, TRUE) - SUM(E4:E5), "")</f>
        <v>0.36741256672146694</v>
      </c>
      <c r="F3" s="52">
        <f>IFERROR(_xlfn.NORM.DIST(_xlfn.NORM.INV(SUM(F4:F5), 0, 1) + 1, 0, 1, TRUE) - SUM(F4:F5), "")</f>
        <v>0.38119247558562608</v>
      </c>
      <c r="G3" s="52">
        <f>IFERROR(_xlfn.NORM.DIST(_xlfn.NORM.INV(SUM(G4:G5), 0, 1) + 1, 0, 1, TRUE) - SUM(G4:G5), "")</f>
        <v>0.37551715663384039</v>
      </c>
    </row>
    <row r="4" spans="1:15" ht="15.75" customHeight="1" x14ac:dyDescent="0.25">
      <c r="B4" s="5" t="s">
        <v>114</v>
      </c>
      <c r="C4" s="45">
        <v>0.11396199999999999</v>
      </c>
      <c r="D4" s="53">
        <v>0.11396199999999999</v>
      </c>
      <c r="E4" s="53">
        <v>0.15460070000000001</v>
      </c>
      <c r="F4" s="53">
        <v>0.22727710000000001</v>
      </c>
      <c r="G4" s="53">
        <v>0.2411103</v>
      </c>
    </row>
    <row r="5" spans="1:15" ht="15.75" customHeight="1" x14ac:dyDescent="0.25">
      <c r="B5" s="5" t="s">
        <v>115</v>
      </c>
      <c r="C5" s="45">
        <v>5.5087999999999998E-2</v>
      </c>
      <c r="D5" s="53">
        <v>5.5087999999999998E-2</v>
      </c>
      <c r="E5" s="53">
        <v>5.7278299999999997E-2</v>
      </c>
      <c r="F5" s="53">
        <v>0.11704970000000001</v>
      </c>
      <c r="G5" s="53">
        <v>0.14332139999999999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0.69029906059379409</v>
      </c>
      <c r="D8" s="52">
        <f>IFERROR(1-_xlfn.NORM.DIST(_xlfn.NORM.INV(SUM(D10:D11), 0, 1) + 1, 0, 1, TRUE), "")</f>
        <v>0.69029906059379409</v>
      </c>
      <c r="E8" s="52">
        <f>IFERROR(1-_xlfn.NORM.DIST(_xlfn.NORM.INV(SUM(E10:E11), 0, 1) + 1, 0, 1, TRUE), "")</f>
        <v>0.62065285310597829</v>
      </c>
      <c r="F8" s="52">
        <f>IFERROR(1-_xlfn.NORM.DIST(_xlfn.NORM.INV(SUM(F10:F11), 0, 1) + 1, 0, 1, TRUE), "")</f>
        <v>0.67797610140566311</v>
      </c>
      <c r="G8" s="52">
        <f>IFERROR(1-_xlfn.NORM.DIST(_xlfn.NORM.INV(SUM(G10:G11), 0, 1) + 1, 0, 1, TRUE), "")</f>
        <v>0.81008996300694902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0.2424650394062059</v>
      </c>
      <c r="D9" s="52">
        <f>IFERROR(_xlfn.NORM.DIST(_xlfn.NORM.INV(SUM(D10:D11), 0, 1) + 1, 0, 1, TRUE) - SUM(D10:D11), "")</f>
        <v>0.2424650394062059</v>
      </c>
      <c r="E9" s="52">
        <f>IFERROR(_xlfn.NORM.DIST(_xlfn.NORM.INV(SUM(E10:E11), 0, 1) + 1, 0, 1, TRUE) - SUM(E10:E11), "")</f>
        <v>0.28377404689402175</v>
      </c>
      <c r="F9" s="52">
        <f>IFERROR(_xlfn.NORM.DIST(_xlfn.NORM.INV(SUM(F10:F11), 0, 1) + 1, 0, 1, TRUE) - SUM(F10:F11), "")</f>
        <v>0.2501596985943369</v>
      </c>
      <c r="G9" s="52">
        <f>IFERROR(_xlfn.NORM.DIST(_xlfn.NORM.INV(SUM(G10:G11), 0, 1) + 1, 0, 1, TRUE) - SUM(G10:G11), "")</f>
        <v>0.159735036993051</v>
      </c>
    </row>
    <row r="10" spans="1:15" ht="15.75" customHeight="1" x14ac:dyDescent="0.25">
      <c r="B10" s="5" t="s">
        <v>119</v>
      </c>
      <c r="C10" s="45">
        <v>4.7805800000000002E-2</v>
      </c>
      <c r="D10" s="53">
        <v>4.7805800000000002E-2</v>
      </c>
      <c r="E10" s="53">
        <v>7.5145600000000007E-2</v>
      </c>
      <c r="F10" s="53">
        <v>5.4266699999999987E-2</v>
      </c>
      <c r="G10" s="53">
        <v>2.5541999999999999E-2</v>
      </c>
    </row>
    <row r="11" spans="1:15" ht="15.75" customHeight="1" x14ac:dyDescent="0.25">
      <c r="B11" s="5" t="s">
        <v>120</v>
      </c>
      <c r="C11" s="45">
        <v>1.9430099999999999E-2</v>
      </c>
      <c r="D11" s="53">
        <v>1.9430099999999999E-2</v>
      </c>
      <c r="E11" s="53">
        <v>2.0427500000000001E-2</v>
      </c>
      <c r="F11" s="53">
        <v>1.7597499999999999E-2</v>
      </c>
      <c r="G11" s="53">
        <v>4.633E-3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0.6963869907500001</v>
      </c>
      <c r="D14" s="54">
        <v>0.68976179290899997</v>
      </c>
      <c r="E14" s="54">
        <v>0.68976179290899997</v>
      </c>
      <c r="F14" s="54">
        <v>0.61698490867699995</v>
      </c>
      <c r="G14" s="54">
        <v>0.61698490867699995</v>
      </c>
      <c r="H14" s="45">
        <v>0.55500000000000005</v>
      </c>
      <c r="I14" s="55">
        <v>0.55500000000000005</v>
      </c>
      <c r="J14" s="55">
        <v>0.55500000000000005</v>
      </c>
      <c r="K14" s="55">
        <v>0.55500000000000005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0.29121720095280723</v>
      </c>
      <c r="D15" s="52">
        <f t="shared" si="0"/>
        <v>0.28844665584406426</v>
      </c>
      <c r="E15" s="52">
        <f t="shared" si="0"/>
        <v>0.28844665584406426</v>
      </c>
      <c r="F15" s="52">
        <f t="shared" si="0"/>
        <v>0.25801260006527382</v>
      </c>
      <c r="G15" s="52">
        <f t="shared" si="0"/>
        <v>0.25801260006527382</v>
      </c>
      <c r="H15" s="52">
        <f t="shared" si="0"/>
        <v>0.23209156499999997</v>
      </c>
      <c r="I15" s="52">
        <f t="shared" si="0"/>
        <v>0.23209156499999997</v>
      </c>
      <c r="J15" s="52">
        <f t="shared" si="0"/>
        <v>0.23209156499999997</v>
      </c>
      <c r="K15" s="52">
        <f t="shared" si="0"/>
        <v>0.23209156499999997</v>
      </c>
      <c r="L15" s="52">
        <f t="shared" si="0"/>
        <v>0.19236417999999997</v>
      </c>
      <c r="M15" s="52">
        <f t="shared" si="0"/>
        <v>0.19236417999999997</v>
      </c>
      <c r="N15" s="52">
        <f t="shared" si="0"/>
        <v>0.19236417999999997</v>
      </c>
      <c r="O15" s="52">
        <f t="shared" si="0"/>
        <v>0.19236417999999997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bLgmFiV7C0hQ9o22NKKpT4ORBlbJk1na+XpCihzOgCZ+4UfdVzzPEzF1fvMN0Tj53hhFbj33v0TTlRgHuAGoA==" saltValue="ssK9xe34glZBVfK66Pe7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0.63594139999999999</v>
      </c>
      <c r="D2" s="53">
        <v>0.35273559999999998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0.27326929999999999</v>
      </c>
      <c r="D3" s="53">
        <v>0.45041550000000002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4.2228500000000002E-2</v>
      </c>
      <c r="D4" s="53">
        <v>0.1642421</v>
      </c>
      <c r="E4" s="53">
        <v>0.9582254</v>
      </c>
      <c r="F4" s="53">
        <v>0.68788179999999999</v>
      </c>
      <c r="G4" s="53">
        <v>0</v>
      </c>
    </row>
    <row r="5" spans="1:7" x14ac:dyDescent="0.25">
      <c r="B5" s="3" t="s">
        <v>132</v>
      </c>
      <c r="C5" s="52">
        <v>4.8560800000000001E-2</v>
      </c>
      <c r="D5" s="52">
        <v>3.2606700000000002E-2</v>
      </c>
      <c r="E5" s="52">
        <f>1-SUM(E2:E4)</f>
        <v>4.1774599999999995E-2</v>
      </c>
      <c r="F5" s="52">
        <f>1-SUM(F2:F4)</f>
        <v>0.31211820000000001</v>
      </c>
      <c r="G5" s="52">
        <f>1-SUM(G2:G4)</f>
        <v>1</v>
      </c>
    </row>
  </sheetData>
  <sheetProtection algorithmName="SHA-512" hashValue="bGtDajTcu5z9tLTFw3OO6moLSKakG23PGDlLhurJFOpfhGGJdINbbC62DczVFmmLAp69E6Xw3JxvJis/o1wFNQ==" saltValue="oEXjisZvAbbTWQuvDLKbE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72dfF/4gytvEMS/sJQlCd8s+EnvF93z32iv3Swhy3Kxks0MCzW/h72BLgxVzHkdWVWgErTqMzVR9uiQM3byPgQ==" saltValue="D+fgNPV/kaIwx1vAt4NWd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rjV68rc/Zb0Ob6NaP/8YTjUMf76j/u2dWUTnpT4yqnf6v7QB2EnoAzHg6KUmxHyJDN0gt7cTWiNvN5+Xv3HtEQ==" saltValue="mH8s+TtpCR/JVxxWA5VTC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jDr34zG+7iKRB5+WADX94M/QP+zURRaeaU8NnRbYF2IV03nzQ6+11TcQ5tYlElu5ySsABzwH056uCM3yxAuIIw==" saltValue="V48jc4Ztqi4Re3yaDxEIr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vcreEuzVAkau+FEyCvqFH7Etx3ALiGIgVhy4x9Acn2KRrJgwVMd43ZZ3V7BZT+qc57BgRmJSsiZDlErq+5OhJQ==" saltValue="C+i1pBg8jxXf5QVb+p9uc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15.04224757621275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0.27811116005214492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0.70706266146872643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0.32567734710074681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0.47062090000000001</v>
      </c>
      <c r="C10" s="98">
        <v>0.95</v>
      </c>
      <c r="D10" s="56">
        <v>13.5103361384934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13.5103361384934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13.5103361384934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13.5103361384934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0.47062090000000001</v>
      </c>
      <c r="C14" s="98">
        <v>0.95</v>
      </c>
      <c r="D14" s="56">
        <v>13.5103361384934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13.5103361384934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0.72296099999999996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0.12681000000000001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0.51300000000000001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0.35273559999999998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23.038760198171971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0.83967060000000004</v>
      </c>
      <c r="C23" s="98">
        <v>0.95</v>
      </c>
      <c r="D23" s="56">
        <v>4.4426820703529186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0.46026228261281199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1.6E-2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0.2215608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0.2588009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7.9000000000000008E-3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0.1213046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0.31415670000000001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1.2729E-3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0.38746140000000001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0.105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z5cio/BXD0knb2RtPY5WWa755svnMZOyAl7r43JbjU79xtE+p9m2cxdHhj+oS4uFT3BmMQCXSGWx7rGiS0CVsQ==" saltValue="eWD/7CfnrYJbpZwc9nMZ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esht4K4t/4qm5M1SZxiJKwBxDvLSjLvhoTub7fudBP+Sa1GwxCktn6gyT19QjMkBho73ocRTwUtqM9u8Spb/HA==" saltValue="haME/oldwAetj5zk8I8K8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lqvnVa0WjbMQtSDu+E30EnoXgdNaNiXpjL3zXnoxt3sUhoLzshsptHzbKKkl6x9VuwtHIS949Vc3cs3xiP7zeQ==" saltValue="ZnBtLjhdYnR68B1HVVQEt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0.12429508000000002</v>
      </c>
      <c r="C3" s="21">
        <f>frac_mam_1_5months * 2.6</f>
        <v>0.12429508000000002</v>
      </c>
      <c r="D3" s="21">
        <f>frac_mam_6_11months * 2.6</f>
        <v>0.19537856000000003</v>
      </c>
      <c r="E3" s="21">
        <f>frac_mam_12_23months * 2.6</f>
        <v>0.14109341999999997</v>
      </c>
      <c r="F3" s="21">
        <f>frac_mam_24_59months * 2.6</f>
        <v>6.6409200000000002E-2</v>
      </c>
    </row>
    <row r="4" spans="1:6" ht="15.75" customHeight="1" x14ac:dyDescent="0.25">
      <c r="A4" s="3" t="s">
        <v>208</v>
      </c>
      <c r="B4" s="21">
        <f>frac_sam_1month * 2.6</f>
        <v>5.0518259999999995E-2</v>
      </c>
      <c r="C4" s="21">
        <f>frac_sam_1_5months * 2.6</f>
        <v>5.0518259999999995E-2</v>
      </c>
      <c r="D4" s="21">
        <f>frac_sam_6_11months * 2.6</f>
        <v>5.3111500000000006E-2</v>
      </c>
      <c r="E4" s="21">
        <f>frac_sam_12_23months * 2.6</f>
        <v>4.5753499999999996E-2</v>
      </c>
      <c r="F4" s="21">
        <f>frac_sam_24_59months * 2.6</f>
        <v>1.2045800000000001E-2</v>
      </c>
    </row>
  </sheetData>
  <sheetProtection algorithmName="SHA-512" hashValue="bhoTYRbWCx1uYPVHslfXO3xR2wq3IqWVHNRE4gl9SuzE7poShb4Z6JUb0If/sj3snJNY6VdsM2CGWyCXVA8caw==" saltValue="OYIFrhxdBLAHOwOwrGwCv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0.495</v>
      </c>
      <c r="E2" s="60">
        <f>food_insecure</f>
        <v>0.495</v>
      </c>
      <c r="F2" s="60">
        <f>food_insecure</f>
        <v>0.495</v>
      </c>
      <c r="G2" s="60">
        <f>food_insecure</f>
        <v>0.495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0.495</v>
      </c>
      <c r="F5" s="60">
        <f>food_insecure</f>
        <v>0.495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0.495</v>
      </c>
      <c r="F8" s="60">
        <f>food_insecure</f>
        <v>0.495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0.495</v>
      </c>
      <c r="F9" s="60">
        <f>food_insecure</f>
        <v>0.495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0.495</v>
      </c>
      <c r="I15" s="60">
        <f>food_insecure</f>
        <v>0.495</v>
      </c>
      <c r="J15" s="60">
        <f>food_insecure</f>
        <v>0.495</v>
      </c>
      <c r="K15" s="60">
        <f>food_insecure</f>
        <v>0.495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0.755</v>
      </c>
      <c r="M24" s="60">
        <f>famplan_unmet_need</f>
        <v>0.755</v>
      </c>
      <c r="N24" s="60">
        <f>famplan_unmet_need</f>
        <v>0.755</v>
      </c>
      <c r="O24" s="60">
        <f>famplan_unmet_need</f>
        <v>0.755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0.35749328564262395</v>
      </c>
      <c r="M25" s="60">
        <f>(1-food_insecure)*(0.49)+food_insecure*(0.7)</f>
        <v>0.59394999999999998</v>
      </c>
      <c r="N25" s="60">
        <f>(1-food_insecure)*(0.49)+food_insecure*(0.7)</f>
        <v>0.59394999999999998</v>
      </c>
      <c r="O25" s="60">
        <f>(1-food_insecure)*(0.49)+food_insecure*(0.7)</f>
        <v>0.59394999999999998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0.15321140813255313</v>
      </c>
      <c r="M26" s="60">
        <f>(1-food_insecure)*(0.21)+food_insecure*(0.3)</f>
        <v>0.25455</v>
      </c>
      <c r="N26" s="60">
        <f>(1-food_insecure)*(0.21)+food_insecure*(0.3)</f>
        <v>0.25455</v>
      </c>
      <c r="O26" s="60">
        <f>(1-food_insecure)*(0.21)+food_insecure*(0.3)</f>
        <v>0.25455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9.118651868820192E-2</v>
      </c>
      <c r="M27" s="60">
        <f>(1-food_insecure)*(0.3)</f>
        <v>0.1515</v>
      </c>
      <c r="N27" s="60">
        <f>(1-food_insecure)*(0.3)</f>
        <v>0.1515</v>
      </c>
      <c r="O27" s="60">
        <f>(1-food_insecure)*(0.3)</f>
        <v>0.1515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0.39810878753662099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Olo6djyqsipzBQjITb0r+FCx2FdSe4XnW9exHbbkCnGjhaL/Swj0Lw/hOSfJP6yAxb/1WS8hC2FgquwyAWkTA==" saltValue="LB12b6vtUoXFL7rU8/QeU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bhA9Vf4keESeHhG5RQU+wLRgtMnHDZv1IUEdzhBArd/p76DOQfo1dfLtrUn6Rybf6kbgIygM56QO331LJZhDrA==" saltValue="EzRFMelvkps4UXO89PKR5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nWrrlusda74Ukm1bcdJqwbVCEJEAz2L06HnG3Qr7NyIG7z7zEPF/kLTxAYO91qZmIK6zM45A2MnBKe0mYatqQ==" saltValue="OUK22apoi1joTqQWHKUEZ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ZPwk5xbKw2mIeE+af0540uas8yog+kCQ3l3ky/zWHoHfu2mHTyz2Sb8WrGXsbA9Y4i1gkktRUxNQuI5VotcBA==" saltValue="eV3wJKgO0Sop5Vv6rY3k6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U5jW+xrznESEaKeHQ83HJOpKPuLf+P0PGsVM5kumS+rZtpxjncUAyt4aPuN87zBiKzl1+LixLSM6YmijCl1+ew==" saltValue="DIofnORhPtwnigKuAs+7M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kwC01xiDvkHq7TRy5KE2JaGAyOcz2s+E0r7jWG0c/vtVGgbZeaHqmKgRsy9gvMrcIQBVHfysfneHrd61RITJbg==" saltValue="saXR6nbeSfH5hL+uOyTFQ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gHopHj6ARxLXBK3wvhjUhgrrZd/RUWq6QkX/qEidVDH0HdXUEEBVG6WFQ+lxqJJ5SoLfiQAIrGTbcahK3u3dQ==" saltValue="vjWnaURYPL+iuhevO1ojw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tDXTua3JSEjAyCC8PnYT05n1JRUnMk9WXkLS3b07QTSlNXnpHPImzilTS7Nce69l8VRTNbmimECzV/K61RDQg==" saltValue="jAzx3Azy2g8LsmnakTnL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u59i8kyc7DmklZXlJSFZwKIfm9RZyTPwE+2iiGBBKLPjPrTesHWCToa8p+W3OrLr3dEK1Klp9w+hahmOUabdA==" saltValue="xc5KWDiK9DaRnFGbDSth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qeN0kagJ2AuAvKnSrjtlUVvAPYNOyVesOFfigXbNnX9yEFrZF2SjxvKs/n/5TLFP2t46L8EVUv+OlMmCNWpuYw==" saltValue="dDEAbg4cW52TkD6ZTMqZ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9bp7w5rTVp+4IOPXDx7YieMqAfhioK/hQ4Yu2Zy+jy6AZYj1SdkYXPINDezBHvwo07nmVY+0poIC1QmHrzhmdQ==" saltValue="JRWHk/bhj2OXZKnD+0sC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4JksQRt0vvCxF72WZE7kGNEQNMTVt/0AIpAmnmCfCdea9+84VnAK/pRYEp1hacUs3i4Deiap+ac9lfG+e1RNSw==" saltValue="hkwnvumF5DXE61cdERb6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UKVEfB9fzklbQkoXgjVdC1hda5UIrklzLnkg5zMI4NKsWpkf9g7iPkKZza/67feHjYYBtGV9xNCo327o/Eb5w==" saltValue="wZ9dPXTzuvohRKhUrI9P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0.10799564391176075</v>
      </c>
      <c r="G18" s="90">
        <f>MIN(MAX(1-0.89/(1-frac_sam_12_23months+(frac_sam_12_23months*0.89)),0),1)</f>
        <v>0.10827386342427692</v>
      </c>
      <c r="H18" s="90">
        <f>MIN(MAX(1-0.89/(1-frac_sam_24_59months+(frac_sam_24_59months*0.89)),0),1)</f>
        <v>0.10954619802890142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0.10258192785697662</v>
      </c>
      <c r="G20" s="90">
        <f>MIN(MAX(1-0.89/(1-frac_mam_12_23months+(frac_mam_12_23months*0.89)),0),1)</f>
        <v>0.10465538626950788</v>
      </c>
      <c r="H20" s="90">
        <f>MIN(MAX(1-0.89/(1-frac_mam_24_59months+(frac_mam_24_59months*0.89)),0),1)</f>
        <v>0.10749239277659295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9.7977264305665335E-3</v>
      </c>
      <c r="G73" s="90">
        <f>MIN(MAX(1-0.99/(1-frac_sam_12_23months+(frac_sam_12_23months*0.99)),0),1)</f>
        <v>9.8257540870755333E-3</v>
      </c>
      <c r="H73" s="90">
        <f>MIN(MAX(1-0.99/(1-frac_sam_24_59months+(frac_sam_24_59months*0.99)),0),1)</f>
        <v>9.9541311748974071E-3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9.2554991003318543E-3</v>
      </c>
      <c r="G75" s="90">
        <f>MIN(MAX(1-0.99/(1-frac_mam_12_23months+(frac_mam_12_23months*0.99)),0),1)</f>
        <v>9.4624679691053259E-3</v>
      </c>
      <c r="H75" s="90">
        <f>MIN(MAX(1-0.99/(1-frac_mam_24_59months+(frac_mam_24_59months*0.99)),0),1)</f>
        <v>9.7470695965163889E-3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0.19671819217412734</v>
      </c>
      <c r="G128" s="90">
        <f>MIN(MAX(1-0.8/(1-frac_sam_12_23months+(frac_sam_12_23months*0.8)),0),1)</f>
        <v>0.19717445549611856</v>
      </c>
      <c r="H128" s="90">
        <f>MIN(MAX(1-0.8/(1-frac_sam_24_59months+(frac_sam_24_59months*0.8)),0),1)</f>
        <v>0.19925803249290786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0.187793247248081</v>
      </c>
      <c r="G130" s="90">
        <f>MIN(MAX(1-0.8/(1-frac_mam_12_23months+(frac_mam_12_23months*0.8)),0),1)</f>
        <v>0.19122205801109404</v>
      </c>
      <c r="H130" s="90">
        <f>MIN(MAX(1-0.8/(1-frac_mam_24_59months+(frac_mam_24_59months*0.8)),0),1)</f>
        <v>0.1958922962059384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qNrKHksmepQAYWtwhFjrsdMMobdeekZMDl+2fkEPXZ5jNHnjyPi3Tn839N5IUGZwOOEAdtQ5KEuFD2fOMqc4g==" saltValue="jNwuiGaAA+C2SVPdKFDD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kbLUvIsSmV+cquOf0ehlznKhVU4Tl/nINNE8h83smNH9PYBjZ2An5HOH0YW/HXYBAGkKdxflM67D3hhDU7pJug==" saltValue="K9Qp7mWuxFkOEQ/lzZUKQ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2024-08-06T08:42:58Z</dcterms:modified>
</cp:coreProperties>
</file>