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A9815119-3B6D-4ED4-B6DA-D9425F0DF6F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33" i="2"/>
  <c r="A31" i="2"/>
  <c r="A25" i="2"/>
  <c r="A23" i="2"/>
  <c r="H13" i="2"/>
  <c r="I13" i="2" s="1"/>
  <c r="G13" i="2"/>
  <c r="H12" i="2"/>
  <c r="G12" i="2"/>
  <c r="I12" i="2" s="1"/>
  <c r="H11" i="2"/>
  <c r="I11" i="2" s="1"/>
  <c r="G11" i="2"/>
  <c r="H10" i="2"/>
  <c r="G10" i="2"/>
  <c r="H9" i="2"/>
  <c r="I9" i="2" s="1"/>
  <c r="G9" i="2"/>
  <c r="H8" i="2"/>
  <c r="G8" i="2"/>
  <c r="I8" i="2" s="1"/>
  <c r="H7" i="2"/>
  <c r="I7" i="2" s="1"/>
  <c r="G7" i="2"/>
  <c r="H6" i="2"/>
  <c r="G6" i="2"/>
  <c r="H5" i="2"/>
  <c r="I5" i="2" s="1"/>
  <c r="G5" i="2"/>
  <c r="H4" i="2"/>
  <c r="G4" i="2"/>
  <c r="I4" i="2" s="1"/>
  <c r="H3" i="2"/>
  <c r="I3" i="2" s="1"/>
  <c r="G3" i="2"/>
  <c r="H2" i="2"/>
  <c r="G2" i="2"/>
  <c r="A2" i="2"/>
  <c r="A40" i="2" s="1"/>
  <c r="C33" i="1"/>
  <c r="C20" i="1"/>
  <c r="I2" i="2" l="1"/>
  <c r="I6" i="2"/>
  <c r="I10" i="2"/>
  <c r="A15" i="2"/>
  <c r="A17" i="2"/>
  <c r="A16" i="2"/>
  <c r="A24" i="2"/>
  <c r="A32" i="2"/>
  <c r="A3" i="2"/>
  <c r="A39" i="2"/>
  <c r="A18" i="2"/>
  <c r="A26" i="2"/>
  <c r="A34" i="2"/>
  <c r="A19" i="2"/>
  <c r="A27" i="2"/>
  <c r="A35" i="2"/>
  <c r="A20" i="2"/>
  <c r="A28" i="2"/>
  <c r="A36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<sst xmlns="http://schemas.openxmlformats.org/spreadsheetml/2006/main" count="2101" uniqueCount="337">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</sst>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77464.384765625</v>
      </c>
    </row>
    <row r="8" spans="1:3" ht="15" customHeight="1" x14ac:dyDescent="0.25">
      <c r="B8" s="5" t="s">
        <v>19</v>
      </c>
      <c r="C8" s="44">
        <v>0.14000000000000001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0.85866676330566405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0.47499999999999998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0.17369999999999999</v>
      </c>
    </row>
    <row r="24" spans="1:3" ht="15" customHeight="1" x14ac:dyDescent="0.25">
      <c r="B24" s="15" t="s">
        <v>33</v>
      </c>
      <c r="C24" s="45">
        <v>0.52529999999999999</v>
      </c>
    </row>
    <row r="25" spans="1:3" ht="15" customHeight="1" x14ac:dyDescent="0.25">
      <c r="B25" s="15" t="s">
        <v>34</v>
      </c>
      <c r="C25" s="45">
        <v>0.26540000000000002</v>
      </c>
    </row>
    <row r="26" spans="1:3" ht="15" customHeight="1" x14ac:dyDescent="0.25">
      <c r="B26" s="15" t="s">
        <v>35</v>
      </c>
      <c r="C26" s="45">
        <v>3.5600000000000007E-2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0.33107179923216201</v>
      </c>
    </row>
    <row r="30" spans="1:3" ht="14.25" customHeight="1" x14ac:dyDescent="0.25">
      <c r="B30" s="25" t="s">
        <v>38</v>
      </c>
      <c r="C30" s="99">
        <v>6.1996951349659497E-2</v>
      </c>
    </row>
    <row r="31" spans="1:3" ht="14.25" customHeight="1" x14ac:dyDescent="0.25">
      <c r="B31" s="25" t="s">
        <v>39</v>
      </c>
      <c r="C31" s="99">
        <v>0.10389744297197299</v>
      </c>
    </row>
    <row r="32" spans="1:3" ht="14.25" customHeight="1" x14ac:dyDescent="0.25">
      <c r="B32" s="25" t="s">
        <v>40</v>
      </c>
      <c r="C32" s="99">
        <v>0.50303380644620499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16.85031</v>
      </c>
    </row>
    <row r="38" spans="1:5" ht="15" customHeight="1" x14ac:dyDescent="0.25">
      <c r="B38" s="11" t="s">
        <v>45</v>
      </c>
      <c r="C38" s="43">
        <v>23.219449999999998</v>
      </c>
      <c r="D38" s="12"/>
      <c r="E38" s="13"/>
    </row>
    <row r="39" spans="1:5" ht="15" customHeight="1" x14ac:dyDescent="0.25">
      <c r="B39" s="11" t="s">
        <v>46</v>
      </c>
      <c r="C39" s="43">
        <v>27.678370000000001</v>
      </c>
      <c r="D39" s="12"/>
      <c r="E39" s="12"/>
    </row>
    <row r="40" spans="1:5" ht="15" customHeight="1" x14ac:dyDescent="0.25">
      <c r="B40" s="11" t="s">
        <v>47</v>
      </c>
      <c r="C40" s="100">
        <v>1.1200000000000001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13.08864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9.8307999999999989E-3</v>
      </c>
      <c r="D45" s="12"/>
    </row>
    <row r="46" spans="1:5" ht="15.75" customHeight="1" x14ac:dyDescent="0.25">
      <c r="B46" s="11" t="s">
        <v>52</v>
      </c>
      <c r="C46" s="45">
        <v>0.1056308</v>
      </c>
      <c r="D46" s="12"/>
    </row>
    <row r="47" spans="1:5" ht="15.75" customHeight="1" x14ac:dyDescent="0.25">
      <c r="B47" s="11" t="s">
        <v>53</v>
      </c>
      <c r="C47" s="45">
        <v>7.1650999999999992E-2</v>
      </c>
      <c r="D47" s="12"/>
      <c r="E47" s="13"/>
    </row>
    <row r="48" spans="1:5" ht="15" customHeight="1" x14ac:dyDescent="0.25">
      <c r="B48" s="11" t="s">
        <v>54</v>
      </c>
      <c r="C48" s="46">
        <v>0.81288740000000004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0.56878600000000001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0.15618451</v>
      </c>
    </row>
    <row r="63" spans="1:4" ht="15.75" customHeight="1" x14ac:dyDescent="0.3">
      <c r="A63" s="4"/>
    </row>
  </sheetData>
  <sheetProtection algorithmName="SHA-512" hashValue="w8Yf5Z7i6q0Ka0vj3EbgR3uLCW/W/G7vnTxjGfXY/Dw4iKe/WIuiNghDcgHp+EPv8diEHa4IpuJ7t1mtWddFGg==" saltValue="5c7MX2EAX7CK5Y0GJU9o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15743</v>
      </c>
      <c r="C2" s="49">
        <v>42956.5</v>
      </c>
      <c r="D2" s="49">
        <v>71006</v>
      </c>
      <c r="E2" s="49">
        <v>59262</v>
      </c>
      <c r="F2" s="49">
        <v>43092.5</v>
      </c>
      <c r="G2" s="17">
        <f t="shared" ref="G2:G13" si="0">C2+D2+E2+F2</f>
        <v>216317</v>
      </c>
      <c r="H2" s="17">
        <f t="shared" ref="H2:H13" si="1">(B2 + stillbirth*B2/(1000-stillbirth))/(1-abortion)</f>
        <v>18127.030909110952</v>
      </c>
      <c r="I2" s="17">
        <f t="shared" ref="I2:I13" si="2">G2-H2</f>
        <v>198189.96909088903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15547</v>
      </c>
      <c r="C3" s="50">
        <v>43129</v>
      </c>
      <c r="D3" s="50">
        <v>69724.5</v>
      </c>
      <c r="E3" s="50">
        <v>60939</v>
      </c>
      <c r="F3" s="50">
        <v>42760</v>
      </c>
      <c r="G3" s="17">
        <f t="shared" si="0"/>
        <v>216552.5</v>
      </c>
      <c r="H3" s="17">
        <f t="shared" si="1"/>
        <v>17901.349777294545</v>
      </c>
      <c r="I3" s="17">
        <f t="shared" si="2"/>
        <v>198651.15022270544</v>
      </c>
    </row>
    <row r="4" spans="1:9" ht="15.75" customHeight="1" x14ac:dyDescent="0.25">
      <c r="A4" s="5">
        <f t="shared" si="3"/>
        <v>2026</v>
      </c>
      <c r="B4" s="49">
        <v>15355</v>
      </c>
      <c r="C4" s="50">
        <v>43340.5</v>
      </c>
      <c r="D4" s="50">
        <v>68466.5</v>
      </c>
      <c r="E4" s="50">
        <v>62492.5</v>
      </c>
      <c r="F4" s="50">
        <v>42420</v>
      </c>
      <c r="G4" s="17">
        <f t="shared" si="0"/>
        <v>216719.5</v>
      </c>
      <c r="H4" s="17">
        <f t="shared" si="1"/>
        <v>17680.274382862139</v>
      </c>
      <c r="I4" s="17">
        <f t="shared" si="2"/>
        <v>199039.22561713785</v>
      </c>
    </row>
    <row r="5" spans="1:9" ht="15.75" customHeight="1" x14ac:dyDescent="0.25">
      <c r="A5" s="5">
        <f t="shared" si="3"/>
        <v>2027</v>
      </c>
      <c r="B5" s="49">
        <v>15169</v>
      </c>
      <c r="C5" s="50">
        <v>43547</v>
      </c>
      <c r="D5" s="50">
        <v>67304</v>
      </c>
      <c r="E5" s="50">
        <v>63823</v>
      </c>
      <c r="F5" s="50">
        <v>42167.5</v>
      </c>
      <c r="G5" s="17">
        <f t="shared" si="0"/>
        <v>216841.5</v>
      </c>
      <c r="H5" s="17">
        <f t="shared" si="1"/>
        <v>17466.107594505753</v>
      </c>
      <c r="I5" s="17">
        <f t="shared" si="2"/>
        <v>199375.39240549423</v>
      </c>
    </row>
    <row r="6" spans="1:9" ht="15.75" customHeight="1" x14ac:dyDescent="0.25">
      <c r="A6" s="5">
        <f t="shared" si="3"/>
        <v>2028</v>
      </c>
      <c r="B6" s="49">
        <v>15012</v>
      </c>
      <c r="C6" s="50">
        <v>43749</v>
      </c>
      <c r="D6" s="50">
        <v>66281</v>
      </c>
      <c r="E6" s="50">
        <v>64860.5</v>
      </c>
      <c r="F6" s="50">
        <v>42072.5</v>
      </c>
      <c r="G6" s="17">
        <f t="shared" si="0"/>
        <v>216963</v>
      </c>
      <c r="H6" s="17">
        <f t="shared" si="1"/>
        <v>17285.332402183423</v>
      </c>
      <c r="I6" s="17">
        <f t="shared" si="2"/>
        <v>199677.66759781659</v>
      </c>
    </row>
    <row r="7" spans="1:9" ht="15.75" customHeight="1" x14ac:dyDescent="0.25">
      <c r="A7" s="5">
        <f t="shared" si="3"/>
        <v>2029</v>
      </c>
      <c r="B7" s="49">
        <v>14847</v>
      </c>
      <c r="C7" s="50">
        <v>43935</v>
      </c>
      <c r="D7" s="50">
        <v>65443</v>
      </c>
      <c r="E7" s="50">
        <v>65530.5</v>
      </c>
      <c r="F7" s="50">
        <v>42196</v>
      </c>
      <c r="G7" s="17">
        <f t="shared" si="0"/>
        <v>217104.5</v>
      </c>
      <c r="H7" s="17">
        <f t="shared" si="1"/>
        <v>17095.345735093077</v>
      </c>
      <c r="I7" s="17">
        <f t="shared" si="2"/>
        <v>200009.15426490692</v>
      </c>
    </row>
    <row r="8" spans="1:9" ht="15.75" customHeight="1" x14ac:dyDescent="0.25">
      <c r="A8" s="5">
        <f t="shared" si="3"/>
        <v>2030</v>
      </c>
      <c r="B8" s="49">
        <v>14675</v>
      </c>
      <c r="C8" s="50">
        <v>44073.5</v>
      </c>
      <c r="D8" s="50">
        <v>64844</v>
      </c>
      <c r="E8" s="50">
        <v>65762</v>
      </c>
      <c r="F8" s="50">
        <v>42605</v>
      </c>
      <c r="G8" s="17">
        <f t="shared" si="0"/>
        <v>217284.5</v>
      </c>
      <c r="H8" s="17">
        <f t="shared" si="1"/>
        <v>16897.299027580717</v>
      </c>
      <c r="I8" s="17">
        <f t="shared" si="2"/>
        <v>200387.20097241929</v>
      </c>
    </row>
    <row r="9" spans="1:9" ht="15.75" customHeight="1" x14ac:dyDescent="0.25">
      <c r="A9" s="5">
        <f t="shared" si="3"/>
        <v>2031</v>
      </c>
      <c r="B9" s="49">
        <v>14442</v>
      </c>
      <c r="C9" s="50">
        <v>44153</v>
      </c>
      <c r="D9" s="50">
        <v>64517</v>
      </c>
      <c r="E9" s="50">
        <v>65407.000000000007</v>
      </c>
      <c r="F9" s="50">
        <v>43353</v>
      </c>
      <c r="G9" s="17">
        <f t="shared" si="0"/>
        <v>217430</v>
      </c>
      <c r="H9" s="17">
        <f t="shared" si="1"/>
        <v>16629.014824962229</v>
      </c>
      <c r="I9" s="17">
        <f t="shared" si="2"/>
        <v>200800.98517503776</v>
      </c>
    </row>
    <row r="10" spans="1:9" ht="15.75" customHeight="1" x14ac:dyDescent="0.25">
      <c r="A10" s="5">
        <f t="shared" si="3"/>
        <v>2032</v>
      </c>
      <c r="B10" s="49">
        <v>14276</v>
      </c>
      <c r="C10" s="50">
        <v>44207</v>
      </c>
      <c r="D10" s="50">
        <v>64450</v>
      </c>
      <c r="E10" s="50">
        <v>64543</v>
      </c>
      <c r="F10" s="50">
        <v>44560</v>
      </c>
      <c r="G10" s="17">
        <f t="shared" si="0"/>
        <v>217760</v>
      </c>
      <c r="H10" s="17">
        <f t="shared" si="1"/>
        <v>16437.876723525882</v>
      </c>
      <c r="I10" s="17">
        <f t="shared" si="2"/>
        <v>201322.12327647413</v>
      </c>
    </row>
    <row r="11" spans="1:9" ht="15.75" customHeight="1" x14ac:dyDescent="0.25">
      <c r="A11" s="5">
        <f t="shared" si="3"/>
        <v>2033</v>
      </c>
      <c r="B11" s="49">
        <v>14148</v>
      </c>
      <c r="C11" s="50">
        <v>44364.5</v>
      </c>
      <c r="D11" s="50">
        <v>64555.5</v>
      </c>
      <c r="E11" s="50">
        <v>63450.5</v>
      </c>
      <c r="F11" s="50">
        <v>46109</v>
      </c>
      <c r="G11" s="17">
        <f t="shared" si="0"/>
        <v>218479.5</v>
      </c>
      <c r="H11" s="17">
        <f t="shared" si="1"/>
        <v>16290.493127237614</v>
      </c>
      <c r="I11" s="17">
        <f t="shared" si="2"/>
        <v>202189.00687276237</v>
      </c>
    </row>
    <row r="12" spans="1:9" ht="15.75" customHeight="1" x14ac:dyDescent="0.25">
      <c r="A12" s="5">
        <f t="shared" si="3"/>
        <v>2034</v>
      </c>
      <c r="B12" s="49">
        <v>13955</v>
      </c>
      <c r="C12" s="50">
        <v>44522.999999999993</v>
      </c>
      <c r="D12" s="50">
        <v>64751.000000000007</v>
      </c>
      <c r="E12" s="50">
        <v>62250</v>
      </c>
      <c r="F12" s="50">
        <v>47744.500000000007</v>
      </c>
      <c r="G12" s="17">
        <f t="shared" si="0"/>
        <v>219268.5</v>
      </c>
      <c r="H12" s="17">
        <f t="shared" si="1"/>
        <v>16068.266298459212</v>
      </c>
      <c r="I12" s="17">
        <f t="shared" si="2"/>
        <v>203200.2337015408</v>
      </c>
    </row>
    <row r="13" spans="1:9" ht="15.75" customHeight="1" x14ac:dyDescent="0.25">
      <c r="A13" s="5">
        <f t="shared" si="3"/>
        <v>2035</v>
      </c>
      <c r="B13" s="49">
        <v>13793</v>
      </c>
      <c r="C13" s="50">
        <v>44566</v>
      </c>
      <c r="D13" s="50">
        <v>65005.5</v>
      </c>
      <c r="E13" s="50">
        <v>61004</v>
      </c>
      <c r="F13" s="50">
        <v>49387.5</v>
      </c>
      <c r="G13" s="17">
        <f t="shared" si="0"/>
        <v>219963</v>
      </c>
      <c r="H13" s="17">
        <f t="shared" si="1"/>
        <v>15881.733934406871</v>
      </c>
      <c r="I13" s="17">
        <f t="shared" si="2"/>
        <v>204081.26606559314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HD3o9SEKLBHkaeuVHyjPMo9MAmUNTnAYg+OTEgPdZtgKIwB5rhkLUWqArIdcyIemXQfLUizSqd4kqtqW+dFIw==" saltValue="TEqmK77dLBFGVktzGJMIv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0.10673638932636099</v>
      </c>
    </row>
    <row r="5" spans="1:8" ht="15.75" customHeight="1" x14ac:dyDescent="0.25">
      <c r="B5" s="19" t="s">
        <v>80</v>
      </c>
      <c r="C5" s="101">
        <v>0.14920298507970139</v>
      </c>
    </row>
    <row r="6" spans="1:8" ht="15.75" customHeight="1" x14ac:dyDescent="0.25">
      <c r="B6" s="19" t="s">
        <v>81</v>
      </c>
      <c r="C6" s="101">
        <v>0.17029788297021189</v>
      </c>
    </row>
    <row r="7" spans="1:8" ht="15.75" customHeight="1" x14ac:dyDescent="0.25">
      <c r="B7" s="19" t="s">
        <v>82</v>
      </c>
      <c r="C7" s="101">
        <v>0.36466676353332361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0.13035388696461131</v>
      </c>
    </row>
    <row r="10" spans="1:8" ht="15.75" customHeight="1" x14ac:dyDescent="0.25">
      <c r="B10" s="19" t="s">
        <v>85</v>
      </c>
      <c r="C10" s="101">
        <v>7.8742092125790683E-2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0.1381909780135985</v>
      </c>
      <c r="D14" s="55">
        <v>0.1381909780135985</v>
      </c>
      <c r="E14" s="55">
        <v>0.1381909780135985</v>
      </c>
      <c r="F14" s="55">
        <v>0.1381909780135985</v>
      </c>
    </row>
    <row r="15" spans="1:8" ht="15.75" customHeight="1" x14ac:dyDescent="0.25">
      <c r="B15" s="19" t="s">
        <v>88</v>
      </c>
      <c r="C15" s="101">
        <v>0.2353941846260775</v>
      </c>
      <c r="D15" s="101">
        <v>0.2353941846260775</v>
      </c>
      <c r="E15" s="101">
        <v>0.2353941846260775</v>
      </c>
      <c r="F15" s="101">
        <v>0.2353941846260775</v>
      </c>
    </row>
    <row r="16" spans="1:8" ht="15.75" customHeight="1" x14ac:dyDescent="0.25">
      <c r="B16" s="19" t="s">
        <v>89</v>
      </c>
      <c r="C16" s="101">
        <v>4.4784880476669023E-2</v>
      </c>
      <c r="D16" s="101">
        <v>4.4784880476669023E-2</v>
      </c>
      <c r="E16" s="101">
        <v>4.4784880476669023E-2</v>
      </c>
      <c r="F16" s="101">
        <v>4.4784880476669023E-2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5.9933805013520101E-2</v>
      </c>
      <c r="D18" s="101">
        <v>5.9933805013520101E-2</v>
      </c>
      <c r="E18" s="101">
        <v>5.9933805013520101E-2</v>
      </c>
      <c r="F18" s="101">
        <v>5.9933805013520101E-2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9.8836406755454131E-2</v>
      </c>
      <c r="D20" s="101">
        <v>9.8836406755454131E-2</v>
      </c>
      <c r="E20" s="101">
        <v>9.8836406755454131E-2</v>
      </c>
      <c r="F20" s="101">
        <v>9.8836406755454131E-2</v>
      </c>
    </row>
    <row r="21" spans="1:8" ht="15.75" customHeight="1" x14ac:dyDescent="0.25">
      <c r="B21" s="19" t="s">
        <v>94</v>
      </c>
      <c r="C21" s="101">
        <v>0.2833137125298032</v>
      </c>
      <c r="D21" s="101">
        <v>0.2833137125298032</v>
      </c>
      <c r="E21" s="101">
        <v>0.2833137125298032</v>
      </c>
      <c r="F21" s="101">
        <v>0.2833137125298032</v>
      </c>
    </row>
    <row r="22" spans="1:8" ht="15.75" customHeight="1" x14ac:dyDescent="0.25">
      <c r="B22" s="19" t="s">
        <v>95</v>
      </c>
      <c r="C22" s="101">
        <v>0.13954603258487749</v>
      </c>
      <c r="D22" s="101">
        <v>0.13954603258487749</v>
      </c>
      <c r="E22" s="101">
        <v>0.13954603258487749</v>
      </c>
      <c r="F22" s="101">
        <v>0.13954603258487749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5.6908684000000001E-2</v>
      </c>
    </row>
    <row r="27" spans="1:8" ht="15.75" customHeight="1" x14ac:dyDescent="0.25">
      <c r="B27" s="19" t="s">
        <v>102</v>
      </c>
      <c r="C27" s="101">
        <v>0.147893197</v>
      </c>
    </row>
    <row r="28" spans="1:8" ht="15.75" customHeight="1" x14ac:dyDescent="0.25">
      <c r="B28" s="19" t="s">
        <v>103</v>
      </c>
      <c r="C28" s="101">
        <v>0.14146481499999999</v>
      </c>
    </row>
    <row r="29" spans="1:8" ht="15.75" customHeight="1" x14ac:dyDescent="0.25">
      <c r="B29" s="19" t="s">
        <v>104</v>
      </c>
      <c r="C29" s="101">
        <v>0.127987182</v>
      </c>
    </row>
    <row r="30" spans="1:8" ht="15.75" customHeight="1" x14ac:dyDescent="0.25">
      <c r="B30" s="19" t="s">
        <v>2</v>
      </c>
      <c r="C30" s="101">
        <v>5.0805205000000013E-2</v>
      </c>
    </row>
    <row r="31" spans="1:8" ht="15.75" customHeight="1" x14ac:dyDescent="0.25">
      <c r="B31" s="19" t="s">
        <v>105</v>
      </c>
      <c r="C31" s="101">
        <v>0.14241514399999999</v>
      </c>
    </row>
    <row r="32" spans="1:8" ht="15.75" customHeight="1" x14ac:dyDescent="0.25">
      <c r="B32" s="19" t="s">
        <v>106</v>
      </c>
      <c r="C32" s="101">
        <v>2.5668638000000001E-2</v>
      </c>
    </row>
    <row r="33" spans="2:3" ht="15.75" customHeight="1" x14ac:dyDescent="0.25">
      <c r="B33" s="19" t="s">
        <v>107</v>
      </c>
      <c r="C33" s="101">
        <v>0.108201272</v>
      </c>
    </row>
    <row r="34" spans="2:3" ht="15.75" customHeight="1" x14ac:dyDescent="0.25">
      <c r="B34" s="19" t="s">
        <v>108</v>
      </c>
      <c r="C34" s="101">
        <v>0.19865586199999999</v>
      </c>
    </row>
    <row r="35" spans="2:3" ht="15.75" customHeight="1" x14ac:dyDescent="0.25">
      <c r="B35" s="27" t="s">
        <v>41</v>
      </c>
      <c r="C35" s="48">
        <f>SUM(C26:C34)</f>
        <v>0.99999999899999992</v>
      </c>
    </row>
  </sheetData>
  <sheetProtection algorithmName="SHA-512" hashValue="Y4gxUKorsZn3YFQt2WeOW1iPk+tA97skE+/X8roLdRJ5fHiJLT+BsM9PaGPrkn3DC6bOEZDEqjBRtD9Rg3oozg==" saltValue="rgBdaeIT+DGbpm+ZfkFf6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0.54057462583763716</v>
      </c>
      <c r="D2" s="52">
        <f>IFERROR(1-_xlfn.NORM.DIST(_xlfn.NORM.INV(SUM(D4:D5), 0, 1) + 1, 0, 1, TRUE), "")</f>
        <v>0.54057462583763716</v>
      </c>
      <c r="E2" s="52">
        <f>IFERROR(1-_xlfn.NORM.DIST(_xlfn.NORM.INV(SUM(E4:E5), 0, 1) + 1, 0, 1, TRUE), "")</f>
        <v>0.7029535077498299</v>
      </c>
      <c r="F2" s="52">
        <f>IFERROR(1-_xlfn.NORM.DIST(_xlfn.NORM.INV(SUM(F4:F5), 0, 1) + 1, 0, 1, TRUE), "")</f>
        <v>0.52839302398010557</v>
      </c>
      <c r="G2" s="52">
        <f>IFERROR(1-_xlfn.NORM.DIST(_xlfn.NORM.INV(SUM(G4:G5), 0, 1) + 1, 0, 1, TRUE), "")</f>
        <v>0.65521607595634679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0.32416877416236284</v>
      </c>
      <c r="D3" s="52">
        <f>IFERROR(_xlfn.NORM.DIST(_xlfn.NORM.INV(SUM(D4:D5), 0, 1) + 1, 0, 1, TRUE) - SUM(D4:D5), "")</f>
        <v>0.32416877416236284</v>
      </c>
      <c r="E3" s="52">
        <f>IFERROR(_xlfn.NORM.DIST(_xlfn.NORM.INV(SUM(E4:E5), 0, 1) + 1, 0, 1, TRUE) - SUM(E4:E5), "")</f>
        <v>0.23439799225017016</v>
      </c>
      <c r="F3" s="52">
        <f>IFERROR(_xlfn.NORM.DIST(_xlfn.NORM.INV(SUM(F4:F5), 0, 1) + 1, 0, 1, TRUE) - SUM(F4:F5), "")</f>
        <v>0.32957417601989436</v>
      </c>
      <c r="G3" s="52">
        <f>IFERROR(_xlfn.NORM.DIST(_xlfn.NORM.INV(SUM(G4:G5), 0, 1) + 1, 0, 1, TRUE) - SUM(G4:G5), "")</f>
        <v>0.26394362404365312</v>
      </c>
    </row>
    <row r="4" spans="1:15" ht="15.75" customHeight="1" x14ac:dyDescent="0.25">
      <c r="B4" s="5" t="s">
        <v>114</v>
      </c>
      <c r="C4" s="45">
        <v>9.3425999999999995E-2</v>
      </c>
      <c r="D4" s="53">
        <v>9.3425999999999995E-2</v>
      </c>
      <c r="E4" s="53">
        <v>4.45937E-2</v>
      </c>
      <c r="F4" s="53">
        <v>9.1402900000000009E-2</v>
      </c>
      <c r="G4" s="53">
        <v>6.11955E-2</v>
      </c>
    </row>
    <row r="5" spans="1:15" ht="15.75" customHeight="1" x14ac:dyDescent="0.25">
      <c r="B5" s="5" t="s">
        <v>115</v>
      </c>
      <c r="C5" s="45">
        <v>4.1830600000000003E-2</v>
      </c>
      <c r="D5" s="53">
        <v>4.1830600000000003E-2</v>
      </c>
      <c r="E5" s="53">
        <v>1.8054799999999999E-2</v>
      </c>
      <c r="F5" s="53">
        <v>5.0629899999999999E-2</v>
      </c>
      <c r="G5" s="53">
        <v>1.96448E-2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0.50103203834345922</v>
      </c>
      <c r="D8" s="52">
        <f>IFERROR(1-_xlfn.NORM.DIST(_xlfn.NORM.INV(SUM(D10:D11), 0, 1) + 1, 0, 1, TRUE), "")</f>
        <v>0.50103203834345922</v>
      </c>
      <c r="E8" s="52">
        <f>IFERROR(1-_xlfn.NORM.DIST(_xlfn.NORM.INV(SUM(E10:E11), 0, 1) + 1, 0, 1, TRUE), "")</f>
        <v>0.64690748625615746</v>
      </c>
      <c r="F8" s="52">
        <f>IFERROR(1-_xlfn.NORM.DIST(_xlfn.NORM.INV(SUM(F10:F11), 0, 1) + 1, 0, 1, TRUE), "")</f>
        <v>0.74282560257230168</v>
      </c>
      <c r="G8" s="52">
        <f>IFERROR(1-_xlfn.NORM.DIST(_xlfn.NORM.INV(SUM(G10:G11), 0, 1) + 1, 0, 1, TRUE), "")</f>
        <v>0.72471861636851709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0.34093786165654083</v>
      </c>
      <c r="D9" s="52">
        <f>IFERROR(_xlfn.NORM.DIST(_xlfn.NORM.INV(SUM(D10:D11), 0, 1) + 1, 0, 1, TRUE) - SUM(D10:D11), "")</f>
        <v>0.34093786165654083</v>
      </c>
      <c r="E9" s="52">
        <f>IFERROR(_xlfn.NORM.DIST(_xlfn.NORM.INV(SUM(E10:E11), 0, 1) + 1, 0, 1, TRUE) - SUM(E10:E11), "")</f>
        <v>0.26883401374384253</v>
      </c>
      <c r="F9" s="52">
        <f>IFERROR(_xlfn.NORM.DIST(_xlfn.NORM.INV(SUM(F10:F11), 0, 1) + 1, 0, 1, TRUE) - SUM(F10:F11), "")</f>
        <v>0.20791539742769832</v>
      </c>
      <c r="G9" s="52">
        <f>IFERROR(_xlfn.NORM.DIST(_xlfn.NORM.INV(SUM(G10:G11), 0, 1) + 1, 0, 1, TRUE) - SUM(G10:G11), "")</f>
        <v>0.22013928363148291</v>
      </c>
    </row>
    <row r="10" spans="1:15" ht="15.75" customHeight="1" x14ac:dyDescent="0.25">
      <c r="B10" s="5" t="s">
        <v>119</v>
      </c>
      <c r="C10" s="45">
        <v>7.7093899999999993E-2</v>
      </c>
      <c r="D10" s="53">
        <v>7.7093899999999993E-2</v>
      </c>
      <c r="E10" s="53">
        <v>4.1849299999999999E-2</v>
      </c>
      <c r="F10" s="53">
        <v>3.5613899999999997E-2</v>
      </c>
      <c r="G10" s="53">
        <v>4.6911300000000003E-2</v>
      </c>
    </row>
    <row r="11" spans="1:15" ht="15.75" customHeight="1" x14ac:dyDescent="0.25">
      <c r="B11" s="5" t="s">
        <v>120</v>
      </c>
      <c r="C11" s="45">
        <v>8.09362E-2</v>
      </c>
      <c r="D11" s="53">
        <v>8.09362E-2</v>
      </c>
      <c r="E11" s="53">
        <v>4.2409200000000001E-2</v>
      </c>
      <c r="F11" s="53">
        <v>1.36451E-2</v>
      </c>
      <c r="G11" s="53">
        <v>8.2307999999999999E-3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0.60847067900000007</v>
      </c>
      <c r="D14" s="54">
        <v>0.58133804313699999</v>
      </c>
      <c r="E14" s="54">
        <v>0.58133804313699999</v>
      </c>
      <c r="F14" s="54">
        <v>0.34640304007799999</v>
      </c>
      <c r="G14" s="54">
        <v>0.34640304007799999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0.32500000000000001</v>
      </c>
      <c r="M14" s="55">
        <v>0.32500000000000001</v>
      </c>
      <c r="N14" s="55">
        <v>0.32500000000000001</v>
      </c>
      <c r="O14" s="55">
        <v>0.32500000000000001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0.34608960362569408</v>
      </c>
      <c r="D15" s="52">
        <f t="shared" si="0"/>
        <v>0.33065694020372166</v>
      </c>
      <c r="E15" s="52">
        <f t="shared" si="0"/>
        <v>0.33065694020372166</v>
      </c>
      <c r="F15" s="52">
        <f t="shared" si="0"/>
        <v>0.1970291995538053</v>
      </c>
      <c r="G15" s="52">
        <f t="shared" si="0"/>
        <v>0.1970291995538053</v>
      </c>
      <c r="H15" s="52">
        <f t="shared" si="0"/>
        <v>0.165516726</v>
      </c>
      <c r="I15" s="52">
        <f t="shared" si="0"/>
        <v>0.165516726</v>
      </c>
      <c r="J15" s="52">
        <f t="shared" si="0"/>
        <v>0.165516726</v>
      </c>
      <c r="K15" s="52">
        <f t="shared" si="0"/>
        <v>0.165516726</v>
      </c>
      <c r="L15" s="52">
        <f t="shared" si="0"/>
        <v>0.18485545</v>
      </c>
      <c r="M15" s="52">
        <f t="shared" si="0"/>
        <v>0.18485545</v>
      </c>
      <c r="N15" s="52">
        <f t="shared" si="0"/>
        <v>0.18485545</v>
      </c>
      <c r="O15" s="52">
        <f t="shared" si="0"/>
        <v>0.18485545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WKPDkxisfV8Xk10NvsMVbLI1yLsHyzBYLjsoEbpMragDnWlfVV6RC+cnAf95SI6H06kQw3sBKJtUGHSDJHpOg==" saltValue="6zALegRqM6KRXoMwwoAi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0.35552159999999999</v>
      </c>
      <c r="D2" s="53">
        <v>0.33231739999999999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0.1800283</v>
      </c>
      <c r="D3" s="53">
        <v>0.1106779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0.29858469999999998</v>
      </c>
      <c r="D4" s="53">
        <v>0.34923300000000002</v>
      </c>
      <c r="E4" s="53">
        <v>0.68055690000000002</v>
      </c>
      <c r="F4" s="53">
        <v>0.52035169999999997</v>
      </c>
      <c r="G4" s="53">
        <v>0</v>
      </c>
    </row>
    <row r="5" spans="1:7" x14ac:dyDescent="0.25">
      <c r="B5" s="3" t="s">
        <v>132</v>
      </c>
      <c r="C5" s="52">
        <v>0.1658654</v>
      </c>
      <c r="D5" s="52">
        <v>0.2077717</v>
      </c>
      <c r="E5" s="52">
        <f>1-SUM(E2:E4)</f>
        <v>0.31944309999999998</v>
      </c>
      <c r="F5" s="52">
        <f>1-SUM(F2:F4)</f>
        <v>0.47964830000000003</v>
      </c>
      <c r="G5" s="52">
        <f>1-SUM(G2:G4)</f>
        <v>1</v>
      </c>
    </row>
  </sheetData>
  <sheetProtection algorithmName="SHA-512" hashValue="ATlJzZ3E5tWT3728ExauGLtGg817iffnzQuz/mmVdpErzPjaP2pbeZUWadPoQUtbREx/Rqv59xJtIyCru+0yvw==" saltValue="UzE7tN6K2FEuTVOc3+dLO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HGDwfkVqR29pGyo3U4Kf/TZpXHTWQm3lpR9hCKwVSALjQY7H15kVx1X5zwn6P53wE1eBOBFfyqrSsKHj3oFbg==" saltValue="Jem78F5ddMBxELVR/1tn/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ijn/XAsIQBeDYRlFAnsb3AZ5QVY1j18taQaEx2FOVjS0nHa6i+IP9ZPHetkEsypzEz1pZzHPRTBubCs9KKuClA==" saltValue="kbjnjNJEydlP21zfSub+n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QkJEPfLH1wQeMZrJblexqDdjX6vN+hymWLpS4JyOXwIq8WGdbsQ+sNF2cVsdqTJvkfwLENjZkbgp6kf+cOuWGg==" saltValue="X9BW2skv7Rs1MbuD4hB7b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kjvsEbVzsV4UsJHWXn1Lgu+XQTCKf3o7dsmJGeQH5usRU2Mh06TztpPJk6AqFp71FK2h4axiD/Pxk9u5bkpVIQ==" saltValue="LmPt+O8VIFivMEMhOzTiP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154.17725521634259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36.544834772694642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0.75185731651381305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0.44994896638918952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1.516970800969268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0.83347689488283194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0.34227999999999997</v>
      </c>
      <c r="C10" s="98">
        <v>0.95</v>
      </c>
      <c r="D10" s="56">
        <v>13.067488876852151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13.067488876852151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13.067488876852151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13.067488876852151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0.34227999999999997</v>
      </c>
      <c r="C14" s="98">
        <v>0.95</v>
      </c>
      <c r="D14" s="56">
        <v>13.067488876852151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13.067488876852151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0.10029780000000001</v>
      </c>
      <c r="C16" s="98">
        <v>0.95</v>
      </c>
      <c r="D16" s="56">
        <v>5.8835597567123799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0.56000000000000005</v>
      </c>
      <c r="C18" s="98">
        <v>0.95</v>
      </c>
      <c r="D18" s="56">
        <v>36.544834772694642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0.33231739999999999</v>
      </c>
      <c r="C19" s="98">
        <v>0.95</v>
      </c>
      <c r="D19" s="56">
        <v>36.544834772694642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17.588891180900539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22.579312803378102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8.4900199999999995E-2</v>
      </c>
      <c r="C23" s="98">
        <v>0.95</v>
      </c>
      <c r="D23" s="56">
        <v>4.3139060578863351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0.69848931918543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0.34227999999999997</v>
      </c>
      <c r="C26" s="98">
        <v>0.95</v>
      </c>
      <c r="D26" s="56">
        <v>8.1464668622096941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5.5181659343385068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0.39697460000000001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0.40319179999999999</v>
      </c>
      <c r="C29" s="98">
        <v>0.95</v>
      </c>
      <c r="D29" s="56">
        <v>206.81375092158379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65.176827828224631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3.8695611109470298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0.83472579999999996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0.30158800000000002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9.186699999999999E-3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0.70111239999999997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1.28822E-2</v>
      </c>
      <c r="C38" s="98">
        <v>0.95</v>
      </c>
      <c r="D38" s="56">
        <v>5.754815016497699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8.0553075689406626</v>
      </c>
      <c r="E39" s="56" t="s">
        <v>201</v>
      </c>
      <c r="F39" s="98">
        <v>1</v>
      </c>
      <c r="G39" s="98">
        <v>1</v>
      </c>
    </row>
  </sheetData>
  <sheetProtection algorithmName="SHA-512" hashValue="Lxo/jSEjjs6TxGc7STu9W0p1HbuZnbRP7jq257DgowW6YbU1SA0p2gSyrVNSejkqCT1KDc8olTW0C3JZsPb+UQ==" saltValue="OK5n8lDPzuuhkxQkBI+r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gBvjvE8uRePQ+jydheiTyoRgKlNw7ZRNLAgfC7Iwwu25Nbru15I4vzigIhYrjmU+EnWWBaN2jmrF3LdP3Qf/yg==" saltValue="5uhnTbhnf560yQM7dUC0o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yyOyVmno21eq7VSqZGFVFlBLsqaU987VzjDQubpYmP47p6qHNjlHKiHazqNdtygGVHyeQhzYK9r1WDIenAoF9Q==" saltValue="igXtQ94CQwLINHKDMTwm5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0.20044413999999999</v>
      </c>
      <c r="C3" s="21">
        <f>frac_mam_1_5months * 2.6</f>
        <v>0.20044413999999999</v>
      </c>
      <c r="D3" s="21">
        <f>frac_mam_6_11months * 2.6</f>
        <v>0.10880818</v>
      </c>
      <c r="E3" s="21">
        <f>frac_mam_12_23months * 2.6</f>
        <v>9.2596139999999993E-2</v>
      </c>
      <c r="F3" s="21">
        <f>frac_mam_24_59months * 2.6</f>
        <v>0.12196938000000002</v>
      </c>
    </row>
    <row r="4" spans="1:6" ht="15.75" customHeight="1" x14ac:dyDescent="0.25">
      <c r="A4" s="3" t="s">
        <v>208</v>
      </c>
      <c r="B4" s="21">
        <f>frac_sam_1month * 2.6</f>
        <v>0.21043412</v>
      </c>
      <c r="C4" s="21">
        <f>frac_sam_1_5months * 2.6</f>
        <v>0.21043412</v>
      </c>
      <c r="D4" s="21">
        <f>frac_sam_6_11months * 2.6</f>
        <v>0.11026392</v>
      </c>
      <c r="E4" s="21">
        <f>frac_sam_12_23months * 2.6</f>
        <v>3.5477260000000004E-2</v>
      </c>
      <c r="F4" s="21">
        <f>frac_sam_24_59months * 2.6</f>
        <v>2.1400080000000002E-2</v>
      </c>
    </row>
  </sheetData>
  <sheetProtection algorithmName="SHA-512" hashValue="i+8tgOMMNHHJLIcqmeHmeY9UXLCjbAZBGajYPXr4ch88LIEOAYLaSzBtr4Q7lDtQ6LQNic4qt2Y7MLPL41SWUg==" saltValue="hF2moHkF3B73S070nPMjA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0.14000000000000001</v>
      </c>
      <c r="E2" s="60">
        <f>food_insecure</f>
        <v>0.14000000000000001</v>
      </c>
      <c r="F2" s="60">
        <f>food_insecure</f>
        <v>0.14000000000000001</v>
      </c>
      <c r="G2" s="60">
        <f>food_insecure</f>
        <v>0.14000000000000001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0.14000000000000001</v>
      </c>
      <c r="F5" s="60">
        <f>food_insecure</f>
        <v>0.14000000000000001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0.14000000000000001</v>
      </c>
      <c r="F8" s="60">
        <f>food_insecure</f>
        <v>0.14000000000000001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0.14000000000000001</v>
      </c>
      <c r="F9" s="60">
        <f>food_insecure</f>
        <v>0.14000000000000001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0.14000000000000001</v>
      </c>
      <c r="I15" s="60">
        <f>food_insecure</f>
        <v>0.14000000000000001</v>
      </c>
      <c r="J15" s="60">
        <f>food_insecure</f>
        <v>0.14000000000000001</v>
      </c>
      <c r="K15" s="60">
        <f>food_insecure</f>
        <v>0.14000000000000001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0.47499999999999998</v>
      </c>
      <c r="M24" s="60">
        <f>famplan_unmet_need</f>
        <v>0.47499999999999998</v>
      </c>
      <c r="N24" s="60">
        <f>famplan_unmet_need</f>
        <v>0.47499999999999998</v>
      </c>
      <c r="O24" s="60">
        <f>famplan_unmet_need</f>
        <v>0.47499999999999998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7.3408483139038097E-2</v>
      </c>
      <c r="M25" s="60">
        <f>(1-food_insecure)*(0.49)+food_insecure*(0.7)</f>
        <v>0.51939999999999997</v>
      </c>
      <c r="N25" s="60">
        <f>(1-food_insecure)*(0.49)+food_insecure*(0.7)</f>
        <v>0.51939999999999997</v>
      </c>
      <c r="O25" s="60">
        <f>(1-food_insecure)*(0.49)+food_insecure*(0.7)</f>
        <v>0.51939999999999997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3.1460778488159181E-2</v>
      </c>
      <c r="M26" s="60">
        <f>(1-food_insecure)*(0.21)+food_insecure*(0.3)</f>
        <v>0.22259999999999999</v>
      </c>
      <c r="N26" s="60">
        <f>(1-food_insecure)*(0.21)+food_insecure*(0.3)</f>
        <v>0.22259999999999999</v>
      </c>
      <c r="O26" s="60">
        <f>(1-food_insecure)*(0.21)+food_insecure*(0.3)</f>
        <v>0.22259999999999999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3.6463975067138679E-2</v>
      </c>
      <c r="M27" s="60">
        <f>(1-food_insecure)*(0.3)</f>
        <v>0.25800000000000001</v>
      </c>
      <c r="N27" s="60">
        <f>(1-food_insecure)*(0.3)</f>
        <v>0.25800000000000001</v>
      </c>
      <c r="O27" s="60">
        <f>(1-food_insecure)*(0.3)</f>
        <v>0.25800000000000001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0.85866676330566405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eKQQ4ejjySkJGQk0FfcUVMocYKNFJ+J7pd8Asz6aItg2y+n1p+qRgKCUjAijzNLn+ER0Fid6Y0+vzf9RDb//uA==" saltValue="ov7m6FmbcXHcaPCuzhcwQ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aMbWa/7AzrbT8vWu0la6Oz+8Y4BTj4Tfuo8cxwJhov/zZ9MtCNZV+lqbaVLqwkDjBFgNt6/cBJQsW4PHA2DLaA==" saltValue="cSUZihr7dWWyu3dEADnCt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4ePt93sVbqoQlfxMzte9mcZskBQ5LY0RVfZoQI+T51y1AojuV0O6kPO0X5DgeT9kNMRtASqJJKkMP5DR10fIQ==" saltValue="unyK2ckIh+yk6tdSjiU0i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XdDIUcTUeuYfpZgLVTsxBrVWFooWYp1ua61iBcG09kjSuMD/S+3eTosrXFInjQ7slUa0kZaQfS9+E30pkDYgw==" saltValue="x9AmK0tg0H+FCSesDIYCg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5ImF74b8evireaELQizHeDMcl57/PuICmKtC/HpRaVkxbbA82OTTNBEwPOShqWFR9oFqKU9CFuZcV4kk5CHnlA==" saltValue="TEGe7+O0Zw2wgmnYSIKJs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gkkbZj7d8u/1nLb2UTjyTdF8ODGx2CyL2n6U+aDA6NLn8Z3WUN/RgNfgH79X/+8zMxh3e2M7bKKmJpLSVWO3FA==" saltValue="HcqEc26Zd1P0DHZZubPNC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5BjR9n8KmAvMU4rqKdzMFOGI/YAIlEqNjG2NnvmHMtoNt4ZqePljuCIm20PTOQFWzan8o86y8DudrzsPBo5d4A==" saltValue="wBa46XGyOsNzzhbs02vrB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3z6HuPiiE+p5y+IaIpueRBJiwwEl5HPablWFwvXkhVDZxoUK/88/oosaWC3DBTpF/APZIXDzFk3+v3so3wrIJw==" saltValue="o4dpl5r3/Y03QisN6J/7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GWDZa6qabuBLI5z5ZbOjeP625K/BqLsYNltFOaEILdSLkiQdi5ItXFMaUt3YMZorxZazEPgWUWudSphZzBs+iA==" saltValue="WmgxxbNcoepeNxYzeE4g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Fb2+4+n2eLS7K+MVxdQXCoM6teB2AvIy/6Pzb/1EYEDUs06tBLpKsZ0neIrKfeXUHSEdj5qrVR1PPY+MdF3R8Q==" saltValue="hra7kslQjv3Gzj0MwaUw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gMBryWaz/U4MEKsgC7orWaIzWqzL5svX/oyqjut+SfCvfT8Za9gJCJOWcNI4txHnYhi2N7J8dFgTC9+P9t7Vqw==" saltValue="cHNZRMnbGhK71bQSv6lr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VN+h2lT+xZ5A8Z7z/J2RJNaiUEVIBlwj8qg5V8er7GduhxxdSmszQ09FDDqQB/2hGVvTakPqzJx0lkKpsFGSQ==" saltValue="1h5m1qkFt5oZSwRCb9CB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eWcrO1GseliF2TcTZ2w3Qo4aCworD5yX9ZJc1S0TPx1tqTgu06XzUKtZG2+o3tBn86F1lxU+Kcz7mV4UmvQ6w==" saltValue="g2dZwaufXutlcP8Z2s3Lh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0.1058286800624354</v>
      </c>
      <c r="G18" s="90">
        <f>MIN(MAX(1-0.89/(1-frac_sam_12_23months+(frac_sam_12_23months*0.89)),0),1)</f>
        <v>0.10866213662925717</v>
      </c>
      <c r="H18" s="90">
        <f>MIN(MAX(1-0.89/(1-frac_sam_24_59months+(frac_sam_24_59months*0.89)),0),1)</f>
        <v>0.10919347446145578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0.10588400586794466</v>
      </c>
      <c r="G20" s="90">
        <f>MIN(MAX(1-0.89/(1-frac_mam_12_23months+(frac_mam_12_23months*0.89)),0),1)</f>
        <v>0.10649968661078868</v>
      </c>
      <c r="H20" s="90">
        <f>MIN(MAX(1-0.89/(1-frac_mam_24_59months+(frac_mam_24_59months*0.89)),0),1)</f>
        <v>0.10538356178702657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9.57997078897177E-3</v>
      </c>
      <c r="G73" s="90">
        <f>MIN(MAX(1-0.99/(1-frac_sam_12_23months+(frac_sam_12_23months*0.99)),0),1)</f>
        <v>9.8648950747979303E-3</v>
      </c>
      <c r="H73" s="90">
        <f>MIN(MAX(1-0.99/(1-frac_sam_24_59months+(frac_sam_24_59months*0.99)),0),1)</f>
        <v>9.9185083725871204E-3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9.585518472382093E-3</v>
      </c>
      <c r="G75" s="90">
        <f>MIN(MAX(1-0.99/(1-frac_mam_12_23months+(frac_mam_12_23months*0.99)),0),1)</f>
        <v>9.6472967786275232E-3</v>
      </c>
      <c r="H75" s="90">
        <f>MIN(MAX(1-0.99/(1-frac_mam_24_59months+(frac_mam_24_59months*0.99)),0),1)</f>
        <v>9.5353601614114325E-3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0.19315648237849714</v>
      </c>
      <c r="G128" s="90">
        <f>MIN(MAX(1-0.8/(1-frac_sam_12_23months+(frac_sam_12_23months*0.8)),0),1)</f>
        <v>0.19781080965576681</v>
      </c>
      <c r="H128" s="90">
        <f>MIN(MAX(1-0.8/(1-frac_sam_24_59months+(frac_sam_24_59months*0.8)),0),1)</f>
        <v>0.19868090055125143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0.19324759531814961</v>
      </c>
      <c r="G130" s="90">
        <f>MIN(MAX(1-0.8/(1-frac_mam_12_23months+(frac_mam_12_23months*0.8)),0),1)</f>
        <v>0.19426089763646703</v>
      </c>
      <c r="H130" s="90">
        <f>MIN(MAX(1-0.8/(1-frac_mam_24_59months+(frac_mam_24_59months*0.8)),0),1)</f>
        <v>0.19242310358786829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RLYTR1m+mnvH+fFdGcJ/NGo4mqd2FH1EcHGxpQZAqGPDA0TWqASpMfhZ9yJeI1VEBcDjlloPfTdPdqPQ6wORJQ==" saltValue="OjxGIYIjSWd2dtL+mJ82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1tGkBha4oRKUTS2jE500gCzONo8LgVVEfgzs8roqAzpbkVVu2ty4yq2Rbtf7/k6PyGvTO2YMJuz03pWrtE03ZA==" saltValue="Jyal02M3L/6yHaL3G0/eF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2024-08-06T09:09:25Z</dcterms:modified>
</cp:coreProperties>
</file>