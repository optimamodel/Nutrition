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4A1A7655-290D-4ACB-BEC5-1E48F3CAE97D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1" i="2"/>
  <c r="A2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5" i="2" l="1"/>
  <c r="I6" i="2"/>
  <c r="I12" i="2"/>
  <c r="A35" i="2"/>
  <c r="I2" i="2"/>
  <c r="I8" i="2"/>
  <c r="A19" i="2"/>
  <c r="A22" i="2"/>
  <c r="I39" i="2"/>
  <c r="I3" i="2"/>
  <c r="I9" i="2"/>
  <c r="A23" i="2"/>
  <c r="A24" i="2"/>
  <c r="A40" i="2"/>
  <c r="I4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<sst xmlns="http://schemas.openxmlformats.org/spreadsheetml/2006/main" count="2169" uniqueCount="369">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</sst>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781517</v>
      </c>
    </row>
    <row r="8" spans="1:3" ht="15" customHeight="1" x14ac:dyDescent="0.25">
      <c r="B8" s="5" t="s">
        <v>37</v>
      </c>
      <c r="C8" s="44">
        <v>0.79700000000000004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0.15341930000000001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0.1414</v>
      </c>
    </row>
    <row r="24" spans="1:3" ht="15" customHeight="1" x14ac:dyDescent="0.25">
      <c r="B24" s="15" t="s">
        <v>51</v>
      </c>
      <c r="C24" s="45">
        <v>0.44040000000000012</v>
      </c>
    </row>
    <row r="25" spans="1:3" ht="15" customHeight="1" x14ac:dyDescent="0.25">
      <c r="B25" s="15" t="s">
        <v>52</v>
      </c>
      <c r="C25" s="45">
        <v>0.33069999999999999</v>
      </c>
    </row>
    <row r="26" spans="1:3" ht="15" customHeight="1" x14ac:dyDescent="0.25">
      <c r="B26" s="15" t="s">
        <v>53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0.26912377197565901</v>
      </c>
    </row>
    <row r="30" spans="1:3" ht="14.25" customHeight="1" x14ac:dyDescent="0.25">
      <c r="B30" s="25" t="s">
        <v>56</v>
      </c>
      <c r="C30" s="97">
        <v>4.10301351064883E-2</v>
      </c>
    </row>
    <row r="31" spans="1:3" ht="14.25" customHeight="1" x14ac:dyDescent="0.25">
      <c r="B31" s="25" t="s">
        <v>57</v>
      </c>
      <c r="C31" s="97">
        <v>6.6332842080041601E-2</v>
      </c>
    </row>
    <row r="32" spans="1:3" ht="14.25" customHeight="1" x14ac:dyDescent="0.25">
      <c r="B32" s="25" t="s">
        <v>58</v>
      </c>
      <c r="C32" s="97">
        <v>0.62351325083781095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29.927250000000001</v>
      </c>
    </row>
    <row r="38" spans="1:5" ht="15" customHeight="1" x14ac:dyDescent="0.25">
      <c r="B38" s="11" t="s">
        <v>63</v>
      </c>
      <c r="C38" s="43">
        <v>56.723050000000001</v>
      </c>
      <c r="D38" s="12"/>
      <c r="E38" s="13"/>
    </row>
    <row r="39" spans="1:5" ht="15" customHeight="1" x14ac:dyDescent="0.25">
      <c r="B39" s="11" t="s">
        <v>64</v>
      </c>
      <c r="C39" s="43">
        <v>76.040170000000003</v>
      </c>
      <c r="D39" s="12"/>
      <c r="E39" s="12"/>
    </row>
    <row r="40" spans="1:5" ht="15" customHeight="1" x14ac:dyDescent="0.25">
      <c r="B40" s="11" t="s">
        <v>65</v>
      </c>
      <c r="C40" s="98">
        <v>6.52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71</v>
      </c>
      <c r="C47" s="45">
        <v>7.3475499999999999E-2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3.016</v>
      </c>
      <c r="D51" s="12"/>
    </row>
    <row r="52" spans="1:4" ht="15" customHeight="1" x14ac:dyDescent="0.25">
      <c r="B52" s="11" t="s">
        <v>75</v>
      </c>
      <c r="C52" s="98">
        <v>3.016</v>
      </c>
    </row>
    <row r="53" spans="1:4" ht="15.75" customHeight="1" x14ac:dyDescent="0.25">
      <c r="B53" s="11" t="s">
        <v>76</v>
      </c>
      <c r="C53" s="98">
        <v>6.0060000000000002</v>
      </c>
    </row>
    <row r="54" spans="1:4" ht="15.75" customHeight="1" x14ac:dyDescent="0.25">
      <c r="B54" s="11" t="s">
        <v>77</v>
      </c>
      <c r="C54" s="98">
        <v>6.5780000000000003</v>
      </c>
    </row>
    <row r="55" spans="1:4" ht="15.75" customHeight="1" x14ac:dyDescent="0.25">
      <c r="B55" s="11" t="s">
        <v>78</v>
      </c>
      <c r="C55" s="98">
        <v>3.145999999999999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0.44132399999999999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0.14607059</v>
      </c>
    </row>
    <row r="63" spans="1:4" ht="15.75" customHeight="1" x14ac:dyDescent="0.3">
      <c r="A63" s="4"/>
    </row>
  </sheetData>
  <sheetProtection algorithmName="SHA-512" hashValue="TMGhXp8wbRLXuFz1rPtXahVkNsPk/wJuifaPvU6r2z96ufztB+5Ey5Baq8BSQChmD+ESekPxMVG4un1A6JUP5Q==" saltValue="rn2QQpWpD+t1uCmgdFr7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171626</v>
      </c>
      <c r="C2" s="49">
        <v>317001.5</v>
      </c>
      <c r="D2" s="49">
        <v>476691.5</v>
      </c>
      <c r="E2" s="49">
        <v>337709.5</v>
      </c>
      <c r="F2" s="49">
        <v>255728.99999999997</v>
      </c>
      <c r="G2" s="17">
        <f t="shared" ref="G2:G13" si="0">C2+D2+E2+F2</f>
        <v>1387131.5</v>
      </c>
      <c r="H2" s="17">
        <f t="shared" ref="H2:H13" si="1">(B2 + stillbirth*B2/(1000-stillbirth))/(1-abortion)</f>
        <v>199592.6526384305</v>
      </c>
      <c r="I2" s="17">
        <f t="shared" ref="I2:I13" si="2">G2-H2</f>
        <v>1187538.8473615695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173467</v>
      </c>
      <c r="C3" s="50">
        <v>324259.5</v>
      </c>
      <c r="D3" s="50">
        <v>493995.5</v>
      </c>
      <c r="E3" s="50">
        <v>344190</v>
      </c>
      <c r="F3" s="50">
        <v>263221.5</v>
      </c>
      <c r="G3" s="17">
        <f t="shared" si="0"/>
        <v>1425666.5</v>
      </c>
      <c r="H3" s="17">
        <f t="shared" si="1"/>
        <v>201733.64569022541</v>
      </c>
      <c r="I3" s="17">
        <f t="shared" si="2"/>
        <v>1223932.8543097745</v>
      </c>
    </row>
    <row r="4" spans="1:9" ht="15.75" customHeight="1" x14ac:dyDescent="0.25">
      <c r="A4" s="5">
        <f t="shared" si="3"/>
        <v>2026</v>
      </c>
      <c r="B4" s="49">
        <v>174971</v>
      </c>
      <c r="C4" s="50">
        <v>329935</v>
      </c>
      <c r="D4" s="50">
        <v>512843.49999999994</v>
      </c>
      <c r="E4" s="50">
        <v>351873.5</v>
      </c>
      <c r="F4" s="50">
        <v>270637</v>
      </c>
      <c r="G4" s="17">
        <f t="shared" si="0"/>
        <v>1465289</v>
      </c>
      <c r="H4" s="17">
        <f t="shared" si="1"/>
        <v>203482.72420728108</v>
      </c>
      <c r="I4" s="17">
        <f t="shared" si="2"/>
        <v>1261806.2757927189</v>
      </c>
    </row>
    <row r="5" spans="1:9" ht="15.75" customHeight="1" x14ac:dyDescent="0.25">
      <c r="A5" s="5">
        <f t="shared" si="3"/>
        <v>2027</v>
      </c>
      <c r="B5" s="49">
        <v>176887</v>
      </c>
      <c r="C5" s="50">
        <v>335682</v>
      </c>
      <c r="D5" s="50">
        <v>533512.5</v>
      </c>
      <c r="E5" s="50">
        <v>361717</v>
      </c>
      <c r="F5" s="50">
        <v>278018</v>
      </c>
      <c r="G5" s="17">
        <f t="shared" si="0"/>
        <v>1508929.5</v>
      </c>
      <c r="H5" s="17">
        <f t="shared" si="1"/>
        <v>205710.93859470042</v>
      </c>
      <c r="I5" s="17">
        <f t="shared" si="2"/>
        <v>1303218.5614052997</v>
      </c>
    </row>
    <row r="6" spans="1:9" ht="15.75" customHeight="1" x14ac:dyDescent="0.25">
      <c r="A6" s="5">
        <f t="shared" si="3"/>
        <v>2028</v>
      </c>
      <c r="B6" s="49">
        <v>178928</v>
      </c>
      <c r="C6" s="50">
        <v>341282</v>
      </c>
      <c r="D6" s="50">
        <v>553132.5</v>
      </c>
      <c r="E6" s="50">
        <v>372842.5</v>
      </c>
      <c r="F6" s="50">
        <v>284808.5</v>
      </c>
      <c r="G6" s="17">
        <f t="shared" si="0"/>
        <v>1552065.5</v>
      </c>
      <c r="H6" s="17">
        <f t="shared" si="1"/>
        <v>208084.52187482722</v>
      </c>
      <c r="I6" s="17">
        <f t="shared" si="2"/>
        <v>1343980.9781251727</v>
      </c>
    </row>
    <row r="7" spans="1:9" ht="15.75" customHeight="1" x14ac:dyDescent="0.25">
      <c r="A7" s="5">
        <f t="shared" si="3"/>
        <v>2029</v>
      </c>
      <c r="B7" s="49">
        <v>180597</v>
      </c>
      <c r="C7" s="50">
        <v>345459.5</v>
      </c>
      <c r="D7" s="50">
        <v>570489.5</v>
      </c>
      <c r="E7" s="50">
        <v>384780.5</v>
      </c>
      <c r="F7" s="50">
        <v>290828</v>
      </c>
      <c r="G7" s="17">
        <f t="shared" si="0"/>
        <v>1591557.5</v>
      </c>
      <c r="H7" s="17">
        <f t="shared" si="1"/>
        <v>210025.4873302567</v>
      </c>
      <c r="I7" s="17">
        <f t="shared" si="2"/>
        <v>1381532.0126697433</v>
      </c>
    </row>
    <row r="8" spans="1:9" ht="15.75" customHeight="1" x14ac:dyDescent="0.25">
      <c r="A8" s="5">
        <f t="shared" si="3"/>
        <v>2030</v>
      </c>
      <c r="B8" s="49">
        <v>181051</v>
      </c>
      <c r="C8" s="50">
        <v>348561</v>
      </c>
      <c r="D8" s="50">
        <v>585856.5</v>
      </c>
      <c r="E8" s="50">
        <v>397487.5</v>
      </c>
      <c r="F8" s="50">
        <v>296323.5</v>
      </c>
      <c r="G8" s="17">
        <f t="shared" si="0"/>
        <v>1628228.5</v>
      </c>
      <c r="H8" s="17">
        <f t="shared" si="1"/>
        <v>210553.46714857005</v>
      </c>
      <c r="I8" s="17">
        <f t="shared" si="2"/>
        <v>1417675.0328514299</v>
      </c>
    </row>
    <row r="9" spans="1:9" ht="15.75" customHeight="1" x14ac:dyDescent="0.25">
      <c r="A9" s="5">
        <f t="shared" si="3"/>
        <v>2031</v>
      </c>
      <c r="B9" s="49">
        <v>182507</v>
      </c>
      <c r="C9" s="50">
        <v>351262.5</v>
      </c>
      <c r="D9" s="50">
        <v>600147.5</v>
      </c>
      <c r="E9" s="50">
        <v>411126</v>
      </c>
      <c r="F9" s="50">
        <v>301738</v>
      </c>
      <c r="G9" s="17">
        <f t="shared" si="0"/>
        <v>1664274</v>
      </c>
      <c r="H9" s="17">
        <f t="shared" si="1"/>
        <v>212246.72401082606</v>
      </c>
      <c r="I9" s="17">
        <f t="shared" si="2"/>
        <v>1452027.2759891739</v>
      </c>
    </row>
    <row r="10" spans="1:9" ht="15.75" customHeight="1" x14ac:dyDescent="0.25">
      <c r="A10" s="5">
        <f t="shared" si="3"/>
        <v>2032</v>
      </c>
      <c r="B10" s="49">
        <v>182944</v>
      </c>
      <c r="C10" s="50">
        <v>353018.5</v>
      </c>
      <c r="D10" s="50">
        <v>615842.5</v>
      </c>
      <c r="E10" s="50">
        <v>426237.5</v>
      </c>
      <c r="F10" s="50">
        <v>307516.49999999994</v>
      </c>
      <c r="G10" s="17">
        <f t="shared" si="0"/>
        <v>1702615</v>
      </c>
      <c r="H10" s="17">
        <f t="shared" si="1"/>
        <v>212754.93365973121</v>
      </c>
      <c r="I10" s="17">
        <f t="shared" si="2"/>
        <v>1489860.0663402688</v>
      </c>
    </row>
    <row r="11" spans="1:9" ht="15.75" customHeight="1" x14ac:dyDescent="0.25">
      <c r="A11" s="5">
        <f t="shared" si="3"/>
        <v>2033</v>
      </c>
      <c r="B11" s="49">
        <v>184206</v>
      </c>
      <c r="C11" s="50">
        <v>354340</v>
      </c>
      <c r="D11" s="50">
        <v>631648.5</v>
      </c>
      <c r="E11" s="50">
        <v>442359.00000000006</v>
      </c>
      <c r="F11" s="50">
        <v>313631.49999999994</v>
      </c>
      <c r="G11" s="17">
        <f t="shared" si="0"/>
        <v>1741979</v>
      </c>
      <c r="H11" s="17">
        <f t="shared" si="1"/>
        <v>214222.57800050534</v>
      </c>
      <c r="I11" s="17">
        <f t="shared" si="2"/>
        <v>1527756.4219994945</v>
      </c>
    </row>
    <row r="12" spans="1:9" ht="15.75" customHeight="1" x14ac:dyDescent="0.25">
      <c r="A12" s="5">
        <f t="shared" si="3"/>
        <v>2034</v>
      </c>
      <c r="B12" s="49">
        <v>185412</v>
      </c>
      <c r="C12" s="50">
        <v>356590.5</v>
      </c>
      <c r="D12" s="50">
        <v>644829.5</v>
      </c>
      <c r="E12" s="50">
        <v>459105.5</v>
      </c>
      <c r="F12" s="50">
        <v>319953.99999999994</v>
      </c>
      <c r="G12" s="17">
        <f t="shared" si="0"/>
        <v>1780479.5</v>
      </c>
      <c r="H12" s="17">
        <f t="shared" si="1"/>
        <v>215625.09707734652</v>
      </c>
      <c r="I12" s="17">
        <f t="shared" si="2"/>
        <v>1564854.4029226536</v>
      </c>
    </row>
    <row r="13" spans="1:9" ht="15.75" customHeight="1" x14ac:dyDescent="0.25">
      <c r="A13" s="5">
        <f t="shared" si="3"/>
        <v>2035</v>
      </c>
      <c r="B13" s="49">
        <v>186345</v>
      </c>
      <c r="C13" s="50">
        <v>359562</v>
      </c>
      <c r="D13" s="50">
        <v>655714</v>
      </c>
      <c r="E13" s="50">
        <v>476956.5</v>
      </c>
      <c r="F13" s="50">
        <v>326860</v>
      </c>
      <c r="G13" s="17">
        <f t="shared" si="0"/>
        <v>1819092.5</v>
      </c>
      <c r="H13" s="17">
        <f t="shared" si="1"/>
        <v>216710.13049251473</v>
      </c>
      <c r="I13" s="17">
        <f t="shared" si="2"/>
        <v>1602382.3695074853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ulL7Hs15KPEfAVNiXnGAq75skRpLD/lDlQfI47qN45GowwQtDyELbdCXC54xG5usqw8eCL3QpletnktL0TVBQ==" saltValue="NRqOEmhm2cQ5X6fjcqq8N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2.0916002091600189E-2</v>
      </c>
    </row>
    <row r="4" spans="1:8" ht="15.75" customHeight="1" x14ac:dyDescent="0.25">
      <c r="B4" s="19" t="s">
        <v>97</v>
      </c>
      <c r="C4" s="99">
        <v>6.5774706577470685E-2</v>
      </c>
    </row>
    <row r="5" spans="1:8" ht="15.75" customHeight="1" x14ac:dyDescent="0.25">
      <c r="B5" s="19" t="s">
        <v>98</v>
      </c>
      <c r="C5" s="99">
        <v>9.6632509663250973E-2</v>
      </c>
    </row>
    <row r="6" spans="1:8" ht="15.75" customHeight="1" x14ac:dyDescent="0.25">
      <c r="B6" s="19" t="s">
        <v>99</v>
      </c>
      <c r="C6" s="99">
        <v>0.25245662524566231</v>
      </c>
    </row>
    <row r="7" spans="1:8" ht="15.75" customHeight="1" x14ac:dyDescent="0.25">
      <c r="B7" s="19" t="s">
        <v>100</v>
      </c>
      <c r="C7" s="99">
        <v>0.39333373933337429</v>
      </c>
    </row>
    <row r="8" spans="1:8" ht="15.75" customHeight="1" x14ac:dyDescent="0.25">
      <c r="B8" s="19" t="s">
        <v>101</v>
      </c>
      <c r="C8" s="99">
        <v>3.4550003455000359E-3</v>
      </c>
    </row>
    <row r="9" spans="1:8" ht="15.75" customHeight="1" x14ac:dyDescent="0.25">
      <c r="B9" s="19" t="s">
        <v>102</v>
      </c>
      <c r="C9" s="99">
        <v>5.8309405830940547E-2</v>
      </c>
    </row>
    <row r="10" spans="1:8" ht="15.75" customHeight="1" x14ac:dyDescent="0.25">
      <c r="B10" s="19" t="s">
        <v>103</v>
      </c>
      <c r="C10" s="99">
        <v>0.1091220109122009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106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107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108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109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110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111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112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113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8.7635818000000004E-2</v>
      </c>
    </row>
    <row r="27" spans="1:8" ht="15.75" customHeight="1" x14ac:dyDescent="0.25">
      <c r="B27" s="19" t="s">
        <v>120</v>
      </c>
      <c r="C27" s="99">
        <v>8.6621349999999996E-3</v>
      </c>
    </row>
    <row r="28" spans="1:8" ht="15.75" customHeight="1" x14ac:dyDescent="0.25">
      <c r="B28" s="19" t="s">
        <v>121</v>
      </c>
      <c r="C28" s="99">
        <v>0.15441808500000001</v>
      </c>
    </row>
    <row r="29" spans="1:8" ht="15.75" customHeight="1" x14ac:dyDescent="0.25">
      <c r="B29" s="19" t="s">
        <v>122</v>
      </c>
      <c r="C29" s="99">
        <v>0.167759189</v>
      </c>
    </row>
    <row r="30" spans="1:8" ht="15.75" customHeight="1" x14ac:dyDescent="0.25">
      <c r="B30" s="19" t="s">
        <v>2</v>
      </c>
      <c r="C30" s="99">
        <v>0.10583751800000001</v>
      </c>
    </row>
    <row r="31" spans="1:8" ht="15.75" customHeight="1" x14ac:dyDescent="0.25">
      <c r="B31" s="19" t="s">
        <v>123</v>
      </c>
      <c r="C31" s="99">
        <v>0.109709026</v>
      </c>
    </row>
    <row r="32" spans="1:8" ht="15.75" customHeight="1" x14ac:dyDescent="0.25">
      <c r="B32" s="19" t="s">
        <v>124</v>
      </c>
      <c r="C32" s="99">
        <v>1.8596574000000001E-2</v>
      </c>
    </row>
    <row r="33" spans="2:3" ht="15.75" customHeight="1" x14ac:dyDescent="0.25">
      <c r="B33" s="19" t="s">
        <v>125</v>
      </c>
      <c r="C33" s="99">
        <v>8.3747772999999998E-2</v>
      </c>
    </row>
    <row r="34" spans="2:3" ht="15.75" customHeight="1" x14ac:dyDescent="0.25">
      <c r="B34" s="19" t="s">
        <v>126</v>
      </c>
      <c r="C34" s="99">
        <v>0.26363388300000001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sG9E5A3ZDqyy/UzTpvDsYHSbssFh8D3zWeAqL1vYdxoibm2m+PKMwx8YjiFsAhQ4aEZMmkA2CJlSVmhgalZvhw==" saltValue="Od14Wzm5YM9QQjfUffcO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132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133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137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Gl3fEDTROv6MnkYyfh53kweUJHx37iRZFHojkOwrTQSrhiAmaR7D++50ADDwhkf7qtIeJ5437PnsbDCj+Uk+w==" saltValue="SnCbdPJ0ileoYhyiiu9C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wHO1cD/upaYH5XOwpIdFy4WQ4vySmVd1YihZzf13x8o6TLaRWgqAeprfP4FdkIG+21nfDlv9wyogQcHXs1FGLA==" saltValue="4jJ3VCVJnxrK8tIcdv8Kx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gAa1yzObLnopyMBsLVR44fDEMZg2j5C5/GTv6sescTusroZUcV6BCF6ndSLIeuWE53U4q4ABaKKIWDDa+Qllw==" saltValue="aQOefc/ay0c9ixCg7F7e/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754.53284291474404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0.39844999999999997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0.73531000000000002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2.3899071641163953E-2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91565.717640000003</v>
      </c>
      <c r="C22" s="107">
        <v>90821.913159999996</v>
      </c>
      <c r="D22" s="107">
        <v>90132.274969999999</v>
      </c>
      <c r="E22" s="107">
        <v>89606.024999999994</v>
      </c>
      <c r="F22" s="107">
        <v>88845.469490000003</v>
      </c>
      <c r="G22" s="107">
        <v>87880.782089999993</v>
      </c>
      <c r="H22" s="107">
        <v>86616.095069999996</v>
      </c>
      <c r="I22" s="107">
        <v>84932.765799999994</v>
      </c>
      <c r="J22" s="107">
        <v>82642.282040000006</v>
      </c>
      <c r="K22" s="107">
        <v>79701.512959999993</v>
      </c>
      <c r="L22" s="107">
        <v>75747.550289999999</v>
      </c>
      <c r="M22" s="107">
        <v>70563.858980000005</v>
      </c>
      <c r="N22" s="107">
        <v>63329.288569999997</v>
      </c>
      <c r="O22" s="107">
        <v>54198.057650000002</v>
      </c>
    </row>
  </sheetData>
  <sheetProtection algorithmName="SHA-512" hashValue="C5mRltB1rmWywMmgEKXWkEJPjTaLoA67liYKt+FqeV+hysRGqTsuT4RACmaFl8wbtJpjSG55MH5Puj5C79cH4w==" saltValue="0hH15If1Wui93bJ6I9iAK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1ynfrpVdSdhoIIt+0SlqnuOs6nXqwKDXWwLNLC1vPU7ynj0XuGtEMgL3r7go5T1wmVazS6f4nyvFdSig2AzqXQ==" saltValue="AsnARboqZD4Sjo0yO9m0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gBTxOONpjeYkIohguRQ6+Mf5VyLfSjrVPB8K4OS0Yz1n/dXKlZZWt1ddExGJ3Ewkx+B9zYyUpzfrZ7dNb9LzSQ==" saltValue="Ra0Y/NJZg9sVBpFDlS4Ow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0.42978100000000002</v>
      </c>
      <c r="C10" s="96">
        <v>0.95</v>
      </c>
      <c r="D10" s="56">
        <v>15.01507229777283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15.01507229777283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15.01507229777283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15.01507229777283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0.42978100000000002</v>
      </c>
      <c r="C14" s="96">
        <v>0.95</v>
      </c>
      <c r="D14" s="56">
        <v>15.01507229777283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15.01507229777283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0.69226200000000004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0.157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0.39400000000000002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0.51254100000000002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0.53483530000000001</v>
      </c>
      <c r="C23" s="96">
        <v>0.95</v>
      </c>
      <c r="D23" s="56">
        <v>4.9100556870350216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0.57084762680907997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0.42978100000000002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0.54128999999999994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8.6074300000000006E-2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0.15140000000000001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7.0000000000000007E-2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3.4401889360660999E-2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0.1875019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1.9946800000000001E-2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5.4970400000000003E-2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0.2335767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dDcjepg3QRnNRVyMOuO710GmVWcOGuUITwLWezuinLw6RI/jXgMkAEI9jE15untWRDQg7hXsJBqEltNmVupGjw==" saltValue="3bxLngJzT55jQySF+QlS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3+Sl/9vzKg3ImvGwJsHKV04S2AJl8F8Kqf0sYo+i0RfpN2+/pYguJ5iQgnfFgx867myawwMV/XtiyWdh/efxw==" saltValue="s8pcoR3KFjnVOKwprmHz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SpscxV1SiMvvFNvsGlG2OYXZNJ+EmhN9Xvx3FtF65Y3DLhBrK7dtxkkyLNErqcG1+Z2gjKxdhta/eKjKsV2uQ==" saltValue="aCuzZusPIt+PJXfRwoMDc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3.016</v>
      </c>
      <c r="C2" s="21">
        <f>'Données pop de l''année de ref'!C52</f>
        <v>3.016</v>
      </c>
      <c r="D2" s="21">
        <f>'Données pop de l''année de ref'!C53</f>
        <v>6.0060000000000002</v>
      </c>
      <c r="E2" s="21">
        <f>'Données pop de l''année de ref'!C54</f>
        <v>6.5780000000000003</v>
      </c>
      <c r="F2" s="21">
        <f>'Données pop de l''année de ref'!C55</f>
        <v>3.145999999999999</v>
      </c>
    </row>
    <row r="3" spans="1:6" ht="15.75" customHeight="1" x14ac:dyDescent="0.25">
      <c r="A3" s="3" t="s">
        <v>238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237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n3sF9yf+NuVeNECxKgM34ZgHl9Xiq4XxKkoaXov+6A1GEyVoNFG8IHg5Q6dRui34ASQhQCsnNPb37JDRbmYNjQ==" saltValue="PySVRKcVlcRWj/61qgSu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0.79700000000000004</v>
      </c>
      <c r="F2" s="60">
        <f>food_insecure</f>
        <v>0.79700000000000004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0.79700000000000004</v>
      </c>
      <c r="F5" s="60">
        <f>food_insecure</f>
        <v>0.79700000000000004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6.580363636363637E-2</v>
      </c>
      <c r="D7" s="60">
        <f>diarrhoea_1_5mo*frac_diarrhea_severe</f>
        <v>6.580363636363637E-2</v>
      </c>
      <c r="E7" s="60">
        <f>diarrhoea_6_11mo*frac_diarrhea_severe</f>
        <v>0.13104000000000002</v>
      </c>
      <c r="F7" s="60">
        <f>diarrhoea_12_23mo*frac_diarrhea_severe</f>
        <v>0.14352000000000001</v>
      </c>
      <c r="G7" s="60">
        <f>diarrhoea_24_59mo*frac_diarrhea_severe</f>
        <v>6.8639999999999979E-2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0.79700000000000004</v>
      </c>
      <c r="F8" s="60">
        <f>food_insecure</f>
        <v>0.79700000000000004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0.79700000000000004</v>
      </c>
      <c r="F9" s="60">
        <f>food_insecure</f>
        <v>0.79700000000000004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6.580363636363637E-2</v>
      </c>
      <c r="D12" s="60">
        <f>diarrhoea_1_5mo*frac_diarrhea_severe</f>
        <v>6.580363636363637E-2</v>
      </c>
      <c r="E12" s="60">
        <f>diarrhoea_6_11mo*frac_diarrhea_severe</f>
        <v>0.13104000000000002</v>
      </c>
      <c r="F12" s="60">
        <f>diarrhoea_12_23mo*frac_diarrhea_severe</f>
        <v>0.14352000000000001</v>
      </c>
      <c r="G12" s="60">
        <f>diarrhoea_24_59mo*frac_diarrhea_severe</f>
        <v>6.8639999999999979E-2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0.79700000000000004</v>
      </c>
      <c r="I15" s="60">
        <f t="shared" si="0"/>
        <v>0.79700000000000004</v>
      </c>
      <c r="J15" s="60">
        <f t="shared" si="0"/>
        <v>0.79700000000000004</v>
      </c>
      <c r="K15" s="60">
        <f t="shared" si="0"/>
        <v>0.79700000000000004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0.79700000000000004</v>
      </c>
      <c r="I16" s="60">
        <f t="shared" si="0"/>
        <v>0.79700000000000004</v>
      </c>
      <c r="J16" s="60">
        <f t="shared" si="0"/>
        <v>0.79700000000000004</v>
      </c>
      <c r="K16" s="60">
        <f t="shared" si="0"/>
        <v>0.79700000000000004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0.55651675475899987</v>
      </c>
      <c r="M25" s="60">
        <f>(1-food_insecure)*(0.49)+food_insecure*(0.7)</f>
        <v>0.6573699999999999</v>
      </c>
      <c r="N25" s="60">
        <f>(1-food_insecure)*(0.49)+food_insecure*(0.7)</f>
        <v>0.6573699999999999</v>
      </c>
      <c r="O25" s="60">
        <f>(1-food_insecure)*(0.49)+food_insecure*(0.7)</f>
        <v>0.6573699999999999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0.23850718061099999</v>
      </c>
      <c r="M26" s="60">
        <f>(1-food_insecure)*(0.21)+food_insecure*(0.3)</f>
        <v>0.28172999999999998</v>
      </c>
      <c r="N26" s="60">
        <f>(1-food_insecure)*(0.21)+food_insecure*(0.3)</f>
        <v>0.28172999999999998</v>
      </c>
      <c r="O26" s="60">
        <f>(1-food_insecure)*(0.21)+food_insecure*(0.3)</f>
        <v>0.28172999999999998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5.1556764629999981E-2</v>
      </c>
      <c r="M27" s="60">
        <f>(1-food_insecure)*(0.3)</f>
        <v>6.0899999999999982E-2</v>
      </c>
      <c r="N27" s="60">
        <f>(1-food_insecure)*(0.3)</f>
        <v>6.0899999999999982E-2</v>
      </c>
      <c r="O27" s="60">
        <f>(1-food_insecure)*(0.3)</f>
        <v>6.0899999999999982E-2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0.15341930000000001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8eU+tSQe/yc/nebWpIMrFPyQgzS00AK++Yt8b9SvfrkItJ2lq3IsdMvrmB6i+pkkvIs/scAG0RkUs/hY6uLQQ==" saltValue="2MORWnMOJb79bDiN1pVK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vWjx5wM/yW5p6x2QcEocsTR1PUm89NzERM6EpryCYV/GrrsSSBWzO1LLUSQy39KKeWrrwbPJB8nHtiIelXjgVQ==" saltValue="8+c8n3la5B/ZyiSsPNgyw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zc9VeVPfibSrXWLSGc5UKQ01SAE4obK9z2YwnL2013/gcU2RN5TfizjIzF/lsKuDmo4AvZkBP7ExmFND2eFJQ==" saltValue="ee0/KejcMvtDE3l7Wdi2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8etD/FiK0a9J7GhluNAbvbWWWs+wCxRh/HNZmjFheLzxy4Vnbc1/RxMSSWFcl+GS4YAlneHBSjH7gRs2rJC8Q==" saltValue="2srcP9t0+SB07b/4vaxqv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l8PnHDsQ7yi0hKkiz/NnPBHLof1senBU0f0e3TnpOA69FvR9fNeCwldA7I0Odxc4/cRYkKQ+EeSXJvOCQr6MHw==" saltValue="CJ9/VbhIxqwexL6e/aT7W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qhj7QXb8nFCgEyDEoV8BH+bEXeZigqvmJEL8VL5IAESrZ7i4HYJNLIxinm0p981fHJgcZfb9ZGYCBi8vIykkSw==" saltValue="Wx546Mw/Bmacrn30ilR4K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4qaIpc2JsYjnMvBMbco2svpiU+QNUwLUG9nhmmi2ZzQVNxGYwL7eCeZzr/roPP37vMRs0idkssh+//lN+BDWw==" saltValue="8wYCUoXmQwJuY+hIpKoN4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UaB6R0FXa1UblFMpX4tkD+2P8yc5uSawfoQDnBfIGhNnH6jr+HVYKiPtKB+CZwgl8xGwv8ZWLCLZxTOmg93xA==" saltValue="kX5vWUDlF7ibBVTHoDEJ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IPj5wDFnUyFX6+DsfLtJu3lgZ2bb9sDNQyJFmYVbU2ekkcgpV5Uk9BHL/GTA+KPEUOntszOUjxrIsfSkaSRECQ==" saltValue="frm5xrI6A2ZBI2nhxLLD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uH/6/yT3fPVcKdCcvXlghe5OVhXtNZG2dvR7O549czon33JpzT5yn4ApGil57uHxnbEkJ9DXGEGbNSX3M0TuA==" saltValue="bdUyQJs9gKeGlv4QwW4I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WkmUkt+9iv2jUrtqES331G+vnvKjOINzXsqZlaZXZ7zGZ7+KpMcahS2n4ncDSqWgTqN2u2PRTRFtwXqFTC6vw==" saltValue="JvZbKhWRBpG81iriTxqo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gNSeJz+lCprE1DH+GZVT1jgIUxXLdk+fHFLkwkaCkCRQnv/IiHEwsdIr1cVbTmtQM3/2u5iwII2BJrp1e37qw==" saltValue="iik2iYdjl9NwjRtuQ2Bi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c3CfAJ9nEx+zkw7MchDPQZ0jlbZ2jtxTLvMEsYDXT4TdvewqAmVQjXfi7ZM2/N8bWVwyW5yx8rG8kKUi15SIA==" saltValue="Li6olwPslbqw3BZOOnCJ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6SwbsGyjSoyWYvZYy2onJnR1pyD69N1FmMtIOyuFfU/WvEvc5Mc9OUzuBEJW8rJlHletuyWAX8SvzfMQnBwEqw==" saltValue="BmTl8N5KJZ55cjxP37oL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PdCQ+u0yKuKEkjkTaBSb32eYN2ClJCejj4UQPKdtV3RtsvZ/z3A4CLwGLwoR1UkZAej7/cmrX7HFPLdWNFd6lw==" saltValue="1xgxfY0sXHSidS/8svYzh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2026-04-29T06:19:29Z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