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9E82977-7149-4050-91E2-1D3045BDE55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2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37" i="2" s="1"/>
  <c r="C33" i="1"/>
  <c r="C20" i="1"/>
  <c r="A40" i="2" l="1"/>
  <c r="A31" i="2"/>
  <c r="A15" i="2"/>
  <c r="A23" i="2"/>
  <c r="A16" i="2"/>
  <c r="A24" i="2"/>
  <c r="A32" i="2"/>
  <c r="A17" i="2"/>
  <c r="A25" i="2"/>
  <c r="A33" i="2"/>
  <c r="A38" i="2"/>
  <c r="A39" i="2"/>
  <c r="A1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19" i="2"/>
  <c r="A27" i="2"/>
  <c r="A35" i="2"/>
  <c r="A30" i="2"/>
  <c r="A20" i="2"/>
  <c r="A28" i="2"/>
  <c r="A36" i="2"/>
  <c r="A21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<sst xmlns="http://schemas.openxmlformats.org/spreadsheetml/2006/main" count="2101" uniqueCount="337">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</sst>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683661.703125</v>
      </c>
    </row>
    <row r="8" spans="1:3" ht="15" customHeight="1" x14ac:dyDescent="0.25">
      <c r="B8" s="5" t="s">
        <v>19</v>
      </c>
      <c r="C8" s="44">
        <v>3.2000000000000001E-2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0.78792312620000005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0.19850000000000001</v>
      </c>
    </row>
    <row r="24" spans="1:3" ht="15" customHeight="1" x14ac:dyDescent="0.25">
      <c r="B24" s="15" t="s">
        <v>33</v>
      </c>
      <c r="C24" s="45">
        <v>0.49969999999999998</v>
      </c>
    </row>
    <row r="25" spans="1:3" ht="15" customHeight="1" x14ac:dyDescent="0.25">
      <c r="B25" s="15" t="s">
        <v>34</v>
      </c>
      <c r="C25" s="45">
        <v>0.25750000000000001</v>
      </c>
    </row>
    <row r="26" spans="1:3" ht="15" customHeight="1" x14ac:dyDescent="0.25">
      <c r="B26" s="15" t="s">
        <v>35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0.31194267237106899</v>
      </c>
    </row>
    <row r="30" spans="1:3" ht="14.25" customHeight="1" x14ac:dyDescent="0.25">
      <c r="B30" s="25" t="s">
        <v>38</v>
      </c>
      <c r="C30" s="99">
        <v>7.9911270967818207E-2</v>
      </c>
    </row>
    <row r="31" spans="1:3" ht="14.25" customHeight="1" x14ac:dyDescent="0.25">
      <c r="B31" s="25" t="s">
        <v>39</v>
      </c>
      <c r="C31" s="99">
        <v>0.101230174619235</v>
      </c>
    </row>
    <row r="32" spans="1:3" ht="14.25" customHeight="1" x14ac:dyDescent="0.25">
      <c r="B32" s="25" t="s">
        <v>40</v>
      </c>
      <c r="C32" s="99">
        <v>0.50691588204187699</v>
      </c>
    </row>
    <row r="33" spans="1:5" ht="13" customHeight="1" x14ac:dyDescent="0.25">
      <c r="B33" s="27" t="s">
        <v>41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7.3659999999999997</v>
      </c>
    </row>
    <row r="38" spans="1:5" ht="15" customHeight="1" x14ac:dyDescent="0.25">
      <c r="B38" s="11" t="s">
        <v>45</v>
      </c>
      <c r="C38" s="43">
        <v>11.41046</v>
      </c>
      <c r="D38" s="12"/>
      <c r="E38" s="13"/>
    </row>
    <row r="39" spans="1:5" ht="15" customHeight="1" x14ac:dyDescent="0.25">
      <c r="B39" s="11" t="s">
        <v>46</v>
      </c>
      <c r="C39" s="43">
        <v>13.255420000000001</v>
      </c>
      <c r="D39" s="12"/>
      <c r="E39" s="12"/>
    </row>
    <row r="40" spans="1:5" ht="15" customHeight="1" x14ac:dyDescent="0.25">
      <c r="B40" s="11" t="s">
        <v>47</v>
      </c>
      <c r="C40" s="100">
        <v>0.78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4.9385999999999996E-3</v>
      </c>
      <c r="D45" s="12"/>
    </row>
    <row r="46" spans="1:5" ht="15.75" customHeight="1" x14ac:dyDescent="0.25">
      <c r="B46" s="11" t="s">
        <v>52</v>
      </c>
      <c r="C46" s="45">
        <v>5.3064699999999999E-2</v>
      </c>
      <c r="D46" s="12"/>
    </row>
    <row r="47" spans="1:5" ht="15.75" customHeight="1" x14ac:dyDescent="0.25">
      <c r="B47" s="11" t="s">
        <v>53</v>
      </c>
      <c r="C47" s="45">
        <v>7.6305300000000006E-2</v>
      </c>
      <c r="D47" s="12"/>
      <c r="E47" s="13"/>
    </row>
    <row r="48" spans="1:5" ht="15" customHeight="1" x14ac:dyDescent="0.25">
      <c r="B48" s="11" t="s">
        <v>54</v>
      </c>
      <c r="C48" s="46">
        <v>0.8656914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0.50332299999999996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0.10669083</v>
      </c>
    </row>
    <row r="63" spans="1:4" ht="15.75" customHeight="1" x14ac:dyDescent="0.3">
      <c r="A63" s="4"/>
    </row>
  </sheetData>
  <sheetProtection algorithmName="SHA-512" hashValue="dwzt1/oVlYk1BXMjo7yozMVxnrDt7HiTOXEY9hwM+qylVvu9ctcBwbpIOFa95j7hjgCWxbHMYbImuCnpeboLiQ==" saltValue="MdvF6sKQt/Mva8CX6kMI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137110</v>
      </c>
      <c r="C2" s="49">
        <v>389816.49999999988</v>
      </c>
      <c r="D2" s="49">
        <v>633097.5</v>
      </c>
      <c r="E2" s="49">
        <v>570366.5</v>
      </c>
      <c r="F2" s="49">
        <v>389018</v>
      </c>
      <c r="G2" s="17">
        <f t="shared" ref="G2:G13" si="0">C2+D2+E2+F2</f>
        <v>1982298.5</v>
      </c>
      <c r="H2" s="17">
        <f t="shared" ref="H2:H13" si="1">(B2 + stillbirth*B2/(1000-stillbirth))/(1-abortion)</f>
        <v>157353.43565971134</v>
      </c>
      <c r="I2" s="17">
        <f t="shared" ref="I2:I13" si="2">G2-H2</f>
        <v>1824945.0643402888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136567</v>
      </c>
      <c r="C3" s="50">
        <v>392459.99999999988</v>
      </c>
      <c r="D3" s="50">
        <v>632074</v>
      </c>
      <c r="E3" s="50">
        <v>580656</v>
      </c>
      <c r="F3" s="50">
        <v>399856.5</v>
      </c>
      <c r="G3" s="17">
        <f t="shared" si="0"/>
        <v>2005046.5</v>
      </c>
      <c r="H3" s="17">
        <f t="shared" si="1"/>
        <v>156730.26509911602</v>
      </c>
      <c r="I3" s="17">
        <f t="shared" si="2"/>
        <v>1848316.2349008839</v>
      </c>
    </row>
    <row r="4" spans="1:9" ht="15.75" customHeight="1" x14ac:dyDescent="0.25">
      <c r="A4" s="5">
        <f t="shared" si="3"/>
        <v>2026</v>
      </c>
      <c r="B4" s="49">
        <v>135747</v>
      </c>
      <c r="C4" s="50">
        <v>395415.99999999988</v>
      </c>
      <c r="D4" s="50">
        <v>630965</v>
      </c>
      <c r="E4" s="50">
        <v>590098.5</v>
      </c>
      <c r="F4" s="50">
        <v>410529</v>
      </c>
      <c r="G4" s="17">
        <f t="shared" si="0"/>
        <v>2027008.5</v>
      </c>
      <c r="H4" s="17">
        <f t="shared" si="1"/>
        <v>155789.19721755403</v>
      </c>
      <c r="I4" s="17">
        <f t="shared" si="2"/>
        <v>1871219.3027824459</v>
      </c>
    </row>
    <row r="5" spans="1:9" ht="15.75" customHeight="1" x14ac:dyDescent="0.25">
      <c r="A5" s="5">
        <f t="shared" si="3"/>
        <v>2027</v>
      </c>
      <c r="B5" s="49">
        <v>134671</v>
      </c>
      <c r="C5" s="50">
        <v>398350.5</v>
      </c>
      <c r="D5" s="50">
        <v>630425.00000000012</v>
      </c>
      <c r="E5" s="50">
        <v>598220</v>
      </c>
      <c r="F5" s="50">
        <v>421081.5</v>
      </c>
      <c r="G5" s="17">
        <f t="shared" si="0"/>
        <v>2048077</v>
      </c>
      <c r="H5" s="17">
        <f t="shared" si="1"/>
        <v>154554.33253394344</v>
      </c>
      <c r="I5" s="17">
        <f t="shared" si="2"/>
        <v>1893522.6674660565</v>
      </c>
    </row>
    <row r="6" spans="1:9" ht="15.75" customHeight="1" x14ac:dyDescent="0.25">
      <c r="A6" s="5">
        <f t="shared" si="3"/>
        <v>2028</v>
      </c>
      <c r="B6" s="49">
        <v>133988</v>
      </c>
      <c r="C6" s="50">
        <v>401132.50000000012</v>
      </c>
      <c r="D6" s="50">
        <v>630660</v>
      </c>
      <c r="E6" s="50">
        <v>604642.5</v>
      </c>
      <c r="F6" s="50">
        <v>431634</v>
      </c>
      <c r="G6" s="17">
        <f t="shared" si="0"/>
        <v>2068069</v>
      </c>
      <c r="H6" s="17">
        <f t="shared" si="1"/>
        <v>153770.49184722779</v>
      </c>
      <c r="I6" s="17">
        <f t="shared" si="2"/>
        <v>1914298.5081527722</v>
      </c>
    </row>
    <row r="7" spans="1:9" ht="15.75" customHeight="1" x14ac:dyDescent="0.25">
      <c r="A7" s="5">
        <f t="shared" si="3"/>
        <v>2029</v>
      </c>
      <c r="B7" s="49">
        <v>133561</v>
      </c>
      <c r="C7" s="50">
        <v>403627</v>
      </c>
      <c r="D7" s="50">
        <v>631548.5</v>
      </c>
      <c r="E7" s="50">
        <v>609593.5</v>
      </c>
      <c r="F7" s="50">
        <v>442375</v>
      </c>
      <c r="G7" s="17">
        <f t="shared" si="0"/>
        <v>2087144</v>
      </c>
      <c r="H7" s="17">
        <f t="shared" si="1"/>
        <v>153280.44796256075</v>
      </c>
      <c r="I7" s="17">
        <f t="shared" si="2"/>
        <v>1933863.5520374393</v>
      </c>
    </row>
    <row r="8" spans="1:9" ht="15.75" customHeight="1" x14ac:dyDescent="0.25">
      <c r="A8" s="5">
        <f t="shared" si="3"/>
        <v>2030</v>
      </c>
      <c r="B8" s="49">
        <v>132624</v>
      </c>
      <c r="C8" s="50">
        <v>405697</v>
      </c>
      <c r="D8" s="50">
        <v>633096</v>
      </c>
      <c r="E8" s="50">
        <v>613215</v>
      </c>
      <c r="F8" s="50">
        <v>453243</v>
      </c>
      <c r="G8" s="17">
        <f t="shared" si="0"/>
        <v>2105251</v>
      </c>
      <c r="H8" s="17">
        <f t="shared" si="1"/>
        <v>152205.1057613125</v>
      </c>
      <c r="I8" s="17">
        <f t="shared" si="2"/>
        <v>1953045.8942386876</v>
      </c>
    </row>
    <row r="9" spans="1:9" ht="15.75" customHeight="1" x14ac:dyDescent="0.25">
      <c r="A9" s="5">
        <f t="shared" si="3"/>
        <v>2031</v>
      </c>
      <c r="B9" s="49">
        <v>132052</v>
      </c>
      <c r="C9" s="50">
        <v>407251</v>
      </c>
      <c r="D9" s="50">
        <v>635304</v>
      </c>
      <c r="E9" s="50">
        <v>615456</v>
      </c>
      <c r="F9" s="50">
        <v>464133</v>
      </c>
      <c r="G9" s="17">
        <f t="shared" si="0"/>
        <v>2122144</v>
      </c>
      <c r="H9" s="17">
        <f t="shared" si="1"/>
        <v>151548.65353173512</v>
      </c>
      <c r="I9" s="17">
        <f t="shared" si="2"/>
        <v>1970595.3464682649</v>
      </c>
    </row>
    <row r="10" spans="1:9" ht="15.75" customHeight="1" x14ac:dyDescent="0.25">
      <c r="A10" s="5">
        <f t="shared" si="3"/>
        <v>2032</v>
      </c>
      <c r="B10" s="49">
        <v>131489</v>
      </c>
      <c r="C10" s="50">
        <v>408245</v>
      </c>
      <c r="D10" s="50">
        <v>638104</v>
      </c>
      <c r="E10" s="50">
        <v>616530.5</v>
      </c>
      <c r="F10" s="50">
        <v>474962</v>
      </c>
      <c r="G10" s="17">
        <f t="shared" si="0"/>
        <v>2137841.5</v>
      </c>
      <c r="H10" s="17">
        <f t="shared" si="1"/>
        <v>150902.53009597975</v>
      </c>
      <c r="I10" s="17">
        <f t="shared" si="2"/>
        <v>1986938.9699040202</v>
      </c>
    </row>
    <row r="11" spans="1:9" ht="15.75" customHeight="1" x14ac:dyDescent="0.25">
      <c r="A11" s="5">
        <f t="shared" si="3"/>
        <v>2033</v>
      </c>
      <c r="B11" s="49">
        <v>131155</v>
      </c>
      <c r="C11" s="50">
        <v>408675.49999999988</v>
      </c>
      <c r="D11" s="50">
        <v>641423</v>
      </c>
      <c r="E11" s="50">
        <v>616680.5</v>
      </c>
      <c r="F11" s="50">
        <v>485641.99999999988</v>
      </c>
      <c r="G11" s="17">
        <f t="shared" si="0"/>
        <v>2152421</v>
      </c>
      <c r="H11" s="17">
        <f t="shared" si="1"/>
        <v>150519.21708080696</v>
      </c>
      <c r="I11" s="17">
        <f t="shared" si="2"/>
        <v>2001901.7829191932</v>
      </c>
    </row>
    <row r="12" spans="1:9" ht="15.75" customHeight="1" x14ac:dyDescent="0.25">
      <c r="A12" s="5">
        <f t="shared" si="3"/>
        <v>2034</v>
      </c>
      <c r="B12" s="49">
        <v>130789</v>
      </c>
      <c r="C12" s="50">
        <v>408540</v>
      </c>
      <c r="D12" s="50">
        <v>645187</v>
      </c>
      <c r="E12" s="50">
        <v>616176</v>
      </c>
      <c r="F12" s="50">
        <v>496108</v>
      </c>
      <c r="G12" s="17">
        <f t="shared" si="0"/>
        <v>2166011</v>
      </c>
      <c r="H12" s="17">
        <f t="shared" si="1"/>
        <v>150099.17946537805</v>
      </c>
      <c r="I12" s="17">
        <f t="shared" si="2"/>
        <v>2015911.8205346218</v>
      </c>
    </row>
    <row r="13" spans="1:9" ht="15.75" customHeight="1" x14ac:dyDescent="0.25">
      <c r="A13" s="5">
        <f t="shared" si="3"/>
        <v>2035</v>
      </c>
      <c r="B13" s="49">
        <v>130043</v>
      </c>
      <c r="C13" s="50">
        <v>407872.5</v>
      </c>
      <c r="D13" s="50">
        <v>649303</v>
      </c>
      <c r="E13" s="50">
        <v>615227</v>
      </c>
      <c r="F13" s="50">
        <v>506027.00000000012</v>
      </c>
      <c r="G13" s="17">
        <f t="shared" si="0"/>
        <v>2178429.5</v>
      </c>
      <c r="H13" s="17">
        <f t="shared" si="1"/>
        <v>149243.03722190825</v>
      </c>
      <c r="I13" s="17">
        <f t="shared" si="2"/>
        <v>2029186.4627780917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AyD/zfbWcP1NTAgxMrdeaWDYQaZ9p5ooL+h2u9J09BGDrQAdOhxr4CPNYanDcF6iu/+e4Tz3pYM2AoODAvywQ==" saltValue="uZsslzh3g7o1q5CuF3bMG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0.1646432164643217</v>
      </c>
    </row>
    <row r="5" spans="1:8" ht="15.75" customHeight="1" x14ac:dyDescent="0.25">
      <c r="B5" s="19" t="s">
        <v>80</v>
      </c>
      <c r="C5" s="101">
        <v>8.8069308806930965E-2</v>
      </c>
    </row>
    <row r="6" spans="1:8" ht="15.75" customHeight="1" x14ac:dyDescent="0.25">
      <c r="B6" s="19" t="s">
        <v>81</v>
      </c>
      <c r="C6" s="101">
        <v>0.15137381513738149</v>
      </c>
    </row>
    <row r="7" spans="1:8" ht="15.75" customHeight="1" x14ac:dyDescent="0.25">
      <c r="B7" s="19" t="s">
        <v>82</v>
      </c>
      <c r="C7" s="101">
        <v>0.33688533368853352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0.2339606233960623</v>
      </c>
    </row>
    <row r="10" spans="1:8" ht="15.75" customHeight="1" x14ac:dyDescent="0.25">
      <c r="B10" s="19" t="s">
        <v>85</v>
      </c>
      <c r="C10" s="101">
        <v>2.5067702506770269E-2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88</v>
      </c>
      <c r="C15" s="101">
        <v>0.47120749583080251</v>
      </c>
      <c r="D15" s="101">
        <v>0.47120749583080251</v>
      </c>
      <c r="E15" s="101">
        <v>0.47120749583080251</v>
      </c>
      <c r="F15" s="101">
        <v>0.47120749583080251</v>
      </c>
    </row>
    <row r="16" spans="1:8" ht="15.75" customHeight="1" x14ac:dyDescent="0.25">
      <c r="B16" s="19" t="s">
        <v>89</v>
      </c>
      <c r="C16" s="101">
        <v>4.2214594997239903E-2</v>
      </c>
      <c r="D16" s="101">
        <v>4.2214594997239903E-2</v>
      </c>
      <c r="E16" s="101">
        <v>4.2214594997239903E-2</v>
      </c>
      <c r="F16" s="101">
        <v>4.2214594997239903E-2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5.5943415620592204E-3</v>
      </c>
      <c r="D18" s="101">
        <v>5.5943415620592204E-3</v>
      </c>
      <c r="E18" s="101">
        <v>5.5943415620592204E-3</v>
      </c>
      <c r="F18" s="101">
        <v>5.5943415620592204E-3</v>
      </c>
    </row>
    <row r="19" spans="1:8" ht="15.75" customHeight="1" x14ac:dyDescent="0.25">
      <c r="B19" s="19" t="s">
        <v>92</v>
      </c>
      <c r="C19" s="101">
        <v>1.715633356016992E-2</v>
      </c>
      <c r="D19" s="101">
        <v>1.715633356016992E-2</v>
      </c>
      <c r="E19" s="101">
        <v>1.715633356016992E-2</v>
      </c>
      <c r="F19" s="101">
        <v>1.715633356016992E-2</v>
      </c>
    </row>
    <row r="20" spans="1:8" ht="15.75" customHeight="1" x14ac:dyDescent="0.25">
      <c r="B20" s="19" t="s">
        <v>93</v>
      </c>
      <c r="C20" s="101">
        <v>2.492730115664487E-2</v>
      </c>
      <c r="D20" s="101">
        <v>2.492730115664487E-2</v>
      </c>
      <c r="E20" s="101">
        <v>2.492730115664487E-2</v>
      </c>
      <c r="F20" s="101">
        <v>2.492730115664487E-2</v>
      </c>
    </row>
    <row r="21" spans="1:8" ht="15.75" customHeight="1" x14ac:dyDescent="0.25">
      <c r="B21" s="19" t="s">
        <v>94</v>
      </c>
      <c r="C21" s="101">
        <v>0.16105601684657589</v>
      </c>
      <c r="D21" s="101">
        <v>0.16105601684657589</v>
      </c>
      <c r="E21" s="101">
        <v>0.16105601684657589</v>
      </c>
      <c r="F21" s="101">
        <v>0.16105601684657589</v>
      </c>
    </row>
    <row r="22" spans="1:8" ht="15.75" customHeight="1" x14ac:dyDescent="0.25">
      <c r="B22" s="19" t="s">
        <v>95</v>
      </c>
      <c r="C22" s="101">
        <v>0.121749428144969</v>
      </c>
      <c r="D22" s="101">
        <v>0.121749428144969</v>
      </c>
      <c r="E22" s="101">
        <v>0.121749428144969</v>
      </c>
      <c r="F22" s="101">
        <v>0.121749428144969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3.3953507000000001E-2</v>
      </c>
    </row>
    <row r="27" spans="1:8" ht="15.75" customHeight="1" x14ac:dyDescent="0.25">
      <c r="B27" s="19" t="s">
        <v>102</v>
      </c>
      <c r="C27" s="101">
        <v>3.6358831000000001E-2</v>
      </c>
    </row>
    <row r="28" spans="1:8" ht="15.75" customHeight="1" x14ac:dyDescent="0.25">
      <c r="B28" s="19" t="s">
        <v>103</v>
      </c>
      <c r="C28" s="101">
        <v>0.29059849599999998</v>
      </c>
    </row>
    <row r="29" spans="1:8" ht="15.75" customHeight="1" x14ac:dyDescent="0.25">
      <c r="B29" s="19" t="s">
        <v>104</v>
      </c>
      <c r="C29" s="101">
        <v>0.18423973499999999</v>
      </c>
    </row>
    <row r="30" spans="1:8" ht="15.75" customHeight="1" x14ac:dyDescent="0.25">
      <c r="B30" s="19" t="s">
        <v>2</v>
      </c>
      <c r="C30" s="101">
        <v>8.8893533999999996E-2</v>
      </c>
    </row>
    <row r="31" spans="1:8" ht="15.75" customHeight="1" x14ac:dyDescent="0.25">
      <c r="B31" s="19" t="s">
        <v>105</v>
      </c>
      <c r="C31" s="101">
        <v>4.6759898000000001E-2</v>
      </c>
    </row>
    <row r="32" spans="1:8" ht="15.75" customHeight="1" x14ac:dyDescent="0.25">
      <c r="B32" s="19" t="s">
        <v>106</v>
      </c>
      <c r="C32" s="101">
        <v>5.1759430999999988E-2</v>
      </c>
    </row>
    <row r="33" spans="2:3" ht="15.75" customHeight="1" x14ac:dyDescent="0.25">
      <c r="B33" s="19" t="s">
        <v>107</v>
      </c>
      <c r="C33" s="101">
        <v>0.101392051</v>
      </c>
    </row>
    <row r="34" spans="2:3" ht="15.75" customHeight="1" x14ac:dyDescent="0.25">
      <c r="B34" s="19" t="s">
        <v>108</v>
      </c>
      <c r="C34" s="101">
        <v>0.166044517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yEdC9ysmdyWg/SdR8p20KgJcKooLTqgAyMwsIcXMIdjP2dlsbCO2tzuftWQN6bdrh6sV4CQtyCAtG8e3QnmiBQ==" saltValue="/PX0yxumfRNGEg1aS5RSQ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114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115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119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120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zDzZeskDghiqWzODjrnFEITp57tcOW7tFR6eMcmOPEkb2FzMqpTltNhyfLvD6li1Yedu21L3rM6rWlmLphqJw==" saltValue="Dp+olpiK37rlsYQapHqN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132</v>
      </c>
      <c r="C5" s="52">
        <v>3.2688200000000001E-2</v>
      </c>
      <c r="D5" s="52">
        <v>7.91544E-2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VXLW39S+J/bkgg08npHx0bNcm8X6QVaO1YRVjb/jDyh43YJcaVDQQuYrb2YhqMO8RyEPekUJtHaJi5olzBIk3Q==" saltValue="xDhSOnw9kErBPTcfGbWlK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xoUS5bCV4A6X8HfvONH336HSI1CQQ/QWR71oohNko2k/lnaPWg3+g1IASvErJ4xEZJUzX+HXhCPa0KJzNi6bg==" saltValue="laQRSR/hvKISK6pWNzBY7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Al+jnF2dauEh7dpQ7QichNx8IvtR6qA5+HsfLd9QJGOF00za2zp+tPXdue19gEoM/CBPKNkGCcJ8G4R0ypNOmg==" saltValue="xQGIlZ5eI8fw0mVbaQ96+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OMB16kFCg3D/YYd0q7btc9ScGA0jHkUscbbInaNwJodM+0ekYSUgdDsUv9jTf8lyxSPh0ZMYg75KWG+U9JAtA==" saltValue="rXC4qSmOiKl23glveOOxL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K25dD1evYrJhUC990wDAlb76r3u/EaFPD/6ojcT2rRUexGmms13bP1yLtQpbDa0mdqsiLb/7S2hDidPBH9ZFeQ==" saltValue="0f6TrR8apoNzoOIpMPJM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45.319393542983583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42.687335931091802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215.13820465634649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1.130102918328614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0.61550340000000003</v>
      </c>
      <c r="C10" s="98">
        <v>0.95</v>
      </c>
      <c r="D10" s="56">
        <v>13.705047831112401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13.705047831112401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13.705047831112401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13.705047831112401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0.61550340000000003</v>
      </c>
      <c r="C14" s="98">
        <v>0.95</v>
      </c>
      <c r="D14" s="56">
        <v>13.705047831112401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13.705047831112401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0.44429056896247249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0.236988888888889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0.27199479999999998</v>
      </c>
      <c r="C18" s="98">
        <v>0.95</v>
      </c>
      <c r="D18" s="56">
        <v>5.0196810287000124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0.27199479999999998</v>
      </c>
      <c r="C19" s="98">
        <v>0.95</v>
      </c>
      <c r="D19" s="56">
        <v>5.0196810287000124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11.663682971302389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23.476861506564731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4.5643768782397949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0.53800854420833999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0.61550340000000003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19.712589805544962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0.65400000000000003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84.63932308590087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0.70370696748114991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0.03</v>
      </c>
      <c r="C32" s="98">
        <v>0.95</v>
      </c>
      <c r="D32" s="56">
        <v>0.9198919947883043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0.43180760000000001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0.69741069999999994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5.3194821474431118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ji2kZkb24+qeuzC1hxaNbNW1puFG6uBazrzbpGAgao7C1ef0yE9oK5oJtY0ra3JCBqx5NCdF0WjRRpPBlbxjBw==" saltValue="xjLxTPMLUL0hNF+it++W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+wABY7Wy0jaaRure8KGHHGDNfn64uAEcdR9QO2LKamc8ngB25s2kAwKimRLEMQvdo4WBOGCz0S7llRijcCb1xg==" saltValue="rQ4dWWmbf4NPHzNUucQL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cy3WoDGNGYgjT/k99TXWBNNGmMWonywV7YrZbs+Ier+wbtJ5CJlQNisI6pho4XD7QiL9YHdiX1M1r3bc/sdKAg==" saltValue="XCTsfVEG+WsGkOxYrqdz/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208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sheetProtection algorithmName="SHA-512" hashValue="Yix6WdwNwydh9un9hmgqy51dblGZOz+pAavUnWB0FcQgdzS23jHbCVEc59dc0dV5J787zTVNAe1tWDl32FMrnA==" saltValue="8twCiwsA0kfri595676N/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vXlZbrIp22SQ588Q+ctdovGk8zo7Pho6k3uRVxW6Ym3Vrk3qgEZgpYAoSEPTv92edlESpC8LrvSsxoUoPae0g==" saltValue="2T6uA8+fcQ7KqbolchW0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o0MPOcekinYooW55ZVH/vu2AaIem76OO8FXTj3RrsqIcWUnOD0zCHfJqwcbxnEYVeMKRqxSzUe3I7cOlIntLUw==" saltValue="ADYmEcW0HWlCd6oe3Xl2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KISD5GLu+joC1mjHTpQBWr8NBKmzf0TfidJa5SMUD2pfohjRTQEg736LQNqsWVqXT2TTkEBj5GwAhc8gtkdnA==" saltValue="JKVOJjyLZCoL0swjpdW9r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FsktTtl/cxLCUSb+TNsfDu+RZAuJCjO8gpg4Sf0ZJDlU1TFnnSd8rD3Em+ORD2ML6rKt0aBrR+Lh8uEd1nTqg==" saltValue="bBD3uRH1T6hduPtUtEnZ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+x8le9tEXRFHSjTqLMhPTRVidVEdjsoyuQt0SCXU2xom9j3eQ73OYsXUdtnZjMReQPfH9LE5sS93mPu/Z3GcyA==" saltValue="pt6+xCl4Nj+/dDG+1tDN/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S2+foqAa2c5VqEWxU64VZcmjjJRRPar841JzkwxzZUNawlYrSS7HAfyAlvsdIK4yhmx87D5rjBGgIeIYW2h5A==" saltValue="PG3fBP7RP1wl6vRCMlam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/MP6sffRGABTWQNEuvpfdfzsWYNfZHToU34Ni9J2YN9/WxTRHtoBkZtgw0/stRS8lZ5zEfxUBRpsWvwKZL88w==" saltValue="M/Rp8O91Axm2WdwS8rrqB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HC5PFoMN67QkEJptMH7871F7hir95VzCxFM/egrcigf7ryd8xbgVBCmvoD7Z9o7qPZxeGqBbtZRWi0pxJSKEw==" saltValue="XdmWCALi/Jcp6hVI+dUN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hEVj2LBLd+nt4K0LWuYk8L7Mcyp6rS+DLw/B0h2Mw+89Jaj6gceJvvaGgGG3LUtu5DTWsvkFwvtWYE+rL/S9A==" saltValue="r2t3uxbwvqHvMRq8zZNX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3hptzLWsJlM7WzUyS64Qspfl0cKfFx97P9GE5x7IL9deK3/4YnIgYz0dfBuOtneGsO6A8KHQoPMAANaJAINgQ==" saltValue="/DPKYFFJlwn+c19t3jUL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Z7EeZ7sJNYq+L6WrKOB0YtuV2eLffUG2PlnKPebTP+urRUIKy555ga+jRGvA/n2r4E/qUGBtgKg5lCP83p6lA==" saltValue="kQxPNWWopbYO/wF9/eJr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AZGKuHtqG6mgT3U7DxaRMg3X1UiogFSXbufikU+wUtdA9IF6UGxd1H9i+JnRX3yNXpDMcWctA0Q5WNptzf7Kw==" saltValue="kW4SgzlMjJi7pGOWHcCy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nYMDZ+5/oAjvpyxHyz3M/a48mO4sZYSuzpfCKt9VX2I2bcXNJasz+OXsEZxc/DroUtjHdznmGk3CSmpHDUwyw==" saltValue="euqHfm/jv88n4paz+wqP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0.10930029748819625</v>
      </c>
      <c r="G18" s="90">
        <f>MIN(MAX(1-0.89/(1-frac_sam_12_23months+(frac_sam_12_23months*0.89)),0),1)</f>
        <v>0.10963437937117937</v>
      </c>
      <c r="H18" s="90">
        <f>MIN(MAX(1-0.89/(1-frac_sam_24_59months+(frac_sam_24_59months*0.89)),0),1)</f>
        <v>0.10966873979000125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0.10932809492825191</v>
      </c>
      <c r="G20" s="90">
        <f>MIN(MAX(1-0.89/(1-frac_mam_12_23months+(frac_mam_12_23months*0.89)),0),1)</f>
        <v>0.10895665239507568</v>
      </c>
      <c r="H20" s="90">
        <f>MIN(MAX(1-0.89/(1-frac_mam_24_59months+(frac_mam_24_59months*0.89)),0),1)</f>
        <v>0.10936454763617653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9.9292941005381108E-3</v>
      </c>
      <c r="G73" s="90">
        <f>MIN(MAX(1-0.99/(1-frac_sam_12_23months+(frac_sam_12_23months*0.99)),0),1)</f>
        <v>9.9630409302809975E-3</v>
      </c>
      <c r="H73" s="90">
        <f>MIN(MAX(1-0.99/(1-frac_sam_24_59months+(frac_sam_24_59months*0.99)),0),1)</f>
        <v>9.9665131073394253E-3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9.9321011434964079E-3</v>
      </c>
      <c r="G75" s="90">
        <f>MIN(MAX(1-0.99/(1-frac_mam_12_23months+(frac_mam_12_23months*0.99)),0),1)</f>
        <v>9.8946052609407698E-3</v>
      </c>
      <c r="H75" s="90">
        <f>MIN(MAX(1-0.99/(1-frac_mam_24_59months+(frac_mam_24_59months*0.99)),0),1)</f>
        <v>9.9357824547215978E-3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0.19885572563292142</v>
      </c>
      <c r="G128" s="90">
        <f>MIN(MAX(1-0.8/(1-frac_sam_12_23months+(frac_sam_12_23months*0.8)),0),1)</f>
        <v>0.19940225771365405</v>
      </c>
      <c r="H128" s="90">
        <f>MIN(MAX(1-0.8/(1-frac_sam_24_59months+(frac_sam_24_59months*0.8)),0),1)</f>
        <v>0.19945844965202053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0.19890121290361851</v>
      </c>
      <c r="G130" s="90">
        <f>MIN(MAX(1-0.8/(1-frac_mam_12_23months+(frac_mam_12_23months*0.8)),0),1)</f>
        <v>0.19829319828742598</v>
      </c>
      <c r="H130" s="90">
        <f>MIN(MAX(1-0.8/(1-frac_mam_24_59months+(frac_mam_24_59months*0.8)),0),1)</f>
        <v>0.19896085998600821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AgQeRXvCEblx/pkWihFfY+wVLu7WwNUI+WPBjMmxtZdGCG5UVvagGO3TlKqb7pkfZcPwyPaidnALhzz95AqGA==" saltValue="MkoLZSaltocUz9RUagPG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89XmAkmnDUo3drqkjKwGTJhD96yJKW8HYkGyOZgPs2IaJDescYoox9rPrnxFki7J7e0nxKyozt6cCT++I9Pu6g==" saltValue="C/wThDfMbnMVB7q82ciDn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2024-08-06T09:33:12Z</dcterms:modified>
</cp:coreProperties>
</file>