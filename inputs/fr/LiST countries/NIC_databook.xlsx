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35AA1CED-85BE-4E4F-874A-0142C1398A6F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<sst xmlns="http://schemas.openxmlformats.org/spreadsheetml/2006/main" count="2102" uniqueCount="337">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</sst>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683661.703125</v>
      </c>
    </row>
    <row r="8" spans="1:3" ht="15" customHeight="1" x14ac:dyDescent="0.25">
      <c r="B8" s="5" t="s">
        <v>19</v>
      </c>
      <c r="C8" s="44">
        <v>3.2000000000000001E-2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0.78792312620000005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0.10199999999999999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0.19850000000000001</v>
      </c>
    </row>
    <row r="24" spans="1:3" ht="15" customHeight="1" x14ac:dyDescent="0.25">
      <c r="B24" s="15" t="s">
        <v>33</v>
      </c>
      <c r="C24" s="45">
        <v>0.49969999999999998</v>
      </c>
    </row>
    <row r="25" spans="1:3" ht="15" customHeight="1" x14ac:dyDescent="0.25">
      <c r="B25" s="15" t="s">
        <v>34</v>
      </c>
      <c r="C25" s="45">
        <v>0.25750000000000001</v>
      </c>
    </row>
    <row r="26" spans="1:3" ht="15" customHeight="1" x14ac:dyDescent="0.25">
      <c r="B26" s="15" t="s">
        <v>35</v>
      </c>
      <c r="C26" s="45">
        <v>4.4299999999999999E-2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0.31194267237106899</v>
      </c>
    </row>
    <row r="30" spans="1:3" ht="14.25" customHeight="1" x14ac:dyDescent="0.25">
      <c r="B30" s="25" t="s">
        <v>38</v>
      </c>
      <c r="C30" s="99">
        <v>7.9911270967818207E-2</v>
      </c>
    </row>
    <row r="31" spans="1:3" ht="14.25" customHeight="1" x14ac:dyDescent="0.25">
      <c r="B31" s="25" t="s">
        <v>39</v>
      </c>
      <c r="C31" s="99">
        <v>0.101230174619235</v>
      </c>
    </row>
    <row r="32" spans="1:3" ht="14.25" customHeight="1" x14ac:dyDescent="0.25">
      <c r="B32" s="25" t="s">
        <v>40</v>
      </c>
      <c r="C32" s="99">
        <v>0.50691588204187699</v>
      </c>
    </row>
    <row r="33" spans="1:5" ht="13" customHeight="1" x14ac:dyDescent="0.25">
      <c r="B33" s="27" t="s">
        <v>41</v>
      </c>
      <c r="C33" s="48">
        <f>SUM(C29:C32)</f>
        <v>0.99999999999999911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7.3659999999999997</v>
      </c>
    </row>
    <row r="38" spans="1:5" ht="15" customHeight="1" x14ac:dyDescent="0.25">
      <c r="B38" s="11" t="s">
        <v>45</v>
      </c>
      <c r="C38" s="43">
        <v>11.41046</v>
      </c>
      <c r="D38" s="12"/>
      <c r="E38" s="13"/>
    </row>
    <row r="39" spans="1:5" ht="15" customHeight="1" x14ac:dyDescent="0.25">
      <c r="B39" s="11" t="s">
        <v>46</v>
      </c>
      <c r="C39" s="43">
        <v>13.255420000000001</v>
      </c>
      <c r="D39" s="12"/>
      <c r="E39" s="12"/>
    </row>
    <row r="40" spans="1:5" ht="15" customHeight="1" x14ac:dyDescent="0.25">
      <c r="B40" s="11" t="s">
        <v>47</v>
      </c>
      <c r="C40" s="100">
        <v>0.78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9.8289399999999993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4.9385999999999996E-3</v>
      </c>
      <c r="D45" s="12"/>
    </row>
    <row r="46" spans="1:5" ht="15.75" customHeight="1" x14ac:dyDescent="0.25">
      <c r="B46" s="11" t="s">
        <v>52</v>
      </c>
      <c r="C46" s="45">
        <v>5.3064699999999999E-2</v>
      </c>
      <c r="D46" s="12"/>
    </row>
    <row r="47" spans="1:5" ht="15.75" customHeight="1" x14ac:dyDescent="0.25">
      <c r="B47" s="11" t="s">
        <v>53</v>
      </c>
      <c r="C47" s="45">
        <v>7.6305300000000006E-2</v>
      </c>
      <c r="D47" s="12"/>
      <c r="E47" s="13"/>
    </row>
    <row r="48" spans="1:5" ht="15" customHeight="1" x14ac:dyDescent="0.25">
      <c r="B48" s="11" t="s">
        <v>54</v>
      </c>
      <c r="C48" s="46">
        <v>0.8656914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3.2</v>
      </c>
      <c r="D51" s="12"/>
    </row>
    <row r="52" spans="1:4" ht="15" customHeight="1" x14ac:dyDescent="0.25">
      <c r="B52" s="11" t="s">
        <v>57</v>
      </c>
      <c r="C52" s="100">
        <v>3.2</v>
      </c>
    </row>
    <row r="53" spans="1:4" ht="15.75" customHeight="1" x14ac:dyDescent="0.25">
      <c r="B53" s="11" t="s">
        <v>58</v>
      </c>
      <c r="C53" s="100">
        <v>3.2</v>
      </c>
    </row>
    <row r="54" spans="1:4" ht="15.75" customHeight="1" x14ac:dyDescent="0.25">
      <c r="B54" s="11" t="s">
        <v>59</v>
      </c>
      <c r="C54" s="100">
        <v>3.2</v>
      </c>
    </row>
    <row r="55" spans="1:4" ht="15.75" customHeight="1" x14ac:dyDescent="0.25">
      <c r="B55" s="11" t="s">
        <v>60</v>
      </c>
      <c r="C55" s="100">
        <v>3.2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1.9375E-2</v>
      </c>
    </row>
    <row r="59" spans="1:4" ht="15.75" customHeight="1" x14ac:dyDescent="0.25">
      <c r="B59" s="11" t="s">
        <v>63</v>
      </c>
      <c r="C59" s="45">
        <v>0.50332299999999996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0.10669083</v>
      </c>
    </row>
    <row r="63" spans="1:4" ht="15.75" customHeight="1" x14ac:dyDescent="0.3">
      <c r="A63" s="4"/>
    </row>
  </sheetData>
  <sheetProtection algorithmName="SHA-512" hashValue="krVFh5fjrESlOMUaahccxQrclTeVONpdgGLHtnfCzUo5OFM1N53X2AGplusDyEktFbrm04BTXpmcYVySuC8zeQ==" saltValue="d7SBQOoMr4IeWiRLe6ek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137110</v>
      </c>
      <c r="C2" s="49">
        <v>389816.49999999988</v>
      </c>
      <c r="D2" s="49">
        <v>633097.5</v>
      </c>
      <c r="E2" s="49">
        <v>570366.5</v>
      </c>
      <c r="F2" s="49">
        <v>389018</v>
      </c>
      <c r="G2" s="17">
        <f t="shared" ref="G2:G13" si="0">C2+D2+E2+F2</f>
        <v>1982298.5</v>
      </c>
      <c r="H2" s="17">
        <f t="shared" ref="H2:H13" si="1">(B2 + stillbirth*B2/(1000-stillbirth))/(1-abortion)</f>
        <v>157353.43565971134</v>
      </c>
      <c r="I2" s="17">
        <f t="shared" ref="I2:I13" si="2">G2-H2</f>
        <v>1824945.0643402888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136567</v>
      </c>
      <c r="C3" s="50">
        <v>392459.99999999988</v>
      </c>
      <c r="D3" s="50">
        <v>632074</v>
      </c>
      <c r="E3" s="50">
        <v>580656</v>
      </c>
      <c r="F3" s="50">
        <v>399856.5</v>
      </c>
      <c r="G3" s="17">
        <f t="shared" si="0"/>
        <v>2005046.5</v>
      </c>
      <c r="H3" s="17">
        <f t="shared" si="1"/>
        <v>156730.26509911602</v>
      </c>
      <c r="I3" s="17">
        <f t="shared" si="2"/>
        <v>1848316.2349008839</v>
      </c>
    </row>
    <row r="4" spans="1:9" ht="15.75" customHeight="1" x14ac:dyDescent="0.25">
      <c r="A4" s="5">
        <f t="shared" si="3"/>
        <v>2026</v>
      </c>
      <c r="B4" s="49">
        <v>135747</v>
      </c>
      <c r="C4" s="50">
        <v>395415.99999999988</v>
      </c>
      <c r="D4" s="50">
        <v>630965</v>
      </c>
      <c r="E4" s="50">
        <v>590098.5</v>
      </c>
      <c r="F4" s="50">
        <v>410529</v>
      </c>
      <c r="G4" s="17">
        <f t="shared" si="0"/>
        <v>2027008.5</v>
      </c>
      <c r="H4" s="17">
        <f t="shared" si="1"/>
        <v>155789.19721755403</v>
      </c>
      <c r="I4" s="17">
        <f t="shared" si="2"/>
        <v>1871219.3027824459</v>
      </c>
    </row>
    <row r="5" spans="1:9" ht="15.75" customHeight="1" x14ac:dyDescent="0.25">
      <c r="A5" s="5">
        <f t="shared" si="3"/>
        <v>2027</v>
      </c>
      <c r="B5" s="49">
        <v>134671</v>
      </c>
      <c r="C5" s="50">
        <v>398350.5</v>
      </c>
      <c r="D5" s="50">
        <v>630425.00000000012</v>
      </c>
      <c r="E5" s="50">
        <v>598220</v>
      </c>
      <c r="F5" s="50">
        <v>421081.5</v>
      </c>
      <c r="G5" s="17">
        <f t="shared" si="0"/>
        <v>2048077</v>
      </c>
      <c r="H5" s="17">
        <f t="shared" si="1"/>
        <v>154554.33253394344</v>
      </c>
      <c r="I5" s="17">
        <f t="shared" si="2"/>
        <v>1893522.6674660565</v>
      </c>
    </row>
    <row r="6" spans="1:9" ht="15.75" customHeight="1" x14ac:dyDescent="0.25">
      <c r="A6" s="5">
        <f t="shared" si="3"/>
        <v>2028</v>
      </c>
      <c r="B6" s="49">
        <v>133988</v>
      </c>
      <c r="C6" s="50">
        <v>401132.50000000012</v>
      </c>
      <c r="D6" s="50">
        <v>630660</v>
      </c>
      <c r="E6" s="50">
        <v>604642.5</v>
      </c>
      <c r="F6" s="50">
        <v>431634</v>
      </c>
      <c r="G6" s="17">
        <f t="shared" si="0"/>
        <v>2068069</v>
      </c>
      <c r="H6" s="17">
        <f t="shared" si="1"/>
        <v>153770.49184722779</v>
      </c>
      <c r="I6" s="17">
        <f t="shared" si="2"/>
        <v>1914298.5081527722</v>
      </c>
    </row>
    <row r="7" spans="1:9" ht="15.75" customHeight="1" x14ac:dyDescent="0.25">
      <c r="A7" s="5">
        <f t="shared" si="3"/>
        <v>2029</v>
      </c>
      <c r="B7" s="49">
        <v>133561</v>
      </c>
      <c r="C7" s="50">
        <v>403627</v>
      </c>
      <c r="D7" s="50">
        <v>631548.5</v>
      </c>
      <c r="E7" s="50">
        <v>609593.5</v>
      </c>
      <c r="F7" s="50">
        <v>442375</v>
      </c>
      <c r="G7" s="17">
        <f t="shared" si="0"/>
        <v>2087144</v>
      </c>
      <c r="H7" s="17">
        <f t="shared" si="1"/>
        <v>153280.44796256075</v>
      </c>
      <c r="I7" s="17">
        <f t="shared" si="2"/>
        <v>1933863.5520374393</v>
      </c>
    </row>
    <row r="8" spans="1:9" ht="15.75" customHeight="1" x14ac:dyDescent="0.25">
      <c r="A8" s="5">
        <f t="shared" si="3"/>
        <v>2030</v>
      </c>
      <c r="B8" s="49">
        <v>132624</v>
      </c>
      <c r="C8" s="50">
        <v>405697</v>
      </c>
      <c r="D8" s="50">
        <v>633096</v>
      </c>
      <c r="E8" s="50">
        <v>613215</v>
      </c>
      <c r="F8" s="50">
        <v>453243</v>
      </c>
      <c r="G8" s="17">
        <f t="shared" si="0"/>
        <v>2105251</v>
      </c>
      <c r="H8" s="17">
        <f t="shared" si="1"/>
        <v>152205.1057613125</v>
      </c>
      <c r="I8" s="17">
        <f t="shared" si="2"/>
        <v>1953045.8942386876</v>
      </c>
    </row>
    <row r="9" spans="1:9" ht="15.75" customHeight="1" x14ac:dyDescent="0.25">
      <c r="A9" s="5">
        <f t="shared" si="3"/>
        <v>2031</v>
      </c>
      <c r="B9" s="49">
        <v>132052</v>
      </c>
      <c r="C9" s="50">
        <v>407251</v>
      </c>
      <c r="D9" s="50">
        <v>635304</v>
      </c>
      <c r="E9" s="50">
        <v>615456</v>
      </c>
      <c r="F9" s="50">
        <v>464133</v>
      </c>
      <c r="G9" s="17">
        <f t="shared" si="0"/>
        <v>2122144</v>
      </c>
      <c r="H9" s="17">
        <f t="shared" si="1"/>
        <v>151548.65353173512</v>
      </c>
      <c r="I9" s="17">
        <f t="shared" si="2"/>
        <v>1970595.3464682649</v>
      </c>
    </row>
    <row r="10" spans="1:9" ht="15.75" customHeight="1" x14ac:dyDescent="0.25">
      <c r="A10" s="5">
        <f t="shared" si="3"/>
        <v>2032</v>
      </c>
      <c r="B10" s="49">
        <v>131489</v>
      </c>
      <c r="C10" s="50">
        <v>408245</v>
      </c>
      <c r="D10" s="50">
        <v>638104</v>
      </c>
      <c r="E10" s="50">
        <v>616530.5</v>
      </c>
      <c r="F10" s="50">
        <v>474962</v>
      </c>
      <c r="G10" s="17">
        <f t="shared" si="0"/>
        <v>2137841.5</v>
      </c>
      <c r="H10" s="17">
        <f t="shared" si="1"/>
        <v>150902.53009597975</v>
      </c>
      <c r="I10" s="17">
        <f t="shared" si="2"/>
        <v>1986938.9699040202</v>
      </c>
    </row>
    <row r="11" spans="1:9" ht="15.75" customHeight="1" x14ac:dyDescent="0.25">
      <c r="A11" s="5">
        <f t="shared" si="3"/>
        <v>2033</v>
      </c>
      <c r="B11" s="49">
        <v>131155</v>
      </c>
      <c r="C11" s="50">
        <v>408675.49999999988</v>
      </c>
      <c r="D11" s="50">
        <v>641423</v>
      </c>
      <c r="E11" s="50">
        <v>616680.5</v>
      </c>
      <c r="F11" s="50">
        <v>485641.99999999988</v>
      </c>
      <c r="G11" s="17">
        <f t="shared" si="0"/>
        <v>2152421</v>
      </c>
      <c r="H11" s="17">
        <f t="shared" si="1"/>
        <v>150519.21708080696</v>
      </c>
      <c r="I11" s="17">
        <f t="shared" si="2"/>
        <v>2001901.7829191932</v>
      </c>
    </row>
    <row r="12" spans="1:9" ht="15.75" customHeight="1" x14ac:dyDescent="0.25">
      <c r="A12" s="5">
        <f t="shared" si="3"/>
        <v>2034</v>
      </c>
      <c r="B12" s="49">
        <v>130789</v>
      </c>
      <c r="C12" s="50">
        <v>408540</v>
      </c>
      <c r="D12" s="50">
        <v>645187</v>
      </c>
      <c r="E12" s="50">
        <v>616176</v>
      </c>
      <c r="F12" s="50">
        <v>496108</v>
      </c>
      <c r="G12" s="17">
        <f t="shared" si="0"/>
        <v>2166011</v>
      </c>
      <c r="H12" s="17">
        <f t="shared" si="1"/>
        <v>150099.17946537805</v>
      </c>
      <c r="I12" s="17">
        <f t="shared" si="2"/>
        <v>2015911.8205346218</v>
      </c>
    </row>
    <row r="13" spans="1:9" ht="15.75" customHeight="1" x14ac:dyDescent="0.25">
      <c r="A13" s="5">
        <f t="shared" si="3"/>
        <v>2035</v>
      </c>
      <c r="B13" s="49">
        <v>130043</v>
      </c>
      <c r="C13" s="50">
        <v>407872.5</v>
      </c>
      <c r="D13" s="50">
        <v>649303</v>
      </c>
      <c r="E13" s="50">
        <v>615227</v>
      </c>
      <c r="F13" s="50">
        <v>506027.00000000012</v>
      </c>
      <c r="G13" s="17">
        <f t="shared" si="0"/>
        <v>2178429.5</v>
      </c>
      <c r="H13" s="17">
        <f t="shared" si="1"/>
        <v>149243.03722190825</v>
      </c>
      <c r="I13" s="17">
        <f t="shared" si="2"/>
        <v>2029186.4627780917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uxgYjz1+8gAdx1qI1ba4pPHpWEGNT6CtsHDezkaFZkgR5fp4Mv9Ziz23RnvOnn+BXKidvIDuDY36lEANFNc16A==" saltValue="b/uHdLBzbFEcwC5o4J7rB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0.1646432164643217</v>
      </c>
    </row>
    <row r="5" spans="1:8" ht="15.75" customHeight="1" x14ac:dyDescent="0.25">
      <c r="B5" s="19" t="s">
        <v>80</v>
      </c>
      <c r="C5" s="101">
        <v>8.8069308806930965E-2</v>
      </c>
    </row>
    <row r="6" spans="1:8" ht="15.75" customHeight="1" x14ac:dyDescent="0.25">
      <c r="B6" s="19" t="s">
        <v>81</v>
      </c>
      <c r="C6" s="101">
        <v>0.15137381513738149</v>
      </c>
    </row>
    <row r="7" spans="1:8" ht="15.75" customHeight="1" x14ac:dyDescent="0.25">
      <c r="B7" s="19" t="s">
        <v>82</v>
      </c>
      <c r="C7" s="101">
        <v>0.33688533368853352</v>
      </c>
    </row>
    <row r="8" spans="1:8" ht="15.75" customHeight="1" x14ac:dyDescent="0.25">
      <c r="B8" s="19" t="s">
        <v>83</v>
      </c>
      <c r="C8" s="101">
        <v>0</v>
      </c>
    </row>
    <row r="9" spans="1:8" ht="15.75" customHeight="1" x14ac:dyDescent="0.25">
      <c r="B9" s="19" t="s">
        <v>84</v>
      </c>
      <c r="C9" s="101">
        <v>0.2339606233960623</v>
      </c>
    </row>
    <row r="10" spans="1:8" ht="15.75" customHeight="1" x14ac:dyDescent="0.25">
      <c r="B10" s="19" t="s">
        <v>85</v>
      </c>
      <c r="C10" s="101">
        <v>2.5067702506770269E-2</v>
      </c>
    </row>
    <row r="11" spans="1:8" ht="15.75" customHeight="1" x14ac:dyDescent="0.25">
      <c r="B11" s="27" t="s">
        <v>41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0.1560944879015386</v>
      </c>
      <c r="D14" s="55">
        <v>0.1560944879015386</v>
      </c>
      <c r="E14" s="55">
        <v>0.1560944879015386</v>
      </c>
      <c r="F14" s="55">
        <v>0.1560944879015386</v>
      </c>
    </row>
    <row r="15" spans="1:8" ht="15.75" customHeight="1" x14ac:dyDescent="0.25">
      <c r="B15" s="19" t="s">
        <v>88</v>
      </c>
      <c r="C15" s="101">
        <v>0.47120749583080251</v>
      </c>
      <c r="D15" s="101">
        <v>0.47120749583080251</v>
      </c>
      <c r="E15" s="101">
        <v>0.47120749583080251</v>
      </c>
      <c r="F15" s="101">
        <v>0.47120749583080251</v>
      </c>
    </row>
    <row r="16" spans="1:8" ht="15.75" customHeight="1" x14ac:dyDescent="0.25">
      <c r="B16" s="19" t="s">
        <v>89</v>
      </c>
      <c r="C16" s="101">
        <v>4.2214594997239903E-2</v>
      </c>
      <c r="D16" s="101">
        <v>4.2214594997239903E-2</v>
      </c>
      <c r="E16" s="101">
        <v>4.2214594997239903E-2</v>
      </c>
      <c r="F16" s="101">
        <v>4.2214594997239903E-2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5.5943415620592204E-3</v>
      </c>
      <c r="D18" s="101">
        <v>5.5943415620592204E-3</v>
      </c>
      <c r="E18" s="101">
        <v>5.5943415620592204E-3</v>
      </c>
      <c r="F18" s="101">
        <v>5.5943415620592204E-3</v>
      </c>
    </row>
    <row r="19" spans="1:8" ht="15.75" customHeight="1" x14ac:dyDescent="0.25">
      <c r="B19" s="19" t="s">
        <v>92</v>
      </c>
      <c r="C19" s="101">
        <v>1.715633356016992E-2</v>
      </c>
      <c r="D19" s="101">
        <v>1.715633356016992E-2</v>
      </c>
      <c r="E19" s="101">
        <v>1.715633356016992E-2</v>
      </c>
      <c r="F19" s="101">
        <v>1.715633356016992E-2</v>
      </c>
    </row>
    <row r="20" spans="1:8" ht="15.75" customHeight="1" x14ac:dyDescent="0.25">
      <c r="B20" s="19" t="s">
        <v>93</v>
      </c>
      <c r="C20" s="101">
        <v>2.492730115664487E-2</v>
      </c>
      <c r="D20" s="101">
        <v>2.492730115664487E-2</v>
      </c>
      <c r="E20" s="101">
        <v>2.492730115664487E-2</v>
      </c>
      <c r="F20" s="101">
        <v>2.492730115664487E-2</v>
      </c>
    </row>
    <row r="21" spans="1:8" ht="15.75" customHeight="1" x14ac:dyDescent="0.25">
      <c r="B21" s="19" t="s">
        <v>94</v>
      </c>
      <c r="C21" s="101">
        <v>0.16105601684657589</v>
      </c>
      <c r="D21" s="101">
        <v>0.16105601684657589</v>
      </c>
      <c r="E21" s="101">
        <v>0.16105601684657589</v>
      </c>
      <c r="F21" s="101">
        <v>0.16105601684657589</v>
      </c>
    </row>
    <row r="22" spans="1:8" ht="15.75" customHeight="1" x14ac:dyDescent="0.25">
      <c r="B22" s="19" t="s">
        <v>95</v>
      </c>
      <c r="C22" s="101">
        <v>0.121749428144969</v>
      </c>
      <c r="D22" s="101">
        <v>0.121749428144969</v>
      </c>
      <c r="E22" s="101">
        <v>0.121749428144969</v>
      </c>
      <c r="F22" s="101">
        <v>0.121749428144969</v>
      </c>
    </row>
    <row r="23" spans="1:8" ht="15.75" customHeight="1" x14ac:dyDescent="0.25">
      <c r="B23" s="27" t="s">
        <v>41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3.3953507000000001E-2</v>
      </c>
    </row>
    <row r="27" spans="1:8" ht="15.75" customHeight="1" x14ac:dyDescent="0.25">
      <c r="B27" s="19" t="s">
        <v>102</v>
      </c>
      <c r="C27" s="101">
        <v>3.6358831000000001E-2</v>
      </c>
    </row>
    <row r="28" spans="1:8" ht="15.75" customHeight="1" x14ac:dyDescent="0.25">
      <c r="B28" s="19" t="s">
        <v>103</v>
      </c>
      <c r="C28" s="101">
        <v>0.29059849599999998</v>
      </c>
    </row>
    <row r="29" spans="1:8" ht="15.75" customHeight="1" x14ac:dyDescent="0.25">
      <c r="B29" s="19" t="s">
        <v>104</v>
      </c>
      <c r="C29" s="101">
        <v>0.18423973499999999</v>
      </c>
    </row>
    <row r="30" spans="1:8" ht="15.75" customHeight="1" x14ac:dyDescent="0.25">
      <c r="B30" s="19" t="s">
        <v>2</v>
      </c>
      <c r="C30" s="101">
        <v>8.8893533999999996E-2</v>
      </c>
    </row>
    <row r="31" spans="1:8" ht="15.75" customHeight="1" x14ac:dyDescent="0.25">
      <c r="B31" s="19" t="s">
        <v>105</v>
      </c>
      <c r="C31" s="101">
        <v>4.6759898000000001E-2</v>
      </c>
    </row>
    <row r="32" spans="1:8" ht="15.75" customHeight="1" x14ac:dyDescent="0.25">
      <c r="B32" s="19" t="s">
        <v>106</v>
      </c>
      <c r="C32" s="101">
        <v>5.1759430999999988E-2</v>
      </c>
    </row>
    <row r="33" spans="2:3" ht="15.75" customHeight="1" x14ac:dyDescent="0.25">
      <c r="B33" s="19" t="s">
        <v>107</v>
      </c>
      <c r="C33" s="101">
        <v>0.101392051</v>
      </c>
    </row>
    <row r="34" spans="2:3" ht="15.75" customHeight="1" x14ac:dyDescent="0.25">
      <c r="B34" s="19" t="s">
        <v>108</v>
      </c>
      <c r="C34" s="101">
        <v>0.166044517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5y4YQjUFXHn6IPoUk/2qONZERJj4PocRUuzrsNSx3pcMJzKslUJjujnEOYaPJeiBv/iIm6aRQU5X9YW854s/qQ==" saltValue="aG8Gyq8jKY26pFq0ZDfwQ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0.67770638527450011</v>
      </c>
      <c r="D2" s="52">
        <f>IFERROR(1-_xlfn.NORM.DIST(_xlfn.NORM.INV(SUM(D4:D5), 0, 1) + 1, 0, 1, TRUE), "")</f>
        <v>0.67770638527450011</v>
      </c>
      <c r="E2" s="52">
        <f>IFERROR(1-_xlfn.NORM.DIST(_xlfn.NORM.INV(SUM(E4:E5), 0, 1) + 1, 0, 1, TRUE), "")</f>
        <v>0.55732235260274243</v>
      </c>
      <c r="F2" s="52">
        <f>IFERROR(1-_xlfn.NORM.DIST(_xlfn.NORM.INV(SUM(F4:F5), 0, 1) + 1, 0, 1, TRUE), "")</f>
        <v>0.42326142706200254</v>
      </c>
      <c r="G2" s="52">
        <f>IFERROR(1-_xlfn.NORM.DIST(_xlfn.NORM.INV(SUM(G4:G5), 0, 1) + 1, 0, 1, TRUE), "")</f>
        <v>0.38841074029391853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0.25032631472549988</v>
      </c>
      <c r="D3" s="52">
        <f>IFERROR(_xlfn.NORM.DIST(_xlfn.NORM.INV(SUM(D4:D5), 0, 1) + 1, 0, 1, TRUE) - SUM(D4:D5), "")</f>
        <v>0.25032631472549988</v>
      </c>
      <c r="E3" s="52">
        <f>IFERROR(_xlfn.NORM.DIST(_xlfn.NORM.INV(SUM(E4:E5), 0, 1) + 1, 0, 1, TRUE) - SUM(E4:E5), "")</f>
        <v>0.31640394739725752</v>
      </c>
      <c r="F3" s="52">
        <f>IFERROR(_xlfn.NORM.DIST(_xlfn.NORM.INV(SUM(F4:F5), 0, 1) + 1, 0, 1, TRUE) - SUM(F4:F5), "")</f>
        <v>0.36674487293799746</v>
      </c>
      <c r="G3" s="52">
        <f>IFERROR(_xlfn.NORM.DIST(_xlfn.NORM.INV(SUM(G4:G5), 0, 1) + 1, 0, 1, TRUE) - SUM(G4:G5), "")</f>
        <v>0.37475915970608148</v>
      </c>
    </row>
    <row r="4" spans="1:15" ht="15.75" customHeight="1" x14ac:dyDescent="0.25">
      <c r="B4" s="5" t="s">
        <v>114</v>
      </c>
      <c r="C4" s="45">
        <v>5.2427400000000013E-2</v>
      </c>
      <c r="D4" s="53">
        <v>5.2427400000000013E-2</v>
      </c>
      <c r="E4" s="53">
        <v>8.9375800000000005E-2</v>
      </c>
      <c r="F4" s="53">
        <v>0.1439057</v>
      </c>
      <c r="G4" s="53">
        <v>0.1722708</v>
      </c>
    </row>
    <row r="5" spans="1:15" ht="15.75" customHeight="1" x14ac:dyDescent="0.25">
      <c r="B5" s="5" t="s">
        <v>115</v>
      </c>
      <c r="C5" s="45">
        <v>1.9539899999999999E-2</v>
      </c>
      <c r="D5" s="53">
        <v>1.9539899999999999E-2</v>
      </c>
      <c r="E5" s="53">
        <v>3.6897899999999997E-2</v>
      </c>
      <c r="F5" s="53">
        <v>6.6087999999999994E-2</v>
      </c>
      <c r="G5" s="53">
        <v>6.45593E-2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0.76897539605978005</v>
      </c>
      <c r="D8" s="52">
        <f>IFERROR(1-_xlfn.NORM.DIST(_xlfn.NORM.INV(SUM(D10:D11), 0, 1) + 1, 0, 1, TRUE), "")</f>
        <v>0.76897539605978005</v>
      </c>
      <c r="E8" s="52">
        <f>IFERROR(1-_xlfn.NORM.DIST(_xlfn.NORM.INV(SUM(E10:E11), 0, 1) + 1, 0, 1, TRUE), "")</f>
        <v>0.88440525329280373</v>
      </c>
      <c r="F8" s="52">
        <f>IFERROR(1-_xlfn.NORM.DIST(_xlfn.NORM.INV(SUM(F10:F11), 0, 1) + 1, 0, 1, TRUE), "")</f>
        <v>0.88235032624525467</v>
      </c>
      <c r="G8" s="52">
        <f>IFERROR(1-_xlfn.NORM.DIST(_xlfn.NORM.INV(SUM(G10:G11), 0, 1) + 1, 0, 1, TRUE), "")</f>
        <v>0.90845592146985676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0.18969640394021994</v>
      </c>
      <c r="D9" s="52">
        <f>IFERROR(_xlfn.NORM.DIST(_xlfn.NORM.INV(SUM(D10:D11), 0, 1) + 1, 0, 1, TRUE) - SUM(D10:D11), "")</f>
        <v>0.18969640394021994</v>
      </c>
      <c r="E9" s="52">
        <f>IFERROR(_xlfn.NORM.DIST(_xlfn.NORM.INV(SUM(E10:E11), 0, 1) + 1, 0, 1, TRUE) - SUM(E10:E11), "")</f>
        <v>0.10159524670719632</v>
      </c>
      <c r="F9" s="52">
        <f>IFERROR(_xlfn.NORM.DIST(_xlfn.NORM.INV(SUM(F10:F11), 0, 1) + 1, 0, 1, TRUE) - SUM(F10:F11), "")</f>
        <v>0.10327177375474535</v>
      </c>
      <c r="G9" s="52">
        <f>IFERROR(_xlfn.NORM.DIST(_xlfn.NORM.INV(SUM(G10:G11), 0, 1) + 1, 0, 1, TRUE) - SUM(G10:G11), "")</f>
        <v>8.1675478530143245E-2</v>
      </c>
    </row>
    <row r="10" spans="1:15" ht="15.75" customHeight="1" x14ac:dyDescent="0.25">
      <c r="B10" s="5" t="s">
        <v>119</v>
      </c>
      <c r="C10" s="45">
        <v>1.7139600000000001E-2</v>
      </c>
      <c r="D10" s="53">
        <v>1.7139600000000001E-2</v>
      </c>
      <c r="E10" s="53">
        <v>6.8580000000000004E-3</v>
      </c>
      <c r="F10" s="53">
        <v>1.0644799999999999E-2</v>
      </c>
      <c r="G10" s="53">
        <v>6.4862000000000001E-3</v>
      </c>
    </row>
    <row r="11" spans="1:15" ht="15.75" customHeight="1" x14ac:dyDescent="0.25">
      <c r="B11" s="5" t="s">
        <v>120</v>
      </c>
      <c r="C11" s="45">
        <v>2.4188600000000001E-2</v>
      </c>
      <c r="D11" s="53">
        <v>2.4188600000000001E-2</v>
      </c>
      <c r="E11" s="53">
        <v>7.1414999999999994E-3</v>
      </c>
      <c r="F11" s="53">
        <v>3.7331E-3</v>
      </c>
      <c r="G11" s="53">
        <v>3.3823999999999998E-3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0.39236330375000011</v>
      </c>
      <c r="D14" s="54">
        <v>0.36913915626799998</v>
      </c>
      <c r="E14" s="54">
        <v>0.36913915626799998</v>
      </c>
      <c r="F14" s="54">
        <v>0.23508163157600001</v>
      </c>
      <c r="G14" s="54">
        <v>0.23508163157600001</v>
      </c>
      <c r="H14" s="45">
        <v>0.25700000000000001</v>
      </c>
      <c r="I14" s="55">
        <v>0.25700000000000001</v>
      </c>
      <c r="J14" s="55">
        <v>0.25700000000000001</v>
      </c>
      <c r="K14" s="55">
        <v>0.25700000000000001</v>
      </c>
      <c r="L14" s="45">
        <v>0.159</v>
      </c>
      <c r="M14" s="55">
        <v>0.159</v>
      </c>
      <c r="N14" s="55">
        <v>0.159</v>
      </c>
      <c r="O14" s="55">
        <v>0.159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0.19748547513336129</v>
      </c>
      <c r="D15" s="52">
        <f t="shared" si="0"/>
        <v>0.18579622755027855</v>
      </c>
      <c r="E15" s="52">
        <f t="shared" si="0"/>
        <v>0.18579622755027855</v>
      </c>
      <c r="F15" s="52">
        <f t="shared" si="0"/>
        <v>0.11832199204972704</v>
      </c>
      <c r="G15" s="52">
        <f t="shared" si="0"/>
        <v>0.11832199204972704</v>
      </c>
      <c r="H15" s="52">
        <f t="shared" si="0"/>
        <v>0.12935401099999999</v>
      </c>
      <c r="I15" s="52">
        <f t="shared" si="0"/>
        <v>0.12935401099999999</v>
      </c>
      <c r="J15" s="52">
        <f t="shared" si="0"/>
        <v>0.12935401099999999</v>
      </c>
      <c r="K15" s="52">
        <f t="shared" si="0"/>
        <v>0.12935401099999999</v>
      </c>
      <c r="L15" s="52">
        <f t="shared" si="0"/>
        <v>8.0028356999999994E-2</v>
      </c>
      <c r="M15" s="52">
        <f t="shared" si="0"/>
        <v>8.0028356999999994E-2</v>
      </c>
      <c r="N15" s="52">
        <f t="shared" si="0"/>
        <v>8.0028356999999994E-2</v>
      </c>
      <c r="O15" s="52">
        <f t="shared" si="0"/>
        <v>8.0028356999999994E-2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v8UkI7KfJJnrYm+7h3BjyDjvGMGQHeRw7IjSqNujRMnMI9rT4FesrRzbbyZhH1ne7Evt0uQwDzPCsh4zvlCkfA==" saltValue="BOijLC8c4hJoqP9VH0Io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0.48034969999999999</v>
      </c>
      <c r="D2" s="53">
        <v>0.27199479999999998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0.13644000000000001</v>
      </c>
      <c r="D3" s="53">
        <v>0.15721109999999999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0.350522</v>
      </c>
      <c r="D4" s="53">
        <v>0.49163960000000001</v>
      </c>
      <c r="E4" s="53">
        <v>0.75345810000000002</v>
      </c>
      <c r="F4" s="53">
        <v>0.56451859999999998</v>
      </c>
      <c r="G4" s="53">
        <v>0</v>
      </c>
    </row>
    <row r="5" spans="1:7" x14ac:dyDescent="0.25">
      <c r="B5" s="3" t="s">
        <v>132</v>
      </c>
      <c r="C5" s="52">
        <v>3.2688200000000001E-2</v>
      </c>
      <c r="D5" s="52">
        <v>7.91544E-2</v>
      </c>
      <c r="E5" s="52">
        <f>1-SUM(E2:E4)</f>
        <v>0.24654189999999998</v>
      </c>
      <c r="F5" s="52">
        <f>1-SUM(F2:F4)</f>
        <v>0.43548140000000002</v>
      </c>
      <c r="G5" s="52">
        <f>1-SUM(G2:G4)</f>
        <v>1</v>
      </c>
    </row>
  </sheetData>
  <sheetProtection algorithmName="SHA-512" hashValue="PcA2uMCGt1rhBmBhBxSPwedimnVgd39RzB9YfSbiFq+BQoQ7ZeTZRWSbx2oIk41DKpIROdrfXWxahvRKbhG59A==" saltValue="8LPeulpq5mI0b/toSmjFh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sqo7wZTZffg/yuzcFVolTCPOmO/+xqoAOBTdGK91L+z3f9RMyaMA3SYIiK1wGJ5cHyqfLEK3CT507jl2yHGyDQ==" saltValue="EATMZKonkv4BLs2uFb6Du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brclUvWkH8bP2heSt8axacnaIyL6OFF3pCRXDkAStnrzv3sS/uZ2SZpXvc1rMwxzeDnN7FDZfLvuLyS4w605mg==" saltValue="AYWlU2kE8n/pkxNBF+9Fp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OnayNiykt9rqRsVT/kPhqvRJtB087UfWQTTyD4t3IhBFw9ibMJfFzxpEqLzs7YhJaAx6dyFAKBIgaWT1hlmLaw==" saltValue="7f5qfuh3cOuiNLsYo015r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ep9GjISFsGt9BZZlnxtxKAsqZzOQEKtj/8eYJfxG9+5PhCClzjWkEoKqUUHQss1aqbTcg5flycl5ARYl5X2ejg==" saltValue="SrYSkEXI9OVRn9WUVoDZk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45.319393542983583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0.217064428</v>
      </c>
      <c r="C3" s="98">
        <v>0.95</v>
      </c>
      <c r="D3" s="56">
        <v>42.687335931091802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215.13820465634649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1.130102918328614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0.61550340000000003</v>
      </c>
      <c r="C10" s="98">
        <v>0.95</v>
      </c>
      <c r="D10" s="56">
        <v>13.705047831112401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0.61550340000000003</v>
      </c>
      <c r="C11" s="98">
        <v>0.95</v>
      </c>
      <c r="D11" s="56">
        <v>13.705047831112401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0.61550340000000003</v>
      </c>
      <c r="C12" s="98">
        <v>0.95</v>
      </c>
      <c r="D12" s="56">
        <v>13.705047831112401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0.61550340000000003</v>
      </c>
      <c r="C13" s="98">
        <v>0.95</v>
      </c>
      <c r="D13" s="56">
        <v>13.705047831112401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0.61550340000000003</v>
      </c>
      <c r="C14" s="98">
        <v>0.95</v>
      </c>
      <c r="D14" s="56">
        <v>13.705047831112401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0.61550340000000003</v>
      </c>
      <c r="C15" s="98">
        <v>0.95</v>
      </c>
      <c r="D15" s="56">
        <v>13.705047831112401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0.92</v>
      </c>
      <c r="C16" s="98">
        <v>0.95</v>
      </c>
      <c r="D16" s="56">
        <v>0.44429056896247249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0.236988888888889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9.4748941503809997E-2</v>
      </c>
      <c r="C18" s="98">
        <v>0.95</v>
      </c>
      <c r="D18" s="56">
        <v>5.0196810287000124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0.73021100000000005</v>
      </c>
      <c r="C19" s="98">
        <v>0.95</v>
      </c>
      <c r="D19" s="56">
        <v>5.0196810287000124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0.69741069999999994</v>
      </c>
      <c r="C21" s="98">
        <v>0.95</v>
      </c>
      <c r="D21" s="56">
        <v>11.663682971302389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23.476861506564731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4.5643768782397949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0.71797623925571996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0.61550340000000003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19.712589805544962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0.56303536975191004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84.63932308590087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0.03</v>
      </c>
      <c r="C31" s="98">
        <v>0.95</v>
      </c>
      <c r="D31" s="56">
        <v>0.70370696748114991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0.9198919947883043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0.03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0.65400000000000003</v>
      </c>
      <c r="C38" s="98">
        <v>0.95</v>
      </c>
      <c r="D38" s="56">
        <v>5.3194821474431118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pR2s20iJ8xqQnsmQ0Ob69y8tZt4pc/yApsIr2jUb6aj6RYXI60Un2MIC2RzaHSCeZDoizQotxmVypvoZ8r8bkg==" saltValue="1u16Ptka0HlauYTSzv2H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jKw2+7Rkah4J72vNdq/nNgQjOEKsXk9Ji2FPwe6Qsr4cefvrF7qrW/qXrZyagJRS/SoknVVzbPdXx4IfCWOrgw==" saltValue="uRuc/cwT78BAlsu5sEnhG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IrJKGbFl5DKuwo6EhcbZ/lk0QKZQL3INGm1jUo6bI3A61YJVtEnOyu6S3uXFQ1okkA7oefMzHNFiHaxzAzhibw==" saltValue="ssrWoAX6kNdnTnkoGyk4J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209</v>
      </c>
      <c r="B3" s="21">
        <f>frac_mam_1month * 2.6</f>
        <v>4.4562960000000006E-2</v>
      </c>
      <c r="C3" s="21">
        <f>frac_mam_1_5months * 2.6</f>
        <v>4.4562960000000006E-2</v>
      </c>
      <c r="D3" s="21">
        <f>frac_mam_6_11months * 2.6</f>
        <v>1.7830800000000001E-2</v>
      </c>
      <c r="E3" s="21">
        <f>frac_mam_12_23months * 2.6</f>
        <v>2.767648E-2</v>
      </c>
      <c r="F3" s="21">
        <f>frac_mam_24_59months * 2.6</f>
        <v>1.686412E-2</v>
      </c>
    </row>
    <row r="4" spans="1:6" ht="15.75" customHeight="1" x14ac:dyDescent="0.25">
      <c r="A4" s="3" t="s">
        <v>208</v>
      </c>
      <c r="B4" s="21">
        <f>frac_sam_1month * 2.6</f>
        <v>6.2890360000000006E-2</v>
      </c>
      <c r="C4" s="21">
        <f>frac_sam_1_5months * 2.6</f>
        <v>6.2890360000000006E-2</v>
      </c>
      <c r="D4" s="21">
        <f>frac_sam_6_11months * 2.6</f>
        <v>1.8567899999999998E-2</v>
      </c>
      <c r="E4" s="21">
        <f>frac_sam_12_23months * 2.6</f>
        <v>9.7060600000000007E-3</v>
      </c>
      <c r="F4" s="21">
        <f>frac_sam_24_59months * 2.6</f>
        <v>8.79424E-3</v>
      </c>
    </row>
  </sheetData>
  <sheetProtection algorithmName="SHA-512" hashValue="CW4uBdFr0qQhD8cX07du/YtpDUDh21aB5bXKp95uC+LQAoWPLvXcJoeC+3TsN5FzZK7lquiP+9Ho7c1cDKTEkQ==" saltValue="WDtzr4AnyYpTSUlgmJDxG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3.2000000000000001E-2</v>
      </c>
      <c r="E2" s="60">
        <f>food_insecure</f>
        <v>3.2000000000000001E-2</v>
      </c>
      <c r="F2" s="60">
        <f>food_insecure</f>
        <v>3.2000000000000001E-2</v>
      </c>
      <c r="G2" s="60">
        <f>food_insecure</f>
        <v>3.2000000000000001E-2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3.2000000000000001E-2</v>
      </c>
      <c r="F5" s="60">
        <f>food_insecure</f>
        <v>3.2000000000000001E-2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3.2000000000000001E-2</v>
      </c>
      <c r="F8" s="60">
        <f>food_insecure</f>
        <v>3.2000000000000001E-2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3.2000000000000001E-2</v>
      </c>
      <c r="F9" s="60">
        <f>food_insecure</f>
        <v>3.2000000000000001E-2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3.2000000000000001E-2</v>
      </c>
      <c r="I15" s="60">
        <f>food_insecure</f>
        <v>3.2000000000000001E-2</v>
      </c>
      <c r="J15" s="60">
        <f>food_insecure</f>
        <v>3.2000000000000001E-2</v>
      </c>
      <c r="K15" s="60">
        <f>food_insecure</f>
        <v>3.2000000000000001E-2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0.10199999999999999</v>
      </c>
      <c r="M24" s="60">
        <f>famplan_unmet_need</f>
        <v>0.10199999999999999</v>
      </c>
      <c r="N24" s="60">
        <f>famplan_unmet_need</f>
        <v>0.10199999999999999</v>
      </c>
      <c r="O24" s="60">
        <f>famplan_unmet_need</f>
        <v>0.10199999999999999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0.10534282475393597</v>
      </c>
      <c r="M25" s="60">
        <f>(1-food_insecure)*(0.49)+food_insecure*(0.7)</f>
        <v>0.49671999999999994</v>
      </c>
      <c r="N25" s="60">
        <f>(1-food_insecure)*(0.49)+food_insecure*(0.7)</f>
        <v>0.49671999999999994</v>
      </c>
      <c r="O25" s="60">
        <f>(1-food_insecure)*(0.49)+food_insecure*(0.7)</f>
        <v>0.49671999999999994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4.5146924894543992E-2</v>
      </c>
      <c r="M26" s="60">
        <f>(1-food_insecure)*(0.21)+food_insecure*(0.3)</f>
        <v>0.21287999999999999</v>
      </c>
      <c r="N26" s="60">
        <f>(1-food_insecure)*(0.21)+food_insecure*(0.3)</f>
        <v>0.21287999999999999</v>
      </c>
      <c r="O26" s="60">
        <f>(1-food_insecure)*(0.21)+food_insecure*(0.3)</f>
        <v>0.21287999999999999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6.1587124151519984E-2</v>
      </c>
      <c r="M27" s="60">
        <f>(1-food_insecure)*(0.3)</f>
        <v>0.29039999999999999</v>
      </c>
      <c r="N27" s="60">
        <f>(1-food_insecure)*(0.3)</f>
        <v>0.29039999999999999</v>
      </c>
      <c r="O27" s="60">
        <f>(1-food_insecure)*(0.3)</f>
        <v>0.29039999999999999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0.78792312620000005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FECJ/v+0yxVaMJKbOunIsxfIvfYnrr520rNqtN67muJfgZjhj9HtjZCPSiHR4yCoVb/sxQoRbMiEoGke8mxY/g==" saltValue="EMovGE9J1343ZDBdhklwD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3aeb5FggfyXQfAljJaRKoYzvgU+e2ap6pW1Yfs5Hc1+ofwzz1CPOhMU8DZV6O/DTrAukGlAtNRMldcBZrlRdjg==" saltValue="dhcmEMgeLc7SQiZfJqw8I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6au7seN/5+VAIID6DCydDtWqrbwpVvbA5plZCBzKASwFXbS1zh+qyPCD1O6lDwG7yOJAQnQfx8acbrgLkqpjGA==" saltValue="M7kmyer4gGZosZSJSzJMg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k4yAsiDmo+oF4/uLhzorASUesydAHOrlQn95zUmPCYVJMYvx2TxVDKFB+8ctOxBn7NhzaP+aNjyFJCxqFystzQ==" saltValue="Doz/XB0zYBREhHAQPZFhf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MVMORDt+Sm2+9bbmfC7bwkHlDwhu/Sh5N1rzk82M5JkOrcXXbVyb06ZqC5SLOSsYPLB1VJDwNYsE6G6A+2D0Hg==" saltValue="sx7C0G+7HrdgXixv7tc2G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uf3Pl4h64iuahFmNx5ESdLJoZdkAWIvcDweFYrp0OUu8zshnvgdqThLsTE4wch7chh+geOFVAp+Aedt019I3og==" saltValue="qj9NO6k+y6SdOB8ND/zh9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7ops1U6S3VUT2nwucbbdgheaoa1dfzFTg4TOensiIWn33WOUGYT5YCMej3hy5B7ZM6z6I/quernJS4RJrPRb+g==" saltValue="QeawZBYxRcg81rkEobTIQ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3PBgpQjtlv36AMd0mScdbhQDLJSi2qacVTPs8YY1Pp5gCYGnm8pf5OL8R8clRWii1bytg4ocnswnAgPgr1wa4A==" saltValue="ZQkD1Yys2R5xy5QAC3Ew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33eqT6UyzyH7o+5uSFkqTAbztFUPo1L3aaJVSJzHRAtba7HVNI5hUAe3jHj2QUYE6vn44vGYEBDn0ijT8pRCpA==" saltValue="d+cvIP0J5m0M1FzQ/9A8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ozWtDORfTCMmSjHToubR+9NCgDHhNcJqM58RADGR/UrmbG7VA0iHosvyNcHIs+Mg++4iOolPw5AhWj5zTLUFFA==" saltValue="IM+DhaaJv0VhVfNXL27I1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nZZ6qYH4cUZo9vtBkBreQQBzVT6wExLyfuxXlPzQU/k0z0Iwk1jdc/BpZbV/Z3FYl2g2kylJXiJpvohfb4WWOg==" saltValue="jIQ16ENzdGk/S0ipD1Xh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RSvd2MR5U2IyZMDwiUaMI998Qrf92JohBw8NZ16ou4c7BLAkou4Ooy/KwnPr4OWnopnOlopbXyz3bXyWi50f8w==" saltValue="Rmf0muOOPDphmTkgVSL6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xHycgW6HtIEEjc74fKv02OuxUir6lYbBLYmwmJ9LrHzVhL37Z8OvTTxn3zhcVrSFb5mGf/hlHAa5jua0p6z11g==" saltValue="1dHTRWhWlbtMV8wNxWw99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164HWaSpEuLLYshl5BYRMADw78W4EfVxbU2AKjMr7TG4XuUAMikzJ/jm1aHXBHeDrZzNDyKB5Ucii38ea+sxQQ==" saltValue="XCTujGPepq53u36YEYgK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KwtmPACgPo+fsDSTIY3XlQT9wBs4QEwR6OaXE/3Cp4FoJEjzgZNNpRkYaq5mZUTjPZc9bDKwUWHqzOfBsOMFnw==" saltValue="+LCN9e3/NP31mUUWnrkq8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2024-05-17T00:44:30Z</dcterms:modified>
</cp:coreProperties>
</file>