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F8121E2C-C7A8-4B65-9669-61EA57E7DEA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<sst xmlns="http://schemas.openxmlformats.org/spreadsheetml/2006/main" count="2102" uniqueCount="337">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</sst>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280031.91796875</v>
      </c>
    </row>
    <row r="8" spans="1:3" ht="15" customHeight="1" x14ac:dyDescent="0.25">
      <c r="B8" s="5" t="s">
        <v>19</v>
      </c>
      <c r="C8" s="44">
        <v>1.2999999999999999E-2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0.89062347412109399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0.12920000000000001</v>
      </c>
    </row>
    <row r="24" spans="1:3" ht="15" customHeight="1" x14ac:dyDescent="0.25">
      <c r="B24" s="15" t="s">
        <v>33</v>
      </c>
      <c r="C24" s="45">
        <v>0.48199999999999998</v>
      </c>
    </row>
    <row r="25" spans="1:3" ht="15" customHeight="1" x14ac:dyDescent="0.25">
      <c r="B25" s="15" t="s">
        <v>34</v>
      </c>
      <c r="C25" s="45">
        <v>0.36709999999999998</v>
      </c>
    </row>
    <row r="26" spans="1:3" ht="15" customHeight="1" x14ac:dyDescent="0.25">
      <c r="B26" s="15" t="s">
        <v>35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3.0092500000000002</v>
      </c>
    </row>
    <row r="38" spans="1:5" ht="15" customHeight="1" x14ac:dyDescent="0.25">
      <c r="B38" s="11" t="s">
        <v>45</v>
      </c>
      <c r="C38" s="43">
        <v>5.2746700000000004</v>
      </c>
      <c r="D38" s="12"/>
      <c r="E38" s="13"/>
    </row>
    <row r="39" spans="1:5" ht="15" customHeight="1" x14ac:dyDescent="0.25">
      <c r="B39" s="11" t="s">
        <v>46</v>
      </c>
      <c r="C39" s="43">
        <v>6.3242799999999999</v>
      </c>
      <c r="D39" s="12"/>
      <c r="E39" s="12"/>
    </row>
    <row r="40" spans="1:5" ht="15" customHeight="1" x14ac:dyDescent="0.25">
      <c r="B40" s="11" t="s">
        <v>47</v>
      </c>
      <c r="C40" s="100">
        <v>7.0000000000000007E-2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6.7883000000000006E-3</v>
      </c>
      <c r="D45" s="12"/>
    </row>
    <row r="46" spans="1:5" ht="15.75" customHeight="1" x14ac:dyDescent="0.25">
      <c r="B46" s="11" t="s">
        <v>52</v>
      </c>
      <c r="C46" s="45">
        <v>7.293949999999999E-2</v>
      </c>
      <c r="D46" s="12"/>
    </row>
    <row r="47" spans="1:5" ht="15.75" customHeight="1" x14ac:dyDescent="0.25">
      <c r="B47" s="11" t="s">
        <v>53</v>
      </c>
      <c r="C47" s="45">
        <v>7.4545500000000001E-2</v>
      </c>
      <c r="D47" s="12"/>
      <c r="E47" s="13"/>
    </row>
    <row r="48" spans="1:5" ht="15" customHeight="1" x14ac:dyDescent="0.25">
      <c r="B48" s="11" t="s">
        <v>54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0.63615299999999997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475UNmA7bw7i8CovJN2E1Bvh9wkjboGlGttHsovHL/tJgdsH52/0H1TlJqb0i1IU+IrtTaWHKIAaLBGTGEIc4g==" saltValue="BNyg7n5GccRGnaP5Aqzz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54467</v>
      </c>
      <c r="C2" s="49">
        <v>192433.5</v>
      </c>
      <c r="D2" s="49">
        <v>293127.5</v>
      </c>
      <c r="E2" s="49">
        <v>420551</v>
      </c>
      <c r="F2" s="49">
        <v>443005.5</v>
      </c>
      <c r="G2" s="17">
        <f t="shared" ref="G2:G13" si="0">C2+D2+E2+F2</f>
        <v>1349117.5</v>
      </c>
      <c r="H2" s="17">
        <f t="shared" ref="H2:H13" si="1">(B2 + stillbirth*B2/(1000-stillbirth))/(1-abortion)</f>
        <v>62231.70675768792</v>
      </c>
      <c r="I2" s="17">
        <f t="shared" ref="I2:I13" si="2">G2-H2</f>
        <v>1286885.793242312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53514</v>
      </c>
      <c r="C3" s="50">
        <v>192820.5</v>
      </c>
      <c r="D3" s="50">
        <v>291767.5</v>
      </c>
      <c r="E3" s="50">
        <v>404953</v>
      </c>
      <c r="F3" s="50">
        <v>433742</v>
      </c>
      <c r="G3" s="17">
        <f t="shared" si="0"/>
        <v>1323283</v>
      </c>
      <c r="H3" s="17">
        <f t="shared" si="1"/>
        <v>61142.848980683928</v>
      </c>
      <c r="I3" s="17">
        <f t="shared" si="2"/>
        <v>1262140.1510193162</v>
      </c>
    </row>
    <row r="4" spans="1:9" ht="15.75" customHeight="1" x14ac:dyDescent="0.25">
      <c r="A4" s="5">
        <f t="shared" si="3"/>
        <v>2026</v>
      </c>
      <c r="B4" s="49">
        <v>52777</v>
      </c>
      <c r="C4" s="50">
        <v>191931</v>
      </c>
      <c r="D4" s="50">
        <v>292391.5</v>
      </c>
      <c r="E4" s="50">
        <v>387164</v>
      </c>
      <c r="F4" s="50">
        <v>425960.5</v>
      </c>
      <c r="G4" s="17">
        <f t="shared" si="0"/>
        <v>1297447</v>
      </c>
      <c r="H4" s="17">
        <f t="shared" si="1"/>
        <v>60300.783732360789</v>
      </c>
      <c r="I4" s="17">
        <f t="shared" si="2"/>
        <v>1237146.2162676393</v>
      </c>
    </row>
    <row r="5" spans="1:9" ht="15.75" customHeight="1" x14ac:dyDescent="0.25">
      <c r="A5" s="5">
        <f t="shared" si="3"/>
        <v>2027</v>
      </c>
      <c r="B5" s="49">
        <v>51930</v>
      </c>
      <c r="C5" s="50">
        <v>190255</v>
      </c>
      <c r="D5" s="50">
        <v>295527.5</v>
      </c>
      <c r="E5" s="50">
        <v>367359</v>
      </c>
      <c r="F5" s="50">
        <v>419269.5</v>
      </c>
      <c r="G5" s="17">
        <f t="shared" si="0"/>
        <v>1272411</v>
      </c>
      <c r="H5" s="17">
        <f t="shared" si="1"/>
        <v>59333.037103690927</v>
      </c>
      <c r="I5" s="17">
        <f t="shared" si="2"/>
        <v>1213077.9628963091</v>
      </c>
    </row>
    <row r="6" spans="1:9" ht="15.75" customHeight="1" x14ac:dyDescent="0.25">
      <c r="A6" s="5">
        <f t="shared" si="3"/>
        <v>2028</v>
      </c>
      <c r="B6" s="49">
        <v>51269</v>
      </c>
      <c r="C6" s="50">
        <v>187972</v>
      </c>
      <c r="D6" s="50">
        <v>300750.5</v>
      </c>
      <c r="E6" s="50">
        <v>346546.5</v>
      </c>
      <c r="F6" s="50">
        <v>413740</v>
      </c>
      <c r="G6" s="17">
        <f t="shared" si="0"/>
        <v>1249009</v>
      </c>
      <c r="H6" s="17">
        <f t="shared" si="1"/>
        <v>58577.806263607352</v>
      </c>
      <c r="I6" s="17">
        <f t="shared" si="2"/>
        <v>1190431.1937363925</v>
      </c>
    </row>
    <row r="7" spans="1:9" ht="15.75" customHeight="1" x14ac:dyDescent="0.25">
      <c r="A7" s="5">
        <f t="shared" si="3"/>
        <v>2029</v>
      </c>
      <c r="B7" s="49">
        <v>50562</v>
      </c>
      <c r="C7" s="50">
        <v>184222.5</v>
      </c>
      <c r="D7" s="50">
        <v>304271.5</v>
      </c>
      <c r="E7" s="50">
        <v>329163</v>
      </c>
      <c r="F7" s="50">
        <v>408555</v>
      </c>
      <c r="G7" s="17">
        <f t="shared" si="0"/>
        <v>1226212</v>
      </c>
      <c r="H7" s="17">
        <f t="shared" si="1"/>
        <v>57770.017755378787</v>
      </c>
      <c r="I7" s="17">
        <f t="shared" si="2"/>
        <v>1168441.9822446213</v>
      </c>
    </row>
    <row r="8" spans="1:9" ht="15.75" customHeight="1" x14ac:dyDescent="0.25">
      <c r="A8" s="5">
        <f t="shared" si="3"/>
        <v>2030</v>
      </c>
      <c r="B8" s="49">
        <v>50043</v>
      </c>
      <c r="C8" s="50">
        <v>180464</v>
      </c>
      <c r="D8" s="50">
        <v>305340</v>
      </c>
      <c r="E8" s="50">
        <v>315686</v>
      </c>
      <c r="F8" s="50">
        <v>404969</v>
      </c>
      <c r="G8" s="17">
        <f t="shared" si="0"/>
        <v>1206459</v>
      </c>
      <c r="H8" s="17">
        <f t="shared" si="1"/>
        <v>57177.030151742831</v>
      </c>
      <c r="I8" s="17">
        <f t="shared" si="2"/>
        <v>1149281.9698482573</v>
      </c>
    </row>
    <row r="9" spans="1:9" ht="15.75" customHeight="1" x14ac:dyDescent="0.25">
      <c r="A9" s="5">
        <f t="shared" si="3"/>
        <v>2031</v>
      </c>
      <c r="B9" s="49">
        <v>49664</v>
      </c>
      <c r="C9" s="50">
        <v>178466.5</v>
      </c>
      <c r="D9" s="50">
        <v>305962.5</v>
      </c>
      <c r="E9" s="50">
        <v>303846</v>
      </c>
      <c r="F9" s="50">
        <v>402126</v>
      </c>
      <c r="G9" s="17">
        <f t="shared" si="0"/>
        <v>1190401</v>
      </c>
      <c r="H9" s="17">
        <f t="shared" si="1"/>
        <v>56744.000668548164</v>
      </c>
      <c r="I9" s="17">
        <f t="shared" si="2"/>
        <v>1133656.999331452</v>
      </c>
    </row>
    <row r="10" spans="1:9" ht="15.75" customHeight="1" x14ac:dyDescent="0.25">
      <c r="A10" s="5">
        <f t="shared" si="3"/>
        <v>2032</v>
      </c>
      <c r="B10" s="49">
        <v>49258</v>
      </c>
      <c r="C10" s="50">
        <v>177009.5</v>
      </c>
      <c r="D10" s="50">
        <v>306851</v>
      </c>
      <c r="E10" s="50">
        <v>294051</v>
      </c>
      <c r="F10" s="50">
        <v>396873</v>
      </c>
      <c r="G10" s="17">
        <f t="shared" si="0"/>
        <v>1174784.5</v>
      </c>
      <c r="H10" s="17">
        <f t="shared" si="1"/>
        <v>56280.122119268395</v>
      </c>
      <c r="I10" s="17">
        <f t="shared" si="2"/>
        <v>1118504.3778807316</v>
      </c>
    </row>
    <row r="11" spans="1:9" ht="15.75" customHeight="1" x14ac:dyDescent="0.25">
      <c r="A11" s="5">
        <f t="shared" si="3"/>
        <v>2033</v>
      </c>
      <c r="B11" s="49">
        <v>48909</v>
      </c>
      <c r="C11" s="50">
        <v>175290</v>
      </c>
      <c r="D11" s="50">
        <v>306873</v>
      </c>
      <c r="E11" s="50">
        <v>286635</v>
      </c>
      <c r="F11" s="50">
        <v>388061</v>
      </c>
      <c r="G11" s="17">
        <f t="shared" si="0"/>
        <v>1156859</v>
      </c>
      <c r="H11" s="17">
        <f t="shared" si="1"/>
        <v>55881.369376168295</v>
      </c>
      <c r="I11" s="17">
        <f t="shared" si="2"/>
        <v>1100977.6306238316</v>
      </c>
    </row>
    <row r="12" spans="1:9" ht="15.75" customHeight="1" x14ac:dyDescent="0.25">
      <c r="A12" s="5">
        <f t="shared" si="3"/>
        <v>2034</v>
      </c>
      <c r="B12" s="49">
        <v>48679</v>
      </c>
      <c r="C12" s="50">
        <v>172621</v>
      </c>
      <c r="D12" s="50">
        <v>306128</v>
      </c>
      <c r="E12" s="50">
        <v>281895</v>
      </c>
      <c r="F12" s="50">
        <v>377076</v>
      </c>
      <c r="G12" s="17">
        <f t="shared" si="0"/>
        <v>1137720</v>
      </c>
      <c r="H12" s="17">
        <f t="shared" si="1"/>
        <v>55618.581035443298</v>
      </c>
      <c r="I12" s="17">
        <f t="shared" si="2"/>
        <v>1082101.4189645567</v>
      </c>
    </row>
    <row r="13" spans="1:9" ht="15.75" customHeight="1" x14ac:dyDescent="0.25">
      <c r="A13" s="5">
        <f t="shared" si="3"/>
        <v>2035</v>
      </c>
      <c r="B13" s="49">
        <v>48452</v>
      </c>
      <c r="C13" s="50">
        <v>169021.5</v>
      </c>
      <c r="D13" s="50">
        <v>305029</v>
      </c>
      <c r="E13" s="50">
        <v>280564</v>
      </c>
      <c r="F13" s="50">
        <v>364704.99999999988</v>
      </c>
      <c r="G13" s="17">
        <f t="shared" si="0"/>
        <v>1119319.5</v>
      </c>
      <c r="H13" s="17">
        <f t="shared" si="1"/>
        <v>55359.220368727758</v>
      </c>
      <c r="I13" s="17">
        <f t="shared" si="2"/>
        <v>1063960.2796312722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JzxkOkFzW0UZeWxXTr0VsAAjyfPrh5tR0emsD0G4KNhSlb1olyTONIUXUHbczkej5R0x2pbbP6gYjDd3N0S3g==" saltValue="/tbpBFcoBYFI32IjArqFM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4.0816004081600382E-2</v>
      </c>
    </row>
    <row r="5" spans="1:8" ht="15.75" customHeight="1" x14ac:dyDescent="0.25">
      <c r="B5" s="19" t="s">
        <v>80</v>
      </c>
      <c r="C5" s="101">
        <v>4.5121704512170478E-2</v>
      </c>
    </row>
    <row r="6" spans="1:8" ht="15.75" customHeight="1" x14ac:dyDescent="0.25">
      <c r="B6" s="19" t="s">
        <v>81</v>
      </c>
      <c r="C6" s="101">
        <v>0.16704491670449181</v>
      </c>
    </row>
    <row r="7" spans="1:8" ht="15.75" customHeight="1" x14ac:dyDescent="0.25">
      <c r="B7" s="19" t="s">
        <v>82</v>
      </c>
      <c r="C7" s="101">
        <v>0.41512384151238468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0.28284702828470237</v>
      </c>
    </row>
    <row r="10" spans="1:8" ht="15.75" customHeight="1" x14ac:dyDescent="0.25">
      <c r="B10" s="19" t="s">
        <v>85</v>
      </c>
      <c r="C10" s="101">
        <v>4.9046504904650429E-2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88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89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94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95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7.0890322000000006E-2</v>
      </c>
    </row>
    <row r="27" spans="1:8" ht="15.75" customHeight="1" x14ac:dyDescent="0.25">
      <c r="B27" s="19" t="s">
        <v>102</v>
      </c>
      <c r="C27" s="101">
        <v>6.3794211000000003E-2</v>
      </c>
    </row>
    <row r="28" spans="1:8" ht="15.75" customHeight="1" x14ac:dyDescent="0.25">
      <c r="B28" s="19" t="s">
        <v>103</v>
      </c>
      <c r="C28" s="101">
        <v>0.20576266900000001</v>
      </c>
    </row>
    <row r="29" spans="1:8" ht="15.75" customHeight="1" x14ac:dyDescent="0.25">
      <c r="B29" s="19" t="s">
        <v>104</v>
      </c>
      <c r="C29" s="101">
        <v>0.158973905</v>
      </c>
    </row>
    <row r="30" spans="1:8" ht="15.75" customHeight="1" x14ac:dyDescent="0.25">
      <c r="B30" s="19" t="s">
        <v>2</v>
      </c>
      <c r="C30" s="101">
        <v>0.14980645400000001</v>
      </c>
    </row>
    <row r="31" spans="1:8" ht="15.75" customHeight="1" x14ac:dyDescent="0.25">
      <c r="B31" s="19" t="s">
        <v>105</v>
      </c>
      <c r="C31" s="101">
        <v>5.9616164999999999E-2</v>
      </c>
    </row>
    <row r="32" spans="1:8" ht="15.75" customHeight="1" x14ac:dyDescent="0.25">
      <c r="B32" s="19" t="s">
        <v>106</v>
      </c>
      <c r="C32" s="101">
        <v>9.6391635000000003E-2</v>
      </c>
    </row>
    <row r="33" spans="2:3" ht="15.75" customHeight="1" x14ac:dyDescent="0.25">
      <c r="B33" s="19" t="s">
        <v>107</v>
      </c>
      <c r="C33" s="101">
        <v>0.10287004700000001</v>
      </c>
    </row>
    <row r="34" spans="2:3" ht="15.75" customHeight="1" x14ac:dyDescent="0.25">
      <c r="B34" s="19" t="s">
        <v>108</v>
      </c>
      <c r="C34" s="101">
        <v>9.1894592999999997E-2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IV1vuOg0Jywsr9VF9PFcQaMbd/+3UQCusgP9qeQfvaCIYYVVVWKh0tgY/G+WSCnCg0LsB6uPCcg35xcN4fCtCQ==" saltValue="adtbtk3ox5y+8ImT0THo9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115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119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120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RmXjvFfXEwWvsY8+67kYKhKdpGOaFaPBU4P6TPdNIyK47tfNK+e2pyiQzQvwxg6yooaOsjw77DNxlnBsblVWA==" saltValue="f64IlGUfxZbxmSgm+MVh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132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ZVffZuTInraxl+5mC98/pWfFoBZi+M5yjIjYCiZiPeRE8gE96yjzu9qTyB7UIQwtNdrqxoq8y+6cl9MGPkW81w==" saltValue="1eQ411n9JlvgupOiRJvE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oMNsog14nhcIdgkG175iMYZ9KLtbP+7ckshcTwbX3DyXK6R6x8avEaIntJQfj+0YybtB3y39PCYDexKcX2GMQ==" saltValue="4ilk502APfOOO5KdFd3x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ZFUWCvtc4bvhFKim9w4FGaa45Ukw+ewb7rP5OqkLOYMqz0pVyRaXpWquzTrMo+u24IeNaeoeVIK+hwCXLsrBsA==" saltValue="KTB9uar5u2DbDmGY6i8t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2tZXklmXj8TdMFdgQ9JOp3mnYWnCEtHb3HvL544irg6aT84JKCrmPjGJbM6emcOekKYGrD2PYNbLCSokWO5PZw==" saltValue="ukmcg/YXw2xMaLFxF06c0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2ESQEFGkUCdRkZ3nkKKdG6GOkm66PpV00w9dte20HeBCYXaT1zyhwVuTceX7dQVCFxnkzHs5/17ePrHU6njetg==" saltValue="Fq2+rxBVKjS4MEDDAu3m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79.237944195058446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40.355493895445491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746.9025246802014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8.0641902562029717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13.487793339241399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13.487793339241399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13.487793339241399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13.487793339241399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13.487793339241399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13.487793339241399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1.1945591391367461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0.1167362757</v>
      </c>
      <c r="C18" s="98">
        <v>0.95</v>
      </c>
      <c r="D18" s="56">
        <v>17.118703595251191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0.86055859999999995</v>
      </c>
      <c r="C19" s="98">
        <v>0.95</v>
      </c>
      <c r="D19" s="56">
        <v>17.118703595251191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0.99</v>
      </c>
      <c r="C21" s="98">
        <v>0.95</v>
      </c>
      <c r="D21" s="56">
        <v>80.311935815133822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23.524997843753901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4.5765963468796116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0.88458900839999999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19.061801059277851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0.69369273269999998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162.0533213325655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1.508389493917569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2.613816007068833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3.6602630150362971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a2xAOikxfDzybtmo0k1K/x47nCPM9I9/JNlNH9j3uwhAYveD4ISWQFfYmzBqKE5uxt4RIMvpV7Fa9JT9twfffA==" saltValue="74Yr0WLnjCVsmefL5/Qk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t0Th4I8Ala6NkVGQrZ0/WhPEDHyNg5dmPMiJlBmbEq4mW3voBxEjHgrP2evp7P5PSdX/veYnsPc2yVmuHuGZg==" saltValue="I7d1lOCVPrDlzhm6neQL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Oezbia2ZTC4JbrjqzZweNTRgpSQK1yr0vHdNp64rJQTingzcu02zTg0lr8m6h6uX2puhZcvA1mCzFfbyqY0XA==" saltValue="71n1MbB9zg2C7b6ZeiZd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K9JWU8LNJjUyKzm4S/8ADrL6onOlGmRRKBubDa8hy1daewzaL+z5kYPwBqGYCBmXj5SV2NxK1dVBRhIKolgqIQ==" saltValue="q+EdMBCSSRikf/7mnDwg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uD2NF6XcwK2QlZYKmczIvgB2r0ezF83akSJglbpaoqoSNgSRwEULAUA/w3lFyxuU4rEeJyILhOYkmH4VTqzwA==" saltValue="1bckcnyVAFioQ8edfAN0C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9FF9sBsSP8CXLSsJp7f4DomZWwJ6DXLyCYw9g3HgX1cTzsqipD23NJNiWmZJV6cAYMYlzNQaIaQKRTUBjp3jA==" saltValue="KTI72BZYn8eaX1C36IqO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aVU8Kmsuv49TT7uiIC+Z9VwrkCK3w58/EMU1Rwu5V6/axYj+hGlVuNQWbMw4ps+DWJtwg9yruV6P9ph9sTSiw==" saltValue="sVXUvoc4ydwRdtoPTONbw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i37X903Fm6QbIZZKuH7cJQpeGND4csevQZHg4xTrUqaSTU+8EtPWCsn6WJ6naaNfX/eSSjnBpnU0mOP9ZM+4g==" saltValue="SgYzUZDy5eOO+q45YJfeL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5SgTaVCwMCxh64f7E1KPyTDrJbOG1yu2TAflnbzPEHjPx9/br+klpx6QgU+8/5PPO4XPljESwCazby0A0nEvg==" saltValue="F/tGVQaGG8Gf7yeT+xyN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zrD8j5iujx/fgwk3+ZeX33VfpsXuOVLdTB/HUESWIvtXULlGjOx/LbpdJmjBG6s3Wltln8P4XgkUHS5tib3Lw==" saltValue="vVJiOMwOHJMN1wLWX/UPf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9bZqYIzlC8w9tnd77Dd3ySdBsNS7dsq2kYeUQsc/SLYkP578+dNji7FWl2LopRP5e0yojZ5/e9O/Dnz60GOJ5A==" saltValue="5FcnbKMGUjTfh5mf3NM9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ut8bAgYZqw/3/lT3EQRtYvKCT4dYchQ9+CkFtplV1UybCNp7okzLrY4EnV4URMDqXKS/uQ6uYjjNVDJmlHtWw==" saltValue="mxz8pCrzmuWj3ehzWRQh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TFGr2x0Y4p4pEVWxUrjH2iVqJwfLKkACHzcRDj+knn74ZO4A/hyTUOlw/tnTIDGMQl+mOBgDpensp5yBTysHg==" saltValue="cCFQqLrgMauN1hgjCtFx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fd3h6AZuDMrpWxfFx5SEaTAAGokULXI6UITzhKt/escoilyhrteyUutwlMlhEV0OR28tKibjD6VPvTbIICzYXw==" saltValue="Y6BkP6ECUxjxl/KLYHWO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Wz4JYzw2nE71vx9ZjySuxbtbVNSVJriFCoHsSoDEdlEZ9FRVlPvrt6AMCz4+hy9C3aM/8I27u96PGj4kUqpaQ==" saltValue="HeHUgF2kvYMiQm2SIDtQ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tB9LJiUkjg3AhfN0+n9DnndjQvfOC41sk9R8lZYgTQzc5/N6AVjjwLGF4scHnuM+z29Ug5n7ncpWhBnjsJgFw==" saltValue="Tj7gpiSbrTNhYusm7Wlv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7c/lpydkVHV37QM2aRPwb2eTrA5NB1zhgod7Ow3nf7u4an3qbXBH0DpgXKZdXwmVYAH0N3dhPuZYqlx90s5Ww==" saltValue="5lT/6YBllB6I321YwZXI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6gJ4Wqm8b4bJYUc8NHaKaFOvh1k9NH+jZwhPin5CTuliAOBwkF0uypPQKk0EczEAGfilbxZwXM5RUk4rrJ00w==" saltValue="BIDkfA1/0FoU2lIFJe4b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AeKzWN7cbe99wFvXu1MG9NY9Bmc8x3TV6LqrdwU2Jn1antmCQLKb5Ij7H+V1cFEPvwQOiHdc/aZqJfGw4SqQA==" saltValue="D/6WfhwFnH5hX19s0V9/f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2024-05-17T00:13:54Z</dcterms:modified>
</cp:coreProperties>
</file>