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A36459F4-EB54-4608-8768-6925602DFDEE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<sst xmlns="http://schemas.openxmlformats.org/spreadsheetml/2006/main" count="2102" uniqueCount="337">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</sst>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6963092.5</v>
      </c>
    </row>
    <row r="8" spans="1:3" ht="15" customHeight="1" x14ac:dyDescent="0.25">
      <c r="B8" s="5" t="s">
        <v>19</v>
      </c>
      <c r="C8" s="44">
        <v>0</v>
      </c>
    </row>
    <row r="9" spans="1:3" ht="15" customHeight="1" x14ac:dyDescent="0.25">
      <c r="B9" s="5" t="s">
        <v>20</v>
      </c>
      <c r="C9" s="45">
        <v>0.01</v>
      </c>
    </row>
    <row r="10" spans="1:3" ht="15" customHeight="1" x14ac:dyDescent="0.25">
      <c r="B10" s="5" t="s">
        <v>21</v>
      </c>
      <c r="C10" s="45">
        <v>0.91188728330000002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0.249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6.6199999999999995E-2</v>
      </c>
    </row>
    <row r="24" spans="1:3" ht="15" customHeight="1" x14ac:dyDescent="0.25">
      <c r="B24" s="15" t="s">
        <v>33</v>
      </c>
      <c r="C24" s="45">
        <v>0.53720000000000001</v>
      </c>
    </row>
    <row r="25" spans="1:3" ht="15" customHeight="1" x14ac:dyDescent="0.25">
      <c r="B25" s="15" t="s">
        <v>34</v>
      </c>
      <c r="C25" s="45">
        <v>0.36980000000000002</v>
      </c>
    </row>
    <row r="26" spans="1:3" ht="15" customHeight="1" x14ac:dyDescent="0.25">
      <c r="B26" s="15" t="s">
        <v>35</v>
      </c>
      <c r="C26" s="45">
        <v>2.6800000000000001E-2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0.57290349526853401</v>
      </c>
    </row>
    <row r="30" spans="1:3" ht="14.25" customHeight="1" x14ac:dyDescent="0.25">
      <c r="B30" s="25" t="s">
        <v>38</v>
      </c>
      <c r="C30" s="99">
        <v>2.97816918362898E-2</v>
      </c>
    </row>
    <row r="31" spans="1:3" ht="14.25" customHeight="1" x14ac:dyDescent="0.25">
      <c r="B31" s="25" t="s">
        <v>39</v>
      </c>
      <c r="C31" s="99">
        <v>2.5306962187057899E-2</v>
      </c>
    </row>
    <row r="32" spans="1:3" ht="14.25" customHeight="1" x14ac:dyDescent="0.25">
      <c r="B32" s="25" t="s">
        <v>40</v>
      </c>
      <c r="C32" s="99">
        <v>0.37200785070811798</v>
      </c>
    </row>
    <row r="33" spans="1:5" ht="13" customHeight="1" x14ac:dyDescent="0.25">
      <c r="B33" s="27" t="s">
        <v>41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2.0429400000000002</v>
      </c>
    </row>
    <row r="38" spans="1:5" ht="15" customHeight="1" x14ac:dyDescent="0.25">
      <c r="B38" s="11" t="s">
        <v>45</v>
      </c>
      <c r="C38" s="43">
        <v>4.0702199999999999</v>
      </c>
      <c r="D38" s="12"/>
      <c r="E38" s="13"/>
    </row>
    <row r="39" spans="1:5" ht="15" customHeight="1" x14ac:dyDescent="0.25">
      <c r="B39" s="11" t="s">
        <v>46</v>
      </c>
      <c r="C39" s="43">
        <v>5.0548999999999999</v>
      </c>
      <c r="D39" s="12"/>
      <c r="E39" s="12"/>
    </row>
    <row r="40" spans="1:5" ht="15" customHeight="1" x14ac:dyDescent="0.25">
      <c r="B40" s="11" t="s">
        <v>47</v>
      </c>
      <c r="C40" s="100">
        <v>0.14000000000000001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3.29203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5.1054000000000004E-3</v>
      </c>
      <c r="D45" s="12"/>
    </row>
    <row r="46" spans="1:5" ht="15.75" customHeight="1" x14ac:dyDescent="0.25">
      <c r="B46" s="11" t="s">
        <v>52</v>
      </c>
      <c r="C46" s="45">
        <v>5.4856500000000002E-2</v>
      </c>
      <c r="D46" s="12"/>
    </row>
    <row r="47" spans="1:5" ht="15.75" customHeight="1" x14ac:dyDescent="0.25">
      <c r="B47" s="11" t="s">
        <v>53</v>
      </c>
      <c r="C47" s="45">
        <v>7.6146699999999998E-2</v>
      </c>
      <c r="D47" s="12"/>
      <c r="E47" s="13"/>
    </row>
    <row r="48" spans="1:5" ht="15" customHeight="1" x14ac:dyDescent="0.25">
      <c r="B48" s="11" t="s">
        <v>54</v>
      </c>
      <c r="C48" s="46">
        <v>0.86389139999999998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2.8</v>
      </c>
      <c r="D51" s="12"/>
    </row>
    <row r="52" spans="1:4" ht="15" customHeight="1" x14ac:dyDescent="0.25">
      <c r="B52" s="11" t="s">
        <v>57</v>
      </c>
      <c r="C52" s="100">
        <v>2.8</v>
      </c>
    </row>
    <row r="53" spans="1:4" ht="15.75" customHeight="1" x14ac:dyDescent="0.25">
      <c r="B53" s="11" t="s">
        <v>58</v>
      </c>
      <c r="C53" s="100">
        <v>2.8</v>
      </c>
    </row>
    <row r="54" spans="1:4" ht="15.75" customHeight="1" x14ac:dyDescent="0.25">
      <c r="B54" s="11" t="s">
        <v>59</v>
      </c>
      <c r="C54" s="100">
        <v>2.8</v>
      </c>
    </row>
    <row r="55" spans="1:4" ht="15.75" customHeight="1" x14ac:dyDescent="0.25">
      <c r="B55" s="11" t="s">
        <v>60</v>
      </c>
      <c r="C55" s="100">
        <v>2.8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1.6428571428571431E-2</v>
      </c>
    </row>
    <row r="59" spans="1:4" ht="15.75" customHeight="1" x14ac:dyDescent="0.25">
      <c r="B59" s="11" t="s">
        <v>63</v>
      </c>
      <c r="C59" s="45">
        <v>0.65602400000000005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5.8061866999999899E-2</v>
      </c>
    </row>
    <row r="63" spans="1:4" ht="15.75" customHeight="1" x14ac:dyDescent="0.3">
      <c r="A63" s="4"/>
    </row>
  </sheetData>
  <sheetProtection algorithmName="SHA-512" hashValue="ImKJTbWoGjhOZfgbMvpXqLsNFydXzE5dTuPg6X/A2+G5FidPapeGFtLpaafVwDIOu+4/Zb5HqZPMEHeE5vatIg==" saltValue="3sPAEz/ftWDvjNJfjI4Xr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1350768</v>
      </c>
      <c r="C2" s="49">
        <v>4685569</v>
      </c>
      <c r="D2" s="49">
        <v>7209348.5</v>
      </c>
      <c r="E2" s="49">
        <v>11338987.5</v>
      </c>
      <c r="F2" s="49">
        <v>10143948.5</v>
      </c>
      <c r="G2" s="17">
        <f t="shared" ref="G2:G13" si="0">C2+D2+E2+F2</f>
        <v>33377853.5</v>
      </c>
      <c r="H2" s="17">
        <f t="shared" ref="H2:H13" si="1">(B2 + stillbirth*B2/(1000-stillbirth))/(1-abortion)</f>
        <v>1540033.4727569565</v>
      </c>
      <c r="I2" s="17">
        <f t="shared" ref="I2:I13" si="2">G2-H2</f>
        <v>31837820.027243044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1325577</v>
      </c>
      <c r="C3" s="50">
        <v>4786787</v>
      </c>
      <c r="D3" s="50">
        <v>7149837.5</v>
      </c>
      <c r="E3" s="50">
        <v>10848007.5</v>
      </c>
      <c r="F3" s="50">
        <v>10303998</v>
      </c>
      <c r="G3" s="17">
        <f t="shared" si="0"/>
        <v>33088630</v>
      </c>
      <c r="H3" s="17">
        <f t="shared" si="1"/>
        <v>1511312.7870343006</v>
      </c>
      <c r="I3" s="17">
        <f t="shared" si="2"/>
        <v>31577317.212965701</v>
      </c>
    </row>
    <row r="4" spans="1:9" ht="15.75" customHeight="1" x14ac:dyDescent="0.25">
      <c r="A4" s="5">
        <f t="shared" si="3"/>
        <v>2026</v>
      </c>
      <c r="B4" s="49">
        <v>1303000</v>
      </c>
      <c r="C4" s="50">
        <v>4957172.0000000009</v>
      </c>
      <c r="D4" s="50">
        <v>7133499.4999999991</v>
      </c>
      <c r="E4" s="50">
        <v>10301067.5</v>
      </c>
      <c r="F4" s="50">
        <v>10462854.5</v>
      </c>
      <c r="G4" s="17">
        <f t="shared" si="0"/>
        <v>32854593.5</v>
      </c>
      <c r="H4" s="17">
        <f t="shared" si="1"/>
        <v>1485572.3669810907</v>
      </c>
      <c r="I4" s="17">
        <f t="shared" si="2"/>
        <v>31369021.133018911</v>
      </c>
    </row>
    <row r="5" spans="1:9" ht="15.75" customHeight="1" x14ac:dyDescent="0.25">
      <c r="A5" s="5">
        <f t="shared" si="3"/>
        <v>2027</v>
      </c>
      <c r="B5" s="49">
        <v>1286673</v>
      </c>
      <c r="C5" s="50">
        <v>5132287</v>
      </c>
      <c r="D5" s="50">
        <v>7190280</v>
      </c>
      <c r="E5" s="50">
        <v>9712646.5</v>
      </c>
      <c r="F5" s="50">
        <v>10662288</v>
      </c>
      <c r="G5" s="17">
        <f t="shared" si="0"/>
        <v>32697501.5</v>
      </c>
      <c r="H5" s="17">
        <f t="shared" si="1"/>
        <v>1466957.6777748743</v>
      </c>
      <c r="I5" s="17">
        <f t="shared" si="2"/>
        <v>31230543.822225127</v>
      </c>
    </row>
    <row r="6" spans="1:9" ht="15.75" customHeight="1" x14ac:dyDescent="0.25">
      <c r="A6" s="5">
        <f t="shared" si="3"/>
        <v>2028</v>
      </c>
      <c r="B6" s="49">
        <v>1276566</v>
      </c>
      <c r="C6" s="50">
        <v>5262409.5</v>
      </c>
      <c r="D6" s="50">
        <v>7311412.0000000009</v>
      </c>
      <c r="E6" s="50">
        <v>9140396</v>
      </c>
      <c r="F6" s="50">
        <v>10859380.5</v>
      </c>
      <c r="G6" s="17">
        <f t="shared" si="0"/>
        <v>32573598</v>
      </c>
      <c r="H6" s="17">
        <f t="shared" si="1"/>
        <v>1455434.5159075849</v>
      </c>
      <c r="I6" s="17">
        <f t="shared" si="2"/>
        <v>31118163.484092414</v>
      </c>
    </row>
    <row r="7" spans="1:9" ht="15.75" customHeight="1" x14ac:dyDescent="0.25">
      <c r="A7" s="5">
        <f t="shared" si="3"/>
        <v>2029</v>
      </c>
      <c r="B7" s="49">
        <v>1263399</v>
      </c>
      <c r="C7" s="50">
        <v>5382070.5</v>
      </c>
      <c r="D7" s="50">
        <v>7464300</v>
      </c>
      <c r="E7" s="50">
        <v>8613622</v>
      </c>
      <c r="F7" s="50">
        <v>11021835</v>
      </c>
      <c r="G7" s="17">
        <f t="shared" si="0"/>
        <v>32481827.5</v>
      </c>
      <c r="H7" s="17">
        <f t="shared" si="1"/>
        <v>1440422.5962176081</v>
      </c>
      <c r="I7" s="17">
        <f t="shared" si="2"/>
        <v>31041404.90378239</v>
      </c>
    </row>
    <row r="8" spans="1:9" ht="15.75" customHeight="1" x14ac:dyDescent="0.25">
      <c r="A8" s="5">
        <f t="shared" si="3"/>
        <v>2030</v>
      </c>
      <c r="B8" s="49">
        <v>1257994</v>
      </c>
      <c r="C8" s="50">
        <v>5502009</v>
      </c>
      <c r="D8" s="50">
        <v>7610365</v>
      </c>
      <c r="E8" s="50">
        <v>8124190</v>
      </c>
      <c r="F8" s="50">
        <v>11086661</v>
      </c>
      <c r="G8" s="17">
        <f t="shared" si="0"/>
        <v>32323225</v>
      </c>
      <c r="H8" s="17">
        <f t="shared" si="1"/>
        <v>1434260.2641811285</v>
      </c>
      <c r="I8" s="17">
        <f t="shared" si="2"/>
        <v>30888964.73581887</v>
      </c>
    </row>
    <row r="9" spans="1:9" ht="15.75" customHeight="1" x14ac:dyDescent="0.25">
      <c r="A9" s="5">
        <f t="shared" si="3"/>
        <v>2031</v>
      </c>
      <c r="B9" s="49">
        <v>1255046</v>
      </c>
      <c r="C9" s="50">
        <v>5535549.5</v>
      </c>
      <c r="D9" s="50">
        <v>7774902.5000000009</v>
      </c>
      <c r="E9" s="50">
        <v>7726413.5</v>
      </c>
      <c r="F9" s="50">
        <v>11103576.5</v>
      </c>
      <c r="G9" s="17">
        <f t="shared" si="0"/>
        <v>32140442</v>
      </c>
      <c r="H9" s="17">
        <f t="shared" si="1"/>
        <v>1430899.1994552191</v>
      </c>
      <c r="I9" s="17">
        <f t="shared" si="2"/>
        <v>30709542.80054478</v>
      </c>
    </row>
    <row r="10" spans="1:9" ht="15.75" customHeight="1" x14ac:dyDescent="0.25">
      <c r="A10" s="5">
        <f t="shared" si="3"/>
        <v>2032</v>
      </c>
      <c r="B10" s="49">
        <v>1257264</v>
      </c>
      <c r="C10" s="50">
        <v>5442679.5</v>
      </c>
      <c r="D10" s="50">
        <v>7987433.5</v>
      </c>
      <c r="E10" s="50">
        <v>7457928.9999999991</v>
      </c>
      <c r="F10" s="50">
        <v>11044765</v>
      </c>
      <c r="G10" s="17">
        <f t="shared" si="0"/>
        <v>31932807</v>
      </c>
      <c r="H10" s="17">
        <f t="shared" si="1"/>
        <v>1433427.9788181998</v>
      </c>
      <c r="I10" s="17">
        <f t="shared" si="2"/>
        <v>30499379.021181799</v>
      </c>
    </row>
    <row r="11" spans="1:9" ht="15.75" customHeight="1" x14ac:dyDescent="0.25">
      <c r="A11" s="5">
        <f t="shared" si="3"/>
        <v>2033</v>
      </c>
      <c r="B11" s="49">
        <v>1265473</v>
      </c>
      <c r="C11" s="50">
        <v>5275096.5</v>
      </c>
      <c r="D11" s="50">
        <v>8196037.5</v>
      </c>
      <c r="E11" s="50">
        <v>7324548</v>
      </c>
      <c r="F11" s="50">
        <v>10800772</v>
      </c>
      <c r="G11" s="17">
        <f t="shared" si="0"/>
        <v>31596454</v>
      </c>
      <c r="H11" s="17">
        <f t="shared" si="1"/>
        <v>1442787.1987418742</v>
      </c>
      <c r="I11" s="17">
        <f t="shared" si="2"/>
        <v>30153666.801258124</v>
      </c>
    </row>
    <row r="12" spans="1:9" ht="15.75" customHeight="1" x14ac:dyDescent="0.25">
      <c r="A12" s="5">
        <f t="shared" si="3"/>
        <v>2034</v>
      </c>
      <c r="B12" s="49">
        <v>1276978</v>
      </c>
      <c r="C12" s="50">
        <v>5061462.5</v>
      </c>
      <c r="D12" s="50">
        <v>8398011</v>
      </c>
      <c r="E12" s="50">
        <v>7270444</v>
      </c>
      <c r="F12" s="50">
        <v>10427515</v>
      </c>
      <c r="G12" s="17">
        <f t="shared" si="0"/>
        <v>31157432.5</v>
      </c>
      <c r="H12" s="17">
        <f t="shared" si="1"/>
        <v>1455904.2440850188</v>
      </c>
      <c r="I12" s="17">
        <f t="shared" si="2"/>
        <v>29701528.255914982</v>
      </c>
    </row>
    <row r="13" spans="1:9" ht="15.75" customHeight="1" x14ac:dyDescent="0.25">
      <c r="A13" s="5">
        <f t="shared" si="3"/>
        <v>2035</v>
      </c>
      <c r="B13" s="49">
        <v>1293215</v>
      </c>
      <c r="C13" s="50">
        <v>4813165.5</v>
      </c>
      <c r="D13" s="50">
        <v>8611971</v>
      </c>
      <c r="E13" s="50">
        <v>7239173.0000000009</v>
      </c>
      <c r="F13" s="50">
        <v>9980190.4999999981</v>
      </c>
      <c r="G13" s="17">
        <f t="shared" si="0"/>
        <v>30644500</v>
      </c>
      <c r="H13" s="17">
        <f t="shared" si="1"/>
        <v>1474416.3227670386</v>
      </c>
      <c r="I13" s="17">
        <f t="shared" si="2"/>
        <v>29170083.677232962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hVVrTzbd1htWfbLC/Kco021iCZmM/vR/rUDJEUTjae32czmFuZ2PG3Jf0AjGtFkX90K/IW/+RG133NnhSy+LGA==" saltValue="ypdkc9LOAF9b/ZYHOlhHc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0</v>
      </c>
    </row>
    <row r="4" spans="1:8" ht="15.75" customHeight="1" x14ac:dyDescent="0.25">
      <c r="B4" s="19" t="s">
        <v>79</v>
      </c>
      <c r="C4" s="101">
        <v>4.6752803568092062E-2</v>
      </c>
    </row>
    <row r="5" spans="1:8" ht="15.75" customHeight="1" x14ac:dyDescent="0.25">
      <c r="B5" s="19" t="s">
        <v>80</v>
      </c>
      <c r="C5" s="101">
        <v>1.486391252078507E-2</v>
      </c>
    </row>
    <row r="6" spans="1:8" ht="15.75" customHeight="1" x14ac:dyDescent="0.25">
      <c r="B6" s="19" t="s">
        <v>81</v>
      </c>
      <c r="C6" s="101">
        <v>0.14551007546207789</v>
      </c>
    </row>
    <row r="7" spans="1:8" ht="15.75" customHeight="1" x14ac:dyDescent="0.25">
      <c r="B7" s="19" t="s">
        <v>82</v>
      </c>
      <c r="C7" s="101">
        <v>0.42786403328093642</v>
      </c>
    </row>
    <row r="8" spans="1:8" ht="15.75" customHeight="1" x14ac:dyDescent="0.25">
      <c r="B8" s="19" t="s">
        <v>83</v>
      </c>
      <c r="C8" s="101">
        <v>0</v>
      </c>
    </row>
    <row r="9" spans="1:8" ht="15.75" customHeight="1" x14ac:dyDescent="0.25">
      <c r="B9" s="19" t="s">
        <v>84</v>
      </c>
      <c r="C9" s="101">
        <v>0.26668257443021021</v>
      </c>
    </row>
    <row r="10" spans="1:8" ht="15.75" customHeight="1" x14ac:dyDescent="0.25">
      <c r="B10" s="19" t="s">
        <v>85</v>
      </c>
      <c r="C10" s="101">
        <v>9.8326600737898548E-2</v>
      </c>
    </row>
    <row r="11" spans="1:8" ht="15.75" customHeight="1" x14ac:dyDescent="0.25">
      <c r="B11" s="27" t="s">
        <v>41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4.3202474008016599E-2</v>
      </c>
      <c r="D14" s="55">
        <v>4.3202474008016599E-2</v>
      </c>
      <c r="E14" s="55">
        <v>4.3202474008016599E-2</v>
      </c>
      <c r="F14" s="55">
        <v>4.3202474008016599E-2</v>
      </c>
    </row>
    <row r="15" spans="1:8" ht="15.75" customHeight="1" x14ac:dyDescent="0.25">
      <c r="B15" s="19" t="s">
        <v>88</v>
      </c>
      <c r="C15" s="101">
        <v>0.26782995296083062</v>
      </c>
      <c r="D15" s="101">
        <v>0.26782995296083062</v>
      </c>
      <c r="E15" s="101">
        <v>0.26782995296083062</v>
      </c>
      <c r="F15" s="101">
        <v>0.26782995296083062</v>
      </c>
    </row>
    <row r="16" spans="1:8" ht="15.75" customHeight="1" x14ac:dyDescent="0.25">
      <c r="B16" s="19" t="s">
        <v>89</v>
      </c>
      <c r="C16" s="101">
        <v>4.2749525377323093E-2</v>
      </c>
      <c r="D16" s="101">
        <v>4.2749525377323093E-2</v>
      </c>
      <c r="E16" s="101">
        <v>4.2749525377323093E-2</v>
      </c>
      <c r="F16" s="101">
        <v>4.2749525377323093E-2</v>
      </c>
    </row>
    <row r="17" spans="1:8" ht="15.75" customHeight="1" x14ac:dyDescent="0.25">
      <c r="B17" s="19" t="s">
        <v>90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91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92</v>
      </c>
      <c r="C19" s="101">
        <v>2.758573967160316E-2</v>
      </c>
      <c r="D19" s="101">
        <v>2.758573967160316E-2</v>
      </c>
      <c r="E19" s="101">
        <v>2.758573967160316E-2</v>
      </c>
      <c r="F19" s="101">
        <v>2.758573967160316E-2</v>
      </c>
    </row>
    <row r="20" spans="1:8" ht="15.75" customHeight="1" x14ac:dyDescent="0.25">
      <c r="B20" s="19" t="s">
        <v>93</v>
      </c>
      <c r="C20" s="101">
        <v>0</v>
      </c>
      <c r="D20" s="101">
        <v>0</v>
      </c>
      <c r="E20" s="101">
        <v>0</v>
      </c>
      <c r="F20" s="101">
        <v>0</v>
      </c>
    </row>
    <row r="21" spans="1:8" ht="15.75" customHeight="1" x14ac:dyDescent="0.25">
      <c r="B21" s="19" t="s">
        <v>94</v>
      </c>
      <c r="C21" s="101">
        <v>0.55258383183639626</v>
      </c>
      <c r="D21" s="101">
        <v>0.55258383183639626</v>
      </c>
      <c r="E21" s="101">
        <v>0.55258383183639626</v>
      </c>
      <c r="F21" s="101">
        <v>0.55258383183639626</v>
      </c>
    </row>
    <row r="22" spans="1:8" ht="15.75" customHeight="1" x14ac:dyDescent="0.25">
      <c r="B22" s="19" t="s">
        <v>95</v>
      </c>
      <c r="C22" s="101">
        <v>6.6048476145830384E-2</v>
      </c>
      <c r="D22" s="101">
        <v>6.6048476145830384E-2</v>
      </c>
      <c r="E22" s="101">
        <v>6.6048476145830384E-2</v>
      </c>
      <c r="F22" s="101">
        <v>6.6048476145830384E-2</v>
      </c>
    </row>
    <row r="23" spans="1:8" ht="15.75" customHeight="1" x14ac:dyDescent="0.25">
      <c r="B23" s="27" t="s">
        <v>41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5.4251238E-2</v>
      </c>
    </row>
    <row r="27" spans="1:8" ht="15.75" customHeight="1" x14ac:dyDescent="0.25">
      <c r="B27" s="19" t="s">
        <v>102</v>
      </c>
      <c r="C27" s="101">
        <v>5.8146800999999977E-2</v>
      </c>
    </row>
    <row r="28" spans="1:8" ht="15.75" customHeight="1" x14ac:dyDescent="0.25">
      <c r="B28" s="19" t="s">
        <v>103</v>
      </c>
      <c r="C28" s="101">
        <v>0.119033663</v>
      </c>
    </row>
    <row r="29" spans="1:8" ht="15.75" customHeight="1" x14ac:dyDescent="0.25">
      <c r="B29" s="19" t="s">
        <v>104</v>
      </c>
      <c r="C29" s="101">
        <v>0.13263193700000001</v>
      </c>
    </row>
    <row r="30" spans="1:8" ht="15.75" customHeight="1" x14ac:dyDescent="0.25">
      <c r="B30" s="19" t="s">
        <v>2</v>
      </c>
      <c r="C30" s="101">
        <v>7.9118254999999998E-2</v>
      </c>
    </row>
    <row r="31" spans="1:8" ht="15.75" customHeight="1" x14ac:dyDescent="0.25">
      <c r="B31" s="19" t="s">
        <v>105</v>
      </c>
      <c r="C31" s="101">
        <v>6.4364179999999993E-2</v>
      </c>
    </row>
    <row r="32" spans="1:8" ht="15.75" customHeight="1" x14ac:dyDescent="0.25">
      <c r="B32" s="19" t="s">
        <v>106</v>
      </c>
      <c r="C32" s="101">
        <v>0.129985237</v>
      </c>
    </row>
    <row r="33" spans="2:3" ht="15.75" customHeight="1" x14ac:dyDescent="0.25">
      <c r="B33" s="19" t="s">
        <v>107</v>
      </c>
      <c r="C33" s="101">
        <v>0.123796236</v>
      </c>
    </row>
    <row r="34" spans="2:3" ht="15.75" customHeight="1" x14ac:dyDescent="0.25">
      <c r="B34" s="19" t="s">
        <v>108</v>
      </c>
      <c r="C34" s="101">
        <v>0.23867245300000001</v>
      </c>
    </row>
    <row r="35" spans="2:3" ht="15.75" customHeight="1" x14ac:dyDescent="0.25">
      <c r="B35" s="27" t="s">
        <v>41</v>
      </c>
      <c r="C35" s="48">
        <f>SUM(C26:C34)</f>
        <v>1</v>
      </c>
    </row>
  </sheetData>
  <sheetProtection algorithmName="SHA-512" hashValue="m/P3T0gudKqUkWA0OjtOTCKkCEbJI4O2kRPg8z8u69ESvgYTF5fi5PX5Mty3tpteRy694Vv6KbJ69tN6j5e0vQ==" saltValue="1wUDRiDob9P6F9aR3R3uvA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0.58297288271154679</v>
      </c>
      <c r="D2" s="52">
        <f>IFERROR(1-_xlfn.NORM.DIST(_xlfn.NORM.INV(SUM(D4:D5), 0, 1) + 1, 0, 1, TRUE), "")</f>
        <v>0.58297288271154679</v>
      </c>
      <c r="E2" s="52">
        <f>IFERROR(1-_xlfn.NORM.DIST(_xlfn.NORM.INV(SUM(E4:E5), 0, 1) + 1, 0, 1, TRUE), "")</f>
        <v>0.58156996680665163</v>
      </c>
      <c r="F2" s="52">
        <f>IFERROR(1-_xlfn.NORM.DIST(_xlfn.NORM.INV(SUM(F4:F5), 0, 1) + 1, 0, 1, TRUE), "")</f>
        <v>0.50195502496214828</v>
      </c>
      <c r="G2" s="52">
        <f>IFERROR(1-_xlfn.NORM.DIST(_xlfn.NORM.INV(SUM(G4:G5), 0, 1) + 1, 0, 1, TRUE), "")</f>
        <v>0.51614479216839237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0.30379262193961598</v>
      </c>
      <c r="D3" s="52">
        <f>IFERROR(_xlfn.NORM.DIST(_xlfn.NORM.INV(SUM(D4:D5), 0, 1) + 1, 0, 1, TRUE) - SUM(D4:D5), "")</f>
        <v>0.30379262193961598</v>
      </c>
      <c r="E3" s="52">
        <f>IFERROR(_xlfn.NORM.DIST(_xlfn.NORM.INV(SUM(E4:E5), 0, 1) + 1, 0, 1, TRUE) - SUM(E4:E5), "")</f>
        <v>0.30450421923985999</v>
      </c>
      <c r="F3" s="52">
        <f>IFERROR(_xlfn.NORM.DIST(_xlfn.NORM.INV(SUM(F4:F5), 0, 1) + 1, 0, 1, TRUE) - SUM(F4:F5), "")</f>
        <v>0.34057260294482855</v>
      </c>
      <c r="G3" s="52">
        <f>IFERROR(_xlfn.NORM.DIST(_xlfn.NORM.INV(SUM(G4:G5), 0, 1) + 1, 0, 1, TRUE) - SUM(G4:G5), "")</f>
        <v>0.33479674271532855</v>
      </c>
    </row>
    <row r="4" spans="1:15" ht="15.75" customHeight="1" x14ac:dyDescent="0.25">
      <c r="B4" s="5" t="s">
        <v>114</v>
      </c>
      <c r="C4" s="45">
        <v>6.7813423255813993E-2</v>
      </c>
      <c r="D4" s="53">
        <v>6.7813423255813993E-2</v>
      </c>
      <c r="E4" s="53">
        <v>5.9689727906976797E-2</v>
      </c>
      <c r="F4" s="53">
        <v>9.1590816279069689E-2</v>
      </c>
      <c r="G4" s="53">
        <v>9.4087655813953508E-2</v>
      </c>
    </row>
    <row r="5" spans="1:15" ht="15.75" customHeight="1" x14ac:dyDescent="0.25">
      <c r="B5" s="5" t="s">
        <v>115</v>
      </c>
      <c r="C5" s="45">
        <v>4.5421072093023297E-2</v>
      </c>
      <c r="D5" s="53">
        <v>4.5421072093023297E-2</v>
      </c>
      <c r="E5" s="53">
        <v>5.4236086046511603E-2</v>
      </c>
      <c r="F5" s="53">
        <v>6.5881555813953496E-2</v>
      </c>
      <c r="G5" s="53">
        <v>5.4970809302325598E-2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0.57723804055256789</v>
      </c>
      <c r="D8" s="52">
        <f>IFERROR(1-_xlfn.NORM.DIST(_xlfn.NORM.INV(SUM(D10:D11), 0, 1) + 1, 0, 1, TRUE), "")</f>
        <v>0.57723804055256789</v>
      </c>
      <c r="E8" s="52">
        <f>IFERROR(1-_xlfn.NORM.DIST(_xlfn.NORM.INV(SUM(E10:E11), 0, 1) + 1, 0, 1, TRUE), "")</f>
        <v>0.70781028816723035</v>
      </c>
      <c r="F8" s="52">
        <f>IFERROR(1-_xlfn.NORM.DIST(_xlfn.NORM.INV(SUM(F10:F11), 0, 1) + 1, 0, 1, TRUE), "")</f>
        <v>0.79165112833288565</v>
      </c>
      <c r="G8" s="52">
        <f>IFERROR(1-_xlfn.NORM.DIST(_xlfn.NORM.INV(SUM(G10:G11), 0, 1) + 1, 0, 1, TRUE), "")</f>
        <v>0.80972013337160054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0.30668575944743215</v>
      </c>
      <c r="D9" s="52">
        <f>IFERROR(_xlfn.NORM.DIST(_xlfn.NORM.INV(SUM(D10:D11), 0, 1) + 1, 0, 1, TRUE) - SUM(D10:D11), "")</f>
        <v>0.30668575944743215</v>
      </c>
      <c r="E9" s="52">
        <f>IFERROR(_xlfn.NORM.DIST(_xlfn.NORM.INV(SUM(E10:E11), 0, 1) + 1, 0, 1, TRUE) - SUM(E10:E11), "")</f>
        <v>0.23125796764672316</v>
      </c>
      <c r="F9" s="52">
        <f>IFERROR(_xlfn.NORM.DIST(_xlfn.NORM.INV(SUM(F10:F11), 0, 1) + 1, 0, 1, TRUE) - SUM(F10:F11), "")</f>
        <v>0.17336841352757945</v>
      </c>
      <c r="G9" s="52">
        <f>IFERROR(_xlfn.NORM.DIST(_xlfn.NORM.INV(SUM(G10:G11), 0, 1) + 1, 0, 1, TRUE) - SUM(G10:G11), "")</f>
        <v>0.16001159686095753</v>
      </c>
    </row>
    <row r="10" spans="1:15" ht="15.75" customHeight="1" x14ac:dyDescent="0.25">
      <c r="B10" s="5" t="s">
        <v>119</v>
      </c>
      <c r="C10" s="45">
        <v>6.98490372093023E-2</v>
      </c>
      <c r="D10" s="53">
        <v>6.98490372093023E-2</v>
      </c>
      <c r="E10" s="53">
        <v>4.0427406976744198E-2</v>
      </c>
      <c r="F10" s="53">
        <v>2.1331202325581399E-2</v>
      </c>
      <c r="G10" s="53">
        <v>1.7904416279069801E-2</v>
      </c>
    </row>
    <row r="11" spans="1:15" ht="15.75" customHeight="1" x14ac:dyDescent="0.25">
      <c r="B11" s="5" t="s">
        <v>120</v>
      </c>
      <c r="C11" s="45">
        <v>4.6227162790697697E-2</v>
      </c>
      <c r="D11" s="53">
        <v>4.6227162790697697E-2</v>
      </c>
      <c r="E11" s="53">
        <v>2.0504337209302299E-2</v>
      </c>
      <c r="F11" s="53">
        <v>1.3649255813953501E-2</v>
      </c>
      <c r="G11" s="53">
        <v>1.2363853488372101E-2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0.32705093667774998</v>
      </c>
      <c r="D14" s="54">
        <v>0.304200778575</v>
      </c>
      <c r="E14" s="54">
        <v>0.304200778575</v>
      </c>
      <c r="F14" s="54">
        <v>0.151503929698</v>
      </c>
      <c r="G14" s="54">
        <v>0.151503929698</v>
      </c>
      <c r="H14" s="45">
        <v>0.24</v>
      </c>
      <c r="I14" s="55">
        <v>0.24</v>
      </c>
      <c r="J14" s="55">
        <v>0.24</v>
      </c>
      <c r="K14" s="55">
        <v>0.24</v>
      </c>
      <c r="L14" s="45">
        <v>0.23300000000000001</v>
      </c>
      <c r="M14" s="55">
        <v>0.23300000000000001</v>
      </c>
      <c r="N14" s="55">
        <v>0.23300000000000001</v>
      </c>
      <c r="O14" s="55">
        <v>0.23300000000000001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0.21455326368308428</v>
      </c>
      <c r="D15" s="52">
        <f t="shared" si="0"/>
        <v>0.19956301156388581</v>
      </c>
      <c r="E15" s="52">
        <f t="shared" si="0"/>
        <v>0.19956301156388581</v>
      </c>
      <c r="F15" s="52">
        <f t="shared" si="0"/>
        <v>9.9390213976200764E-2</v>
      </c>
      <c r="G15" s="52">
        <f t="shared" si="0"/>
        <v>9.9390213976200764E-2</v>
      </c>
      <c r="H15" s="52">
        <f t="shared" si="0"/>
        <v>0.15744576000000002</v>
      </c>
      <c r="I15" s="52">
        <f t="shared" si="0"/>
        <v>0.15744576000000002</v>
      </c>
      <c r="J15" s="52">
        <f t="shared" si="0"/>
        <v>0.15744576000000002</v>
      </c>
      <c r="K15" s="52">
        <f t="shared" si="0"/>
        <v>0.15744576000000002</v>
      </c>
      <c r="L15" s="52">
        <f t="shared" si="0"/>
        <v>0.15285359200000001</v>
      </c>
      <c r="M15" s="52">
        <f t="shared" si="0"/>
        <v>0.15285359200000001</v>
      </c>
      <c r="N15" s="52">
        <f t="shared" si="0"/>
        <v>0.15285359200000001</v>
      </c>
      <c r="O15" s="52">
        <f t="shared" si="0"/>
        <v>0.15285359200000001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cq6Jqwngp6B6E70E3kYpjTEcd7qGsT//QMPaHpm2pUqp0PYWzyR/7JJ4XtG6ECX99AqJhfNcOKJ1bPf0nEdGJw==" saltValue="h248qqDSGLXi3WkKrjRGO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0.43399436200000002</v>
      </c>
      <c r="D2" s="53">
        <v>0.23404619600000001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0.27557090400000001</v>
      </c>
      <c r="D3" s="53">
        <v>0.28600471399999999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0.20970329800000001</v>
      </c>
      <c r="D4" s="53">
        <v>0.320885694</v>
      </c>
      <c r="E4" s="53">
        <v>0.65853112884615395</v>
      </c>
      <c r="F4" s="53">
        <v>0.32869853269230798</v>
      </c>
      <c r="G4" s="53">
        <v>0</v>
      </c>
    </row>
    <row r="5" spans="1:7" x14ac:dyDescent="0.25">
      <c r="B5" s="3" t="s">
        <v>132</v>
      </c>
      <c r="C5" s="52">
        <v>8.0731462000000004E-2</v>
      </c>
      <c r="D5" s="52">
        <v>0.15906339</v>
      </c>
      <c r="E5" s="52">
        <f>1-SUM(E2:E4)</f>
        <v>0.34146887115384605</v>
      </c>
      <c r="F5" s="52">
        <f>1-SUM(F2:F4)</f>
        <v>0.67130146730769202</v>
      </c>
      <c r="G5" s="52">
        <f>1-SUM(G2:G4)</f>
        <v>1</v>
      </c>
    </row>
  </sheetData>
  <sheetProtection algorithmName="SHA-512" hashValue="jBz4Kofoutwv8LoDbidZahr4GHLZLRLxpTD9X3hh7BR9d4eAH00QWpjWsA/iLERnEJAIFKkVQK1tocIdrKYDJA==" saltValue="g2Q/7l7m7dWuR4rvQnqqs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T3YQanYWlPksyY7CQDkZiRqBNFk9Hmy/aZRFsdbJzQV0IyJQxyq+TQrehv+BT9T/HyD/9rRrr9EhyDtCfPiGnQ==" saltValue="ioe7+SsIFfHrasusILHVa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x14ac:dyDescent="0.25">
      <c r="A2" s="8" t="s">
        <v>145</v>
      </c>
      <c r="B2" s="41">
        <v>10</v>
      </c>
    </row>
    <row r="3" spans="1:2" x14ac:dyDescent="0.25">
      <c r="A3" s="8" t="s">
        <v>150</v>
      </c>
      <c r="B3" s="41">
        <v>10</v>
      </c>
    </row>
    <row r="4" spans="1:2" x14ac:dyDescent="0.25">
      <c r="A4" s="8" t="s">
        <v>146</v>
      </c>
      <c r="B4" s="41">
        <v>10</v>
      </c>
    </row>
    <row r="5" spans="1:2" x14ac:dyDescent="0.25">
      <c r="A5" s="8" t="s">
        <v>147</v>
      </c>
      <c r="B5" s="41">
        <v>10</v>
      </c>
    </row>
    <row r="6" spans="1:2" x14ac:dyDescent="0.25">
      <c r="A6" s="8" t="s">
        <v>148</v>
      </c>
      <c r="B6" s="41">
        <v>10</v>
      </c>
    </row>
    <row r="7" spans="1:2" x14ac:dyDescent="0.25">
      <c r="A7" s="8" t="s">
        <v>149</v>
      </c>
      <c r="B7" s="41">
        <v>10</v>
      </c>
    </row>
  </sheetData>
  <sheetProtection algorithmName="SHA-512" hashValue="8+omX7ANbc7lY5P8KcXFvtMu1/9fyoLHtoBgOc8cJ1oQHcyRUofKpjwgQ4YEKJD264RgKHZeVgjTca8aRHaCnA==" saltValue="kO15F7QilKqrlFMVu4PKO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x14ac:dyDescent="0.25">
      <c r="B10" s="32" t="s">
        <v>109</v>
      </c>
      <c r="C10" s="47"/>
      <c r="D10" s="47"/>
      <c r="E10" s="38" t="str">
        <f>IF(E$7="","",E$7)</f>
        <v/>
      </c>
    </row>
    <row r="11" spans="1:5" x14ac:dyDescent="0.25">
      <c r="B11" s="32" t="s">
        <v>96</v>
      </c>
      <c r="C11" s="47"/>
      <c r="D11" s="47"/>
      <c r="E11" s="38" t="str">
        <f>IF(E$7="","",E$7)</f>
        <v/>
      </c>
    </row>
    <row r="12" spans="1:5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3gyMwuy4FKbv4IdylTj+mGsvTBnOb61sPqyabl10F0r3yY6T5AEPejSDpRixKJgd8A9zHcATjEENSTgwBAOOVA==" saltValue="4WxMeCm5iZrI7vO4IJ5Q+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PTqXnsfG4Xjlv14qa4njBeUPSwuV1Lup75yll3nl5gy7FU6sQjLtquVqFncI1lbqhNCQm/OvoMlh523JPqZurA==" saltValue="Yj+qpAeqHI6PYnuETDqvX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87.39822860468739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</v>
      </c>
      <c r="C3" s="98">
        <v>0.95</v>
      </c>
      <c r="D3" s="56">
        <v>40.538396857225337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874.83688528420214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9.2089477296673294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99.99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99.99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</v>
      </c>
      <c r="C9" s="98">
        <v>0.95</v>
      </c>
      <c r="D9" s="56">
        <v>99.99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0</v>
      </c>
      <c r="C10" s="98">
        <v>0.95</v>
      </c>
      <c r="D10" s="56">
        <v>13.67069630102125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</v>
      </c>
      <c r="C11" s="98">
        <v>0.95</v>
      </c>
      <c r="D11" s="56">
        <v>13.67069630102125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</v>
      </c>
      <c r="C12" s="98">
        <v>0.95</v>
      </c>
      <c r="D12" s="56">
        <v>13.67069630102125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</v>
      </c>
      <c r="C13" s="98">
        <v>0.95</v>
      </c>
      <c r="D13" s="56">
        <v>13.67069630102125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0</v>
      </c>
      <c r="C14" s="98">
        <v>0.95</v>
      </c>
      <c r="D14" s="56">
        <v>13.67069630102125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</v>
      </c>
      <c r="C15" s="98">
        <v>0.95</v>
      </c>
      <c r="D15" s="56">
        <v>13.67069630102125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</v>
      </c>
      <c r="C16" s="98">
        <v>0.95</v>
      </c>
      <c r="D16" s="56">
        <v>1.3774621009165959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0</v>
      </c>
      <c r="C18" s="98">
        <v>0.95</v>
      </c>
      <c r="D18" s="56">
        <v>20.029543337029391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0.89418530000000007</v>
      </c>
      <c r="C19" s="98">
        <v>0.95</v>
      </c>
      <c r="D19" s="56">
        <v>20.029543337029391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0.94275019999999998</v>
      </c>
      <c r="C21" s="98">
        <v>0.95</v>
      </c>
      <c r="D21" s="56">
        <v>91.743451097569121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23.936529507758561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</v>
      </c>
      <c r="C23" s="98">
        <v>0.95</v>
      </c>
      <c r="D23" s="56">
        <v>4.6909106979920177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0</v>
      </c>
      <c r="C26" s="98">
        <v>0.95</v>
      </c>
      <c r="D26" s="56">
        <v>99.99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19.231364691512582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</v>
      </c>
      <c r="C29" s="98">
        <v>0.95</v>
      </c>
      <c r="D29" s="56">
        <v>180.67794505128731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</v>
      </c>
      <c r="C31" s="98">
        <v>0.95</v>
      </c>
      <c r="D31" s="56">
        <v>2.06475002220103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3.0253476710734959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</v>
      </c>
      <c r="C38" s="98">
        <v>0.95</v>
      </c>
      <c r="D38" s="56">
        <v>3.9942731514207441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201</v>
      </c>
      <c r="F39" s="98">
        <v>1</v>
      </c>
      <c r="G39" s="98">
        <v>1</v>
      </c>
    </row>
  </sheetData>
  <sheetProtection algorithmName="SHA-512" hashValue="cJKX5RA1ppgvDsuvXVnd47xNzW6O1fARi/K4wduqikUNGik3d5vDAolQ1MNHHDYNeyt6Qg/2q7z2GEqUvPzS/Q==" saltValue="EmbcrJOlmXDgLKJ3g7mMr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x14ac:dyDescent="0.25">
      <c r="A2" s="57" t="s">
        <v>180</v>
      </c>
      <c r="B2" s="47" t="s">
        <v>190</v>
      </c>
      <c r="C2" s="47"/>
    </row>
    <row r="3" spans="1:3" x14ac:dyDescent="0.25">
      <c r="A3" s="57" t="s">
        <v>181</v>
      </c>
      <c r="B3" s="47" t="s">
        <v>190</v>
      </c>
      <c r="C3" s="47"/>
    </row>
    <row r="4" spans="1:3" x14ac:dyDescent="0.25">
      <c r="A4" s="57" t="s">
        <v>192</v>
      </c>
      <c r="B4" s="47" t="s">
        <v>185</v>
      </c>
      <c r="C4" s="47"/>
    </row>
    <row r="5" spans="1:3" x14ac:dyDescent="0.25">
      <c r="A5" s="57" t="s">
        <v>189</v>
      </c>
      <c r="B5" s="47" t="s">
        <v>185</v>
      </c>
      <c r="C5" s="47"/>
    </row>
    <row r="6" spans="1:3" x14ac:dyDescent="0.25">
      <c r="A6" s="57" t="s">
        <v>192</v>
      </c>
      <c r="B6" s="58" t="s">
        <v>205</v>
      </c>
      <c r="C6" s="58"/>
    </row>
    <row r="7" spans="1:3" x14ac:dyDescent="0.25">
      <c r="A7" s="57" t="s">
        <v>189</v>
      </c>
      <c r="B7" s="58" t="s">
        <v>205</v>
      </c>
      <c r="C7" s="58"/>
    </row>
    <row r="8" spans="1:3" x14ac:dyDescent="0.25">
      <c r="A8" s="57" t="s">
        <v>200</v>
      </c>
      <c r="B8" s="58" t="s">
        <v>205</v>
      </c>
      <c r="C8" s="58"/>
    </row>
    <row r="9" spans="1:3" x14ac:dyDescent="0.25">
      <c r="A9" s="57" t="s">
        <v>193</v>
      </c>
      <c r="B9" s="58" t="s">
        <v>205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GSsqizsK9CiOUryhYQkGzLbZtn5KnGmLgfoUayWfxM2nKDZIEL9KliKfSPWW4kDt52P4EZD1XdZ3uvt27ElXWg==" saltValue="9PS2BJcvF8TEBbXde9Xyf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x14ac:dyDescent="0.25">
      <c r="A2" s="33" t="s">
        <v>172</v>
      </c>
    </row>
    <row r="3" spans="1:1" x14ac:dyDescent="0.25">
      <c r="A3" s="33" t="s">
        <v>182</v>
      </c>
    </row>
    <row r="4" spans="1:1" x14ac:dyDescent="0.25">
      <c r="A4" s="33" t="s">
        <v>186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Yifa1IFqOm1YHab1MsSghdoVCeNSKc1IaqE6r1neUgXG2qi5eOOQHf06UnGIFae9SAnAZHLsfE9UIAZXD6dAFQ==" saltValue="cHchzHA1lzFHYxcJug/7h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2.8</v>
      </c>
      <c r="C2" s="21">
        <f>'Données pop de l''année de ref'!C52</f>
        <v>2.8</v>
      </c>
      <c r="D2" s="21">
        <f>'Données pop de l''année de ref'!C53</f>
        <v>2.8</v>
      </c>
      <c r="E2" s="21">
        <f>'Données pop de l''année de ref'!C54</f>
        <v>2.8</v>
      </c>
      <c r="F2" s="21">
        <f>'Données pop de l''année de ref'!C55</f>
        <v>2.8</v>
      </c>
    </row>
    <row r="3" spans="1:6" ht="15.75" customHeight="1" x14ac:dyDescent="0.25">
      <c r="A3" s="3" t="s">
        <v>209</v>
      </c>
      <c r="B3" s="21">
        <f>frac_mam_1month * 2.6</f>
        <v>0.181607496744186</v>
      </c>
      <c r="C3" s="21">
        <f>frac_mam_1_5months * 2.6</f>
        <v>0.181607496744186</v>
      </c>
      <c r="D3" s="21">
        <f>frac_mam_6_11months * 2.6</f>
        <v>0.10511125813953492</v>
      </c>
      <c r="E3" s="21">
        <f>frac_mam_12_23months * 2.6</f>
        <v>5.5461126046511641E-2</v>
      </c>
      <c r="F3" s="21">
        <f>frac_mam_24_59months * 2.6</f>
        <v>4.6551482325581484E-2</v>
      </c>
    </row>
    <row r="4" spans="1:6" ht="15.75" customHeight="1" x14ac:dyDescent="0.25">
      <c r="A4" s="3" t="s">
        <v>208</v>
      </c>
      <c r="B4" s="21">
        <f>frac_sam_1month * 2.6</f>
        <v>0.12019062325581402</v>
      </c>
      <c r="C4" s="21">
        <f>frac_sam_1_5months * 2.6</f>
        <v>0.12019062325581402</v>
      </c>
      <c r="D4" s="21">
        <f>frac_sam_6_11months * 2.6</f>
        <v>5.3311276744185981E-2</v>
      </c>
      <c r="E4" s="21">
        <f>frac_sam_12_23months * 2.6</f>
        <v>3.5488065116279104E-2</v>
      </c>
      <c r="F4" s="21">
        <f>frac_sam_24_59months * 2.6</f>
        <v>3.2146019069767461E-2</v>
      </c>
    </row>
  </sheetData>
  <sheetProtection algorithmName="SHA-512" hashValue="7bZBbX1CDei6WG8o+fx/uPdDlx3QLZ5ffMXEg/10/B++KD/yLD75aXgP3VpftU59cdas5PpvnrwfGTXLhu+ihg==" saltValue="SYxtnOfqvpEXHbnk3xedc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0</v>
      </c>
      <c r="E2" s="60">
        <f>food_insecure</f>
        <v>0</v>
      </c>
      <c r="F2" s="60">
        <f>food_insecure</f>
        <v>0</v>
      </c>
      <c r="G2" s="60">
        <f>food_insecure</f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0</v>
      </c>
      <c r="F5" s="60">
        <f>food_insecure</f>
        <v>0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0</v>
      </c>
      <c r="F8" s="60">
        <f>food_insecure</f>
        <v>0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0</v>
      </c>
      <c r="F9" s="60">
        <f>food_insecure</f>
        <v>0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</v>
      </c>
      <c r="I15" s="60">
        <f>food_insecure</f>
        <v>0</v>
      </c>
      <c r="J15" s="60">
        <f>food_insecure</f>
        <v>0</v>
      </c>
      <c r="K15" s="60">
        <f>food_insecure</f>
        <v>0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0.249</v>
      </c>
      <c r="M24" s="60">
        <f>famplan_unmet_need</f>
        <v>0.249</v>
      </c>
      <c r="N24" s="60">
        <f>famplan_unmet_need</f>
        <v>0.249</v>
      </c>
      <c r="O24" s="60">
        <f>famplan_unmet_need</f>
        <v>0.249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4.3175231182999992E-2</v>
      </c>
      <c r="M25" s="60">
        <f>(1-food_insecure)*(0.49)+food_insecure*(0.7)</f>
        <v>0.49</v>
      </c>
      <c r="N25" s="60">
        <f>(1-food_insecure)*(0.49)+food_insecure*(0.7)</f>
        <v>0.49</v>
      </c>
      <c r="O25" s="60">
        <f>(1-food_insecure)*(0.49)+food_insecure*(0.7)</f>
        <v>0.49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1.8503670506999994E-2</v>
      </c>
      <c r="M26" s="60">
        <f>(1-food_insecure)*(0.21)+food_insecure*(0.3)</f>
        <v>0.21</v>
      </c>
      <c r="N26" s="60">
        <f>(1-food_insecure)*(0.21)+food_insecure*(0.3)</f>
        <v>0.21</v>
      </c>
      <c r="O26" s="60">
        <f>(1-food_insecure)*(0.21)+food_insecure*(0.3)</f>
        <v>0.21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2.6433815009999993E-2</v>
      </c>
      <c r="M27" s="60">
        <f>(1-food_insecure)*(0.3)</f>
        <v>0.3</v>
      </c>
      <c r="N27" s="60">
        <f>(1-food_insecure)*(0.3)</f>
        <v>0.3</v>
      </c>
      <c r="O27" s="60">
        <f>(1-food_insecure)*(0.3)</f>
        <v>0.3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0.91188728330000002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Q7guzqNjAS34spG00BobX5pmY+5E6ZIkoX50XVRZefXINNUoSRtsjA47F9iw7GBd515LCAZChjyUjgfZh9oMCA==" saltValue="Q9NsjSnOp32v7FdoVFpee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BnO81stVBJswn9SAYD+9c72VembdhBgGB4FyFCWA6cNWKHgIYHSPeJBHYlVJ1A/kVE0OTBmQ8rv//soHTw4rBA==" saltValue="F7vbEaOesP7wjuFnBz4Or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EidaMR+76rCHC7G4AD6Xe1SmBvxK60ScLSFBCClMwkGF1lFN7sUJDYQ/FN2y3s6jsgKBN/tD1zIZfCSJrzfUSA==" saltValue="AqyYiST1Td2wMr90M5J15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7mXGH2MAEAuVxkFM5t58moloRp8MYO/LTEaEQamhTb2iI2IWXczo/pdjLjFUtG84FVnGA4wGpvjSb38LstYQNg==" saltValue="7iFQc9/bD8nUvY3gb1J/D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vIuajB5TBDf2e5CX8zibvOBCpMPsPI6D6zsR4qdUq1TQWqI3O99Z9f7Sbp3KYXPLZ0ugEkUHILQ5SZnslTfKUQ==" saltValue="YUdOsKXZGwxHycNl94cxF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/sp/kSVsqBjYN/kJPbKv9SrKJJhgQjQGiBhlZcBBdFPTFM2mj1L7pPQd3rLOwQ3JQ1l9OKCcrAuwwsB6+kv/ug==" saltValue="nnp3MOxTi0Av6il9SbUsw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109</v>
      </c>
      <c r="C5" s="8" t="s">
        <v>153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154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96</v>
      </c>
      <c r="C8" s="8" t="s">
        <v>153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154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154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109</v>
      </c>
      <c r="C58" s="8" t="s">
        <v>153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154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96</v>
      </c>
      <c r="C61" s="8" t="s">
        <v>153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154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109</v>
      </c>
      <c r="C111" s="8" t="s">
        <v>153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154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96</v>
      </c>
      <c r="C114" s="8" t="s">
        <v>153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154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97</v>
      </c>
      <c r="C117" s="8" t="s">
        <v>153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154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98</v>
      </c>
      <c r="C120" s="8" t="s">
        <v>153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154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154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109</v>
      </c>
      <c r="C128" s="8" t="s">
        <v>153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154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96</v>
      </c>
      <c r="C131" s="8" t="s">
        <v>153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154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97</v>
      </c>
      <c r="C134" s="8" t="s">
        <v>153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154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98</v>
      </c>
      <c r="C137" s="8" t="s">
        <v>153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154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154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109</v>
      </c>
      <c r="C145" s="8" t="s">
        <v>153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154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96</v>
      </c>
      <c r="C148" s="8" t="s">
        <v>153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154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97</v>
      </c>
      <c r="C151" s="8" t="s">
        <v>153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154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98</v>
      </c>
      <c r="C154" s="8" t="s">
        <v>153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154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jOOg02b5pxMY2Aw4cDhdj1cGKWbkPY6gIaGM5H2R5OdG6AzgsO2m/ZIL6iKBrLQbariLkeGXbbPEeQj/KYB8kg==" saltValue="oFCkxUt+jwHkm3HGid9viQ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Ed0Z/9P0g2xwNZAU6S5gO1+wa8Y+DudXdNvI7uQavMx6rPgGB711PGMCrLfuAgj+yAHycYOTMUg7oQ8rZ7uYcg==" saltValue="Bb/9D5pF4utvUZ7hGMlip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9XuitlBNnIrV0E4hgTF0T3w7Poy4j1MpQ8DB2C8GEphD0QBwMnV/m754tb2vkv20tI3AaOQ6Ruxc6qkoxZNFww==" saltValue="Zdb3GK3nxQUt4lgMzOpBq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287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298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121</v>
      </c>
      <c r="B40" s="11" t="s">
        <v>299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303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311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121</v>
      </c>
      <c r="B63" s="11" t="s">
        <v>312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d5lvFmZqY5hVgpc513DfCt0F5miDro8RW3ybW9vPx6PXTDA4/4bc6UTIi9WxSx8WL5zV4VwUwVHleyfKpCZwXg==" saltValue="rxykpzMQubqEYqn/1TCsR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81yKBBN0Y0yrsmYOD5PsI7Qp2MPlpZZcB+TZA1hhKPoa2sS5DGJn3O3dga6GGXwp/J3iOzvvBhZFqZSk3vXCg==" saltValue="nBTwaHJ2xIQGUMsQCEVYU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176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177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178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179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180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190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174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183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176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177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178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179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180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190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174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183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1qUl37/CSp2a/1vpNT4ZEnZLSmw8ne9o01XR5PFITrX7c2u6m/pL8u9uOwY+iXahVbQUhZ4KOiypg8hSBc+qQ==" saltValue="yFIE4QwjRb0juAP4wu7jT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nEnFF+pJ/lLcos8G7xzj0dDX3/Z/IwD6irjfdhQ3+iU6f5Q7cs5CrlhkKc9wxYEh92PZRSIkBQHUVG44UhwtYg==" saltValue="mIBjKQivZdoT4fac+7brh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336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336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335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HY1XHxHgu31jcpwwSEeBJA3qjeii1WUH1Fuj8zXJKwKQrZp3WXoQcegjZV6+qODcS7PXqQs4VhMQFswRzsQOiA==" saltValue="ngD8YIfi3kLBQ6Pf9e5xo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335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335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3LLF4rmfdNY/Q/ZXfYVcAXnm5p/Y2Z3nvkAYN+0eV/iEV0LUGD1nrE+wuxV13s8k51iSA2v6TH/66PdCcrHUcQ==" saltValue="jmhFCUVXOF11IxyTgTUkLQ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2024-05-17T00:48:59Z</dcterms:modified>
</cp:coreProperties>
</file>