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0EB064D3-93BA-489E-8D97-34F982FE422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<sst xmlns="http://schemas.openxmlformats.org/spreadsheetml/2006/main" count="2169" uniqueCount="369">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</sst>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87556.5</v>
      </c>
    </row>
    <row r="8" spans="1:3" ht="15" customHeight="1" x14ac:dyDescent="0.25">
      <c r="B8" s="5" t="s">
        <v>37</v>
      </c>
      <c r="C8" s="44">
        <v>0.40899999999999997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0.91188728330000002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5.2499999999999998E-2</v>
      </c>
    </row>
    <row r="24" spans="1:3" ht="15" customHeight="1" x14ac:dyDescent="0.25">
      <c r="B24" s="15" t="s">
        <v>51</v>
      </c>
      <c r="C24" s="45">
        <v>0.53039999999999998</v>
      </c>
    </row>
    <row r="25" spans="1:3" ht="15" customHeight="1" x14ac:dyDescent="0.25">
      <c r="B25" s="15" t="s">
        <v>52</v>
      </c>
      <c r="C25" s="45">
        <v>0.39929999999999999</v>
      </c>
    </row>
    <row r="26" spans="1:3" ht="15" customHeight="1" x14ac:dyDescent="0.25">
      <c r="B26" s="15" t="s">
        <v>53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0.26912377197565901</v>
      </c>
    </row>
    <row r="30" spans="1:3" ht="14.25" customHeight="1" x14ac:dyDescent="0.25">
      <c r="B30" s="25" t="s">
        <v>56</v>
      </c>
      <c r="C30" s="97">
        <v>4.10301351064883E-2</v>
      </c>
    </row>
    <row r="31" spans="1:3" ht="14.25" customHeight="1" x14ac:dyDescent="0.25">
      <c r="B31" s="25" t="s">
        <v>57</v>
      </c>
      <c r="C31" s="97">
        <v>6.6332842080041601E-2</v>
      </c>
    </row>
    <row r="32" spans="1:3" ht="14.25" customHeight="1" x14ac:dyDescent="0.25">
      <c r="B32" s="25" t="s">
        <v>58</v>
      </c>
      <c r="C32" s="97">
        <v>0.62351325083781095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29.927250000000001</v>
      </c>
    </row>
    <row r="38" spans="1:5" ht="15" customHeight="1" x14ac:dyDescent="0.25">
      <c r="B38" s="11" t="s">
        <v>63</v>
      </c>
      <c r="C38" s="43">
        <v>56.723050000000001</v>
      </c>
      <c r="D38" s="12"/>
      <c r="E38" s="13"/>
    </row>
    <row r="39" spans="1:5" ht="15" customHeight="1" x14ac:dyDescent="0.25">
      <c r="B39" s="11" t="s">
        <v>64</v>
      </c>
      <c r="C39" s="43">
        <v>76.040170000000003</v>
      </c>
      <c r="D39" s="12"/>
      <c r="E39" s="12"/>
    </row>
    <row r="40" spans="1:5" ht="15" customHeight="1" x14ac:dyDescent="0.25">
      <c r="B40" s="11" t="s">
        <v>65</v>
      </c>
      <c r="C40" s="98">
        <v>6.52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71</v>
      </c>
      <c r="C47" s="45">
        <v>7.3475499999999999E-2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0.44132399999999999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t51OgY2m5KO6aXYki2fl5rNKB/lUJbxHDY2YZ2tjn9WuMvnwd/5iW23LO2jlMPJqf3MGYsDROXwH2WK4e1UFig==" saltValue="Tu4bPw4+mf1NOHcnWlvO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16587</v>
      </c>
      <c r="C2" s="49">
        <v>50754.5</v>
      </c>
      <c r="D2" s="49">
        <v>106482</v>
      </c>
      <c r="E2" s="49">
        <v>121574.5</v>
      </c>
      <c r="F2" s="49">
        <v>129269.5</v>
      </c>
      <c r="G2" s="17">
        <f t="shared" ref="G2:G13" si="0">C2+D2+E2+F2</f>
        <v>408080.5</v>
      </c>
      <c r="H2" s="17">
        <f t="shared" ref="H2:H13" si="1">(B2 + stillbirth*B2/(1000-stillbirth))/(1-abortion)</f>
        <v>19289.870586703917</v>
      </c>
      <c r="I2" s="17">
        <f t="shared" ref="I2:I13" si="2">G2-H2</f>
        <v>388790.62941329606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16312.999999999998</v>
      </c>
      <c r="C3" s="50">
        <v>51348.5</v>
      </c>
      <c r="D3" s="50">
        <v>104091.00000000001</v>
      </c>
      <c r="E3" s="50">
        <v>119781</v>
      </c>
      <c r="F3" s="50">
        <v>128437.99999999999</v>
      </c>
      <c r="G3" s="17">
        <f t="shared" si="0"/>
        <v>403658.5</v>
      </c>
      <c r="H3" s="17">
        <f t="shared" si="1"/>
        <v>18971.221973889253</v>
      </c>
      <c r="I3" s="17">
        <f t="shared" si="2"/>
        <v>384687.27802611073</v>
      </c>
    </row>
    <row r="4" spans="1:9" ht="15.75" customHeight="1" x14ac:dyDescent="0.25">
      <c r="A4" s="5">
        <f t="shared" si="3"/>
        <v>2026</v>
      </c>
      <c r="B4" s="49">
        <v>16027.000000000002</v>
      </c>
      <c r="C4" s="50">
        <v>51880</v>
      </c>
      <c r="D4" s="50">
        <v>101888.5</v>
      </c>
      <c r="E4" s="50">
        <v>117789</v>
      </c>
      <c r="F4" s="50">
        <v>127561</v>
      </c>
      <c r="G4" s="17">
        <f t="shared" si="0"/>
        <v>399118.5</v>
      </c>
      <c r="H4" s="17">
        <f t="shared" si="1"/>
        <v>18638.617947374678</v>
      </c>
      <c r="I4" s="17">
        <f t="shared" si="2"/>
        <v>380479.8820526253</v>
      </c>
    </row>
    <row r="5" spans="1:9" ht="15.75" customHeight="1" x14ac:dyDescent="0.25">
      <c r="A5" s="5">
        <f t="shared" si="3"/>
        <v>2027</v>
      </c>
      <c r="B5" s="49">
        <v>15783</v>
      </c>
      <c r="C5" s="50">
        <v>52317.5</v>
      </c>
      <c r="D5" s="50">
        <v>100140.5</v>
      </c>
      <c r="E5" s="50">
        <v>115426.5</v>
      </c>
      <c r="F5" s="50">
        <v>126931</v>
      </c>
      <c r="G5" s="17">
        <f t="shared" si="0"/>
        <v>394815.5</v>
      </c>
      <c r="H5" s="17">
        <f t="shared" si="1"/>
        <v>18354.857868809788</v>
      </c>
      <c r="I5" s="17">
        <f t="shared" si="2"/>
        <v>376460.64213119022</v>
      </c>
    </row>
    <row r="6" spans="1:9" ht="15.75" customHeight="1" x14ac:dyDescent="0.25">
      <c r="A6" s="5">
        <f t="shared" si="3"/>
        <v>2028</v>
      </c>
      <c r="B6" s="49">
        <v>15559</v>
      </c>
      <c r="C6" s="50">
        <v>52835</v>
      </c>
      <c r="D6" s="50">
        <v>99015</v>
      </c>
      <c r="E6" s="50">
        <v>112821.5</v>
      </c>
      <c r="F6" s="50">
        <v>126280</v>
      </c>
      <c r="G6" s="17">
        <f t="shared" si="0"/>
        <v>390951.5</v>
      </c>
      <c r="H6" s="17">
        <f t="shared" si="1"/>
        <v>18094.356813078091</v>
      </c>
      <c r="I6" s="17">
        <f t="shared" si="2"/>
        <v>372857.14318692189</v>
      </c>
    </row>
    <row r="7" spans="1:9" ht="15.75" customHeight="1" x14ac:dyDescent="0.25">
      <c r="A7" s="5">
        <f t="shared" si="3"/>
        <v>2029</v>
      </c>
      <c r="B7" s="49">
        <v>15328</v>
      </c>
      <c r="C7" s="50">
        <v>53169</v>
      </c>
      <c r="D7" s="50">
        <v>98423.499999999985</v>
      </c>
      <c r="E7" s="50">
        <v>110362</v>
      </c>
      <c r="F7" s="50">
        <v>125260</v>
      </c>
      <c r="G7" s="17">
        <f t="shared" si="0"/>
        <v>387214.5</v>
      </c>
      <c r="H7" s="17">
        <f t="shared" si="1"/>
        <v>17825.715099354777</v>
      </c>
      <c r="I7" s="17">
        <f t="shared" si="2"/>
        <v>369388.7849006452</v>
      </c>
    </row>
    <row r="8" spans="1:9" ht="15.75" customHeight="1" x14ac:dyDescent="0.25">
      <c r="A8" s="5">
        <f t="shared" si="3"/>
        <v>2030</v>
      </c>
      <c r="B8" s="49">
        <v>15121</v>
      </c>
      <c r="C8" s="50">
        <v>53143.5</v>
      </c>
      <c r="D8" s="50">
        <v>97894</v>
      </c>
      <c r="E8" s="50">
        <v>108140.99999999999</v>
      </c>
      <c r="F8" s="50">
        <v>123948.5</v>
      </c>
      <c r="G8" s="17">
        <f t="shared" si="0"/>
        <v>383127</v>
      </c>
      <c r="H8" s="17">
        <f t="shared" si="1"/>
        <v>17584.984213031286</v>
      </c>
      <c r="I8" s="17">
        <f t="shared" si="2"/>
        <v>365542.0157869687</v>
      </c>
    </row>
    <row r="9" spans="1:9" ht="15.75" customHeight="1" x14ac:dyDescent="0.25">
      <c r="A9" s="5">
        <f t="shared" si="3"/>
        <v>2031</v>
      </c>
      <c r="B9" s="49">
        <v>14935</v>
      </c>
      <c r="C9" s="50">
        <v>53019</v>
      </c>
      <c r="D9" s="50">
        <v>97340</v>
      </c>
      <c r="E9" s="50">
        <v>105814</v>
      </c>
      <c r="F9" s="50">
        <v>122560</v>
      </c>
      <c r="G9" s="17">
        <f t="shared" si="0"/>
        <v>378733</v>
      </c>
      <c r="H9" s="17">
        <f t="shared" si="1"/>
        <v>17368.675300682644</v>
      </c>
      <c r="I9" s="17">
        <f t="shared" si="2"/>
        <v>361364.32469931734</v>
      </c>
    </row>
    <row r="10" spans="1:9" ht="15.75" customHeight="1" x14ac:dyDescent="0.25">
      <c r="A10" s="5">
        <f t="shared" si="3"/>
        <v>2032</v>
      </c>
      <c r="B10" s="49">
        <v>14773</v>
      </c>
      <c r="C10" s="50">
        <v>52705.5</v>
      </c>
      <c r="D10" s="50">
        <v>96941</v>
      </c>
      <c r="E10" s="50">
        <v>103591.5</v>
      </c>
      <c r="F10" s="50">
        <v>121044.5</v>
      </c>
      <c r="G10" s="17">
        <f t="shared" si="0"/>
        <v>374282.5</v>
      </c>
      <c r="H10" s="17">
        <f t="shared" si="1"/>
        <v>17180.27721573383</v>
      </c>
      <c r="I10" s="17">
        <f t="shared" si="2"/>
        <v>357102.22278426617</v>
      </c>
    </row>
    <row r="11" spans="1:9" ht="15.75" customHeight="1" x14ac:dyDescent="0.25">
      <c r="A11" s="5">
        <f t="shared" si="3"/>
        <v>2033</v>
      </c>
      <c r="B11" s="49">
        <v>14626</v>
      </c>
      <c r="C11" s="50">
        <v>51749.5</v>
      </c>
      <c r="D11" s="50">
        <v>97017</v>
      </c>
      <c r="E11" s="50">
        <v>101451</v>
      </c>
      <c r="F11" s="50">
        <v>119346</v>
      </c>
      <c r="G11" s="17">
        <f t="shared" si="0"/>
        <v>369563.5</v>
      </c>
      <c r="H11" s="17">
        <f t="shared" si="1"/>
        <v>17009.323397909902</v>
      </c>
      <c r="I11" s="17">
        <f t="shared" si="2"/>
        <v>352554.17660209013</v>
      </c>
    </row>
    <row r="12" spans="1:9" ht="15.75" customHeight="1" x14ac:dyDescent="0.25">
      <c r="A12" s="5">
        <f t="shared" si="3"/>
        <v>2034</v>
      </c>
      <c r="B12" s="49">
        <v>14509</v>
      </c>
      <c r="C12" s="50">
        <v>50186</v>
      </c>
      <c r="D12" s="50">
        <v>97653.500000000015</v>
      </c>
      <c r="E12" s="50">
        <v>99204.5</v>
      </c>
      <c r="F12" s="50">
        <v>117628.99999999999</v>
      </c>
      <c r="G12" s="17">
        <f t="shared" si="0"/>
        <v>364673</v>
      </c>
      <c r="H12" s="17">
        <f t="shared" si="1"/>
        <v>16873.258114335757</v>
      </c>
      <c r="I12" s="17">
        <f t="shared" si="2"/>
        <v>347799.74188566423</v>
      </c>
    </row>
    <row r="13" spans="1:9" ht="15.75" customHeight="1" x14ac:dyDescent="0.25">
      <c r="A13" s="5">
        <f t="shared" si="3"/>
        <v>2035</v>
      </c>
      <c r="B13" s="49">
        <v>14413</v>
      </c>
      <c r="C13" s="50">
        <v>48462</v>
      </c>
      <c r="D13" s="50">
        <v>98369</v>
      </c>
      <c r="E13" s="50">
        <v>97006.499999999985</v>
      </c>
      <c r="F13" s="50">
        <v>115941.5</v>
      </c>
      <c r="G13" s="17">
        <f t="shared" si="0"/>
        <v>359779</v>
      </c>
      <c r="H13" s="17">
        <f t="shared" si="1"/>
        <v>16761.614804736455</v>
      </c>
      <c r="I13" s="17">
        <f t="shared" si="2"/>
        <v>343017.38519526355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7IAZV9XkV5mFRo5/yXUffhai0WKbyuTi3vLN2xUJPB5BLOwTEyJ6KSNYFLhklQOJ297MwFmdZ3XbU51Q06eTg==" saltValue="+6fbjloLoW7MIvRwbo9yY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2.0916002091600189E-2</v>
      </c>
    </row>
    <row r="4" spans="1:8" ht="15.75" customHeight="1" x14ac:dyDescent="0.25">
      <c r="B4" s="19" t="s">
        <v>97</v>
      </c>
      <c r="C4" s="99">
        <v>6.5774706577470685E-2</v>
      </c>
    </row>
    <row r="5" spans="1:8" ht="15.75" customHeight="1" x14ac:dyDescent="0.25">
      <c r="B5" s="19" t="s">
        <v>98</v>
      </c>
      <c r="C5" s="99">
        <v>9.6632509663250973E-2</v>
      </c>
    </row>
    <row r="6" spans="1:8" ht="15.75" customHeight="1" x14ac:dyDescent="0.25">
      <c r="B6" s="19" t="s">
        <v>99</v>
      </c>
      <c r="C6" s="99">
        <v>0.25245662524566231</v>
      </c>
    </row>
    <row r="7" spans="1:8" ht="15.75" customHeight="1" x14ac:dyDescent="0.25">
      <c r="B7" s="19" t="s">
        <v>100</v>
      </c>
      <c r="C7" s="99">
        <v>0.39333373933337429</v>
      </c>
    </row>
    <row r="8" spans="1:8" ht="15.75" customHeight="1" x14ac:dyDescent="0.25">
      <c r="B8" s="19" t="s">
        <v>101</v>
      </c>
      <c r="C8" s="99">
        <v>3.4550003455000359E-3</v>
      </c>
    </row>
    <row r="9" spans="1:8" ht="15.75" customHeight="1" x14ac:dyDescent="0.25">
      <c r="B9" s="19" t="s">
        <v>102</v>
      </c>
      <c r="C9" s="99">
        <v>5.8309405830940547E-2</v>
      </c>
    </row>
    <row r="10" spans="1:8" ht="15.75" customHeight="1" x14ac:dyDescent="0.25">
      <c r="B10" s="19" t="s">
        <v>103</v>
      </c>
      <c r="C10" s="99">
        <v>0.1091220109122009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106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107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108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109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110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111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112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113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8.7635818000000004E-2</v>
      </c>
    </row>
    <row r="27" spans="1:8" ht="15.75" customHeight="1" x14ac:dyDescent="0.25">
      <c r="B27" s="19" t="s">
        <v>120</v>
      </c>
      <c r="C27" s="99">
        <v>8.6621349999999996E-3</v>
      </c>
    </row>
    <row r="28" spans="1:8" ht="15.75" customHeight="1" x14ac:dyDescent="0.25">
      <c r="B28" s="19" t="s">
        <v>121</v>
      </c>
      <c r="C28" s="99">
        <v>0.15441808500000001</v>
      </c>
    </row>
    <row r="29" spans="1:8" ht="15.75" customHeight="1" x14ac:dyDescent="0.25">
      <c r="B29" s="19" t="s">
        <v>122</v>
      </c>
      <c r="C29" s="99">
        <v>0.167759189</v>
      </c>
    </row>
    <row r="30" spans="1:8" ht="15.75" customHeight="1" x14ac:dyDescent="0.25">
      <c r="B30" s="19" t="s">
        <v>2</v>
      </c>
      <c r="C30" s="99">
        <v>0.10583751800000001</v>
      </c>
    </row>
    <row r="31" spans="1:8" ht="15.75" customHeight="1" x14ac:dyDescent="0.25">
      <c r="B31" s="19" t="s">
        <v>123</v>
      </c>
      <c r="C31" s="99">
        <v>0.109709026</v>
      </c>
    </row>
    <row r="32" spans="1:8" ht="15.75" customHeight="1" x14ac:dyDescent="0.25">
      <c r="B32" s="19" t="s">
        <v>124</v>
      </c>
      <c r="C32" s="99">
        <v>1.8596574000000001E-2</v>
      </c>
    </row>
    <row r="33" spans="2:3" ht="15.75" customHeight="1" x14ac:dyDescent="0.25">
      <c r="B33" s="19" t="s">
        <v>125</v>
      </c>
      <c r="C33" s="99">
        <v>8.3747772999999998E-2</v>
      </c>
    </row>
    <row r="34" spans="2:3" ht="15.75" customHeight="1" x14ac:dyDescent="0.25">
      <c r="B34" s="19" t="s">
        <v>126</v>
      </c>
      <c r="C34" s="99">
        <v>0.26363388300000001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nsg9hGCPrpApKLbRuysrJQ3iXfnli81hUnUZ+EUtk3dl18T69v0WbeVxhVj/T6KzFh65GRFzwhVbJgw2uBIWtw==" saltValue="Q14s2WOp9TXBWVcw6I7YS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132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133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137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MsgwOZq2rRU+Kf7g3DMyP/jnXkRcY2D4TB2xLyqWY1EXePbxWLHyQ8Wk24z3w6zI1fGyAfDbjwOjOJWXCczyw==" saltValue="2EXtSHt6CHLUgxuvqamg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6IXZHEOZl8KiJVu26xfjNT0pFcxcZF7VWDuIB/X04u8+U/JglfQCm9mw8UlTFBer0Rab6/9XzXqhpfFbPF+zuA==" saltValue="XlOPgBsWJCuy58bezxwnu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pNuK3UdDGwdXHCdM38mRtVgR8AuGna/1XJcjNPNYqXXjBqcZpJmfXscUPY+T/AcDIvw6tjRblxWBx/bD7w84g==" saltValue="4OzwWuOQWCPUUrXFQsPtd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6591.4713141196098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0.44453999999999999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0.52200000000000002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1.36053957796782E-2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99375.544299999994</v>
      </c>
      <c r="C22" s="107">
        <v>99318.174350000001</v>
      </c>
      <c r="D22" s="107">
        <v>99242.881469999993</v>
      </c>
      <c r="E22" s="107">
        <v>99079.807920000007</v>
      </c>
      <c r="F22" s="107">
        <v>98916.524059999996</v>
      </c>
      <c r="G22" s="107">
        <v>98643.334419999999</v>
      </c>
      <c r="H22" s="107">
        <v>98326.637579999995</v>
      </c>
      <c r="I22" s="107">
        <v>97868.540059999999</v>
      </c>
      <c r="J22" s="107">
        <v>97065.066229999997</v>
      </c>
      <c r="K22" s="107">
        <v>95570.499760000006</v>
      </c>
      <c r="L22" s="107">
        <v>93157.068350000001</v>
      </c>
      <c r="M22" s="107">
        <v>88846.140799999994</v>
      </c>
      <c r="N22" s="107">
        <v>82464.116550000006</v>
      </c>
      <c r="O22" s="107">
        <v>73456.697150000007</v>
      </c>
    </row>
  </sheetData>
  <sheetProtection algorithmName="SHA-512" hashValue="sa1dPKAdSaVcOEXlsBEzSEujvBYAgu+1WXSURzMT5s9+l5FMSJmmn1qMB1WegZ6Ke7aNCnx6mGEIdrhS6iWa2Q==" saltValue="zKMe+1jS42I8w1kKJY2fm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URX7zhtp/2FY/S3AhhQCxnpWb0fjcE7UKKm8XD5Ms00tphD/19fDuGCJ8JzgeT+g31ZvbqCtp2Y1KiYkoeCHiA==" saltValue="4zhqj9VkYWVlZ5kSGf8RZ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UNDhzzcQjm7czd+faJPlA4HB3xjzAvXeM4430efFBXi3fV+XZIoA8R4X4BaVg3o3Ca+cBfuFRyGj+6oNjkixw==" saltValue="6icuOTm/LrqthMpL+htZ5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0.42978100000000002</v>
      </c>
      <c r="C10" s="96">
        <v>0.95</v>
      </c>
      <c r="D10" s="56">
        <v>13.16871016477951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13.16871016477951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13.16871016477951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13.16871016477951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0.42978100000000002</v>
      </c>
      <c r="C14" s="96">
        <v>0.95</v>
      </c>
      <c r="D14" s="56">
        <v>13.16871016477951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13.16871016477951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0.84899999999999998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0.157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0.51254100000000002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0.51254100000000002</v>
      </c>
      <c r="C19" s="96">
        <v>0.95</v>
      </c>
      <c r="D19" s="56">
        <v>12.04060110790949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0.53483530000000001</v>
      </c>
      <c r="C23" s="96">
        <v>0.95</v>
      </c>
      <c r="D23" s="56">
        <v>4.3771693628409292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0.57084762680907997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0.42978100000000002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0.54128999999999994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8.6074300000000006E-2</v>
      </c>
      <c r="C29" s="96">
        <v>0.95</v>
      </c>
      <c r="D29" s="56">
        <v>129.56175311793481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0.5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3.4401899999999999E-2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0.1875019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1.9946800000000001E-2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5.4970400000000003E-2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0.2335767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hp2VtV4I7U67EjSoKzofmnS0NhTM6c7je/i0UUI2w0afrXznv/Rot87o+7H9SeYaSQQZiDWMNBdE8fRReNaC7g==" saltValue="jIK1Hpg7FnyqFYZnqki/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bvmRu0Bu2lafy+piGvwt2g1PHexbGTAGtLOAbTeaCGUY2Jb8SP9p7EMSeD2wRX0iPbeJf5807TvrvxC480Clw==" saltValue="TKNIdVHuW9msen8nLvqL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+a3W80RN0xWpb0ccV89hI0t9KFTtiRGH7HQDh8J7vVJWs3V/b0ZZiuIAxhK6E7VlAaEjiCO2kooq4V8qZI61g==" saltValue="JqVnIOTomcAlnEBlmjbyn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237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5Q3Pp4EQmSX+tcbh0lJWjHaTMrwQTsiZSOOD8neqEr4H/eueTbU4+8LrTXVXf6miTR1NsQFTUGWETCsLhSxccA==" saltValue="qWn28++9+YvAY0IXdfqFl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Z1jffk0XRIpY9J7/iLF6GcsiGpWVUt8Dx+B1Q7VgASb9A2wg77gAHZ+ChA2aOwYzo44sq+copHcxyoqprz9vw==" saltValue="nliSGlAHYD5s7HX321xHc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ORrEHNBpUZVEh4JQLWwyEMG6BzCCGCv5xGvNU0+SA9Ps1Qo4vhkrsBRqhosA9D/UNeLpLbRR+saYIEuaa1lKCw==" saltValue="GzONvqSQgevc0a5z1N9po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BR2x1PmUvBgQerFj64mVXhtmNZCQXJJp7CIbLHQgf0qmIE/1f/IZ3y++a4nZwXcizRWOzFPtpRwxo6H19ZSFg==" saltValue="/YPtz2n1A4biE5ATK2tE3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ed+irUZswB6fLwGRzsirav9bAdWR0b5PAQLh9m8lOhgoyPy88VYfNe+Wy2nizRELAUXDV8Ht8vSAu7pMKh28Q==" saltValue="s545+xHB8kxqHG93Q0zbe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f4iXsSw71J6g73TjctbuY76hePSpWxApN+rFSYFW5Bh8X/IS1zR+pL/znXn0KYBd6CSea6sam9wOYicb82ITPw==" saltValue="MjgepWzvcSwUwGA/f4g0j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2ZI5Sas0LDMYU1qpWb1LvveDHoqC2T9+K6cWEQAMU+ueudAR8zl2EhcBnJIkQ141NuVWRP2+PXSbKgIEXYKOcQ==" saltValue="XRqbAdhN8wsN8GJQeCHf0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5973OhbE1NfVyVjUL6ma15QvHa0O5saBzd6+sciPOSRGVC6WVlgq5nYDSUlGHil2JZYIIHsugaXoNJZGwvPfw==" saltValue="930LVHuwNoToFH5r9FjtN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rH6q64kb447G78DO62PnWYqTIhVO+2aBAklKbeNYdn1YHDbc9Etz2jewsGld7upkcRZaHUR3vy3erKJjK0nNpg==" saltValue="1lv/DCQhR3ndDbHamulv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JOekD4xZ/LrDB+XwbAgxuoW+VlNi5265ao5OWv7S9CxeuIw+yg8nYcDHKKwmYTZcHLV1tvDYSiClc3ARMtT4jg==" saltValue="pFTNM05PBEE58y58dGZ9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6Gd5nPK8BNrwBgr3jPxkEoJA3Q0qsTQIu/0T2Vpli9tDUintgLV8aiLQR3rfCBVo+yl2ulo2FzdwwfUDKQedw==" saltValue="kPHOt1sZMo91E2Wkn+1A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FrquwHJAGxMPAZsWW+lQgLmDFhhjT8j8/1Butebc3AfENO/WQoG8n7Z7Sje3bmQqHT9ZMynKzM7r84JrVTHDQ==" saltValue="IlFAKm/CzBcX2vA2kU0R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CIuWPBksZ8AHl9RDT3il+sqvPDEFQpgBodrztyDOvF4EY0dsyR7p897I7Hdp/CmA93fIQWELl0fLbV9Zw/ACw==" saltValue="5NvXOLK1eOfCynoWusWe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dll2+FNNNy43TUCZuM0zQ9TK/jbg1kZtKT/geihDTB7CYPYsPCH+U6mHtw5AXwnweuzQdDk4wHGDO/lrkI0bg==" saltValue="PSW3Te8auCdofHdWFBgk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x1mCIXPw+KZVbT1OI1yeiO/eIz6B8/2LMafDdyGfRM2F1KOwQSlSyqC3B0BKQW9WHLhbt66LK2+vkwlv5wBOQA==" saltValue="Wr6IM+fhzvRv4fL/sNhc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idkGZxUMJ8iHHWSFbLd3l3uV1qWmlSKvCmOF1QiYtLAxfAE196HjWU8z3oO7Ysc3ftlu9DARhGnxCjaHBjaDA==" saltValue="+7P52/0+0A6ZpNcJ0oqVe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