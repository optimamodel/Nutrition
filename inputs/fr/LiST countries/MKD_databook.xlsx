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D7C93AF7-E941-40F7-B2C7-0DD26DA5F2AE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6" i="2" l="1"/>
  <c r="I39" i="2"/>
  <c r="A31" i="2"/>
  <c r="I6" i="2"/>
  <c r="I12" i="2"/>
  <c r="A35" i="2"/>
  <c r="I7" i="2"/>
  <c r="I13" i="2"/>
  <c r="A37" i="2"/>
  <c r="A22" i="2"/>
  <c r="I3" i="2"/>
  <c r="I9" i="2"/>
  <c r="A23" i="2"/>
  <c r="I2" i="2"/>
  <c r="A19" i="2"/>
  <c r="A24" i="2"/>
  <c r="A40" i="2"/>
  <c r="I4" i="2"/>
  <c r="A25" i="2"/>
  <c r="A26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<sst xmlns="http://schemas.openxmlformats.org/spreadsheetml/2006/main" count="2169" uniqueCount="369">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</sst>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87556.5</v>
      </c>
    </row>
    <row r="8" spans="1:3" ht="15" customHeight="1" x14ac:dyDescent="0.25">
      <c r="B8" s="5" t="s">
        <v>37</v>
      </c>
      <c r="C8" s="44">
        <v>0.40899999999999997</v>
      </c>
    </row>
    <row r="9" spans="1:3" ht="15" customHeight="1" x14ac:dyDescent="0.25">
      <c r="B9" s="5" t="s">
        <v>38</v>
      </c>
      <c r="C9" s="45">
        <v>1</v>
      </c>
    </row>
    <row r="10" spans="1:3" ht="15" customHeight="1" x14ac:dyDescent="0.25">
      <c r="B10" s="5" t="s">
        <v>39</v>
      </c>
      <c r="C10" s="45">
        <v>0.91188728330000002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0.77700000000000002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5.2499999999999998E-2</v>
      </c>
    </row>
    <row r="24" spans="1:3" ht="15" customHeight="1" x14ac:dyDescent="0.25">
      <c r="B24" s="15" t="s">
        <v>51</v>
      </c>
      <c r="C24" s="45">
        <v>0.53039999999999998</v>
      </c>
    </row>
    <row r="25" spans="1:3" ht="15" customHeight="1" x14ac:dyDescent="0.25">
      <c r="B25" s="15" t="s">
        <v>52</v>
      </c>
      <c r="C25" s="45">
        <v>0.39929999999999999</v>
      </c>
    </row>
    <row r="26" spans="1:3" ht="15" customHeight="1" x14ac:dyDescent="0.25">
      <c r="B26" s="15" t="s">
        <v>53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0.26912377197565901</v>
      </c>
    </row>
    <row r="30" spans="1:3" ht="14.25" customHeight="1" x14ac:dyDescent="0.25">
      <c r="B30" s="25" t="s">
        <v>56</v>
      </c>
      <c r="C30" s="97">
        <v>4.10301351064883E-2</v>
      </c>
    </row>
    <row r="31" spans="1:3" ht="14.25" customHeight="1" x14ac:dyDescent="0.25">
      <c r="B31" s="25" t="s">
        <v>57</v>
      </c>
      <c r="C31" s="97">
        <v>6.6332842080041601E-2</v>
      </c>
    </row>
    <row r="32" spans="1:3" ht="14.25" customHeight="1" x14ac:dyDescent="0.25">
      <c r="B32" s="25" t="s">
        <v>58</v>
      </c>
      <c r="C32" s="97">
        <v>0.62351325083781095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29.927250000000001</v>
      </c>
    </row>
    <row r="38" spans="1:5" ht="15" customHeight="1" x14ac:dyDescent="0.25">
      <c r="B38" s="11" t="s">
        <v>63</v>
      </c>
      <c r="C38" s="43">
        <v>56.723050000000001</v>
      </c>
      <c r="D38" s="12"/>
      <c r="E38" s="13"/>
    </row>
    <row r="39" spans="1:5" ht="15" customHeight="1" x14ac:dyDescent="0.25">
      <c r="B39" s="11" t="s">
        <v>64</v>
      </c>
      <c r="C39" s="43">
        <v>76.040170000000003</v>
      </c>
      <c r="D39" s="12"/>
      <c r="E39" s="12"/>
    </row>
    <row r="40" spans="1:5" ht="15" customHeight="1" x14ac:dyDescent="0.25">
      <c r="B40" s="11" t="s">
        <v>65</v>
      </c>
      <c r="C40" s="98">
        <v>6.52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7.9130999999999993E-3</v>
      </c>
      <c r="D45" s="12"/>
    </row>
    <row r="46" spans="1:5" ht="15.75" customHeight="1" x14ac:dyDescent="0.25">
      <c r="B46" s="11" t="s">
        <v>70</v>
      </c>
      <c r="C46" s="45">
        <v>8.50249E-2</v>
      </c>
      <c r="D46" s="12"/>
    </row>
    <row r="47" spans="1:5" ht="15.75" customHeight="1" x14ac:dyDescent="0.25">
      <c r="B47" s="11" t="s">
        <v>71</v>
      </c>
      <c r="C47" s="45">
        <v>7.3475499999999999E-2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0.44132399999999999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9.0528536000000007E-2</v>
      </c>
    </row>
    <row r="63" spans="1:4" ht="15.75" customHeight="1" x14ac:dyDescent="0.3">
      <c r="A63" s="4"/>
    </row>
  </sheetData>
  <sheetProtection algorithmName="SHA-512" hashValue="HUHB/ngcG520ixuHGiZ0eC02g35eAr3kMQSEBwyD2M1ntI+DcLJZnnatpbwF5Qbryw7fpIeAgalgJxiHmJtLZA==" saltValue="0ciM3UV3O96Z1xJNcaQO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16587</v>
      </c>
      <c r="C2" s="49">
        <v>50754.5</v>
      </c>
      <c r="D2" s="49">
        <v>106482</v>
      </c>
      <c r="E2" s="49">
        <v>121574.5</v>
      </c>
      <c r="F2" s="49">
        <v>129269.5</v>
      </c>
      <c r="G2" s="17">
        <f t="shared" ref="G2:G13" si="0">C2+D2+E2+F2</f>
        <v>408080.5</v>
      </c>
      <c r="H2" s="17">
        <f t="shared" ref="H2:H13" si="1">(B2 + stillbirth*B2/(1000-stillbirth))/(1-abortion)</f>
        <v>19289.870586703917</v>
      </c>
      <c r="I2" s="17">
        <f t="shared" ref="I2:I13" si="2">G2-H2</f>
        <v>388790.62941329606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16312.999999999998</v>
      </c>
      <c r="C3" s="50">
        <v>51348.5</v>
      </c>
      <c r="D3" s="50">
        <v>104091.00000000001</v>
      </c>
      <c r="E3" s="50">
        <v>119781</v>
      </c>
      <c r="F3" s="50">
        <v>128437.99999999999</v>
      </c>
      <c r="G3" s="17">
        <f t="shared" si="0"/>
        <v>403658.5</v>
      </c>
      <c r="H3" s="17">
        <f t="shared" si="1"/>
        <v>18971.221973889253</v>
      </c>
      <c r="I3" s="17">
        <f t="shared" si="2"/>
        <v>384687.27802611073</v>
      </c>
    </row>
    <row r="4" spans="1:9" ht="15.75" customHeight="1" x14ac:dyDescent="0.25">
      <c r="A4" s="5">
        <f t="shared" si="3"/>
        <v>2026</v>
      </c>
      <c r="B4" s="49">
        <v>16027.000000000002</v>
      </c>
      <c r="C4" s="50">
        <v>51880</v>
      </c>
      <c r="D4" s="50">
        <v>101888.5</v>
      </c>
      <c r="E4" s="50">
        <v>117789</v>
      </c>
      <c r="F4" s="50">
        <v>127561</v>
      </c>
      <c r="G4" s="17">
        <f t="shared" si="0"/>
        <v>399118.5</v>
      </c>
      <c r="H4" s="17">
        <f t="shared" si="1"/>
        <v>18638.617947374678</v>
      </c>
      <c r="I4" s="17">
        <f t="shared" si="2"/>
        <v>380479.8820526253</v>
      </c>
    </row>
    <row r="5" spans="1:9" ht="15.75" customHeight="1" x14ac:dyDescent="0.25">
      <c r="A5" s="5">
        <f t="shared" si="3"/>
        <v>2027</v>
      </c>
      <c r="B5" s="49">
        <v>15783</v>
      </c>
      <c r="C5" s="50">
        <v>52317.5</v>
      </c>
      <c r="D5" s="50">
        <v>100140.5</v>
      </c>
      <c r="E5" s="50">
        <v>115426.5</v>
      </c>
      <c r="F5" s="50">
        <v>126931</v>
      </c>
      <c r="G5" s="17">
        <f t="shared" si="0"/>
        <v>394815.5</v>
      </c>
      <c r="H5" s="17">
        <f t="shared" si="1"/>
        <v>18354.857868809788</v>
      </c>
      <c r="I5" s="17">
        <f t="shared" si="2"/>
        <v>376460.64213119022</v>
      </c>
    </row>
    <row r="6" spans="1:9" ht="15.75" customHeight="1" x14ac:dyDescent="0.25">
      <c r="A6" s="5">
        <f t="shared" si="3"/>
        <v>2028</v>
      </c>
      <c r="B6" s="49">
        <v>15559</v>
      </c>
      <c r="C6" s="50">
        <v>52835</v>
      </c>
      <c r="D6" s="50">
        <v>99015</v>
      </c>
      <c r="E6" s="50">
        <v>112821.5</v>
      </c>
      <c r="F6" s="50">
        <v>126280</v>
      </c>
      <c r="G6" s="17">
        <f t="shared" si="0"/>
        <v>390951.5</v>
      </c>
      <c r="H6" s="17">
        <f t="shared" si="1"/>
        <v>18094.356813078091</v>
      </c>
      <c r="I6" s="17">
        <f t="shared" si="2"/>
        <v>372857.14318692189</v>
      </c>
    </row>
    <row r="7" spans="1:9" ht="15.75" customHeight="1" x14ac:dyDescent="0.25">
      <c r="A7" s="5">
        <f t="shared" si="3"/>
        <v>2029</v>
      </c>
      <c r="B7" s="49">
        <v>15328</v>
      </c>
      <c r="C7" s="50">
        <v>53169</v>
      </c>
      <c r="D7" s="50">
        <v>98423.499999999985</v>
      </c>
      <c r="E7" s="50">
        <v>110362</v>
      </c>
      <c r="F7" s="50">
        <v>125260</v>
      </c>
      <c r="G7" s="17">
        <f t="shared" si="0"/>
        <v>387214.5</v>
      </c>
      <c r="H7" s="17">
        <f t="shared" si="1"/>
        <v>17825.715099354777</v>
      </c>
      <c r="I7" s="17">
        <f t="shared" si="2"/>
        <v>369388.7849006452</v>
      </c>
    </row>
    <row r="8" spans="1:9" ht="15.75" customHeight="1" x14ac:dyDescent="0.25">
      <c r="A8" s="5">
        <f t="shared" si="3"/>
        <v>2030</v>
      </c>
      <c r="B8" s="49">
        <v>15121</v>
      </c>
      <c r="C8" s="50">
        <v>53143.5</v>
      </c>
      <c r="D8" s="50">
        <v>97894</v>
      </c>
      <c r="E8" s="50">
        <v>108140.99999999999</v>
      </c>
      <c r="F8" s="50">
        <v>123948.5</v>
      </c>
      <c r="G8" s="17">
        <f t="shared" si="0"/>
        <v>383127</v>
      </c>
      <c r="H8" s="17">
        <f t="shared" si="1"/>
        <v>17584.984213031286</v>
      </c>
      <c r="I8" s="17">
        <f t="shared" si="2"/>
        <v>365542.0157869687</v>
      </c>
    </row>
    <row r="9" spans="1:9" ht="15.75" customHeight="1" x14ac:dyDescent="0.25">
      <c r="A9" s="5">
        <f t="shared" si="3"/>
        <v>2031</v>
      </c>
      <c r="B9" s="49">
        <v>14935</v>
      </c>
      <c r="C9" s="50">
        <v>53019</v>
      </c>
      <c r="D9" s="50">
        <v>97340</v>
      </c>
      <c r="E9" s="50">
        <v>105814</v>
      </c>
      <c r="F9" s="50">
        <v>122560</v>
      </c>
      <c r="G9" s="17">
        <f t="shared" si="0"/>
        <v>378733</v>
      </c>
      <c r="H9" s="17">
        <f t="shared" si="1"/>
        <v>17368.675300682644</v>
      </c>
      <c r="I9" s="17">
        <f t="shared" si="2"/>
        <v>361364.32469931734</v>
      </c>
    </row>
    <row r="10" spans="1:9" ht="15.75" customHeight="1" x14ac:dyDescent="0.25">
      <c r="A10" s="5">
        <f t="shared" si="3"/>
        <v>2032</v>
      </c>
      <c r="B10" s="49">
        <v>14773</v>
      </c>
      <c r="C10" s="50">
        <v>52705.5</v>
      </c>
      <c r="D10" s="50">
        <v>96941</v>
      </c>
      <c r="E10" s="50">
        <v>103591.5</v>
      </c>
      <c r="F10" s="50">
        <v>121044.5</v>
      </c>
      <c r="G10" s="17">
        <f t="shared" si="0"/>
        <v>374282.5</v>
      </c>
      <c r="H10" s="17">
        <f t="shared" si="1"/>
        <v>17180.27721573383</v>
      </c>
      <c r="I10" s="17">
        <f t="shared" si="2"/>
        <v>357102.22278426617</v>
      </c>
    </row>
    <row r="11" spans="1:9" ht="15.75" customHeight="1" x14ac:dyDescent="0.25">
      <c r="A11" s="5">
        <f t="shared" si="3"/>
        <v>2033</v>
      </c>
      <c r="B11" s="49">
        <v>14626</v>
      </c>
      <c r="C11" s="50">
        <v>51749.5</v>
      </c>
      <c r="D11" s="50">
        <v>97017</v>
      </c>
      <c r="E11" s="50">
        <v>101451</v>
      </c>
      <c r="F11" s="50">
        <v>119346</v>
      </c>
      <c r="G11" s="17">
        <f t="shared" si="0"/>
        <v>369563.5</v>
      </c>
      <c r="H11" s="17">
        <f t="shared" si="1"/>
        <v>17009.323397909902</v>
      </c>
      <c r="I11" s="17">
        <f t="shared" si="2"/>
        <v>352554.17660209013</v>
      </c>
    </row>
    <row r="12" spans="1:9" ht="15.75" customHeight="1" x14ac:dyDescent="0.25">
      <c r="A12" s="5">
        <f t="shared" si="3"/>
        <v>2034</v>
      </c>
      <c r="B12" s="49">
        <v>14509</v>
      </c>
      <c r="C12" s="50">
        <v>50186</v>
      </c>
      <c r="D12" s="50">
        <v>97653.500000000015</v>
      </c>
      <c r="E12" s="50">
        <v>99204.5</v>
      </c>
      <c r="F12" s="50">
        <v>117628.99999999999</v>
      </c>
      <c r="G12" s="17">
        <f t="shared" si="0"/>
        <v>364673</v>
      </c>
      <c r="H12" s="17">
        <f t="shared" si="1"/>
        <v>16873.258114335757</v>
      </c>
      <c r="I12" s="17">
        <f t="shared" si="2"/>
        <v>347799.74188566423</v>
      </c>
    </row>
    <row r="13" spans="1:9" ht="15.75" customHeight="1" x14ac:dyDescent="0.25">
      <c r="A13" s="5">
        <f t="shared" si="3"/>
        <v>2035</v>
      </c>
      <c r="B13" s="49">
        <v>14413</v>
      </c>
      <c r="C13" s="50">
        <v>48462</v>
      </c>
      <c r="D13" s="50">
        <v>98369</v>
      </c>
      <c r="E13" s="50">
        <v>97006.499999999985</v>
      </c>
      <c r="F13" s="50">
        <v>115941.5</v>
      </c>
      <c r="G13" s="17">
        <f t="shared" si="0"/>
        <v>359779</v>
      </c>
      <c r="H13" s="17">
        <f t="shared" si="1"/>
        <v>16761.614804736455</v>
      </c>
      <c r="I13" s="17">
        <f t="shared" si="2"/>
        <v>343017.38519526355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doXimmPlF/EdqV2B+Dggqko1heHqwa9j5IqG44CkVRgOU+CTJDbk0n+iW3pOuOI9Krf+Sl7CPot13qJ+eg/BhQ==" saltValue="fCpwoxSDKc4btZxrGTCj0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2.0916002091600189E-2</v>
      </c>
    </row>
    <row r="4" spans="1:8" ht="15.75" customHeight="1" x14ac:dyDescent="0.25">
      <c r="B4" s="19" t="s">
        <v>97</v>
      </c>
      <c r="C4" s="99">
        <v>6.5774706577470685E-2</v>
      </c>
    </row>
    <row r="5" spans="1:8" ht="15.75" customHeight="1" x14ac:dyDescent="0.25">
      <c r="B5" s="19" t="s">
        <v>98</v>
      </c>
      <c r="C5" s="99">
        <v>9.6632509663250973E-2</v>
      </c>
    </row>
    <row r="6" spans="1:8" ht="15.75" customHeight="1" x14ac:dyDescent="0.25">
      <c r="B6" s="19" t="s">
        <v>99</v>
      </c>
      <c r="C6" s="99">
        <v>0.25245662524566231</v>
      </c>
    </row>
    <row r="7" spans="1:8" ht="15.75" customHeight="1" x14ac:dyDescent="0.25">
      <c r="B7" s="19" t="s">
        <v>100</v>
      </c>
      <c r="C7" s="99">
        <v>0.39333373933337429</v>
      </c>
    </row>
    <row r="8" spans="1:8" ht="15.75" customHeight="1" x14ac:dyDescent="0.25">
      <c r="B8" s="19" t="s">
        <v>101</v>
      </c>
      <c r="C8" s="99">
        <v>3.4550003455000359E-3</v>
      </c>
    </row>
    <row r="9" spans="1:8" ht="15.75" customHeight="1" x14ac:dyDescent="0.25">
      <c r="B9" s="19" t="s">
        <v>102</v>
      </c>
      <c r="C9" s="99">
        <v>5.8309405830940547E-2</v>
      </c>
    </row>
    <row r="10" spans="1:8" ht="15.75" customHeight="1" x14ac:dyDescent="0.25">
      <c r="B10" s="19" t="s">
        <v>103</v>
      </c>
      <c r="C10" s="99">
        <v>0.1091220109122009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106</v>
      </c>
      <c r="C15" s="99">
        <v>0.1345887809257377</v>
      </c>
      <c r="D15" s="99">
        <v>0.1345887809257377</v>
      </c>
      <c r="E15" s="99">
        <v>0.1345887809257377</v>
      </c>
      <c r="F15" s="99">
        <v>0.1345887809257377</v>
      </c>
    </row>
    <row r="16" spans="1:8" ht="15.75" customHeight="1" x14ac:dyDescent="0.25">
      <c r="B16" s="19" t="s">
        <v>107</v>
      </c>
      <c r="C16" s="99">
        <v>1.8017639370382608E-2</v>
      </c>
      <c r="D16" s="99">
        <v>1.8017639370382608E-2</v>
      </c>
      <c r="E16" s="99">
        <v>1.8017639370382608E-2</v>
      </c>
      <c r="F16" s="99">
        <v>1.8017639370382608E-2</v>
      </c>
    </row>
    <row r="17" spans="1:8" ht="15.75" customHeight="1" x14ac:dyDescent="0.25">
      <c r="B17" s="19" t="s">
        <v>108</v>
      </c>
      <c r="C17" s="99">
        <v>0.2417018345573996</v>
      </c>
      <c r="D17" s="99">
        <v>0.2417018345573996</v>
      </c>
      <c r="E17" s="99">
        <v>0.2417018345573996</v>
      </c>
      <c r="F17" s="99">
        <v>0.2417018345573996</v>
      </c>
    </row>
    <row r="18" spans="1:8" ht="15.75" customHeight="1" x14ac:dyDescent="0.25">
      <c r="B18" s="19" t="s">
        <v>109</v>
      </c>
      <c r="C18" s="99">
        <v>0.33724276611699389</v>
      </c>
      <c r="D18" s="99">
        <v>0.33724276611699389</v>
      </c>
      <c r="E18" s="99">
        <v>0.33724276611699389</v>
      </c>
      <c r="F18" s="99">
        <v>0.33724276611699389</v>
      </c>
    </row>
    <row r="19" spans="1:8" ht="15.75" customHeight="1" x14ac:dyDescent="0.25">
      <c r="B19" s="19" t="s">
        <v>110</v>
      </c>
      <c r="C19" s="99">
        <v>1.3011294343433301E-2</v>
      </c>
      <c r="D19" s="99">
        <v>1.3011294343433301E-2</v>
      </c>
      <c r="E19" s="99">
        <v>1.3011294343433301E-2</v>
      </c>
      <c r="F19" s="99">
        <v>1.3011294343433301E-2</v>
      </c>
    </row>
    <row r="20" spans="1:8" ht="15.75" customHeight="1" x14ac:dyDescent="0.25">
      <c r="B20" s="19" t="s">
        <v>111</v>
      </c>
      <c r="C20" s="99">
        <v>1.8809148277049541E-2</v>
      </c>
      <c r="D20" s="99">
        <v>1.8809148277049541E-2</v>
      </c>
      <c r="E20" s="99">
        <v>1.8809148277049541E-2</v>
      </c>
      <c r="F20" s="99">
        <v>1.8809148277049541E-2</v>
      </c>
    </row>
    <row r="21" spans="1:8" ht="15.75" customHeight="1" x14ac:dyDescent="0.25">
      <c r="B21" s="19" t="s">
        <v>112</v>
      </c>
      <c r="C21" s="99">
        <v>5.8069678944985201E-2</v>
      </c>
      <c r="D21" s="99">
        <v>5.8069678944985201E-2</v>
      </c>
      <c r="E21" s="99">
        <v>5.8069678944985201E-2</v>
      </c>
      <c r="F21" s="99">
        <v>5.8069678944985201E-2</v>
      </c>
    </row>
    <row r="22" spans="1:8" ht="15.75" customHeight="1" x14ac:dyDescent="0.25">
      <c r="B22" s="19" t="s">
        <v>113</v>
      </c>
      <c r="C22" s="99">
        <v>8.585191933485864E-2</v>
      </c>
      <c r="D22" s="99">
        <v>8.585191933485864E-2</v>
      </c>
      <c r="E22" s="99">
        <v>8.585191933485864E-2</v>
      </c>
      <c r="F22" s="99">
        <v>8.585191933485864E-2</v>
      </c>
    </row>
    <row r="23" spans="1:8" ht="15.75" customHeight="1" x14ac:dyDescent="0.25">
      <c r="B23" s="27" t="s">
        <v>59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8.7635818000000004E-2</v>
      </c>
    </row>
    <row r="27" spans="1:8" ht="15.75" customHeight="1" x14ac:dyDescent="0.25">
      <c r="B27" s="19" t="s">
        <v>120</v>
      </c>
      <c r="C27" s="99">
        <v>8.6621349999999996E-3</v>
      </c>
    </row>
    <row r="28" spans="1:8" ht="15.75" customHeight="1" x14ac:dyDescent="0.25">
      <c r="B28" s="19" t="s">
        <v>121</v>
      </c>
      <c r="C28" s="99">
        <v>0.15441808500000001</v>
      </c>
    </row>
    <row r="29" spans="1:8" ht="15.75" customHeight="1" x14ac:dyDescent="0.25">
      <c r="B29" s="19" t="s">
        <v>122</v>
      </c>
      <c r="C29" s="99">
        <v>0.167759189</v>
      </c>
    </row>
    <row r="30" spans="1:8" ht="15.75" customHeight="1" x14ac:dyDescent="0.25">
      <c r="B30" s="19" t="s">
        <v>2</v>
      </c>
      <c r="C30" s="99">
        <v>0.10583751800000001</v>
      </c>
    </row>
    <row r="31" spans="1:8" ht="15.75" customHeight="1" x14ac:dyDescent="0.25">
      <c r="B31" s="19" t="s">
        <v>123</v>
      </c>
      <c r="C31" s="99">
        <v>0.109709026</v>
      </c>
    </row>
    <row r="32" spans="1:8" ht="15.75" customHeight="1" x14ac:dyDescent="0.25">
      <c r="B32" s="19" t="s">
        <v>124</v>
      </c>
      <c r="C32" s="99">
        <v>1.8596574000000001E-2</v>
      </c>
    </row>
    <row r="33" spans="2:3" ht="15.75" customHeight="1" x14ac:dyDescent="0.25">
      <c r="B33" s="19" t="s">
        <v>125</v>
      </c>
      <c r="C33" s="99">
        <v>8.3747772999999998E-2</v>
      </c>
    </row>
    <row r="34" spans="2:3" ht="15.75" customHeight="1" x14ac:dyDescent="0.25">
      <c r="B34" s="19" t="s">
        <v>126</v>
      </c>
      <c r="C34" s="99">
        <v>0.26363388300000001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sVUCVsawv1K0HrbZsl0uytqCkqcXVK+pJnguhi80v0pbgga4L+T+bqqsUA0asWpxX/EifnNpRxW8m/F/hC1ARQ==" saltValue="4NRUJo8Uqnn4bAcnpNxJ1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132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133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137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138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0.46848806900000001</v>
      </c>
      <c r="D14" s="54">
        <v>0.46448791111799997</v>
      </c>
      <c r="E14" s="54">
        <v>0.46448791111799997</v>
      </c>
      <c r="F14" s="54">
        <v>0.24134989067099999</v>
      </c>
      <c r="G14" s="54">
        <v>0.24134989067099999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0.20675502856335601</v>
      </c>
      <c r="D15" s="52">
        <f t="shared" si="0"/>
        <v>0.20498966288624021</v>
      </c>
      <c r="E15" s="52">
        <f t="shared" si="0"/>
        <v>0.20498966288624021</v>
      </c>
      <c r="F15" s="52">
        <f t="shared" si="0"/>
        <v>0.1065134991504884</v>
      </c>
      <c r="G15" s="52">
        <f t="shared" si="0"/>
        <v>0.1065134991504884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8WeqZdeNKyGfAazxPvUZPpxnfsGA6TPnzS1thuoa6/eT2yulokGn/cRI7Q1V8LLiaPO9+nrYI1nFeSC/THDlEw==" saltValue="NctikxpUoQHQ65RrKsGp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2.1700700000000017E-2</v>
      </c>
      <c r="D5" s="52">
        <f t="shared" si="0"/>
        <v>6.7366600000000054E-2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yuA0dAqKV7r2uOqfe4ado2/5q7tK2ZAI46i8OWx0rVC2fgbEM4OySCpHrBCbQ1nQgaL01nDp9h/oO3VlkUvmXw==" saltValue="8vrYz9X/QvFHsSmyeZ1ZN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a7NiLIJFRCklaLaB2xisGbLpMkZSHXHlI0feWstOHhszEz3YDAKQTbV6ED1nLVVddhnDi3QypCUnFq0+LnV3ww==" saltValue="a9tLtoLpm/NdZPT2JNpHF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6591.4713141196098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0.44453999999999999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0.52200000000000002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1.36053957796782E-2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99375.544299999994</v>
      </c>
      <c r="C22" s="107">
        <v>99318.174350000001</v>
      </c>
      <c r="D22" s="107">
        <v>99242.881469999993</v>
      </c>
      <c r="E22" s="107">
        <v>99079.807920000007</v>
      </c>
      <c r="F22" s="107">
        <v>98916.524059999996</v>
      </c>
      <c r="G22" s="107">
        <v>98643.334419999999</v>
      </c>
      <c r="H22" s="107">
        <v>98326.637579999995</v>
      </c>
      <c r="I22" s="107">
        <v>97868.540059999999</v>
      </c>
      <c r="J22" s="107">
        <v>97065.066229999997</v>
      </c>
      <c r="K22" s="107">
        <v>95570.499760000006</v>
      </c>
      <c r="L22" s="107">
        <v>93157.068350000001</v>
      </c>
      <c r="M22" s="107">
        <v>88846.140799999994</v>
      </c>
      <c r="N22" s="107">
        <v>82464.116550000006</v>
      </c>
      <c r="O22" s="107">
        <v>73456.697150000007</v>
      </c>
    </row>
  </sheetData>
  <sheetProtection algorithmName="SHA-512" hashValue="DBBcWNKcT4nrotCXJsDHbv13ScTR6aE9Vcvzcr/N7DIBw3PXFMvmHtYrStVqhftwUgw5E7aLvxDKgC5zQ3VYVg==" saltValue="SUeEjMwSxWayle41NCONA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l5Yd3VfNcVklnMHEHaS3IdicdCzptJTzVqKsC8ywtvMMghvBQT3nAk52PEPMA68fHqWzSQyq9B9W6JGini8Wsw==" saltValue="DWAr+/r82zlrnNA7XqzEJ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+0vKjcgIMYuMuRZGW2lAoq40XwKJ9OfUTF0qCs5yuu1fQXh/mznsuQzEkTXtxJS3EhM68ymOI67NYVeJo8rh9Q==" saltValue="gh3O2F1r5ikMrDHLLUgwK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0.42978100000000002</v>
      </c>
      <c r="C10" s="96">
        <v>0.95</v>
      </c>
      <c r="D10" s="56">
        <v>13.16871016477951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13.16871016477951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13.16871016477951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13.16871016477951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0.42978100000000002</v>
      </c>
      <c r="C14" s="96">
        <v>0.95</v>
      </c>
      <c r="D14" s="56">
        <v>13.16871016477951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13.16871016477951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0.84899999999999998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0.157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0.51254100000000002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0.51254100000000002</v>
      </c>
      <c r="C19" s="96">
        <v>0.95</v>
      </c>
      <c r="D19" s="56">
        <v>12.04060110790949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0.53483530000000001</v>
      </c>
      <c r="C23" s="96">
        <v>0.95</v>
      </c>
      <c r="D23" s="56">
        <v>4.3771693628409292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0.57084762680907997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0.42978100000000002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0.54128999999999994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8.6074300000000006E-2</v>
      </c>
      <c r="C29" s="96">
        <v>0.95</v>
      </c>
      <c r="D29" s="56">
        <v>129.56175311793481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0.5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3.4401899999999999E-2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0.1875019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1.9946800000000001E-2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5.4970400000000003E-2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0.2335767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7dQI/vIR90UT59YGAi3xpdshiwLUl+NwJI9l1sUpci/3ig694m+NY68pfIz7qbH1FGmuT8oTNK/kufBvHXzebQ==" saltValue="iTxmURG++UVJ4Fht7aqB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k3/7FYe2iKCu6LPpyYvILzr73UuJdaD3q56pInQ1uXP3acffXgPBcOgxuCAwvpWbQdQzTzbnHkLUkZeihIp77A==" saltValue="gzYk0iEg5fWAXB4WhDYTM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jTnKUsQOyUeUTrlFWhC5t0jgo72N3mrulEyDeNJzce6OAkqV9e5is3YbdY+VFbrpu9PklPOBGZeVjbIvJpOmXA==" saltValue="VR42PpXfTA0Gijf+oWxa1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237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++UDyFM9p333lYWF7h26vaGQiURdDWnYMlTrSEopxPIgWb+LqJ5aXvURBWJOW9AGjK/sGhmNDphK7Qu9MdmQqA==" saltValue="HqiKoQXPs2aEkff6pHYYd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0.40899999999999997</v>
      </c>
      <c r="F2" s="60">
        <f>food_insecure</f>
        <v>0.40899999999999997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0.40899999999999997</v>
      </c>
      <c r="I15" s="60">
        <f t="shared" si="0"/>
        <v>0.40899999999999997</v>
      </c>
      <c r="J15" s="60">
        <f t="shared" si="0"/>
        <v>0.40899999999999997</v>
      </c>
      <c r="K15" s="60">
        <f t="shared" si="0"/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0.40899999999999997</v>
      </c>
      <c r="I16" s="60">
        <f t="shared" si="0"/>
        <v>0.40899999999999997</v>
      </c>
      <c r="J16" s="60">
        <f t="shared" si="0"/>
        <v>0.40899999999999997</v>
      </c>
      <c r="K16" s="60">
        <f t="shared" si="0"/>
        <v>0.40899999999999997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0.77700000000000002</v>
      </c>
      <c r="M24" s="60">
        <f>famplan_unmet_need</f>
        <v>0.77700000000000002</v>
      </c>
      <c r="N24" s="60">
        <f>famplan_unmet_need</f>
        <v>0.77700000000000002</v>
      </c>
      <c r="O24" s="60">
        <f>famplan_unmet_need</f>
        <v>0.77700000000000002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5.074323242036298E-2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2.1747099608726995E-2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1.5622384670909996E-2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1</v>
      </c>
      <c r="D34" s="60">
        <f t="shared" si="4"/>
        <v>1</v>
      </c>
      <c r="E34" s="60">
        <f t="shared" si="4"/>
        <v>1</v>
      </c>
      <c r="F34" s="60">
        <f t="shared" si="4"/>
        <v>1</v>
      </c>
      <c r="G34" s="60">
        <f t="shared" si="4"/>
        <v>1</v>
      </c>
      <c r="H34" s="60">
        <f t="shared" si="4"/>
        <v>1</v>
      </c>
      <c r="I34" s="60">
        <f t="shared" si="4"/>
        <v>1</v>
      </c>
      <c r="J34" s="60">
        <f t="shared" si="4"/>
        <v>1</v>
      </c>
      <c r="K34" s="60">
        <f t="shared" si="4"/>
        <v>1</v>
      </c>
      <c r="L34" s="60">
        <f t="shared" si="4"/>
        <v>1</v>
      </c>
      <c r="M34" s="60">
        <f t="shared" si="4"/>
        <v>1</v>
      </c>
      <c r="N34" s="60">
        <f t="shared" si="4"/>
        <v>1</v>
      </c>
      <c r="O34" s="60">
        <f t="shared" si="4"/>
        <v>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nXl2mCz9I1m0drS6bkdxonjYfaCAytI8bp/8g4hDlg2cJ7XH+GUXVcTtGGfnFAgAX8bI8OeewF1sbvFmAGLsQ==" saltValue="ZsrVEneWHnvkvDqZTNiws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RWDi6e0yl0pRhvzDbF25FE0sboOZ6nUilN7lsDdxpS6DEyCgg8GgJKUGaeTbKtoK4LF9YzOiaVbEEIcouxLaQ==" saltValue="ngQtXe7kR3FXuao/bqY97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lpJyqz6VNwpovIWkKccubQYfyat2gI44nEfPUJozde1N+F3Lp407EzolFzvC8PNbL8y1mYLMasu8eXGeT3KEw==" saltValue="phu8//P+RZOTGqPe3qzOk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Ogd6AATCjPxk8Uxjygp5OwYBymStl/iqEnBhYMdBeRGC/XMJbkRzYE8BaJlemrtovscw5P7Ph50L6caTrWDbA==" saltValue="TyUBTQzTtc2aMK6atj3PA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gwdXYqBOyW+EYt3aK7q4aB+a7ZEg2uYECzwXhJzAY1SkiPa++8fdUYKqPrnJx9fLw1G644Mer5pYizY/Yb+2Ew==" saltValue="xLnA1xg24/7LqsipFVAfY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zuWyu54/EHR6EVOA1B1BS9B5CR9SIZj5WbJ4pw2jlLZLwvVR3lLrLHuWd3HRy8OFXRFrepvWst+2Med/tZKw+Q==" saltValue="q+COn12BHU71pewpDD1VB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YOlgrLxAkzhX7eIiaAiyq6pwUlhe/iVxW6VCjX4aws8rAMEHhXU3z09QiLT+mbiPk9i73yxZd58PPymfZYrg0Q==" saltValue="uf5TN6rDgbFYEc6Lt5R6b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1YUk7En4uI3WFhRx050PUrWWl7YOP+RUO08EYhcTuI03NPdUzP7WlqMYbEB4cxPsCHaVtRxuMG9qODlFxm+ZdA==" saltValue="G40jX/58/9ynreoKP6/e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L3cazL480k5GBehFzwTQvAQl+52+V8jIelVIexVyHKORoJsLqXlEFlZdyzdvSjox5njUlNpOdHjhbzNyP7OuRw==" saltValue="9tM8+nsyiNjvXxuLWeUz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eFERNPaCkfcFe5Ntp2V884hSckaG9fPwThG+RTfJ4/Wc9cA5hVUYZ5g8o7ttUVW5go/A12ZRoFDhPkJoUOZTQ==" saltValue="SmK8c+DKVQVtpN1P5j4y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gfHMLmb1baOo8gH0AIwz80GYnsONQ1VALgc9lg5k7tt3Up1HrGwIlWDW0u3ufSlKOWSE8dh6OXwHdH75WMVcbg==" saltValue="spolD/hMbSdr5g19FMVv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mmdhHrgOeDos5xmPAmeB1YpXbu6vS7U7M9YIQAXLLKDI2FqtypQlq1WVaF8DoKBor6VgHhPWMSnHb5B6rRckA==" saltValue="WhHD85woz00M+fHQXO+D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osB/uuAWyP4/1pzUOUKfXYym/3zcEL1kv4rKFbkbpHG7d9dLhhULMEl+T+ev8zY0nWovrjJlSpNxOh5PhTs8gA==" saltValue="IhqXaoqZ84/j8XiIka3Pt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aDCuL6om5slUrZjsHNgppG0Y895/kXm1k/b+wupMv8cmkPRxKhSqaot1LnD0/WG1CmDKorviQJKIIMCcOWaUWA==" saltValue="U2pQtu62MoQJN2C8TDHT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vwXjMzogG4J7OTwCS0sj7NzPpSp5ijcuwN4N3jUQ28t5wg3qkENigOH4+DpQ5ADMpXJoXcifOvvcd7aJone/bw==" saltValue="lABzflKVb5jDzGJlgBNWK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