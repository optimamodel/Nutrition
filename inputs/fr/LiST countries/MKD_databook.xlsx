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B2637D7-4907-40D4-899A-7CDD67AD67B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23" i="2"/>
  <c r="A16" i="2"/>
  <c r="A24" i="2"/>
  <c r="A32" i="2"/>
  <c r="A17" i="2"/>
  <c r="A25" i="2"/>
  <c r="A33" i="2"/>
  <c r="A3" i="2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<sst xmlns="http://schemas.openxmlformats.org/spreadsheetml/2006/main" count="2101" uniqueCount="337">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</sst>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775167.515625</v>
      </c>
    </row>
    <row r="8" spans="1:3" ht="15" customHeight="1" x14ac:dyDescent="0.25">
      <c r="B8" s="5" t="s">
        <v>19</v>
      </c>
      <c r="C8" s="44">
        <v>0.40899999999999997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0.91188728330000002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5.2499999999999998E-2</v>
      </c>
    </row>
    <row r="24" spans="1:3" ht="15" customHeight="1" x14ac:dyDescent="0.25">
      <c r="B24" s="15" t="s">
        <v>33</v>
      </c>
      <c r="C24" s="45">
        <v>0.53039999999999998</v>
      </c>
    </row>
    <row r="25" spans="1:3" ht="15" customHeight="1" x14ac:dyDescent="0.25">
      <c r="B25" s="15" t="s">
        <v>34</v>
      </c>
      <c r="C25" s="45">
        <v>0.39929999999999999</v>
      </c>
    </row>
    <row r="26" spans="1:3" ht="15" customHeight="1" x14ac:dyDescent="0.25">
      <c r="B26" s="15" t="s">
        <v>35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0.26912377197565901</v>
      </c>
    </row>
    <row r="30" spans="1:3" ht="14.25" customHeight="1" x14ac:dyDescent="0.25">
      <c r="B30" s="25" t="s">
        <v>38</v>
      </c>
      <c r="C30" s="99">
        <v>4.10301351064883E-2</v>
      </c>
    </row>
    <row r="31" spans="1:3" ht="14.25" customHeight="1" x14ac:dyDescent="0.25">
      <c r="B31" s="25" t="s">
        <v>39</v>
      </c>
      <c r="C31" s="99">
        <v>6.6332842080041601E-2</v>
      </c>
    </row>
    <row r="32" spans="1:3" ht="14.25" customHeight="1" x14ac:dyDescent="0.25">
      <c r="B32" s="25" t="s">
        <v>40</v>
      </c>
      <c r="C32" s="99">
        <v>0.62351325083781095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29.927250000000001</v>
      </c>
    </row>
    <row r="38" spans="1:5" ht="15" customHeight="1" x14ac:dyDescent="0.25">
      <c r="B38" s="11" t="s">
        <v>45</v>
      </c>
      <c r="C38" s="43">
        <v>56.723050000000001</v>
      </c>
      <c r="D38" s="12"/>
      <c r="E38" s="13"/>
    </row>
    <row r="39" spans="1:5" ht="15" customHeight="1" x14ac:dyDescent="0.25">
      <c r="B39" s="11" t="s">
        <v>46</v>
      </c>
      <c r="C39" s="43">
        <v>76.040170000000003</v>
      </c>
      <c r="D39" s="12"/>
      <c r="E39" s="12"/>
    </row>
    <row r="40" spans="1:5" ht="15" customHeight="1" x14ac:dyDescent="0.25">
      <c r="B40" s="11" t="s">
        <v>47</v>
      </c>
      <c r="C40" s="100">
        <v>6.52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7.9130999999999993E-3</v>
      </c>
      <c r="D45" s="12"/>
    </row>
    <row r="46" spans="1:5" ht="15.75" customHeight="1" x14ac:dyDescent="0.25">
      <c r="B46" s="11" t="s">
        <v>52</v>
      </c>
      <c r="C46" s="45">
        <v>8.50249E-2</v>
      </c>
      <c r="D46" s="12"/>
    </row>
    <row r="47" spans="1:5" ht="15.75" customHeight="1" x14ac:dyDescent="0.25">
      <c r="B47" s="11" t="s">
        <v>53</v>
      </c>
      <c r="C47" s="45">
        <v>7.3475499999999999E-2</v>
      </c>
      <c r="D47" s="12"/>
      <c r="E47" s="13"/>
    </row>
    <row r="48" spans="1:5" ht="15" customHeight="1" x14ac:dyDescent="0.25">
      <c r="B48" s="11" t="s">
        <v>54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0.44132399999999999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fgORQO/WY3zSonCo50eG+5Jb1aemYzse9+gO5Np7/7SvUolF+uvTEiro6oTWXpPAZMCTTEBo4RD4qGEgX/d0jw==" saltValue="Y+trfvAtfQgTyHvjNNkw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19569</v>
      </c>
      <c r="C2" s="49">
        <v>66376</v>
      </c>
      <c r="D2" s="49">
        <v>132379.5</v>
      </c>
      <c r="E2" s="49">
        <v>155084.5</v>
      </c>
      <c r="F2" s="49">
        <v>137759</v>
      </c>
      <c r="G2" s="17">
        <f t="shared" ref="G2:G13" si="0">C2+D2+E2+F2</f>
        <v>491599</v>
      </c>
      <c r="H2" s="17">
        <f t="shared" ref="H2:H13" si="1">(B2 + stillbirth*B2/(1000-stillbirth))/(1-abortion)</f>
        <v>22757.79089113215</v>
      </c>
      <c r="I2" s="17">
        <f t="shared" ref="I2:I13" si="2">G2-H2</f>
        <v>468841.20910886786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19364</v>
      </c>
      <c r="C3" s="50">
        <v>66688.5</v>
      </c>
      <c r="D3" s="50">
        <v>128563</v>
      </c>
      <c r="E3" s="50">
        <v>153338.5</v>
      </c>
      <c r="F3" s="50">
        <v>139300</v>
      </c>
      <c r="G3" s="17">
        <f t="shared" si="0"/>
        <v>487890</v>
      </c>
      <c r="H3" s="17">
        <f t="shared" si="1"/>
        <v>22519.385907091983</v>
      </c>
      <c r="I3" s="17">
        <f t="shared" si="2"/>
        <v>465370.61409290804</v>
      </c>
    </row>
    <row r="4" spans="1:9" ht="15.75" customHeight="1" x14ac:dyDescent="0.25">
      <c r="A4" s="5">
        <f t="shared" si="3"/>
        <v>2026</v>
      </c>
      <c r="B4" s="49">
        <v>19155</v>
      </c>
      <c r="C4" s="50">
        <v>67024</v>
      </c>
      <c r="D4" s="50">
        <v>124897</v>
      </c>
      <c r="E4" s="50">
        <v>151395.5</v>
      </c>
      <c r="F4" s="50">
        <v>140559</v>
      </c>
      <c r="G4" s="17">
        <f t="shared" si="0"/>
        <v>483875.5</v>
      </c>
      <c r="H4" s="17">
        <f t="shared" si="1"/>
        <v>22276.329118485173</v>
      </c>
      <c r="I4" s="17">
        <f t="shared" si="2"/>
        <v>461599.17088151484</v>
      </c>
    </row>
    <row r="5" spans="1:9" ht="15.75" customHeight="1" x14ac:dyDescent="0.25">
      <c r="A5" s="5">
        <f t="shared" si="3"/>
        <v>2027</v>
      </c>
      <c r="B5" s="49">
        <v>18928</v>
      </c>
      <c r="C5" s="50">
        <v>67354</v>
      </c>
      <c r="D5" s="50">
        <v>121759</v>
      </c>
      <c r="E5" s="50">
        <v>149024</v>
      </c>
      <c r="F5" s="50">
        <v>141657</v>
      </c>
      <c r="G5" s="17">
        <f t="shared" si="0"/>
        <v>479794</v>
      </c>
      <c r="H5" s="17">
        <f t="shared" si="1"/>
        <v>22012.339209328497</v>
      </c>
      <c r="I5" s="17">
        <f t="shared" si="2"/>
        <v>457781.66079067148</v>
      </c>
    </row>
    <row r="6" spans="1:9" ht="15.75" customHeight="1" x14ac:dyDescent="0.25">
      <c r="A6" s="5">
        <f t="shared" si="3"/>
        <v>2028</v>
      </c>
      <c r="B6" s="49">
        <v>18690</v>
      </c>
      <c r="C6" s="50">
        <v>67600.5</v>
      </c>
      <c r="D6" s="50">
        <v>119182.5</v>
      </c>
      <c r="E6" s="50">
        <v>146282</v>
      </c>
      <c r="F6" s="50">
        <v>142658</v>
      </c>
      <c r="G6" s="17">
        <f t="shared" si="0"/>
        <v>475723</v>
      </c>
      <c r="H6" s="17">
        <f t="shared" si="1"/>
        <v>21735.556837613571</v>
      </c>
      <c r="I6" s="17">
        <f t="shared" si="2"/>
        <v>453987.44316238642</v>
      </c>
    </row>
    <row r="7" spans="1:9" ht="15.75" customHeight="1" x14ac:dyDescent="0.25">
      <c r="A7" s="5">
        <f t="shared" si="3"/>
        <v>2029</v>
      </c>
      <c r="B7" s="49">
        <v>18466</v>
      </c>
      <c r="C7" s="50">
        <v>67608.5</v>
      </c>
      <c r="D7" s="50">
        <v>117235</v>
      </c>
      <c r="E7" s="50">
        <v>143482.5</v>
      </c>
      <c r="F7" s="50">
        <v>143309</v>
      </c>
      <c r="G7" s="17">
        <f t="shared" si="0"/>
        <v>471635</v>
      </c>
      <c r="H7" s="17">
        <f t="shared" si="1"/>
        <v>21475.055781881871</v>
      </c>
      <c r="I7" s="17">
        <f t="shared" si="2"/>
        <v>450159.94421811815</v>
      </c>
    </row>
    <row r="8" spans="1:9" ht="15.75" customHeight="1" x14ac:dyDescent="0.25">
      <c r="A8" s="5">
        <f t="shared" si="3"/>
        <v>2030</v>
      </c>
      <c r="B8" s="49">
        <v>18217</v>
      </c>
      <c r="C8" s="50">
        <v>67170.999999999985</v>
      </c>
      <c r="D8" s="50">
        <v>115804</v>
      </c>
      <c r="E8" s="50">
        <v>140756</v>
      </c>
      <c r="F8" s="50">
        <v>143283.5</v>
      </c>
      <c r="G8" s="17">
        <f t="shared" si="0"/>
        <v>467014.5</v>
      </c>
      <c r="H8" s="17">
        <f t="shared" si="1"/>
        <v>21185.480947608688</v>
      </c>
      <c r="I8" s="17">
        <f t="shared" si="2"/>
        <v>445829.01905239129</v>
      </c>
    </row>
    <row r="9" spans="1:9" ht="15.75" customHeight="1" x14ac:dyDescent="0.25">
      <c r="A9" s="5">
        <f t="shared" si="3"/>
        <v>2031</v>
      </c>
      <c r="B9" s="49">
        <v>18031</v>
      </c>
      <c r="C9" s="50">
        <v>66601.999999999985</v>
      </c>
      <c r="D9" s="50">
        <v>114159</v>
      </c>
      <c r="E9" s="50">
        <v>138069.5</v>
      </c>
      <c r="F9" s="50">
        <v>142644</v>
      </c>
      <c r="G9" s="17">
        <f t="shared" si="0"/>
        <v>461474.5</v>
      </c>
      <c r="H9" s="17">
        <f t="shared" si="1"/>
        <v>20969.172035260042</v>
      </c>
      <c r="I9" s="17">
        <f t="shared" si="2"/>
        <v>440505.32796473993</v>
      </c>
    </row>
    <row r="10" spans="1:9" ht="15.75" customHeight="1" x14ac:dyDescent="0.25">
      <c r="A10" s="5">
        <f t="shared" si="3"/>
        <v>2032</v>
      </c>
      <c r="B10" s="49">
        <v>17738</v>
      </c>
      <c r="C10" s="50">
        <v>65847</v>
      </c>
      <c r="D10" s="50">
        <v>112283</v>
      </c>
      <c r="E10" s="50">
        <v>135687</v>
      </c>
      <c r="F10" s="50">
        <v>141759</v>
      </c>
      <c r="G10" s="17">
        <f t="shared" si="0"/>
        <v>455576</v>
      </c>
      <c r="H10" s="17">
        <f t="shared" si="1"/>
        <v>20628.427350753853</v>
      </c>
      <c r="I10" s="17">
        <f t="shared" si="2"/>
        <v>434947.57264924614</v>
      </c>
    </row>
    <row r="11" spans="1:9" ht="15.75" customHeight="1" x14ac:dyDescent="0.25">
      <c r="A11" s="5">
        <f t="shared" si="3"/>
        <v>2033</v>
      </c>
      <c r="B11" s="49">
        <v>17533</v>
      </c>
      <c r="C11" s="50">
        <v>64634.5</v>
      </c>
      <c r="D11" s="50">
        <v>110584</v>
      </c>
      <c r="E11" s="50">
        <v>133534.5</v>
      </c>
      <c r="F11" s="50">
        <v>140526.5</v>
      </c>
      <c r="G11" s="17">
        <f t="shared" si="0"/>
        <v>449279.5</v>
      </c>
      <c r="H11" s="17">
        <f t="shared" si="1"/>
        <v>20390.022366713682</v>
      </c>
      <c r="I11" s="17">
        <f t="shared" si="2"/>
        <v>428889.47763328633</v>
      </c>
    </row>
    <row r="12" spans="1:9" ht="15.75" customHeight="1" x14ac:dyDescent="0.25">
      <c r="A12" s="5">
        <f t="shared" si="3"/>
        <v>2034</v>
      </c>
      <c r="B12" s="49">
        <v>17361</v>
      </c>
      <c r="C12" s="50">
        <v>63080</v>
      </c>
      <c r="D12" s="50">
        <v>109793.5</v>
      </c>
      <c r="E12" s="50">
        <v>130561</v>
      </c>
      <c r="F12" s="50">
        <v>138926</v>
      </c>
      <c r="G12" s="17">
        <f t="shared" si="0"/>
        <v>442360.5</v>
      </c>
      <c r="H12" s="17">
        <f t="shared" si="1"/>
        <v>20189.994770348272</v>
      </c>
      <c r="I12" s="17">
        <f t="shared" si="2"/>
        <v>422170.50522965175</v>
      </c>
    </row>
    <row r="13" spans="1:9" ht="15.75" customHeight="1" x14ac:dyDescent="0.25">
      <c r="A13" s="5">
        <f t="shared" si="3"/>
        <v>2035</v>
      </c>
      <c r="B13" s="49">
        <v>17164</v>
      </c>
      <c r="C13" s="50">
        <v>61450.500000000007</v>
      </c>
      <c r="D13" s="50">
        <v>109988</v>
      </c>
      <c r="E13" s="50">
        <v>126754.5</v>
      </c>
      <c r="F13" s="50">
        <v>137360.5</v>
      </c>
      <c r="G13" s="17">
        <f t="shared" si="0"/>
        <v>435553.5</v>
      </c>
      <c r="H13" s="17">
        <f t="shared" si="1"/>
        <v>19960.893395441377</v>
      </c>
      <c r="I13" s="17">
        <f t="shared" si="2"/>
        <v>415592.60660455865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8MDIxCps7tru9Wkk4GQ3Hezq7SPugyg/yMBpoqvWBOi3+/bzapoYUfK1DEV62dfZMPeExrmNuQgtbpsvQa7Vw==" saltValue="DEP3rlN4LrdrdKGYVlgz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2.0916002091600189E-2</v>
      </c>
    </row>
    <row r="4" spans="1:8" ht="15.75" customHeight="1" x14ac:dyDescent="0.25">
      <c r="B4" s="19" t="s">
        <v>79</v>
      </c>
      <c r="C4" s="101">
        <v>6.5774706577470685E-2</v>
      </c>
    </row>
    <row r="5" spans="1:8" ht="15.75" customHeight="1" x14ac:dyDescent="0.25">
      <c r="B5" s="19" t="s">
        <v>80</v>
      </c>
      <c r="C5" s="101">
        <v>9.6632509663250973E-2</v>
      </c>
    </row>
    <row r="6" spans="1:8" ht="15.75" customHeight="1" x14ac:dyDescent="0.25">
      <c r="B6" s="19" t="s">
        <v>81</v>
      </c>
      <c r="C6" s="101">
        <v>0.25245662524566231</v>
      </c>
    </row>
    <row r="7" spans="1:8" ht="15.75" customHeight="1" x14ac:dyDescent="0.25">
      <c r="B7" s="19" t="s">
        <v>82</v>
      </c>
      <c r="C7" s="101">
        <v>0.39333373933337429</v>
      </c>
    </row>
    <row r="8" spans="1:8" ht="15.75" customHeight="1" x14ac:dyDescent="0.25">
      <c r="B8" s="19" t="s">
        <v>83</v>
      </c>
      <c r="C8" s="101">
        <v>3.4550003455000359E-3</v>
      </c>
    </row>
    <row r="9" spans="1:8" ht="15.75" customHeight="1" x14ac:dyDescent="0.25">
      <c r="B9" s="19" t="s">
        <v>84</v>
      </c>
      <c r="C9" s="101">
        <v>5.8309405830940547E-2</v>
      </c>
    </row>
    <row r="10" spans="1:8" ht="15.75" customHeight="1" x14ac:dyDescent="0.25">
      <c r="B10" s="19" t="s">
        <v>85</v>
      </c>
      <c r="C10" s="101">
        <v>0.1091220109122009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88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89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91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92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93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94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95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8.7635818000000004E-2</v>
      </c>
    </row>
    <row r="27" spans="1:8" ht="15.75" customHeight="1" x14ac:dyDescent="0.25">
      <c r="B27" s="19" t="s">
        <v>102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104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105</v>
      </c>
      <c r="C31" s="101">
        <v>0.109709026</v>
      </c>
    </row>
    <row r="32" spans="1:8" ht="15.75" customHeight="1" x14ac:dyDescent="0.25">
      <c r="B32" s="19" t="s">
        <v>106</v>
      </c>
      <c r="C32" s="101">
        <v>1.8596574000000001E-2</v>
      </c>
    </row>
    <row r="33" spans="2:3" ht="15.75" customHeight="1" x14ac:dyDescent="0.25">
      <c r="B33" s="19" t="s">
        <v>107</v>
      </c>
      <c r="C33" s="101">
        <v>8.3747772999999998E-2</v>
      </c>
    </row>
    <row r="34" spans="2:3" ht="15.75" customHeight="1" x14ac:dyDescent="0.25">
      <c r="B34" s="19" t="s">
        <v>108</v>
      </c>
      <c r="C34" s="101">
        <v>0.26363388300000001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TVd5IS+LDQtjTvSwlOuqFMcld6eGu6vBECQJsXB+5dev8YKcCGEDTEIalMznnW0ViLwu+ESwHt7LfIzt11w9iQ==" saltValue="2C0pOb51WVVH5lokxLJLb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115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119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120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glw2eOI0xNygYNCzeWzI+vwVPhYSHkAtTHAL6AOWEBFtJ5G8hSSd5QK+zj8iq8CR3D9QT9sQ2nkn/NiHFgn1g==" saltValue="wPlhozsrjHIIuK/lx59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132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RScFjyDbJ4SQiAHJ8VYTfdCOp4aDaxTs5hQhRCGgLwwnouAOVVYf5VBh3j6rqQvhtzP5Ezcqsia3WvgwsB/GWw==" saltValue="IrRH/9zhLRCEQx8zIF4k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X1iiv4XBpStdTpEtRhkLG86HYIGLeejUHk+cPvlAevXyvjRPBtio8te004zaY9I+mIISYUPcJjS6G6YQZw2nA==" saltValue="wuo4o/eDKu2m3EdlZaP4T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ZJojIeyS4IaIQ3iGINc6fbzY5KnVntX7vEFzMI3fUwerF6ne/8Y6ts9+WIzYIDZQB4dVLX1E1ugaNueelk9Hlw==" saltValue="ycSZJNcoxQDzMQDiF6OJ9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0fbjVdAPxtPskScUeagIzBKZB0vfsJlpf6/1D49ZrfxqWWSCY2/qxVn9o1DTl33A4AT6Hm4pb9eIslQ9RtRRqw==" saltValue="k6KE1WAzV687dWzMHu4k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gEqI1UV82yS1ysQbwJxRqlFHRp6BLYm34jWTbEszmgCplKMmEOykm0AYO3+dzVvyul2xX+Jz/yp7c6hiqIDIKg==" saltValue="MQIGxxMpj2sQuAeCDdPG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65.001928394120526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40.036410720983589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523.71476704611985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4.6963207074720366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0.42978100000000002</v>
      </c>
      <c r="C10" s="98">
        <v>0.95</v>
      </c>
      <c r="D10" s="56">
        <v>13.16871016477951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13.16871016477951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13.16871016477951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13.16871016477951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0.42978100000000002</v>
      </c>
      <c r="C14" s="98">
        <v>0.95</v>
      </c>
      <c r="D14" s="56">
        <v>13.16871016477951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13.16871016477951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0.69226200000000004</v>
      </c>
      <c r="C16" s="98">
        <v>0.95</v>
      </c>
      <c r="D16" s="56">
        <v>0.875475964674854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0.157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0.51254100000000002</v>
      </c>
      <c r="C18" s="98">
        <v>0.95</v>
      </c>
      <c r="D18" s="56">
        <v>12.04060110790949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0.51254100000000002</v>
      </c>
      <c r="C19" s="98">
        <v>0.95</v>
      </c>
      <c r="D19" s="56">
        <v>12.04060110790949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46.895735102694239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22.807060701214638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0.53483530000000001</v>
      </c>
      <c r="C23" s="98">
        <v>0.95</v>
      </c>
      <c r="D23" s="56">
        <v>4.3771693628409292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0.57084762680907997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0.42978100000000002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18.74869883648774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0.54128999999999994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8.6074300000000006E-2</v>
      </c>
      <c r="C29" s="98">
        <v>0.95</v>
      </c>
      <c r="D29" s="56">
        <v>129.56175311793481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0.15140000000000001</v>
      </c>
      <c r="C31" s="98">
        <v>0.95</v>
      </c>
      <c r="D31" s="56">
        <v>0.25819462925778958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</v>
      </c>
      <c r="C32" s="98">
        <v>0.95</v>
      </c>
      <c r="D32" s="56">
        <v>1.895878864529575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3.4401899999999999E-2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0.1875019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1.9946800000000001E-2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5.4970400000000003E-2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0.2335767</v>
      </c>
      <c r="C38" s="98">
        <v>0.95</v>
      </c>
      <c r="D38" s="56">
        <v>3.2066123925700332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uEk9i24MAJVq4CQwuPUpAZZeQml2/glAbJAe1sFtKQsiFKn0RGz/s6oJ2qblrBdBSJfup2QsnQ6M5c34LAqO5A==" saltValue="3zbXBKFGrFudSsLteBG0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zYuAIEktIffl2oDTUVXyjFj6m6k32N05bQRxr0N3W+bYcM+erE587MSBtdnn5x3u4MlVx66mMo83y5+6GzaCDg==" saltValue="OvnCU39FD2fiscZWr8A6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5joKDul0n5VxNTyUpbSoMq41+AMtWaCumfgiIdfCOQs9sPz6SFWZxmrfmjSNCF8yVtAAlB9eUyrly+A0BInL/g==" saltValue="EvG7pFbWfIeD2oiuN+sy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ILWhn4txb2cTc81otmLYFi9inkKsFans2tP+KMC6FR1SxGtHJnsUGb6AsY0UoozheWp4JSG8Xwatu/KF171viw==" saltValue="Qmx+OtaRGIVkBD5ywSSDc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+yN5q+rd/i5WhskAQLkCs4v6r0Y6Dnb29bteD7IPDkO0ZxJLrBQR7putGODotLqhBL0wvBfUpjifV5rAzhpKg==" saltValue="xlqNUmWr1HSRmDAPLr237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vF71e9rI8U1HcoOk7/gXBDRSQs0BbGD/s42A7JeFuHz5WsXHwUNfTWNWCmSzGCYgCr0drr75HM6IfGa5URClYA==" saltValue="VIxv1GZ3TaIBxLEInZCrO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HU/5z9R+cJZGvCXCEAUUnXUZqHzI2fZNSSDvxhdqi4mbOBcELpRluoH1MsHCsWpwKbJsmaC5guf/3PxAGVTzg==" saltValue="wGRXddcV+kTKTh/q5Viu0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4PUnzhzdVKstK0lfuw5kCIHuPtCWwF91O9hs+O5hD2CBMX3rPy/d20EC+g55d91HPTlnLA3hM8dFwWy5itjoDQ==" saltValue="PIdg7bZMa4q5cp7Q0aIV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4hzxDqPSmNdrSVNfuPRS3CWYCsiT14aZVbE/mhH3Fnk6ln4j0OOZEbIi/KugKeHAmUl04Q68o1wg926OINbpA==" saltValue="zs8quoPOUQSyF0ehpzrn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sJY7TfJTiMVk0myfa/WtPbti8UZZK2+543Z2IQIheR7phIUDS34HXqT0ni+VfJngctacX3jIBYv6sd/Rwepog==" saltValue="UGBna1HK72AhZEcz4Yq2t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KMWrt5jYPlGuqCzzjrcZfNzZsG4HFVd6eZ0SnrMNmlCZOQnmRBrM6+rainLVKc9Je81IfrCNuK7WaJbQTbtRA==" saltValue="Ws6Xjuuhr3SU24UIhFH6i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TzEeu+U2XLT3wv6zVPBCWal10L8bJMfDhxbFxF7mQL3WDvazF3P4Ov2ko96p0E3GhEGmB92ytMk/+rSMKzzOw==" saltValue="Is3pSfpPxS30OkWDGmmV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Rd/gGg2HK0hAHRHi/FiZQaCkReLfO9NaWR490/mNU+1SHL2LqPvqXzahI2bn3kHD8zA2Z7XDk4EzoGzOAz10g==" saltValue="wkgdMXbWvctO0DHvaevf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3vcFUnaBT2muTKQM6gMJBid+iJoxx6ayhlgImQ6flWQ3ZcLzMRlaFPYp3zNvjxV4QZXls5aN5H0yBrjfESDV0A==" saltValue="gWGELPLTXVvnO5S3V8Tu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O9c9HW4O9Ig2fD7uGDuipbJuc+hoqDfUnaeF8DGoJtdTPpbZA0sGqb451i2GvwbcawLBgVz5YqoJDquVnLEnA==" saltValue="1dpo60jENJUwvnNfHesJ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YBhwy8DuSHxPUGKx6rJJQcCD2BDo28uXvsjD9fxOl4/YMIQ0MrqA6UWjl3bbTbpIprh5Xgiv5u6u9UKldfwYA==" saltValue="Yh1XG365r+cmgyFHBIjs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u8VyiAP50z5DUrNx79nxalWQ995nKrpLkmvf8yfXVfYD5dAc9l0DV9re9nCEbdTyuPBr/kr3RSJF3wc83sELw==" saltValue="aKsxWdt33DBHsV49c2dG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0.10878363582238137</v>
      </c>
      <c r="G18" s="90">
        <f>MIN(MAX(1-0.89/(1-frac_sam_12_23months+(frac_sam_12_23months*0.89)),0),1)</f>
        <v>0.10900210374013841</v>
      </c>
      <c r="H18" s="90">
        <f>MIN(MAX(1-0.89/(1-frac_sam_24_59months+(frac_sam_24_59months*0.89)),0),1)</f>
        <v>0.10982432293995648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0.10457663107893689</v>
      </c>
      <c r="G20" s="90">
        <f>MIN(MAX(1-0.89/(1-frac_mam_12_23months+(frac_mam_12_23months*0.89)),0),1)</f>
        <v>0.10510405021068525</v>
      </c>
      <c r="H20" s="90">
        <f>MIN(MAX(1-0.89/(1-frac_mam_24_59months+(frac_mam_24_59months*0.89)),0),1)</f>
        <v>0.10831478538751438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9.8771495172035317E-3</v>
      </c>
      <c r="G73" s="90">
        <f>MIN(MAX(1-0.99/(1-frac_sam_12_23months+(frac_sam_12_23months*0.99)),0),1)</f>
        <v>9.8991918961220948E-3</v>
      </c>
      <c r="H73" s="90">
        <f>MIN(MAX(1-0.99/(1-frac_sam_24_59months+(frac_sam_24_59months*0.99)),0),1)</f>
        <v>9.982238091333584E-3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9.4545908395351486E-3</v>
      </c>
      <c r="G75" s="90">
        <f>MIN(MAX(1-0.99/(1-frac_mam_12_23months+(frac_mam_12_23months*0.99)),0),1)</f>
        <v>9.5073675938538438E-3</v>
      </c>
      <c r="H75" s="90">
        <f>MIN(MAX(1-0.99/(1-frac_mam_24_59months+(frac_mam_24_59months*0.99)),0),1)</f>
        <v>9.8298778811486409E-3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0.19800984539153599</v>
      </c>
      <c r="G128" s="90">
        <f>MIN(MAX(1-0.8/(1-frac_sam_12_23months+(frac_sam_12_23months*0.8)),0),1)</f>
        <v>0.19836761995186036</v>
      </c>
      <c r="H128" s="90">
        <f>MIN(MAX(1-0.8/(1-frac_sam_24_59months+(frac_sam_24_59months*0.8)),0),1)</f>
        <v>0.19971284096159381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0.19109206312677096</v>
      </c>
      <c r="G130" s="90">
        <f>MIN(MAX(1-0.8/(1-frac_mam_12_23months+(frac_mam_12_23months*0.8)),0),1)</f>
        <v>0.19196227094074725</v>
      </c>
      <c r="H130" s="90">
        <f>MIN(MAX(1-0.8/(1-frac_mam_24_59months+(frac_mam_24_59months*0.8)),0),1)</f>
        <v>0.19724154534293825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LTAiEL1yn8RuWo+8sorgfxnHWDeoAfHrfPmVkcs/G/Yf3r0PGe6kYe3bV35214ig5DP05QRfFLMfsXYZ1ZNJA==" saltValue="sVLr4vY5B6F79uDHE2tG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W8lBPTtq13I6BrEJGsgfhGQGQT8JHCJAFxYRb5a/s0wYGbW+iB/qmO7y8wyUC6504zsYJJdWVY//54THJGrSA==" saltValue="NVf5mtqtHHZpx2mjxKwso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2024-08-06T09:25:25Z</dcterms:modified>
</cp:coreProperties>
</file>