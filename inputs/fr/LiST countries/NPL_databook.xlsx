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4FBC5138-8CCC-48C2-BD9A-2E8CB08E67B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9" i="2" l="1"/>
  <c r="I13" i="2"/>
  <c r="I4" i="2"/>
  <c r="I8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<sst xmlns="http://schemas.openxmlformats.org/spreadsheetml/2006/main" count="2159" uniqueCount="368">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</sst>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2717880.5</v>
      </c>
    </row>
    <row r="8" spans="1:3" ht="15" customHeight="1" x14ac:dyDescent="0.25">
      <c r="B8" s="5" t="s">
        <v>37</v>
      </c>
      <c r="C8" s="44">
        <v>0.15</v>
      </c>
    </row>
    <row r="9" spans="1:3" ht="15" customHeight="1" x14ac:dyDescent="0.25">
      <c r="B9" s="5" t="s">
        <v>38</v>
      </c>
      <c r="C9" s="45">
        <v>2.5600000000000001E-2</v>
      </c>
    </row>
    <row r="10" spans="1:3" ht="15" customHeight="1" x14ac:dyDescent="0.25">
      <c r="B10" s="5" t="s">
        <v>39</v>
      </c>
      <c r="C10" s="45">
        <v>0.62818479999999999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0.24715611858834899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0.1673</v>
      </c>
    </row>
    <row r="24" spans="1:3" ht="15" customHeight="1" x14ac:dyDescent="0.25">
      <c r="B24" s="15" t="s">
        <v>51</v>
      </c>
      <c r="C24" s="45">
        <v>0.62609999999999999</v>
      </c>
    </row>
    <row r="25" spans="1:3" ht="15" customHeight="1" x14ac:dyDescent="0.25">
      <c r="B25" s="15" t="s">
        <v>52</v>
      </c>
      <c r="C25" s="45">
        <v>0.1709</v>
      </c>
    </row>
    <row r="26" spans="1:3" ht="15" customHeight="1" x14ac:dyDescent="0.25">
      <c r="B26" s="15" t="s">
        <v>53</v>
      </c>
      <c r="C26" s="45">
        <v>3.5700000000000003E-2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0.41227810089419697</v>
      </c>
    </row>
    <row r="30" spans="1:3" ht="14.25" customHeight="1" x14ac:dyDescent="0.25">
      <c r="B30" s="25" t="s">
        <v>56</v>
      </c>
      <c r="C30" s="99">
        <v>4.1696555750580601E-2</v>
      </c>
    </row>
    <row r="31" spans="1:3" ht="14.25" customHeight="1" x14ac:dyDescent="0.25">
      <c r="B31" s="25" t="s">
        <v>57</v>
      </c>
      <c r="C31" s="99">
        <v>7.5022305717839008E-2</v>
      </c>
    </row>
    <row r="32" spans="1:3" ht="14.25" customHeight="1" x14ac:dyDescent="0.25">
      <c r="B32" s="25" t="s">
        <v>58</v>
      </c>
      <c r="C32" s="99">
        <v>0.47100303763738299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16.166080000000001</v>
      </c>
    </row>
    <row r="38" spans="1:5" ht="15" customHeight="1" x14ac:dyDescent="0.25">
      <c r="B38" s="11" t="s">
        <v>63</v>
      </c>
      <c r="C38" s="43">
        <v>22.820869999999999</v>
      </c>
      <c r="D38" s="12"/>
      <c r="E38" s="13"/>
    </row>
    <row r="39" spans="1:5" ht="15" customHeight="1" x14ac:dyDescent="0.25">
      <c r="B39" s="11" t="s">
        <v>64</v>
      </c>
      <c r="C39" s="43">
        <v>27.16347</v>
      </c>
      <c r="D39" s="12"/>
      <c r="E39" s="12"/>
    </row>
    <row r="40" spans="1:5" ht="15" customHeight="1" x14ac:dyDescent="0.25">
      <c r="B40" s="11" t="s">
        <v>65</v>
      </c>
      <c r="C40" s="100">
        <v>1.74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15.72035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1.6335800000000001E-2</v>
      </c>
      <c r="D45" s="12"/>
    </row>
    <row r="46" spans="1:5" ht="15.75" customHeight="1" x14ac:dyDescent="0.25">
      <c r="B46" s="11" t="s">
        <v>70</v>
      </c>
      <c r="C46" s="45">
        <v>9.5621299999999992E-2</v>
      </c>
      <c r="D46" s="12"/>
    </row>
    <row r="47" spans="1:5" ht="15.75" customHeight="1" x14ac:dyDescent="0.25">
      <c r="B47" s="11" t="s">
        <v>71</v>
      </c>
      <c r="C47" s="45">
        <v>0.41425559999999989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3.302</v>
      </c>
      <c r="D51" s="12"/>
    </row>
    <row r="52" spans="1:4" ht="15" customHeight="1" x14ac:dyDescent="0.25">
      <c r="B52" s="11" t="s">
        <v>75</v>
      </c>
      <c r="C52" s="100">
        <v>3.302</v>
      </c>
    </row>
    <row r="53" spans="1:4" ht="15.75" customHeight="1" x14ac:dyDescent="0.25">
      <c r="B53" s="11" t="s">
        <v>76</v>
      </c>
      <c r="C53" s="100">
        <v>4.55</v>
      </c>
    </row>
    <row r="54" spans="1:4" ht="15.75" customHeight="1" x14ac:dyDescent="0.25">
      <c r="B54" s="11" t="s">
        <v>77</v>
      </c>
      <c r="C54" s="100">
        <v>3.4319999999999999</v>
      </c>
    </row>
    <row r="55" spans="1:4" ht="15.75" customHeight="1" x14ac:dyDescent="0.25">
      <c r="B55" s="11" t="s">
        <v>78</v>
      </c>
      <c r="C55" s="100">
        <v>2.123333333333334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0.50705099999999992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0.19731512449999999</v>
      </c>
    </row>
    <row r="63" spans="1:4" ht="15.75" customHeight="1" x14ac:dyDescent="0.3">
      <c r="A63" s="4"/>
    </row>
  </sheetData>
  <sheetProtection algorithmName="SHA-512" hashValue="gUMYbYVephPew5ma6Iu98dR0oj8Tc7IyplzOlOymR7pSup544NBSm7HYLygRf1Ujibmf7KD7M3TzSesCgIwvgg==" saltValue="zolGrHf59IWcUuBAzvwp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562232</v>
      </c>
      <c r="C2" s="49">
        <v>1463584.5</v>
      </c>
      <c r="D2" s="49">
        <v>2929652</v>
      </c>
      <c r="E2" s="49">
        <v>2379703.5</v>
      </c>
      <c r="F2" s="49">
        <v>1790674.5</v>
      </c>
      <c r="G2" s="17">
        <f t="shared" ref="G2:G13" si="0">C2+D2+E2+F2</f>
        <v>8563614.5</v>
      </c>
      <c r="H2" s="17">
        <f t="shared" ref="H2:H13" si="1">(B2 + stillbirth*B2/(1000-stillbirth))/(1-abortion)</f>
        <v>649104.14433540311</v>
      </c>
      <c r="I2" s="17">
        <f t="shared" ref="I2:I13" si="2">G2-H2</f>
        <v>7914510.3556645969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551647</v>
      </c>
      <c r="C3" s="50">
        <v>1436917</v>
      </c>
      <c r="D3" s="50">
        <v>2904319</v>
      </c>
      <c r="E3" s="50">
        <v>2411922.4999999995</v>
      </c>
      <c r="F3" s="50">
        <v>1833491.5</v>
      </c>
      <c r="G3" s="17">
        <f t="shared" si="0"/>
        <v>8586650</v>
      </c>
      <c r="H3" s="17">
        <f t="shared" si="1"/>
        <v>636883.62439383043</v>
      </c>
      <c r="I3" s="17">
        <f t="shared" si="2"/>
        <v>7949766.3756061699</v>
      </c>
    </row>
    <row r="4" spans="1:9" ht="15.75" customHeight="1" x14ac:dyDescent="0.25">
      <c r="A4" s="5">
        <f t="shared" si="3"/>
        <v>2026</v>
      </c>
      <c r="B4" s="49">
        <v>542047</v>
      </c>
      <c r="C4" s="50">
        <v>1412655.5</v>
      </c>
      <c r="D4" s="50">
        <v>2877354.5</v>
      </c>
      <c r="E4" s="50">
        <v>2448086.5</v>
      </c>
      <c r="F4" s="50">
        <v>1877447.5</v>
      </c>
      <c r="G4" s="17">
        <f t="shared" si="0"/>
        <v>8615544</v>
      </c>
      <c r="H4" s="17">
        <f t="shared" si="1"/>
        <v>625800.29974204989</v>
      </c>
      <c r="I4" s="17">
        <f t="shared" si="2"/>
        <v>7989743.7002579505</v>
      </c>
    </row>
    <row r="5" spans="1:9" ht="15.75" customHeight="1" x14ac:dyDescent="0.25">
      <c r="A5" s="5">
        <f t="shared" si="3"/>
        <v>2027</v>
      </c>
      <c r="B5" s="49">
        <v>533762</v>
      </c>
      <c r="C5" s="50">
        <v>1392307</v>
      </c>
      <c r="D5" s="50">
        <v>2857756.0000000005</v>
      </c>
      <c r="E5" s="50">
        <v>2488309.5000000005</v>
      </c>
      <c r="F5" s="50">
        <v>1922755.4999999998</v>
      </c>
      <c r="G5" s="17">
        <f t="shared" si="0"/>
        <v>8661128</v>
      </c>
      <c r="H5" s="17">
        <f t="shared" si="1"/>
        <v>616235.15966496652</v>
      </c>
      <c r="I5" s="17">
        <f t="shared" si="2"/>
        <v>8044892.8403350338</v>
      </c>
    </row>
    <row r="6" spans="1:9" ht="15.75" customHeight="1" x14ac:dyDescent="0.25">
      <c r="A6" s="5">
        <f t="shared" si="3"/>
        <v>2028</v>
      </c>
      <c r="B6" s="49">
        <v>527550</v>
      </c>
      <c r="C6" s="50">
        <v>1377727.5</v>
      </c>
      <c r="D6" s="50">
        <v>2849162.5</v>
      </c>
      <c r="E6" s="50">
        <v>2534803.5</v>
      </c>
      <c r="F6" s="50">
        <v>1970888.0000000002</v>
      </c>
      <c r="G6" s="17">
        <f t="shared" si="0"/>
        <v>8732581.5</v>
      </c>
      <c r="H6" s="17">
        <f t="shared" si="1"/>
        <v>609063.32500487682</v>
      </c>
      <c r="I6" s="17">
        <f t="shared" si="2"/>
        <v>8123518.1749951234</v>
      </c>
    </row>
    <row r="7" spans="1:9" ht="15.75" customHeight="1" x14ac:dyDescent="0.25">
      <c r="A7" s="5">
        <f t="shared" si="3"/>
        <v>2029</v>
      </c>
      <c r="B7" s="49">
        <v>523168</v>
      </c>
      <c r="C7" s="50">
        <v>1367541</v>
      </c>
      <c r="D7" s="50">
        <v>2841938</v>
      </c>
      <c r="E7" s="50">
        <v>2583932</v>
      </c>
      <c r="F7" s="50">
        <v>2020828.5</v>
      </c>
      <c r="G7" s="17">
        <f t="shared" si="0"/>
        <v>8814239.5</v>
      </c>
      <c r="H7" s="17">
        <f t="shared" si="1"/>
        <v>604004.24910653278</v>
      </c>
      <c r="I7" s="17">
        <f t="shared" si="2"/>
        <v>8210235.2508934671</v>
      </c>
    </row>
    <row r="8" spans="1:9" ht="15.75" customHeight="1" x14ac:dyDescent="0.25">
      <c r="A8" s="5">
        <f t="shared" si="3"/>
        <v>2030</v>
      </c>
      <c r="B8" s="49">
        <v>517956</v>
      </c>
      <c r="C8" s="50">
        <v>1358918</v>
      </c>
      <c r="D8" s="50">
        <v>2828960.5</v>
      </c>
      <c r="E8" s="50">
        <v>2630414.5</v>
      </c>
      <c r="F8" s="50">
        <v>2070914.4999999998</v>
      </c>
      <c r="G8" s="17">
        <f t="shared" si="0"/>
        <v>8889207.5</v>
      </c>
      <c r="H8" s="17">
        <f t="shared" si="1"/>
        <v>597986.92743100366</v>
      </c>
      <c r="I8" s="17">
        <f t="shared" si="2"/>
        <v>8291220.5725689959</v>
      </c>
    </row>
    <row r="9" spans="1:9" ht="15.75" customHeight="1" x14ac:dyDescent="0.25">
      <c r="A9" s="5">
        <f t="shared" si="3"/>
        <v>2031</v>
      </c>
      <c r="B9" s="49">
        <v>512429</v>
      </c>
      <c r="C9" s="50">
        <v>1350943.5</v>
      </c>
      <c r="D9" s="50">
        <v>2811587.0000000005</v>
      </c>
      <c r="E9" s="50">
        <v>2673129.5</v>
      </c>
      <c r="F9" s="50">
        <v>2119794</v>
      </c>
      <c r="G9" s="17">
        <f t="shared" si="0"/>
        <v>8955454</v>
      </c>
      <c r="H9" s="17">
        <f t="shared" si="1"/>
        <v>591605.93416533794</v>
      </c>
      <c r="I9" s="17">
        <f t="shared" si="2"/>
        <v>8363848.0658346619</v>
      </c>
    </row>
    <row r="10" spans="1:9" ht="15.75" customHeight="1" x14ac:dyDescent="0.25">
      <c r="A10" s="5">
        <f t="shared" si="3"/>
        <v>2032</v>
      </c>
      <c r="B10" s="49">
        <v>507575</v>
      </c>
      <c r="C10" s="50">
        <v>1341644.5</v>
      </c>
      <c r="D10" s="50">
        <v>2792366</v>
      </c>
      <c r="E10" s="50">
        <v>2711082.9999999995</v>
      </c>
      <c r="F10" s="50">
        <v>2166866</v>
      </c>
      <c r="G10" s="17">
        <f t="shared" si="0"/>
        <v>9011959.5</v>
      </c>
      <c r="H10" s="17">
        <f t="shared" si="1"/>
        <v>586001.92813828134</v>
      </c>
      <c r="I10" s="17">
        <f t="shared" si="2"/>
        <v>8425957.5718617178</v>
      </c>
    </row>
    <row r="11" spans="1:9" ht="15.75" customHeight="1" x14ac:dyDescent="0.25">
      <c r="A11" s="5">
        <f t="shared" si="3"/>
        <v>2033</v>
      </c>
      <c r="B11" s="49">
        <v>502269</v>
      </c>
      <c r="C11" s="50">
        <v>1329789.5</v>
      </c>
      <c r="D11" s="50">
        <v>2772229.5000000005</v>
      </c>
      <c r="E11" s="50">
        <v>2742805.0000000005</v>
      </c>
      <c r="F11" s="50">
        <v>2214974</v>
      </c>
      <c r="G11" s="17">
        <f t="shared" si="0"/>
        <v>9059798</v>
      </c>
      <c r="H11" s="17">
        <f t="shared" si="1"/>
        <v>579876.08224220353</v>
      </c>
      <c r="I11" s="17">
        <f t="shared" si="2"/>
        <v>8479921.9177577961</v>
      </c>
    </row>
    <row r="12" spans="1:9" ht="15.75" customHeight="1" x14ac:dyDescent="0.25">
      <c r="A12" s="5">
        <f t="shared" si="3"/>
        <v>2034</v>
      </c>
      <c r="B12" s="49">
        <v>497079</v>
      </c>
      <c r="C12" s="50">
        <v>1317464</v>
      </c>
      <c r="D12" s="50">
        <v>2750749</v>
      </c>
      <c r="E12" s="50">
        <v>2767072.5</v>
      </c>
      <c r="F12" s="50">
        <v>2265380</v>
      </c>
      <c r="G12" s="17">
        <f t="shared" si="0"/>
        <v>9100665.5</v>
      </c>
      <c r="H12" s="17">
        <f t="shared" si="1"/>
        <v>573884.15985233465</v>
      </c>
      <c r="I12" s="17">
        <f t="shared" si="2"/>
        <v>8526781.3401476648</v>
      </c>
    </row>
    <row r="13" spans="1:9" ht="15.75" customHeight="1" x14ac:dyDescent="0.25">
      <c r="A13" s="5">
        <f t="shared" si="3"/>
        <v>2035</v>
      </c>
      <c r="B13" s="49">
        <v>491103</v>
      </c>
      <c r="C13" s="50">
        <v>1308048.5</v>
      </c>
      <c r="D13" s="50">
        <v>2728879</v>
      </c>
      <c r="E13" s="50">
        <v>2783236.5</v>
      </c>
      <c r="F13" s="50">
        <v>2318475.9999999995</v>
      </c>
      <c r="G13" s="17">
        <f t="shared" si="0"/>
        <v>9138640</v>
      </c>
      <c r="H13" s="17">
        <f t="shared" si="1"/>
        <v>566984.79025660129</v>
      </c>
      <c r="I13" s="17">
        <f t="shared" si="2"/>
        <v>8571655.2097433992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Iis53FBAGyBqXSTiO5RzkdGKUhweBFpiHVwSExGHqg/fY+fVe8an0/GJvlrK/2V8DnqliVPqxZhDh0BlCMS1w==" saltValue="oVlQMPbI2rmf7cPGGTRCO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1.473504922066653E-2</v>
      </c>
    </row>
    <row r="4" spans="1:8" ht="15.75" customHeight="1" x14ac:dyDescent="0.25">
      <c r="B4" s="19" t="s">
        <v>97</v>
      </c>
      <c r="C4" s="101">
        <v>6.8189616093901534E-2</v>
      </c>
    </row>
    <row r="5" spans="1:8" ht="15.75" customHeight="1" x14ac:dyDescent="0.25">
      <c r="B5" s="19" t="s">
        <v>98</v>
      </c>
      <c r="C5" s="101">
        <v>0.1000974723100938</v>
      </c>
    </row>
    <row r="6" spans="1:8" ht="15.75" customHeight="1" x14ac:dyDescent="0.25">
      <c r="B6" s="19" t="s">
        <v>99</v>
      </c>
      <c r="C6" s="101">
        <v>0.26534518868097168</v>
      </c>
    </row>
    <row r="7" spans="1:8" ht="15.75" customHeight="1" x14ac:dyDescent="0.25">
      <c r="B7" s="19" t="s">
        <v>100</v>
      </c>
      <c r="C7" s="101">
        <v>0.29945329704313961</v>
      </c>
    </row>
    <row r="8" spans="1:8" ht="15.75" customHeight="1" x14ac:dyDescent="0.25">
      <c r="B8" s="19" t="s">
        <v>101</v>
      </c>
      <c r="C8" s="101">
        <v>1.967746635595265E-3</v>
      </c>
    </row>
    <row r="9" spans="1:8" ht="15.75" customHeight="1" x14ac:dyDescent="0.25">
      <c r="B9" s="19" t="s">
        <v>102</v>
      </c>
      <c r="C9" s="101">
        <v>0.1252214677487857</v>
      </c>
    </row>
    <row r="10" spans="1:8" ht="15.75" customHeight="1" x14ac:dyDescent="0.25">
      <c r="B10" s="19" t="s">
        <v>103</v>
      </c>
      <c r="C10" s="101">
        <v>0.12499016226684589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0.20180536611920741</v>
      </c>
      <c r="D14" s="55">
        <v>0.20180536611920741</v>
      </c>
      <c r="E14" s="55">
        <v>0.20180536611920741</v>
      </c>
      <c r="F14" s="55">
        <v>0.20180536611920741</v>
      </c>
    </row>
    <row r="15" spans="1:8" ht="15.75" customHeight="1" x14ac:dyDescent="0.25">
      <c r="B15" s="19" t="s">
        <v>106</v>
      </c>
      <c r="C15" s="101">
        <v>0.32507562913398969</v>
      </c>
      <c r="D15" s="101">
        <v>0.32507562913398969</v>
      </c>
      <c r="E15" s="101">
        <v>0.32507562913398969</v>
      </c>
      <c r="F15" s="101">
        <v>0.32507562913398969</v>
      </c>
    </row>
    <row r="16" spans="1:8" ht="15.75" customHeight="1" x14ac:dyDescent="0.25">
      <c r="B16" s="19" t="s">
        <v>107</v>
      </c>
      <c r="C16" s="101">
        <v>1.52583579249242E-2</v>
      </c>
      <c r="D16" s="101">
        <v>1.52583579249242E-2</v>
      </c>
      <c r="E16" s="101">
        <v>1.52583579249242E-2</v>
      </c>
      <c r="F16" s="101">
        <v>1.52583579249242E-2</v>
      </c>
    </row>
    <row r="17" spans="1:8" ht="15.75" customHeight="1" x14ac:dyDescent="0.25">
      <c r="B17" s="19" t="s">
        <v>108</v>
      </c>
      <c r="C17" s="101">
        <v>9.342367820145225E-3</v>
      </c>
      <c r="D17" s="101">
        <v>9.342367820145225E-3</v>
      </c>
      <c r="E17" s="101">
        <v>9.342367820145225E-3</v>
      </c>
      <c r="F17" s="101">
        <v>9.342367820145225E-3</v>
      </c>
    </row>
    <row r="18" spans="1:8" ht="15.75" customHeight="1" x14ac:dyDescent="0.25">
      <c r="B18" s="19" t="s">
        <v>109</v>
      </c>
      <c r="C18" s="101">
        <v>1.828073548493462E-4</v>
      </c>
      <c r="D18" s="101">
        <v>1.828073548493462E-4</v>
      </c>
      <c r="E18" s="101">
        <v>1.828073548493462E-4</v>
      </c>
      <c r="F18" s="101">
        <v>1.828073548493462E-4</v>
      </c>
    </row>
    <row r="19" spans="1:8" ht="15.75" customHeight="1" x14ac:dyDescent="0.25">
      <c r="B19" s="19" t="s">
        <v>110</v>
      </c>
      <c r="C19" s="101">
        <v>0.12748543941078561</v>
      </c>
      <c r="D19" s="101">
        <v>0.12748543941078561</v>
      </c>
      <c r="E19" s="101">
        <v>0.12748543941078561</v>
      </c>
      <c r="F19" s="101">
        <v>0.12748543941078561</v>
      </c>
    </row>
    <row r="20" spans="1:8" ht="15.75" customHeight="1" x14ac:dyDescent="0.25">
      <c r="B20" s="19" t="s">
        <v>111</v>
      </c>
      <c r="C20" s="101">
        <v>4.5226299892980569E-3</v>
      </c>
      <c r="D20" s="101">
        <v>4.5226299892980569E-3</v>
      </c>
      <c r="E20" s="101">
        <v>4.5226299892980569E-3</v>
      </c>
      <c r="F20" s="101">
        <v>4.5226299892980569E-3</v>
      </c>
    </row>
    <row r="21" spans="1:8" ht="15.75" customHeight="1" x14ac:dyDescent="0.25">
      <c r="B21" s="19" t="s">
        <v>112</v>
      </c>
      <c r="C21" s="101">
        <v>0.15939031250457769</v>
      </c>
      <c r="D21" s="101">
        <v>0.15939031250457769</v>
      </c>
      <c r="E21" s="101">
        <v>0.15939031250457769</v>
      </c>
      <c r="F21" s="101">
        <v>0.15939031250457769</v>
      </c>
    </row>
    <row r="22" spans="1:8" ht="15.75" customHeight="1" x14ac:dyDescent="0.25">
      <c r="B22" s="19" t="s">
        <v>113</v>
      </c>
      <c r="C22" s="101">
        <v>0.1569370897422229</v>
      </c>
      <c r="D22" s="101">
        <v>0.1569370897422229</v>
      </c>
      <c r="E22" s="101">
        <v>0.1569370897422229</v>
      </c>
      <c r="F22" s="101">
        <v>0.1569370897422229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4.7503243000000001E-2</v>
      </c>
    </row>
    <row r="27" spans="1:8" ht="15.75" customHeight="1" x14ac:dyDescent="0.25">
      <c r="B27" s="19" t="s">
        <v>120</v>
      </c>
      <c r="C27" s="101">
        <v>1.0367542E-2</v>
      </c>
    </row>
    <row r="28" spans="1:8" ht="15.75" customHeight="1" x14ac:dyDescent="0.25">
      <c r="B28" s="19" t="s">
        <v>121</v>
      </c>
      <c r="C28" s="101">
        <v>0.17293429099999999</v>
      </c>
    </row>
    <row r="29" spans="1:8" ht="15.75" customHeight="1" x14ac:dyDescent="0.25">
      <c r="B29" s="19" t="s">
        <v>122</v>
      </c>
      <c r="C29" s="101">
        <v>0.15789878800000001</v>
      </c>
    </row>
    <row r="30" spans="1:8" ht="15.75" customHeight="1" x14ac:dyDescent="0.25">
      <c r="B30" s="19" t="s">
        <v>2</v>
      </c>
      <c r="C30" s="101">
        <v>5.576656E-2</v>
      </c>
    </row>
    <row r="31" spans="1:8" ht="15.75" customHeight="1" x14ac:dyDescent="0.25">
      <c r="B31" s="19" t="s">
        <v>123</v>
      </c>
      <c r="C31" s="101">
        <v>6.3201558000000005E-2</v>
      </c>
    </row>
    <row r="32" spans="1:8" ht="15.75" customHeight="1" x14ac:dyDescent="0.25">
      <c r="B32" s="19" t="s">
        <v>124</v>
      </c>
      <c r="C32" s="101">
        <v>1.0057959E-2</v>
      </c>
    </row>
    <row r="33" spans="2:3" ht="15.75" customHeight="1" x14ac:dyDescent="0.25">
      <c r="B33" s="19" t="s">
        <v>125</v>
      </c>
      <c r="C33" s="101">
        <v>0.165459261</v>
      </c>
    </row>
    <row r="34" spans="2:3" ht="15.75" customHeight="1" x14ac:dyDescent="0.25">
      <c r="B34" s="19" t="s">
        <v>126</v>
      </c>
      <c r="C34" s="101">
        <v>0.316810798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bgkYOj3ov/wlnqXrQlMhYzikYoHzFvO4Fwg0V+9oQwLGa9CbztkkgMtKulV+wsKXR6HPubxV7ZGH683ryYxNFw==" saltValue="LpPSLiaqFl1CMZ1PtEA5U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0.45756976014314255</v>
      </c>
      <c r="D2" s="52">
        <f>IFERROR(1-_xlfn.NORM.DIST(_xlfn.NORM.INV(SUM(D4:D5), 0, 1) + 1, 0, 1, TRUE), "")</f>
        <v>0.45756976014314255</v>
      </c>
      <c r="E2" s="52">
        <f>IFERROR(1-_xlfn.NORM.DIST(_xlfn.NORM.INV(SUM(E4:E5), 0, 1) + 1, 0, 1, TRUE), "")</f>
        <v>0.60794556372930852</v>
      </c>
      <c r="F2" s="52">
        <f>IFERROR(1-_xlfn.NORM.DIST(_xlfn.NORM.INV(SUM(F4:F5), 0, 1) + 1, 0, 1, TRUE), "")</f>
        <v>0.32472323552934501</v>
      </c>
      <c r="G2" s="52">
        <f>IFERROR(1-_xlfn.NORM.DIST(_xlfn.NORM.INV(SUM(G4:G5), 0, 1) + 1, 0, 1, TRUE), "")</f>
        <v>0.35126204341792744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0.35661993985685747</v>
      </c>
      <c r="D3" s="52">
        <f>IFERROR(_xlfn.NORM.DIST(_xlfn.NORM.INV(SUM(D4:D5), 0, 1) + 1, 0, 1, TRUE) - SUM(D4:D5), "")</f>
        <v>0.35661993985685747</v>
      </c>
      <c r="E3" s="52">
        <f>IFERROR(_xlfn.NORM.DIST(_xlfn.NORM.INV(SUM(E4:E5), 0, 1) + 1, 0, 1, TRUE) - SUM(E4:E5), "")</f>
        <v>0.29071713627069151</v>
      </c>
      <c r="F3" s="52">
        <f>IFERROR(_xlfn.NORM.DIST(_xlfn.NORM.INV(SUM(F4:F5), 0, 1) + 1, 0, 1, TRUE) - SUM(F4:F5), "")</f>
        <v>0.38256116447065502</v>
      </c>
      <c r="G3" s="52">
        <f>IFERROR(_xlfn.NORM.DIST(_xlfn.NORM.INV(SUM(G4:G5), 0, 1) + 1, 0, 1, TRUE) - SUM(G4:G5), "")</f>
        <v>0.38047815658207257</v>
      </c>
    </row>
    <row r="4" spans="1:15" ht="15.75" customHeight="1" x14ac:dyDescent="0.25">
      <c r="B4" s="5" t="s">
        <v>132</v>
      </c>
      <c r="C4" s="45">
        <v>0.13256860000000001</v>
      </c>
      <c r="D4" s="53">
        <v>0.13256860000000001</v>
      </c>
      <c r="E4" s="53">
        <v>7.8875299999999995E-2</v>
      </c>
      <c r="F4" s="53">
        <v>0.2260142</v>
      </c>
      <c r="G4" s="53">
        <v>0.20418720000000001</v>
      </c>
    </row>
    <row r="5" spans="1:15" ht="15.75" customHeight="1" x14ac:dyDescent="0.25">
      <c r="B5" s="5" t="s">
        <v>133</v>
      </c>
      <c r="C5" s="45">
        <v>5.3241700000000003E-2</v>
      </c>
      <c r="D5" s="53">
        <v>5.3241700000000003E-2</v>
      </c>
      <c r="E5" s="53">
        <v>2.2461999999999999E-2</v>
      </c>
      <c r="F5" s="53">
        <v>6.6701399999999994E-2</v>
      </c>
      <c r="G5" s="53">
        <v>6.4072599999999993E-2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0.70040620196535208</v>
      </c>
      <c r="D8" s="52">
        <f>IFERROR(1-_xlfn.NORM.DIST(_xlfn.NORM.INV(SUM(D10:D11), 0, 1) + 1, 0, 1, TRUE), "")</f>
        <v>0.70040620196535208</v>
      </c>
      <c r="E8" s="52">
        <f>IFERROR(1-_xlfn.NORM.DIST(_xlfn.NORM.INV(SUM(E10:E11), 0, 1) + 1, 0, 1, TRUE), "")</f>
        <v>0.64578835488038822</v>
      </c>
      <c r="F8" s="52">
        <f>IFERROR(1-_xlfn.NORM.DIST(_xlfn.NORM.INV(SUM(F10:F11), 0, 1) + 1, 0, 1, TRUE), "")</f>
        <v>0.62024263484849929</v>
      </c>
      <c r="G8" s="52">
        <f>IFERROR(1-_xlfn.NORM.DIST(_xlfn.NORM.INV(SUM(G10:G11), 0, 1) + 1, 0, 1, TRUE), "")</f>
        <v>0.708134508364615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0.2360351980346479</v>
      </c>
      <c r="D9" s="52">
        <f>IFERROR(_xlfn.NORM.DIST(_xlfn.NORM.INV(SUM(D10:D11), 0, 1) + 1, 0, 1, TRUE) - SUM(D10:D11), "")</f>
        <v>0.2360351980346479</v>
      </c>
      <c r="E9" s="52">
        <f>IFERROR(_xlfn.NORM.DIST(_xlfn.NORM.INV(SUM(E10:E11), 0, 1) + 1, 0, 1, TRUE) - SUM(E10:E11), "")</f>
        <v>0.2694868451196118</v>
      </c>
      <c r="F9" s="52">
        <f>IFERROR(_xlfn.NORM.DIST(_xlfn.NORM.INV(SUM(F10:F11), 0, 1) + 1, 0, 1, TRUE) - SUM(F10:F11), "")</f>
        <v>0.2840011651515007</v>
      </c>
      <c r="G9" s="52">
        <f>IFERROR(_xlfn.NORM.DIST(_xlfn.NORM.INV(SUM(G10:G11), 0, 1) + 1, 0, 1, TRUE) - SUM(G10:G11), "")</f>
        <v>0.23104749163538499</v>
      </c>
    </row>
    <row r="10" spans="1:15" ht="15.75" customHeight="1" x14ac:dyDescent="0.25">
      <c r="B10" s="5" t="s">
        <v>137</v>
      </c>
      <c r="C10" s="45">
        <v>5.1987100000000001E-2</v>
      </c>
      <c r="D10" s="53">
        <v>5.1987100000000001E-2</v>
      </c>
      <c r="E10" s="53">
        <v>7.3867299999999997E-2</v>
      </c>
      <c r="F10" s="53">
        <v>8.4582900000000003E-2</v>
      </c>
      <c r="G10" s="53">
        <v>5.4515800000000003E-2</v>
      </c>
    </row>
    <row r="11" spans="1:15" ht="15.75" customHeight="1" x14ac:dyDescent="0.25">
      <c r="B11" s="5" t="s">
        <v>138</v>
      </c>
      <c r="C11" s="45">
        <v>1.15715E-2</v>
      </c>
      <c r="D11" s="53">
        <v>1.15715E-2</v>
      </c>
      <c r="E11" s="53">
        <v>1.0857500000000001E-2</v>
      </c>
      <c r="F11" s="53">
        <v>1.1173300000000001E-2</v>
      </c>
      <c r="G11" s="53">
        <v>6.3022E-3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0.82497910925000018</v>
      </c>
      <c r="D14" s="54">
        <v>0.80162762072500005</v>
      </c>
      <c r="E14" s="54">
        <v>0.80162762072500005</v>
      </c>
      <c r="F14" s="54">
        <v>0.47399307269000007</v>
      </c>
      <c r="G14" s="54">
        <v>0.47399307269000007</v>
      </c>
      <c r="H14" s="45">
        <v>0.4</v>
      </c>
      <c r="I14" s="55">
        <v>0.4</v>
      </c>
      <c r="J14" s="55">
        <v>0.4</v>
      </c>
      <c r="K14" s="55">
        <v>0.4</v>
      </c>
      <c r="L14" s="45">
        <v>0.34899999999999998</v>
      </c>
      <c r="M14" s="55">
        <v>0.34899999999999998</v>
      </c>
      <c r="N14" s="55">
        <v>0.34899999999999998</v>
      </c>
      <c r="O14" s="55">
        <v>0.34899999999999998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0.41830648232432177</v>
      </c>
      <c r="D15" s="52">
        <f t="shared" si="0"/>
        <v>0.40646608671623191</v>
      </c>
      <c r="E15" s="52">
        <f t="shared" si="0"/>
        <v>0.40646608671623191</v>
      </c>
      <c r="F15" s="52">
        <f t="shared" si="0"/>
        <v>0.24033866150053718</v>
      </c>
      <c r="G15" s="52">
        <f t="shared" si="0"/>
        <v>0.24033866150053718</v>
      </c>
      <c r="H15" s="52">
        <f t="shared" si="0"/>
        <v>0.20282039999999998</v>
      </c>
      <c r="I15" s="52">
        <f t="shared" si="0"/>
        <v>0.20282039999999998</v>
      </c>
      <c r="J15" s="52">
        <f t="shared" si="0"/>
        <v>0.20282039999999998</v>
      </c>
      <c r="K15" s="52">
        <f t="shared" si="0"/>
        <v>0.20282039999999998</v>
      </c>
      <c r="L15" s="52">
        <f t="shared" si="0"/>
        <v>0.17696079899999995</v>
      </c>
      <c r="M15" s="52">
        <f t="shared" si="0"/>
        <v>0.17696079899999995</v>
      </c>
      <c r="N15" s="52">
        <f t="shared" si="0"/>
        <v>0.17696079899999995</v>
      </c>
      <c r="O15" s="52">
        <f t="shared" si="0"/>
        <v>0.17696079899999995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FlPR7dac5EAIIJCrxCi9+BV6rmJoSWjzT/Sns4ehTozKjGJfFHrJf2T4Qkw12cafP4DzZd45yKZPKc7340Hhw==" saltValue="iyhtCblbHz8LDSBFU+tC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0.70780940000000003</v>
      </c>
      <c r="D2" s="53">
        <v>0.53241950000000005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7.0640400000000006E-2</v>
      </c>
      <c r="D3" s="53">
        <v>0.14118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0.2215502</v>
      </c>
      <c r="D4" s="53">
        <v>0.31030289999999999</v>
      </c>
      <c r="E4" s="53">
        <v>0.96187520000000004</v>
      </c>
      <c r="F4" s="53">
        <v>0.95622889999999994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</v>
      </c>
      <c r="D5" s="52">
        <f t="shared" si="0"/>
        <v>1.6097599999999934E-2</v>
      </c>
      <c r="E5" s="52">
        <f>1-SUM(E2:E4)</f>
        <v>3.8124799999999959E-2</v>
      </c>
      <c r="F5" s="52">
        <f>1-SUM(F2:F4)</f>
        <v>4.3771100000000063E-2</v>
      </c>
      <c r="G5" s="52">
        <f>1-SUM(G2:G4)</f>
        <v>1</v>
      </c>
    </row>
  </sheetData>
  <sheetProtection algorithmName="SHA-512" hashValue="vEqJDL0eyRpy8LN2z9JYBNfzI4BmnuOI1DFK+d5H3kaVycG09H5M5sWInP6boUUrPYCVRCIiFihkOuweboSM1w==" saltValue="NXWch6RcLhpuT4Dd0luSJ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hppgMT+dr1bkc+FLF2JzTJiT5a7EKQ78Skj/fow9QcY6I19I6Fe1ay6vvKFkH446bpyqyv4hPhoY2EnWKveAw==" saltValue="G9ox3GNk4e3oxiwDvJQu1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1336.5460472984701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0.44085000000000002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0.30329999999999996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1.9631895417119349E-2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96909.39129</v>
      </c>
      <c r="C22" s="109">
        <v>96618.065000000002</v>
      </c>
      <c r="D22" s="109">
        <v>96396.876780000006</v>
      </c>
      <c r="E22" s="109">
        <v>96007.266570000007</v>
      </c>
      <c r="F22" s="109">
        <v>95500.03499</v>
      </c>
      <c r="G22" s="109">
        <v>94971.390209999998</v>
      </c>
      <c r="H22" s="109">
        <v>94329.785730000003</v>
      </c>
      <c r="I22" s="109">
        <v>93431.989069999996</v>
      </c>
      <c r="J22" s="109">
        <v>92077.744720000002</v>
      </c>
      <c r="K22" s="109">
        <v>89987.683520000006</v>
      </c>
      <c r="L22" s="109">
        <v>86734.672309999994</v>
      </c>
      <c r="M22" s="109">
        <v>81890.059389999995</v>
      </c>
      <c r="N22" s="109">
        <v>74666.415420000005</v>
      </c>
      <c r="O22" s="109">
        <v>64611.690329999998</v>
      </c>
    </row>
  </sheetData>
  <sheetProtection algorithmName="SHA-512" hashValue="sM7hMUJlPdcsmN+D16tfB/LOfwIS5YdTPWki0dLqGLe+r8qeGQ36vFM875ZcrJ3m62lTqeyUUBGEgWZuTYs3Gw==" saltValue="MEwDRBHKEpZ2KGpCh4hzN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2F2bPpTiPH6Q+DJHsC71sJUmtnRv8ZBVncQVn2FOO9ucujlFQF34tvWlZs+9DqtFE/lKkNUnYFdGeCH35KVoEw==" saltValue="uU/0aemXmtv0GxSyBYFLj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eCk4ibYIaHI2ggx1ylVqr50m1boXVkOp0l3XiX3kN/nQduhjufb3I7/A2y1136zwh5v08o54WfFaiD+9NQC54g==" saltValue="vabwvyyf2tcY9G1DDIam9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17.026484135107474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17.026484135107474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8.0705350947424606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0.61278763993956276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0.24171699078812695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0.86284800000000006</v>
      </c>
      <c r="C10" s="98">
        <v>0.95</v>
      </c>
      <c r="D10" s="56">
        <v>14.191711276470389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14.191711276470389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14.191711276470389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14.191711276470389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0.86284800000000006</v>
      </c>
      <c r="C14" s="98">
        <v>0.95</v>
      </c>
      <c r="D14" s="56">
        <v>14.191711276470389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14.191711276470389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2.02589E-2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2.41416666666667E-2</v>
      </c>
      <c r="C17" s="98">
        <v>0.95</v>
      </c>
      <c r="D17" s="56">
        <v>9.7330203637492063E-2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0.52100000000000002</v>
      </c>
      <c r="C18" s="98">
        <v>0.95</v>
      </c>
      <c r="D18" s="56">
        <v>8.0705350947424606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0.53241950000000005</v>
      </c>
      <c r="C19" s="98">
        <v>0.95</v>
      </c>
      <c r="D19" s="56">
        <v>1.783669753024828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8.0705350947424606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4.6601859455142458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0.71992641902920995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0.27900000000000003</v>
      </c>
      <c r="C26" s="98">
        <v>0.95</v>
      </c>
      <c r="D26" s="56">
        <v>4.7229528222409431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17.846880984952122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0.38404090000000002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0.48240959999999999</v>
      </c>
      <c r="C29" s="98">
        <v>0.95</v>
      </c>
      <c r="D29" s="56">
        <v>26.81689264396762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9.1000000000000004E-3</v>
      </c>
      <c r="C31" s="98">
        <v>0.95</v>
      </c>
      <c r="D31" s="56">
        <v>175.48809161556471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0.9</v>
      </c>
      <c r="C32" s="98">
        <v>0.95</v>
      </c>
      <c r="D32" s="56">
        <v>0.45463218100922231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0.6354284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0.44971359999999999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0.14526700000000001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0.50166370000000005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0.107</v>
      </c>
      <c r="C38" s="98">
        <v>0.95</v>
      </c>
      <c r="D38" s="56">
        <v>1.6798709086682517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xlSFXEDjYZZKHTZ+r+64274187lpomELgJOxQm+UGNMcayN49SpmyN2xPAsnHiReVKYcGiuIi44Wz9J/ogdiJA==" saltValue="AV4JuSNusjMBXXTieKuD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CSme8mduddAerJFkfWIKS8S2+JkKz85aLu3bEWhn3NWdNsMCojeKBSbZwA6xsmJf9q3ahlRicqyolN/v+rC0Q==" saltValue="j049URUJbcEWlnn0EuxI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vOhp5uQs3xjzOMXMT1/1ZKb5msBXThUicU4BDlJDLE1/WqpCKaVp23iL8nZBTOhjXtJVSWUxTHo1kqJSpEQog==" saltValue="B+eGT0CpXzBpvx7xJ78dC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3.302</v>
      </c>
      <c r="C2" s="21">
        <f>'Données pop de l''année de ref'!C52</f>
        <v>3.302</v>
      </c>
      <c r="D2" s="21">
        <f>'Données pop de l''année de ref'!C53</f>
        <v>4.55</v>
      </c>
      <c r="E2" s="21">
        <f>'Données pop de l''année de ref'!C54</f>
        <v>3.4319999999999999</v>
      </c>
      <c r="F2" s="21">
        <f>'Données pop de l''année de ref'!C55</f>
        <v>2.123333333333334</v>
      </c>
    </row>
    <row r="3" spans="1:6" ht="15.75" customHeight="1" x14ac:dyDescent="0.25">
      <c r="A3" s="3" t="s">
        <v>238</v>
      </c>
      <c r="B3" s="21">
        <f>frac_mam_1month * 2.6</f>
        <v>0.13516646000000002</v>
      </c>
      <c r="C3" s="21">
        <f>frac_mam_1_5months * 2.6</f>
        <v>0.13516646000000002</v>
      </c>
      <c r="D3" s="21">
        <f>frac_mam_6_11months * 2.6</f>
        <v>0.19205497999999999</v>
      </c>
      <c r="E3" s="21">
        <f>frac_mam_12_23months * 2.6</f>
        <v>0.21991554000000002</v>
      </c>
      <c r="F3" s="21">
        <f>frac_mam_24_59months * 2.6</f>
        <v>0.14174108000000002</v>
      </c>
    </row>
    <row r="4" spans="1:6" ht="15.75" customHeight="1" x14ac:dyDescent="0.25">
      <c r="A4" s="3" t="s">
        <v>237</v>
      </c>
      <c r="B4" s="21">
        <f>frac_sam_1month * 2.6</f>
        <v>3.0085900000000002E-2</v>
      </c>
      <c r="C4" s="21">
        <f>frac_sam_1_5months * 2.6</f>
        <v>3.0085900000000002E-2</v>
      </c>
      <c r="D4" s="21">
        <f>frac_sam_6_11months * 2.6</f>
        <v>2.8229500000000005E-2</v>
      </c>
      <c r="E4" s="21">
        <f>frac_sam_12_23months * 2.6</f>
        <v>2.9050580000000003E-2</v>
      </c>
      <c r="F4" s="21">
        <f>frac_sam_24_59months * 2.6</f>
        <v>1.6385719999999999E-2</v>
      </c>
    </row>
  </sheetData>
  <sheetProtection algorithmName="SHA-512" hashValue="Ug0hmzohkQ+z+RWe8yaw8mLjShVD3kJqfBQN7Ug3xjgcgCblrzyUej5RBb5Db+fpd1K/HxuJLlI+ypepWkEvyg==" saltValue="Iawf4wZcIdexhQ+Fu8rPX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0.15</v>
      </c>
      <c r="F2" s="60">
        <f>food_insecure</f>
        <v>0.15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0.15</v>
      </c>
      <c r="F5" s="60">
        <f>food_insecure</f>
        <v>0.15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7.1543333333333348E-2</v>
      </c>
      <c r="D7" s="60">
        <f>diarrhoea_1_5mo*frac_diarrhea_severe</f>
        <v>7.1543333333333348E-2</v>
      </c>
      <c r="E7" s="60">
        <f>diarrhoea_6_11mo*frac_diarrhea_severe</f>
        <v>9.8583333333333342E-2</v>
      </c>
      <c r="F7" s="60">
        <f>diarrhoea_12_23mo*frac_diarrhea_severe</f>
        <v>7.4360000000000009E-2</v>
      </c>
      <c r="G7" s="60">
        <f>diarrhoea_24_59mo*frac_diarrhea_severe</f>
        <v>4.6005555555555577E-2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0.15</v>
      </c>
      <c r="F8" s="60">
        <f>food_insecure</f>
        <v>0.15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0.15</v>
      </c>
      <c r="F9" s="60">
        <f>food_insecure</f>
        <v>0.15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7.1543333333333348E-2</v>
      </c>
      <c r="D12" s="60">
        <f>diarrhoea_1_5mo*frac_diarrhea_severe</f>
        <v>7.1543333333333348E-2</v>
      </c>
      <c r="E12" s="60">
        <f>diarrhoea_6_11mo*frac_diarrhea_severe</f>
        <v>9.8583333333333342E-2</v>
      </c>
      <c r="F12" s="60">
        <f>diarrhoea_12_23mo*frac_diarrhea_severe</f>
        <v>7.4360000000000009E-2</v>
      </c>
      <c r="G12" s="60">
        <f>diarrhoea_24_59mo*frac_diarrhea_severe</f>
        <v>4.6005555555555577E-2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0.15</v>
      </c>
      <c r="I15" s="60">
        <f t="shared" si="0"/>
        <v>0.15</v>
      </c>
      <c r="J15" s="60">
        <f t="shared" si="0"/>
        <v>0.15</v>
      </c>
      <c r="K15" s="60">
        <f t="shared" si="0"/>
        <v>0.15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0.15</v>
      </c>
      <c r="I16" s="60">
        <f t="shared" si="0"/>
        <v>0.15</v>
      </c>
      <c r="J16" s="60">
        <f t="shared" si="0"/>
        <v>0.15</v>
      </c>
      <c r="K16" s="60">
        <f t="shared" si="0"/>
        <v>0.15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2.5600000000000001E-2</v>
      </c>
      <c r="I19" s="60">
        <f>frac_malaria_risk</f>
        <v>2.5600000000000001E-2</v>
      </c>
      <c r="J19" s="60">
        <f>frac_malaria_risk</f>
        <v>2.5600000000000001E-2</v>
      </c>
      <c r="K19" s="60">
        <f>frac_malaria_risk</f>
        <v>2.5600000000000001E-2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0.24715611858834899</v>
      </c>
      <c r="M24" s="60">
        <f>famplan_unmet_need</f>
        <v>0.24715611858834899</v>
      </c>
      <c r="N24" s="60">
        <f>famplan_unmet_need</f>
        <v>0.24715611858834899</v>
      </c>
      <c r="O24" s="60">
        <f>famplan_unmet_need</f>
        <v>0.24715611858834899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0.1939016268</v>
      </c>
      <c r="M25" s="60">
        <f>(1-food_insecure)*(0.49)+food_insecure*(0.7)</f>
        <v>0.52149999999999996</v>
      </c>
      <c r="N25" s="60">
        <f>(1-food_insecure)*(0.49)+food_insecure*(0.7)</f>
        <v>0.52149999999999996</v>
      </c>
      <c r="O25" s="60">
        <f>(1-food_insecure)*(0.49)+food_insecure*(0.7)</f>
        <v>0.52149999999999996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8.310069719999999E-2</v>
      </c>
      <c r="M26" s="60">
        <f>(1-food_insecure)*(0.21)+food_insecure*(0.3)</f>
        <v>0.22349999999999998</v>
      </c>
      <c r="N26" s="60">
        <f>(1-food_insecure)*(0.21)+food_insecure*(0.3)</f>
        <v>0.22349999999999998</v>
      </c>
      <c r="O26" s="60">
        <f>(1-food_insecure)*(0.21)+food_insecure*(0.3)</f>
        <v>0.22349999999999998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9.4812876000000004E-2</v>
      </c>
      <c r="M27" s="60">
        <f>(1-food_insecure)*(0.3)</f>
        <v>0.255</v>
      </c>
      <c r="N27" s="60">
        <f>(1-food_insecure)*(0.3)</f>
        <v>0.255</v>
      </c>
      <c r="O27" s="60">
        <f>(1-food_insecure)*(0.3)</f>
        <v>0.255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0.62818479999999999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2.5600000000000001E-2</v>
      </c>
      <c r="D34" s="60">
        <f t="shared" si="4"/>
        <v>2.5600000000000001E-2</v>
      </c>
      <c r="E34" s="60">
        <f t="shared" si="4"/>
        <v>2.5600000000000001E-2</v>
      </c>
      <c r="F34" s="60">
        <f t="shared" si="4"/>
        <v>2.5600000000000001E-2</v>
      </c>
      <c r="G34" s="60">
        <f t="shared" si="4"/>
        <v>2.5600000000000001E-2</v>
      </c>
      <c r="H34" s="60">
        <f t="shared" si="4"/>
        <v>2.5600000000000001E-2</v>
      </c>
      <c r="I34" s="60">
        <f t="shared" si="4"/>
        <v>2.5600000000000001E-2</v>
      </c>
      <c r="J34" s="60">
        <f t="shared" si="4"/>
        <v>2.5600000000000001E-2</v>
      </c>
      <c r="K34" s="60">
        <f t="shared" si="4"/>
        <v>2.5600000000000001E-2</v>
      </c>
      <c r="L34" s="60">
        <f t="shared" si="4"/>
        <v>2.5600000000000001E-2</v>
      </c>
      <c r="M34" s="60">
        <f t="shared" si="4"/>
        <v>2.5600000000000001E-2</v>
      </c>
      <c r="N34" s="60">
        <f t="shared" si="4"/>
        <v>2.5600000000000001E-2</v>
      </c>
      <c r="O34" s="60">
        <f t="shared" si="4"/>
        <v>2.5600000000000001E-2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2kze8omSuK09eK32Dv/0n90fehzAXgo4GvYPZbxiiKvZDsLySNrEG8VOyTJPaAOJUTBodSA/BfuY/RVUTxXyQ==" saltValue="qmLRYu837yIsS6yci82xl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etZuhSAzgdh0nF+nn/+C7tkFkU9yYgJ/CYjUbaX2fNuMfTlaS2uvNpCNdz5ZI9+HIO6U2MsiyU5KKq9M/ylYaw==" saltValue="ADJld4JBUBkG91y/R3dPI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aLAzGhSpeTAJqFVTNUj2rXG14iyT5sIDsbtOYccRw51kT2Fde+hSyc3boLqORuRgfN5pxaM4ozvoiNNF1JKomg==" saltValue="XCYRDQ/iS5mDE+ciN48ch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6Q6qkQLxfM7x92DcVmfIANMuxkSzwNwwKXmxCuXy6OnuMKZTZ/KXgE4kJdrr8HEbhqA9BELUb6kUSyEb9PI8Q==" saltValue="TzX8SgsreAS6M9AeBNRPS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y/4J0OpPJk3oaQJzHPg7Pn5RbgHMDYCqttl88jDL9sB/+3/cVmy9mm7PhDAHncXV4nKQPA2c4Rjec4LtzP2kCQ==" saltValue="IO4zJh6GiMfSI/bJ28rAs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pNxLmrAaLLeVmloKbxEHT2rdd9iKDaXSBhSQ00JBF+bf4d3e57Z2PUKPvNbBWHKrm9TDNL7yHihQoF8Fa1DuFQ==" saltValue="WlV8mj1Q7iXalf6nVG0Mu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79KHSeCCfiY9mkgPlp7EJDp0MermZknX+H8eMW/5eyXo4WrBaaouLIKMEQzfFdHT/QV8474N2jcsGrd0qcyu3Q==" saltValue="weYnJxzxWry90lrjQDJO4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irfGMuTVFaX21ukAsXgIzJoLasB8BY+13qVYk+KiH2Q0hf77ywBlAEKOR9GrdzVSW7xNF8/6CA+/8lMFyMIEOw==" saltValue="QKkP4deJB9+ByWFkL+VT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5hHnvoQbuXKNPTnoRoJQXVHfLuNUCQqSLOilUE0XP67LQ8ygzqMDhsh6HGBfh2e2zqZExyfs60Tdru27gTCvVw==" saltValue="sFTGtTN2vZHWjb3vSzs5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XVkIr8yXE7nIWrnQfrOxEHZ5vvLXpQrsg8VmtwPNq8FYfGQH/si1+zl8PDAoEGXjR+9XKa1W+9dy+Uv5wrEow==" saltValue="X6PZqy70l+tVRf3j4x0u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U8A1lFu52gz57lsxvoOssHSRh8+pmRuxDGnDhuLRGeAQZQ9F9A2aOB0/kMtyylCa4f37BHghiKz5oZ8r0oHIQ==" saltValue="KW4yOMnJdLjw12DNKqWm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skUYTfXtViKxq3x7C46b7F7qWelO6PhWNeaXJ4qXvjvxhluNeCH8CgycxzSIKUL3t5mpne1KHDmTpdZZE/tTw==" saltValue="5Uaxfmp6iW7jJbcRnlP6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QRtLlAAtZcA2Dm+Q2f6+ZItJzGJjc4715huocpTcuVB6XAKDWGyv0Oq2XjIG0qCAuM5jJD246TeyySafD8WHw==" saltValue="D7gH3jut2FixJ5vfAE374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wg/jtTSWblqNZARdE3qkAepBUlv/gsqS1ok0T/Lksl0/2iqPx9KD/VjtDKLs1c0knALU/gkRvLI2uG3bBRnFw==" saltValue="ObzXh+eTHWvllTy1I/Rr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VGSPxOuzL/RF6hSv2brupkYftVGKWq+hCRlqfhxefcNZrbojNI7PvIKu9ZoiPHajxziFOV1aKevcn19Ae/7Ftg==" saltValue="YaGZPYmxP3NNpmko0fudr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