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DC212E9-F44B-4AD9-B4FF-DE3BF333013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1" i="2" l="1"/>
  <c r="I39" i="2"/>
  <c r="I6" i="2"/>
  <c r="A35" i="2"/>
  <c r="A36" i="2"/>
  <c r="I7" i="2"/>
  <c r="I13" i="2"/>
  <c r="A37" i="2"/>
  <c r="A19" i="2"/>
  <c r="A22" i="2"/>
  <c r="I4" i="2"/>
  <c r="I2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<sst xmlns="http://schemas.openxmlformats.org/spreadsheetml/2006/main" count="2169" uniqueCount="369">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</sst>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4443698</v>
      </c>
    </row>
    <row r="8" spans="1:3" ht="15" customHeight="1" x14ac:dyDescent="0.25">
      <c r="B8" s="5" t="s">
        <v>37</v>
      </c>
      <c r="C8" s="44">
        <v>0.499</v>
      </c>
    </row>
    <row r="9" spans="1:3" ht="15" customHeight="1" x14ac:dyDescent="0.25">
      <c r="B9" s="5" t="s">
        <v>38</v>
      </c>
      <c r="C9" s="45">
        <v>0.74</v>
      </c>
    </row>
    <row r="10" spans="1:3" ht="15" customHeight="1" x14ac:dyDescent="0.25">
      <c r="B10" s="5" t="s">
        <v>39</v>
      </c>
      <c r="C10" s="45">
        <v>0.4087461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0.11650000000000001</v>
      </c>
    </row>
    <row r="24" spans="1:3" ht="15" customHeight="1" x14ac:dyDescent="0.25">
      <c r="B24" s="15" t="s">
        <v>51</v>
      </c>
      <c r="C24" s="45">
        <v>0.45839999999999997</v>
      </c>
    </row>
    <row r="25" spans="1:3" ht="15" customHeight="1" x14ac:dyDescent="0.25">
      <c r="B25" s="15" t="s">
        <v>52</v>
      </c>
      <c r="C25" s="45">
        <v>0.35239999999999999</v>
      </c>
    </row>
    <row r="26" spans="1:3" ht="15" customHeight="1" x14ac:dyDescent="0.25">
      <c r="B26" s="15" t="s">
        <v>53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0.22859451908270501</v>
      </c>
    </row>
    <row r="30" spans="1:3" ht="14.25" customHeight="1" x14ac:dyDescent="0.25">
      <c r="B30" s="25" t="s">
        <v>56</v>
      </c>
      <c r="C30" s="97">
        <v>6.8320687947238098E-2</v>
      </c>
    </row>
    <row r="31" spans="1:3" ht="14.25" customHeight="1" x14ac:dyDescent="0.25">
      <c r="B31" s="25" t="s">
        <v>57</v>
      </c>
      <c r="C31" s="97">
        <v>0.126664645857306</v>
      </c>
    </row>
    <row r="32" spans="1:3" ht="14.25" customHeight="1" x14ac:dyDescent="0.25">
      <c r="B32" s="25" t="s">
        <v>58</v>
      </c>
      <c r="C32" s="97">
        <v>0.57642014711275102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25.642800000000001</v>
      </c>
    </row>
    <row r="38" spans="1:5" ht="15" customHeight="1" x14ac:dyDescent="0.25">
      <c r="B38" s="11" t="s">
        <v>63</v>
      </c>
      <c r="C38" s="43">
        <v>46.950699999999998</v>
      </c>
      <c r="D38" s="12"/>
      <c r="E38" s="13"/>
    </row>
    <row r="39" spans="1:5" ht="15" customHeight="1" x14ac:dyDescent="0.25">
      <c r="B39" s="11" t="s">
        <v>64</v>
      </c>
      <c r="C39" s="43">
        <v>69.788030000000006</v>
      </c>
      <c r="D39" s="12"/>
      <c r="E39" s="12"/>
    </row>
    <row r="40" spans="1:5" ht="15" customHeight="1" x14ac:dyDescent="0.25">
      <c r="B40" s="11" t="s">
        <v>65</v>
      </c>
      <c r="C40" s="98">
        <v>4.38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7.9480999999999996E-3</v>
      </c>
      <c r="D45" s="12"/>
    </row>
    <row r="46" spans="1:5" ht="15.75" customHeight="1" x14ac:dyDescent="0.25">
      <c r="B46" s="11" t="s">
        <v>70</v>
      </c>
      <c r="C46" s="45">
        <v>8.5401100000000008E-2</v>
      </c>
      <c r="D46" s="12"/>
    </row>
    <row r="47" spans="1:5" ht="15.75" customHeight="1" x14ac:dyDescent="0.25">
      <c r="B47" s="11" t="s">
        <v>71</v>
      </c>
      <c r="C47" s="45">
        <v>7.3442199999999999E-2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1.3</v>
      </c>
      <c r="D51" s="12"/>
    </row>
    <row r="52" spans="1:4" ht="15" customHeight="1" x14ac:dyDescent="0.25">
      <c r="B52" s="11" t="s">
        <v>75</v>
      </c>
      <c r="C52" s="98">
        <v>1.3</v>
      </c>
    </row>
    <row r="53" spans="1:4" ht="15.75" customHeight="1" x14ac:dyDescent="0.25">
      <c r="B53" s="11" t="s">
        <v>76</v>
      </c>
      <c r="C53" s="98">
        <v>5.3039999999999994</v>
      </c>
    </row>
    <row r="54" spans="1:4" ht="15.75" customHeight="1" x14ac:dyDescent="0.25">
      <c r="B54" s="11" t="s">
        <v>77</v>
      </c>
      <c r="C54" s="98">
        <v>5.4860000000000007</v>
      </c>
    </row>
    <row r="55" spans="1:4" ht="15.75" customHeight="1" x14ac:dyDescent="0.25">
      <c r="B55" s="11" t="s">
        <v>78</v>
      </c>
      <c r="C55" s="98">
        <v>2.253333333333333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0.45496999999999999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0.11961432</v>
      </c>
    </row>
    <row r="63" spans="1:4" ht="15.75" customHeight="1" x14ac:dyDescent="0.3">
      <c r="A63" s="4"/>
    </row>
  </sheetData>
  <sheetProtection algorithmName="SHA-512" hashValue="ZStNYtX7YO7CwqRh9z9cDPCvoQb6XmrhvHLh5qZkbZYzFpuyTAnD6BM5DtTP6E4KQ6uSwn9olbs131evD8/0pg==" saltValue="qR1okFdufzETb759T8WY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UHSgRNXFAnyDHlXNaXwcYKZ0qQCujQ2FHtjWC3uvqCuoDHolAb9mahz9+gWOTZUyBXW36/Au3ABQZtoJqSEPg==" saltValue="PUn84iG+JN29Ag9GqiAR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1.143080228616046E-2</v>
      </c>
    </row>
    <row r="4" spans="1:8" ht="15.75" customHeight="1" x14ac:dyDescent="0.25">
      <c r="B4" s="19" t="s">
        <v>97</v>
      </c>
      <c r="C4" s="99">
        <v>6.6053313210662781E-2</v>
      </c>
    </row>
    <row r="5" spans="1:8" ht="15.75" customHeight="1" x14ac:dyDescent="0.25">
      <c r="B5" s="19" t="s">
        <v>98</v>
      </c>
      <c r="C5" s="99">
        <v>9.1041518208303807E-2</v>
      </c>
    </row>
    <row r="6" spans="1:8" ht="15.75" customHeight="1" x14ac:dyDescent="0.25">
      <c r="B6" s="19" t="s">
        <v>99</v>
      </c>
      <c r="C6" s="99">
        <v>0.2565140513028103</v>
      </c>
    </row>
    <row r="7" spans="1:8" ht="15.75" customHeight="1" x14ac:dyDescent="0.25">
      <c r="B7" s="19" t="s">
        <v>100</v>
      </c>
      <c r="C7" s="99">
        <v>0.39185437837087522</v>
      </c>
    </row>
    <row r="8" spans="1:8" ht="15.75" customHeight="1" x14ac:dyDescent="0.25">
      <c r="B8" s="19" t="s">
        <v>101</v>
      </c>
      <c r="C8" s="99">
        <v>2.516000503200104E-3</v>
      </c>
    </row>
    <row r="9" spans="1:8" ht="15.75" customHeight="1" x14ac:dyDescent="0.25">
      <c r="B9" s="19" t="s">
        <v>102</v>
      </c>
      <c r="C9" s="99">
        <v>6.3182812636562474E-2</v>
      </c>
    </row>
    <row r="10" spans="1:8" ht="15.75" customHeight="1" x14ac:dyDescent="0.25">
      <c r="B10" s="19" t="s">
        <v>103</v>
      </c>
      <c r="C10" s="99">
        <v>0.1174071234814246</v>
      </c>
    </row>
    <row r="11" spans="1:8" ht="15.75" customHeight="1" x14ac:dyDescent="0.25">
      <c r="B11" s="27" t="s">
        <v>59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106</v>
      </c>
      <c r="C15" s="99">
        <v>0.23651425298997231</v>
      </c>
      <c r="D15" s="99">
        <v>0.23651425298997231</v>
      </c>
      <c r="E15" s="99">
        <v>0.23651425298997231</v>
      </c>
      <c r="F15" s="99">
        <v>0.23651425298997231</v>
      </c>
    </row>
    <row r="16" spans="1:8" ht="15.75" customHeight="1" x14ac:dyDescent="0.25">
      <c r="B16" s="19" t="s">
        <v>107</v>
      </c>
      <c r="C16" s="99">
        <v>2.918110732094047E-2</v>
      </c>
      <c r="D16" s="99">
        <v>2.918110732094047E-2</v>
      </c>
      <c r="E16" s="99">
        <v>2.918110732094047E-2</v>
      </c>
      <c r="F16" s="99">
        <v>2.918110732094047E-2</v>
      </c>
    </row>
    <row r="17" spans="1:8" ht="15.75" customHeight="1" x14ac:dyDescent="0.25">
      <c r="B17" s="19" t="s">
        <v>108</v>
      </c>
      <c r="C17" s="99">
        <v>2.2925787169298929E-2</v>
      </c>
      <c r="D17" s="99">
        <v>2.2925787169298929E-2</v>
      </c>
      <c r="E17" s="99">
        <v>2.2925787169298929E-2</v>
      </c>
      <c r="F17" s="99">
        <v>2.2925787169298929E-2</v>
      </c>
    </row>
    <row r="18" spans="1:8" ht="15.75" customHeight="1" x14ac:dyDescent="0.25">
      <c r="B18" s="19" t="s">
        <v>109</v>
      </c>
      <c r="C18" s="99">
        <v>0.2300598358149944</v>
      </c>
      <c r="D18" s="99">
        <v>0.2300598358149944</v>
      </c>
      <c r="E18" s="99">
        <v>0.2300598358149944</v>
      </c>
      <c r="F18" s="99">
        <v>0.2300598358149944</v>
      </c>
    </row>
    <row r="19" spans="1:8" ht="15.75" customHeight="1" x14ac:dyDescent="0.25">
      <c r="B19" s="19" t="s">
        <v>110</v>
      </c>
      <c r="C19" s="99">
        <v>1.7132730726974171E-2</v>
      </c>
      <c r="D19" s="99">
        <v>1.7132730726974171E-2</v>
      </c>
      <c r="E19" s="99">
        <v>1.7132730726974171E-2</v>
      </c>
      <c r="F19" s="99">
        <v>1.7132730726974171E-2</v>
      </c>
    </row>
    <row r="20" spans="1:8" ht="15.75" customHeight="1" x14ac:dyDescent="0.25">
      <c r="B20" s="19" t="s">
        <v>111</v>
      </c>
      <c r="C20" s="99">
        <v>5.5929038248185813E-2</v>
      </c>
      <c r="D20" s="99">
        <v>5.5929038248185813E-2</v>
      </c>
      <c r="E20" s="99">
        <v>5.5929038248185813E-2</v>
      </c>
      <c r="F20" s="99">
        <v>5.5929038248185813E-2</v>
      </c>
    </row>
    <row r="21" spans="1:8" ht="15.75" customHeight="1" x14ac:dyDescent="0.25">
      <c r="B21" s="19" t="s">
        <v>112</v>
      </c>
      <c r="C21" s="99">
        <v>8.607945043868627E-2</v>
      </c>
      <c r="D21" s="99">
        <v>8.607945043868627E-2</v>
      </c>
      <c r="E21" s="99">
        <v>8.607945043868627E-2</v>
      </c>
      <c r="F21" s="99">
        <v>8.607945043868627E-2</v>
      </c>
    </row>
    <row r="22" spans="1:8" ht="15.75" customHeight="1" x14ac:dyDescent="0.25">
      <c r="B22" s="19" t="s">
        <v>113</v>
      </c>
      <c r="C22" s="99">
        <v>0.1527500571181003</v>
      </c>
      <c r="D22" s="99">
        <v>0.1527500571181003</v>
      </c>
      <c r="E22" s="99">
        <v>0.1527500571181003</v>
      </c>
      <c r="F22" s="99">
        <v>0.1527500571181003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0.103690241</v>
      </c>
    </row>
    <row r="27" spans="1:8" ht="15.75" customHeight="1" x14ac:dyDescent="0.25">
      <c r="B27" s="19" t="s">
        <v>120</v>
      </c>
      <c r="C27" s="99">
        <v>9.3634809999999999E-3</v>
      </c>
    </row>
    <row r="28" spans="1:8" ht="15.75" customHeight="1" x14ac:dyDescent="0.25">
      <c r="B28" s="19" t="s">
        <v>121</v>
      </c>
      <c r="C28" s="99">
        <v>0.116756885</v>
      </c>
    </row>
    <row r="29" spans="1:8" ht="15.75" customHeight="1" x14ac:dyDescent="0.25">
      <c r="B29" s="19" t="s">
        <v>122</v>
      </c>
      <c r="C29" s="99">
        <v>0.15363832899999999</v>
      </c>
    </row>
    <row r="30" spans="1:8" ht="15.75" customHeight="1" x14ac:dyDescent="0.25">
      <c r="B30" s="19" t="s">
        <v>2</v>
      </c>
      <c r="C30" s="99">
        <v>0.13426711399999999</v>
      </c>
    </row>
    <row r="31" spans="1:8" ht="15.75" customHeight="1" x14ac:dyDescent="0.25">
      <c r="B31" s="19" t="s">
        <v>123</v>
      </c>
      <c r="C31" s="99">
        <v>6.5823823000000004E-2</v>
      </c>
    </row>
    <row r="32" spans="1:8" ht="15.75" customHeight="1" x14ac:dyDescent="0.25">
      <c r="B32" s="19" t="s">
        <v>124</v>
      </c>
      <c r="C32" s="99">
        <v>6.84434E-3</v>
      </c>
    </row>
    <row r="33" spans="2:3" ht="15.75" customHeight="1" x14ac:dyDescent="0.25">
      <c r="B33" s="19" t="s">
        <v>125</v>
      </c>
      <c r="C33" s="99">
        <v>0.192122402</v>
      </c>
    </row>
    <row r="34" spans="2:3" ht="15.75" customHeight="1" x14ac:dyDescent="0.25">
      <c r="B34" s="19" t="s">
        <v>126</v>
      </c>
      <c r="C34" s="99">
        <v>0.21749338600000001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P7aH2qs9MU0OUTfICu1nI0bcS2DguQjG6PF9Tt7tBzMVG/prt45+NTdhD87mHLoGGzO5wyFQ7Rk/3W6OAGyIXQ==" saltValue="SJ4h2rosQ4fIcFWeO20r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132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133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137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138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UInOtsub+DzeFc/oaOBh6gtfL6GWQ4CakTGJY2GbyDXgQr6238eEFL+aDtzflncbz0Oi/0cUi+9uKCdNHlFuw==" saltValue="f99dz/1RswA83IUnumyq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ykxwUWBDS4n7M5JPOzexwocrPSkxRBKeGpb7GGZ1g0HQDzzAXyRT+Tm4fOmHvixG8+00VoUuvrRixX9kTq5/oA==" saltValue="5gOjdNeD57AHyR5NMzbz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UAmdy708tXoSKOapvzqASWeH+5XH+51urMEcU6tLieZtmxh22Nba19xGapyf8y8t57S7wNtgGrdxHGdo9BAlA==" saltValue="bCZcGuZnLmg7r0fqDWHZ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1563.48894034459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0.67835999999999996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1.9259502231584416E-2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92436.565799999997</v>
      </c>
      <c r="C22" s="107">
        <v>91119.072910000003</v>
      </c>
      <c r="D22" s="107">
        <v>90367.517389999994</v>
      </c>
      <c r="E22" s="107">
        <v>89718.055229999998</v>
      </c>
      <c r="F22" s="107">
        <v>88816.005850000001</v>
      </c>
      <c r="G22" s="107">
        <v>87639.53757</v>
      </c>
      <c r="H22" s="107">
        <v>86004.167289999998</v>
      </c>
      <c r="I22" s="107">
        <v>83735.65264</v>
      </c>
      <c r="J22" s="107">
        <v>80694.012520000004</v>
      </c>
      <c r="K22" s="107">
        <v>76893.036900000006</v>
      </c>
      <c r="L22" s="107">
        <v>72098.622870000007</v>
      </c>
      <c r="M22" s="107">
        <v>66295.091880000007</v>
      </c>
      <c r="N22" s="107">
        <v>58699.027549999999</v>
      </c>
      <c r="O22" s="107">
        <v>49431.142720000003</v>
      </c>
    </row>
  </sheetData>
  <sheetProtection algorithmName="SHA-512" hashValue="amGOaqIVytPd500vruleq+y+ZTb2aPNc6WgOa+aG3QVxnMnippYDMW06t1yM8XmrVfQ8qxbc56Ni6ktJrD5Fog==" saltValue="YFGAgTYCp5B6tWije70o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AToNy3/ju7UDF1N4Hwo2fu4/SZFo/lt8uWmCNEPN81skJhTmH0sMBgviOB4lX2p9DSk5Mw0cN2DnJZAXLiY1w==" saltValue="wMQFGURZ4YTe/KvV9PbQ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VqOUcC7LeVvH9GoSWjYByHEdy4NcUKlgRfWSHqLC+sN1/4u/yPKvOwXu1VUEhiUex2ChXA8MhFGMDhCIXq6Yw==" saltValue="GJr230KoPlpNyhfhCAcv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0.49185540000000011</v>
      </c>
      <c r="C10" s="96">
        <v>0.95</v>
      </c>
      <c r="D10" s="56">
        <v>12.61648392647521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12.61648392647521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12.61648392647521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12.61648392647521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0.49185540000000011</v>
      </c>
      <c r="C14" s="96">
        <v>0.95</v>
      </c>
      <c r="D14" s="56">
        <v>12.61648392647521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12.61648392647521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0.52177059999999997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0.17037333333333299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0.41499999999999998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0.36904480000000001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0.57258390000000003</v>
      </c>
      <c r="C23" s="96">
        <v>0.95</v>
      </c>
      <c r="D23" s="56">
        <v>4.0320279639007426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0.54842745280988192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0.49185540000000011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0.17947630000000001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0.19769629999999999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0.1133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0.85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0.36711830000000001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0.65054450000000008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4.2243700000000002E-2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0.4180431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0.2055438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yGEyQmWEaswkrA4Nd2JXTCf3N+PKcTvlTJ0OVqAvOciJf1vWhA0autjpwK3AK6x2dBqvwg9HDEqUAxVGhjWXBg==" saltValue="Ae1l1XhMbWM6abDt/A8A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tsbXT7SEt7ponQHRGy9uEKAXTkhdJBC5EHyxbRfY0KnNNpbWf00ySZbplTIZGnu+46kD48lf4A+Bb0t1J02KQ==" saltValue="cHVX+sC1CKyw/HdnAQOl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ln6j3HZn+8LvMLEMIxDe1Ufjl43QXm3vufgxl8DDAq2djiWdlarZ34nuo3tx1yd9PwC64N1n2oEidj/0MrPzA==" saltValue="TtZKu8gZmuaiZ0SB8KK5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1.3</v>
      </c>
      <c r="C2" s="21">
        <f>'Données pop de l''année de ref'!C52</f>
        <v>1.3</v>
      </c>
      <c r="D2" s="21">
        <f>'Données pop de l''année de ref'!C53</f>
        <v>5.3039999999999994</v>
      </c>
      <c r="E2" s="21">
        <f>'Données pop de l''année de ref'!C54</f>
        <v>5.4860000000000007</v>
      </c>
      <c r="F2" s="21">
        <f>'Données pop de l''année de ref'!C55</f>
        <v>2.253333333333333</v>
      </c>
    </row>
    <row r="3" spans="1:6" ht="15.75" customHeight="1" x14ac:dyDescent="0.25">
      <c r="A3" s="3" t="s">
        <v>238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237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R64XYiMLasRBPR3kdzTCACgOXNdrkdSIZ30vUNv8VItmalAtWrnRiebzOcuZ3Mi7/DJrmlxLifZE9mA4nJHVUw==" saltValue="9E0t/M9aYFoJqfzIUihe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wWPGQSCASceK258JEJPL7zsMeaPAT/qtzyDMtIonDdV2KmnbAz7IR7C1JiIzHWIBq72mVja6OdBq1hrya8FJQ==" saltValue="0utmg5sCTk3Gm8r3zT4w1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OmSZbo7tHGnbexzWNZK8ZF0zsQ7geKagNT0oKi9RL/OIHVVO9r36U+1blMPvcyUFst/lkprPhLXHRWFb4BSOQ==" saltValue="miAuQiQaecIbjuh1OquFo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LIwitx8KCwbEuFi3Fg/aIsMq1xxs5VPe4zQ1ekGzDbks27LJeV4xeeZLliqLJfjRj/iqQv8SU/vOowUCYEgDA==" saltValue="3djcQSLmAJ5OJpPtIrWt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4+FAW/HUxAkB7bV0CQm2ruhTRtqzdxePFbBNSFkX+MSCVGNENFH80uo8PUwGXxTJrfgUbvR7YVvwpIgp7jR9g==" saltValue="O6PJBTzdBFHvbW5Tve8H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GwMIKNK5tmoYdhrTbOC6MeaJ5anEkfAns4EDRRPjyOk62eOrhKqLbFpWEuVlitXMmTEkA7jtIyA6Jaa32ggtA==" saltValue="7bzWmnQrkq3cLKqEauWy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+3nUAKneXxJTp6EaLlxf6R3HRkIVi3emsf0W/THkiKmV9h0i1CJjXu6ekKPn1jUtCvztd0C4EcV/+Or/b3coiA==" saltValue="UdOjp/lNlbgzS6Q8TbUv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4YaQVD3+pfrQxKSDAEJbgpeGt5gw1dTDmDKsEejqBRon3NRUxYMO4dTo1OYYmng2tJ/FOjcNgzPXbED3RxPoQ==" saltValue="UU38FZoMcntkzFSJXb154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6urvG9Ndrh9mkHkFqbV7H0RHK4ii/Dhz3ghOYOmZLnyzWXF7vaKcrJ+8HDwcR4jllg0riLHrun+5c1OABaOpkA==" saltValue="9OcYeLATYguyxfyP2/TE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oVDmeYarMm2VXb8MOrY6DizzyMj+7GDH9oj102JCW8isSnWKd6/hhH0IFoLBcoOu7CfQ/rBs6+8wKI+9vVAcg==" saltValue="qZ/VCxBm4jlGriGcao65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wnl8YMB71/DCVmSP645Qbcnb44McnpXgzyGMgHP2Dig6ESTLpo2ZB+fCZXXkpGMUC55eFRPYcR2/1xzDAwQw==" saltValue="ueFoe5AuY2kXsquDN5PG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+r7m1nyOSDXU/9f0ZYC7/gzwKcD0AH86sl2YK7IWzuY2srCT4oN0CGW+qQ3HgoOkZcZ++IpOf6Hyrq+hRLEYw==" saltValue="9l8+DVTa+jNElTGEt56u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ZKS/f/Ke9h5FyT391/Efp2SYzuPmPvo6HMe8L26Uc88UtlaZTYBQVp5gCs7T0Mz3wMEEZ4TUTJnqt05PrFDwQ==" saltValue="0bZajREQvLmwl1Zpz0FF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otI7OSMuYbtUTn7DZG2lZaucwWwqMplAxUhOd7g+BfmU13cIdufy9HhVmLuNYVqHPFW8YNnZDWXXmktAurksQ==" saltValue="rhUsPF5H08Yh9U1rUDBa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ULCyOwc4vztRqz8IMXYw+cVJuDsfNFDHc4TznRoYWu8uDoHIuSeXsB9jpy1WUIsXFzB67YQ/itVF4+KMHilTA==" saltValue="stcgQ78BNnpRrkVUnYCI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6999+e/FenWEx/uG/bFv+kyQBZIhrEtgRKzDQ10oYSbqTTZb49+X2nL814FPUigrDGSy92Qm4xWcGj172zHfg==" saltValue="4juZ7xx9FpmDfvVbzhv8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