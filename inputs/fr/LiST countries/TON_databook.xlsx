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712E82BC-9FE9-4D98-AB77-ECA330AF82B6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4" i="2"/>
  <c r="A33" i="2"/>
  <c r="A32" i="2"/>
  <c r="A31" i="2"/>
  <c r="A26" i="2"/>
  <c r="A24" i="2"/>
  <c r="A23" i="2"/>
  <c r="A18" i="2"/>
  <c r="A17" i="2"/>
  <c r="A16" i="2"/>
  <c r="A15" i="2"/>
  <c r="H13" i="2"/>
  <c r="G13" i="2"/>
  <c r="H12" i="2"/>
  <c r="G12" i="2"/>
  <c r="I12" i="2" s="1"/>
  <c r="H11" i="2"/>
  <c r="G11" i="2"/>
  <c r="I11" i="2" s="1"/>
  <c r="H10" i="2"/>
  <c r="G10" i="2"/>
  <c r="I10" i="2" s="1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I8" i="2" l="1"/>
  <c r="I5" i="2"/>
  <c r="I9" i="2"/>
  <c r="I13" i="2"/>
  <c r="A25" i="2"/>
  <c r="A39" i="2"/>
  <c r="A20" i="2"/>
  <c r="A28" i="2"/>
  <c r="A36" i="2"/>
  <c r="A19" i="2"/>
  <c r="A27" i="2"/>
  <c r="A35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<sst xmlns="http://schemas.openxmlformats.org/spreadsheetml/2006/main" count="2101" uniqueCount="337">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</sst>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12172.88745117188</v>
      </c>
    </row>
    <row r="8" spans="1:3" ht="15" customHeight="1" x14ac:dyDescent="0.25">
      <c r="B8" s="5" t="s">
        <v>19</v>
      </c>
      <c r="C8" s="44">
        <v>0.01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0.78687103271484404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0.52100000000000002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2.0899999999999998E-2</v>
      </c>
    </row>
    <row r="24" spans="1:3" ht="15" customHeight="1" x14ac:dyDescent="0.25">
      <c r="B24" s="15" t="s">
        <v>33</v>
      </c>
      <c r="C24" s="45">
        <v>0.42159999999999997</v>
      </c>
    </row>
    <row r="25" spans="1:3" ht="15" customHeight="1" x14ac:dyDescent="0.25">
      <c r="B25" s="15" t="s">
        <v>34</v>
      </c>
      <c r="C25" s="45">
        <v>0.4854</v>
      </c>
    </row>
    <row r="26" spans="1:3" ht="15" customHeight="1" x14ac:dyDescent="0.25">
      <c r="B26" s="15" t="s">
        <v>35</v>
      </c>
      <c r="C26" s="45">
        <v>7.2099999999999997E-2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4.8672399999999998</v>
      </c>
    </row>
    <row r="38" spans="1:5" ht="15" customHeight="1" x14ac:dyDescent="0.25">
      <c r="B38" s="11" t="s">
        <v>45</v>
      </c>
      <c r="C38" s="43">
        <v>9.5718099999999993</v>
      </c>
      <c r="D38" s="12"/>
      <c r="E38" s="13"/>
    </row>
    <row r="39" spans="1:5" ht="15" customHeight="1" x14ac:dyDescent="0.25">
      <c r="B39" s="11" t="s">
        <v>46</v>
      </c>
      <c r="C39" s="43">
        <v>11.13988</v>
      </c>
      <c r="D39" s="12"/>
      <c r="E39" s="12"/>
    </row>
    <row r="40" spans="1:5" ht="15" customHeight="1" x14ac:dyDescent="0.25">
      <c r="B40" s="11" t="s">
        <v>47</v>
      </c>
      <c r="C40" s="100">
        <v>1.26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6.4813700000000001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0</v>
      </c>
      <c r="D45" s="12"/>
    </row>
    <row r="46" spans="1:5" ht="15.75" customHeight="1" x14ac:dyDescent="0.25">
      <c r="B46" s="11" t="s">
        <v>52</v>
      </c>
      <c r="C46" s="45">
        <v>0</v>
      </c>
      <c r="D46" s="12"/>
    </row>
    <row r="47" spans="1:5" ht="15.75" customHeight="1" x14ac:dyDescent="0.25">
      <c r="B47" s="11" t="s">
        <v>53</v>
      </c>
      <c r="C47" s="45">
        <v>0</v>
      </c>
      <c r="D47" s="12"/>
      <c r="E47" s="13"/>
    </row>
    <row r="48" spans="1:5" ht="15" customHeight="1" x14ac:dyDescent="0.25">
      <c r="B48" s="11" t="s">
        <v>54</v>
      </c>
      <c r="C48" s="46">
        <v>0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0</v>
      </c>
      <c r="D51" s="12"/>
    </row>
    <row r="52" spans="1:4" ht="15" customHeight="1" x14ac:dyDescent="0.25">
      <c r="B52" s="11" t="s">
        <v>57</v>
      </c>
      <c r="C52" s="100">
        <v>0</v>
      </c>
    </row>
    <row r="53" spans="1:4" ht="15.75" customHeight="1" x14ac:dyDescent="0.25">
      <c r="B53" s="11" t="s">
        <v>58</v>
      </c>
      <c r="C53" s="100">
        <v>0</v>
      </c>
    </row>
    <row r="54" spans="1:4" ht="15.75" customHeight="1" x14ac:dyDescent="0.25">
      <c r="B54" s="11" t="s">
        <v>59</v>
      </c>
      <c r="C54" s="100">
        <v>0</v>
      </c>
    </row>
    <row r="55" spans="1:4" ht="15.75" customHeight="1" x14ac:dyDescent="0.25">
      <c r="B55" s="11" t="s">
        <v>60</v>
      </c>
      <c r="C55" s="100">
        <v>0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0</v>
      </c>
    </row>
    <row r="59" spans="1:4" ht="15.75" customHeight="1" x14ac:dyDescent="0.25">
      <c r="B59" s="11" t="s">
        <v>63</v>
      </c>
      <c r="C59" s="45">
        <v>0.58581800000000006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erizHSJ9F1P8KWn6N+BGkei35qqpOnFDqR1ZWt66CUCzKjBXW8QfzDkMGYexOonCxjXmTPgIwaxJV8z5WQhLw==" saltValue="pMhNyKjAWbcpd5hQ/dtn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2460</v>
      </c>
      <c r="C2" s="49">
        <v>6707</v>
      </c>
      <c r="D2" s="49">
        <v>8976</v>
      </c>
      <c r="E2" s="49">
        <v>6764.5</v>
      </c>
      <c r="F2" s="49">
        <v>5062</v>
      </c>
      <c r="G2" s="17">
        <f t="shared" ref="G2:G13" si="0">C2+D2+E2+F2</f>
        <v>27509.5</v>
      </c>
      <c r="H2" s="17">
        <f t="shared" ref="H2:H13" si="1">(B2 + stillbirth*B2/(1000-stillbirth))/(1-abortion)</f>
        <v>2813.691118660297</v>
      </c>
      <c r="I2" s="17">
        <f t="shared" ref="I2:I13" si="2">G2-H2</f>
        <v>24695.808881339704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2461</v>
      </c>
      <c r="C3" s="50">
        <v>6741.5</v>
      </c>
      <c r="D3" s="50">
        <v>9120</v>
      </c>
      <c r="E3" s="50">
        <v>6781.5</v>
      </c>
      <c r="F3" s="50">
        <v>5195.5</v>
      </c>
      <c r="G3" s="17">
        <f t="shared" si="0"/>
        <v>27838.5</v>
      </c>
      <c r="H3" s="17">
        <f t="shared" si="1"/>
        <v>2814.834895537801</v>
      </c>
      <c r="I3" s="17">
        <f t="shared" si="2"/>
        <v>25023.665104462198</v>
      </c>
    </row>
    <row r="4" spans="1:9" ht="15.75" customHeight="1" x14ac:dyDescent="0.25">
      <c r="A4" s="5">
        <f t="shared" si="3"/>
        <v>2026</v>
      </c>
      <c r="B4" s="49">
        <v>2455</v>
      </c>
      <c r="C4" s="50">
        <v>6791.5</v>
      </c>
      <c r="D4" s="50">
        <v>9264</v>
      </c>
      <c r="E4" s="50">
        <v>6786</v>
      </c>
      <c r="F4" s="50">
        <v>5306.5</v>
      </c>
      <c r="G4" s="17">
        <f t="shared" si="0"/>
        <v>28148</v>
      </c>
      <c r="H4" s="17">
        <f t="shared" si="1"/>
        <v>2807.9722342727759</v>
      </c>
      <c r="I4" s="17">
        <f t="shared" si="2"/>
        <v>25340.027765727224</v>
      </c>
    </row>
    <row r="5" spans="1:9" ht="15.75" customHeight="1" x14ac:dyDescent="0.25">
      <c r="A5" s="5">
        <f t="shared" si="3"/>
        <v>2027</v>
      </c>
      <c r="B5" s="49">
        <v>2458</v>
      </c>
      <c r="C5" s="50">
        <v>6877.4999999999991</v>
      </c>
      <c r="D5" s="50">
        <v>9441</v>
      </c>
      <c r="E5" s="50">
        <v>6780.5</v>
      </c>
      <c r="F5" s="50">
        <v>5409.0000000000009</v>
      </c>
      <c r="G5" s="17">
        <f t="shared" si="0"/>
        <v>28508</v>
      </c>
      <c r="H5" s="17">
        <f t="shared" si="1"/>
        <v>2811.4035649052885</v>
      </c>
      <c r="I5" s="17">
        <f t="shared" si="2"/>
        <v>25696.596435094711</v>
      </c>
    </row>
    <row r="6" spans="1:9" ht="15.75" customHeight="1" x14ac:dyDescent="0.25">
      <c r="A6" s="5">
        <f t="shared" si="3"/>
        <v>2028</v>
      </c>
      <c r="B6" s="49">
        <v>2469</v>
      </c>
      <c r="C6" s="50">
        <v>6946</v>
      </c>
      <c r="D6" s="50">
        <v>9606</v>
      </c>
      <c r="E6" s="50">
        <v>6837</v>
      </c>
      <c r="F6" s="50">
        <v>5461</v>
      </c>
      <c r="G6" s="17">
        <f t="shared" si="0"/>
        <v>28850</v>
      </c>
      <c r="H6" s="17">
        <f t="shared" si="1"/>
        <v>2823.9851105578346</v>
      </c>
      <c r="I6" s="17">
        <f t="shared" si="2"/>
        <v>26026.014889442165</v>
      </c>
    </row>
    <row r="7" spans="1:9" ht="15.75" customHeight="1" x14ac:dyDescent="0.25">
      <c r="A7" s="5">
        <f t="shared" si="3"/>
        <v>2029</v>
      </c>
      <c r="B7" s="49">
        <v>2480</v>
      </c>
      <c r="C7" s="50">
        <v>7012.5</v>
      </c>
      <c r="D7" s="50">
        <v>9737.5</v>
      </c>
      <c r="E7" s="50">
        <v>6918</v>
      </c>
      <c r="F7" s="50">
        <v>5444.5000000000009</v>
      </c>
      <c r="G7" s="17">
        <f t="shared" si="0"/>
        <v>29112.5</v>
      </c>
      <c r="H7" s="17">
        <f t="shared" si="1"/>
        <v>2836.5666562103802</v>
      </c>
      <c r="I7" s="17">
        <f t="shared" si="2"/>
        <v>26275.93334378962</v>
      </c>
    </row>
    <row r="8" spans="1:9" ht="15.75" customHeight="1" x14ac:dyDescent="0.25">
      <c r="A8" s="5">
        <f t="shared" si="3"/>
        <v>2030</v>
      </c>
      <c r="B8" s="49">
        <v>2490</v>
      </c>
      <c r="C8" s="50">
        <v>7034</v>
      </c>
      <c r="D8" s="50">
        <v>9828.5</v>
      </c>
      <c r="E8" s="50">
        <v>7042</v>
      </c>
      <c r="F8" s="50">
        <v>5422.5</v>
      </c>
      <c r="G8" s="17">
        <f t="shared" si="0"/>
        <v>29327</v>
      </c>
      <c r="H8" s="17">
        <f t="shared" si="1"/>
        <v>2848.0044249854222</v>
      </c>
      <c r="I8" s="17">
        <f t="shared" si="2"/>
        <v>26478.995575014578</v>
      </c>
    </row>
    <row r="9" spans="1:9" ht="15.75" customHeight="1" x14ac:dyDescent="0.25">
      <c r="A9" s="5">
        <f t="shared" si="3"/>
        <v>2031</v>
      </c>
      <c r="B9" s="49">
        <v>2505</v>
      </c>
      <c r="C9" s="50">
        <v>7002</v>
      </c>
      <c r="D9" s="50">
        <v>9926.5</v>
      </c>
      <c r="E9" s="50">
        <v>7185</v>
      </c>
      <c r="F9" s="50">
        <v>5430</v>
      </c>
      <c r="G9" s="17">
        <f t="shared" si="0"/>
        <v>29543.5</v>
      </c>
      <c r="H9" s="17">
        <f t="shared" si="1"/>
        <v>2865.1610781479849</v>
      </c>
      <c r="I9" s="17">
        <f t="shared" si="2"/>
        <v>26678.338921852017</v>
      </c>
    </row>
    <row r="10" spans="1:9" ht="15.75" customHeight="1" x14ac:dyDescent="0.25">
      <c r="A10" s="5">
        <f t="shared" si="3"/>
        <v>2032</v>
      </c>
      <c r="B10" s="49">
        <v>2530</v>
      </c>
      <c r="C10" s="50">
        <v>6954.5</v>
      </c>
      <c r="D10" s="50">
        <v>10051.5</v>
      </c>
      <c r="E10" s="50">
        <v>7319</v>
      </c>
      <c r="F10" s="50">
        <v>5440</v>
      </c>
      <c r="G10" s="17">
        <f t="shared" si="0"/>
        <v>29765</v>
      </c>
      <c r="H10" s="17">
        <f t="shared" si="1"/>
        <v>2893.7555000855896</v>
      </c>
      <c r="I10" s="17">
        <f t="shared" si="2"/>
        <v>26871.24449991441</v>
      </c>
    </row>
    <row r="11" spans="1:9" ht="15.75" customHeight="1" x14ac:dyDescent="0.25">
      <c r="A11" s="5">
        <f t="shared" si="3"/>
        <v>2033</v>
      </c>
      <c r="B11" s="49">
        <v>2544</v>
      </c>
      <c r="C11" s="50">
        <v>6879.9999999999991</v>
      </c>
      <c r="D11" s="50">
        <v>10155</v>
      </c>
      <c r="E11" s="50">
        <v>7459</v>
      </c>
      <c r="F11" s="50">
        <v>5394.5</v>
      </c>
      <c r="G11" s="17">
        <f t="shared" si="0"/>
        <v>29888.5</v>
      </c>
      <c r="H11" s="17">
        <f t="shared" si="1"/>
        <v>2909.7683763706486</v>
      </c>
      <c r="I11" s="17">
        <f t="shared" si="2"/>
        <v>26978.731623629352</v>
      </c>
    </row>
    <row r="12" spans="1:9" ht="15.75" customHeight="1" x14ac:dyDescent="0.25">
      <c r="A12" s="5">
        <f t="shared" si="3"/>
        <v>2034</v>
      </c>
      <c r="B12" s="49">
        <v>2562</v>
      </c>
      <c r="C12" s="50">
        <v>6813.4999999999991</v>
      </c>
      <c r="D12" s="50">
        <v>10204</v>
      </c>
      <c r="E12" s="50">
        <v>7617</v>
      </c>
      <c r="F12" s="50">
        <v>5356</v>
      </c>
      <c r="G12" s="17">
        <f t="shared" si="0"/>
        <v>29990.5</v>
      </c>
      <c r="H12" s="17">
        <f t="shared" si="1"/>
        <v>2930.3563601657238</v>
      </c>
      <c r="I12" s="17">
        <f t="shared" si="2"/>
        <v>27060.143639834278</v>
      </c>
    </row>
    <row r="13" spans="1:9" ht="15.75" customHeight="1" x14ac:dyDescent="0.25">
      <c r="A13" s="5">
        <f t="shared" si="3"/>
        <v>2035</v>
      </c>
      <c r="B13" s="49">
        <v>2565</v>
      </c>
      <c r="C13" s="50">
        <v>6750</v>
      </c>
      <c r="D13" s="50">
        <v>10235.5</v>
      </c>
      <c r="E13" s="50">
        <v>7763.0000000000018</v>
      </c>
      <c r="F13" s="50">
        <v>5353</v>
      </c>
      <c r="G13" s="17">
        <f t="shared" si="0"/>
        <v>30101.5</v>
      </c>
      <c r="H13" s="17">
        <f t="shared" si="1"/>
        <v>2933.7876907982363</v>
      </c>
      <c r="I13" s="17">
        <f t="shared" si="2"/>
        <v>27167.712309201765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JOCixQ28nMwmh38rt0fjmtw8ga9OIyMMDrMQEGh4RwqacUh5KP/+diojv7Nji1sF/yV9THDW6bwx4sMSqa1Rg==" saltValue="X4dADp/nIka5maIFbyzkf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6.3251500000000099E-2</v>
      </c>
    </row>
    <row r="5" spans="1:8" ht="15.75" customHeight="1" x14ac:dyDescent="0.25">
      <c r="B5" s="19" t="s">
        <v>80</v>
      </c>
      <c r="C5" s="101">
        <v>3.6355999999999992E-2</v>
      </c>
    </row>
    <row r="6" spans="1:8" ht="15.75" customHeight="1" x14ac:dyDescent="0.25">
      <c r="B6" s="19" t="s">
        <v>81</v>
      </c>
      <c r="C6" s="101">
        <v>0.15888490000000019</v>
      </c>
    </row>
    <row r="7" spans="1:8" ht="15.75" customHeight="1" x14ac:dyDescent="0.25">
      <c r="B7" s="19" t="s">
        <v>82</v>
      </c>
      <c r="C7" s="101">
        <v>0.4589065999999995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0.19383930000000019</v>
      </c>
    </row>
    <row r="10" spans="1:8" ht="15.75" customHeight="1" x14ac:dyDescent="0.25">
      <c r="B10" s="19" t="s">
        <v>85</v>
      </c>
      <c r="C10" s="101">
        <v>8.8761700000000138E-2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6.481529830288231E-2</v>
      </c>
      <c r="D14" s="55">
        <v>6.481529830288231E-2</v>
      </c>
      <c r="E14" s="55">
        <v>6.481529830288231E-2</v>
      </c>
      <c r="F14" s="55">
        <v>6.481529830288231E-2</v>
      </c>
    </row>
    <row r="15" spans="1:8" ht="15.75" customHeight="1" x14ac:dyDescent="0.25">
      <c r="B15" s="19" t="s">
        <v>88</v>
      </c>
      <c r="C15" s="101">
        <v>0.5316438865047407</v>
      </c>
      <c r="D15" s="101">
        <v>0.5316438865047407</v>
      </c>
      <c r="E15" s="101">
        <v>0.5316438865047407</v>
      </c>
      <c r="F15" s="101">
        <v>0.5316438865047407</v>
      </c>
    </row>
    <row r="16" spans="1:8" ht="15.75" customHeight="1" x14ac:dyDescent="0.25">
      <c r="B16" s="19" t="s">
        <v>89</v>
      </c>
      <c r="C16" s="101">
        <v>4.864881800014479E-2</v>
      </c>
      <c r="D16" s="101">
        <v>4.864881800014479E-2</v>
      </c>
      <c r="E16" s="101">
        <v>4.864881800014479E-2</v>
      </c>
      <c r="F16" s="101">
        <v>4.864881800014479E-2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0.31387260017589541</v>
      </c>
      <c r="D21" s="101">
        <v>0.31387260017589541</v>
      </c>
      <c r="E21" s="101">
        <v>0.31387260017589541</v>
      </c>
      <c r="F21" s="101">
        <v>0.31387260017589541</v>
      </c>
    </row>
    <row r="22" spans="1:8" ht="15.75" customHeight="1" x14ac:dyDescent="0.25">
      <c r="B22" s="19" t="s">
        <v>95</v>
      </c>
      <c r="C22" s="101">
        <v>4.1019397016336938E-2</v>
      </c>
      <c r="D22" s="101">
        <v>4.1019397016336938E-2</v>
      </c>
      <c r="E22" s="101">
        <v>4.1019397016336938E-2</v>
      </c>
      <c r="F22" s="101">
        <v>4.1019397016336938E-2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4.7850161000000002E-2</v>
      </c>
    </row>
    <row r="27" spans="1:8" ht="15.75" customHeight="1" x14ac:dyDescent="0.25">
      <c r="B27" s="19" t="s">
        <v>102</v>
      </c>
      <c r="C27" s="101">
        <v>1.8526506000000002E-2</v>
      </c>
    </row>
    <row r="28" spans="1:8" ht="15.75" customHeight="1" x14ac:dyDescent="0.25">
      <c r="B28" s="19" t="s">
        <v>103</v>
      </c>
      <c r="C28" s="101">
        <v>0.23087115</v>
      </c>
    </row>
    <row r="29" spans="1:8" ht="15.75" customHeight="1" x14ac:dyDescent="0.25">
      <c r="B29" s="19" t="s">
        <v>104</v>
      </c>
      <c r="C29" s="101">
        <v>0.13941172099999999</v>
      </c>
    </row>
    <row r="30" spans="1:8" ht="15.75" customHeight="1" x14ac:dyDescent="0.25">
      <c r="B30" s="19" t="s">
        <v>2</v>
      </c>
      <c r="C30" s="101">
        <v>5.0655509000000001E-2</v>
      </c>
    </row>
    <row r="31" spans="1:8" ht="15.75" customHeight="1" x14ac:dyDescent="0.25">
      <c r="B31" s="19" t="s">
        <v>105</v>
      </c>
      <c r="C31" s="101">
        <v>7.1104772999999982E-2</v>
      </c>
    </row>
    <row r="32" spans="1:8" ht="15.75" customHeight="1" x14ac:dyDescent="0.25">
      <c r="B32" s="19" t="s">
        <v>106</v>
      </c>
      <c r="C32" s="101">
        <v>0.14682545</v>
      </c>
    </row>
    <row r="33" spans="2:3" ht="15.75" customHeight="1" x14ac:dyDescent="0.25">
      <c r="B33" s="19" t="s">
        <v>107</v>
      </c>
      <c r="C33" s="101">
        <v>0.122179683</v>
      </c>
    </row>
    <row r="34" spans="2:3" ht="15.75" customHeight="1" x14ac:dyDescent="0.25">
      <c r="B34" s="19" t="s">
        <v>108</v>
      </c>
      <c r="C34" s="101">
        <v>0.17257504600000001</v>
      </c>
    </row>
    <row r="35" spans="2:3" ht="15.75" customHeight="1" x14ac:dyDescent="0.25">
      <c r="B35" s="27" t="s">
        <v>41</v>
      </c>
      <c r="C35" s="48">
        <f>SUM(C26:C34)</f>
        <v>0.99999999900000014</v>
      </c>
    </row>
  </sheetData>
  <sheetProtection algorithmName="SHA-512" hashValue="ykhHPDnLojTLlNNT8T1LAwzKNyphhQHQ+NPXGGcHbH43QgfXhoPiPzKtmok0pfirGntxppMgxNz5LEHHGk4Y/Q==" saltValue="POy4NYYZy6TFQsOYQftxX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0.87938992953684847</v>
      </c>
      <c r="D2" s="52">
        <f>IFERROR(1-_xlfn.NORM.DIST(_xlfn.NORM.INV(SUM(D4:D5), 0, 1) + 1, 0, 1, TRUE), "")</f>
        <v>0.87938992953684847</v>
      </c>
      <c r="E2" s="52">
        <f>IFERROR(1-_xlfn.NORM.DIST(_xlfn.NORM.INV(SUM(E4:E5), 0, 1) + 1, 0, 1, TRUE), "")</f>
        <v>0.95438422391314237</v>
      </c>
      <c r="F2" s="52">
        <f>IFERROR(1-_xlfn.NORM.DIST(_xlfn.NORM.INV(SUM(F4:F5), 0, 1) + 1, 0, 1, TRUE), "")</f>
        <v>0.79829449737942704</v>
      </c>
      <c r="G2" s="52">
        <f>IFERROR(1-_xlfn.NORM.DIST(_xlfn.NORM.INV(SUM(G4:G5), 0, 1) + 1, 0, 1, TRUE), "")</f>
        <v>0.84520119103464975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0.10568007046315152</v>
      </c>
      <c r="D3" s="52">
        <f>IFERROR(_xlfn.NORM.DIST(_xlfn.NORM.INV(SUM(D4:D5), 0, 1) + 1, 0, 1, TRUE) - SUM(D4:D5), "")</f>
        <v>0.10568007046315152</v>
      </c>
      <c r="E3" s="52">
        <f>IFERROR(_xlfn.NORM.DIST(_xlfn.NORM.INV(SUM(E4:E5), 0, 1) + 1, 0, 1, TRUE) - SUM(E4:E5), "")</f>
        <v>4.2031776086857577E-2</v>
      </c>
      <c r="F3" s="52">
        <f>IFERROR(_xlfn.NORM.DIST(_xlfn.NORM.INV(SUM(F4:F5), 0, 1) + 1, 0, 1, TRUE) - SUM(F4:F5), "")</f>
        <v>0.16849300262057293</v>
      </c>
      <c r="G3" s="52">
        <f>IFERROR(_xlfn.NORM.DIST(_xlfn.NORM.INV(SUM(G4:G5), 0, 1) + 1, 0, 1, TRUE) - SUM(G4:G5), "")</f>
        <v>0.13290230896535032</v>
      </c>
    </row>
    <row r="4" spans="1:15" ht="15.75" customHeight="1" x14ac:dyDescent="0.25">
      <c r="B4" s="5" t="s">
        <v>114</v>
      </c>
      <c r="C4" s="45">
        <v>7.4650000000000003E-3</v>
      </c>
      <c r="D4" s="53">
        <v>7.4650000000000003E-3</v>
      </c>
      <c r="E4" s="53">
        <v>0</v>
      </c>
      <c r="F4" s="53">
        <v>2.0824599999999999E-2</v>
      </c>
      <c r="G4" s="53">
        <v>1.18183E-2</v>
      </c>
    </row>
    <row r="5" spans="1:15" ht="15.75" customHeight="1" x14ac:dyDescent="0.25">
      <c r="B5" s="5" t="s">
        <v>115</v>
      </c>
      <c r="C5" s="45">
        <v>7.4650000000000003E-3</v>
      </c>
      <c r="D5" s="53">
        <v>7.4650000000000003E-3</v>
      </c>
      <c r="E5" s="53">
        <v>3.5839999999999999E-3</v>
      </c>
      <c r="F5" s="53">
        <v>1.23879E-2</v>
      </c>
      <c r="G5" s="53">
        <v>1.0078200000000001E-2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0.84474574356711774</v>
      </c>
      <c r="D8" s="52">
        <f>IFERROR(1-_xlfn.NORM.DIST(_xlfn.NORM.INV(SUM(D10:D11), 0, 1) + 1, 0, 1, TRUE), "")</f>
        <v>0.84474574356711774</v>
      </c>
      <c r="E8" s="52">
        <f>IFERROR(1-_xlfn.NORM.DIST(_xlfn.NORM.INV(SUM(E10:E11), 0, 1) + 1, 0, 1, TRUE), "")</f>
        <v>0.83951432003878668</v>
      </c>
      <c r="F8" s="52" t="str">
        <f>IFERROR(1-_xlfn.NORM.DIST(_xlfn.NORM.INV(SUM(F10:F11), 0, 1) + 1, 0, 1, TRUE), "")</f>
        <v/>
      </c>
      <c r="G8" s="52">
        <f>IFERROR(1-_xlfn.NORM.DIST(_xlfn.NORM.INV(SUM(G10:G11), 0, 1) + 1, 0, 1, TRUE), "")</f>
        <v>0.905622063656631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0.13325765643288232</v>
      </c>
      <c r="D9" s="52">
        <f>IFERROR(_xlfn.NORM.DIST(_xlfn.NORM.INV(SUM(D10:D11), 0, 1) + 1, 0, 1, TRUE) - SUM(D10:D11), "")</f>
        <v>0.13325765643288232</v>
      </c>
      <c r="E9" s="52">
        <f>IFERROR(_xlfn.NORM.DIST(_xlfn.NORM.INV(SUM(E10:E11), 0, 1) + 1, 0, 1, TRUE) - SUM(E10:E11), "")</f>
        <v>0.13732557996121328</v>
      </c>
      <c r="F9" s="52" t="str">
        <f>IFERROR(_xlfn.NORM.DIST(_xlfn.NORM.INV(SUM(F10:F11), 0, 1) + 1, 0, 1, TRUE) - SUM(F10:F11), "")</f>
        <v/>
      </c>
      <c r="G9" s="52">
        <f>IFERROR(_xlfn.NORM.DIST(_xlfn.NORM.INV(SUM(G10:G11), 0, 1) + 1, 0, 1, TRUE) - SUM(G10:G11), "")</f>
        <v>8.4051436343369007E-2</v>
      </c>
    </row>
    <row r="10" spans="1:15" ht="15.75" customHeight="1" x14ac:dyDescent="0.25">
      <c r="B10" s="5" t="s">
        <v>119</v>
      </c>
      <c r="C10" s="45">
        <v>2.1996600000000002E-2</v>
      </c>
      <c r="D10" s="53">
        <v>2.1996600000000002E-2</v>
      </c>
      <c r="E10" s="53">
        <v>2.3160099999999999E-2</v>
      </c>
      <c r="F10" s="53">
        <v>0</v>
      </c>
      <c r="G10" s="53">
        <v>4.6043999999999998E-3</v>
      </c>
    </row>
    <row r="11" spans="1:15" ht="15.75" customHeight="1" x14ac:dyDescent="0.25">
      <c r="B11" s="5" t="s">
        <v>120</v>
      </c>
      <c r="C11" s="45">
        <v>0</v>
      </c>
      <c r="D11" s="53">
        <v>0</v>
      </c>
      <c r="E11" s="53">
        <v>0</v>
      </c>
      <c r="F11" s="53">
        <v>0</v>
      </c>
      <c r="G11" s="53">
        <v>5.7220999999999999E-3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0.32033981174999998</v>
      </c>
      <c r="D14" s="54">
        <v>0.31614712435300002</v>
      </c>
      <c r="E14" s="54">
        <v>0.31614712435300002</v>
      </c>
      <c r="F14" s="54">
        <v>0.15880290981799999</v>
      </c>
      <c r="G14" s="54">
        <v>0.15880290981799999</v>
      </c>
      <c r="H14" s="45">
        <v>0.28799999999999998</v>
      </c>
      <c r="I14" s="55">
        <v>0.28799999999999998</v>
      </c>
      <c r="J14" s="55">
        <v>0.28799999999999998</v>
      </c>
      <c r="K14" s="55">
        <v>0.28799999999999998</v>
      </c>
      <c r="L14" s="45">
        <v>0.20799999999999999</v>
      </c>
      <c r="M14" s="55">
        <v>0.20799999999999999</v>
      </c>
      <c r="N14" s="55">
        <v>0.20799999999999999</v>
      </c>
      <c r="O14" s="55">
        <v>0.20799999999999999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0.18766082783976151</v>
      </c>
      <c r="D15" s="52">
        <f t="shared" si="0"/>
        <v>0.18520467609422578</v>
      </c>
      <c r="E15" s="52">
        <f t="shared" si="0"/>
        <v>0.18520467609422578</v>
      </c>
      <c r="F15" s="52">
        <f t="shared" si="0"/>
        <v>9.3029603023761134E-2</v>
      </c>
      <c r="G15" s="52">
        <f t="shared" si="0"/>
        <v>9.3029603023761134E-2</v>
      </c>
      <c r="H15" s="52">
        <f t="shared" si="0"/>
        <v>0.168715584</v>
      </c>
      <c r="I15" s="52">
        <f t="shared" si="0"/>
        <v>0.168715584</v>
      </c>
      <c r="J15" s="52">
        <f t="shared" si="0"/>
        <v>0.168715584</v>
      </c>
      <c r="K15" s="52">
        <f t="shared" si="0"/>
        <v>0.168715584</v>
      </c>
      <c r="L15" s="52">
        <f t="shared" si="0"/>
        <v>0.12185014400000001</v>
      </c>
      <c r="M15" s="52">
        <f t="shared" si="0"/>
        <v>0.12185014400000001</v>
      </c>
      <c r="N15" s="52">
        <f t="shared" si="0"/>
        <v>0.12185014400000001</v>
      </c>
      <c r="O15" s="52">
        <f t="shared" si="0"/>
        <v>0.12185014400000001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PkUYHWIdocqwcTEqnLudQsTKs+K+obm636fcB1V0ExD8zu+vhyQWteTmJlHLZ4xls7PMnDKNKmvuQVEJdY4wA==" saltValue="Ud3OSEDhUg40uoQZjGyX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0.62880749999999996</v>
      </c>
      <c r="D2" s="53">
        <v>0.35571920000000001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2.2373400000000002E-2</v>
      </c>
      <c r="D3" s="53">
        <v>6.3059799999999999E-2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0.28091640000000001</v>
      </c>
      <c r="D4" s="53">
        <v>0.3799498</v>
      </c>
      <c r="E4" s="53">
        <v>0.59910560000000002</v>
      </c>
      <c r="F4" s="53">
        <v>0.34869080000000002</v>
      </c>
      <c r="G4" s="53">
        <v>0</v>
      </c>
    </row>
    <row r="5" spans="1:7" x14ac:dyDescent="0.25">
      <c r="B5" s="3" t="s">
        <v>132</v>
      </c>
      <c r="C5" s="52">
        <v>6.7902599999999994E-2</v>
      </c>
      <c r="D5" s="52">
        <v>0.20127120000000001</v>
      </c>
      <c r="E5" s="52">
        <f>1-SUM(E2:E4)</f>
        <v>0.40089439999999998</v>
      </c>
      <c r="F5" s="52">
        <f>1-SUM(F2:F4)</f>
        <v>0.65130920000000003</v>
      </c>
      <c r="G5" s="52">
        <f>1-SUM(G2:G4)</f>
        <v>1</v>
      </c>
    </row>
  </sheetData>
  <sheetProtection algorithmName="SHA-512" hashValue="l1pyaa5SZGmqO8bvYZN0F9zQ2A2+WLERqEkj7GWE81q/2lI4y8q8LX3GJ8y4qX4lw1tBNoNcKLPOVp+8AJbWMw==" saltValue="DhhC5y1Tw/sQXZ+FBjSvP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UQCAvrK/Kct+O5uFyCNXaHDbyqctac/0D/i//4V5Q9IIMEg34XPSVshQ5qcRMd3XxBh6/5a4BbNio7ouAFOKw==" saltValue="Te+hbT+ybqIDMUgT96lZM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zfLiV0gU9C3+nEGUwdEHMbxfHuU0nZbUkiuvwRM7ArI+mqacJ4jabUzWUd52saCoyd9JA/VQRUavEmEjJHm7aw==" saltValue="xAUS52On34ywphRjOQyUJ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fzFINFcMzEHieziyEGQRQSBgnI/VF3gjO636kquZpiumWh+sru2QDOa3K0X6ZdV0TY5xs8hSinYwURVtZwPT1w==" saltValue="iVdyJ5+Gezl14j47NYMlm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idxPkEfBUa8dxilX2+qwortTa6CECOeAN/Q/h4QBVWdh0tNHDzhuY3Yn8xXgj49fhB5mdXj8xdZcbNSOEBQMgQ==" saltValue="eeacAbkQ2RKMECcxyjulx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55.507503876711553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39.823604613076341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374.86417937488761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2.286454056738934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12.95590405687226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12.95590405687226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12.95590405687226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12.95590405687226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12.95590405687226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12.95590405687226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0.6626698567676067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0.35571920000000001</v>
      </c>
      <c r="C18" s="98">
        <v>0.95</v>
      </c>
      <c r="D18" s="56">
        <v>8.6538627513423272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0.35571920000000001</v>
      </c>
      <c r="C19" s="98">
        <v>0.95</v>
      </c>
      <c r="D19" s="56">
        <v>8.6538627513423272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28.257105296829788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22.328246958423339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4.2441655453988991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0.69818419053219993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18.814934548265089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0.63037770000000004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0.53491379999999999</v>
      </c>
      <c r="C29" s="98">
        <v>0.95</v>
      </c>
      <c r="D29" s="56">
        <v>107.8921549536976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2.1129719322902618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1.417065121738269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0.69543660000000007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5.3412599999999998E-2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1.7857000000000001E-2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0.98544960000000004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4.0758000000000003E-2</v>
      </c>
      <c r="C38" s="98">
        <v>0.95</v>
      </c>
      <c r="D38" s="56">
        <v>4.9685392525961998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eqpuqveI+scktXuUmys8yovjEBl3hpQA90D4ewgErsyM9UT/XdAdu1OsCiIWKNItfC3LcRpF7TX+VVAyJfCABw==" saltValue="dFPvwHyJFqYpaehbVfdp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Rb+VsoePoUtkH4g/EHb43FZ5IRAO13tTUX8mnL3Zilqc+WrAVC2cpZpERQg48MB8wD6s4A7rLZn+zYNPmEGA6g==" saltValue="TC7sGXMhDpJhIZZEl9CK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iNSDhnRcVqGYkj+WILOcIZakUhErHCv2b3gPLjNGELz0z2TsuNL7dWh/fznagLp7l1Y54MEi6oUSayJL6HKTtw==" saltValue="zqnB1U9VmgL82VYX+Q0gn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0</v>
      </c>
      <c r="C2" s="21">
        <f>'Données pop de l''année de ref'!C52</f>
        <v>0</v>
      </c>
      <c r="D2" s="21">
        <f>'Données pop de l''année de ref'!C53</f>
        <v>0</v>
      </c>
      <c r="E2" s="21">
        <f>'Données pop de l''année de ref'!C54</f>
        <v>0</v>
      </c>
      <c r="F2" s="21">
        <f>'Données pop de l''année de ref'!C55</f>
        <v>0</v>
      </c>
    </row>
    <row r="3" spans="1:6" ht="15.75" customHeight="1" x14ac:dyDescent="0.25">
      <c r="A3" s="3" t="s">
        <v>209</v>
      </c>
      <c r="B3" s="21">
        <f>frac_mam_1month * 2.6</f>
        <v>5.7191160000000005E-2</v>
      </c>
      <c r="C3" s="21">
        <f>frac_mam_1_5months * 2.6</f>
        <v>5.7191160000000005E-2</v>
      </c>
      <c r="D3" s="21">
        <f>frac_mam_6_11months * 2.6</f>
        <v>6.0216260000000001E-2</v>
      </c>
      <c r="E3" s="21">
        <f>frac_mam_12_23months * 2.6</f>
        <v>0</v>
      </c>
      <c r="F3" s="21">
        <f>frac_mam_24_59months * 2.6</f>
        <v>1.197144E-2</v>
      </c>
    </row>
    <row r="4" spans="1:6" ht="15.75" customHeight="1" x14ac:dyDescent="0.25">
      <c r="A4" s="3" t="s">
        <v>208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1.487746E-2</v>
      </c>
    </row>
  </sheetData>
  <sheetProtection algorithmName="SHA-512" hashValue="sd1Od+ath6I9YBL2yvfJYmRYwb4J/PT/FHtx7kH/Y6V40cSDZNwG8dZVs/Qdms1yBjNzsXyWTVVi6/xsV9w8bA==" saltValue="sWmGZkMKAsYcdaninoM03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0.01</v>
      </c>
      <c r="E2" s="60">
        <f>food_insecure</f>
        <v>0.01</v>
      </c>
      <c r="F2" s="60">
        <f>food_insecure</f>
        <v>0.01</v>
      </c>
      <c r="G2" s="60">
        <f>food_insecure</f>
        <v>0.01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0</v>
      </c>
      <c r="D7" s="60">
        <f>diarrhoea_1_5mo*frac_diarrhea_severe</f>
        <v>0</v>
      </c>
      <c r="E7" s="60">
        <f>diarrhoea_6_11mo*frac_diarrhea_severe</f>
        <v>0</v>
      </c>
      <c r="F7" s="60">
        <f>diarrhoea_12_23mo*frac_diarrhea_severe</f>
        <v>0</v>
      </c>
      <c r="G7" s="60">
        <f>diarrhoea_24_59mo*frac_diarrhea_severe</f>
        <v>0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0</v>
      </c>
      <c r="D12" s="60">
        <f>diarrhoea_1_5mo*frac_diarrhea_severe</f>
        <v>0</v>
      </c>
      <c r="E12" s="60">
        <f>diarrhoea_6_11mo*frac_diarrhea_severe</f>
        <v>0</v>
      </c>
      <c r="F12" s="60">
        <f>diarrhoea_12_23mo*frac_diarrhea_severe</f>
        <v>0</v>
      </c>
      <c r="G12" s="60">
        <f>diarrhoea_24_59mo*frac_diarrhea_severe</f>
        <v>0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0.01</v>
      </c>
      <c r="I15" s="60">
        <f>food_insecure</f>
        <v>0.01</v>
      </c>
      <c r="J15" s="60">
        <f>food_insecure</f>
        <v>0.01</v>
      </c>
      <c r="K15" s="60">
        <f>food_insecure</f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0.52100000000000002</v>
      </c>
      <c r="M24" s="60">
        <f>famplan_unmet_need</f>
        <v>0.52100000000000002</v>
      </c>
      <c r="N24" s="60">
        <f>famplan_unmet_need</f>
        <v>0.52100000000000002</v>
      </c>
      <c r="O24" s="60">
        <f>famplan_unmet_need</f>
        <v>0.52100000000000002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0.10488076480102523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4.4948899200439395E-2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6.3299303283691322E-2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0.78687103271484404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PiqOqiLYSGaNm9rxqGpDOVHNiZgdjuqwWVA3DbqPN6IWARBc6oxDJnKjhN+AQgGzUl+WH64wMPrawFD42/k2A==" saltValue="hHpk/HhzFkNTC8TcUsk3n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nyCVePUnLFN2H863a/d4RWoOsjMEVESPXZ07V08I6mlLB0CdX1iJRlm+HA58wkGTtGhGEyP9oLnKvUoLCxTmnQ==" saltValue="ulgmG2V0V64ZLp5TH+rAS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lXvC3TvvVHHisscLiDAW2buQmC5vHtVbkoXgRNbLDmvepr7LNI0c9stvKu7tolMcE35WRWn6QL9f0RmxbSygg==" saltValue="Tkw9/XAtYzTeNF6Xh+p10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PUT02quu/1s5zmcOhyLCZQjpclapvqUPOMwMI2VCw7I26zQ+pBPXqrC2kNIhmLWxzg/zIO5ZCD9rKwBbrbDNQ==" saltValue="0ThFkW0502rICrJgxWEjx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/vbt+UD/WGXslEGf8PyFAL7fNYbOK+p5RRbqjtFZttPhCPQHYFKB6qLZalMWKyZWGXlNlaXGrUxDlptGkZfGuw==" saltValue="ZagT3BIO9cy92JFW8NVfg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6kFbBXv/wUZvAiUZUDH1j39uP2rrbU5KcYmWJN1MU9PTv2AJO8sFyFHSlVVGCJwXuVCnx9LLgIRn91xWazK7yA==" saltValue="YrVA2oL8v5ElVergz2A/R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NavjAmmxf9F/ZaYO0DYXCXipLRcCWvRnd/xiZHWCuSIe3HM9U6yqhSRE5qpPd6avkhjLDiaOIExltKwnz1xOg==" saltValue="KxaJC77SVPtfZbzOyJGMv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Gh9rFSrXc2Lc4vjy7MvzKCyo0V3fSMXxU3KIVYO6etZ6d0p2gU7mZqN/4SsXx5z1Fko4Mldfo9GM0c+Syin+A==" saltValue="4adlCO4e/25qXKcXjJI9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ywjRz4AkgSjhIbnM+l5f7VlW7hwRxxc1wpuyGeZIJcfZQ2+hqQXJtqzFdse/i4Bf9D/fi63Tb7M6rbY7i+L0Q==" saltValue="vq2yjO15b0eVS7tEh77D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OuaTGSPXiAehLA1B5Z8eCO/3pjMKgR5YuLOPbkV0/FbnpRl319OtLQgCJo/KO2h3Fgqah9C/uY5WsRDOdblt4w==" saltValue="daSaPiO3YjjkqnkmCFS8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KU9BVgdcpasZ/vopVklKm2fbiTspwDMQBvYnyqJh/b2FWXNBALMrgX5cBILd9GzDys+zrrdiV+H6ve3B9tYzNA==" saltValue="yYTApGEqeIvPVD7cqMeX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qio3eYXtcdUPl0Jyor63vkBRWFW4n5PvW0B91beElsIMYOGLwhx7JT99mxPFJp07LHLBa5xCsoXup+xKjpu1Q==" saltValue="hChYxoccb0T1wiNEAfII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0QjGNED5E142Vhq42Xydy8x2k1/ig6nsV9wfDUXK/5kVDhVfspbubDePj9vpLes2Xsk0bxkeGcZ7ufcaN5ALw==" saltValue="vjD+jXahyd5WGkWQafmf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0.10999999999999999</v>
      </c>
      <c r="H18" s="90">
        <f>MIN(MAX(1-0.89/(1-frac_sam_24_59months+(frac_sam_24_59months*0.89)),0),1)</f>
        <v>0.1094394535847093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0.10772683507001957</v>
      </c>
      <c r="G20" s="90">
        <f>MIN(MAX(1-0.89/(1-frac_mam_12_23months+(frac_mam_12_23months*0.89)),0),1)</f>
        <v>0.10999999999999999</v>
      </c>
      <c r="H20" s="90">
        <f>MIN(MAX(1-0.89/(1-frac_mam_24_59months+(frac_mam_24_59months*0.89)),0),1)</f>
        <v>0.10954900081612939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1.0000000000000009E-2</v>
      </c>
      <c r="H73" s="90">
        <f>MIN(MAX(1-0.99/(1-frac_sam_24_59months+(frac_sam_24_59months*0.99)),0),1)</f>
        <v>9.9433479683141979E-3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9.770661895065591E-3</v>
      </c>
      <c r="G75" s="90">
        <f>MIN(MAX(1-0.99/(1-frac_mam_12_23months+(frac_mam_12_23months*0.99)),0),1)</f>
        <v>1.0000000000000009E-2</v>
      </c>
      <c r="H75" s="90">
        <f>MIN(MAX(1-0.99/(1-frac_mam_24_59months+(frac_mam_24_59months*0.99)),0),1)</f>
        <v>9.9544143410539299E-3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0.19999999999999996</v>
      </c>
      <c r="H128" s="90">
        <f>MIN(MAX(1-0.8/(1-frac_sam_24_59months+(frac_sam_24_59months*0.8)),0),1)</f>
        <v>0.19908341504184224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0.19627713963633819</v>
      </c>
      <c r="G130" s="90">
        <f>MIN(MAX(1-0.8/(1-frac_mam_12_23months+(frac_mam_12_23months*0.8)),0),1)</f>
        <v>0.19999999999999996</v>
      </c>
      <c r="H130" s="90">
        <f>MIN(MAX(1-0.8/(1-frac_mam_24_59months+(frac_mam_24_59months*0.8)),0),1)</f>
        <v>0.19926261695870495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SuIbV11N8AxE31McvtcZktyi2o+nrGtlUSurgntlEsb0cexxWBbs1+uWP158zHhYveE1OCAnVfbP1CHI6sAtQ==" saltValue="nxIhVNSRQ52tPy/EKN6K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YFb26kfs+r8uf15UWfBxMqWcyiJYr5MvAfXsjA4OoHrGgW0Z8yq0AITdFAX7VJ/5ikgzjt50FMSJbqTmwpyi7Q==" saltValue="OLvlURGFBJmGdEjcAofRz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2024-08-06T09:53:06Z</dcterms:modified>
</cp:coreProperties>
</file>