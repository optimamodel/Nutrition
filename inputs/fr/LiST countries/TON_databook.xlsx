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Modelling projects\Nutrition\inputs\fr\LiST countries\"/>
    </mc:Choice>
  </mc:AlternateContent>
  <xr:revisionPtr revIDLastSave="0" documentId="8_{2FD73C60-39D2-4D5D-8F10-B62690764CF5}" xr6:coauthVersionLast="47" xr6:coauthVersionMax="47" xr10:uidLastSave="{00000000-0000-0000-0000-000000000000}"/>
  <bookViews>
    <workbookView xWindow="-110" yWindow="-110" windowWidth="19420" windowHeight="1030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M60" i="25"/>
  <c r="N60" i="25"/>
  <c r="O60" i="25"/>
  <c r="L60" i="25"/>
  <c r="L14" i="25"/>
  <c r="O37" i="25"/>
  <c r="N37" i="25"/>
  <c r="M37" i="25"/>
  <c r="L37" i="25"/>
  <c r="H159" i="27"/>
  <c r="G159" i="27"/>
  <c r="F159" i="27"/>
  <c r="E159" i="27"/>
  <c r="D159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G158" i="27" s="1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A40" i="2"/>
  <c r="H39" i="2"/>
  <c r="G39" i="2"/>
  <c r="H38" i="2"/>
  <c r="G38" i="2"/>
  <c r="A35" i="2"/>
  <c r="A34" i="2"/>
  <c r="A24" i="2"/>
  <c r="H13" i="2"/>
  <c r="G13" i="2"/>
  <c r="H12" i="2"/>
  <c r="G12" i="2"/>
  <c r="I12" i="2" s="1"/>
  <c r="H11" i="2"/>
  <c r="G11" i="2"/>
  <c r="H10" i="2"/>
  <c r="G10" i="2"/>
  <c r="H9" i="2"/>
  <c r="G9" i="2"/>
  <c r="H8" i="2"/>
  <c r="G8" i="2"/>
  <c r="H7" i="2"/>
  <c r="G7" i="2"/>
  <c r="H6" i="2"/>
  <c r="G6" i="2"/>
  <c r="I6" i="2" s="1"/>
  <c r="H5" i="2"/>
  <c r="G5" i="2"/>
  <c r="H4" i="2"/>
  <c r="G4" i="2"/>
  <c r="H3" i="2"/>
  <c r="G3" i="2"/>
  <c r="H2" i="2"/>
  <c r="G2" i="2"/>
  <c r="A2" i="2"/>
  <c r="A39" i="2" s="1"/>
  <c r="C33" i="1"/>
  <c r="C20" i="1"/>
  <c r="I2" i="2" l="1"/>
  <c r="I8" i="2"/>
  <c r="A19" i="2"/>
  <c r="A36" i="2"/>
  <c r="I7" i="2"/>
  <c r="I13" i="2"/>
  <c r="A37" i="2"/>
  <c r="I38" i="2"/>
  <c r="A22" i="2"/>
  <c r="I39" i="2"/>
  <c r="I3" i="2"/>
  <c r="I9" i="2"/>
  <c r="A23" i="2"/>
  <c r="I4" i="2"/>
  <c r="A25" i="2"/>
  <c r="A26" i="2"/>
  <c r="I11" i="2"/>
  <c r="A31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37" authorId="1" shapeId="0" xr:uid="{B53E2CCE-449F-4B13-937B-3F8B887F6752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37" authorId="1" shapeId="0" xr:uid="{1148A5A1-251A-4064-B40F-0C873577904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37" authorId="1" shapeId="0" xr:uid="{15C867EE-F338-4C14-9C7D-F0E3CF1EF5F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37" authorId="1" shapeId="0" xr:uid="{8E4E4ECE-5F5C-4FD8-8945-6257CBFF139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E6EBA730-3C9A-42F5-8372-C12E3D2BCF2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AF9DB01E-B712-4A66-A517-1C057B372D4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207C9149-2C56-40E5-890F-83153B938A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39C4CB92-7EE0-4046-B67E-41191387FFA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E377B1E7-A333-4A74-97C3-029328512C0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200C4BAB-9EE2-447E-A6DD-80717CFE4A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9FC7E5D2-2D8B-4961-9B75-5691D4A68B0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51D76C-28E5-48CE-899C-D128152950F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9DCEC9B-12F6-42CF-8CD9-B1C5DD42DE7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FD33C3F-D78F-4E9D-A67C-9D39AC73491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3400288E-DF03-41FF-B1F2-3EB20AA1B92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C325214-076C-49F4-9A1C-FDD39C7EF1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9B6733C4-FA93-4154-8674-5B85D19B611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607EB3C-B9C7-4D01-AE82-3B20B34591B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26DD0551-BD1F-450A-8953-951E786BA72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7B0F43C-E3A4-41A5-9220-14111D4DE5D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BF774CA2-E4B3-46E6-A04D-901C8156EE7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DDFF231A-B050-4E30-B877-4FB8473D71B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0214BC76-CC8A-414C-8D7A-C51B3E742D6B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408E5496-8B3D-4F1E-BD84-9A9255C25832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DF0EEE5A-AAEC-4832-9B3D-B069B0FD3D24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2A9C86D6-9952-4010-8EF5-ED482E1554F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5A70274A-2FB2-4238-A065-120459AD1B1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385F9BE4-A3AC-4198-BAC3-722E7A52040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1E0B57C8-7A0A-48E3-A3E8-1E19A717549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2AC9637A-4534-4154-9BD7-3AE7DD8CD9D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01A3CEF9-0D30-4FDB-AF26-2DC31C7D29F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E3448607-813B-4893-BFAF-1777B6724F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CB33591A-EF28-41CE-A9F1-ECF332B1A0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652EDCEE-9F4F-4011-BE3F-87A81AEAB68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2E7DF39-BD3C-4774-9BD5-66837E9E22B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84346A43-22E1-4209-86B7-5484553C9A3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6AA73D8B-E906-4C63-9A89-433F265EDADB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D0DB495D-46B4-4957-B9C2-D1B5214046C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E8F934AE-F36A-4978-A2B4-5231B12CD33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53D9CECE-9FA0-4330-B76A-C6EEC6C1D65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9DC905D6-8DE5-4FE7-BE6F-D3E934A7520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ACC4B3F7-E558-402F-BE57-0C3DDC8060F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955FA18E-86F7-422C-8CA5-A38FE48813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33441C3A-E101-49E5-A4DB-504F222DBAB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9A6BDF27-568B-45B9-BE8D-362C80D286A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08FA6FC1-5E34-45F1-9F8B-4E7BAEF15D4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9730E75-4547-4DE1-A9F2-FCA6D5B0977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38945CFE-2923-4A7C-9E0E-820E103F12F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F76610CF-AE5A-4A2B-BD5A-C60057991BB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8EC67AD9-5004-458A-B78A-27343190877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8D6C5816-8BDB-4D07-A205-24F2394A45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76A1BFB-64B6-4C17-9732-138D8EB4934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962C7931-87AA-452E-BF56-06BF5EBED30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25F108DC-6C32-4B96-9492-1B12A3709CE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8B1376CD-B39F-49F6-BC5B-7A2858E0592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048CF327-553B-4B14-8A84-22CC73D47D4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1FFD936D-DA45-475C-9F30-391304B2787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3CED59C7-FFD8-4D8E-9210-1FB3B9F5724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BFC97A30-BB96-4307-90EA-5BE03611C63A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51ED88B2-1E5E-47FC-9698-0E5AB645D50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61CB528-6BAE-4817-8CC0-243735B76FA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E496632C-74C0-41C8-9AB4-0B4C878936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FBF69FC4-CD17-4513-AF48-E695A29BF82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900E651E-9020-4856-BB60-BF507FACE1C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49F9B2F7-6FD6-4FDF-921C-425B5CDD515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4AC52846-7242-459E-9C8D-BF78F201C11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B7E52F08-0E63-474C-A17D-FB71B12C1A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29CDC5B-FBD8-45AA-9D30-2F9915F0B0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74D24310-E8B6-4724-B08F-C246A0B86F1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026E01B-E53C-4032-904B-4C8C6143328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56E6B52D-1C74-48A6-AB95-D033A5B5881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A2996F6D-43C2-499B-8B4D-F7E66869236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1BA30CAA-FFAB-42ED-B857-7C2DBF6DD53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234E5DD0-50F5-435F-A2AD-FDCE2659B3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81B268C8-266C-41E0-8968-7FD59EF4441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D68CDFE1-6866-4AC0-B4D7-B34E1A99563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6447B983-C337-44DD-BE06-3BF10916980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42AC3582-1D7E-471B-A6C7-CD7E77F8588B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499C901-0DF0-4641-8493-EE778DE73B9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080FF01F-34D3-44B7-835E-C7CC7A5B457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B263C3DB-9806-4F53-B7FE-F5AB30086A0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FF88E7CE-1D54-4693-9AC1-0680C287922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F32BE7CD-2AAA-47AD-914F-4CAAC1FEDD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BCFCAE2C-B071-4EBD-916E-9CB34A3AE95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E2890E16-5EE9-49DE-B974-B3ADDC0025F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FFC68E24-6D1B-4208-B66E-D8A12166F7E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AE98D75E-0886-4415-A5FC-355EDA6C4FF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F3FF4EFF-507E-406A-9019-C50AD187D2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DE5B9A2C-A2CF-41B4-A227-60CE716BCCA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34EEDC69-740F-43FD-A983-6FB9711FB1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1C7CF2A-6820-4496-B5B3-46A027800BF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EBC10A23-30BF-4E42-8CA2-8EE10D6CA31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C4570B06-D8B9-4BF0-8899-481D28F107D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E10AAA50-CCAF-4DFB-8CEA-438EA669514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0D2DBAA3-0B85-4069-9696-DDECC83557D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E6F4F3F2-6816-43AD-9558-8D77B03CE64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994813E0-DC6E-4867-8FA2-13765D152F5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6D709644-E2DA-4998-B8D6-CCE8241FA06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E0BF8484-6C50-4B90-B5C7-81D81EF1805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98B23DB2-DC71-4976-B9E0-A2E971751C4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ED7AE56-914C-4919-99D9-9B4DD94D01A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C946989D-0B8C-452F-9FD8-02724BD0218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509D43A-5096-49C2-BA18-0C199C6BF4A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D8578B9-425B-43DC-B215-7EF10F08E8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309E82E0-67AD-454E-9A05-4D9313B66A9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9EF8017-E5A0-4B1E-9AF7-1E695ECA49A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26E77479-1563-4266-B2C1-17AF174C957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09D666FE-E28F-48AE-ADF8-2D96C595DB94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B9267817-21CE-42E6-A675-E3EF4A926E9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D5F41D35-9589-4734-9273-1246C82D90D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68C36586-6425-44D5-AE71-7B83AC0B0D8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AF8C373-AE13-4606-898A-ED625C1645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A99AB4B1-F894-4133-B7CD-69537AC87F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66812343-2E7C-44E8-B27C-8CF88CE0513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84DF3D1-4AA8-4943-A530-5AAE715E42E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1DE26347-7149-43FD-858E-465A040CC0F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B687D13E-D130-42E7-9D6A-3F80F0C7EF5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9BC31D67-F810-46D7-B5A1-4288AAC1F5B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64D245B3-8DA5-40BE-BC14-2456737D9F8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5798986F-DE4D-469D-8D38-C4A2549541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1683DE01-9F25-40E0-AE29-34410454063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6E399964-9FF6-4F4D-B47E-AC805C54B9B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EFF89D0F-5E10-4447-B0BA-64F660AD6D1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E024415B-2F81-4A00-9886-75203AC76837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773BC8B9-C7FD-4E1D-BFAD-28167A2B024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E0893EE6-8215-43BF-B8DC-C2BA125EF50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0106407-B25E-404E-AE98-C6E846DE743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B3781CC1-6735-4678-95E3-B6650A0CF97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550CF970-1632-472E-99A6-5157A6C70FB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0F529DF4-B0D9-4A77-880D-52378457049B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0A749486-D0DA-44DD-A158-4937B013D9E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65A87F96-9920-4AFF-9D42-432A9BC46A3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14AFEBEB-6E6D-485B-AD84-D77832449F6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C956521D-520C-46E0-BBF9-22BA4AB582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889435D0-F1CE-49D5-B3FA-2C346C3DD8B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21DCB560-D7D0-454D-9256-2EB6BA5D9FA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2CA48B3A-F458-496E-A12E-9EDFF9710F1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D5130B5B-6564-4541-AFF7-B31DC2A99F0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A87CEC0D-D5EC-411A-9E0A-45792CF26B1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F07A7990-2D7C-41E0-8069-25EED27A8B7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B9A5DC53-F533-4CB3-94F1-5C0DF398AC6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F61BC170-6314-4BE8-BD27-ACBE21EC6D8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F2F9EF38-F3FC-4F8C-BAEA-4602406D7D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03156B19-EF6A-4B80-952F-EA4B39906AB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6C70B7FC-07DB-4AA6-AD5D-BA8D185F69A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ECCF229F-BC05-441A-A8EC-996A647C989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853363A1-995D-434E-99B9-CBFFCC587E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D7049EC9-BADF-40DE-979A-0A74E0293BB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C916B5A2-27DC-436D-B575-9210A24C214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D9F9FF7F-8008-4D79-ABB3-028FF22CD55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D7D5CD6A-B8A4-4771-AAA0-5113E0A3BC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6B708C5-CF4C-4BD9-A112-999F5C5817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52C7700-A4E9-41DE-B7A6-091614D4800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C648195E-E2CA-46F6-BED8-ABE76E4EB10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876F0647-9D39-464F-9AEF-66CCB9E7BE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A2FD75B6-2FF3-4112-A257-87C89428A2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17B0E3BD-602F-47AD-8FDA-505C553A7C4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<sst xmlns="http://schemas.openxmlformats.org/spreadsheetml/2006/main" count="2169" uniqueCount="369">
  <si>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</si>
  <si>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</si>
  <si>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</si>
  <si>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</si>
  <si>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</si>
  <si>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</si>
  <si>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</si>
  <si>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</si>
  <si>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</si>
  <si>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</si>
  <si>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</si>
  <si>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</si>
  <si>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</si>
  <si>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</si>
  <si>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</si>
  <si>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</si>
  <si>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</si>
  <si>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</si>
  <si>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</si>
  <si>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</si>
  <si>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</si>
  <si>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</si>
  <si>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</si>
  <si>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</si>
  <si>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</si>
  <si>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</si>
  <si>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</si>
  <si>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</si>
  <si>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</si>
  <si>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</si>
  <si>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</si>
  <si>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</si>
  <si>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</si>
  <si>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</si>
  <si>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</si>
  <si>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</si>
  <si>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</si>
  <si>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</si>
  <si>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</si>
  <si>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</si>
  <si>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</si>
  <si>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</si>
  <si>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</si>
  <si>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</si>
  <si>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</si>
  <si>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</si>
  <si>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</si>
  <si>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</si>
  <si>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</si>
  <si>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</si>
  <si>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</si>
  <si>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</si>
  <si>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</si>
  <si>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</si>
  <si>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</si>
  <si>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</si>
  <si>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</si>
  <si>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</si>
  <si>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</si>
  <si>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</si>
  <si>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</si>
  <si>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</si>
  <si>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</si>
  <si>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</si>
  <si>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</si>
  <si>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</si>
  <si>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</si>
  <si>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</si>
  <si>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</si>
  <si>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</si>
  <si>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</si>
  <si>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</si>
  <si>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</si>
  <si>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</si>
  <si>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</si>
  <si>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</si>
  <si>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</si>
  <si>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</si>
  <si>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</si>
  <si>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</si>
  <si>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</si>
  <si>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</si>
  <si>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</si>
  <si>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</si>
  <si>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</si>
  <si>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</si>
  <si>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</si>
  <si>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</si>
  <si>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</si>
  <si>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</si>
  <si>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</si>
  <si>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</si>
  <si>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</si>
  <si>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</si>
  <si>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</si>
  <si>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</si>
  <si>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</si>
  <si>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</si>
  <si>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</si>
  <si>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</si>
  <si>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</si>
  <si>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</si>
  <si>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</si>
  <si>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</si>
  <si>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</si>
  <si>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</si>
  <si>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</si>
  <si>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</si>
  <si>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</si>
  <si>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</si>
  <si>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</si>
  <si>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</si>
  <si>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</si>
  <si>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</si>
  <si>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</si>
  <si>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</si>
  <si>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</si>
  <si>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</si>
  <si>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</si>
  <si>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</si>
  <si>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</si>
  <si>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</si>
  <si>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</si>
  <si>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</si>
  <si>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</si>
  <si>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</si>
  <si>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</si>
  <si>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</si>
  <si>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</si>
  <si>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</si>
  <si>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</si>
  <si>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</si>
  <si>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</si>
  <si>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</si>
  <si>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</si>
  <si>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</si>
  <si>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</si>
  <si>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</si>
  <si>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</si>
  <si>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</si>
  <si>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</si>
  <si>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</si>
  <si>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</si>
  <si>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</si>
  <si>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</si>
  <si>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</si>
  <si>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</si>
  <si>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</si>
  <si>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</si>
  <si>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</si>
  <si>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</si>
  <si>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</si>
  <si>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</si>
  <si>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</si>
  <si>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</si>
  <si>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</si>
  <si>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</si>
  <si>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</si>
  <si>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</si>
  <si>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</si>
  <si>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</si>
  <si>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</si>
  <si>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</si>
  <si>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</si>
  <si>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</si>
  <si>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</si>
  <si>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</si>
  <si>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</si>
  <si>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</si>
  <si>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</si>
  <si>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</si>
  <si>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</si>
  <si>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</si>
  <si>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</si>
  <si>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</si>
  <si>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</si>
  <si>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</si>
  <si>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</si>
  <si>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</si>
  <si>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</si>
  <si>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</si>
  <si>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</si>
  <si>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</si>
  <si>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</si>
  <si>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</si>
  <si>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</si>
  <si>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</si>
  <si>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</si>
  <si>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</si>
  <si>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</si>
  <si>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</si>
  <si>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</si>
  <si>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</si>
  <si>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</si>
  <si>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</si>
  <si>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</si>
  <si>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</si>
  <si>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</si>
  <si>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</si>
  <si>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</si>
  <si>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</si>
  <si>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</si>
  <si>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</si>
  <si>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</si>
  <si>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</si>
  <si>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</si>
  <si>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</si>
  <si>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</si>
  <si>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</si>
  <si>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</si>
  <si>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</si>
  <si>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</si>
  <si>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</si>
  <si>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</si>
  <si>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</si>
  <si>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</si>
  <si>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</si>
  <si>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</si>
  <si>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</si>
  <si>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</si>
  <si>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</si>
  <si>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</si>
  <si>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</si>
  <si>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</si>
  <si>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</si>
  <si>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</si>
  <si>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</si>
  <si>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</si>
  <si>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</si>
  <si>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</si>
  <si>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</si>
  <si>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</si>
  <si>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</si>
  <si>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</si>
  <si>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</si>
  <si>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</si>
  <si>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</si>
  <si>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</si>
  <si>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</si>
  <si>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</si>
  <si>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</si>
  <si>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</si>
  <si>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</si>
  <si>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</si>
  <si>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</si>
  <si>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</si>
  <si>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</si>
  <si>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</si>
  <si>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</si>
  <si>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</si>
  <si>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</si>
  <si>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</si>
  <si>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</si>
  <si>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</si>
  <si>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</si>
  <si>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</si>
  <si>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</si>
  <si>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</si>
  <si>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</si>
  <si>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</si>
  <si>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</si>
  <si>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</si>
  <si>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</si>
  <si>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</si>
  <si>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</si>
  <si>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</si>
  <si>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</si>
  <si>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</si>
  <si>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</si>
  <si>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</si>
  <si>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</si>
  <si>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</si>
  <si>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</si>
  <si>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</si>
  <si>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</si>
  <si>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</si>
  <si>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</si>
  <si>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</si>
  <si>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</si>
  <si>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</si>
  <si>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</si>
  <si>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</si>
  <si>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</si>
  <si>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</si>
  <si>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</si>
  <si>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</si>
  <si>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</si>
  <si>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</si>
  <si>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</si>
  <si>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</si>
  <si>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</si>
  <si>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</si>
  <si>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</si>
  <si>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</si>
  <si>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</si>
  <si>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</si>
  <si>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</si>
  <si>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</si>
  <si>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</si>
  <si>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</si>
  <si>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</si>
  <si>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</si>
  <si>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</si>
  <si>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</si>
  <si>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</si>
  <si>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</si>
  <si>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</si>
  <si>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</si>
  <si>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</si>
  <si>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</si>
  <si>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</si>
  <si>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</si>
  <si>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</si>
  <si>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</si>
  <si>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</si>
  <si>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</si>
  <si>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</si>
  <si>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</si>
  <si>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</si>
  <si>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</si>
  <si>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</si>
  <si>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</si>
  <si>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</si>
  <si>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</si>
  <si>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</si>
  <si>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</si>
  <si>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</si>
  <si>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</si>
  <si>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</si>
  <si>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</si>
  <si>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</si>
  <si>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</si>
  <si>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</si>
  <si>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</si>
  <si>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</si>
  <si>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</si>
  <si>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</si>
  <si>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</si>
  <si>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</si>
  <si>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</si>
  <si>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</si>
  <si>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</si>
  <si>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</si>
  <si>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</si>
  <si>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</si>
  <si>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</si>
  <si>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</si>
  <si>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</si>
  <si>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</si>
  <si>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</si>
  <si>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</si>
  <si>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</si>
  <si>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</si>
  <si>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</si>
  <si>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</si>
  <si>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</si>
  <si>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</si>
  <si>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</si>
  <si>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</si>
  <si>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</si>
  <si>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</si>
  <si>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</si>
  <si>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</si>
  <si>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</si>
  <si>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</si>
  <si>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</si>
  <si>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</si>
  <si>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</si>
  <si>
    <t>Toutes les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</si>
</sst>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11547.5</v>
      </c>
    </row>
    <row r="8" spans="1:3" ht="15" customHeight="1" x14ac:dyDescent="0.25">
      <c r="B8" s="5" t="s">
        <v>37</v>
      </c>
      <c r="C8" s="44">
        <v>0.01</v>
      </c>
    </row>
    <row r="9" spans="1:3" ht="15" customHeight="1" x14ac:dyDescent="0.25">
      <c r="B9" s="5" t="s">
        <v>38</v>
      </c>
      <c r="C9" s="45">
        <v>0.01</v>
      </c>
    </row>
    <row r="10" spans="1:3" ht="15" customHeight="1" x14ac:dyDescent="0.25">
      <c r="B10" s="5" t="s">
        <v>39</v>
      </c>
      <c r="C10" s="45">
        <v>0.78687103271484404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0.52100000000000002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2.0899999999999998E-2</v>
      </c>
    </row>
    <row r="24" spans="1:3" ht="15" customHeight="1" x14ac:dyDescent="0.25">
      <c r="B24" s="15" t="s">
        <v>51</v>
      </c>
      <c r="C24" s="45">
        <v>0.42159999999999997</v>
      </c>
    </row>
    <row r="25" spans="1:3" ht="15" customHeight="1" x14ac:dyDescent="0.25">
      <c r="B25" s="15" t="s">
        <v>52</v>
      </c>
      <c r="C25" s="45">
        <v>0.4854</v>
      </c>
    </row>
    <row r="26" spans="1:3" ht="15" customHeight="1" x14ac:dyDescent="0.25">
      <c r="B26" s="15" t="s">
        <v>53</v>
      </c>
      <c r="C26" s="45">
        <v>7.2099999999999997E-2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0.35185775257007201</v>
      </c>
    </row>
    <row r="30" spans="1:3" ht="14.25" customHeight="1" x14ac:dyDescent="0.25">
      <c r="B30" s="25" t="s">
        <v>56</v>
      </c>
      <c r="C30" s="97">
        <v>2.3858720907234902E-2</v>
      </c>
    </row>
    <row r="31" spans="1:3" ht="14.25" customHeight="1" x14ac:dyDescent="0.25">
      <c r="B31" s="25" t="s">
        <v>57</v>
      </c>
      <c r="C31" s="97">
        <v>3.4342930038455802E-2</v>
      </c>
    </row>
    <row r="32" spans="1:3" ht="14.25" customHeight="1" x14ac:dyDescent="0.25">
      <c r="B32" s="25" t="s">
        <v>58</v>
      </c>
      <c r="C32" s="97">
        <v>0.58994059648423802</v>
      </c>
    </row>
    <row r="33" spans="1:5" ht="13.25" customHeight="1" x14ac:dyDescent="0.25">
      <c r="B33" s="27" t="s">
        <v>59</v>
      </c>
      <c r="C33" s="48">
        <f>SUM(C29:C32)</f>
        <v>1.0000000000000007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4.8672399999999998</v>
      </c>
    </row>
    <row r="38" spans="1:5" ht="15" customHeight="1" x14ac:dyDescent="0.25">
      <c r="B38" s="11" t="s">
        <v>63</v>
      </c>
      <c r="C38" s="43">
        <v>9.5718099999999993</v>
      </c>
      <c r="D38" s="12"/>
      <c r="E38" s="13"/>
    </row>
    <row r="39" spans="1:5" ht="15" customHeight="1" x14ac:dyDescent="0.25">
      <c r="B39" s="11" t="s">
        <v>64</v>
      </c>
      <c r="C39" s="43">
        <v>11.13988</v>
      </c>
      <c r="D39" s="12"/>
      <c r="E39" s="12"/>
    </row>
    <row r="40" spans="1:5" ht="15" customHeight="1" x14ac:dyDescent="0.25">
      <c r="B40" s="11" t="s">
        <v>65</v>
      </c>
      <c r="C40" s="98">
        <v>1.26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6.4813700000000001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6.1345000000000002E-3</v>
      </c>
      <c r="D45" s="12"/>
    </row>
    <row r="46" spans="1:5" ht="15.75" customHeight="1" x14ac:dyDescent="0.25">
      <c r="B46" s="11" t="s">
        <v>70</v>
      </c>
      <c r="C46" s="45">
        <v>6.5914E-2</v>
      </c>
      <c r="D46" s="12"/>
    </row>
    <row r="47" spans="1:5" ht="15.75" customHeight="1" x14ac:dyDescent="0.25">
      <c r="B47" s="11" t="s">
        <v>71</v>
      </c>
      <c r="C47" s="45">
        <v>7.5167600000000001E-2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98">
        <v>2.2000000000000002</v>
      </c>
      <c r="D51" s="12"/>
    </row>
    <row r="52" spans="1:4" ht="15" customHeight="1" x14ac:dyDescent="0.25">
      <c r="B52" s="11" t="s">
        <v>75</v>
      </c>
      <c r="C52" s="98">
        <v>2.2000000000000002</v>
      </c>
    </row>
    <row r="53" spans="1:4" ht="15.75" customHeight="1" x14ac:dyDescent="0.25">
      <c r="B53" s="11" t="s">
        <v>76</v>
      </c>
      <c r="C53" s="98">
        <v>2.2000000000000002</v>
      </c>
    </row>
    <row r="54" spans="1:4" ht="15.75" customHeight="1" x14ac:dyDescent="0.25">
      <c r="B54" s="11" t="s">
        <v>77</v>
      </c>
      <c r="C54" s="98">
        <v>2.2000000000000002</v>
      </c>
    </row>
    <row r="55" spans="1:4" ht="15.75" customHeight="1" x14ac:dyDescent="0.25">
      <c r="B55" s="11" t="s">
        <v>78</v>
      </c>
      <c r="C55" s="98">
        <v>2.2000000000000002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2.1363636363636359E-2</v>
      </c>
    </row>
    <row r="59" spans="1:4" ht="15.75" customHeight="1" x14ac:dyDescent="0.25">
      <c r="B59" s="11" t="s">
        <v>81</v>
      </c>
      <c r="C59" s="45">
        <v>0.58581800000000006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6MrKMpb74Xtsmg9QBA0AMC3l6aiV8nZuDf1tMB5yS0QJx2svdEIH6nb7FuRsiPq8Y/FUEGDf3EQHe9H2S8kAYA==" saltValue="oDR8GXtcchwx3RiEEU5D2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2400</v>
      </c>
      <c r="C2" s="49">
        <v>5786.5</v>
      </c>
      <c r="D2" s="49">
        <v>8754</v>
      </c>
      <c r="E2" s="49">
        <v>6414.5</v>
      </c>
      <c r="F2" s="49">
        <v>5685.4999999999991</v>
      </c>
      <c r="G2" s="17">
        <f t="shared" ref="G2:G13" si="0">C2+D2+E2+F2</f>
        <v>26640.5</v>
      </c>
      <c r="H2" s="17">
        <f t="shared" ref="H2:H13" si="1">(B2 + stillbirth*B2/(1000-stillbirth))/(1-abortion)</f>
        <v>2745.0645060100455</v>
      </c>
      <c r="I2" s="17">
        <f t="shared" ref="I2:I13" si="2">G2-H2</f>
        <v>23895.435493989953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2365</v>
      </c>
      <c r="C3" s="50">
        <v>5776.5</v>
      </c>
      <c r="D3" s="50">
        <v>8803.5</v>
      </c>
      <c r="E3" s="50">
        <v>6255</v>
      </c>
      <c r="F3" s="50">
        <v>5744</v>
      </c>
      <c r="G3" s="17">
        <f t="shared" si="0"/>
        <v>26579</v>
      </c>
      <c r="H3" s="17">
        <f t="shared" si="1"/>
        <v>2705.0323152973992</v>
      </c>
      <c r="I3" s="17">
        <f t="shared" si="2"/>
        <v>23873.967684702602</v>
      </c>
    </row>
    <row r="4" spans="1:9" ht="15.75" customHeight="1" x14ac:dyDescent="0.25">
      <c r="A4" s="5">
        <f t="shared" si="3"/>
        <v>2026</v>
      </c>
      <c r="B4" s="49">
        <v>2339</v>
      </c>
      <c r="C4" s="50">
        <v>5812</v>
      </c>
      <c r="D4" s="50">
        <v>8857.5</v>
      </c>
      <c r="E4" s="50">
        <v>6092.0000000000009</v>
      </c>
      <c r="F4" s="50">
        <v>5781.4999999999991</v>
      </c>
      <c r="G4" s="17">
        <f t="shared" si="0"/>
        <v>26543</v>
      </c>
      <c r="H4" s="17">
        <f t="shared" si="1"/>
        <v>2675.2941164822905</v>
      </c>
      <c r="I4" s="17">
        <f t="shared" si="2"/>
        <v>23867.705883517709</v>
      </c>
    </row>
    <row r="5" spans="1:9" ht="15.75" customHeight="1" x14ac:dyDescent="0.25">
      <c r="A5" s="5">
        <f t="shared" si="3"/>
        <v>2027</v>
      </c>
      <c r="B5" s="49">
        <v>2304</v>
      </c>
      <c r="C5" s="50">
        <v>5868</v>
      </c>
      <c r="D5" s="50">
        <v>8994.5</v>
      </c>
      <c r="E5" s="50">
        <v>5912</v>
      </c>
      <c r="F5" s="50">
        <v>5782</v>
      </c>
      <c r="G5" s="17">
        <f t="shared" si="0"/>
        <v>26556.5</v>
      </c>
      <c r="H5" s="17">
        <f t="shared" si="1"/>
        <v>2635.2619257696438</v>
      </c>
      <c r="I5" s="17">
        <f t="shared" si="2"/>
        <v>23921.238074230358</v>
      </c>
    </row>
    <row r="6" spans="1:9" ht="15.75" customHeight="1" x14ac:dyDescent="0.25">
      <c r="A6" s="5">
        <f t="shared" si="3"/>
        <v>2028</v>
      </c>
      <c r="B6" s="49">
        <v>2290</v>
      </c>
      <c r="C6" s="50">
        <v>5939</v>
      </c>
      <c r="D6" s="50">
        <v>9155.5</v>
      </c>
      <c r="E6" s="50">
        <v>5788.5000000000009</v>
      </c>
      <c r="F6" s="50">
        <v>5734</v>
      </c>
      <c r="G6" s="17">
        <f t="shared" si="0"/>
        <v>26617</v>
      </c>
      <c r="H6" s="17">
        <f t="shared" si="1"/>
        <v>2619.2490494845852</v>
      </c>
      <c r="I6" s="17">
        <f t="shared" si="2"/>
        <v>23997.750950515416</v>
      </c>
    </row>
    <row r="7" spans="1:9" ht="15.75" customHeight="1" x14ac:dyDescent="0.25">
      <c r="A7" s="5">
        <f t="shared" si="3"/>
        <v>2029</v>
      </c>
      <c r="B7" s="49">
        <v>2284</v>
      </c>
      <c r="C7" s="50">
        <v>6014.5</v>
      </c>
      <c r="D7" s="50">
        <v>9303.5</v>
      </c>
      <c r="E7" s="50">
        <v>5705</v>
      </c>
      <c r="F7" s="50">
        <v>5656.5</v>
      </c>
      <c r="G7" s="17">
        <f t="shared" si="0"/>
        <v>26679.5</v>
      </c>
      <c r="H7" s="17">
        <f t="shared" si="1"/>
        <v>2612.3863882195601</v>
      </c>
      <c r="I7" s="17">
        <f t="shared" si="2"/>
        <v>24067.113611780442</v>
      </c>
    </row>
    <row r="8" spans="1:9" ht="15.75" customHeight="1" x14ac:dyDescent="0.25">
      <c r="A8" s="5">
        <f t="shared" si="3"/>
        <v>2030</v>
      </c>
      <c r="B8" s="49">
        <v>2276</v>
      </c>
      <c r="C8" s="50">
        <v>6051</v>
      </c>
      <c r="D8" s="50">
        <v>9434.0000000000018</v>
      </c>
      <c r="E8" s="50">
        <v>5673</v>
      </c>
      <c r="F8" s="50">
        <v>5578.5</v>
      </c>
      <c r="G8" s="17">
        <f t="shared" si="0"/>
        <v>26736.5</v>
      </c>
      <c r="H8" s="17">
        <f t="shared" si="1"/>
        <v>2603.2361731995265</v>
      </c>
      <c r="I8" s="17">
        <f t="shared" si="2"/>
        <v>24133.263826800474</v>
      </c>
    </row>
    <row r="9" spans="1:9" ht="15.75" customHeight="1" x14ac:dyDescent="0.25">
      <c r="A9" s="5">
        <f t="shared" si="3"/>
        <v>2031</v>
      </c>
      <c r="B9" s="49">
        <v>2283</v>
      </c>
      <c r="C9" s="50">
        <v>6000.5</v>
      </c>
      <c r="D9" s="50">
        <v>9580.5</v>
      </c>
      <c r="E9" s="50">
        <v>5687</v>
      </c>
      <c r="F9" s="50">
        <v>5488</v>
      </c>
      <c r="G9" s="17">
        <f t="shared" si="0"/>
        <v>26756</v>
      </c>
      <c r="H9" s="17">
        <f t="shared" si="1"/>
        <v>2611.2426113420561</v>
      </c>
      <c r="I9" s="17">
        <f t="shared" si="2"/>
        <v>24144.757388657945</v>
      </c>
    </row>
    <row r="10" spans="1:9" ht="15.75" customHeight="1" x14ac:dyDescent="0.25">
      <c r="A10" s="5">
        <f t="shared" si="3"/>
        <v>2032</v>
      </c>
      <c r="B10" s="49">
        <v>2285</v>
      </c>
      <c r="C10" s="50">
        <v>5856</v>
      </c>
      <c r="D10" s="50">
        <v>9742.5</v>
      </c>
      <c r="E10" s="50">
        <v>5755</v>
      </c>
      <c r="F10" s="50">
        <v>5361.4999999999991</v>
      </c>
      <c r="G10" s="17">
        <f t="shared" si="0"/>
        <v>26715</v>
      </c>
      <c r="H10" s="17">
        <f t="shared" si="1"/>
        <v>2613.5301650970641</v>
      </c>
      <c r="I10" s="17">
        <f t="shared" si="2"/>
        <v>24101.469834902935</v>
      </c>
    </row>
    <row r="11" spans="1:9" ht="15.75" customHeight="1" x14ac:dyDescent="0.25">
      <c r="A11" s="5">
        <f t="shared" si="3"/>
        <v>2033</v>
      </c>
      <c r="B11" s="49">
        <v>2296</v>
      </c>
      <c r="C11" s="50">
        <v>5645.5</v>
      </c>
      <c r="D11" s="50">
        <v>9870.9999999999982</v>
      </c>
      <c r="E11" s="50">
        <v>5880</v>
      </c>
      <c r="F11" s="50">
        <v>5220.4999999999991</v>
      </c>
      <c r="G11" s="17">
        <f t="shared" si="0"/>
        <v>26617</v>
      </c>
      <c r="H11" s="17">
        <f t="shared" si="1"/>
        <v>2626.1117107496102</v>
      </c>
      <c r="I11" s="17">
        <f t="shared" si="2"/>
        <v>23990.88828925039</v>
      </c>
    </row>
    <row r="12" spans="1:9" ht="15.75" customHeight="1" x14ac:dyDescent="0.25">
      <c r="A12" s="5">
        <f t="shared" si="3"/>
        <v>2034</v>
      </c>
      <c r="B12" s="49">
        <v>2306</v>
      </c>
      <c r="C12" s="50">
        <v>5413</v>
      </c>
      <c r="D12" s="50">
        <v>9962</v>
      </c>
      <c r="E12" s="50">
        <v>6034.4999999999991</v>
      </c>
      <c r="F12" s="50">
        <v>5068.5</v>
      </c>
      <c r="G12" s="17">
        <f t="shared" si="0"/>
        <v>26478</v>
      </c>
      <c r="H12" s="17">
        <f t="shared" si="1"/>
        <v>2637.5494795246523</v>
      </c>
      <c r="I12" s="17">
        <f t="shared" si="2"/>
        <v>23840.450520475348</v>
      </c>
    </row>
    <row r="13" spans="1:9" ht="15.75" customHeight="1" x14ac:dyDescent="0.25">
      <c r="A13" s="5">
        <f t="shared" si="3"/>
        <v>2035</v>
      </c>
      <c r="B13" s="49">
        <v>2314</v>
      </c>
      <c r="C13" s="50">
        <v>5184</v>
      </c>
      <c r="D13" s="50">
        <v>10037.500000000002</v>
      </c>
      <c r="E13" s="50">
        <v>6165</v>
      </c>
      <c r="F13" s="50">
        <v>4951.0000000000009</v>
      </c>
      <c r="G13" s="17">
        <f t="shared" si="0"/>
        <v>26337.5</v>
      </c>
      <c r="H13" s="17">
        <f t="shared" si="1"/>
        <v>2646.6996945446858</v>
      </c>
      <c r="I13" s="17">
        <f t="shared" si="2"/>
        <v>23690.800305455316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CGmEeXSmlJPROOVQ2wpWU8b/yXT1ZUMtMHDSibjHS3FvndzdMvbV3b+ldTEHCwwD6bQb0yIWKH4t7FB2qxwsQ==" saltValue="+Apd7Um5dkR6ywwPk7ZxWQ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8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0</v>
      </c>
    </row>
    <row r="4" spans="1:8" ht="15.75" customHeight="1" x14ac:dyDescent="0.25">
      <c r="B4" s="19" t="s">
        <v>97</v>
      </c>
      <c r="C4" s="99">
        <v>6.3251500000000099E-2</v>
      </c>
    </row>
    <row r="5" spans="1:8" ht="15.75" customHeight="1" x14ac:dyDescent="0.25">
      <c r="B5" s="19" t="s">
        <v>98</v>
      </c>
      <c r="C5" s="99">
        <v>3.6355999999999992E-2</v>
      </c>
    </row>
    <row r="6" spans="1:8" ht="15.75" customHeight="1" x14ac:dyDescent="0.25">
      <c r="B6" s="19" t="s">
        <v>99</v>
      </c>
      <c r="C6" s="99">
        <v>0.15888490000000019</v>
      </c>
    </row>
    <row r="7" spans="1:8" ht="15.75" customHeight="1" x14ac:dyDescent="0.25">
      <c r="B7" s="19" t="s">
        <v>100</v>
      </c>
      <c r="C7" s="99">
        <v>0.4589065999999995</v>
      </c>
    </row>
    <row r="8" spans="1:8" ht="15.75" customHeight="1" x14ac:dyDescent="0.25">
      <c r="B8" s="19" t="s">
        <v>101</v>
      </c>
      <c r="C8" s="99">
        <v>0</v>
      </c>
    </row>
    <row r="9" spans="1:8" ht="15.75" customHeight="1" x14ac:dyDescent="0.25">
      <c r="B9" s="19" t="s">
        <v>102</v>
      </c>
      <c r="C9" s="99">
        <v>0.19383930000000019</v>
      </c>
    </row>
    <row r="10" spans="1:8" ht="15.75" customHeight="1" x14ac:dyDescent="0.25">
      <c r="B10" s="19" t="s">
        <v>103</v>
      </c>
      <c r="C10" s="99">
        <v>8.8761700000000138E-2</v>
      </c>
    </row>
    <row r="11" spans="1:8" ht="15.75" customHeight="1" x14ac:dyDescent="0.25">
      <c r="B11" s="27" t="s">
        <v>59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0" t="s">
        <v>114</v>
      </c>
      <c r="D13" s="100" t="s">
        <v>115</v>
      </c>
      <c r="E13" s="100" t="s">
        <v>116</v>
      </c>
      <c r="F13" s="100" t="s">
        <v>117</v>
      </c>
      <c r="G13" s="19"/>
    </row>
    <row r="14" spans="1:8" ht="15.75" customHeight="1" x14ac:dyDescent="0.25">
      <c r="B14" s="19" t="s">
        <v>105</v>
      </c>
      <c r="C14" s="55">
        <v>6.481529830288231E-2</v>
      </c>
      <c r="D14" s="55">
        <v>6.481529830288231E-2</v>
      </c>
      <c r="E14" s="55">
        <v>6.481529830288231E-2</v>
      </c>
      <c r="F14" s="55">
        <v>6.481529830288231E-2</v>
      </c>
    </row>
    <row r="15" spans="1:8" ht="15.75" customHeight="1" x14ac:dyDescent="0.25">
      <c r="B15" s="19" t="s">
        <v>106</v>
      </c>
      <c r="C15" s="99">
        <v>0.5316438865047407</v>
      </c>
      <c r="D15" s="99">
        <v>0.5316438865047407</v>
      </c>
      <c r="E15" s="99">
        <v>0.5316438865047407</v>
      </c>
      <c r="F15" s="99">
        <v>0.5316438865047407</v>
      </c>
    </row>
    <row r="16" spans="1:8" ht="15.75" customHeight="1" x14ac:dyDescent="0.25">
      <c r="B16" s="19" t="s">
        <v>107</v>
      </c>
      <c r="C16" s="99">
        <v>4.864881800014479E-2</v>
      </c>
      <c r="D16" s="99">
        <v>4.864881800014479E-2</v>
      </c>
      <c r="E16" s="99">
        <v>4.864881800014479E-2</v>
      </c>
      <c r="F16" s="99">
        <v>4.864881800014479E-2</v>
      </c>
    </row>
    <row r="17" spans="1:8" ht="15.75" customHeight="1" x14ac:dyDescent="0.25">
      <c r="B17" s="19" t="s">
        <v>108</v>
      </c>
      <c r="C17" s="99">
        <v>0</v>
      </c>
      <c r="D17" s="99">
        <v>0</v>
      </c>
      <c r="E17" s="99">
        <v>0</v>
      </c>
      <c r="F17" s="99">
        <v>0</v>
      </c>
    </row>
    <row r="18" spans="1:8" ht="15.75" customHeight="1" x14ac:dyDescent="0.25">
      <c r="B18" s="19" t="s">
        <v>109</v>
      </c>
      <c r="C18" s="99">
        <v>0</v>
      </c>
      <c r="D18" s="99">
        <v>0</v>
      </c>
      <c r="E18" s="99">
        <v>0</v>
      </c>
      <c r="F18" s="99">
        <v>0</v>
      </c>
    </row>
    <row r="19" spans="1:8" ht="15.75" customHeight="1" x14ac:dyDescent="0.25">
      <c r="B19" s="19" t="s">
        <v>110</v>
      </c>
      <c r="C19" s="99">
        <v>0</v>
      </c>
      <c r="D19" s="99">
        <v>0</v>
      </c>
      <c r="E19" s="99">
        <v>0</v>
      </c>
      <c r="F19" s="99">
        <v>0</v>
      </c>
    </row>
    <row r="20" spans="1:8" ht="15.75" customHeight="1" x14ac:dyDescent="0.25">
      <c r="B20" s="19" t="s">
        <v>111</v>
      </c>
      <c r="C20" s="99">
        <v>0</v>
      </c>
      <c r="D20" s="99">
        <v>0</v>
      </c>
      <c r="E20" s="99">
        <v>0</v>
      </c>
      <c r="F20" s="99">
        <v>0</v>
      </c>
    </row>
    <row r="21" spans="1:8" ht="15.75" customHeight="1" x14ac:dyDescent="0.25">
      <c r="B21" s="19" t="s">
        <v>112</v>
      </c>
      <c r="C21" s="99">
        <v>0.31387260017589541</v>
      </c>
      <c r="D21" s="99">
        <v>0.31387260017589541</v>
      </c>
      <c r="E21" s="99">
        <v>0.31387260017589541</v>
      </c>
      <c r="F21" s="99">
        <v>0.31387260017589541</v>
      </c>
    </row>
    <row r="22" spans="1:8" ht="15.75" customHeight="1" x14ac:dyDescent="0.25">
      <c r="B22" s="19" t="s">
        <v>113</v>
      </c>
      <c r="C22" s="99">
        <v>4.1019397016336938E-2</v>
      </c>
      <c r="D22" s="99">
        <v>4.1019397016336938E-2</v>
      </c>
      <c r="E22" s="99">
        <v>4.1019397016336938E-2</v>
      </c>
      <c r="F22" s="99">
        <v>4.1019397016336938E-2</v>
      </c>
    </row>
    <row r="23" spans="1:8" ht="15.75" customHeight="1" x14ac:dyDescent="0.25">
      <c r="B23" s="27" t="s">
        <v>59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4.7850161000000002E-2</v>
      </c>
    </row>
    <row r="27" spans="1:8" ht="15.75" customHeight="1" x14ac:dyDescent="0.25">
      <c r="B27" s="19" t="s">
        <v>120</v>
      </c>
      <c r="C27" s="99">
        <v>1.8526506000000002E-2</v>
      </c>
    </row>
    <row r="28" spans="1:8" ht="15.75" customHeight="1" x14ac:dyDescent="0.25">
      <c r="B28" s="19" t="s">
        <v>121</v>
      </c>
      <c r="C28" s="99">
        <v>0.23087115</v>
      </c>
    </row>
    <row r="29" spans="1:8" ht="15.75" customHeight="1" x14ac:dyDescent="0.25">
      <c r="B29" s="19" t="s">
        <v>122</v>
      </c>
      <c r="C29" s="99">
        <v>0.13941172099999999</v>
      </c>
    </row>
    <row r="30" spans="1:8" ht="15.75" customHeight="1" x14ac:dyDescent="0.25">
      <c r="B30" s="19" t="s">
        <v>2</v>
      </c>
      <c r="C30" s="99">
        <v>5.0655509000000001E-2</v>
      </c>
    </row>
    <row r="31" spans="1:8" ht="15.75" customHeight="1" x14ac:dyDescent="0.25">
      <c r="B31" s="19" t="s">
        <v>123</v>
      </c>
      <c r="C31" s="99">
        <v>7.1104772999999982E-2</v>
      </c>
    </row>
    <row r="32" spans="1:8" ht="15.75" customHeight="1" x14ac:dyDescent="0.25">
      <c r="B32" s="19" t="s">
        <v>124</v>
      </c>
      <c r="C32" s="99">
        <v>0.14682545</v>
      </c>
    </row>
    <row r="33" spans="2:3" ht="15.75" customHeight="1" x14ac:dyDescent="0.25">
      <c r="B33" s="19" t="s">
        <v>125</v>
      </c>
      <c r="C33" s="99">
        <v>0.122179683</v>
      </c>
    </row>
    <row r="34" spans="2:3" ht="15.75" customHeight="1" x14ac:dyDescent="0.25">
      <c r="B34" s="19" t="s">
        <v>126</v>
      </c>
      <c r="C34" s="99">
        <v>0.17257504600000001</v>
      </c>
    </row>
    <row r="35" spans="2:3" ht="15.75" customHeight="1" x14ac:dyDescent="0.25">
      <c r="B35" s="27" t="s">
        <v>59</v>
      </c>
      <c r="C35" s="48">
        <f>SUM(C26:C34)</f>
        <v>0.99999999900000014</v>
      </c>
    </row>
  </sheetData>
  <sheetProtection algorithmName="SHA-512" hashValue="nD+B3F5Ls0s/9CUaskV/h8UirafDkt9jfzjHuR+tpf5MmkOxWQFij4URyL7cgbei23aeoPxAwKttv/fikvC/xg==" saltValue="PxlQYTLkd43hlrj5LWiCDA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0.87938992953684847</v>
      </c>
      <c r="D2" s="52">
        <f>IFERROR(1-_xlfn.NORM.DIST(_xlfn.NORM.INV(SUM(D4:D5), 0, 1) + 1, 0, 1, TRUE), "")</f>
        <v>0.87938992953684847</v>
      </c>
      <c r="E2" s="52">
        <f>IFERROR(1-_xlfn.NORM.DIST(_xlfn.NORM.INV(SUM(E4:E5), 0, 1) + 1, 0, 1, TRUE), "")</f>
        <v>0.95438422391314237</v>
      </c>
      <c r="F2" s="52">
        <f>IFERROR(1-_xlfn.NORM.DIST(_xlfn.NORM.INV(SUM(F4:F5), 0, 1) + 1, 0, 1, TRUE), "")</f>
        <v>0.79829449737942704</v>
      </c>
      <c r="G2" s="52">
        <f>IFERROR(1-_xlfn.NORM.DIST(_xlfn.NORM.INV(SUM(G4:G5), 0, 1) + 1, 0, 1, TRUE), "")</f>
        <v>0.84520119103464975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0.10568007046315152</v>
      </c>
      <c r="D3" s="52">
        <f>IFERROR(_xlfn.NORM.DIST(_xlfn.NORM.INV(SUM(D4:D5), 0, 1) + 1, 0, 1, TRUE) - SUM(D4:D5), "")</f>
        <v>0.10568007046315152</v>
      </c>
      <c r="E3" s="52">
        <f>IFERROR(_xlfn.NORM.DIST(_xlfn.NORM.INV(SUM(E4:E5), 0, 1) + 1, 0, 1, TRUE) - SUM(E4:E5), "")</f>
        <v>4.2031776086857577E-2</v>
      </c>
      <c r="F3" s="52">
        <f>IFERROR(_xlfn.NORM.DIST(_xlfn.NORM.INV(SUM(F4:F5), 0, 1) + 1, 0, 1, TRUE) - SUM(F4:F5), "")</f>
        <v>0.16849300262057293</v>
      </c>
      <c r="G3" s="52">
        <f>IFERROR(_xlfn.NORM.DIST(_xlfn.NORM.INV(SUM(G4:G5), 0, 1) + 1, 0, 1, TRUE) - SUM(G4:G5), "")</f>
        <v>0.13290230896535032</v>
      </c>
    </row>
    <row r="4" spans="1:15" ht="15.75" customHeight="1" x14ac:dyDescent="0.25">
      <c r="B4" s="5" t="s">
        <v>132</v>
      </c>
      <c r="C4" s="45">
        <v>7.4650000000000003E-3</v>
      </c>
      <c r="D4" s="53">
        <v>7.4650000000000003E-3</v>
      </c>
      <c r="E4" s="53">
        <v>0</v>
      </c>
      <c r="F4" s="53">
        <v>2.0824599999999999E-2</v>
      </c>
      <c r="G4" s="53">
        <v>1.18183E-2</v>
      </c>
    </row>
    <row r="5" spans="1:15" ht="15.75" customHeight="1" x14ac:dyDescent="0.25">
      <c r="B5" s="5" t="s">
        <v>133</v>
      </c>
      <c r="C5" s="45">
        <v>7.4650000000000003E-3</v>
      </c>
      <c r="D5" s="53">
        <v>7.4650000000000003E-3</v>
      </c>
      <c r="E5" s="53">
        <v>3.5839999999999999E-3</v>
      </c>
      <c r="F5" s="53">
        <v>1.23879E-2</v>
      </c>
      <c r="G5" s="53">
        <v>1.0078200000000001E-2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0.84474574356711774</v>
      </c>
      <c r="D8" s="52">
        <f>IFERROR(1-_xlfn.NORM.DIST(_xlfn.NORM.INV(SUM(D10:D11), 0, 1) + 1, 0, 1, TRUE), "")</f>
        <v>0.84474574356711774</v>
      </c>
      <c r="E8" s="52">
        <f>IFERROR(1-_xlfn.NORM.DIST(_xlfn.NORM.INV(SUM(E10:E11), 0, 1) + 1, 0, 1, TRUE), "")</f>
        <v>0.83951432003878668</v>
      </c>
      <c r="F8" s="52" t="str">
        <f>IFERROR(1-_xlfn.NORM.DIST(_xlfn.NORM.INV(SUM(F10:F11), 0, 1) + 1, 0, 1, TRUE), "")</f>
        <v/>
      </c>
      <c r="G8" s="52">
        <f>IFERROR(1-_xlfn.NORM.DIST(_xlfn.NORM.INV(SUM(G10:G11), 0, 1) + 1, 0, 1, TRUE), "")</f>
        <v>0.905622063656631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0.13325765643288232</v>
      </c>
      <c r="D9" s="52">
        <f>IFERROR(_xlfn.NORM.DIST(_xlfn.NORM.INV(SUM(D10:D11), 0, 1) + 1, 0, 1, TRUE) - SUM(D10:D11), "")</f>
        <v>0.13325765643288232</v>
      </c>
      <c r="E9" s="52">
        <f>IFERROR(_xlfn.NORM.DIST(_xlfn.NORM.INV(SUM(E10:E11), 0, 1) + 1, 0, 1, TRUE) - SUM(E10:E11), "")</f>
        <v>0.13732557996121328</v>
      </c>
      <c r="F9" s="52" t="str">
        <f>IFERROR(_xlfn.NORM.DIST(_xlfn.NORM.INV(SUM(F10:F11), 0, 1) + 1, 0, 1, TRUE) - SUM(F10:F11), "")</f>
        <v/>
      </c>
      <c r="G9" s="52">
        <f>IFERROR(_xlfn.NORM.DIST(_xlfn.NORM.INV(SUM(G10:G11), 0, 1) + 1, 0, 1, TRUE) - SUM(G10:G11), "")</f>
        <v>8.4051436343369007E-2</v>
      </c>
    </row>
    <row r="10" spans="1:15" ht="15.75" customHeight="1" x14ac:dyDescent="0.25">
      <c r="B10" s="5" t="s">
        <v>137</v>
      </c>
      <c r="C10" s="45">
        <v>2.1996600000000002E-2</v>
      </c>
      <c r="D10" s="53">
        <v>2.1996600000000002E-2</v>
      </c>
      <c r="E10" s="53">
        <v>2.3160099999999999E-2</v>
      </c>
      <c r="F10" s="53">
        <v>0</v>
      </c>
      <c r="G10" s="53">
        <v>4.6043999999999998E-3</v>
      </c>
    </row>
    <row r="11" spans="1:15" ht="15.75" customHeight="1" x14ac:dyDescent="0.25">
      <c r="B11" s="5" t="s">
        <v>138</v>
      </c>
      <c r="C11" s="45">
        <v>0</v>
      </c>
      <c r="D11" s="53">
        <v>0</v>
      </c>
      <c r="E11" s="53">
        <v>0</v>
      </c>
      <c r="F11" s="53">
        <v>0</v>
      </c>
      <c r="G11" s="53">
        <v>5.7220999999999999E-3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0.32033981174999998</v>
      </c>
      <c r="D14" s="54">
        <v>0.31614712435300002</v>
      </c>
      <c r="E14" s="54">
        <v>0.31614712435300002</v>
      </c>
      <c r="F14" s="54">
        <v>0.15880290981799999</v>
      </c>
      <c r="G14" s="54">
        <v>0.15880290981799999</v>
      </c>
      <c r="H14" s="45">
        <v>0.28799999999999998</v>
      </c>
      <c r="I14" s="55">
        <v>0.28799999999999998</v>
      </c>
      <c r="J14" s="55">
        <v>0.28799999999999998</v>
      </c>
      <c r="K14" s="55">
        <v>0.28799999999999998</v>
      </c>
      <c r="L14" s="45">
        <v>0.20799999999999999</v>
      </c>
      <c r="M14" s="55">
        <v>0.20799999999999999</v>
      </c>
      <c r="N14" s="55">
        <v>0.20799999999999999</v>
      </c>
      <c r="O14" s="55">
        <v>0.20799999999999999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0.18766082783976151</v>
      </c>
      <c r="D15" s="52">
        <f t="shared" si="0"/>
        <v>0.18520467609422578</v>
      </c>
      <c r="E15" s="52">
        <f t="shared" si="0"/>
        <v>0.18520467609422578</v>
      </c>
      <c r="F15" s="52">
        <f t="shared" si="0"/>
        <v>9.3029603023761134E-2</v>
      </c>
      <c r="G15" s="52">
        <f t="shared" si="0"/>
        <v>9.3029603023761134E-2</v>
      </c>
      <c r="H15" s="52">
        <f t="shared" si="0"/>
        <v>0.168715584</v>
      </c>
      <c r="I15" s="52">
        <f t="shared" si="0"/>
        <v>0.168715584</v>
      </c>
      <c r="J15" s="52">
        <f t="shared" si="0"/>
        <v>0.168715584</v>
      </c>
      <c r="K15" s="52">
        <f t="shared" si="0"/>
        <v>0.168715584</v>
      </c>
      <c r="L15" s="52">
        <f t="shared" si="0"/>
        <v>0.12185014400000001</v>
      </c>
      <c r="M15" s="52">
        <f t="shared" si="0"/>
        <v>0.12185014400000001</v>
      </c>
      <c r="N15" s="52">
        <f t="shared" si="0"/>
        <v>0.12185014400000001</v>
      </c>
      <c r="O15" s="52">
        <f t="shared" si="0"/>
        <v>0.12185014400000001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mzvavmhtTRy57n0rQ17vb3mS/AnqR796TmoZV/U0d3ZNhT84pdk+WvZfgW4vaI379PYrsjqXrkZxZFMfV7FC9A==" saltValue="+aV/b9QVrsEM1kpKv2w5a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0.62880749999999996</v>
      </c>
      <c r="D2" s="53">
        <v>0.35571920000000001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2.2373400000000002E-2</v>
      </c>
      <c r="D3" s="53">
        <v>6.3059799999999999E-2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0.28091640000000001</v>
      </c>
      <c r="D4" s="53">
        <v>0.3799498</v>
      </c>
      <c r="E4" s="53">
        <v>0.59910560000000002</v>
      </c>
      <c r="F4" s="53">
        <v>0.34869080000000002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6.7902700000000094E-2</v>
      </c>
      <c r="D5" s="52">
        <f t="shared" si="0"/>
        <v>0.20127119999999998</v>
      </c>
      <c r="E5" s="52">
        <f>1-SUM(E2:E4)</f>
        <v>0.40089439999999998</v>
      </c>
      <c r="F5" s="52">
        <f>1-SUM(F2:F4)</f>
        <v>0.65130920000000003</v>
      </c>
      <c r="G5" s="52">
        <f>1-SUM(G2:G4)</f>
        <v>1</v>
      </c>
    </row>
  </sheetData>
  <sheetProtection algorithmName="SHA-512" hashValue="Z5eE24gckbLnNnw3+V/NrMFGmMYR9wIi6RIOagBVSMQIuI3G1wfLf7PfjMDTx+qt8yzeebZ3UwCCtSTl1p1yvg==" saltValue="UmOa13dXv/b48gM6NSHav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ctKNXeuUuXnBw9FuKcd5HOQUtkdvnMXlcdTkCT4NCuMs5HDNKt5heKbGIQ4jrH8/tMrkg3hTM1f+KXCqG+gcUg==" saltValue="UvD8/aaE1Y+iWHZj1hjle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12</v>
      </c>
      <c r="B1" s="103" t="s">
        <v>13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163</v>
      </c>
      <c r="B2" s="107">
        <v>4425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162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173</v>
      </c>
      <c r="B4" s="108">
        <v>0.4284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164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165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168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167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169</v>
      </c>
      <c r="B9" s="108">
        <v>0.45245999999999997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166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174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175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176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177</v>
      </c>
      <c r="B14" s="110">
        <v>1.767708695303977E-2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170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171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172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178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14</v>
      </c>
      <c r="B21" s="106" t="s">
        <v>15</v>
      </c>
      <c r="C21" s="106" t="s">
        <v>16</v>
      </c>
      <c r="D21" s="106" t="s">
        <v>17</v>
      </c>
      <c r="E21" s="106" t="s">
        <v>18</v>
      </c>
      <c r="F21" s="106" t="s">
        <v>19</v>
      </c>
      <c r="G21" s="106" t="s">
        <v>20</v>
      </c>
      <c r="H21" s="106" t="s">
        <v>21</v>
      </c>
      <c r="I21" s="106" t="s">
        <v>22</v>
      </c>
      <c r="J21" s="106" t="s">
        <v>23</v>
      </c>
      <c r="K21" s="106" t="s">
        <v>24</v>
      </c>
      <c r="L21" s="106" t="s">
        <v>25</v>
      </c>
      <c r="M21" s="106" t="s">
        <v>26</v>
      </c>
      <c r="N21" s="106" t="s">
        <v>27</v>
      </c>
      <c r="O21" s="106" t="s">
        <v>28</v>
      </c>
    </row>
    <row r="22" spans="1:15" x14ac:dyDescent="0.25">
      <c r="A22" s="106" t="s">
        <v>179</v>
      </c>
      <c r="B22" s="107">
        <v>98310.202260000005</v>
      </c>
      <c r="C22" s="107">
        <v>98157.074970000001</v>
      </c>
      <c r="D22" s="107">
        <v>98076.137100000007</v>
      </c>
      <c r="E22" s="107">
        <v>97749.323680000001</v>
      </c>
      <c r="F22" s="107">
        <v>97258.193759999995</v>
      </c>
      <c r="G22" s="107">
        <v>96700.432990000001</v>
      </c>
      <c r="H22" s="107">
        <v>95960.473639999997</v>
      </c>
      <c r="I22" s="107">
        <v>94931.21286</v>
      </c>
      <c r="J22" s="107">
        <v>93332.69644</v>
      </c>
      <c r="K22" s="107">
        <v>90933.106350000002</v>
      </c>
      <c r="L22" s="107">
        <v>87361.148029999997</v>
      </c>
      <c r="M22" s="107">
        <v>82059.29075</v>
      </c>
      <c r="N22" s="107">
        <v>75000.800130000003</v>
      </c>
      <c r="O22" s="107">
        <v>65512.94498</v>
      </c>
    </row>
  </sheetData>
  <sheetProtection algorithmName="SHA-512" hashValue="RaLhrVjuMXRocBXsn/wS4bYvWGEyoRb3TJ8LHn2nQQdbJmvk9BODGCraTvQ0WjUJwXlVEyJYLPmv7GyFKSHXmw==" saltValue="zWv8A/yGrbalx/0PN8203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Q3InleUQxxRyAtD+j8TuyVNw2doDsVwNQgAYgAtROWGYmLuitzXwCtdWZsI8l2pdMAyXjJlYjKR6mrIklOywfw==" saltValue="fX2HFH+gSwQ7s2pfE9V1i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YuGy1pk/8UgL7bf0qKudHW/WcNmB6w4HxFLLc1sBzukF5cr1m49eN5o1ND91gXUyIgp4LyNIaFGjNsVBAnme6Q==" saltValue="n5pkI9xAewRN7uA0N0/IB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6">
        <v>0.95</v>
      </c>
      <c r="D2" s="56">
        <v>23.266651740020471</v>
      </c>
      <c r="E2" s="56" t="s">
        <v>230</v>
      </c>
      <c r="F2" s="96">
        <v>1</v>
      </c>
      <c r="G2" s="96">
        <v>1</v>
      </c>
    </row>
    <row r="3" spans="1:7" ht="15.75" customHeight="1" x14ac:dyDescent="0.25">
      <c r="A3" s="5" t="s">
        <v>198</v>
      </c>
      <c r="B3" s="45">
        <v>0</v>
      </c>
      <c r="C3" s="96">
        <v>0.95</v>
      </c>
      <c r="D3" s="56">
        <v>23.266651740020471</v>
      </c>
      <c r="E3" s="56" t="s">
        <v>230</v>
      </c>
      <c r="F3" s="96">
        <v>1</v>
      </c>
      <c r="G3" s="96">
        <v>1</v>
      </c>
    </row>
    <row r="4" spans="1:7" ht="15.75" customHeight="1" x14ac:dyDescent="0.25">
      <c r="A4" s="5" t="s">
        <v>199</v>
      </c>
      <c r="B4" s="96">
        <v>0</v>
      </c>
      <c r="C4" s="96">
        <v>0.95</v>
      </c>
      <c r="D4" s="56">
        <v>0.80999999999999994</v>
      </c>
      <c r="E4" s="56" t="s">
        <v>230</v>
      </c>
      <c r="F4" s="96">
        <v>1</v>
      </c>
      <c r="G4" s="96">
        <v>1</v>
      </c>
    </row>
    <row r="5" spans="1:7" ht="15.75" customHeight="1" x14ac:dyDescent="0.25">
      <c r="A5" s="5" t="s">
        <v>200</v>
      </c>
      <c r="B5" s="96">
        <v>0</v>
      </c>
      <c r="C5" s="96">
        <v>0.95</v>
      </c>
      <c r="D5" s="56">
        <v>2.286454056738934</v>
      </c>
      <c r="E5" s="56" t="s">
        <v>230</v>
      </c>
      <c r="F5" s="96">
        <v>1</v>
      </c>
      <c r="G5" s="96">
        <v>1</v>
      </c>
    </row>
    <row r="6" spans="1:7" ht="15.75" customHeight="1" x14ac:dyDescent="0.25">
      <c r="A6" s="5" t="s">
        <v>201</v>
      </c>
      <c r="B6" s="96">
        <v>0</v>
      </c>
      <c r="C6" s="96">
        <v>0.95</v>
      </c>
      <c r="D6" s="56">
        <v>99.99</v>
      </c>
      <c r="E6" s="56" t="s">
        <v>230</v>
      </c>
      <c r="F6" s="96">
        <v>1</v>
      </c>
      <c r="G6" s="96">
        <v>1</v>
      </c>
    </row>
    <row r="7" spans="1:7" ht="15.75" customHeight="1" x14ac:dyDescent="0.25">
      <c r="A7" s="5" t="s">
        <v>202</v>
      </c>
      <c r="B7" s="96">
        <v>0</v>
      </c>
      <c r="C7" s="96">
        <v>0.95</v>
      </c>
      <c r="D7" s="56">
        <v>0.19</v>
      </c>
      <c r="E7" s="56" t="s">
        <v>230</v>
      </c>
      <c r="F7" s="96">
        <v>1</v>
      </c>
      <c r="G7" s="96">
        <v>1</v>
      </c>
    </row>
    <row r="8" spans="1:7" ht="15.75" customHeight="1" x14ac:dyDescent="0.25">
      <c r="A8" s="5" t="s">
        <v>203</v>
      </c>
      <c r="B8" s="96">
        <v>0</v>
      </c>
      <c r="C8" s="96">
        <v>0.95</v>
      </c>
      <c r="D8" s="56">
        <v>0.79</v>
      </c>
      <c r="E8" s="56" t="s">
        <v>230</v>
      </c>
      <c r="F8" s="96">
        <v>1</v>
      </c>
      <c r="G8" s="96">
        <v>1</v>
      </c>
    </row>
    <row r="9" spans="1:7" ht="15.75" customHeight="1" x14ac:dyDescent="0.25">
      <c r="A9" s="5" t="s">
        <v>204</v>
      </c>
      <c r="B9" s="96">
        <v>0</v>
      </c>
      <c r="C9" s="96">
        <v>0.95</v>
      </c>
      <c r="D9" s="56">
        <v>0.33</v>
      </c>
      <c r="E9" s="56" t="s">
        <v>230</v>
      </c>
      <c r="F9" s="96">
        <v>1</v>
      </c>
      <c r="G9" s="96">
        <v>1</v>
      </c>
    </row>
    <row r="10" spans="1:7" ht="15.75" customHeight="1" x14ac:dyDescent="0.25">
      <c r="A10" s="11" t="s">
        <v>205</v>
      </c>
      <c r="B10" s="45">
        <v>0</v>
      </c>
      <c r="C10" s="96">
        <v>0.95</v>
      </c>
      <c r="D10" s="56">
        <v>12.95590405687226</v>
      </c>
      <c r="E10" s="56" t="s">
        <v>230</v>
      </c>
      <c r="F10" s="96">
        <v>1</v>
      </c>
      <c r="G10" s="96">
        <v>1</v>
      </c>
    </row>
    <row r="11" spans="1:7" ht="15.75" customHeight="1" x14ac:dyDescent="0.25">
      <c r="A11" s="11" t="s">
        <v>206</v>
      </c>
      <c r="B11" s="96">
        <v>0</v>
      </c>
      <c r="C11" s="96">
        <v>0.95</v>
      </c>
      <c r="D11" s="56">
        <v>12.95590405687226</v>
      </c>
      <c r="E11" s="56" t="s">
        <v>230</v>
      </c>
      <c r="F11" s="96">
        <v>1</v>
      </c>
      <c r="G11" s="96">
        <v>1</v>
      </c>
    </row>
    <row r="12" spans="1:7" ht="15.75" customHeight="1" x14ac:dyDescent="0.25">
      <c r="A12" s="11" t="s">
        <v>207</v>
      </c>
      <c r="B12" s="96">
        <v>0</v>
      </c>
      <c r="C12" s="96">
        <v>0.95</v>
      </c>
      <c r="D12" s="56">
        <v>12.95590405687226</v>
      </c>
      <c r="E12" s="56" t="s">
        <v>230</v>
      </c>
      <c r="F12" s="96">
        <v>1</v>
      </c>
      <c r="G12" s="96">
        <v>1</v>
      </c>
    </row>
    <row r="13" spans="1:7" ht="15.75" customHeight="1" x14ac:dyDescent="0.25">
      <c r="A13" s="11" t="s">
        <v>208</v>
      </c>
      <c r="B13" s="96">
        <v>0</v>
      </c>
      <c r="C13" s="96">
        <v>0.95</v>
      </c>
      <c r="D13" s="56">
        <v>12.95590405687226</v>
      </c>
      <c r="E13" s="56" t="s">
        <v>230</v>
      </c>
      <c r="F13" s="96">
        <v>1</v>
      </c>
      <c r="G13" s="96">
        <v>1</v>
      </c>
    </row>
    <row r="14" spans="1:7" ht="15.75" customHeight="1" x14ac:dyDescent="0.25">
      <c r="A14" s="5" t="s">
        <v>209</v>
      </c>
      <c r="B14" s="45">
        <v>0</v>
      </c>
      <c r="C14" s="96">
        <v>0.95</v>
      </c>
      <c r="D14" s="56">
        <v>12.95590405687226</v>
      </c>
      <c r="E14" s="56" t="s">
        <v>230</v>
      </c>
      <c r="F14" s="96">
        <v>1</v>
      </c>
      <c r="G14" s="96">
        <v>1</v>
      </c>
    </row>
    <row r="15" spans="1:7" ht="15.75" customHeight="1" x14ac:dyDescent="0.25">
      <c r="A15" s="5" t="s">
        <v>210</v>
      </c>
      <c r="B15" s="96">
        <v>0</v>
      </c>
      <c r="C15" s="96">
        <v>0.95</v>
      </c>
      <c r="D15" s="56">
        <v>12.95590405687226</v>
      </c>
      <c r="E15" s="56" t="s">
        <v>230</v>
      </c>
      <c r="F15" s="96">
        <v>1</v>
      </c>
      <c r="G15" s="96">
        <v>1</v>
      </c>
    </row>
    <row r="16" spans="1:7" ht="15.75" customHeight="1" x14ac:dyDescent="0.25">
      <c r="A16" s="5" t="s">
        <v>211</v>
      </c>
      <c r="B16" s="45">
        <v>0</v>
      </c>
      <c r="C16" s="96">
        <v>0.95</v>
      </c>
      <c r="D16" s="56">
        <v>1.57</v>
      </c>
      <c r="E16" s="56" t="s">
        <v>230</v>
      </c>
      <c r="F16" s="96">
        <v>1</v>
      </c>
      <c r="G16" s="96">
        <v>1</v>
      </c>
    </row>
    <row r="17" spans="1:7" ht="15.75" customHeight="1" x14ac:dyDescent="0.25">
      <c r="A17" s="5" t="s">
        <v>212</v>
      </c>
      <c r="B17" s="96">
        <v>0</v>
      </c>
      <c r="C17" s="96">
        <v>0.95</v>
      </c>
      <c r="D17" s="56">
        <v>0.1369044839662158</v>
      </c>
      <c r="E17" s="56" t="s">
        <v>230</v>
      </c>
      <c r="F17" s="96">
        <v>1</v>
      </c>
      <c r="G17" s="96">
        <v>1</v>
      </c>
    </row>
    <row r="18" spans="1:7" ht="15.9" customHeight="1" x14ac:dyDescent="0.25">
      <c r="A18" s="5" t="s">
        <v>186</v>
      </c>
      <c r="B18" s="96">
        <v>0.35571920000000001</v>
      </c>
      <c r="C18" s="96">
        <v>0.95</v>
      </c>
      <c r="D18" s="56">
        <v>8.0823886898669404</v>
      </c>
      <c r="E18" s="56" t="s">
        <v>230</v>
      </c>
      <c r="F18" s="96">
        <v>1</v>
      </c>
      <c r="G18" s="96">
        <v>1</v>
      </c>
    </row>
    <row r="19" spans="1:7" ht="15.75" customHeight="1" x14ac:dyDescent="0.25">
      <c r="A19" s="5" t="s">
        <v>187</v>
      </c>
      <c r="B19" s="96">
        <v>0.35571920000000001</v>
      </c>
      <c r="C19" s="96">
        <v>0.95</v>
      </c>
      <c r="D19" s="56">
        <v>8.6538627513423272</v>
      </c>
      <c r="E19" s="56" t="s">
        <v>230</v>
      </c>
      <c r="F19" s="96">
        <v>1</v>
      </c>
      <c r="G19" s="96">
        <v>1</v>
      </c>
    </row>
    <row r="20" spans="1:7" ht="15.75" customHeight="1" x14ac:dyDescent="0.25">
      <c r="A20" s="5" t="s">
        <v>188</v>
      </c>
      <c r="B20" s="96">
        <v>0</v>
      </c>
      <c r="C20" s="96">
        <v>0.95</v>
      </c>
      <c r="D20" s="56">
        <v>99.99</v>
      </c>
      <c r="E20" s="56" t="s">
        <v>230</v>
      </c>
      <c r="F20" s="96">
        <v>1</v>
      </c>
      <c r="G20" s="96">
        <v>1</v>
      </c>
    </row>
    <row r="21" spans="1:7" ht="15.75" customHeight="1" x14ac:dyDescent="0.25">
      <c r="A21" s="5" t="s">
        <v>213</v>
      </c>
      <c r="B21" s="45">
        <v>0</v>
      </c>
      <c r="C21" s="96">
        <v>0.95</v>
      </c>
      <c r="D21" s="56">
        <v>8.32</v>
      </c>
      <c r="E21" s="56" t="s">
        <v>230</v>
      </c>
      <c r="F21" s="96">
        <v>1</v>
      </c>
      <c r="G21" s="96">
        <v>1</v>
      </c>
    </row>
    <row r="22" spans="1:7" ht="15.75" customHeight="1" x14ac:dyDescent="0.25">
      <c r="A22" s="5" t="s">
        <v>214</v>
      </c>
      <c r="B22" s="96">
        <v>0</v>
      </c>
      <c r="C22" s="96">
        <v>0.95</v>
      </c>
      <c r="D22" s="56">
        <v>0.80999999999999994</v>
      </c>
      <c r="E22" s="56" t="s">
        <v>230</v>
      </c>
      <c r="F22" s="96">
        <v>1</v>
      </c>
      <c r="G22" s="96">
        <v>1</v>
      </c>
    </row>
    <row r="23" spans="1:7" ht="15.75" customHeight="1" x14ac:dyDescent="0.25">
      <c r="A23" s="5" t="s">
        <v>215</v>
      </c>
      <c r="B23" s="96">
        <v>0</v>
      </c>
      <c r="C23" s="96">
        <v>0.95</v>
      </c>
      <c r="D23" s="56">
        <v>4.2441655453988991</v>
      </c>
      <c r="E23" s="56" t="s">
        <v>230</v>
      </c>
      <c r="F23" s="96">
        <v>1</v>
      </c>
      <c r="G23" s="96">
        <v>1</v>
      </c>
    </row>
    <row r="24" spans="1:7" ht="15.75" customHeight="1" x14ac:dyDescent="0.25">
      <c r="A24" s="5" t="s">
        <v>216</v>
      </c>
      <c r="B24" s="45">
        <v>0.69818419053219993</v>
      </c>
      <c r="C24" s="96">
        <v>0.95</v>
      </c>
      <c r="D24" s="56">
        <v>99.99</v>
      </c>
      <c r="E24" s="56" t="s">
        <v>230</v>
      </c>
      <c r="F24" s="96">
        <v>1</v>
      </c>
      <c r="G24" s="96">
        <v>1</v>
      </c>
    </row>
    <row r="25" spans="1:7" ht="15.75" customHeight="1" x14ac:dyDescent="0.25">
      <c r="A25" s="5" t="s">
        <v>217</v>
      </c>
      <c r="B25" s="96">
        <v>0</v>
      </c>
      <c r="C25" s="96">
        <v>0.95</v>
      </c>
      <c r="D25" s="56">
        <v>99.99</v>
      </c>
      <c r="E25" s="56" t="s">
        <v>230</v>
      </c>
      <c r="F25" s="96">
        <v>1</v>
      </c>
      <c r="G25" s="96">
        <v>1</v>
      </c>
    </row>
    <row r="26" spans="1:7" ht="15.75" customHeight="1" x14ac:dyDescent="0.25">
      <c r="A26" s="5" t="s">
        <v>218</v>
      </c>
      <c r="B26" s="45">
        <v>0</v>
      </c>
      <c r="C26" s="96">
        <v>0.95</v>
      </c>
      <c r="D26" s="56">
        <v>8.469314227226203</v>
      </c>
      <c r="E26" s="56" t="s">
        <v>230</v>
      </c>
      <c r="F26" s="96">
        <v>1</v>
      </c>
      <c r="G26" s="96">
        <v>1</v>
      </c>
    </row>
    <row r="27" spans="1:7" ht="15.75" customHeight="1" x14ac:dyDescent="0.25">
      <c r="A27" s="5" t="s">
        <v>219</v>
      </c>
      <c r="B27" s="45">
        <v>0</v>
      </c>
      <c r="C27" s="96">
        <v>0.95</v>
      </c>
      <c r="D27" s="56">
        <v>14.964151740020471</v>
      </c>
      <c r="E27" s="56" t="s">
        <v>230</v>
      </c>
      <c r="F27" s="96">
        <v>1</v>
      </c>
      <c r="G27" s="96">
        <v>1</v>
      </c>
    </row>
    <row r="28" spans="1:7" ht="15.75" customHeight="1" x14ac:dyDescent="0.25">
      <c r="A28" s="5" t="s">
        <v>220</v>
      </c>
      <c r="B28" s="45">
        <v>0.63037770000000004</v>
      </c>
      <c r="C28" s="96">
        <v>0.95</v>
      </c>
      <c r="D28" s="56">
        <v>99.99</v>
      </c>
      <c r="E28" s="56" t="s">
        <v>230</v>
      </c>
      <c r="F28" s="96">
        <v>1</v>
      </c>
      <c r="G28" s="96">
        <v>1</v>
      </c>
    </row>
    <row r="29" spans="1:7" ht="15.75" customHeight="1" x14ac:dyDescent="0.25">
      <c r="A29" s="5" t="s">
        <v>221</v>
      </c>
      <c r="B29" s="45">
        <v>0.53491379999999999</v>
      </c>
      <c r="C29" s="96">
        <v>0.95</v>
      </c>
      <c r="D29" s="56">
        <v>107.8921549536976</v>
      </c>
      <c r="E29" s="56" t="s">
        <v>230</v>
      </c>
      <c r="F29" s="96">
        <v>1</v>
      </c>
      <c r="G29" s="96">
        <v>1</v>
      </c>
    </row>
    <row r="30" spans="1:7" ht="15.75" customHeight="1" x14ac:dyDescent="0.25">
      <c r="A30" s="5" t="s">
        <v>234</v>
      </c>
      <c r="B30" s="96">
        <v>0</v>
      </c>
      <c r="C30" s="96">
        <v>0.95</v>
      </c>
      <c r="D30" s="56">
        <v>53.05</v>
      </c>
      <c r="E30" s="56" t="s">
        <v>230</v>
      </c>
      <c r="F30" s="96">
        <v>1</v>
      </c>
      <c r="G30" s="96">
        <v>1</v>
      </c>
    </row>
    <row r="31" spans="1:7" ht="15.75" customHeight="1" x14ac:dyDescent="0.25">
      <c r="A31" s="5" t="s">
        <v>190</v>
      </c>
      <c r="B31" s="45">
        <v>0</v>
      </c>
      <c r="C31" s="96">
        <v>0.95</v>
      </c>
      <c r="D31" s="56">
        <v>118.83755373592631</v>
      </c>
      <c r="E31" s="56" t="s">
        <v>230</v>
      </c>
      <c r="F31" s="96">
        <v>1</v>
      </c>
      <c r="G31" s="96">
        <v>1</v>
      </c>
    </row>
    <row r="32" spans="1:7" ht="15.75" customHeight="1" x14ac:dyDescent="0.25">
      <c r="A32" s="5" t="s">
        <v>222</v>
      </c>
      <c r="B32" s="45">
        <v>0</v>
      </c>
      <c r="C32" s="96">
        <v>0.95</v>
      </c>
      <c r="D32" s="56">
        <v>0.69</v>
      </c>
      <c r="E32" s="56" t="s">
        <v>230</v>
      </c>
      <c r="F32" s="96">
        <v>1</v>
      </c>
      <c r="G32" s="96">
        <v>1</v>
      </c>
    </row>
    <row r="33" spans="1:7" ht="15.75" customHeight="1" x14ac:dyDescent="0.25">
      <c r="A33" s="5" t="s">
        <v>223</v>
      </c>
      <c r="B33" s="45">
        <v>0.69543660000000007</v>
      </c>
      <c r="C33" s="96">
        <v>0.95</v>
      </c>
      <c r="D33" s="56">
        <v>99.99</v>
      </c>
      <c r="E33" s="56" t="s">
        <v>230</v>
      </c>
      <c r="F33" s="96">
        <v>1</v>
      </c>
      <c r="G33" s="96">
        <v>1</v>
      </c>
    </row>
    <row r="34" spans="1:7" ht="15.75" customHeight="1" x14ac:dyDescent="0.25">
      <c r="A34" s="5" t="s">
        <v>224</v>
      </c>
      <c r="B34" s="45">
        <v>5.3412599999999998E-2</v>
      </c>
      <c r="C34" s="96">
        <v>0.95</v>
      </c>
      <c r="D34" s="56">
        <v>99.99</v>
      </c>
      <c r="E34" s="56" t="s">
        <v>230</v>
      </c>
      <c r="F34" s="96">
        <v>1</v>
      </c>
      <c r="G34" s="96">
        <v>1</v>
      </c>
    </row>
    <row r="35" spans="1:7" ht="15.75" customHeight="1" x14ac:dyDescent="0.25">
      <c r="A35" s="5" t="s">
        <v>225</v>
      </c>
      <c r="B35" s="96">
        <v>0</v>
      </c>
      <c r="C35" s="96">
        <v>0.95</v>
      </c>
      <c r="D35" s="56">
        <v>99.99</v>
      </c>
      <c r="E35" s="56" t="s">
        <v>230</v>
      </c>
      <c r="F35" s="96">
        <v>1</v>
      </c>
      <c r="G35" s="96">
        <v>1</v>
      </c>
    </row>
    <row r="36" spans="1:7" ht="15.75" customHeight="1" x14ac:dyDescent="0.25">
      <c r="A36" s="5" t="s">
        <v>226</v>
      </c>
      <c r="B36" s="45">
        <v>1.7857000000000001E-2</v>
      </c>
      <c r="C36" s="96">
        <v>0.95</v>
      </c>
      <c r="D36" s="56">
        <v>99.99</v>
      </c>
      <c r="E36" s="56" t="s">
        <v>230</v>
      </c>
      <c r="F36" s="96">
        <v>1</v>
      </c>
      <c r="G36" s="96">
        <v>1</v>
      </c>
    </row>
    <row r="37" spans="1:7" ht="15.75" customHeight="1" x14ac:dyDescent="0.25">
      <c r="A37" s="5" t="s">
        <v>227</v>
      </c>
      <c r="B37" s="45">
        <v>0.98544960000000004</v>
      </c>
      <c r="C37" s="96">
        <v>0.95</v>
      </c>
      <c r="D37" s="56">
        <v>99.99</v>
      </c>
      <c r="E37" s="56" t="s">
        <v>230</v>
      </c>
      <c r="F37" s="96">
        <v>1</v>
      </c>
      <c r="G37" s="96">
        <v>1</v>
      </c>
    </row>
    <row r="38" spans="1:7" ht="15.75" customHeight="1" x14ac:dyDescent="0.25">
      <c r="A38" s="5" t="s">
        <v>228</v>
      </c>
      <c r="B38" s="45">
        <v>4.0758000000000003E-2</v>
      </c>
      <c r="C38" s="96">
        <v>0.95</v>
      </c>
      <c r="D38" s="56">
        <v>3.45</v>
      </c>
      <c r="E38" s="56" t="s">
        <v>230</v>
      </c>
      <c r="F38" s="96">
        <v>1</v>
      </c>
      <c r="G38" s="96">
        <v>1</v>
      </c>
    </row>
    <row r="39" spans="1:7" ht="15.75" customHeight="1" x14ac:dyDescent="0.25">
      <c r="A39" s="5" t="s">
        <v>229</v>
      </c>
      <c r="B39" s="45">
        <v>0</v>
      </c>
      <c r="C39" s="96">
        <v>0.95</v>
      </c>
      <c r="D39" s="56">
        <v>3.07</v>
      </c>
      <c r="E39" s="56" t="s">
        <v>230</v>
      </c>
      <c r="F39" s="96">
        <v>1</v>
      </c>
      <c r="G39" s="96">
        <v>1</v>
      </c>
    </row>
  </sheetData>
  <sheetProtection algorithmName="SHA-512" hashValue="bfBX2kCwztwIdguNiMk7wCRIU5LPWCBKYovx4d1qk5OWONobkh8I9177XbKmz1gU3UL5+vKtrXPYAWU0Yq1bRg==" saltValue="nzG6NMG664oQLLSbtYgsA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bD3KtUjV3UsonbQ8bD4csp1zHtBb9l+3qZrixc6E3kaxHxc2vmEpPxtVA9hhcQ2YXbpgFTPY+ZWt/TYgvaEYPg==" saltValue="MBnpoJ4F1sw5SUhRTop0h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RDjYfz5AIC0ls4lV9kLeleZYGb6Ctkm6CN4u5p4P80I8uqW2l25U0Aq25gN4PRdKFYPfksmLRPZfP5MsT522cw==" saltValue="+7MmnyVPfv7f1A2cOYhNC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2.2000000000000002</v>
      </c>
      <c r="C2" s="21">
        <f>'Données pop de l''année de ref'!C52</f>
        <v>2.2000000000000002</v>
      </c>
      <c r="D2" s="21">
        <f>'Données pop de l''année de ref'!C53</f>
        <v>2.2000000000000002</v>
      </c>
      <c r="E2" s="21">
        <f>'Données pop de l''année de ref'!C54</f>
        <v>2.2000000000000002</v>
      </c>
      <c r="F2" s="21">
        <f>'Données pop de l''année de ref'!C55</f>
        <v>2.2000000000000002</v>
      </c>
    </row>
    <row r="3" spans="1:6" ht="15.75" customHeight="1" x14ac:dyDescent="0.25">
      <c r="A3" s="3" t="s">
        <v>238</v>
      </c>
      <c r="B3" s="21">
        <f>frac_mam_1month * 2.6</f>
        <v>5.7191160000000005E-2</v>
      </c>
      <c r="C3" s="21">
        <f>frac_mam_1_5months * 2.6</f>
        <v>5.7191160000000005E-2</v>
      </c>
      <c r="D3" s="21">
        <f>frac_mam_6_11months * 2.6</f>
        <v>6.0216260000000001E-2</v>
      </c>
      <c r="E3" s="21">
        <f>frac_mam_12_23months * 2.6</f>
        <v>0</v>
      </c>
      <c r="F3" s="21">
        <f>frac_mam_24_59months * 2.6</f>
        <v>1.197144E-2</v>
      </c>
    </row>
    <row r="4" spans="1:6" ht="15.75" customHeight="1" x14ac:dyDescent="0.25">
      <c r="A4" s="3" t="s">
        <v>237</v>
      </c>
      <c r="B4" s="21">
        <f>frac_sam_1month * 2.6</f>
        <v>0</v>
      </c>
      <c r="C4" s="21">
        <f>frac_sam_1_5months * 2.6</f>
        <v>0</v>
      </c>
      <c r="D4" s="21">
        <f>frac_sam_6_11months * 2.6</f>
        <v>0</v>
      </c>
      <c r="E4" s="21">
        <f>frac_sam_12_23months * 2.6</f>
        <v>0</v>
      </c>
      <c r="F4" s="21">
        <f>frac_sam_24_59months * 2.6</f>
        <v>1.487746E-2</v>
      </c>
    </row>
  </sheetData>
  <sheetProtection algorithmName="SHA-512" hashValue="xxT/vt4HD/4bFjlOO9qbQwxVC1WwHTZ9F4XfmmHwTvXBjyO4dDaYT6LEA9rTOFFX0rPV8OO0XNK0zFRw7PRImQ==" saltValue="FiwI4LWgn49+DVEDsFV+D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0.01</v>
      </c>
      <c r="F2" s="60">
        <f>food_insecure</f>
        <v>0.01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0.01</v>
      </c>
      <c r="F5" s="60">
        <f>food_insecure</f>
        <v>0.01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4.6999999999999993E-2</v>
      </c>
      <c r="D7" s="60">
        <f>diarrhoea_1_5mo*frac_diarrhea_severe</f>
        <v>4.6999999999999993E-2</v>
      </c>
      <c r="E7" s="60">
        <f>diarrhoea_6_11mo*frac_diarrhea_severe</f>
        <v>4.6999999999999993E-2</v>
      </c>
      <c r="F7" s="60">
        <f>diarrhoea_12_23mo*frac_diarrhea_severe</f>
        <v>4.6999999999999993E-2</v>
      </c>
      <c r="G7" s="60">
        <f>diarrhoea_24_59mo*frac_diarrhea_severe</f>
        <v>4.6999999999999993E-2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0.01</v>
      </c>
      <c r="F8" s="60">
        <f>food_insecure</f>
        <v>0.01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0.01</v>
      </c>
      <c r="F9" s="60">
        <f>food_insecure</f>
        <v>0.01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4.6999999999999993E-2</v>
      </c>
      <c r="D12" s="60">
        <f>diarrhoea_1_5mo*frac_diarrhea_severe</f>
        <v>4.6999999999999993E-2</v>
      </c>
      <c r="E12" s="60">
        <f>diarrhoea_6_11mo*frac_diarrhea_severe</f>
        <v>4.6999999999999993E-2</v>
      </c>
      <c r="F12" s="60">
        <f>diarrhoea_12_23mo*frac_diarrhea_severe</f>
        <v>4.6999999999999993E-2</v>
      </c>
      <c r="G12" s="60">
        <f>diarrhoea_24_59mo*frac_diarrhea_severe</f>
        <v>4.6999999999999993E-2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0.01</v>
      </c>
      <c r="I15" s="60">
        <f t="shared" si="0"/>
        <v>0.01</v>
      </c>
      <c r="J15" s="60">
        <f t="shared" si="0"/>
        <v>0.01</v>
      </c>
      <c r="K15" s="60">
        <f t="shared" si="0"/>
        <v>0.01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0.01</v>
      </c>
      <c r="I16" s="60">
        <f t="shared" si="0"/>
        <v>0.01</v>
      </c>
      <c r="J16" s="60">
        <f t="shared" si="0"/>
        <v>0.01</v>
      </c>
      <c r="K16" s="60">
        <f t="shared" si="0"/>
        <v>0.01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0.52100000000000002</v>
      </c>
      <c r="M24" s="60">
        <f>famplan_unmet_need</f>
        <v>0.52100000000000002</v>
      </c>
      <c r="N24" s="60">
        <f>famplan_unmet_need</f>
        <v>0.52100000000000002</v>
      </c>
      <c r="O24" s="60">
        <f>famplan_unmet_need</f>
        <v>0.52100000000000002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0.10488076480102523</v>
      </c>
      <c r="M25" s="60">
        <f>(1-food_insecure)*(0.49)+food_insecure*(0.7)</f>
        <v>0.49209999999999998</v>
      </c>
      <c r="N25" s="60">
        <f>(1-food_insecure)*(0.49)+food_insecure*(0.7)</f>
        <v>0.49209999999999998</v>
      </c>
      <c r="O25" s="60">
        <f>(1-food_insecure)*(0.49)+food_insecure*(0.7)</f>
        <v>0.49209999999999998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4.4948899200439395E-2</v>
      </c>
      <c r="M26" s="60">
        <f>(1-food_insecure)*(0.21)+food_insecure*(0.3)</f>
        <v>0.2109</v>
      </c>
      <c r="N26" s="60">
        <f>(1-food_insecure)*(0.21)+food_insecure*(0.3)</f>
        <v>0.2109</v>
      </c>
      <c r="O26" s="60">
        <f>(1-food_insecure)*(0.21)+food_insecure*(0.3)</f>
        <v>0.2109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6.3299303283691322E-2</v>
      </c>
      <c r="M27" s="60">
        <f>(1-food_insecure)*(0.3)</f>
        <v>0.29699999999999999</v>
      </c>
      <c r="N27" s="60">
        <f>(1-food_insecure)*(0.3)</f>
        <v>0.29699999999999999</v>
      </c>
      <c r="O27" s="60">
        <f>(1-food_insecure)*(0.3)</f>
        <v>0.29699999999999999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0.78687103271484404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JdmQT7qYeuu45paYAUITM3/uB9BLwCqt8CgCwAApvQA35zZNE3KHIhRL+cGdd99xnPC8hp/5uls3E8MuBiJjvA==" saltValue="SeEIP9iVWu0YapVMmorWO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Nd9zgtNAXIonIsPO4RbrkOyJ2rpm7G6zoXsfeEQ3PRC5iGNT09Q///skerLix5v0pPbhMz2WUo8bKsJuUtdaxA==" saltValue="m66M89k6eyaeRcFKfEd6D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gFNc4OkUMvxw/s9Siv0O7xOE0GSpB6S1guSVgYKpNlnuebwLElQjwaP8bbgh/sv9L/mPvwFp9XSZuwmRADypog==" saltValue="iWGFmcDc9/XCYB6LKcUhC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8NR4YoKTbDPNQZOcGmTeGn+WhFP2A6mJSxuIZWuRZ9YcVGy4uCUVTgS6834lm3CFvppuRBLCHZw3QKEsqD8+iA==" saltValue="64hVXWMYuIAsLw/JMEBST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5" workbookViewId="0">
      <selection activeCell="J18" sqref="J18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189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13" t="s">
        <v>197</v>
      </c>
      <c r="B2" s="114"/>
      <c r="C2" s="114"/>
      <c r="D2" s="114"/>
      <c r="E2" s="114"/>
      <c r="F2" s="114"/>
      <c r="G2" s="114"/>
      <c r="H2" s="114"/>
      <c r="I2" s="114" t="s">
        <v>4</v>
      </c>
      <c r="J2" s="114"/>
      <c r="K2" s="114"/>
      <c r="L2" s="114"/>
    </row>
    <row r="3" spans="1:12" x14ac:dyDescent="0.25">
      <c r="A3" s="113" t="s">
        <v>198</v>
      </c>
      <c r="B3" s="114"/>
      <c r="C3" s="114"/>
      <c r="D3" s="114"/>
      <c r="E3" s="114"/>
      <c r="F3" s="114"/>
      <c r="G3" s="114"/>
      <c r="H3" s="114" t="s">
        <v>4</v>
      </c>
      <c r="I3" s="114" t="s">
        <v>4</v>
      </c>
      <c r="J3" s="114"/>
      <c r="K3" s="114"/>
      <c r="L3" s="114"/>
    </row>
    <row r="4" spans="1:12" x14ac:dyDescent="0.25">
      <c r="A4" s="113" t="s">
        <v>199</v>
      </c>
      <c r="B4" s="114" t="s">
        <v>4</v>
      </c>
      <c r="C4" s="114"/>
      <c r="D4" s="114" t="s">
        <v>4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200</v>
      </c>
      <c r="B5" s="114"/>
      <c r="C5" s="114" t="s">
        <v>4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201</v>
      </c>
      <c r="B6" s="114"/>
      <c r="C6" s="114"/>
      <c r="D6" s="114"/>
      <c r="E6" s="114"/>
      <c r="F6" s="114"/>
      <c r="G6" s="114"/>
      <c r="H6" s="114"/>
      <c r="I6" s="114"/>
      <c r="J6" s="114" t="s">
        <v>4</v>
      </c>
      <c r="K6" s="114" t="s">
        <v>4</v>
      </c>
      <c r="L6" s="114"/>
    </row>
    <row r="7" spans="1:12" x14ac:dyDescent="0.25">
      <c r="A7" s="113" t="s">
        <v>202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/>
      <c r="J7" s="114"/>
      <c r="K7" s="114"/>
      <c r="L7" s="114"/>
    </row>
    <row r="8" spans="1:12" x14ac:dyDescent="0.25">
      <c r="A8" s="113" t="s">
        <v>203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/>
      <c r="J8" s="114"/>
      <c r="K8" s="114"/>
      <c r="L8" s="114"/>
    </row>
    <row r="9" spans="1:12" x14ac:dyDescent="0.25">
      <c r="A9" s="113" t="s">
        <v>204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/>
      <c r="J9" s="114"/>
      <c r="K9" s="114"/>
      <c r="L9" s="114"/>
    </row>
    <row r="10" spans="1:12" x14ac:dyDescent="0.25">
      <c r="A10" s="113" t="s">
        <v>205</v>
      </c>
      <c r="B10" s="114"/>
      <c r="C10" s="114" t="s">
        <v>4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206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207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208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209</v>
      </c>
      <c r="B14" s="114"/>
      <c r="C14" s="114" t="s">
        <v>4</v>
      </c>
      <c r="D14" s="114"/>
      <c r="E14" s="114"/>
      <c r="F14" s="114"/>
      <c r="G14" s="114"/>
      <c r="H14" s="114"/>
      <c r="I14" s="114" t="s">
        <v>4</v>
      </c>
      <c r="J14" s="114"/>
      <c r="K14" s="114"/>
      <c r="L14" s="114"/>
    </row>
    <row r="15" spans="1:12" x14ac:dyDescent="0.25">
      <c r="A15" s="115" t="s">
        <v>210</v>
      </c>
      <c r="B15" s="114"/>
      <c r="C15" s="114" t="s">
        <v>4</v>
      </c>
      <c r="D15" s="114"/>
      <c r="E15" s="114"/>
      <c r="F15" s="114"/>
      <c r="G15" s="114"/>
      <c r="H15" s="114"/>
      <c r="I15" s="114" t="s">
        <v>4</v>
      </c>
      <c r="J15" s="114"/>
      <c r="K15" s="114"/>
      <c r="L15" s="114"/>
    </row>
    <row r="16" spans="1:12" x14ac:dyDescent="0.25">
      <c r="A16" s="113" t="s">
        <v>211</v>
      </c>
      <c r="B16" s="114"/>
      <c r="C16" s="114" t="s">
        <v>4</v>
      </c>
      <c r="D16" s="114"/>
      <c r="E16" s="114"/>
      <c r="F16" s="114"/>
      <c r="G16" s="114"/>
      <c r="H16" s="114" t="s">
        <v>4</v>
      </c>
      <c r="I16" s="114" t="s">
        <v>4</v>
      </c>
      <c r="J16" s="114"/>
      <c r="K16" s="114"/>
      <c r="L16" s="114"/>
    </row>
    <row r="17" spans="1:12" x14ac:dyDescent="0.25">
      <c r="A17" s="113" t="s">
        <v>212</v>
      </c>
      <c r="B17" s="114"/>
      <c r="C17" s="114" t="s">
        <v>4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186</v>
      </c>
      <c r="B18" s="114" t="s">
        <v>4</v>
      </c>
      <c r="C18" s="114"/>
      <c r="D18" s="114"/>
      <c r="E18" s="114"/>
      <c r="F18" s="114" t="s">
        <v>4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187</v>
      </c>
      <c r="B19" s="114" t="s">
        <v>4</v>
      </c>
      <c r="C19" s="114"/>
      <c r="D19" s="114"/>
      <c r="E19" s="114"/>
      <c r="F19" s="114" t="s">
        <v>4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188</v>
      </c>
      <c r="B20" s="114" t="s">
        <v>4</v>
      </c>
      <c r="C20" s="114"/>
      <c r="D20" s="114"/>
      <c r="E20" s="114"/>
      <c r="F20" s="114" t="s">
        <v>4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213</v>
      </c>
      <c r="B21" s="114"/>
      <c r="C21" s="114"/>
      <c r="D21" s="114"/>
      <c r="E21" s="114"/>
      <c r="F21" s="114"/>
      <c r="G21" s="114"/>
      <c r="H21" s="114" t="s">
        <v>4</v>
      </c>
      <c r="I21" s="114" t="s">
        <v>4</v>
      </c>
      <c r="J21" s="114"/>
      <c r="K21" s="114"/>
      <c r="L21" s="114"/>
    </row>
    <row r="22" spans="1:12" x14ac:dyDescent="0.25">
      <c r="A22" s="113" t="s">
        <v>214</v>
      </c>
      <c r="B22" s="114" t="s">
        <v>4</v>
      </c>
      <c r="C22" s="114" t="s">
        <v>4</v>
      </c>
      <c r="D22" s="114" t="s">
        <v>4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215</v>
      </c>
      <c r="B23" s="114"/>
      <c r="C23" s="114" t="s">
        <v>4</v>
      </c>
      <c r="D23" s="114"/>
      <c r="E23" s="114"/>
      <c r="F23" s="114"/>
      <c r="G23" s="114"/>
      <c r="H23" s="114"/>
      <c r="I23" s="114" t="s">
        <v>4</v>
      </c>
      <c r="J23" s="114"/>
      <c r="K23" s="114"/>
      <c r="L23" s="114"/>
    </row>
    <row r="24" spans="1:12" x14ac:dyDescent="0.25">
      <c r="A24" s="113" t="s">
        <v>216</v>
      </c>
      <c r="B24" s="114"/>
      <c r="C24" s="114"/>
      <c r="D24" s="114"/>
      <c r="E24" s="114"/>
      <c r="F24" s="114"/>
      <c r="G24" s="114"/>
      <c r="H24" s="114" t="s">
        <v>4</v>
      </c>
      <c r="I24" s="114"/>
      <c r="J24" s="114"/>
      <c r="K24" s="114"/>
      <c r="L24" s="114"/>
    </row>
    <row r="25" spans="1:12" x14ac:dyDescent="0.25">
      <c r="A25" s="113" t="s">
        <v>217</v>
      </c>
      <c r="B25" s="114"/>
      <c r="C25" s="114"/>
      <c r="D25" s="114"/>
      <c r="E25" s="114"/>
      <c r="F25" s="114"/>
      <c r="G25" s="114"/>
      <c r="H25" s="114" t="s">
        <v>4</v>
      </c>
      <c r="I25" s="114"/>
      <c r="J25" s="114"/>
      <c r="K25" s="114"/>
      <c r="L25" s="114"/>
    </row>
    <row r="26" spans="1:12" x14ac:dyDescent="0.25">
      <c r="A26" s="113" t="s">
        <v>218</v>
      </c>
      <c r="B26" s="114"/>
      <c r="C26" s="114" t="s">
        <v>4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219</v>
      </c>
      <c r="B27" s="114"/>
      <c r="C27" s="114" t="s">
        <v>4</v>
      </c>
      <c r="D27" s="114"/>
      <c r="E27" s="114"/>
      <c r="F27" s="114"/>
      <c r="G27" s="114"/>
      <c r="H27" s="114"/>
      <c r="I27" s="114" t="s">
        <v>4</v>
      </c>
      <c r="J27" s="114"/>
      <c r="K27" s="114"/>
      <c r="L27" s="114" t="s">
        <v>4</v>
      </c>
    </row>
    <row r="28" spans="1:12" x14ac:dyDescent="0.25">
      <c r="A28" s="113" t="s">
        <v>220</v>
      </c>
      <c r="B28" s="114"/>
      <c r="C28" s="114"/>
      <c r="D28" s="114"/>
      <c r="E28" s="114"/>
      <c r="F28" s="114"/>
      <c r="G28" s="114"/>
      <c r="H28" s="114" t="s">
        <v>4</v>
      </c>
      <c r="I28" s="114"/>
      <c r="J28" s="114"/>
      <c r="K28" s="114"/>
      <c r="L28" s="114"/>
    </row>
    <row r="29" spans="1:12" x14ac:dyDescent="0.25">
      <c r="A29" s="113" t="s">
        <v>221</v>
      </c>
      <c r="B29" s="114" t="s">
        <v>4</v>
      </c>
      <c r="C29" s="114"/>
      <c r="D29" s="114" t="s">
        <v>4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234</v>
      </c>
      <c r="B30" s="114" t="s">
        <v>4</v>
      </c>
      <c r="C30" s="114" t="s">
        <v>4</v>
      </c>
      <c r="D30" s="114" t="s">
        <v>4</v>
      </c>
      <c r="E30" s="114"/>
      <c r="F30" s="114"/>
      <c r="G30" s="114"/>
      <c r="H30" s="114" t="s">
        <v>4</v>
      </c>
      <c r="I30" s="114"/>
      <c r="J30" s="114"/>
      <c r="K30" s="114"/>
      <c r="L30" s="114"/>
    </row>
    <row r="31" spans="1:12" x14ac:dyDescent="0.25">
      <c r="A31" s="113" t="s">
        <v>190</v>
      </c>
      <c r="B31" s="114"/>
      <c r="C31" s="114"/>
      <c r="D31" s="114"/>
      <c r="E31" s="114" t="s">
        <v>4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222</v>
      </c>
      <c r="B32" s="114"/>
      <c r="C32" s="114"/>
      <c r="D32" s="114"/>
      <c r="E32" s="114"/>
      <c r="F32" s="114"/>
      <c r="G32" s="114" t="s">
        <v>4</v>
      </c>
      <c r="H32" s="114" t="s">
        <v>4</v>
      </c>
      <c r="I32" s="114"/>
      <c r="J32" s="114"/>
      <c r="K32" s="114"/>
      <c r="L32" s="114"/>
    </row>
    <row r="33" spans="1:12" x14ac:dyDescent="0.25">
      <c r="A33" s="113" t="s">
        <v>223</v>
      </c>
      <c r="B33" s="114"/>
      <c r="C33" s="114"/>
      <c r="D33" s="114"/>
      <c r="E33" s="114"/>
      <c r="F33" s="114"/>
      <c r="G33" s="114" t="s">
        <v>4</v>
      </c>
      <c r="H33" s="114" t="s">
        <v>4</v>
      </c>
      <c r="I33" s="114"/>
      <c r="J33" s="114"/>
      <c r="K33" s="114"/>
      <c r="L33" s="114"/>
    </row>
    <row r="34" spans="1:12" x14ac:dyDescent="0.25">
      <c r="A34" s="113" t="s">
        <v>224</v>
      </c>
      <c r="B34" s="114"/>
      <c r="C34" s="114"/>
      <c r="D34" s="114"/>
      <c r="E34" s="114"/>
      <c r="F34" s="114"/>
      <c r="G34" s="114" t="s">
        <v>4</v>
      </c>
      <c r="H34" s="114" t="s">
        <v>4</v>
      </c>
      <c r="I34" s="114"/>
      <c r="J34" s="114"/>
      <c r="K34" s="114"/>
      <c r="L34" s="114"/>
    </row>
    <row r="35" spans="1:12" x14ac:dyDescent="0.25">
      <c r="A35" s="113" t="s">
        <v>225</v>
      </c>
      <c r="B35" s="114"/>
      <c r="C35" s="114"/>
      <c r="D35" s="114"/>
      <c r="E35" s="114"/>
      <c r="F35" s="114"/>
      <c r="G35" s="114" t="s">
        <v>4</v>
      </c>
      <c r="H35" s="114" t="s">
        <v>4</v>
      </c>
      <c r="I35" s="114"/>
      <c r="J35" s="114"/>
      <c r="K35" s="114"/>
      <c r="L35" s="114"/>
    </row>
    <row r="36" spans="1:12" x14ac:dyDescent="0.25">
      <c r="A36" s="113" t="s">
        <v>226</v>
      </c>
      <c r="B36" s="114"/>
      <c r="C36" s="114"/>
      <c r="D36" s="114"/>
      <c r="E36" s="114"/>
      <c r="F36" s="114"/>
      <c r="G36" s="114" t="s">
        <v>4</v>
      </c>
      <c r="H36" s="114" t="s">
        <v>4</v>
      </c>
      <c r="I36" s="114"/>
      <c r="J36" s="114"/>
      <c r="K36" s="114"/>
      <c r="L36" s="114"/>
    </row>
    <row r="37" spans="1:12" x14ac:dyDescent="0.25">
      <c r="A37" s="113" t="s">
        <v>227</v>
      </c>
      <c r="B37" s="114"/>
      <c r="C37" s="114"/>
      <c r="D37" s="114"/>
      <c r="E37" s="114"/>
      <c r="F37" s="114"/>
      <c r="G37" s="114" t="s">
        <v>4</v>
      </c>
      <c r="H37" s="114" t="s">
        <v>4</v>
      </c>
      <c r="I37" s="114"/>
      <c r="J37" s="114"/>
      <c r="K37" s="114"/>
      <c r="L37" s="114"/>
    </row>
    <row r="38" spans="1:12" x14ac:dyDescent="0.25">
      <c r="A38" s="113" t="s">
        <v>228</v>
      </c>
      <c r="B38" s="114"/>
      <c r="C38" s="114"/>
      <c r="D38" s="114"/>
      <c r="E38" s="114"/>
      <c r="F38" s="114"/>
      <c r="G38" s="114"/>
      <c r="H38" s="114" t="s">
        <v>4</v>
      </c>
      <c r="I38" s="114"/>
      <c r="J38" s="114"/>
      <c r="K38" s="114"/>
      <c r="L38" s="114"/>
    </row>
    <row r="39" spans="1:12" x14ac:dyDescent="0.25">
      <c r="A39" s="113" t="s">
        <v>229</v>
      </c>
      <c r="B39" s="114" t="s">
        <v>4</v>
      </c>
      <c r="C39" s="114"/>
      <c r="D39" s="114"/>
      <c r="E39" s="114"/>
      <c r="F39" s="114"/>
      <c r="G39" s="114" t="s">
        <v>4</v>
      </c>
      <c r="H39" s="114" t="s">
        <v>4</v>
      </c>
      <c r="I39" s="114"/>
      <c r="J39" s="114"/>
      <c r="K39" s="114"/>
      <c r="L39" s="114"/>
    </row>
  </sheetData>
  <sheetProtection algorithmName="SHA-512" hashValue="ZYpvOLgdVqpFxaS8aHaRSMc6M544wty7k6CtuZL8PHx3VENP1iy50NYKqixcpiJdnP2aK83FLalKcLz3gq7ZFA==" saltValue="tH2E1IALYftEQ94Z3bvzb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261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06" t="s">
        <v>127</v>
      </c>
      <c r="B2" s="114" t="s">
        <v>4</v>
      </c>
      <c r="C2" s="114" t="s">
        <v>4</v>
      </c>
      <c r="D2" s="114" t="s">
        <v>4</v>
      </c>
      <c r="E2" s="114" t="s">
        <v>4</v>
      </c>
      <c r="F2" s="114" t="s">
        <v>4</v>
      </c>
      <c r="G2" s="114" t="s">
        <v>4</v>
      </c>
      <c r="H2" s="114" t="s">
        <v>4</v>
      </c>
      <c r="I2" s="114"/>
      <c r="J2" s="114"/>
      <c r="K2" s="114"/>
      <c r="L2" s="114"/>
    </row>
    <row r="3" spans="1:12" x14ac:dyDescent="0.25">
      <c r="A3" s="106" t="s">
        <v>114</v>
      </c>
      <c r="B3" s="114" t="s">
        <v>4</v>
      </c>
      <c r="C3" s="114" t="s">
        <v>4</v>
      </c>
      <c r="D3" s="114" t="s">
        <v>4</v>
      </c>
      <c r="E3" s="114" t="s">
        <v>4</v>
      </c>
      <c r="F3" s="114" t="s">
        <v>4</v>
      </c>
      <c r="G3" s="114" t="s">
        <v>4</v>
      </c>
      <c r="H3" s="114" t="s">
        <v>4</v>
      </c>
      <c r="I3" s="114"/>
      <c r="J3" s="114"/>
      <c r="K3" s="114"/>
      <c r="L3" s="114"/>
    </row>
    <row r="4" spans="1:12" x14ac:dyDescent="0.25">
      <c r="A4" s="106" t="s">
        <v>115</v>
      </c>
      <c r="B4" s="114" t="s">
        <v>4</v>
      </c>
      <c r="C4" s="114" t="s">
        <v>4</v>
      </c>
      <c r="D4" s="114" t="s">
        <v>4</v>
      </c>
      <c r="E4" s="114" t="s">
        <v>4</v>
      </c>
      <c r="F4" s="114" t="s">
        <v>4</v>
      </c>
      <c r="G4" s="114" t="s">
        <v>4</v>
      </c>
      <c r="H4" s="114" t="s">
        <v>4</v>
      </c>
      <c r="I4" s="114"/>
      <c r="J4" s="114"/>
      <c r="K4" s="114"/>
      <c r="L4" s="114"/>
    </row>
    <row r="5" spans="1:12" x14ac:dyDescent="0.25">
      <c r="A5" s="106" t="s">
        <v>116</v>
      </c>
      <c r="B5" s="114" t="s">
        <v>4</v>
      </c>
      <c r="C5" s="114" t="s">
        <v>4</v>
      </c>
      <c r="D5" s="114" t="s">
        <v>4</v>
      </c>
      <c r="E5" s="114" t="s">
        <v>4</v>
      </c>
      <c r="F5" s="114" t="s">
        <v>4</v>
      </c>
      <c r="G5" s="114" t="s">
        <v>4</v>
      </c>
      <c r="H5" s="114" t="s">
        <v>4</v>
      </c>
      <c r="I5" s="114"/>
      <c r="J5" s="114"/>
      <c r="K5" s="114"/>
      <c r="L5" s="114"/>
    </row>
    <row r="6" spans="1:12" x14ac:dyDescent="0.25">
      <c r="A6" s="106" t="s">
        <v>117</v>
      </c>
      <c r="B6" s="114" t="s">
        <v>4</v>
      </c>
      <c r="C6" s="114" t="s">
        <v>4</v>
      </c>
      <c r="D6" s="114" t="s">
        <v>4</v>
      </c>
      <c r="E6" s="114" t="s">
        <v>4</v>
      </c>
      <c r="F6" s="114" t="s">
        <v>4</v>
      </c>
      <c r="G6" s="114" t="s">
        <v>4</v>
      </c>
      <c r="H6" s="114" t="s">
        <v>4</v>
      </c>
      <c r="I6" s="114"/>
      <c r="J6" s="114"/>
      <c r="K6" s="114"/>
      <c r="L6" s="114"/>
    </row>
    <row r="7" spans="1:12" x14ac:dyDescent="0.25">
      <c r="A7" s="106" t="s">
        <v>140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 t="s">
        <v>4</v>
      </c>
      <c r="J7" s="114"/>
      <c r="K7" s="114"/>
      <c r="L7" s="114" t="s">
        <v>4</v>
      </c>
    </row>
    <row r="8" spans="1:12" x14ac:dyDescent="0.25">
      <c r="A8" s="106" t="s">
        <v>141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 t="s">
        <v>4</v>
      </c>
      <c r="J8" s="114"/>
      <c r="K8" s="114"/>
      <c r="L8" s="114" t="s">
        <v>4</v>
      </c>
    </row>
    <row r="9" spans="1:12" x14ac:dyDescent="0.25">
      <c r="A9" s="106" t="s">
        <v>142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 t="s">
        <v>4</v>
      </c>
      <c r="J9" s="114"/>
      <c r="K9" s="114"/>
      <c r="L9" s="114" t="s">
        <v>4</v>
      </c>
    </row>
    <row r="10" spans="1:12" x14ac:dyDescent="0.25">
      <c r="A10" s="106" t="s">
        <v>143</v>
      </c>
      <c r="B10" s="114"/>
      <c r="C10" s="114" t="s">
        <v>4</v>
      </c>
      <c r="D10" s="114"/>
      <c r="E10" s="114"/>
      <c r="F10" s="114"/>
      <c r="G10" s="114"/>
      <c r="H10" s="114" t="s">
        <v>4</v>
      </c>
      <c r="I10" s="114" t="s">
        <v>4</v>
      </c>
      <c r="J10" s="114"/>
      <c r="K10" s="114"/>
      <c r="L10" s="114" t="s">
        <v>4</v>
      </c>
    </row>
    <row r="11" spans="1:12" x14ac:dyDescent="0.25">
      <c r="A11" s="106" t="s">
        <v>87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 t="s">
        <v>4</v>
      </c>
      <c r="K11" s="114" t="s">
        <v>4</v>
      </c>
      <c r="L11" s="114"/>
    </row>
    <row r="12" spans="1:12" x14ac:dyDescent="0.25">
      <c r="A12" s="106" t="s">
        <v>88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 t="s">
        <v>4</v>
      </c>
      <c r="L12" s="114"/>
    </row>
    <row r="13" spans="1:12" x14ac:dyDescent="0.25">
      <c r="A13" s="106" t="s">
        <v>89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 t="s">
        <v>4</v>
      </c>
      <c r="L13" s="114"/>
    </row>
    <row r="14" spans="1:12" x14ac:dyDescent="0.25">
      <c r="A14" s="106" t="s">
        <v>90</v>
      </c>
      <c r="B14" s="114"/>
      <c r="C14" s="114" t="s">
        <v>4</v>
      </c>
      <c r="D14" s="114"/>
      <c r="E14" s="114"/>
      <c r="F14" s="114"/>
      <c r="G14" s="114"/>
      <c r="H14" s="114"/>
      <c r="I14" s="114"/>
      <c r="J14" s="114"/>
      <c r="K14" s="114" t="s">
        <v>4</v>
      </c>
      <c r="L14" s="114"/>
    </row>
  </sheetData>
  <sheetProtection algorithmName="SHA-512" hashValue="2tWfbhzXToCZbAys5OEUG6XU99vwqRxht9KHMqxzdkRafhXZjigAWfk5rvYBuBE1RuEEuAbVpyOhxghmUSnlLQ==" saltValue="u6N7SeScM7uH4mQ7geB9D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6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6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6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6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6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6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6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6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6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w7qBghOUdInLKZAiGshDSp8G17aiXZRurKVMZHhJ2CThsBT4qmbyPjdIg/g5NdgBGAx4cHh8lS/o7ag3KHZfmg==" saltValue="nemZZ8jZfoEthDPu3WHsiQ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264</v>
      </c>
    </row>
    <row r="2" spans="1:7" ht="14.25" customHeight="1" x14ac:dyDescent="0.3">
      <c r="A2" s="120" t="s">
        <v>6</v>
      </c>
      <c r="B2" s="105"/>
      <c r="C2" s="103" t="s">
        <v>127</v>
      </c>
      <c r="D2" s="103" t="s">
        <v>114</v>
      </c>
      <c r="E2" s="103" t="s">
        <v>115</v>
      </c>
      <c r="F2" s="103" t="s">
        <v>116</v>
      </c>
      <c r="G2" s="103" t="s">
        <v>117</v>
      </c>
    </row>
    <row r="3" spans="1:7" ht="14.25" customHeight="1" x14ac:dyDescent="0.25">
      <c r="B3" s="115" t="s">
        <v>274</v>
      </c>
      <c r="C3" s="116" t="s">
        <v>10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275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276</v>
      </c>
    </row>
    <row r="6" spans="1:7" ht="14.25" customHeight="1" x14ac:dyDescent="0.25">
      <c r="B6" s="115" t="s">
        <v>221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214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199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234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229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280</v>
      </c>
    </row>
    <row r="13" spans="1:7" ht="14.25" customHeight="1" x14ac:dyDescent="0.3">
      <c r="A13" s="121"/>
      <c r="B13" s="115" t="s">
        <v>213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277</v>
      </c>
    </row>
    <row r="16" spans="1:7" ht="14.25" customHeight="1" x14ac:dyDescent="0.3">
      <c r="A16" s="120" t="s">
        <v>283</v>
      </c>
      <c r="B16" s="115" t="s">
        <v>278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281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139</v>
      </c>
      <c r="B18" s="115" t="s">
        <v>279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282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201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264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6</v>
      </c>
      <c r="B26" s="105"/>
      <c r="C26" s="103" t="s">
        <v>127</v>
      </c>
      <c r="D26" s="103" t="s">
        <v>114</v>
      </c>
      <c r="E26" s="103" t="s">
        <v>115</v>
      </c>
      <c r="F26" s="103" t="s">
        <v>116</v>
      </c>
      <c r="G26" s="103" t="s">
        <v>117</v>
      </c>
    </row>
    <row r="27" spans="1:7" x14ac:dyDescent="0.25">
      <c r="B27" s="115" t="s">
        <v>284</v>
      </c>
      <c r="C27" s="116" t="s">
        <v>10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285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286</v>
      </c>
    </row>
    <row r="30" spans="1:7" x14ac:dyDescent="0.25">
      <c r="B30" s="115" t="s">
        <v>287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288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29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289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290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291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277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283</v>
      </c>
      <c r="B40" s="115" t="s">
        <v>292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293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139</v>
      </c>
      <c r="B42" s="115" t="s">
        <v>294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296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270</v>
      </c>
    </row>
    <row r="49" spans="1:7" ht="13" x14ac:dyDescent="0.3">
      <c r="A49" s="118" t="s">
        <v>264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6</v>
      </c>
      <c r="B50" s="105"/>
      <c r="C50" s="103" t="s">
        <v>127</v>
      </c>
      <c r="D50" s="103" t="s">
        <v>114</v>
      </c>
      <c r="E50" s="103" t="s">
        <v>115</v>
      </c>
      <c r="F50" s="103" t="s">
        <v>116</v>
      </c>
      <c r="G50" s="103" t="s">
        <v>117</v>
      </c>
    </row>
    <row r="51" spans="1:7" x14ac:dyDescent="0.25">
      <c r="B51" s="115" t="s">
        <v>297</v>
      </c>
      <c r="C51" s="116" t="s">
        <v>10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298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299</v>
      </c>
    </row>
    <row r="54" spans="1:7" x14ac:dyDescent="0.25">
      <c r="B54" s="115" t="s">
        <v>300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301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30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311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302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304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277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283</v>
      </c>
      <c r="B64" s="115" t="s">
        <v>305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306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139</v>
      </c>
      <c r="B66" s="115" t="s">
        <v>307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308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309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9AImyrJtnrHzvdAVvpl7ql4gIeiECNUUa2KSPbqwF9keU+w9NI2c5OeNb9vHBwZvlb0ZcqKR/x9EJyfVbiQOFQ==" saltValue="ORlZCKUCoGrykz9j7gy03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189</v>
      </c>
      <c r="B1" s="103"/>
      <c r="C1" s="103" t="s">
        <v>69</v>
      </c>
      <c r="D1" s="103" t="s">
        <v>71</v>
      </c>
      <c r="E1" s="103" t="s">
        <v>70</v>
      </c>
      <c r="F1" s="105" t="s">
        <v>72</v>
      </c>
    </row>
    <row r="2" spans="1:6" ht="15.75" customHeight="1" x14ac:dyDescent="0.25">
      <c r="A2" s="115" t="s">
        <v>197</v>
      </c>
      <c r="B2" s="115" t="s">
        <v>312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313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198</v>
      </c>
      <c r="B4" s="115" t="s">
        <v>312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209</v>
      </c>
      <c r="B6" s="115" t="s">
        <v>312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313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210</v>
      </c>
      <c r="B8" s="115" t="s">
        <v>312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313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211</v>
      </c>
      <c r="B10" s="115" t="s">
        <v>312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313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215</v>
      </c>
      <c r="B12" s="115" t="s">
        <v>312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313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219</v>
      </c>
      <c r="B14" s="115" t="s">
        <v>312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313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189</v>
      </c>
      <c r="B18" s="103"/>
      <c r="C18" s="103" t="s">
        <v>69</v>
      </c>
      <c r="D18" s="103" t="s">
        <v>71</v>
      </c>
      <c r="E18" s="103" t="s">
        <v>70</v>
      </c>
      <c r="F18" s="105" t="s">
        <v>72</v>
      </c>
    </row>
    <row r="19" spans="1:6" ht="15.75" customHeight="1" x14ac:dyDescent="0.25">
      <c r="A19" s="115" t="s">
        <v>197</v>
      </c>
      <c r="B19" s="115" t="s">
        <v>312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313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198</v>
      </c>
      <c r="B21" s="115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209</v>
      </c>
      <c r="B23" s="115" t="s">
        <v>312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313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210</v>
      </c>
      <c r="B25" s="115" t="s">
        <v>312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313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211</v>
      </c>
      <c r="B27" s="115" t="s">
        <v>312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313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215</v>
      </c>
      <c r="B29" s="115" t="s">
        <v>312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313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219</v>
      </c>
      <c r="B31" s="115" t="s">
        <v>312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313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270</v>
      </c>
    </row>
    <row r="35" spans="1:6" ht="15.75" customHeight="1" x14ac:dyDescent="0.3">
      <c r="A35" s="105" t="s">
        <v>189</v>
      </c>
      <c r="B35" s="103"/>
      <c r="C35" s="103" t="s">
        <v>69</v>
      </c>
      <c r="D35" s="103" t="s">
        <v>71</v>
      </c>
      <c r="E35" s="103" t="s">
        <v>70</v>
      </c>
      <c r="F35" s="105" t="s">
        <v>72</v>
      </c>
    </row>
    <row r="36" spans="1:6" ht="15.75" customHeight="1" x14ac:dyDescent="0.25">
      <c r="A36" s="115" t="s">
        <v>197</v>
      </c>
      <c r="B36" s="115" t="s">
        <v>312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313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198</v>
      </c>
      <c r="B38" s="115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209</v>
      </c>
      <c r="B40" s="115" t="s">
        <v>312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313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210</v>
      </c>
      <c r="B42" s="115" t="s">
        <v>312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313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211</v>
      </c>
      <c r="B44" s="115" t="s">
        <v>312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313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215</v>
      </c>
      <c r="B46" s="115" t="s">
        <v>312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313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219</v>
      </c>
      <c r="B48" s="115" t="s">
        <v>312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313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7IjYEEtp5q4/4nenId8JYtP4OK1ryh5LpHQ8NoZp6EJxeFxA9vg8v8s/eJLsfib7euY7F0lFMfMfjbf578SqcA==" saltValue="VEF0be9ngBSmKmKsPKOih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f/IykuXcz9BKCM6Y8vYl6Rq/7iL53DFEazLjUNnzgRlRDz6ne6OcCfFgIDNtvMgbQiPNdnnSf7ax2YoqKWCKNQ==" saltValue="KAExOOxsn/1pGsEPQEl9o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kL5fb4BxYBCjIKKHv/Oy+YTVKcS5/cszslZurm8BO8U/8GT1JhFs3Fvc0Xtnl7E/IxOMZWz2YW6AHbcLAkokZw==" saltValue="8Ec9fEyS0oDAx7TeXu2ue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E1" zoomScale="70" zoomScaleNormal="70" workbookViewId="0">
      <selection activeCell="N55" sqref="N5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214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0.84</v>
      </c>
      <c r="M33" s="90">
        <v>0.84</v>
      </c>
      <c r="N33" s="90">
        <v>0.84</v>
      </c>
      <c r="O33" s="90">
        <v>0.84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f>L31</f>
        <v>0.38</v>
      </c>
      <c r="M37" s="90">
        <f>M31</f>
        <v>0.38</v>
      </c>
      <c r="N37" s="90">
        <f>N31</f>
        <v>0.38</v>
      </c>
      <c r="O37" s="90">
        <f>O31</f>
        <v>0.38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f>L54</f>
        <v>0.7</v>
      </c>
      <c r="M60" s="90">
        <f t="shared" ref="M60:O60" si="16">M54</f>
        <v>0.7</v>
      </c>
      <c r="N60" s="90">
        <f t="shared" si="16"/>
        <v>0.7</v>
      </c>
      <c r="O60" s="90">
        <f t="shared" si="16"/>
        <v>0.7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7">IF(G15=1,1,G15*1.05)</f>
        <v>1</v>
      </c>
      <c r="H61" s="90">
        <f t="shared" si="17"/>
        <v>1</v>
      </c>
      <c r="I61" s="90">
        <f t="shared" si="17"/>
        <v>1</v>
      </c>
      <c r="J61" s="90">
        <f t="shared" si="17"/>
        <v>1</v>
      </c>
      <c r="K61" s="90">
        <f t="shared" si="17"/>
        <v>1</v>
      </c>
      <c r="L61" s="90">
        <f t="shared" si="17"/>
        <v>1</v>
      </c>
      <c r="M61" s="90">
        <f t="shared" si="17"/>
        <v>1</v>
      </c>
      <c r="N61" s="90">
        <f t="shared" si="17"/>
        <v>1</v>
      </c>
      <c r="O61" s="90">
        <f t="shared" si="17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8">IF(C18=1,1,C18*1.05)</f>
        <v>1</v>
      </c>
      <c r="D64" s="90">
        <f t="shared" si="18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8"/>
        <v>1</v>
      </c>
      <c r="D65" s="90">
        <f t="shared" si="18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8"/>
        <v>1</v>
      </c>
      <c r="D66" s="90">
        <f t="shared" si="18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8"/>
        <v>1</v>
      </c>
      <c r="D67" s="90">
        <f t="shared" si="18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5Syz4gc1QpBYf0dyBRCMdJB7GFLOMg1aBcxXNaIsbZVk9E8/e1fjTbW819pwtiixcKzy8QIGgK9no1GfjtMETg==" saltValue="qQGD8TMBgvdoiifKy/qvW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rUihLdYwFaxTGdVxwi2rnWgmB0KEWyopLRzZLUEJmFYzkn8lDaW2B5ZDl3qsG7mDTVFffE86e7RNTsmjF0aZ/g==" saltValue="ceCOQqVA5DJ+K7SN6EgA8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19" sqref="D19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189</v>
      </c>
      <c r="B1" s="103" t="s">
        <v>364</v>
      </c>
      <c r="C1" s="120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113" t="s">
        <v>222</v>
      </c>
      <c r="B2" s="113" t="s">
        <v>105</v>
      </c>
      <c r="C2" s="113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221</v>
      </c>
      <c r="B5" s="113" t="s">
        <v>237</v>
      </c>
      <c r="C5" s="113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238</v>
      </c>
      <c r="C7" s="113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214</v>
      </c>
      <c r="B9" s="113" t="s">
        <v>237</v>
      </c>
      <c r="C9" s="113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238</v>
      </c>
      <c r="C11" s="113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234</v>
      </c>
      <c r="B13" s="113" t="s">
        <v>237</v>
      </c>
      <c r="C13" s="113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238</v>
      </c>
      <c r="C15" s="113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368</v>
      </c>
      <c r="C17" s="113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366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199</v>
      </c>
      <c r="B19" s="113" t="s">
        <v>237</v>
      </c>
      <c r="C19" s="113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238</v>
      </c>
      <c r="C21" s="113" t="s">
        <v>365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367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204</v>
      </c>
      <c r="B23" s="113" t="s">
        <v>102</v>
      </c>
      <c r="C23" s="113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202</v>
      </c>
      <c r="B25" s="113" t="s">
        <v>102</v>
      </c>
      <c r="C25" s="113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203</v>
      </c>
      <c r="B27" s="113" t="s">
        <v>102</v>
      </c>
      <c r="C27" s="113" t="s">
        <v>365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366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226</v>
      </c>
      <c r="B29" s="113" t="s">
        <v>105</v>
      </c>
      <c r="C29" s="113" t="s">
        <v>365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366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367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227</v>
      </c>
      <c r="B32" s="113" t="s">
        <v>105</v>
      </c>
      <c r="C32" s="113" t="s">
        <v>365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366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367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225</v>
      </c>
      <c r="B35" s="113" t="s">
        <v>105</v>
      </c>
      <c r="C35" s="113" t="s">
        <v>365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366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367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224</v>
      </c>
      <c r="B38" s="113" t="s">
        <v>105</v>
      </c>
      <c r="C38" s="113" t="s">
        <v>365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366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367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223</v>
      </c>
      <c r="B41" s="113" t="s">
        <v>105</v>
      </c>
      <c r="C41" s="113" t="s">
        <v>365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366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367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229</v>
      </c>
      <c r="B44" s="113" t="s">
        <v>105</v>
      </c>
      <c r="C44" s="113" t="s">
        <v>365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366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367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106</v>
      </c>
      <c r="C47" s="113" t="s">
        <v>365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366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367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220</v>
      </c>
      <c r="B50" s="113" t="s">
        <v>105</v>
      </c>
      <c r="C50" s="113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366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228</v>
      </c>
      <c r="B52" s="113" t="s">
        <v>105</v>
      </c>
      <c r="C52" s="113" t="s">
        <v>365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366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213</v>
      </c>
      <c r="B54" s="113" t="s">
        <v>100</v>
      </c>
      <c r="C54" s="113" t="s">
        <v>365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366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362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189</v>
      </c>
      <c r="B58" s="103" t="s">
        <v>364</v>
      </c>
      <c r="C58" s="120" t="s">
        <v>11</v>
      </c>
      <c r="D58" s="4" t="s">
        <v>127</v>
      </c>
      <c r="E58" s="4" t="s">
        <v>114</v>
      </c>
      <c r="F58" s="4" t="s">
        <v>115</v>
      </c>
      <c r="G58" s="4" t="s">
        <v>116</v>
      </c>
      <c r="H58" s="4" t="s">
        <v>117</v>
      </c>
    </row>
    <row r="59" spans="1:8" x14ac:dyDescent="0.25">
      <c r="A59" s="113" t="s">
        <v>222</v>
      </c>
      <c r="B59" s="113" t="s">
        <v>105</v>
      </c>
      <c r="C59" s="113" t="s">
        <v>365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366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367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221</v>
      </c>
      <c r="B62" s="113" t="s">
        <v>237</v>
      </c>
      <c r="C62" s="113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238</v>
      </c>
      <c r="C64" s="113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214</v>
      </c>
      <c r="B66" s="113" t="s">
        <v>237</v>
      </c>
      <c r="C66" s="113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238</v>
      </c>
      <c r="C68" s="113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367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234</v>
      </c>
      <c r="B70" s="113" t="s">
        <v>237</v>
      </c>
      <c r="C70" s="113" t="s">
        <v>365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367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238</v>
      </c>
      <c r="C72" s="113" t="s">
        <v>365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368</v>
      </c>
      <c r="C74" s="113" t="s">
        <v>365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366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199</v>
      </c>
      <c r="B76" s="113" t="s">
        <v>237</v>
      </c>
      <c r="C76" s="113" t="s">
        <v>365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367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238</v>
      </c>
      <c r="C78" s="113" t="s">
        <v>365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367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204</v>
      </c>
      <c r="B80" s="113" t="s">
        <v>102</v>
      </c>
      <c r="C80" s="113" t="s">
        <v>365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366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202</v>
      </c>
      <c r="B82" s="113" t="s">
        <v>102</v>
      </c>
      <c r="C82" s="113" t="s">
        <v>365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366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203</v>
      </c>
      <c r="B84" s="113" t="s">
        <v>102</v>
      </c>
      <c r="C84" s="113" t="s">
        <v>365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366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226</v>
      </c>
      <c r="B86" s="113" t="s">
        <v>105</v>
      </c>
      <c r="C86" s="113" t="s">
        <v>365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366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367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227</v>
      </c>
      <c r="B89" s="113" t="s">
        <v>105</v>
      </c>
      <c r="C89" s="113" t="s">
        <v>365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366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367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225</v>
      </c>
      <c r="B92" s="113" t="s">
        <v>105</v>
      </c>
      <c r="C92" s="113" t="s">
        <v>365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366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367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224</v>
      </c>
      <c r="B95" s="113" t="s">
        <v>105</v>
      </c>
      <c r="C95" s="113" t="s">
        <v>365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366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367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223</v>
      </c>
      <c r="B98" s="113" t="s">
        <v>105</v>
      </c>
      <c r="C98" s="113" t="s">
        <v>365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366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367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229</v>
      </c>
      <c r="B101" s="113" t="s">
        <v>105</v>
      </c>
      <c r="C101" s="113" t="s">
        <v>365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366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367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106</v>
      </c>
      <c r="C104" s="113" t="s">
        <v>365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366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367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220</v>
      </c>
      <c r="B107" s="113" t="s">
        <v>105</v>
      </c>
      <c r="C107" s="113" t="s">
        <v>365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366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228</v>
      </c>
      <c r="B109" s="113" t="s">
        <v>105</v>
      </c>
      <c r="C109" s="113" t="s">
        <v>365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366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213</v>
      </c>
      <c r="B111" s="113" t="s">
        <v>100</v>
      </c>
      <c r="C111" s="113" t="s">
        <v>365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366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363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189</v>
      </c>
      <c r="B115" s="103" t="s">
        <v>364</v>
      </c>
      <c r="C115" s="120" t="s">
        <v>11</v>
      </c>
      <c r="D115" s="4" t="s">
        <v>127</v>
      </c>
      <c r="E115" s="4" t="s">
        <v>114</v>
      </c>
      <c r="F115" s="4" t="s">
        <v>115</v>
      </c>
      <c r="G115" s="4" t="s">
        <v>116</v>
      </c>
      <c r="H115" s="4" t="s">
        <v>117</v>
      </c>
    </row>
    <row r="116" spans="1:8" x14ac:dyDescent="0.25">
      <c r="A116" s="113" t="s">
        <v>222</v>
      </c>
      <c r="B116" s="113" t="s">
        <v>105</v>
      </c>
      <c r="C116" s="113" t="s">
        <v>365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366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367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221</v>
      </c>
      <c r="B119" s="113" t="s">
        <v>237</v>
      </c>
      <c r="C119" s="113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238</v>
      </c>
      <c r="C121" s="113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214</v>
      </c>
      <c r="B123" s="113" t="s">
        <v>237</v>
      </c>
      <c r="C123" s="113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367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238</v>
      </c>
      <c r="C125" s="113" t="s">
        <v>365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367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234</v>
      </c>
      <c r="B127" s="113" t="s">
        <v>237</v>
      </c>
      <c r="C127" s="113" t="s">
        <v>365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367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238</v>
      </c>
      <c r="C129" s="113" t="s">
        <v>365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367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368</v>
      </c>
      <c r="C131" s="113" t="s">
        <v>365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366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199</v>
      </c>
      <c r="B133" s="113" t="s">
        <v>237</v>
      </c>
      <c r="C133" s="113" t="s">
        <v>365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367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238</v>
      </c>
      <c r="C135" s="113" t="s">
        <v>365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367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204</v>
      </c>
      <c r="B137" s="113" t="s">
        <v>102</v>
      </c>
      <c r="C137" s="113" t="s">
        <v>365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366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202</v>
      </c>
      <c r="B139" s="113" t="s">
        <v>102</v>
      </c>
      <c r="C139" s="113" t="s">
        <v>365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366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203</v>
      </c>
      <c r="B141" s="113" t="s">
        <v>102</v>
      </c>
      <c r="C141" s="113" t="s">
        <v>365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366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226</v>
      </c>
      <c r="B143" s="113" t="s">
        <v>105</v>
      </c>
      <c r="C143" s="113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366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227</v>
      </c>
      <c r="B146" s="113" t="s">
        <v>105</v>
      </c>
      <c r="C146" s="113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225</v>
      </c>
      <c r="B149" s="113" t="s">
        <v>105</v>
      </c>
      <c r="C149" s="113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224</v>
      </c>
      <c r="B152" s="113" t="s">
        <v>105</v>
      </c>
      <c r="C152" s="113" t="s">
        <v>365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366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367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223</v>
      </c>
      <c r="B155" s="113" t="s">
        <v>105</v>
      </c>
      <c r="C155" s="113" t="s">
        <v>365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229</v>
      </c>
      <c r="B158" s="113" t="s">
        <v>105</v>
      </c>
      <c r="C158" s="113" t="s">
        <v>365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366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367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106</v>
      </c>
      <c r="C161" s="113" t="s">
        <v>365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366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367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220</v>
      </c>
      <c r="B164" s="113" t="s">
        <v>105</v>
      </c>
      <c r="C164" s="113" t="s">
        <v>365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366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228</v>
      </c>
      <c r="B166" s="113" t="s">
        <v>105</v>
      </c>
      <c r="C166" s="113" t="s">
        <v>365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366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213</v>
      </c>
      <c r="B168" s="113" t="s">
        <v>100</v>
      </c>
      <c r="C168" s="113" t="s">
        <v>365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366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chyfj3VDNcEogasbnTzjxM+aO2ElJWNjjYfUHMTrlYvfFFSEaJP8CSHYiZ9eNXTIdM/WgQRSRvOGp/un0lQ1/Q==" saltValue="hF3OK8OLshkIAb8sWIKd5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244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244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244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UxxybP3c3e4Bk+AUCmQ+Wi5+i10vtir+SFa+GP98XK7zROAa8c/HTmGd0WbCHRjaMJZHHuo7qnwX4ZDnKwlnbw==" saltValue="eutyv9xZIKO7xAlFhgqa0w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57ec1f31440e439775915f75cb7954ca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62245b0892ab2a20b5f44f74e1fbf663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B7E161-F495-494F-94F7-37757C779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2026-04-29T07:33:37Z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