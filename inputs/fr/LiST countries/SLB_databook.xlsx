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9DA35ED-8D5E-4BD4-9F6E-60F425171DDC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2" i="2" l="1"/>
  <c r="I6" i="2"/>
  <c r="A19" i="2"/>
  <c r="A23" i="2"/>
  <c r="I3" i="2"/>
  <c r="I7" i="2"/>
  <c r="I11" i="2"/>
  <c r="A35" i="2"/>
  <c r="A37" i="2"/>
  <c r="I4" i="2"/>
  <c r="I8" i="2"/>
  <c r="A25" i="2"/>
  <c r="A26" i="2"/>
  <c r="I39" i="2"/>
  <c r="A31" i="2"/>
  <c r="A34" i="2"/>
  <c r="A40" i="2"/>
  <c r="A22" i="2"/>
  <c r="A36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<sst xmlns="http://schemas.openxmlformats.org/spreadsheetml/2006/main" count="2159" uniqueCount="368">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</sst>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106075.5</v>
      </c>
    </row>
    <row r="8" spans="1:3" ht="15" customHeight="1" x14ac:dyDescent="0.25">
      <c r="B8" s="5" t="s">
        <v>37</v>
      </c>
      <c r="C8" s="44">
        <v>0.251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0.81408699039999999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0.62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7.0400000000000004E-2</v>
      </c>
    </row>
    <row r="24" spans="1:3" ht="15" customHeight="1" x14ac:dyDescent="0.25">
      <c r="B24" s="15" t="s">
        <v>51</v>
      </c>
      <c r="C24" s="45">
        <v>0.48080000000000001</v>
      </c>
    </row>
    <row r="25" spans="1:3" ht="15" customHeight="1" x14ac:dyDescent="0.25">
      <c r="B25" s="15" t="s">
        <v>52</v>
      </c>
      <c r="C25" s="45">
        <v>0.35560000000000003</v>
      </c>
    </row>
    <row r="26" spans="1:3" ht="15" customHeight="1" x14ac:dyDescent="0.25">
      <c r="B26" s="15" t="s">
        <v>53</v>
      </c>
      <c r="C26" s="45">
        <v>9.3200000000000005E-2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0.35185775257007201</v>
      </c>
    </row>
    <row r="30" spans="1:3" ht="14.25" customHeight="1" x14ac:dyDescent="0.25">
      <c r="B30" s="25" t="s">
        <v>56</v>
      </c>
      <c r="C30" s="99">
        <v>2.3858720907234902E-2</v>
      </c>
    </row>
    <row r="31" spans="1:3" ht="14.25" customHeight="1" x14ac:dyDescent="0.25">
      <c r="B31" s="25" t="s">
        <v>57</v>
      </c>
      <c r="C31" s="99">
        <v>3.4342930038455802E-2</v>
      </c>
    </row>
    <row r="32" spans="1:3" ht="14.25" customHeight="1" x14ac:dyDescent="0.25">
      <c r="B32" s="25" t="s">
        <v>58</v>
      </c>
      <c r="C32" s="99">
        <v>0.58994059648423802</v>
      </c>
    </row>
    <row r="33" spans="1:5" ht="13.25" customHeight="1" x14ac:dyDescent="0.25">
      <c r="B33" s="27" t="s">
        <v>59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7.5990799999999998</v>
      </c>
    </row>
    <row r="38" spans="1:5" ht="15" customHeight="1" x14ac:dyDescent="0.25">
      <c r="B38" s="11" t="s">
        <v>63</v>
      </c>
      <c r="C38" s="43">
        <v>16.091200000000001</v>
      </c>
      <c r="D38" s="12"/>
      <c r="E38" s="13"/>
    </row>
    <row r="39" spans="1:5" ht="15" customHeight="1" x14ac:dyDescent="0.25">
      <c r="B39" s="11" t="s">
        <v>64</v>
      </c>
      <c r="C39" s="43">
        <v>18.785260000000001</v>
      </c>
      <c r="D39" s="12"/>
      <c r="E39" s="12"/>
    </row>
    <row r="40" spans="1:5" ht="15" customHeight="1" x14ac:dyDescent="0.25">
      <c r="B40" s="11" t="s">
        <v>65</v>
      </c>
      <c r="C40" s="100">
        <v>1.22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9.1973199999999995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71</v>
      </c>
      <c r="C47" s="45">
        <v>7.5167600000000001E-2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100">
        <v>2.2000000000000002</v>
      </c>
      <c r="D51" s="12"/>
    </row>
    <row r="52" spans="1:4" ht="15" customHeight="1" x14ac:dyDescent="0.25">
      <c r="B52" s="11" t="s">
        <v>75</v>
      </c>
      <c r="C52" s="100">
        <v>2.2000000000000002</v>
      </c>
    </row>
    <row r="53" spans="1:4" ht="15.75" customHeight="1" x14ac:dyDescent="0.25">
      <c r="B53" s="11" t="s">
        <v>76</v>
      </c>
      <c r="C53" s="100">
        <v>2.2000000000000002</v>
      </c>
    </row>
    <row r="54" spans="1:4" ht="15.75" customHeight="1" x14ac:dyDescent="0.25">
      <c r="B54" s="11" t="s">
        <v>77</v>
      </c>
      <c r="C54" s="100">
        <v>2.2000000000000002</v>
      </c>
    </row>
    <row r="55" spans="1:4" ht="15.75" customHeight="1" x14ac:dyDescent="0.25">
      <c r="B55" s="11" t="s">
        <v>78</v>
      </c>
      <c r="C55" s="100">
        <v>2.2000000000000002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2.1363636363636359E-2</v>
      </c>
    </row>
    <row r="59" spans="1:4" ht="15.75" customHeight="1" x14ac:dyDescent="0.25">
      <c r="B59" s="11" t="s">
        <v>81</v>
      </c>
      <c r="C59" s="45">
        <v>0.54101599999999994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NjqOscBYGwCLgXPDTAPxWLXJ6rVlcraUnsdMssu/VyE4iieSXLt4kdqHwM9qoPw8bOyHD2bS/IwZGMu9NJIwLg==" saltValue="v+uFZSV1r7WW/cZq4QeHQ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21878</v>
      </c>
      <c r="C2" s="49">
        <v>40237.5</v>
      </c>
      <c r="D2" s="49">
        <v>69496.5</v>
      </c>
      <c r="E2" s="49">
        <v>52763.999999999993</v>
      </c>
      <c r="F2" s="49">
        <v>40926</v>
      </c>
      <c r="G2" s="17">
        <f t="shared" ref="G2:G13" si="0">C2+D2+E2+F2</f>
        <v>203424</v>
      </c>
      <c r="H2" s="17">
        <f t="shared" ref="H2:H13" si="1">(B2 + stillbirth*B2/(1000-stillbirth))/(1-abortion)</f>
        <v>25092.144115277966</v>
      </c>
      <c r="I2" s="17">
        <f t="shared" ref="I2:I13" si="2">G2-H2</f>
        <v>178331.85588472203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22160</v>
      </c>
      <c r="C3" s="50">
        <v>41217</v>
      </c>
      <c r="D3" s="50">
        <v>71559</v>
      </c>
      <c r="E3" s="50">
        <v>53705.5</v>
      </c>
      <c r="F3" s="50">
        <v>42353.5</v>
      </c>
      <c r="G3" s="17">
        <f t="shared" si="0"/>
        <v>208835</v>
      </c>
      <c r="H3" s="17">
        <f t="shared" si="1"/>
        <v>25415.573342835713</v>
      </c>
      <c r="I3" s="17">
        <f t="shared" si="2"/>
        <v>183419.42665716429</v>
      </c>
    </row>
    <row r="4" spans="1:9" ht="15.75" customHeight="1" x14ac:dyDescent="0.25">
      <c r="A4" s="5">
        <f t="shared" si="3"/>
        <v>2026</v>
      </c>
      <c r="B4" s="49">
        <v>22440</v>
      </c>
      <c r="C4" s="50">
        <v>42451.5</v>
      </c>
      <c r="D4" s="50">
        <v>73349.5</v>
      </c>
      <c r="E4" s="50">
        <v>54799</v>
      </c>
      <c r="F4" s="50">
        <v>43842</v>
      </c>
      <c r="G4" s="17">
        <f t="shared" si="0"/>
        <v>214442</v>
      </c>
      <c r="H4" s="17">
        <f t="shared" si="1"/>
        <v>25736.70874608454</v>
      </c>
      <c r="I4" s="17">
        <f t="shared" si="2"/>
        <v>188705.29125391546</v>
      </c>
    </row>
    <row r="5" spans="1:9" ht="15.75" customHeight="1" x14ac:dyDescent="0.25">
      <c r="A5" s="5">
        <f t="shared" si="3"/>
        <v>2027</v>
      </c>
      <c r="B5" s="49">
        <v>22687</v>
      </c>
      <c r="C5" s="50">
        <v>43815.5</v>
      </c>
      <c r="D5" s="50">
        <v>74966.000000000015</v>
      </c>
      <c r="E5" s="50">
        <v>56084.5</v>
      </c>
      <c r="F5" s="50">
        <v>45330</v>
      </c>
      <c r="G5" s="17">
        <f t="shared" si="0"/>
        <v>220196</v>
      </c>
      <c r="H5" s="17">
        <f t="shared" si="1"/>
        <v>26019.996048236178</v>
      </c>
      <c r="I5" s="17">
        <f t="shared" si="2"/>
        <v>194176.00395176382</v>
      </c>
    </row>
    <row r="6" spans="1:9" ht="15.75" customHeight="1" x14ac:dyDescent="0.25">
      <c r="A6" s="5">
        <f t="shared" si="3"/>
        <v>2028</v>
      </c>
      <c r="B6" s="49">
        <v>22961</v>
      </c>
      <c r="C6" s="50">
        <v>45193.5</v>
      </c>
      <c r="D6" s="50">
        <v>76497.999999999985</v>
      </c>
      <c r="E6" s="50">
        <v>57597.5</v>
      </c>
      <c r="F6" s="50">
        <v>46751.999999999993</v>
      </c>
      <c r="G6" s="17">
        <f t="shared" si="0"/>
        <v>226041</v>
      </c>
      <c r="H6" s="17">
        <f t="shared" si="1"/>
        <v>26334.249978558248</v>
      </c>
      <c r="I6" s="17">
        <f t="shared" si="2"/>
        <v>199706.75002144175</v>
      </c>
    </row>
    <row r="7" spans="1:9" ht="15.75" customHeight="1" x14ac:dyDescent="0.25">
      <c r="A7" s="5">
        <f t="shared" si="3"/>
        <v>2029</v>
      </c>
      <c r="B7" s="49">
        <v>23237</v>
      </c>
      <c r="C7" s="50">
        <v>46469.5</v>
      </c>
      <c r="D7" s="50">
        <v>78031</v>
      </c>
      <c r="E7" s="50">
        <v>59365</v>
      </c>
      <c r="F7" s="50">
        <v>48041</v>
      </c>
      <c r="G7" s="17">
        <f t="shared" si="0"/>
        <v>231906.5</v>
      </c>
      <c r="H7" s="17">
        <f t="shared" si="1"/>
        <v>26650.797733189236</v>
      </c>
      <c r="I7" s="17">
        <f t="shared" si="2"/>
        <v>205255.70226681075</v>
      </c>
    </row>
    <row r="8" spans="1:9" ht="15.75" customHeight="1" x14ac:dyDescent="0.25">
      <c r="A8" s="5">
        <f t="shared" si="3"/>
        <v>2030</v>
      </c>
      <c r="B8" s="49">
        <v>23563</v>
      </c>
      <c r="C8" s="50">
        <v>47537</v>
      </c>
      <c r="D8" s="50">
        <v>79654</v>
      </c>
      <c r="E8" s="50">
        <v>61396.5</v>
      </c>
      <c r="F8" s="50">
        <v>49147.999999999993</v>
      </c>
      <c r="G8" s="17">
        <f t="shared" si="0"/>
        <v>237735.5</v>
      </c>
      <c r="H8" s="17">
        <f t="shared" si="1"/>
        <v>27024.691095543225</v>
      </c>
      <c r="I8" s="17">
        <f t="shared" si="2"/>
        <v>210710.80890445679</v>
      </c>
    </row>
    <row r="9" spans="1:9" ht="15.75" customHeight="1" x14ac:dyDescent="0.25">
      <c r="A9" s="5">
        <f t="shared" si="3"/>
        <v>2031</v>
      </c>
      <c r="B9" s="49">
        <v>23850</v>
      </c>
      <c r="C9" s="50">
        <v>48355</v>
      </c>
      <c r="D9" s="50">
        <v>81389.5</v>
      </c>
      <c r="E9" s="50">
        <v>63639.5</v>
      </c>
      <c r="F9" s="50">
        <v>50079.499999999993</v>
      </c>
      <c r="G9" s="17">
        <f t="shared" si="0"/>
        <v>243463.5</v>
      </c>
      <c r="H9" s="17">
        <f t="shared" si="1"/>
        <v>27353.854883873275</v>
      </c>
      <c r="I9" s="17">
        <f t="shared" si="2"/>
        <v>216109.64511612672</v>
      </c>
    </row>
    <row r="10" spans="1:9" ht="15.75" customHeight="1" x14ac:dyDescent="0.25">
      <c r="A10" s="5">
        <f t="shared" si="3"/>
        <v>2032</v>
      </c>
      <c r="B10" s="49">
        <v>24158</v>
      </c>
      <c r="C10" s="50">
        <v>48947</v>
      </c>
      <c r="D10" s="50">
        <v>83213</v>
      </c>
      <c r="E10" s="50">
        <v>65991.5</v>
      </c>
      <c r="F10" s="50">
        <v>50900.000000000007</v>
      </c>
      <c r="G10" s="17">
        <f t="shared" si="0"/>
        <v>249051.5</v>
      </c>
      <c r="H10" s="17">
        <f t="shared" si="1"/>
        <v>27707.103827446983</v>
      </c>
      <c r="I10" s="17">
        <f t="shared" si="2"/>
        <v>221344.39617255301</v>
      </c>
    </row>
    <row r="11" spans="1:9" ht="15.75" customHeight="1" x14ac:dyDescent="0.25">
      <c r="A11" s="5">
        <f t="shared" si="3"/>
        <v>2033</v>
      </c>
      <c r="B11" s="49">
        <v>24409</v>
      </c>
      <c r="C11" s="50">
        <v>49355</v>
      </c>
      <c r="D11" s="50">
        <v>85083.5</v>
      </c>
      <c r="E11" s="50">
        <v>68329.000000000015</v>
      </c>
      <c r="F11" s="50">
        <v>51675.5</v>
      </c>
      <c r="G11" s="17">
        <f t="shared" si="0"/>
        <v>254443</v>
      </c>
      <c r="H11" s="17">
        <f t="shared" si="1"/>
        <v>27994.978778216468</v>
      </c>
      <c r="I11" s="17">
        <f t="shared" si="2"/>
        <v>226448.02122178354</v>
      </c>
    </row>
    <row r="12" spans="1:9" ht="15.75" customHeight="1" x14ac:dyDescent="0.25">
      <c r="A12" s="5">
        <f t="shared" si="3"/>
        <v>2034</v>
      </c>
      <c r="B12" s="49">
        <v>24657</v>
      </c>
      <c r="C12" s="50">
        <v>49550.5</v>
      </c>
      <c r="D12" s="50">
        <v>86966.5</v>
      </c>
      <c r="E12" s="50">
        <v>70526.5</v>
      </c>
      <c r="F12" s="50">
        <v>52474.000000000007</v>
      </c>
      <c r="G12" s="17">
        <f t="shared" si="0"/>
        <v>259517.5</v>
      </c>
      <c r="H12" s="17">
        <f t="shared" si="1"/>
        <v>28279.412992522572</v>
      </c>
      <c r="I12" s="17">
        <f t="shared" si="2"/>
        <v>231238.08700747741</v>
      </c>
    </row>
    <row r="13" spans="1:9" ht="15.75" customHeight="1" x14ac:dyDescent="0.25">
      <c r="A13" s="5">
        <f t="shared" si="3"/>
        <v>2035</v>
      </c>
      <c r="B13" s="49">
        <v>24876</v>
      </c>
      <c r="C13" s="50">
        <v>49615.5</v>
      </c>
      <c r="D13" s="50">
        <v>88875</v>
      </c>
      <c r="E13" s="50">
        <v>72452</v>
      </c>
      <c r="F13" s="50">
        <v>53363</v>
      </c>
      <c r="G13" s="17">
        <f t="shared" si="0"/>
        <v>264305.5</v>
      </c>
      <c r="H13" s="17">
        <f t="shared" si="1"/>
        <v>28530.586754349333</v>
      </c>
      <c r="I13" s="17">
        <f t="shared" si="2"/>
        <v>235774.91324565068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ME9hUKG9gSjAQKMwLxKr8YhwI/xbr2HEMFKYn9lWnEUcE75ADlV0xnZf6Ugi3YQJJKIeRIY6xsoFyozdDNrAtA==" saltValue="lN05fPJ+wPKO95LCX1lbL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3.6933821655645701E-3</v>
      </c>
    </row>
    <row r="4" spans="1:8" ht="15.75" customHeight="1" x14ac:dyDescent="0.25">
      <c r="B4" s="19" t="s">
        <v>97</v>
      </c>
      <c r="C4" s="101">
        <v>4.9979711487722067E-2</v>
      </c>
    </row>
    <row r="5" spans="1:8" ht="15.75" customHeight="1" x14ac:dyDescent="0.25">
      <c r="B5" s="19" t="s">
        <v>98</v>
      </c>
      <c r="C5" s="101">
        <v>1.6129802394131899E-2</v>
      </c>
    </row>
    <row r="6" spans="1:8" ht="15.75" customHeight="1" x14ac:dyDescent="0.25">
      <c r="B6" s="19" t="s">
        <v>99</v>
      </c>
      <c r="C6" s="101">
        <v>0.160163230930564</v>
      </c>
    </row>
    <row r="7" spans="1:8" ht="15.75" customHeight="1" x14ac:dyDescent="0.25">
      <c r="B7" s="19" t="s">
        <v>100</v>
      </c>
      <c r="C7" s="101">
        <v>0.48515151015483848</v>
      </c>
    </row>
    <row r="8" spans="1:8" ht="15.75" customHeight="1" x14ac:dyDescent="0.25">
      <c r="B8" s="19" t="s">
        <v>101</v>
      </c>
      <c r="C8" s="101">
        <v>2.1136541039387551E-2</v>
      </c>
    </row>
    <row r="9" spans="1:8" ht="15.75" customHeight="1" x14ac:dyDescent="0.25">
      <c r="B9" s="19" t="s">
        <v>102</v>
      </c>
      <c r="C9" s="101">
        <v>0.2127465899819434</v>
      </c>
    </row>
    <row r="10" spans="1:8" ht="15.75" customHeight="1" x14ac:dyDescent="0.25">
      <c r="B10" s="19" t="s">
        <v>103</v>
      </c>
      <c r="C10" s="101">
        <v>5.099923184584803E-2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2" t="s">
        <v>114</v>
      </c>
      <c r="D13" s="102" t="s">
        <v>115</v>
      </c>
      <c r="E13" s="102" t="s">
        <v>116</v>
      </c>
      <c r="F13" s="102" t="s">
        <v>117</v>
      </c>
      <c r="G13" s="19"/>
    </row>
    <row r="14" spans="1:8" ht="15.75" customHeight="1" x14ac:dyDescent="0.25">
      <c r="B14" s="19" t="s">
        <v>105</v>
      </c>
      <c r="C14" s="55">
        <v>0.14274685422427991</v>
      </c>
      <c r="D14" s="55">
        <v>0.14274685422427991</v>
      </c>
      <c r="E14" s="55">
        <v>0.14274685422427991</v>
      </c>
      <c r="F14" s="55">
        <v>0.14274685422427991</v>
      </c>
    </row>
    <row r="15" spans="1:8" ht="15.75" customHeight="1" x14ac:dyDescent="0.25">
      <c r="B15" s="19" t="s">
        <v>106</v>
      </c>
      <c r="C15" s="101">
        <v>0.34209094123956019</v>
      </c>
      <c r="D15" s="101">
        <v>0.34209094123956019</v>
      </c>
      <c r="E15" s="101">
        <v>0.34209094123956019</v>
      </c>
      <c r="F15" s="101">
        <v>0.34209094123956019</v>
      </c>
    </row>
    <row r="16" spans="1:8" ht="15.75" customHeight="1" x14ac:dyDescent="0.25">
      <c r="B16" s="19" t="s">
        <v>107</v>
      </c>
      <c r="C16" s="101">
        <v>7.7668022360367957E-3</v>
      </c>
      <c r="D16" s="101">
        <v>7.7668022360367957E-3</v>
      </c>
      <c r="E16" s="101">
        <v>7.7668022360367957E-3</v>
      </c>
      <c r="F16" s="101">
        <v>7.7668022360367957E-3</v>
      </c>
    </row>
    <row r="17" spans="1:8" ht="15.75" customHeight="1" x14ac:dyDescent="0.25">
      <c r="B17" s="19" t="s">
        <v>108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109</v>
      </c>
      <c r="C18" s="101">
        <v>0.37355827260013791</v>
      </c>
      <c r="D18" s="101">
        <v>0.37355827260013791</v>
      </c>
      <c r="E18" s="101">
        <v>0.37355827260013791</v>
      </c>
      <c r="F18" s="101">
        <v>0.37355827260013791</v>
      </c>
    </row>
    <row r="19" spans="1:8" ht="15.75" customHeight="1" x14ac:dyDescent="0.25">
      <c r="B19" s="19" t="s">
        <v>110</v>
      </c>
      <c r="C19" s="101">
        <v>1.9589949234814299E-2</v>
      </c>
      <c r="D19" s="101">
        <v>1.9589949234814299E-2</v>
      </c>
      <c r="E19" s="101">
        <v>1.9589949234814299E-2</v>
      </c>
      <c r="F19" s="101">
        <v>1.9589949234814299E-2</v>
      </c>
    </row>
    <row r="20" spans="1:8" ht="15.75" customHeight="1" x14ac:dyDescent="0.25">
      <c r="B20" s="19" t="s">
        <v>111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112</v>
      </c>
      <c r="C21" s="101">
        <v>7.7731886989490975E-2</v>
      </c>
      <c r="D21" s="101">
        <v>7.7731886989490975E-2</v>
      </c>
      <c r="E21" s="101">
        <v>7.7731886989490975E-2</v>
      </c>
      <c r="F21" s="101">
        <v>7.7731886989490975E-2</v>
      </c>
    </row>
    <row r="22" spans="1:8" ht="15.75" customHeight="1" x14ac:dyDescent="0.25">
      <c r="B22" s="19" t="s">
        <v>113</v>
      </c>
      <c r="C22" s="101">
        <v>3.6515293475680291E-2</v>
      </c>
      <c r="D22" s="101">
        <v>3.6515293475680291E-2</v>
      </c>
      <c r="E22" s="101">
        <v>3.6515293475680291E-2</v>
      </c>
      <c r="F22" s="101">
        <v>3.6515293475680291E-2</v>
      </c>
    </row>
    <row r="23" spans="1:8" ht="15.75" customHeight="1" x14ac:dyDescent="0.25">
      <c r="B23" s="27" t="s">
        <v>59</v>
      </c>
      <c r="C23" s="48">
        <f>SUM(C14:C22)</f>
        <v>1.0000000000000004</v>
      </c>
      <c r="D23" s="48">
        <f>SUM(D14:D22)</f>
        <v>1.0000000000000004</v>
      </c>
      <c r="E23" s="48">
        <f>SUM(E14:E22)</f>
        <v>1.0000000000000004</v>
      </c>
      <c r="F23" s="48">
        <f>SUM(F14:F22)</f>
        <v>1.0000000000000004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4.7769731000000003E-2</v>
      </c>
    </row>
    <row r="27" spans="1:8" ht="15.75" customHeight="1" x14ac:dyDescent="0.25">
      <c r="B27" s="19" t="s">
        <v>120</v>
      </c>
      <c r="C27" s="101">
        <v>1.8843999E-2</v>
      </c>
    </row>
    <row r="28" spans="1:8" ht="15.75" customHeight="1" x14ac:dyDescent="0.25">
      <c r="B28" s="19" t="s">
        <v>121</v>
      </c>
      <c r="C28" s="101">
        <v>0.22958879300000001</v>
      </c>
    </row>
    <row r="29" spans="1:8" ht="15.75" customHeight="1" x14ac:dyDescent="0.25">
      <c r="B29" s="19" t="s">
        <v>122</v>
      </c>
      <c r="C29" s="101">
        <v>0.13888713499999999</v>
      </c>
    </row>
    <row r="30" spans="1:8" ht="15.75" customHeight="1" x14ac:dyDescent="0.25">
      <c r="B30" s="19" t="s">
        <v>2</v>
      </c>
      <c r="C30" s="101">
        <v>5.0046261000000002E-2</v>
      </c>
    </row>
    <row r="31" spans="1:8" ht="15.75" customHeight="1" x14ac:dyDescent="0.25">
      <c r="B31" s="19" t="s">
        <v>123</v>
      </c>
      <c r="C31" s="101">
        <v>7.1139825000000018E-2</v>
      </c>
    </row>
    <row r="32" spans="1:8" ht="15.75" customHeight="1" x14ac:dyDescent="0.25">
      <c r="B32" s="19" t="s">
        <v>124</v>
      </c>
      <c r="C32" s="101">
        <v>0.14767061300000001</v>
      </c>
    </row>
    <row r="33" spans="2:3" ht="15.75" customHeight="1" x14ac:dyDescent="0.25">
      <c r="B33" s="19" t="s">
        <v>125</v>
      </c>
      <c r="C33" s="101">
        <v>0.123389649</v>
      </c>
    </row>
    <row r="34" spans="2:3" ht="15.75" customHeight="1" x14ac:dyDescent="0.25">
      <c r="B34" s="19" t="s">
        <v>126</v>
      </c>
      <c r="C34" s="101">
        <v>0.17266399499999999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wkEKeXkcgMtGjZplfHBi4hbmLAc7qHsZzbreqdccNvmnCPN5Ed4KFpQLhBUiX5i6g5C+x9XtwAcwx1DuKJEsog==" saltValue="5wGhR/J1RpFLrQPytx+2E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132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133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137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138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0.61941419899999994</v>
      </c>
      <c r="D14" s="54">
        <v>0.61082815785800004</v>
      </c>
      <c r="E14" s="54">
        <v>0.61082815785800004</v>
      </c>
      <c r="F14" s="54">
        <v>0.46499616867100002</v>
      </c>
      <c r="G14" s="54">
        <v>0.46499616867100002</v>
      </c>
      <c r="H14" s="45">
        <v>0.48599999999999999</v>
      </c>
      <c r="I14" s="55">
        <v>0.48599999999999999</v>
      </c>
      <c r="J14" s="55">
        <v>0.48599999999999999</v>
      </c>
      <c r="K14" s="55">
        <v>0.48599999999999999</v>
      </c>
      <c r="L14" s="45">
        <v>0.38200000000000001</v>
      </c>
      <c r="M14" s="55">
        <v>0.38200000000000001</v>
      </c>
      <c r="N14" s="55">
        <v>0.38200000000000001</v>
      </c>
      <c r="O14" s="55">
        <v>0.38200000000000001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0.33511299228618391</v>
      </c>
      <c r="D15" s="52">
        <f t="shared" si="0"/>
        <v>0.33046780665170372</v>
      </c>
      <c r="E15" s="52">
        <f t="shared" si="0"/>
        <v>0.33046780665170372</v>
      </c>
      <c r="F15" s="52">
        <f t="shared" si="0"/>
        <v>0.25157036718970971</v>
      </c>
      <c r="G15" s="52">
        <f t="shared" si="0"/>
        <v>0.25157036718970971</v>
      </c>
      <c r="H15" s="52">
        <f t="shared" si="0"/>
        <v>0.26293377599999995</v>
      </c>
      <c r="I15" s="52">
        <f t="shared" si="0"/>
        <v>0.26293377599999995</v>
      </c>
      <c r="J15" s="52">
        <f t="shared" si="0"/>
        <v>0.26293377599999995</v>
      </c>
      <c r="K15" s="52">
        <f t="shared" si="0"/>
        <v>0.26293377599999995</v>
      </c>
      <c r="L15" s="52">
        <f t="shared" si="0"/>
        <v>0.20666811199999999</v>
      </c>
      <c r="M15" s="52">
        <f t="shared" si="0"/>
        <v>0.20666811199999999</v>
      </c>
      <c r="N15" s="52">
        <f t="shared" si="0"/>
        <v>0.20666811199999999</v>
      </c>
      <c r="O15" s="52">
        <f t="shared" si="0"/>
        <v>0.20666811199999999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5dL3SxjxzAuyBbNYuRAf5XYs781qwnIt5cPDXHuacBX+Zuqj5iq3bgbEqmBwUMWN5On/JtQXT5XkvkcH/9urQ==" saltValue="Osappc6In0yFirLWPT95H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3.9978647384305122E-2</v>
      </c>
      <c r="D5" s="52">
        <f t="shared" si="0"/>
        <v>6.9181625352112919E-2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WGkvfDGZn/uPRAqvAu1qJs+ZEUHlloGvwZ8XmN+841M2E4sWo/xsvuOjx2sOEAE79kqLKEHeeJe17HwT4bCwKw==" saltValue="h04GCOxt8uKGdbEPgIOVz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/d9MkU+/UaV13iwRtGgSEo1lne3r4xdxmYO+UuudLayhohTbpVZ/ytyrVxizb5nKFQSZchQzfoM9E28fT7JIoQ==" saltValue="vnHI1tMYuAd7hwgKr83J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12</v>
      </c>
      <c r="B1" s="105" t="s">
        <v>13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163</v>
      </c>
      <c r="B2" s="109">
        <v>2205.25180509148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162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173</v>
      </c>
      <c r="B4" s="110">
        <v>0.43357000000000001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164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165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168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167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169</v>
      </c>
      <c r="B9" s="110">
        <v>0.84223000000000003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166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174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175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176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177</v>
      </c>
      <c r="B14" s="112">
        <v>2.32145034252992E-2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170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171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172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178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14</v>
      </c>
      <c r="B21" s="108" t="s">
        <v>15</v>
      </c>
      <c r="C21" s="108" t="s">
        <v>16</v>
      </c>
      <c r="D21" s="108" t="s">
        <v>17</v>
      </c>
      <c r="E21" s="108" t="s">
        <v>18</v>
      </c>
      <c r="F21" s="108" t="s">
        <v>19</v>
      </c>
      <c r="G21" s="108" t="s">
        <v>20</v>
      </c>
      <c r="H21" s="108" t="s">
        <v>21</v>
      </c>
      <c r="I21" s="108" t="s">
        <v>22</v>
      </c>
      <c r="J21" s="108" t="s">
        <v>23</v>
      </c>
      <c r="K21" s="108" t="s">
        <v>24</v>
      </c>
      <c r="L21" s="108" t="s">
        <v>25</v>
      </c>
      <c r="M21" s="108" t="s">
        <v>26</v>
      </c>
      <c r="N21" s="108" t="s">
        <v>27</v>
      </c>
      <c r="O21" s="108" t="s">
        <v>28</v>
      </c>
    </row>
    <row r="22" spans="1:15" x14ac:dyDescent="0.25">
      <c r="A22" s="108" t="s">
        <v>179</v>
      </c>
      <c r="B22" s="109">
        <v>98017.851389999996</v>
      </c>
      <c r="C22" s="109">
        <v>97791.340230000002</v>
      </c>
      <c r="D22" s="109">
        <v>97591.082049999997</v>
      </c>
      <c r="E22" s="109">
        <v>97000.680030000003</v>
      </c>
      <c r="F22" s="109">
        <v>95899.415829999998</v>
      </c>
      <c r="G22" s="109">
        <v>94492.179050000006</v>
      </c>
      <c r="H22" s="109">
        <v>92698.797940000004</v>
      </c>
      <c r="I22" s="109">
        <v>90332.905270000003</v>
      </c>
      <c r="J22" s="109">
        <v>87007.963069999998</v>
      </c>
      <c r="K22" s="109">
        <v>82415.782980000004</v>
      </c>
      <c r="L22" s="109">
        <v>76332.732050000006</v>
      </c>
      <c r="M22" s="109">
        <v>68489.318119999996</v>
      </c>
      <c r="N22" s="109">
        <v>58824.678260000001</v>
      </c>
      <c r="O22" s="109">
        <v>47682.578249999999</v>
      </c>
    </row>
  </sheetData>
  <sheetProtection algorithmName="SHA-512" hashValue="UUKFu21tAplORUU4G3eVlsPo509rPrbi0QssS1e/gLJqEnOflvtdxS+0RIfwPV3x+ecrY4u5uBgasplDWSeEwA==" saltValue="oAeqUXi7GEbBqagPtnoxL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lWlB4b1ESYSqsMDyBhJmvksJIozh0U32AAHnCvyYajNLlkJ1jwaWn5RIQI54JFI0IGJ/8GkOgvQwMPm8aItdCw==" saltValue="cB5rg/14Ib1mWuOJQlZiT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Z9J0+xbiPrJCXHtqBLp6ZyjXZ8bq1nnc4VzK6ARLBj1bgN4WOtwSDlWiRiPAPIcON7mm9rAV8ENputsqUQg0w==" saltValue="szjWkjcar9iHL2aYlRd8J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8">
        <v>0.95</v>
      </c>
      <c r="D2" s="56">
        <v>23.266651740020471</v>
      </c>
      <c r="E2" s="56" t="s">
        <v>230</v>
      </c>
      <c r="F2" s="98">
        <v>1</v>
      </c>
      <c r="G2" s="98">
        <v>1</v>
      </c>
    </row>
    <row r="3" spans="1:7" ht="15.75" customHeight="1" x14ac:dyDescent="0.25">
      <c r="A3" s="5" t="s">
        <v>198</v>
      </c>
      <c r="B3" s="45">
        <v>0</v>
      </c>
      <c r="C3" s="98">
        <v>0.95</v>
      </c>
      <c r="D3" s="56">
        <v>23.266651740020471</v>
      </c>
      <c r="E3" s="56" t="s">
        <v>230</v>
      </c>
      <c r="F3" s="98">
        <v>1</v>
      </c>
      <c r="G3" s="98">
        <v>1</v>
      </c>
    </row>
    <row r="4" spans="1:7" ht="15.75" customHeight="1" x14ac:dyDescent="0.25">
      <c r="A4" s="5" t="s">
        <v>199</v>
      </c>
      <c r="B4" s="98">
        <v>0</v>
      </c>
      <c r="C4" s="98">
        <v>0.95</v>
      </c>
      <c r="D4" s="56">
        <v>0.80999999999999994</v>
      </c>
      <c r="E4" s="56" t="s">
        <v>230</v>
      </c>
      <c r="F4" s="98">
        <v>1</v>
      </c>
      <c r="G4" s="98">
        <v>1</v>
      </c>
    </row>
    <row r="5" spans="1:7" ht="15.75" customHeight="1" x14ac:dyDescent="0.25">
      <c r="A5" s="5" t="s">
        <v>200</v>
      </c>
      <c r="B5" s="98">
        <v>0</v>
      </c>
      <c r="C5" s="98">
        <v>0.95</v>
      </c>
      <c r="D5" s="56">
        <v>1.007718977066846</v>
      </c>
      <c r="E5" s="56" t="s">
        <v>230</v>
      </c>
      <c r="F5" s="98">
        <v>1</v>
      </c>
      <c r="G5" s="98">
        <v>1</v>
      </c>
    </row>
    <row r="6" spans="1:7" ht="15.75" customHeight="1" x14ac:dyDescent="0.25">
      <c r="A6" s="5" t="s">
        <v>201</v>
      </c>
      <c r="B6" s="98">
        <v>0</v>
      </c>
      <c r="C6" s="98">
        <v>0.95</v>
      </c>
      <c r="D6" s="56">
        <v>99.99</v>
      </c>
      <c r="E6" s="56" t="s">
        <v>230</v>
      </c>
      <c r="F6" s="98">
        <v>1</v>
      </c>
      <c r="G6" s="98">
        <v>1</v>
      </c>
    </row>
    <row r="7" spans="1:7" ht="15.75" customHeight="1" x14ac:dyDescent="0.25">
      <c r="A7" s="5" t="s">
        <v>202</v>
      </c>
      <c r="B7" s="98">
        <v>0</v>
      </c>
      <c r="C7" s="98">
        <v>0.95</v>
      </c>
      <c r="D7" s="56">
        <v>0.19</v>
      </c>
      <c r="E7" s="56" t="s">
        <v>230</v>
      </c>
      <c r="F7" s="98">
        <v>1</v>
      </c>
      <c r="G7" s="98">
        <v>1</v>
      </c>
    </row>
    <row r="8" spans="1:7" ht="15.75" customHeight="1" x14ac:dyDescent="0.25">
      <c r="A8" s="5" t="s">
        <v>203</v>
      </c>
      <c r="B8" s="98">
        <v>0</v>
      </c>
      <c r="C8" s="98">
        <v>0.95</v>
      </c>
      <c r="D8" s="56">
        <v>0.79</v>
      </c>
      <c r="E8" s="56" t="s">
        <v>230</v>
      </c>
      <c r="F8" s="98">
        <v>1</v>
      </c>
      <c r="G8" s="98">
        <v>1</v>
      </c>
    </row>
    <row r="9" spans="1:7" ht="15.75" customHeight="1" x14ac:dyDescent="0.25">
      <c r="A9" s="5" t="s">
        <v>204</v>
      </c>
      <c r="B9" s="98">
        <v>0.5</v>
      </c>
      <c r="C9" s="98">
        <v>0.95</v>
      </c>
      <c r="D9" s="56">
        <v>0.33</v>
      </c>
      <c r="E9" s="56" t="s">
        <v>230</v>
      </c>
      <c r="F9" s="98">
        <v>1</v>
      </c>
      <c r="G9" s="98">
        <v>1</v>
      </c>
    </row>
    <row r="10" spans="1:7" ht="15.75" customHeight="1" x14ac:dyDescent="0.25">
      <c r="A10" s="11" t="s">
        <v>205</v>
      </c>
      <c r="B10" s="45">
        <v>0</v>
      </c>
      <c r="C10" s="98">
        <v>0.95</v>
      </c>
      <c r="D10" s="56">
        <v>14.37418788225863</v>
      </c>
      <c r="E10" s="56" t="s">
        <v>230</v>
      </c>
      <c r="F10" s="98">
        <v>1</v>
      </c>
      <c r="G10" s="98">
        <v>1</v>
      </c>
    </row>
    <row r="11" spans="1:7" ht="15.75" customHeight="1" x14ac:dyDescent="0.25">
      <c r="A11" s="11" t="s">
        <v>206</v>
      </c>
      <c r="B11" s="98">
        <v>0</v>
      </c>
      <c r="C11" s="98">
        <v>0.95</v>
      </c>
      <c r="D11" s="56">
        <v>14.37418788225863</v>
      </c>
      <c r="E11" s="56" t="s">
        <v>230</v>
      </c>
      <c r="F11" s="98">
        <v>1</v>
      </c>
      <c r="G11" s="98">
        <v>1</v>
      </c>
    </row>
    <row r="12" spans="1:7" ht="15.75" customHeight="1" x14ac:dyDescent="0.25">
      <c r="A12" s="11" t="s">
        <v>207</v>
      </c>
      <c r="B12" s="98">
        <v>0</v>
      </c>
      <c r="C12" s="98">
        <v>0.95</v>
      </c>
      <c r="D12" s="56">
        <v>14.37418788225863</v>
      </c>
      <c r="E12" s="56" t="s">
        <v>230</v>
      </c>
      <c r="F12" s="98">
        <v>1</v>
      </c>
      <c r="G12" s="98">
        <v>1</v>
      </c>
    </row>
    <row r="13" spans="1:7" ht="15.75" customHeight="1" x14ac:dyDescent="0.25">
      <c r="A13" s="11" t="s">
        <v>208</v>
      </c>
      <c r="B13" s="98">
        <v>0</v>
      </c>
      <c r="C13" s="98">
        <v>0.95</v>
      </c>
      <c r="D13" s="56">
        <v>14.37418788225863</v>
      </c>
      <c r="E13" s="56" t="s">
        <v>230</v>
      </c>
      <c r="F13" s="98">
        <v>1</v>
      </c>
      <c r="G13" s="98">
        <v>1</v>
      </c>
    </row>
    <row r="14" spans="1:7" ht="15.75" customHeight="1" x14ac:dyDescent="0.25">
      <c r="A14" s="5" t="s">
        <v>209</v>
      </c>
      <c r="B14" s="45">
        <v>0</v>
      </c>
      <c r="C14" s="98">
        <v>0.95</v>
      </c>
      <c r="D14" s="56">
        <v>14.37418788225863</v>
      </c>
      <c r="E14" s="56" t="s">
        <v>230</v>
      </c>
      <c r="F14" s="98">
        <v>1</v>
      </c>
      <c r="G14" s="98">
        <v>1</v>
      </c>
    </row>
    <row r="15" spans="1:7" ht="15.75" customHeight="1" x14ac:dyDescent="0.25">
      <c r="A15" s="5" t="s">
        <v>210</v>
      </c>
      <c r="B15" s="98">
        <v>0</v>
      </c>
      <c r="C15" s="98">
        <v>0.95</v>
      </c>
      <c r="D15" s="56">
        <v>14.37418788225863</v>
      </c>
      <c r="E15" s="56" t="s">
        <v>230</v>
      </c>
      <c r="F15" s="98">
        <v>1</v>
      </c>
      <c r="G15" s="98">
        <v>1</v>
      </c>
    </row>
    <row r="16" spans="1:7" ht="15.75" customHeight="1" x14ac:dyDescent="0.25">
      <c r="A16" s="5" t="s">
        <v>211</v>
      </c>
      <c r="B16" s="45">
        <v>0.36499999999999999</v>
      </c>
      <c r="C16" s="98">
        <v>0.95</v>
      </c>
      <c r="D16" s="56">
        <v>1.57</v>
      </c>
      <c r="E16" s="56" t="s">
        <v>230</v>
      </c>
      <c r="F16" s="98">
        <v>1</v>
      </c>
      <c r="G16" s="98">
        <v>1</v>
      </c>
    </row>
    <row r="17" spans="1:7" ht="15.75" customHeight="1" x14ac:dyDescent="0.25">
      <c r="A17" s="5" t="s">
        <v>212</v>
      </c>
      <c r="B17" s="98">
        <v>0.225846666666667</v>
      </c>
      <c r="C17" s="98">
        <v>0.95</v>
      </c>
      <c r="D17" s="56">
        <v>0.1369044839662158</v>
      </c>
      <c r="E17" s="56" t="s">
        <v>230</v>
      </c>
      <c r="F17" s="98">
        <v>1</v>
      </c>
      <c r="G17" s="98">
        <v>1</v>
      </c>
    </row>
    <row r="18" spans="1:7" ht="15.9" customHeight="1" x14ac:dyDescent="0.25">
      <c r="A18" s="5" t="s">
        <v>186</v>
      </c>
      <c r="B18" s="98">
        <v>0</v>
      </c>
      <c r="C18" s="98">
        <v>0.95</v>
      </c>
      <c r="D18" s="56">
        <v>8.0823886898669404</v>
      </c>
      <c r="E18" s="56" t="s">
        <v>230</v>
      </c>
      <c r="F18" s="98">
        <v>1</v>
      </c>
      <c r="G18" s="98">
        <v>1</v>
      </c>
    </row>
    <row r="19" spans="1:7" ht="15.75" customHeight="1" x14ac:dyDescent="0.25">
      <c r="A19" s="5" t="s">
        <v>187</v>
      </c>
      <c r="B19" s="98">
        <v>0</v>
      </c>
      <c r="C19" s="98">
        <v>0.95</v>
      </c>
      <c r="D19" s="56">
        <v>4.6877241811456267</v>
      </c>
      <c r="E19" s="56" t="s">
        <v>230</v>
      </c>
      <c r="F19" s="98">
        <v>1</v>
      </c>
      <c r="G19" s="98">
        <v>1</v>
      </c>
    </row>
    <row r="20" spans="1:7" ht="15.75" customHeight="1" x14ac:dyDescent="0.25">
      <c r="A20" s="5" t="s">
        <v>188</v>
      </c>
      <c r="B20" s="98">
        <v>0</v>
      </c>
      <c r="C20" s="98">
        <v>0.95</v>
      </c>
      <c r="D20" s="56">
        <v>99.99</v>
      </c>
      <c r="E20" s="56" t="s">
        <v>230</v>
      </c>
      <c r="F20" s="98">
        <v>1</v>
      </c>
      <c r="G20" s="98">
        <v>1</v>
      </c>
    </row>
    <row r="21" spans="1:7" ht="15.75" customHeight="1" x14ac:dyDescent="0.25">
      <c r="A21" s="5" t="s">
        <v>213</v>
      </c>
      <c r="B21" s="45">
        <v>0</v>
      </c>
      <c r="C21" s="98">
        <v>0.95</v>
      </c>
      <c r="D21" s="56">
        <v>8.32</v>
      </c>
      <c r="E21" s="56" t="s">
        <v>230</v>
      </c>
      <c r="F21" s="98">
        <v>1</v>
      </c>
      <c r="G21" s="98">
        <v>1</v>
      </c>
    </row>
    <row r="22" spans="1:7" ht="15.75" customHeight="1" x14ac:dyDescent="0.25">
      <c r="A22" s="5" t="s">
        <v>214</v>
      </c>
      <c r="B22" s="98">
        <v>0</v>
      </c>
      <c r="C22" s="98">
        <v>0.95</v>
      </c>
      <c r="D22" s="56">
        <v>0.80999999999999994</v>
      </c>
      <c r="E22" s="56" t="s">
        <v>230</v>
      </c>
      <c r="F22" s="98">
        <v>1</v>
      </c>
      <c r="G22" s="98">
        <v>1</v>
      </c>
    </row>
    <row r="23" spans="1:7" ht="15.75" customHeight="1" x14ac:dyDescent="0.25">
      <c r="A23" s="5" t="s">
        <v>215</v>
      </c>
      <c r="B23" s="98">
        <v>0.48499999999999999</v>
      </c>
      <c r="C23" s="98">
        <v>0.95</v>
      </c>
      <c r="D23" s="56">
        <v>4.7742338241318913</v>
      </c>
      <c r="E23" s="56" t="s">
        <v>230</v>
      </c>
      <c r="F23" s="98">
        <v>1</v>
      </c>
      <c r="G23" s="98">
        <v>1</v>
      </c>
    </row>
    <row r="24" spans="1:7" ht="15.75" customHeight="1" x14ac:dyDescent="0.25">
      <c r="A24" s="5" t="s">
        <v>216</v>
      </c>
      <c r="B24" s="45">
        <v>0.60422350299999994</v>
      </c>
      <c r="C24" s="98">
        <v>0.95</v>
      </c>
      <c r="D24" s="56">
        <v>99.99</v>
      </c>
      <c r="E24" s="56" t="s">
        <v>230</v>
      </c>
      <c r="F24" s="98">
        <v>1</v>
      </c>
      <c r="G24" s="98">
        <v>1</v>
      </c>
    </row>
    <row r="25" spans="1:7" ht="15.75" customHeight="1" x14ac:dyDescent="0.25">
      <c r="A25" s="5" t="s">
        <v>217</v>
      </c>
      <c r="B25" s="98">
        <v>0</v>
      </c>
      <c r="C25" s="98">
        <v>0.95</v>
      </c>
      <c r="D25" s="56">
        <v>99.99</v>
      </c>
      <c r="E25" s="56" t="s">
        <v>230</v>
      </c>
      <c r="F25" s="98">
        <v>1</v>
      </c>
      <c r="G25" s="98">
        <v>1</v>
      </c>
    </row>
    <row r="26" spans="1:7" ht="15.75" customHeight="1" x14ac:dyDescent="0.25">
      <c r="A26" s="5" t="s">
        <v>218</v>
      </c>
      <c r="B26" s="45">
        <v>0</v>
      </c>
      <c r="C26" s="98">
        <v>0.95</v>
      </c>
      <c r="D26" s="56">
        <v>8.469314227226203</v>
      </c>
      <c r="E26" s="56" t="s">
        <v>230</v>
      </c>
      <c r="F26" s="98">
        <v>1</v>
      </c>
      <c r="G26" s="98">
        <v>1</v>
      </c>
    </row>
    <row r="27" spans="1:7" ht="15.75" customHeight="1" x14ac:dyDescent="0.25">
      <c r="A27" s="5" t="s">
        <v>219</v>
      </c>
      <c r="B27" s="45">
        <v>0</v>
      </c>
      <c r="C27" s="98">
        <v>0.95</v>
      </c>
      <c r="D27" s="56">
        <v>14.964151740020471</v>
      </c>
      <c r="E27" s="56" t="s">
        <v>230</v>
      </c>
      <c r="F27" s="98">
        <v>1</v>
      </c>
      <c r="G27" s="98">
        <v>1</v>
      </c>
    </row>
    <row r="28" spans="1:7" ht="15.75" customHeight="1" x14ac:dyDescent="0.25">
      <c r="A28" s="5" t="s">
        <v>220</v>
      </c>
      <c r="B28" s="45">
        <v>0.377</v>
      </c>
      <c r="C28" s="98">
        <v>0.95</v>
      </c>
      <c r="D28" s="56">
        <v>99.99</v>
      </c>
      <c r="E28" s="56" t="s">
        <v>230</v>
      </c>
      <c r="F28" s="98">
        <v>1</v>
      </c>
      <c r="G28" s="98">
        <v>1</v>
      </c>
    </row>
    <row r="29" spans="1:7" ht="15.75" customHeight="1" x14ac:dyDescent="0.25">
      <c r="A29" s="5" t="s">
        <v>221</v>
      </c>
      <c r="B29" s="45">
        <v>0.36899999999999999</v>
      </c>
      <c r="C29" s="98">
        <v>0.95</v>
      </c>
      <c r="D29" s="56">
        <v>82.515341030888564</v>
      </c>
      <c r="E29" s="56" t="s">
        <v>230</v>
      </c>
      <c r="F29" s="98">
        <v>1</v>
      </c>
      <c r="G29" s="98">
        <v>1</v>
      </c>
    </row>
    <row r="30" spans="1:7" ht="15.75" customHeight="1" x14ac:dyDescent="0.25">
      <c r="A30" s="5" t="s">
        <v>234</v>
      </c>
      <c r="B30" s="98">
        <v>0</v>
      </c>
      <c r="C30" s="98">
        <v>0.95</v>
      </c>
      <c r="D30" s="56">
        <v>53.05</v>
      </c>
      <c r="E30" s="56" t="s">
        <v>230</v>
      </c>
      <c r="F30" s="98">
        <v>1</v>
      </c>
      <c r="G30" s="98">
        <v>1</v>
      </c>
    </row>
    <row r="31" spans="1:7" ht="15.75" customHeight="1" x14ac:dyDescent="0.25">
      <c r="A31" s="5" t="s">
        <v>190</v>
      </c>
      <c r="B31" s="45">
        <v>0</v>
      </c>
      <c r="C31" s="98">
        <v>0.95</v>
      </c>
      <c r="D31" s="56">
        <v>118.83755373592631</v>
      </c>
      <c r="E31" s="56" t="s">
        <v>230</v>
      </c>
      <c r="F31" s="98">
        <v>1</v>
      </c>
      <c r="G31" s="98">
        <v>1</v>
      </c>
    </row>
    <row r="32" spans="1:7" ht="15.75" customHeight="1" x14ac:dyDescent="0.25">
      <c r="A32" s="5" t="s">
        <v>222</v>
      </c>
      <c r="B32" s="45">
        <v>7.400000000000001E-2</v>
      </c>
      <c r="C32" s="98">
        <v>0.95</v>
      </c>
      <c r="D32" s="56">
        <v>0.69</v>
      </c>
      <c r="E32" s="56" t="s">
        <v>230</v>
      </c>
      <c r="F32" s="98">
        <v>1</v>
      </c>
      <c r="G32" s="98">
        <v>1</v>
      </c>
    </row>
    <row r="33" spans="1:7" ht="15.75" customHeight="1" x14ac:dyDescent="0.25">
      <c r="A33" s="5" t="s">
        <v>223</v>
      </c>
      <c r="B33" s="45">
        <v>0.38636399999999999</v>
      </c>
      <c r="C33" s="98">
        <v>0.95</v>
      </c>
      <c r="D33" s="56">
        <v>99.99</v>
      </c>
      <c r="E33" s="56" t="s">
        <v>230</v>
      </c>
      <c r="F33" s="98">
        <v>1</v>
      </c>
      <c r="G33" s="98">
        <v>1</v>
      </c>
    </row>
    <row r="34" spans="1:7" ht="15.75" customHeight="1" x14ac:dyDescent="0.25">
      <c r="A34" s="5" t="s">
        <v>224</v>
      </c>
      <c r="B34" s="45">
        <v>0.29399999999999998</v>
      </c>
      <c r="C34" s="98">
        <v>0.95</v>
      </c>
      <c r="D34" s="56">
        <v>99.99</v>
      </c>
      <c r="E34" s="56" t="s">
        <v>230</v>
      </c>
      <c r="F34" s="98">
        <v>1</v>
      </c>
      <c r="G34" s="98">
        <v>1</v>
      </c>
    </row>
    <row r="35" spans="1:7" ht="15.75" customHeight="1" x14ac:dyDescent="0.25">
      <c r="A35" s="5" t="s">
        <v>225</v>
      </c>
      <c r="B35" s="98">
        <v>0</v>
      </c>
      <c r="C35" s="98">
        <v>0.95</v>
      </c>
      <c r="D35" s="56">
        <v>99.99</v>
      </c>
      <c r="E35" s="56" t="s">
        <v>230</v>
      </c>
      <c r="F35" s="98">
        <v>1</v>
      </c>
      <c r="G35" s="98">
        <v>1</v>
      </c>
    </row>
    <row r="36" spans="1:7" ht="15.75" customHeight="1" x14ac:dyDescent="0.25">
      <c r="A36" s="5" t="s">
        <v>226</v>
      </c>
      <c r="B36" s="45">
        <v>0</v>
      </c>
      <c r="C36" s="98">
        <v>0.95</v>
      </c>
      <c r="D36" s="56">
        <v>99.99</v>
      </c>
      <c r="E36" s="56" t="s">
        <v>230</v>
      </c>
      <c r="F36" s="98">
        <v>1</v>
      </c>
      <c r="G36" s="98">
        <v>1</v>
      </c>
    </row>
    <row r="37" spans="1:7" ht="15.75" customHeight="1" x14ac:dyDescent="0.25">
      <c r="A37" s="5" t="s">
        <v>227</v>
      </c>
      <c r="B37" s="45">
        <v>0.45811239999999998</v>
      </c>
      <c r="C37" s="98">
        <v>0.95</v>
      </c>
      <c r="D37" s="56">
        <v>99.99</v>
      </c>
      <c r="E37" s="56" t="s">
        <v>230</v>
      </c>
      <c r="F37" s="98">
        <v>1</v>
      </c>
      <c r="G37" s="98">
        <v>1</v>
      </c>
    </row>
    <row r="38" spans="1:7" ht="15.75" customHeight="1" x14ac:dyDescent="0.25">
      <c r="A38" s="5" t="s">
        <v>228</v>
      </c>
      <c r="B38" s="45">
        <v>0</v>
      </c>
      <c r="C38" s="98">
        <v>0.95</v>
      </c>
      <c r="D38" s="56">
        <v>3.45</v>
      </c>
      <c r="E38" s="56" t="s">
        <v>230</v>
      </c>
      <c r="F38" s="98">
        <v>1</v>
      </c>
      <c r="G38" s="98">
        <v>1</v>
      </c>
    </row>
    <row r="39" spans="1:7" ht="15.75" customHeight="1" x14ac:dyDescent="0.25">
      <c r="A39" s="5" t="s">
        <v>229</v>
      </c>
      <c r="B39" s="45">
        <v>0</v>
      </c>
      <c r="C39" s="98">
        <v>0.95</v>
      </c>
      <c r="D39" s="56">
        <v>3.07</v>
      </c>
      <c r="E39" s="56" t="s">
        <v>230</v>
      </c>
      <c r="F39" s="98">
        <v>1</v>
      </c>
      <c r="G39" s="98">
        <v>1</v>
      </c>
    </row>
  </sheetData>
  <sheetProtection algorithmName="SHA-512" hashValue="sHJoeqchf+p30qDp5XJah8CQ5FnfYkctZMl04du0OL8cMd663sNY1NJJo4Yp/iLNtwsPZVnUVUv2Q903zup9Zg==" saltValue="YcGSKojRsOnMFsrI1PFj3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WwBxg++2goPbDdQRN2d2u5Gf7xIQCK9ehBHZ8CY74aeA2UU9HvApQxI5vrWbO3eTkqWtIbQScW+rrmqLZR6Scw==" saltValue="hOMQ+2dx/WQDsN8ydEzRG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fGQVNCXaJbddI1tkeA/z3e+OMRZOL+7ffO7fU5LfRqXZrZ+9xRMXPN+G32xmTWDdJ4lCYRJ8SXM8AU1LuRaGGQ==" saltValue="wphJjiQ9own4O0SLDgPto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2.2000000000000002</v>
      </c>
      <c r="C2" s="21">
        <f>'Données pop de l''année de ref'!C52</f>
        <v>2.2000000000000002</v>
      </c>
      <c r="D2" s="21">
        <f>'Données pop de l''année de ref'!C53</f>
        <v>2.2000000000000002</v>
      </c>
      <c r="E2" s="21">
        <f>'Données pop de l''année de ref'!C54</f>
        <v>2.2000000000000002</v>
      </c>
      <c r="F2" s="21">
        <f>'Données pop de l''année de ref'!C55</f>
        <v>2.2000000000000002</v>
      </c>
    </row>
    <row r="3" spans="1:6" ht="15.75" customHeight="1" x14ac:dyDescent="0.25">
      <c r="A3" s="3" t="s">
        <v>238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237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v1zA9KHevdW/m7V/quZ5FRUnt6q0lIq7aFYd6M6ETYx2NBGI7tuT3dJCatU7+Sckc2Nu1cPoNQQ/MyAGK4J2Gg==" saltValue="7JJJh5dkgxltUKIy55o4P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0.251</v>
      </c>
      <c r="F2" s="60">
        <f>food_insecure</f>
        <v>0.251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0.251</v>
      </c>
      <c r="F5" s="60">
        <f>food_insecure</f>
        <v>0.251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0.251</v>
      </c>
      <c r="F8" s="60">
        <f>food_insecure</f>
        <v>0.251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0.251</v>
      </c>
      <c r="F9" s="60">
        <f>food_insecure</f>
        <v>0.251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0.251</v>
      </c>
      <c r="I15" s="60">
        <f t="shared" si="0"/>
        <v>0.251</v>
      </c>
      <c r="J15" s="60">
        <f t="shared" si="0"/>
        <v>0.251</v>
      </c>
      <c r="K15" s="60">
        <f t="shared" si="0"/>
        <v>0.251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0.251</v>
      </c>
      <c r="I16" s="60">
        <f t="shared" si="0"/>
        <v>0.251</v>
      </c>
      <c r="J16" s="60">
        <f t="shared" si="0"/>
        <v>0.251</v>
      </c>
      <c r="K16" s="60">
        <f t="shared" si="0"/>
        <v>0.251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0.62</v>
      </c>
      <c r="M24" s="60">
        <f>famplan_unmet_need</f>
        <v>0.62</v>
      </c>
      <c r="N24" s="60">
        <f>famplan_unmet_need</f>
        <v>0.62</v>
      </c>
      <c r="O24" s="60">
        <f>famplan_unmet_need</f>
        <v>0.62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0.10089684944001601</v>
      </c>
      <c r="M25" s="60">
        <f>(1-food_insecure)*(0.49)+food_insecure*(0.7)</f>
        <v>0.54271000000000003</v>
      </c>
      <c r="N25" s="60">
        <f>(1-food_insecure)*(0.49)+food_insecure*(0.7)</f>
        <v>0.54271000000000003</v>
      </c>
      <c r="O25" s="60">
        <f>(1-food_insecure)*(0.49)+food_insecure*(0.7)</f>
        <v>0.54271000000000003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4.3241506902863998E-2</v>
      </c>
      <c r="M26" s="60">
        <f>(1-food_insecure)*(0.21)+food_insecure*(0.3)</f>
        <v>0.23258999999999996</v>
      </c>
      <c r="N26" s="60">
        <f>(1-food_insecure)*(0.21)+food_insecure*(0.3)</f>
        <v>0.23258999999999996</v>
      </c>
      <c r="O26" s="60">
        <f>(1-food_insecure)*(0.21)+food_insecure*(0.3)</f>
        <v>0.23258999999999996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4.1774653257120001E-2</v>
      </c>
      <c r="M27" s="60">
        <f>(1-food_insecure)*(0.3)</f>
        <v>0.22469999999999998</v>
      </c>
      <c r="N27" s="60">
        <f>(1-food_insecure)*(0.3)</f>
        <v>0.22469999999999998</v>
      </c>
      <c r="O27" s="60">
        <f>(1-food_insecure)*(0.3)</f>
        <v>0.22469999999999998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0.8140869904000001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fuECDIHuurJCgKXyXoqjuXvVtT0yIq9OPIEGboDu0+aHgyXE/mR1E2DEcKRFGds8tJimgV4EK3BCno/ieQ8tuA==" saltValue="nhREP3BfuVBXlpHXGTNJY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ab/xKbk/uf8OhBl10gT7TIz+Jlu4jeCRZoTo6+IR//z8UNHQ/sCgctCHnPxd79NRepTWGfDlJUXVWTKNqjHWLg==" saltValue="E7+NV1LI1myuBYr/tRJ9R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6BmkeV1KbGS4fCLRXrOQdrSBQrn0dPa7BCZg9T4Z6lqlf8afZcBLnMpYiGRo+KIPDD7oWjuer3IfLvV/PRV1Q==" saltValue="peDBIhR9Asx6ulwuQPHdM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TXYAJQmJQgA4dlmmbtIIhFmIElprruIY/3dgtAy7ZhC2+372nPam6UzOgIqpFuduH0CkNdDhvN60k2T07Mbnkw==" saltValue="S6SR13/gKrWTp3SrqleeT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189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15" t="s">
        <v>197</v>
      </c>
      <c r="B2" s="116"/>
      <c r="C2" s="116"/>
      <c r="D2" s="116"/>
      <c r="E2" s="116"/>
      <c r="F2" s="116"/>
      <c r="G2" s="116"/>
      <c r="H2" s="116"/>
      <c r="I2" s="116" t="s">
        <v>4</v>
      </c>
      <c r="J2" s="116"/>
      <c r="K2" s="116"/>
      <c r="L2" s="116"/>
    </row>
    <row r="3" spans="1:12" x14ac:dyDescent="0.25">
      <c r="A3" s="115" t="s">
        <v>198</v>
      </c>
      <c r="B3" s="116"/>
      <c r="C3" s="116"/>
      <c r="D3" s="116"/>
      <c r="E3" s="116"/>
      <c r="F3" s="116"/>
      <c r="G3" s="116"/>
      <c r="H3" s="116" t="s">
        <v>4</v>
      </c>
      <c r="I3" s="116" t="s">
        <v>4</v>
      </c>
      <c r="J3" s="116"/>
      <c r="K3" s="116"/>
      <c r="L3" s="116"/>
    </row>
    <row r="4" spans="1:12" x14ac:dyDescent="0.25">
      <c r="A4" s="115" t="s">
        <v>199</v>
      </c>
      <c r="B4" s="116" t="s">
        <v>4</v>
      </c>
      <c r="C4" s="116"/>
      <c r="D4" s="116" t="s">
        <v>4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200</v>
      </c>
      <c r="B5" s="116"/>
      <c r="C5" s="116" t="s">
        <v>4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201</v>
      </c>
      <c r="B6" s="116"/>
      <c r="C6" s="116"/>
      <c r="D6" s="116"/>
      <c r="E6" s="116"/>
      <c r="F6" s="116"/>
      <c r="G6" s="116"/>
      <c r="H6" s="116"/>
      <c r="I6" s="116"/>
      <c r="J6" s="116" t="s">
        <v>4</v>
      </c>
      <c r="K6" s="116" t="s">
        <v>4</v>
      </c>
      <c r="L6" s="116"/>
    </row>
    <row r="7" spans="1:12" x14ac:dyDescent="0.25">
      <c r="A7" s="115" t="s">
        <v>202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/>
      <c r="J7" s="116"/>
      <c r="K7" s="116"/>
      <c r="L7" s="116"/>
    </row>
    <row r="8" spans="1:12" x14ac:dyDescent="0.25">
      <c r="A8" s="115" t="s">
        <v>203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/>
      <c r="J8" s="116"/>
      <c r="K8" s="116"/>
      <c r="L8" s="116"/>
    </row>
    <row r="9" spans="1:12" x14ac:dyDescent="0.25">
      <c r="A9" s="115" t="s">
        <v>204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/>
      <c r="J9" s="116"/>
      <c r="K9" s="116"/>
      <c r="L9" s="116"/>
    </row>
    <row r="10" spans="1:12" x14ac:dyDescent="0.25">
      <c r="A10" s="115" t="s">
        <v>205</v>
      </c>
      <c r="B10" s="116"/>
      <c r="C10" s="116" t="s">
        <v>4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206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207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208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209</v>
      </c>
      <c r="B14" s="116"/>
      <c r="C14" s="116" t="s">
        <v>4</v>
      </c>
      <c r="D14" s="116"/>
      <c r="E14" s="116"/>
      <c r="F14" s="116"/>
      <c r="G14" s="116"/>
      <c r="H14" s="116"/>
      <c r="I14" s="116" t="s">
        <v>4</v>
      </c>
      <c r="J14" s="116"/>
      <c r="K14" s="116"/>
      <c r="L14" s="116"/>
    </row>
    <row r="15" spans="1:12" x14ac:dyDescent="0.25">
      <c r="A15" s="117" t="s">
        <v>210</v>
      </c>
      <c r="B15" s="116"/>
      <c r="C15" s="116" t="s">
        <v>4</v>
      </c>
      <c r="D15" s="116"/>
      <c r="E15" s="116"/>
      <c r="F15" s="116"/>
      <c r="G15" s="116"/>
      <c r="H15" s="116"/>
      <c r="I15" s="116" t="s">
        <v>4</v>
      </c>
      <c r="J15" s="116"/>
      <c r="K15" s="116"/>
      <c r="L15" s="116"/>
    </row>
    <row r="16" spans="1:12" x14ac:dyDescent="0.25">
      <c r="A16" s="115" t="s">
        <v>211</v>
      </c>
      <c r="B16" s="116"/>
      <c r="C16" s="116" t="s">
        <v>4</v>
      </c>
      <c r="D16" s="116"/>
      <c r="E16" s="116"/>
      <c r="F16" s="116"/>
      <c r="G16" s="116"/>
      <c r="H16" s="116" t="s">
        <v>4</v>
      </c>
      <c r="I16" s="116" t="s">
        <v>4</v>
      </c>
      <c r="J16" s="116"/>
      <c r="K16" s="116"/>
      <c r="L16" s="116"/>
    </row>
    <row r="17" spans="1:12" x14ac:dyDescent="0.25">
      <c r="A17" s="115" t="s">
        <v>212</v>
      </c>
      <c r="B17" s="116"/>
      <c r="C17" s="116" t="s">
        <v>4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186</v>
      </c>
      <c r="B18" s="116" t="s">
        <v>4</v>
      </c>
      <c r="C18" s="116"/>
      <c r="D18" s="116"/>
      <c r="E18" s="116"/>
      <c r="F18" s="116" t="s">
        <v>4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187</v>
      </c>
      <c r="B19" s="116" t="s">
        <v>4</v>
      </c>
      <c r="C19" s="116"/>
      <c r="D19" s="116"/>
      <c r="E19" s="116"/>
      <c r="F19" s="116" t="s">
        <v>4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188</v>
      </c>
      <c r="B20" s="116" t="s">
        <v>4</v>
      </c>
      <c r="C20" s="116"/>
      <c r="D20" s="116"/>
      <c r="E20" s="116"/>
      <c r="F20" s="116" t="s">
        <v>4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213</v>
      </c>
      <c r="B21" s="116"/>
      <c r="C21" s="116"/>
      <c r="D21" s="116"/>
      <c r="E21" s="116"/>
      <c r="F21" s="116"/>
      <c r="G21" s="116"/>
      <c r="H21" s="116" t="s">
        <v>4</v>
      </c>
      <c r="I21" s="116" t="s">
        <v>4</v>
      </c>
      <c r="J21" s="116"/>
      <c r="K21" s="116"/>
      <c r="L21" s="116"/>
    </row>
    <row r="22" spans="1:12" x14ac:dyDescent="0.25">
      <c r="A22" s="115" t="s">
        <v>214</v>
      </c>
      <c r="B22" s="116" t="s">
        <v>4</v>
      </c>
      <c r="C22" s="116" t="s">
        <v>4</v>
      </c>
      <c r="D22" s="116" t="s">
        <v>4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215</v>
      </c>
      <c r="B23" s="116"/>
      <c r="C23" s="116" t="s">
        <v>4</v>
      </c>
      <c r="D23" s="116"/>
      <c r="E23" s="116"/>
      <c r="F23" s="116"/>
      <c r="G23" s="116"/>
      <c r="H23" s="116"/>
      <c r="I23" s="116" t="s">
        <v>4</v>
      </c>
      <c r="J23" s="116"/>
      <c r="K23" s="116"/>
      <c r="L23" s="116"/>
    </row>
    <row r="24" spans="1:12" x14ac:dyDescent="0.25">
      <c r="A24" s="115" t="s">
        <v>216</v>
      </c>
      <c r="B24" s="116"/>
      <c r="C24" s="116"/>
      <c r="D24" s="116"/>
      <c r="E24" s="116"/>
      <c r="F24" s="116"/>
      <c r="G24" s="116"/>
      <c r="H24" s="116" t="s">
        <v>4</v>
      </c>
      <c r="I24" s="116"/>
      <c r="J24" s="116"/>
      <c r="K24" s="116"/>
      <c r="L24" s="116"/>
    </row>
    <row r="25" spans="1:12" x14ac:dyDescent="0.25">
      <c r="A25" s="115" t="s">
        <v>217</v>
      </c>
      <c r="B25" s="116"/>
      <c r="C25" s="116"/>
      <c r="D25" s="116"/>
      <c r="E25" s="116"/>
      <c r="F25" s="116"/>
      <c r="G25" s="116"/>
      <c r="H25" s="116" t="s">
        <v>4</v>
      </c>
      <c r="I25" s="116"/>
      <c r="J25" s="116"/>
      <c r="K25" s="116"/>
      <c r="L25" s="116"/>
    </row>
    <row r="26" spans="1:12" x14ac:dyDescent="0.25">
      <c r="A26" s="115" t="s">
        <v>218</v>
      </c>
      <c r="B26" s="116"/>
      <c r="C26" s="116" t="s">
        <v>4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219</v>
      </c>
      <c r="B27" s="116"/>
      <c r="C27" s="116" t="s">
        <v>4</v>
      </c>
      <c r="D27" s="116"/>
      <c r="E27" s="116"/>
      <c r="F27" s="116"/>
      <c r="G27" s="116"/>
      <c r="H27" s="116"/>
      <c r="I27" s="116" t="s">
        <v>4</v>
      </c>
      <c r="J27" s="116"/>
      <c r="K27" s="116"/>
      <c r="L27" s="116" t="s">
        <v>4</v>
      </c>
    </row>
    <row r="28" spans="1:12" x14ac:dyDescent="0.25">
      <c r="A28" s="115" t="s">
        <v>220</v>
      </c>
      <c r="B28" s="116"/>
      <c r="C28" s="116"/>
      <c r="D28" s="116"/>
      <c r="E28" s="116"/>
      <c r="F28" s="116"/>
      <c r="G28" s="116"/>
      <c r="H28" s="116" t="s">
        <v>4</v>
      </c>
      <c r="I28" s="116"/>
      <c r="J28" s="116"/>
      <c r="K28" s="116"/>
      <c r="L28" s="116"/>
    </row>
    <row r="29" spans="1:12" x14ac:dyDescent="0.25">
      <c r="A29" s="115" t="s">
        <v>221</v>
      </c>
      <c r="B29" s="116" t="s">
        <v>4</v>
      </c>
      <c r="C29" s="116"/>
      <c r="D29" s="116" t="s">
        <v>4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234</v>
      </c>
      <c r="B30" s="116" t="s">
        <v>4</v>
      </c>
      <c r="C30" s="116" t="s">
        <v>4</v>
      </c>
      <c r="D30" s="116" t="s">
        <v>4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190</v>
      </c>
      <c r="B31" s="116"/>
      <c r="C31" s="116"/>
      <c r="D31" s="116"/>
      <c r="E31" s="116" t="s">
        <v>4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222</v>
      </c>
      <c r="B32" s="116"/>
      <c r="C32" s="116"/>
      <c r="D32" s="116"/>
      <c r="E32" s="116"/>
      <c r="F32" s="116"/>
      <c r="G32" s="116" t="s">
        <v>4</v>
      </c>
      <c r="H32" s="116" t="s">
        <v>4</v>
      </c>
      <c r="I32" s="116"/>
      <c r="J32" s="116"/>
      <c r="K32" s="116"/>
      <c r="L32" s="116"/>
    </row>
    <row r="33" spans="1:12" x14ac:dyDescent="0.25">
      <c r="A33" s="115" t="s">
        <v>223</v>
      </c>
      <c r="B33" s="116"/>
      <c r="C33" s="116"/>
      <c r="D33" s="116"/>
      <c r="E33" s="116"/>
      <c r="F33" s="116"/>
      <c r="G33" s="116" t="s">
        <v>4</v>
      </c>
      <c r="H33" s="116" t="s">
        <v>4</v>
      </c>
      <c r="I33" s="116"/>
      <c r="J33" s="116"/>
      <c r="K33" s="116"/>
      <c r="L33" s="116"/>
    </row>
    <row r="34" spans="1:12" x14ac:dyDescent="0.25">
      <c r="A34" s="115" t="s">
        <v>224</v>
      </c>
      <c r="B34" s="116"/>
      <c r="C34" s="116"/>
      <c r="D34" s="116"/>
      <c r="E34" s="116"/>
      <c r="F34" s="116"/>
      <c r="G34" s="116" t="s">
        <v>4</v>
      </c>
      <c r="H34" s="116" t="s">
        <v>4</v>
      </c>
      <c r="I34" s="116"/>
      <c r="J34" s="116"/>
      <c r="K34" s="116"/>
      <c r="L34" s="116"/>
    </row>
    <row r="35" spans="1:12" x14ac:dyDescent="0.25">
      <c r="A35" s="115" t="s">
        <v>225</v>
      </c>
      <c r="B35" s="116"/>
      <c r="C35" s="116"/>
      <c r="D35" s="116"/>
      <c r="E35" s="116"/>
      <c r="F35" s="116"/>
      <c r="G35" s="116" t="s">
        <v>4</v>
      </c>
      <c r="H35" s="116" t="s">
        <v>4</v>
      </c>
      <c r="I35" s="116"/>
      <c r="J35" s="116"/>
      <c r="K35" s="116"/>
      <c r="L35" s="116"/>
    </row>
    <row r="36" spans="1:12" x14ac:dyDescent="0.25">
      <c r="A36" s="115" t="s">
        <v>226</v>
      </c>
      <c r="B36" s="116"/>
      <c r="C36" s="116"/>
      <c r="D36" s="116"/>
      <c r="E36" s="116"/>
      <c r="F36" s="116"/>
      <c r="G36" s="116" t="s">
        <v>4</v>
      </c>
      <c r="H36" s="116" t="s">
        <v>4</v>
      </c>
      <c r="I36" s="116"/>
      <c r="J36" s="116"/>
      <c r="K36" s="116"/>
      <c r="L36" s="116"/>
    </row>
    <row r="37" spans="1:12" x14ac:dyDescent="0.25">
      <c r="A37" s="115" t="s">
        <v>227</v>
      </c>
      <c r="B37" s="116"/>
      <c r="C37" s="116"/>
      <c r="D37" s="116"/>
      <c r="E37" s="116"/>
      <c r="F37" s="116"/>
      <c r="G37" s="116" t="s">
        <v>4</v>
      </c>
      <c r="H37" s="116" t="s">
        <v>4</v>
      </c>
      <c r="I37" s="116"/>
      <c r="J37" s="116"/>
      <c r="K37" s="116"/>
      <c r="L37" s="116"/>
    </row>
    <row r="38" spans="1:12" x14ac:dyDescent="0.25">
      <c r="A38" s="115" t="s">
        <v>228</v>
      </c>
      <c r="B38" s="116"/>
      <c r="C38" s="116"/>
      <c r="D38" s="116"/>
      <c r="E38" s="116"/>
      <c r="F38" s="116"/>
      <c r="G38" s="116"/>
      <c r="H38" s="116" t="s">
        <v>4</v>
      </c>
      <c r="I38" s="116"/>
      <c r="J38" s="116"/>
      <c r="K38" s="116"/>
      <c r="L38" s="116"/>
    </row>
    <row r="39" spans="1:12" x14ac:dyDescent="0.25">
      <c r="A39" s="115" t="s">
        <v>229</v>
      </c>
      <c r="B39" s="116" t="s">
        <v>4</v>
      </c>
      <c r="C39" s="116"/>
      <c r="D39" s="116"/>
      <c r="E39" s="116"/>
      <c r="F39" s="116"/>
      <c r="G39" s="116" t="s">
        <v>4</v>
      </c>
      <c r="H39" s="116" t="s">
        <v>4</v>
      </c>
      <c r="I39" s="116"/>
      <c r="J39" s="116"/>
      <c r="K39" s="116"/>
      <c r="L39" s="116"/>
    </row>
  </sheetData>
  <sheetProtection algorithmName="SHA-512" hashValue="eXRjiUpuNdrRx4b1QqGuUyj3ApHV6nvzzdFa+/G2g5T3eGMIIDQUO6FJtZHU++5C2A+v8TAC4Zk9cg0FLvEyaQ==" saltValue="V1BhDITPs8D0jnBKzPq2g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261</v>
      </c>
      <c r="B1" s="108" t="s">
        <v>256</v>
      </c>
      <c r="C1" s="108" t="s">
        <v>139</v>
      </c>
      <c r="D1" s="108" t="s">
        <v>257</v>
      </c>
      <c r="E1" s="108" t="s">
        <v>258</v>
      </c>
      <c r="F1" s="108" t="s">
        <v>146</v>
      </c>
      <c r="G1" s="108" t="s">
        <v>105</v>
      </c>
      <c r="H1" s="108" t="s">
        <v>61</v>
      </c>
      <c r="I1" s="108" t="s">
        <v>259</v>
      </c>
      <c r="J1" s="108" t="s">
        <v>54</v>
      </c>
      <c r="K1" s="108" t="s">
        <v>86</v>
      </c>
      <c r="L1" s="108" t="s">
        <v>260</v>
      </c>
    </row>
    <row r="2" spans="1:12" x14ac:dyDescent="0.25">
      <c r="A2" s="108" t="s">
        <v>127</v>
      </c>
      <c r="B2" s="116" t="s">
        <v>4</v>
      </c>
      <c r="C2" s="116" t="s">
        <v>4</v>
      </c>
      <c r="D2" s="116" t="s">
        <v>4</v>
      </c>
      <c r="E2" s="116" t="s">
        <v>4</v>
      </c>
      <c r="F2" s="116" t="s">
        <v>4</v>
      </c>
      <c r="G2" s="116" t="s">
        <v>4</v>
      </c>
      <c r="H2" s="116" t="s">
        <v>4</v>
      </c>
      <c r="I2" s="116"/>
      <c r="J2" s="116"/>
      <c r="K2" s="116"/>
      <c r="L2" s="116"/>
    </row>
    <row r="3" spans="1:12" x14ac:dyDescent="0.25">
      <c r="A3" s="108" t="s">
        <v>114</v>
      </c>
      <c r="B3" s="116" t="s">
        <v>4</v>
      </c>
      <c r="C3" s="116" t="s">
        <v>4</v>
      </c>
      <c r="D3" s="116" t="s">
        <v>4</v>
      </c>
      <c r="E3" s="116" t="s">
        <v>4</v>
      </c>
      <c r="F3" s="116" t="s">
        <v>4</v>
      </c>
      <c r="G3" s="116" t="s">
        <v>4</v>
      </c>
      <c r="H3" s="116" t="s">
        <v>4</v>
      </c>
      <c r="I3" s="116"/>
      <c r="J3" s="116"/>
      <c r="K3" s="116"/>
      <c r="L3" s="116"/>
    </row>
    <row r="4" spans="1:12" x14ac:dyDescent="0.25">
      <c r="A4" s="108" t="s">
        <v>115</v>
      </c>
      <c r="B4" s="116" t="s">
        <v>4</v>
      </c>
      <c r="C4" s="116" t="s">
        <v>4</v>
      </c>
      <c r="D4" s="116" t="s">
        <v>4</v>
      </c>
      <c r="E4" s="116" t="s">
        <v>4</v>
      </c>
      <c r="F4" s="116" t="s">
        <v>4</v>
      </c>
      <c r="G4" s="116" t="s">
        <v>4</v>
      </c>
      <c r="H4" s="116" t="s">
        <v>4</v>
      </c>
      <c r="I4" s="116"/>
      <c r="J4" s="116"/>
      <c r="K4" s="116"/>
      <c r="L4" s="116"/>
    </row>
    <row r="5" spans="1:12" x14ac:dyDescent="0.25">
      <c r="A5" s="108" t="s">
        <v>116</v>
      </c>
      <c r="B5" s="116" t="s">
        <v>4</v>
      </c>
      <c r="C5" s="116" t="s">
        <v>4</v>
      </c>
      <c r="D5" s="116" t="s">
        <v>4</v>
      </c>
      <c r="E5" s="116" t="s">
        <v>4</v>
      </c>
      <c r="F5" s="116" t="s">
        <v>4</v>
      </c>
      <c r="G5" s="116" t="s">
        <v>4</v>
      </c>
      <c r="H5" s="116" t="s">
        <v>4</v>
      </c>
      <c r="I5" s="116"/>
      <c r="J5" s="116"/>
      <c r="K5" s="116"/>
      <c r="L5" s="116"/>
    </row>
    <row r="6" spans="1:12" x14ac:dyDescent="0.25">
      <c r="A6" s="108" t="s">
        <v>117</v>
      </c>
      <c r="B6" s="116" t="s">
        <v>4</v>
      </c>
      <c r="C6" s="116" t="s">
        <v>4</v>
      </c>
      <c r="D6" s="116" t="s">
        <v>4</v>
      </c>
      <c r="E6" s="116" t="s">
        <v>4</v>
      </c>
      <c r="F6" s="116" t="s">
        <v>4</v>
      </c>
      <c r="G6" s="116" t="s">
        <v>4</v>
      </c>
      <c r="H6" s="116" t="s">
        <v>4</v>
      </c>
      <c r="I6" s="116"/>
      <c r="J6" s="116"/>
      <c r="K6" s="116"/>
      <c r="L6" s="116"/>
    </row>
    <row r="7" spans="1:12" x14ac:dyDescent="0.25">
      <c r="A7" s="108" t="s">
        <v>140</v>
      </c>
      <c r="B7" s="116"/>
      <c r="C7" s="116" t="s">
        <v>4</v>
      </c>
      <c r="D7" s="116"/>
      <c r="E7" s="116"/>
      <c r="F7" s="116"/>
      <c r="G7" s="116"/>
      <c r="H7" s="116" t="s">
        <v>4</v>
      </c>
      <c r="I7" s="116" t="s">
        <v>4</v>
      </c>
      <c r="J7" s="116"/>
      <c r="K7" s="116"/>
      <c r="L7" s="116" t="s">
        <v>4</v>
      </c>
    </row>
    <row r="8" spans="1:12" x14ac:dyDescent="0.25">
      <c r="A8" s="108" t="s">
        <v>141</v>
      </c>
      <c r="B8" s="116"/>
      <c r="C8" s="116" t="s">
        <v>4</v>
      </c>
      <c r="D8" s="116"/>
      <c r="E8" s="116"/>
      <c r="F8" s="116"/>
      <c r="G8" s="116"/>
      <c r="H8" s="116" t="s">
        <v>4</v>
      </c>
      <c r="I8" s="116" t="s">
        <v>4</v>
      </c>
      <c r="J8" s="116"/>
      <c r="K8" s="116"/>
      <c r="L8" s="116" t="s">
        <v>4</v>
      </c>
    </row>
    <row r="9" spans="1:12" x14ac:dyDescent="0.25">
      <c r="A9" s="108" t="s">
        <v>142</v>
      </c>
      <c r="B9" s="116"/>
      <c r="C9" s="116" t="s">
        <v>4</v>
      </c>
      <c r="D9" s="116"/>
      <c r="E9" s="116"/>
      <c r="F9" s="116"/>
      <c r="G9" s="116"/>
      <c r="H9" s="116" t="s">
        <v>4</v>
      </c>
      <c r="I9" s="116" t="s">
        <v>4</v>
      </c>
      <c r="J9" s="116"/>
      <c r="K9" s="116"/>
      <c r="L9" s="116" t="s">
        <v>4</v>
      </c>
    </row>
    <row r="10" spans="1:12" x14ac:dyDescent="0.25">
      <c r="A10" s="108" t="s">
        <v>143</v>
      </c>
      <c r="B10" s="116"/>
      <c r="C10" s="116" t="s">
        <v>4</v>
      </c>
      <c r="D10" s="116"/>
      <c r="E10" s="116"/>
      <c r="F10" s="116"/>
      <c r="G10" s="116"/>
      <c r="H10" s="116" t="s">
        <v>4</v>
      </c>
      <c r="I10" s="116" t="s">
        <v>4</v>
      </c>
      <c r="J10" s="116"/>
      <c r="K10" s="116"/>
      <c r="L10" s="116" t="s">
        <v>4</v>
      </c>
    </row>
    <row r="11" spans="1:12" x14ac:dyDescent="0.25">
      <c r="A11" s="108" t="s">
        <v>87</v>
      </c>
      <c r="B11" s="116"/>
      <c r="C11" s="116" t="s">
        <v>4</v>
      </c>
      <c r="D11" s="116"/>
      <c r="E11" s="116"/>
      <c r="F11" s="116"/>
      <c r="G11" s="116"/>
      <c r="H11" s="116"/>
      <c r="I11" s="116"/>
      <c r="J11" s="116" t="s">
        <v>4</v>
      </c>
      <c r="K11" s="116" t="s">
        <v>4</v>
      </c>
      <c r="L11" s="116"/>
    </row>
    <row r="12" spans="1:12" x14ac:dyDescent="0.25">
      <c r="A12" s="108" t="s">
        <v>88</v>
      </c>
      <c r="B12" s="116"/>
      <c r="C12" s="116" t="s">
        <v>4</v>
      </c>
      <c r="D12" s="116"/>
      <c r="E12" s="116"/>
      <c r="F12" s="116"/>
      <c r="G12" s="116"/>
      <c r="H12" s="116"/>
      <c r="I12" s="116"/>
      <c r="J12" s="116"/>
      <c r="K12" s="116" t="s">
        <v>4</v>
      </c>
      <c r="L12" s="116"/>
    </row>
    <row r="13" spans="1:12" x14ac:dyDescent="0.25">
      <c r="A13" s="108" t="s">
        <v>89</v>
      </c>
      <c r="B13" s="116"/>
      <c r="C13" s="116" t="s">
        <v>4</v>
      </c>
      <c r="D13" s="116"/>
      <c r="E13" s="116"/>
      <c r="F13" s="116"/>
      <c r="G13" s="116"/>
      <c r="H13" s="116"/>
      <c r="I13" s="116"/>
      <c r="J13" s="116"/>
      <c r="K13" s="116" t="s">
        <v>4</v>
      </c>
      <c r="L13" s="116"/>
    </row>
    <row r="14" spans="1:12" x14ac:dyDescent="0.25">
      <c r="A14" s="108" t="s">
        <v>90</v>
      </c>
      <c r="B14" s="116"/>
      <c r="C14" s="116" t="s">
        <v>4</v>
      </c>
      <c r="D14" s="116"/>
      <c r="E14" s="116"/>
      <c r="F14" s="116"/>
      <c r="G14" s="116"/>
      <c r="H14" s="116"/>
      <c r="I14" s="116"/>
      <c r="J14" s="116"/>
      <c r="K14" s="116" t="s">
        <v>4</v>
      </c>
      <c r="L14" s="116"/>
    </row>
  </sheetData>
  <sheetProtection algorithmName="SHA-512" hashValue="QpHtUM2P2KKO+iRJkhMcjmMXDs/tM0abth9Iq+XVpuc3sf9cBjX1sxufu4T2kA3o3q8zFUR9yno+DSFsPVXQFg==" saltValue="AYGwySoSX6fub85x7Yhza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5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5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5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5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5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5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5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5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5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9mJzNxMabxI5uKHGAAT/NIe/9dR6XMLfHxFdiv/WR6/HlVAzaigZCOwLq3gWnWi1mxSEIGHO7Ke+Bxsc2ybtQ==" saltValue="UB/oIgED35Ekr2vw8oS2L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264</v>
      </c>
    </row>
    <row r="2" spans="1:7" ht="14.25" customHeight="1" x14ac:dyDescent="0.3">
      <c r="A2" s="122" t="s">
        <v>6</v>
      </c>
      <c r="B2" s="107"/>
      <c r="C2" s="105" t="s">
        <v>127</v>
      </c>
      <c r="D2" s="105" t="s">
        <v>114</v>
      </c>
      <c r="E2" s="105" t="s">
        <v>115</v>
      </c>
      <c r="F2" s="105" t="s">
        <v>116</v>
      </c>
      <c r="G2" s="105" t="s">
        <v>117</v>
      </c>
    </row>
    <row r="3" spans="1:7" ht="14.25" customHeight="1" x14ac:dyDescent="0.25">
      <c r="B3" s="117" t="s">
        <v>274</v>
      </c>
      <c r="C3" s="118" t="s">
        <v>10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275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276</v>
      </c>
    </row>
    <row r="6" spans="1:7" ht="14.25" customHeight="1" x14ac:dyDescent="0.25">
      <c r="B6" s="117" t="s">
        <v>221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214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199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234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229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280</v>
      </c>
    </row>
    <row r="13" spans="1:7" ht="14.25" customHeight="1" x14ac:dyDescent="0.3">
      <c r="A13" s="123"/>
      <c r="B13" s="117" t="s">
        <v>213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277</v>
      </c>
    </row>
    <row r="16" spans="1:7" ht="14.25" customHeight="1" x14ac:dyDescent="0.3">
      <c r="A16" s="122" t="s">
        <v>283</v>
      </c>
      <c r="B16" s="117" t="s">
        <v>278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281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139</v>
      </c>
      <c r="B18" s="117" t="s">
        <v>279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282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201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264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6</v>
      </c>
      <c r="B26" s="107"/>
      <c r="C26" s="105" t="s">
        <v>127</v>
      </c>
      <c r="D26" s="105" t="s">
        <v>114</v>
      </c>
      <c r="E26" s="105" t="s">
        <v>115</v>
      </c>
      <c r="F26" s="105" t="s">
        <v>116</v>
      </c>
      <c r="G26" s="105" t="s">
        <v>117</v>
      </c>
    </row>
    <row r="27" spans="1:7" x14ac:dyDescent="0.25">
      <c r="B27" s="117" t="s">
        <v>284</v>
      </c>
      <c r="C27" s="118" t="s">
        <v>10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285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286</v>
      </c>
    </row>
    <row r="30" spans="1:7" x14ac:dyDescent="0.25">
      <c r="B30" s="117" t="s">
        <v>287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288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29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289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290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291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277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283</v>
      </c>
      <c r="B40" s="117" t="s">
        <v>292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293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139</v>
      </c>
      <c r="B42" s="117" t="s">
        <v>294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296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270</v>
      </c>
    </row>
    <row r="49" spans="1:7" ht="13" x14ac:dyDescent="0.3">
      <c r="A49" s="120" t="s">
        <v>264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6</v>
      </c>
      <c r="B50" s="107"/>
      <c r="C50" s="105" t="s">
        <v>127</v>
      </c>
      <c r="D50" s="105" t="s">
        <v>114</v>
      </c>
      <c r="E50" s="105" t="s">
        <v>115</v>
      </c>
      <c r="F50" s="105" t="s">
        <v>116</v>
      </c>
      <c r="G50" s="105" t="s">
        <v>117</v>
      </c>
    </row>
    <row r="51" spans="1:7" x14ac:dyDescent="0.25">
      <c r="B51" s="117" t="s">
        <v>297</v>
      </c>
      <c r="C51" s="118" t="s">
        <v>10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298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299</v>
      </c>
    </row>
    <row r="54" spans="1:7" x14ac:dyDescent="0.25">
      <c r="B54" s="117" t="s">
        <v>300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301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30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311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302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304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277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283</v>
      </c>
      <c r="B64" s="117" t="s">
        <v>305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306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139</v>
      </c>
      <c r="B66" s="117" t="s">
        <v>307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308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309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L5maGmUu/XBjZJsQJtejS+6uwim+NiRwhcpDklzTdOzWqe+RSyyF+jHtNU2yvLQKUx2EjVnmNLWilKgYHIovg==" saltValue="n4XDSijOqjJ/SV0twXF3x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189</v>
      </c>
      <c r="B1" s="105"/>
      <c r="C1" s="105" t="s">
        <v>69</v>
      </c>
      <c r="D1" s="105" t="s">
        <v>71</v>
      </c>
      <c r="E1" s="105" t="s">
        <v>70</v>
      </c>
      <c r="F1" s="107" t="s">
        <v>72</v>
      </c>
    </row>
    <row r="2" spans="1:6" ht="15.75" customHeight="1" x14ac:dyDescent="0.25">
      <c r="A2" s="117" t="s">
        <v>197</v>
      </c>
      <c r="B2" s="117" t="s">
        <v>312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313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198</v>
      </c>
      <c r="B4" s="117" t="s">
        <v>312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209</v>
      </c>
      <c r="B6" s="117" t="s">
        <v>312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313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210</v>
      </c>
      <c r="B8" s="117" t="s">
        <v>312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313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211</v>
      </c>
      <c r="B10" s="117" t="s">
        <v>312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313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215</v>
      </c>
      <c r="B12" s="117" t="s">
        <v>312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313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219</v>
      </c>
      <c r="B14" s="117" t="s">
        <v>312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313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189</v>
      </c>
      <c r="B18" s="105"/>
      <c r="C18" s="105" t="s">
        <v>69</v>
      </c>
      <c r="D18" s="105" t="s">
        <v>71</v>
      </c>
      <c r="E18" s="105" t="s">
        <v>70</v>
      </c>
      <c r="F18" s="107" t="s">
        <v>72</v>
      </c>
    </row>
    <row r="19" spans="1:6" ht="15.75" customHeight="1" x14ac:dyDescent="0.25">
      <c r="A19" s="117" t="s">
        <v>197</v>
      </c>
      <c r="B19" s="117" t="s">
        <v>312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313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198</v>
      </c>
      <c r="B21" s="117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209</v>
      </c>
      <c r="B23" s="117" t="s">
        <v>312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313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210</v>
      </c>
      <c r="B25" s="117" t="s">
        <v>312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313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211</v>
      </c>
      <c r="B27" s="117" t="s">
        <v>312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313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215</v>
      </c>
      <c r="B29" s="117" t="s">
        <v>312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313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219</v>
      </c>
      <c r="B31" s="117" t="s">
        <v>312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313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270</v>
      </c>
    </row>
    <row r="35" spans="1:6" ht="15.75" customHeight="1" x14ac:dyDescent="0.3">
      <c r="A35" s="107" t="s">
        <v>189</v>
      </c>
      <c r="B35" s="105"/>
      <c r="C35" s="105" t="s">
        <v>69</v>
      </c>
      <c r="D35" s="105" t="s">
        <v>71</v>
      </c>
      <c r="E35" s="105" t="s">
        <v>70</v>
      </c>
      <c r="F35" s="107" t="s">
        <v>72</v>
      </c>
    </row>
    <row r="36" spans="1:6" ht="15.75" customHeight="1" x14ac:dyDescent="0.25">
      <c r="A36" s="117" t="s">
        <v>197</v>
      </c>
      <c r="B36" s="117" t="s">
        <v>312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313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198</v>
      </c>
      <c r="B38" s="117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209</v>
      </c>
      <c r="B40" s="117" t="s">
        <v>312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313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210</v>
      </c>
      <c r="B42" s="117" t="s">
        <v>312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313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211</v>
      </c>
      <c r="B44" s="117" t="s">
        <v>312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313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215</v>
      </c>
      <c r="B46" s="117" t="s">
        <v>312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313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219</v>
      </c>
      <c r="B48" s="117" t="s">
        <v>312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313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Hx7eKZBpcAM5NzB0iAtkf4BmmuZkAegef5gQIyaMjAZ46KI3MsFpip/YAKciKCYPwenxX+as5Wy3sFudTX2msA==" saltValue="Lp3clR8jJCtRuuEJWweV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aikaKuioPMgXaZMW0rl8Npb38UXR5rlqVxoYZ/jNK5f5Bu1qHBzwGHsXBF8zGBLFz7o+T7Iq6GjCVsAP5vWvQ==" saltValue="gx4CQdfZf/5O65SDIW2b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eG61RQ1zl2I37gHUXQ2kd03du6UzqjxeFbKj3rNeF4UleM3kRKzcsJF/VD58zgfy2OlB/uq3sRTexGyXqKduQ==" saltValue="kZF/US6uwRerenA+kuI+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214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X3VtKz1Z0zxHOw97UdL0DRCX5zf28WhFWul0DkC+tALutgPfaotL0sAGdKo5uT+nK5C0vs4ts6Tzm5Nk29ccw==" saltValue="kFFifoXzZDDE9zHSkiYbC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IAt+rFUNnDds9lEyxw2+lJQ77EoWZwdEp+ZpEnDSrr38/4/ZMCe5Yv/A4Y6abuCUbXgn5KXBRziefEvuI3VPw==" saltValue="01GYoJo7JW9/xeDlU7/65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189</v>
      </c>
      <c r="B1" s="4" t="s">
        <v>364</v>
      </c>
      <c r="C1" s="82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5" t="s">
        <v>222</v>
      </c>
      <c r="B2" s="5" t="s">
        <v>105</v>
      </c>
      <c r="C2" s="5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221</v>
      </c>
      <c r="B5" s="5" t="s">
        <v>237</v>
      </c>
      <c r="C5" s="5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238</v>
      </c>
      <c r="C7" s="5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214</v>
      </c>
      <c r="B9" s="5" t="s">
        <v>237</v>
      </c>
      <c r="C9" s="5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238</v>
      </c>
      <c r="C11" s="5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234</v>
      </c>
      <c r="B13" s="5" t="s">
        <v>237</v>
      </c>
      <c r="C13" s="5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238</v>
      </c>
      <c r="C15" s="5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199</v>
      </c>
      <c r="B17" s="5" t="s">
        <v>237</v>
      </c>
      <c r="C17" s="5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367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238</v>
      </c>
      <c r="C19" s="5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204</v>
      </c>
      <c r="B21" s="5" t="s">
        <v>102</v>
      </c>
      <c r="C21" s="5" t="s">
        <v>365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366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202</v>
      </c>
      <c r="B23" s="5" t="s">
        <v>102</v>
      </c>
      <c r="C23" s="5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203</v>
      </c>
      <c r="B25" s="5" t="s">
        <v>102</v>
      </c>
      <c r="C25" s="5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226</v>
      </c>
      <c r="B27" s="5" t="s">
        <v>105</v>
      </c>
      <c r="C27" s="5" t="s">
        <v>365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366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367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227</v>
      </c>
      <c r="B30" s="5" t="s">
        <v>105</v>
      </c>
      <c r="C30" s="5" t="s">
        <v>365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366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367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225</v>
      </c>
      <c r="B33" s="5" t="s">
        <v>105</v>
      </c>
      <c r="C33" s="5" t="s">
        <v>365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366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367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224</v>
      </c>
      <c r="B36" s="5" t="s">
        <v>105</v>
      </c>
      <c r="C36" s="5" t="s">
        <v>365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366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367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223</v>
      </c>
      <c r="B39" s="5" t="s">
        <v>105</v>
      </c>
      <c r="C39" s="5" t="s">
        <v>365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366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367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229</v>
      </c>
      <c r="B42" s="5" t="s">
        <v>105</v>
      </c>
      <c r="C42" s="5" t="s">
        <v>365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366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367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106</v>
      </c>
      <c r="C45" s="5" t="s">
        <v>365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366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367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220</v>
      </c>
      <c r="B48" s="5" t="s">
        <v>105</v>
      </c>
      <c r="C48" s="5" t="s">
        <v>365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366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228</v>
      </c>
      <c r="B50" s="5" t="s">
        <v>105</v>
      </c>
      <c r="C50" s="5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366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213</v>
      </c>
      <c r="B52" s="5" t="s">
        <v>100</v>
      </c>
      <c r="C52" s="5" t="s">
        <v>365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366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362</v>
      </c>
      <c r="B55" s="97"/>
      <c r="C55" s="97"/>
    </row>
    <row r="56" spans="1:8" ht="13" x14ac:dyDescent="0.3">
      <c r="A56" s="4" t="s">
        <v>189</v>
      </c>
      <c r="B56" s="4" t="s">
        <v>364</v>
      </c>
      <c r="C56" s="82" t="s">
        <v>11</v>
      </c>
      <c r="D56" s="4" t="s">
        <v>127</v>
      </c>
      <c r="E56" s="4" t="s">
        <v>114</v>
      </c>
      <c r="F56" s="4" t="s">
        <v>115</v>
      </c>
      <c r="G56" s="4" t="s">
        <v>116</v>
      </c>
      <c r="H56" s="4" t="s">
        <v>117</v>
      </c>
    </row>
    <row r="57" spans="1:8" x14ac:dyDescent="0.25">
      <c r="A57" s="5" t="s">
        <v>222</v>
      </c>
      <c r="B57" s="5" t="s">
        <v>105</v>
      </c>
      <c r="C57" s="5" t="s">
        <v>365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366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367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221</v>
      </c>
      <c r="B60" s="5" t="s">
        <v>237</v>
      </c>
      <c r="C60" s="5" t="s">
        <v>365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367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238</v>
      </c>
      <c r="C62" s="5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214</v>
      </c>
      <c r="B64" s="5" t="s">
        <v>237</v>
      </c>
      <c r="C64" s="5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238</v>
      </c>
      <c r="C66" s="5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234</v>
      </c>
      <c r="B68" s="5" t="s">
        <v>237</v>
      </c>
      <c r="C68" s="5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367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238</v>
      </c>
      <c r="C70" s="5" t="s">
        <v>365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367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199</v>
      </c>
      <c r="B72" s="5" t="s">
        <v>237</v>
      </c>
      <c r="C72" s="5" t="s">
        <v>365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238</v>
      </c>
      <c r="C74" s="5" t="s">
        <v>365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367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204</v>
      </c>
      <c r="B76" s="5" t="s">
        <v>102</v>
      </c>
      <c r="C76" s="5" t="s">
        <v>365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366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202</v>
      </c>
      <c r="B78" s="5" t="s">
        <v>102</v>
      </c>
      <c r="C78" s="5" t="s">
        <v>365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366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203</v>
      </c>
      <c r="B80" s="5" t="s">
        <v>102</v>
      </c>
      <c r="C80" s="5" t="s">
        <v>365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366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226</v>
      </c>
      <c r="B82" s="5" t="s">
        <v>105</v>
      </c>
      <c r="C82" s="5" t="s">
        <v>365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366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367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227</v>
      </c>
      <c r="B85" s="5" t="s">
        <v>105</v>
      </c>
      <c r="C85" s="5" t="s">
        <v>365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366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367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225</v>
      </c>
      <c r="B88" s="5" t="s">
        <v>105</v>
      </c>
      <c r="C88" s="5" t="s">
        <v>365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366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367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224</v>
      </c>
      <c r="B91" s="5" t="s">
        <v>105</v>
      </c>
      <c r="C91" s="5" t="s">
        <v>365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366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367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223</v>
      </c>
      <c r="B94" s="5" t="s">
        <v>105</v>
      </c>
      <c r="C94" s="5" t="s">
        <v>365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366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367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229</v>
      </c>
      <c r="B97" s="5" t="s">
        <v>105</v>
      </c>
      <c r="C97" s="5" t="s">
        <v>365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366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367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106</v>
      </c>
      <c r="C100" s="5" t="s">
        <v>365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366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367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220</v>
      </c>
      <c r="B103" s="5" t="s">
        <v>105</v>
      </c>
      <c r="C103" s="5" t="s">
        <v>365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366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228</v>
      </c>
      <c r="B105" s="5" t="s">
        <v>105</v>
      </c>
      <c r="C105" s="5" t="s">
        <v>365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366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213</v>
      </c>
      <c r="B107" s="5" t="s">
        <v>100</v>
      </c>
      <c r="C107" s="5" t="s">
        <v>365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366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363</v>
      </c>
      <c r="B110" s="97"/>
      <c r="C110" s="97"/>
    </row>
    <row r="111" spans="1:8" ht="13" x14ac:dyDescent="0.3">
      <c r="A111" s="4" t="s">
        <v>189</v>
      </c>
      <c r="B111" s="4" t="s">
        <v>364</v>
      </c>
      <c r="C111" s="82" t="s">
        <v>11</v>
      </c>
      <c r="D111" s="4" t="s">
        <v>127</v>
      </c>
      <c r="E111" s="4" t="s">
        <v>114</v>
      </c>
      <c r="F111" s="4" t="s">
        <v>115</v>
      </c>
      <c r="G111" s="4" t="s">
        <v>116</v>
      </c>
      <c r="H111" s="4" t="s">
        <v>117</v>
      </c>
    </row>
    <row r="112" spans="1:8" x14ac:dyDescent="0.25">
      <c r="A112" s="5" t="s">
        <v>222</v>
      </c>
      <c r="B112" s="5" t="s">
        <v>105</v>
      </c>
      <c r="C112" s="5" t="s">
        <v>365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366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367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221</v>
      </c>
      <c r="B115" s="5" t="s">
        <v>237</v>
      </c>
      <c r="C115" s="5" t="s">
        <v>365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367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238</v>
      </c>
      <c r="C117" s="5" t="s">
        <v>365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367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214</v>
      </c>
      <c r="B119" s="5" t="s">
        <v>237</v>
      </c>
      <c r="C119" s="5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238</v>
      </c>
      <c r="C121" s="5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234</v>
      </c>
      <c r="B123" s="5" t="s">
        <v>237</v>
      </c>
      <c r="C123" s="5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367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238</v>
      </c>
      <c r="C125" s="5" t="s">
        <v>365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367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199</v>
      </c>
      <c r="B127" s="5" t="s">
        <v>237</v>
      </c>
      <c r="C127" s="5" t="s">
        <v>365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367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238</v>
      </c>
      <c r="C129" s="5" t="s">
        <v>365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367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204</v>
      </c>
      <c r="B131" s="5" t="s">
        <v>102</v>
      </c>
      <c r="C131" s="5" t="s">
        <v>365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366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202</v>
      </c>
      <c r="B133" s="5" t="s">
        <v>102</v>
      </c>
      <c r="C133" s="5" t="s">
        <v>365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366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203</v>
      </c>
      <c r="B135" s="5" t="s">
        <v>102</v>
      </c>
      <c r="C135" s="5" t="s">
        <v>365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366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226</v>
      </c>
      <c r="B137" s="5" t="s">
        <v>105</v>
      </c>
      <c r="C137" s="5" t="s">
        <v>365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366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367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227</v>
      </c>
      <c r="B140" s="5" t="s">
        <v>105</v>
      </c>
      <c r="C140" s="5" t="s">
        <v>365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366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367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225</v>
      </c>
      <c r="B143" s="5" t="s">
        <v>105</v>
      </c>
      <c r="C143" s="5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366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224</v>
      </c>
      <c r="B146" s="5" t="s">
        <v>105</v>
      </c>
      <c r="C146" s="5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223</v>
      </c>
      <c r="B149" s="5" t="s">
        <v>105</v>
      </c>
      <c r="C149" s="5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229</v>
      </c>
      <c r="B152" s="5" t="s">
        <v>105</v>
      </c>
      <c r="C152" s="5" t="s">
        <v>365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366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367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106</v>
      </c>
      <c r="C155" s="5" t="s">
        <v>365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220</v>
      </c>
      <c r="B158" s="5" t="s">
        <v>105</v>
      </c>
      <c r="C158" s="5" t="s">
        <v>365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366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228</v>
      </c>
      <c r="B160" s="5" t="s">
        <v>105</v>
      </c>
      <c r="C160" s="5" t="s">
        <v>365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366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213</v>
      </c>
      <c r="B162" s="5" t="s">
        <v>100</v>
      </c>
      <c r="C162" s="5" t="s">
        <v>365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366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Fy3dVdM5ugWB0oPUPUZ5Fc/R0XLxZzpTbEaPgBdr1V/EHUERiYuWQIhtbFwwmQUCf/9kUrXzyeq5EmkZe5DhQw==" saltValue="DO5TZzvrLk1imGjl/vs9u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244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244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244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K6oms53lrT7LRTjayU4CMMSuHYxvwuHRy+sA5w8+Z04hHwJLGS9PolZU9QAjCj7diWOzzhPoM4/l4mpo6SnsiA==" saltValue="uVlmEqMgbOSyNXbl/uTOS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2025-07-04T04:53:27Z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