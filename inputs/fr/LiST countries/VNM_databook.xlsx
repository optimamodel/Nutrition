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F907C1E-0285-4992-97E0-75A82D9FA45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2" i="2"/>
  <c r="A25" i="2"/>
  <c r="I3" i="2"/>
  <c r="I7" i="2"/>
  <c r="I11" i="2"/>
  <c r="A36" i="2"/>
  <c r="A26" i="2"/>
  <c r="I39" i="2"/>
  <c r="A31" i="2"/>
  <c r="A40" i="2"/>
  <c r="A34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<sst xmlns="http://schemas.openxmlformats.org/spreadsheetml/2006/main" count="2169" uniqueCount="369">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</sst>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6900235.5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8.1799999999999998E-2</v>
      </c>
    </row>
    <row r="24" spans="1:3" ht="15" customHeight="1" x14ac:dyDescent="0.25">
      <c r="B24" s="15" t="s">
        <v>51</v>
      </c>
      <c r="C24" s="45">
        <v>0.59670000000000001</v>
      </c>
    </row>
    <row r="25" spans="1:3" ht="15" customHeight="1" x14ac:dyDescent="0.25">
      <c r="B25" s="15" t="s">
        <v>52</v>
      </c>
      <c r="C25" s="45">
        <v>0.30309999999999998</v>
      </c>
    </row>
    <row r="26" spans="1:3" ht="15" customHeight="1" x14ac:dyDescent="0.25">
      <c r="B26" s="15" t="s">
        <v>53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14.99222</v>
      </c>
    </row>
    <row r="38" spans="1:5" ht="15" customHeight="1" x14ac:dyDescent="0.25">
      <c r="B38" s="11" t="s">
        <v>63</v>
      </c>
      <c r="C38" s="43">
        <v>21.063030000000001</v>
      </c>
      <c r="D38" s="12"/>
      <c r="E38" s="13"/>
    </row>
    <row r="39" spans="1:5" ht="15" customHeight="1" x14ac:dyDescent="0.25">
      <c r="B39" s="11" t="s">
        <v>64</v>
      </c>
      <c r="C39" s="43">
        <v>24.22973</v>
      </c>
      <c r="D39" s="12"/>
      <c r="E39" s="12"/>
    </row>
    <row r="40" spans="1:5" ht="15" customHeight="1" x14ac:dyDescent="0.25">
      <c r="B40" s="11" t="s">
        <v>65</v>
      </c>
      <c r="C40" s="98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71</v>
      </c>
      <c r="C47" s="45">
        <v>7.4305499999999997E-2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0.58011699999999999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6.311217509E-2</v>
      </c>
    </row>
    <row r="63" spans="1:4" ht="15.75" customHeight="1" x14ac:dyDescent="0.3">
      <c r="A63" s="4"/>
    </row>
  </sheetData>
  <sheetProtection algorithmName="SHA-512" hashValue="qkJZ74Q+h7l5ugQpMXtI9u8d9DxOYw1TOvNJ+doyNEDkckbMQ27fnGWEKjh97rrFKIWfcUsLYXQkdCCHIm5/fg==" saltValue="svm/lEGIlHMpxoHFZM1x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fx/Od3e6fVMWworZc2l6DHEzzt1GXIRU0p+WLeCDeb85VkT7u18/4vtHxQ8ggw5dLZcQXphpZUp4emijVoZPA==" saltValue="ykEbp6c5/t1jUhsQLj8t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0.16119969142408941</v>
      </c>
    </row>
    <row r="5" spans="1:8" ht="15.75" customHeight="1" x14ac:dyDescent="0.25">
      <c r="B5" s="19" t="s">
        <v>98</v>
      </c>
      <c r="C5" s="99">
        <v>6.5832262834305141E-2</v>
      </c>
    </row>
    <row r="6" spans="1:8" ht="15.75" customHeight="1" x14ac:dyDescent="0.25">
      <c r="B6" s="19" t="s">
        <v>99</v>
      </c>
      <c r="C6" s="99">
        <v>0.14184394821056301</v>
      </c>
    </row>
    <row r="7" spans="1:8" ht="15.75" customHeight="1" x14ac:dyDescent="0.25">
      <c r="B7" s="19" t="s">
        <v>100</v>
      </c>
      <c r="C7" s="99">
        <v>0.39461551247407772</v>
      </c>
    </row>
    <row r="8" spans="1:8" ht="15.75" customHeight="1" x14ac:dyDescent="0.25">
      <c r="B8" s="19" t="s">
        <v>101</v>
      </c>
      <c r="C8" s="99">
        <v>7.4852374206232171E-5</v>
      </c>
    </row>
    <row r="9" spans="1:8" ht="15.75" customHeight="1" x14ac:dyDescent="0.25">
      <c r="B9" s="19" t="s">
        <v>102</v>
      </c>
      <c r="C9" s="99">
        <v>0.1777144467984253</v>
      </c>
    </row>
    <row r="10" spans="1:8" ht="15.75" customHeight="1" x14ac:dyDescent="0.25">
      <c r="B10" s="19" t="s">
        <v>103</v>
      </c>
      <c r="C10" s="99">
        <v>5.8719285884333283E-2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106</v>
      </c>
      <c r="C15" s="99">
        <v>0.27581630038978422</v>
      </c>
      <c r="D15" s="99">
        <v>0.27581630038978422</v>
      </c>
      <c r="E15" s="99">
        <v>0.27581630038978422</v>
      </c>
      <c r="F15" s="99">
        <v>0.27581630038978422</v>
      </c>
    </row>
    <row r="16" spans="1:8" ht="15.75" customHeight="1" x14ac:dyDescent="0.25">
      <c r="B16" s="19" t="s">
        <v>107</v>
      </c>
      <c r="C16" s="99">
        <v>5.0478112893712693E-2</v>
      </c>
      <c r="D16" s="99">
        <v>5.0478112893712693E-2</v>
      </c>
      <c r="E16" s="99">
        <v>5.0478112893712693E-2</v>
      </c>
      <c r="F16" s="99">
        <v>5.0478112893712693E-2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3.0939452737560089E-2</v>
      </c>
      <c r="D18" s="99">
        <v>3.0939452737560089E-2</v>
      </c>
      <c r="E18" s="99">
        <v>3.0939452737560089E-2</v>
      </c>
      <c r="F18" s="99">
        <v>3.0939452737560089E-2</v>
      </c>
    </row>
    <row r="19" spans="1:8" ht="15.75" customHeight="1" x14ac:dyDescent="0.25">
      <c r="B19" s="19" t="s">
        <v>110</v>
      </c>
      <c r="C19" s="99">
        <v>1.026055393849703E-2</v>
      </c>
      <c r="D19" s="99">
        <v>1.026055393849703E-2</v>
      </c>
      <c r="E19" s="99">
        <v>1.026055393849703E-2</v>
      </c>
      <c r="F19" s="99">
        <v>1.026055393849703E-2</v>
      </c>
    </row>
    <row r="20" spans="1:8" ht="15.75" customHeight="1" x14ac:dyDescent="0.25">
      <c r="B20" s="19" t="s">
        <v>111</v>
      </c>
      <c r="C20" s="99">
        <v>3.5903363395069353E-2</v>
      </c>
      <c r="D20" s="99">
        <v>3.5903363395069353E-2</v>
      </c>
      <c r="E20" s="99">
        <v>3.5903363395069353E-2</v>
      </c>
      <c r="F20" s="99">
        <v>3.5903363395069353E-2</v>
      </c>
    </row>
    <row r="21" spans="1:8" ht="15.75" customHeight="1" x14ac:dyDescent="0.25">
      <c r="B21" s="19" t="s">
        <v>112</v>
      </c>
      <c r="C21" s="99">
        <v>0.31616327977805031</v>
      </c>
      <c r="D21" s="99">
        <v>0.31616327977805031</v>
      </c>
      <c r="E21" s="99">
        <v>0.31616327977805031</v>
      </c>
      <c r="F21" s="99">
        <v>0.31616327977805031</v>
      </c>
    </row>
    <row r="22" spans="1:8" ht="15.75" customHeight="1" x14ac:dyDescent="0.25">
      <c r="B22" s="19" t="s">
        <v>113</v>
      </c>
      <c r="C22" s="99">
        <v>0.1001602582472108</v>
      </c>
      <c r="D22" s="99">
        <v>0.1001602582472108</v>
      </c>
      <c r="E22" s="99">
        <v>0.1001602582472108</v>
      </c>
      <c r="F22" s="99">
        <v>0.1001602582472108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5.6534050000000002E-2</v>
      </c>
    </row>
    <row r="27" spans="1:8" ht="15.75" customHeight="1" x14ac:dyDescent="0.25">
      <c r="B27" s="19" t="s">
        <v>120</v>
      </c>
      <c r="C27" s="99">
        <v>3.5322311000000002E-2</v>
      </c>
    </row>
    <row r="28" spans="1:8" ht="15.75" customHeight="1" x14ac:dyDescent="0.25">
      <c r="B28" s="19" t="s">
        <v>121</v>
      </c>
      <c r="C28" s="99">
        <v>4.2593103E-2</v>
      </c>
    </row>
    <row r="29" spans="1:8" ht="15.75" customHeight="1" x14ac:dyDescent="0.25">
      <c r="B29" s="19" t="s">
        <v>122</v>
      </c>
      <c r="C29" s="99">
        <v>0.27419058800000001</v>
      </c>
    </row>
    <row r="30" spans="1:8" ht="15.75" customHeight="1" x14ac:dyDescent="0.25">
      <c r="B30" s="19" t="s">
        <v>2</v>
      </c>
      <c r="C30" s="99">
        <v>6.2699299999999999E-2</v>
      </c>
    </row>
    <row r="31" spans="1:8" ht="15.75" customHeight="1" x14ac:dyDescent="0.25">
      <c r="B31" s="19" t="s">
        <v>123</v>
      </c>
      <c r="C31" s="99">
        <v>0.140173941</v>
      </c>
    </row>
    <row r="32" spans="1:8" ht="15.75" customHeight="1" x14ac:dyDescent="0.25">
      <c r="B32" s="19" t="s">
        <v>124</v>
      </c>
      <c r="C32" s="99">
        <v>2.4544165999999999E-2</v>
      </c>
    </row>
    <row r="33" spans="2:3" ht="15.75" customHeight="1" x14ac:dyDescent="0.25">
      <c r="B33" s="19" t="s">
        <v>125</v>
      </c>
      <c r="C33" s="99">
        <v>0.119318915</v>
      </c>
    </row>
    <row r="34" spans="2:3" ht="15.75" customHeight="1" x14ac:dyDescent="0.25">
      <c r="B34" s="19" t="s">
        <v>126</v>
      </c>
      <c r="C34" s="99">
        <v>0.24462362800000001</v>
      </c>
    </row>
    <row r="35" spans="2:3" ht="15.75" customHeight="1" x14ac:dyDescent="0.25">
      <c r="B35" s="27" t="s">
        <v>59</v>
      </c>
      <c r="C35" s="48">
        <f>SUM(C26:C34)</f>
        <v>1.0000000019999999</v>
      </c>
    </row>
  </sheetData>
  <sheetProtection algorithmName="SHA-512" hashValue="CRpzpAeXRulCfs+J3SUV6BxxQ03Qt6UN3uWGyUpE7LnMiUmt4wrt4qoYtozMWxLNMW8txgMg2q3XMw+pl6h6sA==" saltValue="990O0T5mL0WnqGMEgjr4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nRDWwVmh/0Qb27jqbnEjN/sOgCCD5u2PQ0z4CZIwf/kfhbBF/ms2HnQo+yEPK1nJIhDkEAXHcuvoIrxXBJKYw==" saltValue="m3osWWbum7sqSUSI7cpu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nsrvz8giXjFFxbg4xF6nvFbZI6NhCr+wnRsGA13Ku3ayhqkOqdF6BhiSrqFEZejTWYvRq/sIZoGP/mdu0vy4RQ==" saltValue="RtMTymFJ0XfWwWP4KQgB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c7SvhrDS2gwbKejPe37+bmNRawtPgnWP4DHdrpIcKWUqPBaTmnZlfjy7Rpsu2//lJMRO/HgypgB+Kw+ly0tdw==" saltValue="5bfft/QvZBLONDw4AMlx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4163.51429874522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1.6240982895769779E-2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78581.379870000004</v>
      </c>
      <c r="O22" s="107">
        <v>69889.900070000003</v>
      </c>
    </row>
  </sheetData>
  <sheetProtection algorithmName="SHA-512" hashValue="CrFnPZXGPji1Yl/RAdss60KLMVSLGu44U/vl0XFimQcUqxfMctjerZatupM08Q0Va76prSJsJjdO06MdBn7d/Q==" saltValue="F3ljfjnPgKT78hgxckRa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lLJI9886lS+7XK/wdtuvgmHNdzm2XkZEAak+lrs5sSyLxv8RiPFykTdAhC2CojjgMbJ/0dI82Ss52aLjxOggA==" saltValue="IccHb1j0p9/DNFlV3gXO0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ovXE+8pScq3uHwanale07lV95q6wjC6VuNg2WQcsnujZBGnjMJUhy395Uq+dfRDb7GHszk4UW+9Qv78jIhkGA==" saltValue="jbnVzaqBvboTZRC6oJ4x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13.766606960081885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13.766606960081885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1.2802900880707899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13.70780222005237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13.70780222005237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13.70780222005237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13.70780222005237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13.70780222005237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13.70780222005237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0.13023111111111099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0.66700000000000004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5.0635162116449219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4.5660983713272767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0.67930453000000002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13.47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0.78326970000000007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2.72</v>
      </c>
      <c r="E39" s="56" t="s">
        <v>230</v>
      </c>
      <c r="F39" s="96">
        <v>1</v>
      </c>
      <c r="G39" s="96">
        <v>1</v>
      </c>
    </row>
  </sheetData>
  <sheetProtection algorithmName="SHA-512" hashValue="yhlBk9aUlJNNc+ktkNVxcHZBaXv5JBnDIBs/OSW2p9zBc3GQNQX800Bzs2GfbmlsTpcIuVn5FQSDpoSevg6fkA==" saltValue="bFcAS1Fanslts2qZYfvJ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VZ7/lhicK796MVJmo/f3vGGJ2toTgqGbmjdzrS2tXwbNk4ur8mqQN9UDJRSg98TFXZ/BcHqkKoUG+fbU7tOBg==" saltValue="1DoeQWMyl/fNtj2DzCun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wHJgxSJqN3MvrfKtBG2wwYM0k0F8thEOaIq2ddKlXtreUudmq6If64h5VzULHvz27kfqcld/cG2NFCKBQs8Hg==" saltValue="ErbpSj3xsYoVESUWSjTyV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oxlAxxMFKysC7g/NrhGqKytoWgM03W1GYG4SjYS6NFeS1+U5vyNR9V2ec6r06FletWJDwXXminCQTeHco6L3zQ==" saltValue="waxiRRN6k29YLiIedqGO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i1HfVCoXv1dP9Mua73KZbkblBftPqBejs31zwHoaGXYJI4DpsWWBMNJ1A9eNVjXIFnli2yEfyrwYlsM3dXWoA==" saltValue="BhmhjBW8ZTRkZPYyF3ze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11+NLvuXHzLxoe4QtSZPhghmQV/5b2ADnbTiGyhZzMtKNEMA+m4kMG29pmLNYHt60eWdeioceQfPOdD5wetAQ==" saltValue="MoYSnplXTnJa/qYH9/3q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95dXRO41BYt0pW0Q4QzG387yxoQy/ZinzqAsMeztQVLS15HFL7vex0iVk+8vJfllMlqAGDpdUIZwAcaQ03ebg==" saltValue="vPgqet6pZN6eoMpYmOMX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04DiFiXTqldvo4XN+IAu+cUyWbMiFsXM+Dschi0xmfHHVY2aoIJFEO414su3aiWrQazhz60u6sbbdcJV8zBeQ==" saltValue="+O1TUCshI9WMUoWKwa7V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1P1ebO9WzDcAtTKmWDVJT8FvaxieZhUOqkpK+IL+5hzSPyE/3MiT4gPTVKRq/tAqBWGb/aJJaQ6TeAvMXUS2w==" saltValue="0FwPU91uJWcTvPbPaU0u0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AAaY3l3x7n9/IV+XoeIpDinu1uACf4oxZIYCE27oB1lldgwaehr4C09MWQHEh//7yozjOs0LGPvqZpCmebFqQ==" saltValue="hPNdhbgUQVPv71nhuMhp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Z/kKF3yuN58bDx5oSub/ZBC7sFVNwyDpZqXrL29WRs5S/8DLOajuizRi4tSldCJrceYbOwQY0ult8RLmiUy2A==" saltValue="MYgfdUAypCyYzslaKFpou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R7+v0TRzVqSdEcvtc/KP9l1UGHEHDL+7Y8LxtxAeeiZmxMBz3ldv1EA5IeXkwnlLn36mixBVKF4hmbDbRj7Uw==" saltValue="iDOjQ4uZaQZ/tSGfmyaX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KGBiA1HfRnO+IO1D+vpdT34gXdVJe7SOB5TIKB9VFdCoEqc5qEb8DvMmu/iQIiBRb+O3CrBjAlKr/Zylv7nEQ==" saltValue="Pg3fOqHU3A3M1mtfq5sC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/BfEHBoi05apf731PVPlCrNtVnYd3S13ODTDSP0rDUvlusxLeCMKJk8bTH5VYNJ0zQbto2RIm9F7FUotUAtzw==" saltValue="Tj29zhsNDxkA5/8szcsS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XPoUJ9D3/cUCVSAj+Ho/LteOS4EbCp8s9pe7GEL/jeywpWNDJtbLtk691VziMBwLVTR8lF8NZAwhWEIdqo5wQ==" saltValue="tNmNIZciXneiSmViMBNc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1+a2bhpUSi4ZcepoAwhS7K45osokRbhjcD/Mm8Wewr3Qlr2T1LhyBNfG723uGEZmmSel4XzzVSlkFo1cT8UZw==" saltValue="g9FBfSajr8bygnb8AvwN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ASJNDgniBypVDXdskqXZRUYML2R7EATQPFFnpZfoP+p609pQM23WwbLyPz3LfpVDKdqBtMa1qpThAnrsyHHfw==" saltValue="fP3/g0EDnlYd5oqGqvSs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kslVQp/Q6vXMNT8VMsZOnzZNh8oBsHINEmpvqUF5ShkNW0If4vDsRY4V3toRoOzInSmzgtMFzpIy7Tn/zbZGg==" saltValue="daRb/ru2ubO4cS2YWHnK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+4MezWdwQNAenHWXKsQyqauj/sGqhIV6ovSP18qi0QkhxBM7o7tJsBaU8xud1ninok5ipK9GierrImc+DthLQ==" saltValue="apnlzgSSCzmLh1ktaElgc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