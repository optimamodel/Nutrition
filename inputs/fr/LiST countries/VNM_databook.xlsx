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2F2AD714-946D-42BC-B3E1-C680F8B2685B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I40" i="2" s="1"/>
  <c r="H39" i="2"/>
  <c r="G39" i="2"/>
  <c r="H38" i="2"/>
  <c r="G38" i="2"/>
  <c r="A35" i="2"/>
  <c r="A34" i="2"/>
  <c r="A23" i="2"/>
  <c r="A20" i="2"/>
  <c r="H13" i="2"/>
  <c r="G13" i="2"/>
  <c r="I13" i="2" s="1"/>
  <c r="H12" i="2"/>
  <c r="G12" i="2"/>
  <c r="I12" i="2" s="1"/>
  <c r="H11" i="2"/>
  <c r="G11" i="2"/>
  <c r="H10" i="2"/>
  <c r="G10" i="2"/>
  <c r="I10" i="2" s="1"/>
  <c r="H9" i="2"/>
  <c r="G9" i="2"/>
  <c r="I9" i="2" s="1"/>
  <c r="H8" i="2"/>
  <c r="G8" i="2"/>
  <c r="I8" i="2" s="1"/>
  <c r="H7" i="2"/>
  <c r="G7" i="2"/>
  <c r="H6" i="2"/>
  <c r="G6" i="2"/>
  <c r="I6" i="2" s="1"/>
  <c r="H5" i="2"/>
  <c r="G5" i="2"/>
  <c r="I5" i="2" s="1"/>
  <c r="H4" i="2"/>
  <c r="G4" i="2"/>
  <c r="I4" i="2" s="1"/>
  <c r="H3" i="2"/>
  <c r="G3" i="2"/>
  <c r="H2" i="2"/>
  <c r="G2" i="2"/>
  <c r="A2" i="2"/>
  <c r="A40" i="2" s="1"/>
  <c r="C33" i="1"/>
  <c r="C20" i="1"/>
  <c r="A24" i="2" l="1"/>
  <c r="A26" i="2"/>
  <c r="I38" i="2"/>
  <c r="I2" i="2"/>
  <c r="A16" i="2"/>
  <c r="I3" i="2"/>
  <c r="I7" i="2"/>
  <c r="I11" i="2"/>
  <c r="A18" i="2"/>
  <c r="A31" i="2"/>
  <c r="I39" i="2"/>
  <c r="A36" i="2"/>
  <c r="A15" i="2"/>
  <c r="A27" i="2"/>
  <c r="A3" i="2"/>
  <c r="A28" i="2"/>
  <c r="A39" i="2"/>
  <c r="A19" i="2"/>
  <c r="A32" i="2"/>
  <c r="A17" i="2"/>
  <c r="A25" i="2"/>
  <c r="A33" i="2"/>
  <c r="A21" i="2"/>
  <c r="A29" i="2"/>
  <c r="A37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<sst xmlns="http://schemas.openxmlformats.org/spreadsheetml/2006/main" count="2101" uniqueCount="337">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</sst>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2269547.265625</v>
      </c>
    </row>
    <row r="8" spans="1:3" ht="15" customHeight="1" x14ac:dyDescent="0.25">
      <c r="B8" s="5" t="s">
        <v>19</v>
      </c>
      <c r="C8" s="44">
        <v>0.10199999999999999</v>
      </c>
    </row>
    <row r="9" spans="1:3" ht="15" customHeight="1" x14ac:dyDescent="0.25">
      <c r="B9" s="5" t="s">
        <v>20</v>
      </c>
      <c r="C9" s="45">
        <v>0.01</v>
      </c>
    </row>
    <row r="10" spans="1:3" ht="15" customHeight="1" x14ac:dyDescent="0.25">
      <c r="B10" s="5" t="s">
        <v>21</v>
      </c>
      <c r="C10" s="45">
        <v>0.81408699039999999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0.30299999999999999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8.1799999999999998E-2</v>
      </c>
    </row>
    <row r="24" spans="1:3" ht="15" customHeight="1" x14ac:dyDescent="0.25">
      <c r="B24" s="15" t="s">
        <v>33</v>
      </c>
      <c r="C24" s="45">
        <v>0.59670000000000001</v>
      </c>
    </row>
    <row r="25" spans="1:3" ht="15" customHeight="1" x14ac:dyDescent="0.25">
      <c r="B25" s="15" t="s">
        <v>34</v>
      </c>
      <c r="C25" s="45">
        <v>0.30309999999999998</v>
      </c>
    </row>
    <row r="26" spans="1:3" ht="15" customHeight="1" x14ac:dyDescent="0.25">
      <c r="B26" s="15" t="s">
        <v>35</v>
      </c>
      <c r="C26" s="45">
        <v>1.84E-2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0.34994163924792399</v>
      </c>
    </row>
    <row r="30" spans="1:3" ht="14.25" customHeight="1" x14ac:dyDescent="0.25">
      <c r="B30" s="25" t="s">
        <v>38</v>
      </c>
      <c r="C30" s="99">
        <v>0.10516916316476101</v>
      </c>
    </row>
    <row r="31" spans="1:3" ht="14.25" customHeight="1" x14ac:dyDescent="0.25">
      <c r="B31" s="25" t="s">
        <v>39</v>
      </c>
      <c r="C31" s="99">
        <v>8.4505866375242988E-2</v>
      </c>
    </row>
    <row r="32" spans="1:3" ht="14.25" customHeight="1" x14ac:dyDescent="0.25">
      <c r="B32" s="25" t="s">
        <v>40</v>
      </c>
      <c r="C32" s="99">
        <v>0.46038333121207198</v>
      </c>
    </row>
    <row r="33" spans="1:5" ht="13" customHeight="1" x14ac:dyDescent="0.25">
      <c r="B33" s="27" t="s">
        <v>41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14.99222</v>
      </c>
    </row>
    <row r="38" spans="1:5" ht="15" customHeight="1" x14ac:dyDescent="0.25">
      <c r="B38" s="11" t="s">
        <v>45</v>
      </c>
      <c r="C38" s="43">
        <v>21.063030000000001</v>
      </c>
      <c r="D38" s="12"/>
      <c r="E38" s="13"/>
    </row>
    <row r="39" spans="1:5" ht="15" customHeight="1" x14ac:dyDescent="0.25">
      <c r="B39" s="11" t="s">
        <v>46</v>
      </c>
      <c r="C39" s="43">
        <v>24.22973</v>
      </c>
      <c r="D39" s="12"/>
      <c r="E39" s="12"/>
    </row>
    <row r="40" spans="1:5" ht="15" customHeight="1" x14ac:dyDescent="0.25">
      <c r="B40" s="11" t="s">
        <v>47</v>
      </c>
      <c r="C40" s="100">
        <v>2.59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10.689030000000001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7.0407000000000004E-3</v>
      </c>
      <c r="D45" s="12"/>
    </row>
    <row r="46" spans="1:5" ht="15.75" customHeight="1" x14ac:dyDescent="0.25">
      <c r="B46" s="11" t="s">
        <v>52</v>
      </c>
      <c r="C46" s="45">
        <v>7.5650899999999993E-2</v>
      </c>
      <c r="D46" s="12"/>
    </row>
    <row r="47" spans="1:5" ht="15.75" customHeight="1" x14ac:dyDescent="0.25">
      <c r="B47" s="11" t="s">
        <v>53</v>
      </c>
      <c r="C47" s="45">
        <v>7.4305499999999997E-2</v>
      </c>
      <c r="D47" s="12"/>
      <c r="E47" s="13"/>
    </row>
    <row r="48" spans="1:5" ht="15" customHeight="1" x14ac:dyDescent="0.25">
      <c r="B48" s="11" t="s">
        <v>54</v>
      </c>
      <c r="C48" s="46">
        <v>0.8430029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3.2</v>
      </c>
      <c r="D51" s="12"/>
    </row>
    <row r="52" spans="1:4" ht="15" customHeight="1" x14ac:dyDescent="0.25">
      <c r="B52" s="11" t="s">
        <v>57</v>
      </c>
      <c r="C52" s="100">
        <v>3.2</v>
      </c>
    </row>
    <row r="53" spans="1:4" ht="15.75" customHeight="1" x14ac:dyDescent="0.25">
      <c r="B53" s="11" t="s">
        <v>58</v>
      </c>
      <c r="C53" s="100">
        <v>3.2</v>
      </c>
    </row>
    <row r="54" spans="1:4" ht="15.75" customHeight="1" x14ac:dyDescent="0.25">
      <c r="B54" s="11" t="s">
        <v>59</v>
      </c>
      <c r="C54" s="100">
        <v>3.2</v>
      </c>
    </row>
    <row r="55" spans="1:4" ht="15.75" customHeight="1" x14ac:dyDescent="0.25">
      <c r="B55" s="11" t="s">
        <v>60</v>
      </c>
      <c r="C55" s="100">
        <v>3.2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1.9375E-2</v>
      </c>
    </row>
    <row r="59" spans="1:4" ht="15.75" customHeight="1" x14ac:dyDescent="0.25">
      <c r="B59" s="11" t="s">
        <v>63</v>
      </c>
      <c r="C59" s="45">
        <v>0.58011699999999999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8.2114124000000011E-2</v>
      </c>
    </row>
    <row r="63" spans="1:4" ht="15.75" customHeight="1" x14ac:dyDescent="0.3">
      <c r="A63" s="4"/>
    </row>
  </sheetData>
  <sheetProtection algorithmName="SHA-512" hashValue="YjIfwWNR2aRfNzt0vjZt/5D4RbnGwpEQJuBJ+Di7GmFD3sFQJiWUkmT4G4wDCq1HFuJQzvo4hEaa0Jb4fR775g==" saltValue="SA5OfYc+W/90jzAt8tBZB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1397214</v>
      </c>
      <c r="C2" s="49">
        <v>4000748</v>
      </c>
      <c r="D2" s="49">
        <v>6866531</v>
      </c>
      <c r="E2" s="49">
        <v>8145158</v>
      </c>
      <c r="F2" s="49">
        <v>6523696.5</v>
      </c>
      <c r="G2" s="17">
        <f t="shared" ref="G2:G13" si="0">C2+D2+E2+F2</f>
        <v>25536133.5</v>
      </c>
      <c r="H2" s="17">
        <f t="shared" ref="H2:H13" si="1">(B2 + stillbirth*B2/(1000-stillbirth))/(1-abortion)</f>
        <v>1604897.9845216735</v>
      </c>
      <c r="I2" s="17">
        <f t="shared" ref="I2:I13" si="2">G2-H2</f>
        <v>23931235.515478328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1376256</v>
      </c>
      <c r="C3" s="50">
        <v>3991891</v>
      </c>
      <c r="D3" s="50">
        <v>6763900</v>
      </c>
      <c r="E3" s="50">
        <v>8104387.5</v>
      </c>
      <c r="F3" s="50">
        <v>6616281</v>
      </c>
      <c r="G3" s="17">
        <f t="shared" si="0"/>
        <v>25476459.5</v>
      </c>
      <c r="H3" s="17">
        <f t="shared" si="1"/>
        <v>1580824.7559685633</v>
      </c>
      <c r="I3" s="17">
        <f t="shared" si="2"/>
        <v>23895634.744031437</v>
      </c>
    </row>
    <row r="4" spans="1:9" ht="15.75" customHeight="1" x14ac:dyDescent="0.25">
      <c r="A4" s="5">
        <f t="shared" si="3"/>
        <v>2026</v>
      </c>
      <c r="B4" s="49">
        <v>1360059</v>
      </c>
      <c r="C4" s="50">
        <v>4008039.5</v>
      </c>
      <c r="D4" s="50">
        <v>6686370</v>
      </c>
      <c r="E4" s="50">
        <v>8020638</v>
      </c>
      <c r="F4" s="50">
        <v>6703287.5</v>
      </c>
      <c r="G4" s="17">
        <f t="shared" si="0"/>
        <v>25418335</v>
      </c>
      <c r="H4" s="17">
        <f t="shared" si="1"/>
        <v>1562220.2095960695</v>
      </c>
      <c r="I4" s="17">
        <f t="shared" si="2"/>
        <v>23856114.790403932</v>
      </c>
    </row>
    <row r="5" spans="1:9" ht="15.75" customHeight="1" x14ac:dyDescent="0.25">
      <c r="A5" s="5">
        <f t="shared" si="3"/>
        <v>2027</v>
      </c>
      <c r="B5" s="49">
        <v>1346027</v>
      </c>
      <c r="C5" s="50">
        <v>4041570.5</v>
      </c>
      <c r="D5" s="50">
        <v>6634351.5</v>
      </c>
      <c r="E5" s="50">
        <v>7904814.5</v>
      </c>
      <c r="F5" s="50">
        <v>6785002</v>
      </c>
      <c r="G5" s="17">
        <f t="shared" si="0"/>
        <v>25365738.5</v>
      </c>
      <c r="H5" s="17">
        <f t="shared" si="1"/>
        <v>1546102.4720706739</v>
      </c>
      <c r="I5" s="17">
        <f t="shared" si="2"/>
        <v>23819636.027929325</v>
      </c>
    </row>
    <row r="6" spans="1:9" ht="15.75" customHeight="1" x14ac:dyDescent="0.25">
      <c r="A6" s="5">
        <f t="shared" si="3"/>
        <v>2028</v>
      </c>
      <c r="B6" s="49">
        <v>1328133</v>
      </c>
      <c r="C6" s="50">
        <v>4074767</v>
      </c>
      <c r="D6" s="50">
        <v>6609843.5</v>
      </c>
      <c r="E6" s="50">
        <v>7766252</v>
      </c>
      <c r="F6" s="50">
        <v>6856939</v>
      </c>
      <c r="G6" s="17">
        <f t="shared" si="0"/>
        <v>25307801.5</v>
      </c>
      <c r="H6" s="17">
        <f t="shared" si="1"/>
        <v>1525548.6810729951</v>
      </c>
      <c r="I6" s="17">
        <f t="shared" si="2"/>
        <v>23782252.818927005</v>
      </c>
    </row>
    <row r="7" spans="1:9" ht="15.75" customHeight="1" x14ac:dyDescent="0.25">
      <c r="A7" s="5">
        <f t="shared" si="3"/>
        <v>2029</v>
      </c>
      <c r="B7" s="49">
        <v>1315726</v>
      </c>
      <c r="C7" s="50">
        <v>4105170</v>
      </c>
      <c r="D7" s="50">
        <v>6601373.5</v>
      </c>
      <c r="E7" s="50">
        <v>7609297</v>
      </c>
      <c r="F7" s="50">
        <v>6918044.5</v>
      </c>
      <c r="G7" s="17">
        <f t="shared" si="0"/>
        <v>25233885</v>
      </c>
      <c r="H7" s="17">
        <f t="shared" si="1"/>
        <v>1511297.4859847978</v>
      </c>
      <c r="I7" s="17">
        <f t="shared" si="2"/>
        <v>23722587.514015201</v>
      </c>
    </row>
    <row r="8" spans="1:9" ht="15.75" customHeight="1" x14ac:dyDescent="0.25">
      <c r="A8" s="5">
        <f t="shared" si="3"/>
        <v>2030</v>
      </c>
      <c r="B8" s="49">
        <v>1303184</v>
      </c>
      <c r="C8" s="50">
        <v>4131605</v>
      </c>
      <c r="D8" s="50">
        <v>6593764</v>
      </c>
      <c r="E8" s="50">
        <v>7443792.5</v>
      </c>
      <c r="F8" s="50">
        <v>6975102.5</v>
      </c>
      <c r="G8" s="17">
        <f t="shared" si="0"/>
        <v>25144264</v>
      </c>
      <c r="H8" s="17">
        <f t="shared" si="1"/>
        <v>1496891.2242941256</v>
      </c>
      <c r="I8" s="17">
        <f t="shared" si="2"/>
        <v>23647372.775705874</v>
      </c>
    </row>
    <row r="9" spans="1:9" ht="15.75" customHeight="1" x14ac:dyDescent="0.25">
      <c r="A9" s="5">
        <f t="shared" si="3"/>
        <v>2031</v>
      </c>
      <c r="B9" s="49">
        <v>1286768</v>
      </c>
      <c r="C9" s="50">
        <v>4146815</v>
      </c>
      <c r="D9" s="50">
        <v>6586047.5</v>
      </c>
      <c r="E9" s="50">
        <v>7274823.5</v>
      </c>
      <c r="F9" s="50">
        <v>7027475.5</v>
      </c>
      <c r="G9" s="17">
        <f t="shared" si="0"/>
        <v>25035161.5</v>
      </c>
      <c r="H9" s="17">
        <f t="shared" si="1"/>
        <v>1478035.1254331726</v>
      </c>
      <c r="I9" s="17">
        <f t="shared" si="2"/>
        <v>23557126.374566827</v>
      </c>
    </row>
    <row r="10" spans="1:9" ht="15.75" customHeight="1" x14ac:dyDescent="0.25">
      <c r="A10" s="5">
        <f t="shared" si="3"/>
        <v>2032</v>
      </c>
      <c r="B10" s="49">
        <v>1279652</v>
      </c>
      <c r="C10" s="50">
        <v>4147053.5</v>
      </c>
      <c r="D10" s="50">
        <v>6581579</v>
      </c>
      <c r="E10" s="50">
        <v>7111740</v>
      </c>
      <c r="F10" s="50">
        <v>7073473.5</v>
      </c>
      <c r="G10" s="17">
        <f t="shared" si="0"/>
        <v>24913846</v>
      </c>
      <c r="H10" s="17">
        <f t="shared" si="1"/>
        <v>1469861.3925204931</v>
      </c>
      <c r="I10" s="17">
        <f t="shared" si="2"/>
        <v>23443984.607479505</v>
      </c>
    </row>
    <row r="11" spans="1:9" ht="15.75" customHeight="1" x14ac:dyDescent="0.25">
      <c r="A11" s="5">
        <f t="shared" si="3"/>
        <v>2033</v>
      </c>
      <c r="B11" s="49">
        <v>1269233</v>
      </c>
      <c r="C11" s="50">
        <v>4133069</v>
      </c>
      <c r="D11" s="50">
        <v>6586708.5</v>
      </c>
      <c r="E11" s="50">
        <v>6960547.5</v>
      </c>
      <c r="F11" s="50">
        <v>7110801</v>
      </c>
      <c r="G11" s="17">
        <f t="shared" si="0"/>
        <v>24791126</v>
      </c>
      <c r="H11" s="17">
        <f t="shared" si="1"/>
        <v>1457893.6967339271</v>
      </c>
      <c r="I11" s="17">
        <f t="shared" si="2"/>
        <v>23333232.303266075</v>
      </c>
    </row>
    <row r="12" spans="1:9" ht="15.75" customHeight="1" x14ac:dyDescent="0.25">
      <c r="A12" s="5">
        <f t="shared" si="3"/>
        <v>2034</v>
      </c>
      <c r="B12" s="49">
        <v>1261911</v>
      </c>
      <c r="C12" s="50">
        <v>4110156.0000000009</v>
      </c>
      <c r="D12" s="50">
        <v>6599556.5</v>
      </c>
      <c r="E12" s="50">
        <v>6829277.5</v>
      </c>
      <c r="F12" s="50">
        <v>7132205</v>
      </c>
      <c r="G12" s="17">
        <f t="shared" si="0"/>
        <v>24671195</v>
      </c>
      <c r="H12" s="17">
        <f t="shared" si="1"/>
        <v>1449483.3436722863</v>
      </c>
      <c r="I12" s="17">
        <f t="shared" si="2"/>
        <v>23221711.656327713</v>
      </c>
    </row>
    <row r="13" spans="1:9" ht="15.75" customHeight="1" x14ac:dyDescent="0.25">
      <c r="A13" s="5">
        <f t="shared" si="3"/>
        <v>2035</v>
      </c>
      <c r="B13" s="49">
        <v>1253124</v>
      </c>
      <c r="C13" s="50">
        <v>4079551.5</v>
      </c>
      <c r="D13" s="50">
        <v>6617765.5</v>
      </c>
      <c r="E13" s="50">
        <v>6728145.5</v>
      </c>
      <c r="F13" s="50">
        <v>7128161.5</v>
      </c>
      <c r="G13" s="17">
        <f t="shared" si="0"/>
        <v>24553624</v>
      </c>
      <c r="H13" s="17">
        <f t="shared" si="1"/>
        <v>1439390.2308134169</v>
      </c>
      <c r="I13" s="17">
        <f t="shared" si="2"/>
        <v>23114233.769186582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OyJuf3ZBo9JLSIEfoX2dnCb6bYQTNiaTFqau+LVRBJb95XkOgTLVqml1PM6vXVgoA2Ly7PG+ZiIb2cYcu5iVVQ==" saltValue="NSYLyljtHfd2EsVkEQDOx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0</v>
      </c>
    </row>
    <row r="4" spans="1:8" ht="15.75" customHeight="1" x14ac:dyDescent="0.25">
      <c r="B4" s="19" t="s">
        <v>79</v>
      </c>
      <c r="C4" s="101">
        <v>0.16119969142408941</v>
      </c>
    </row>
    <row r="5" spans="1:8" ht="15.75" customHeight="1" x14ac:dyDescent="0.25">
      <c r="B5" s="19" t="s">
        <v>80</v>
      </c>
      <c r="C5" s="101">
        <v>6.5832262834305141E-2</v>
      </c>
    </row>
    <row r="6" spans="1:8" ht="15.75" customHeight="1" x14ac:dyDescent="0.25">
      <c r="B6" s="19" t="s">
        <v>81</v>
      </c>
      <c r="C6" s="101">
        <v>0.14184394821056301</v>
      </c>
    </row>
    <row r="7" spans="1:8" ht="15.75" customHeight="1" x14ac:dyDescent="0.25">
      <c r="B7" s="19" t="s">
        <v>82</v>
      </c>
      <c r="C7" s="101">
        <v>0.39461551247407772</v>
      </c>
    </row>
    <row r="8" spans="1:8" ht="15.75" customHeight="1" x14ac:dyDescent="0.25">
      <c r="B8" s="19" t="s">
        <v>83</v>
      </c>
      <c r="C8" s="101">
        <v>7.4852374206232171E-5</v>
      </c>
    </row>
    <row r="9" spans="1:8" ht="15.75" customHeight="1" x14ac:dyDescent="0.25">
      <c r="B9" s="19" t="s">
        <v>84</v>
      </c>
      <c r="C9" s="101">
        <v>0.1777144467984253</v>
      </c>
    </row>
    <row r="10" spans="1:8" ht="15.75" customHeight="1" x14ac:dyDescent="0.25">
      <c r="B10" s="19" t="s">
        <v>85</v>
      </c>
      <c r="C10" s="101">
        <v>5.8719285884333283E-2</v>
      </c>
    </row>
    <row r="11" spans="1:8" ht="15.75" customHeight="1" x14ac:dyDescent="0.25">
      <c r="B11" s="27" t="s">
        <v>41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0.1802786786201154</v>
      </c>
      <c r="D14" s="55">
        <v>0.1802786786201154</v>
      </c>
      <c r="E14" s="55">
        <v>0.1802786786201154</v>
      </c>
      <c r="F14" s="55">
        <v>0.1802786786201154</v>
      </c>
    </row>
    <row r="15" spans="1:8" ht="15.75" customHeight="1" x14ac:dyDescent="0.25">
      <c r="B15" s="19" t="s">
        <v>88</v>
      </c>
      <c r="C15" s="101">
        <v>0.27581630038978422</v>
      </c>
      <c r="D15" s="101">
        <v>0.27581630038978422</v>
      </c>
      <c r="E15" s="101">
        <v>0.27581630038978422</v>
      </c>
      <c r="F15" s="101">
        <v>0.27581630038978422</v>
      </c>
    </row>
    <row r="16" spans="1:8" ht="15.75" customHeight="1" x14ac:dyDescent="0.25">
      <c r="B16" s="19" t="s">
        <v>89</v>
      </c>
      <c r="C16" s="101">
        <v>5.0478112893712693E-2</v>
      </c>
      <c r="D16" s="101">
        <v>5.0478112893712693E-2</v>
      </c>
      <c r="E16" s="101">
        <v>5.0478112893712693E-2</v>
      </c>
      <c r="F16" s="101">
        <v>5.0478112893712693E-2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91</v>
      </c>
      <c r="C18" s="101">
        <v>3.0939452737560089E-2</v>
      </c>
      <c r="D18" s="101">
        <v>3.0939452737560089E-2</v>
      </c>
      <c r="E18" s="101">
        <v>3.0939452737560089E-2</v>
      </c>
      <c r="F18" s="101">
        <v>3.0939452737560089E-2</v>
      </c>
    </row>
    <row r="19" spans="1:8" ht="15.75" customHeight="1" x14ac:dyDescent="0.25">
      <c r="B19" s="19" t="s">
        <v>92</v>
      </c>
      <c r="C19" s="101">
        <v>1.026055393849703E-2</v>
      </c>
      <c r="D19" s="101">
        <v>1.026055393849703E-2</v>
      </c>
      <c r="E19" s="101">
        <v>1.026055393849703E-2</v>
      </c>
      <c r="F19" s="101">
        <v>1.026055393849703E-2</v>
      </c>
    </row>
    <row r="20" spans="1:8" ht="15.75" customHeight="1" x14ac:dyDescent="0.25">
      <c r="B20" s="19" t="s">
        <v>93</v>
      </c>
      <c r="C20" s="101">
        <v>3.5903363395069353E-2</v>
      </c>
      <c r="D20" s="101">
        <v>3.5903363395069353E-2</v>
      </c>
      <c r="E20" s="101">
        <v>3.5903363395069353E-2</v>
      </c>
      <c r="F20" s="101">
        <v>3.5903363395069353E-2</v>
      </c>
    </row>
    <row r="21" spans="1:8" ht="15.75" customHeight="1" x14ac:dyDescent="0.25">
      <c r="B21" s="19" t="s">
        <v>94</v>
      </c>
      <c r="C21" s="101">
        <v>0.31616327977805031</v>
      </c>
      <c r="D21" s="101">
        <v>0.31616327977805031</v>
      </c>
      <c r="E21" s="101">
        <v>0.31616327977805031</v>
      </c>
      <c r="F21" s="101">
        <v>0.31616327977805031</v>
      </c>
    </row>
    <row r="22" spans="1:8" ht="15.75" customHeight="1" x14ac:dyDescent="0.25">
      <c r="B22" s="19" t="s">
        <v>95</v>
      </c>
      <c r="C22" s="101">
        <v>0.1001602582472108</v>
      </c>
      <c r="D22" s="101">
        <v>0.1001602582472108</v>
      </c>
      <c r="E22" s="101">
        <v>0.1001602582472108</v>
      </c>
      <c r="F22" s="101">
        <v>0.1001602582472108</v>
      </c>
    </row>
    <row r="23" spans="1:8" ht="15.75" customHeight="1" x14ac:dyDescent="0.25">
      <c r="B23" s="27" t="s">
        <v>41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5.6534050000000002E-2</v>
      </c>
    </row>
    <row r="27" spans="1:8" ht="15.75" customHeight="1" x14ac:dyDescent="0.25">
      <c r="B27" s="19" t="s">
        <v>102</v>
      </c>
      <c r="C27" s="101">
        <v>3.5322311000000002E-2</v>
      </c>
    </row>
    <row r="28" spans="1:8" ht="15.75" customHeight="1" x14ac:dyDescent="0.25">
      <c r="B28" s="19" t="s">
        <v>103</v>
      </c>
      <c r="C28" s="101">
        <v>4.2593103E-2</v>
      </c>
    </row>
    <row r="29" spans="1:8" ht="15.75" customHeight="1" x14ac:dyDescent="0.25">
      <c r="B29" s="19" t="s">
        <v>104</v>
      </c>
      <c r="C29" s="101">
        <v>0.27419058800000001</v>
      </c>
    </row>
    <row r="30" spans="1:8" ht="15.75" customHeight="1" x14ac:dyDescent="0.25">
      <c r="B30" s="19" t="s">
        <v>2</v>
      </c>
      <c r="C30" s="101">
        <v>6.2699299999999999E-2</v>
      </c>
    </row>
    <row r="31" spans="1:8" ht="15.75" customHeight="1" x14ac:dyDescent="0.25">
      <c r="B31" s="19" t="s">
        <v>105</v>
      </c>
      <c r="C31" s="101">
        <v>0.140173941</v>
      </c>
    </row>
    <row r="32" spans="1:8" ht="15.75" customHeight="1" x14ac:dyDescent="0.25">
      <c r="B32" s="19" t="s">
        <v>106</v>
      </c>
      <c r="C32" s="101">
        <v>2.4544165999999999E-2</v>
      </c>
    </row>
    <row r="33" spans="2:3" ht="15.75" customHeight="1" x14ac:dyDescent="0.25">
      <c r="B33" s="19" t="s">
        <v>107</v>
      </c>
      <c r="C33" s="101">
        <v>0.119318915</v>
      </c>
    </row>
    <row r="34" spans="2:3" ht="15.75" customHeight="1" x14ac:dyDescent="0.25">
      <c r="B34" s="19" t="s">
        <v>108</v>
      </c>
      <c r="C34" s="101">
        <v>0.24462362800000001</v>
      </c>
    </row>
    <row r="35" spans="2:3" ht="15.75" customHeight="1" x14ac:dyDescent="0.25">
      <c r="B35" s="27" t="s">
        <v>41</v>
      </c>
      <c r="C35" s="48">
        <f>SUM(C26:C34)</f>
        <v>1.0000000019999999</v>
      </c>
    </row>
  </sheetData>
  <sheetProtection algorithmName="SHA-512" hashValue="QWz0IBbWP+aYbvX9m/JEal2K3zxS3DDV0osH3VUxqMdKvFh8Wfw9TMpKRYhSnN2q0LT8uzhR79Q5RIFDAe4J3A==" saltValue="KscomZR6BjO4+UCqV4xB6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0.56571320635899591</v>
      </c>
      <c r="D2" s="52">
        <f>IFERROR(1-_xlfn.NORM.DIST(_xlfn.NORM.INV(SUM(D4:D5), 0, 1) + 1, 0, 1, TRUE), "")</f>
        <v>0.56571320635899591</v>
      </c>
      <c r="E2" s="52">
        <f>IFERROR(1-_xlfn.NORM.DIST(_xlfn.NORM.INV(SUM(E4:E5), 0, 1) + 1, 0, 1, TRUE), "")</f>
        <v>0.5489003245052726</v>
      </c>
      <c r="F2" s="52">
        <f>IFERROR(1-_xlfn.NORM.DIST(_xlfn.NORM.INV(SUM(F4:F5), 0, 1) + 1, 0, 1, TRUE), "")</f>
        <v>0.40571757652982099</v>
      </c>
      <c r="G2" s="52">
        <f>IFERROR(1-_xlfn.NORM.DIST(_xlfn.NORM.INV(SUM(G4:G5), 0, 1) + 1, 0, 1, TRUE), "")</f>
        <v>0.42098878903416415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0.31237251692867529</v>
      </c>
      <c r="D3" s="52">
        <f>IFERROR(_xlfn.NORM.DIST(_xlfn.NORM.INV(SUM(D4:D5), 0, 1) + 1, 0, 1, TRUE) - SUM(D4:D5), "")</f>
        <v>0.31237251692867529</v>
      </c>
      <c r="E3" s="52">
        <f>IFERROR(_xlfn.NORM.DIST(_xlfn.NORM.INV(SUM(E4:E5), 0, 1) + 1, 0, 1, TRUE) - SUM(E4:E5), "")</f>
        <v>0.32035618765688967</v>
      </c>
      <c r="F3" s="52">
        <f>IFERROR(_xlfn.NORM.DIST(_xlfn.NORM.INV(SUM(F4:F5), 0, 1) + 1, 0, 1, TRUE) - SUM(F4:F5), "")</f>
        <v>0.37108079374044944</v>
      </c>
      <c r="G3" s="52">
        <f>IFERROR(_xlfn.NORM.DIST(_xlfn.NORM.INV(SUM(G4:G5), 0, 1) + 1, 0, 1, TRUE) - SUM(G4:G5), "")</f>
        <v>0.36733984610097042</v>
      </c>
    </row>
    <row r="4" spans="1:15" ht="15.75" customHeight="1" x14ac:dyDescent="0.25">
      <c r="B4" s="5" t="s">
        <v>114</v>
      </c>
      <c r="C4" s="45">
        <v>7.883543561643841E-2</v>
      </c>
      <c r="D4" s="53">
        <v>7.883543561643841E-2</v>
      </c>
      <c r="E4" s="53">
        <v>9.5080344594594593E-2</v>
      </c>
      <c r="F4" s="53">
        <v>0.15155733108108099</v>
      </c>
      <c r="G4" s="53">
        <v>0.14753636351351401</v>
      </c>
    </row>
    <row r="5" spans="1:15" ht="15.75" customHeight="1" x14ac:dyDescent="0.25">
      <c r="B5" s="5" t="s">
        <v>115</v>
      </c>
      <c r="C5" s="45">
        <v>4.3078841095890399E-2</v>
      </c>
      <c r="D5" s="53">
        <v>4.3078841095890399E-2</v>
      </c>
      <c r="E5" s="53">
        <v>3.5663143243243198E-2</v>
      </c>
      <c r="F5" s="53">
        <v>7.1644298648648602E-2</v>
      </c>
      <c r="G5" s="53">
        <v>6.4135001351351403E-2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0.74829542472685828</v>
      </c>
      <c r="D8" s="52">
        <f>IFERROR(1-_xlfn.NORM.DIST(_xlfn.NORM.INV(SUM(D10:D11), 0, 1) + 1, 0, 1, TRUE), "")</f>
        <v>0.74829542472685828</v>
      </c>
      <c r="E8" s="52">
        <f>IFERROR(1-_xlfn.NORM.DIST(_xlfn.NORM.INV(SUM(E10:E11), 0, 1) + 1, 0, 1, TRUE), "")</f>
        <v>0.78445700575695343</v>
      </c>
      <c r="F8" s="52">
        <f>IFERROR(1-_xlfn.NORM.DIST(_xlfn.NORM.INV(SUM(F10:F11), 0, 1) + 1, 0, 1, TRUE), "")</f>
        <v>0.83285025048157679</v>
      </c>
      <c r="G8" s="52">
        <f>IFERROR(1-_xlfn.NORM.DIST(_xlfn.NORM.INV(SUM(G10:G11), 0, 1) + 1, 0, 1, TRUE), "")</f>
        <v>0.86465701739449596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0.20415929445122397</v>
      </c>
      <c r="D9" s="52">
        <f>IFERROR(_xlfn.NORM.DIST(_xlfn.NORM.INV(SUM(D10:D11), 0, 1) + 1, 0, 1, TRUE) - SUM(D10:D11), "")</f>
        <v>0.20415929445122397</v>
      </c>
      <c r="E9" s="52">
        <f>IFERROR(_xlfn.NORM.DIST(_xlfn.NORM.INV(SUM(E10:E11), 0, 1) + 1, 0, 1, TRUE) - SUM(E10:E11), "")</f>
        <v>0.1786012861349385</v>
      </c>
      <c r="F9" s="52">
        <f>IFERROR(_xlfn.NORM.DIST(_xlfn.NORM.INV(SUM(F10:F11), 0, 1) + 1, 0, 1, TRUE) - SUM(F10:F11), "")</f>
        <v>0.14247096699343242</v>
      </c>
      <c r="G9" s="52">
        <f>IFERROR(_xlfn.NORM.DIST(_xlfn.NORM.INV(SUM(G10:G11), 0, 1) + 1, 0, 1, TRUE) - SUM(G10:G11), "")</f>
        <v>0.11754374206496343</v>
      </c>
    </row>
    <row r="10" spans="1:15" ht="15.75" customHeight="1" x14ac:dyDescent="0.25">
      <c r="B10" s="5" t="s">
        <v>119</v>
      </c>
      <c r="C10" s="45">
        <v>2.9596563013698601E-2</v>
      </c>
      <c r="D10" s="53">
        <v>2.9596563013698601E-2</v>
      </c>
      <c r="E10" s="53">
        <v>2.6053795945945899E-2</v>
      </c>
      <c r="F10" s="53">
        <v>1.7234675675675701E-2</v>
      </c>
      <c r="G10" s="53">
        <v>1.32244202702703E-2</v>
      </c>
    </row>
    <row r="11" spans="1:15" ht="15.75" customHeight="1" x14ac:dyDescent="0.25">
      <c r="B11" s="5" t="s">
        <v>120</v>
      </c>
      <c r="C11" s="45">
        <v>1.7948717808219199E-2</v>
      </c>
      <c r="D11" s="53">
        <v>1.7948717808219199E-2</v>
      </c>
      <c r="E11" s="53">
        <v>1.08879121621622E-2</v>
      </c>
      <c r="F11" s="53">
        <v>7.4441068493150686E-3</v>
      </c>
      <c r="G11" s="53">
        <v>4.57482027027027E-3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0.41148677075000001</v>
      </c>
      <c r="D14" s="54">
        <v>0.38665276676100002</v>
      </c>
      <c r="E14" s="54">
        <v>0.38665276676100002</v>
      </c>
      <c r="F14" s="54">
        <v>0.23521444346199999</v>
      </c>
      <c r="G14" s="54">
        <v>0.23521444346199999</v>
      </c>
      <c r="H14" s="45">
        <v>0.29099999999999998</v>
      </c>
      <c r="I14" s="55">
        <v>0.29099999999999998</v>
      </c>
      <c r="J14" s="55">
        <v>0.29099999999999998</v>
      </c>
      <c r="K14" s="55">
        <v>0.29099999999999998</v>
      </c>
      <c r="L14" s="45">
        <v>0.23599999999999999</v>
      </c>
      <c r="M14" s="55">
        <v>0.23599999999999999</v>
      </c>
      <c r="N14" s="55">
        <v>0.23599999999999999</v>
      </c>
      <c r="O14" s="55">
        <v>0.23599999999999999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0.23871047098717776</v>
      </c>
      <c r="D15" s="52">
        <f t="shared" si="0"/>
        <v>0.22430384309509105</v>
      </c>
      <c r="E15" s="52">
        <f t="shared" si="0"/>
        <v>0.22430384309509105</v>
      </c>
      <c r="F15" s="52">
        <f t="shared" si="0"/>
        <v>0.13645189729784504</v>
      </c>
      <c r="G15" s="52">
        <f t="shared" si="0"/>
        <v>0.13645189729784504</v>
      </c>
      <c r="H15" s="52">
        <f t="shared" si="0"/>
        <v>0.16881404699999999</v>
      </c>
      <c r="I15" s="52">
        <f t="shared" si="0"/>
        <v>0.16881404699999999</v>
      </c>
      <c r="J15" s="52">
        <f t="shared" si="0"/>
        <v>0.16881404699999999</v>
      </c>
      <c r="K15" s="52">
        <f t="shared" si="0"/>
        <v>0.16881404699999999</v>
      </c>
      <c r="L15" s="52">
        <f t="shared" si="0"/>
        <v>0.13690761199999998</v>
      </c>
      <c r="M15" s="52">
        <f t="shared" si="0"/>
        <v>0.13690761199999998</v>
      </c>
      <c r="N15" s="52">
        <f t="shared" si="0"/>
        <v>0.13690761199999998</v>
      </c>
      <c r="O15" s="52">
        <f t="shared" si="0"/>
        <v>0.13690761199999998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ZRXecyh79HFXU6JEPndwYbW6vVa2XDf5AwA45nNWeeM1sBM+8dx+R6GAJJkpOAO5qLagQgd9lbt2RvjO8uNj8A==" saltValue="HB0vxO/6DNzRPKhzcdXGF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0.53986826333333293</v>
      </c>
      <c r="D2" s="53">
        <v>0.36057784494382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0.118684952222222</v>
      </c>
      <c r="D3" s="53">
        <v>0.128159826966292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0.29430393555555601</v>
      </c>
      <c r="D4" s="53">
        <v>0.40696189550561801</v>
      </c>
      <c r="E4" s="53">
        <v>0.73861227826087006</v>
      </c>
      <c r="F4" s="53">
        <v>0.484822646739131</v>
      </c>
      <c r="G4" s="53">
        <v>0</v>
      </c>
    </row>
    <row r="5" spans="1:7" x14ac:dyDescent="0.25">
      <c r="B5" s="3" t="s">
        <v>132</v>
      </c>
      <c r="C5" s="52">
        <v>4.7031312222222198E-2</v>
      </c>
      <c r="D5" s="52">
        <v>0.10405767555555601</v>
      </c>
      <c r="E5" s="52">
        <f>1-SUM(E2:E4)</f>
        <v>0.26138772173912994</v>
      </c>
      <c r="F5" s="52">
        <f>1-SUM(F2:F4)</f>
        <v>0.515177353260869</v>
      </c>
      <c r="G5" s="52">
        <f>1-SUM(G2:G4)</f>
        <v>1</v>
      </c>
    </row>
  </sheetData>
  <sheetProtection algorithmName="SHA-512" hashValue="cGTqiV3oJO2j5/9TsFZqSc6IeFp/WUAp47teyj3efYOI41kGGiLv3jHpLooU/3vhs4WRyaKWeGSP5aSYTg8dBA==" saltValue="BzF10iwMFJbIF9dfL2325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tMnGYpMOpP3o4cMhKTZV73yVxo5phYXfUU15HmaXAkvy2umPRDmoH+DJRwq+83HmndeP+eb9gofA0QTtbY3RUg==" saltValue="quX6jaeYdZOd1iWfidg1x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ht="13.25" customHeight="1" x14ac:dyDescent="0.25">
      <c r="A2" s="8" t="s">
        <v>145</v>
      </c>
      <c r="B2" s="41">
        <v>10</v>
      </c>
    </row>
    <row r="3" spans="1:2" ht="13.25" customHeight="1" x14ac:dyDescent="0.25">
      <c r="A3" s="8" t="s">
        <v>150</v>
      </c>
      <c r="B3" s="41">
        <v>10</v>
      </c>
    </row>
    <row r="4" spans="1:2" ht="13.25" customHeight="1" x14ac:dyDescent="0.25">
      <c r="A4" s="8" t="s">
        <v>146</v>
      </c>
      <c r="B4" s="41">
        <v>10</v>
      </c>
    </row>
    <row r="5" spans="1:2" ht="13.25" customHeight="1" x14ac:dyDescent="0.25">
      <c r="A5" s="8" t="s">
        <v>147</v>
      </c>
      <c r="B5" s="41">
        <v>10</v>
      </c>
    </row>
    <row r="6" spans="1:2" ht="13.25" customHeight="1" x14ac:dyDescent="0.25">
      <c r="A6" s="8" t="s">
        <v>148</v>
      </c>
      <c r="B6" s="41">
        <v>10</v>
      </c>
    </row>
    <row r="7" spans="1:2" ht="13.25" customHeight="1" x14ac:dyDescent="0.25">
      <c r="A7" s="8" t="s">
        <v>149</v>
      </c>
      <c r="B7" s="41">
        <v>10</v>
      </c>
    </row>
  </sheetData>
  <sheetProtection algorithmName="SHA-512" hashValue="qwgeSEnf2OJF9W+S00z028FBz41ko8OVSTOjOpwGYDkmZKJCMA8UjHsB3k9DDWpa9agwhNOCCpKxnIsCIZxgKg==" saltValue="Bt8jH9FnffAKFObAEM6OD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109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96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UEsyk7RHIyIbwz+PXX3NQjU28X8Zd5g8RysFWIcYAYF/MLfp0FIGYdxfQcYpJitEqaF1sDpuq+13smWfGu4txw==" saltValue="/zuL9Zhcjfe4/+yPW3VQX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is22I/lnaKUZda0rM49vkNZ1/oeNOXb3T56yyBFRFpjqiSbgrYswuw5iilP5lkD4t9B8XukLiPPaQG9oEJ29Kw==" saltValue="tety+D0LEKYhTVQ+d3t5g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70.346306973761287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</v>
      </c>
      <c r="C3" s="98">
        <v>0.95</v>
      </c>
      <c r="D3" s="56">
        <v>19.75203299904819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3.110690637764288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1.2802900880707899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0.19283527130965261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1.899427422400078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0.5</v>
      </c>
      <c r="C9" s="98">
        <v>0.95</v>
      </c>
      <c r="D9" s="56">
        <v>0.76169932167312793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</v>
      </c>
      <c r="C10" s="98">
        <v>0.95</v>
      </c>
      <c r="D10" s="56">
        <v>13.70780222005237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13.70780222005237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13.70780222005237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13.70780222005237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</v>
      </c>
      <c r="C14" s="98">
        <v>0.95</v>
      </c>
      <c r="D14" s="56">
        <v>13.70780222005237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13.70780222005237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</v>
      </c>
      <c r="C16" s="98">
        <v>0.95</v>
      </c>
      <c r="D16" s="56">
        <v>2.503642449664842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0.13023111111111099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0.66700000000000004</v>
      </c>
      <c r="C18" s="98">
        <v>0.95</v>
      </c>
      <c r="D18" s="56">
        <v>3.110690637764288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</v>
      </c>
      <c r="C19" s="98">
        <v>0.95</v>
      </c>
      <c r="D19" s="56">
        <v>3.110690637764288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</v>
      </c>
      <c r="C21" s="98">
        <v>0.95</v>
      </c>
      <c r="D21" s="56">
        <v>10.726757057587051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23.483058881679661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4.5660983713272767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0.67930453000000002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</v>
      </c>
      <c r="C26" s="98">
        <v>0.95</v>
      </c>
      <c r="D26" s="56">
        <v>13.467741075377949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13.765699948727031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33.321934882307978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</v>
      </c>
      <c r="C31" s="98">
        <v>0.95</v>
      </c>
      <c r="D31" s="56">
        <v>56.731369485662889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0.14302025920755351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0.78326970000000007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</v>
      </c>
      <c r="C38" s="98">
        <v>0.95</v>
      </c>
      <c r="D38" s="56">
        <v>2.4488574538288082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2.717384924943516</v>
      </c>
      <c r="E39" s="56" t="s">
        <v>201</v>
      </c>
      <c r="F39" s="98">
        <v>1</v>
      </c>
      <c r="G39" s="98">
        <v>1</v>
      </c>
    </row>
  </sheetData>
  <sheetProtection algorithmName="SHA-512" hashValue="tFxMGmxQDVIo8ufT+IW2s+x32gzf4O4JidxqXxzf21qKRDZbESySTeivzdMqKPiELsry3iykzIkmXh1XCrArnA==" saltValue="Z7seJDhHK9ERTbpTEJAQN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ht="13.25" customHeight="1" x14ac:dyDescent="0.25">
      <c r="A2" s="57" t="s">
        <v>180</v>
      </c>
      <c r="B2" s="47" t="s">
        <v>190</v>
      </c>
      <c r="C2" s="47"/>
    </row>
    <row r="3" spans="1:3" ht="13.25" customHeight="1" x14ac:dyDescent="0.25">
      <c r="A3" s="57" t="s">
        <v>181</v>
      </c>
      <c r="B3" s="47" t="s">
        <v>190</v>
      </c>
      <c r="C3" s="47"/>
    </row>
    <row r="4" spans="1:3" ht="13.25" customHeight="1" x14ac:dyDescent="0.25">
      <c r="A4" s="57" t="s">
        <v>192</v>
      </c>
      <c r="B4" s="47" t="s">
        <v>185</v>
      </c>
      <c r="C4" s="47"/>
    </row>
    <row r="5" spans="1:3" ht="13.25" customHeight="1" x14ac:dyDescent="0.25">
      <c r="A5" s="57" t="s">
        <v>189</v>
      </c>
      <c r="B5" s="47" t="s">
        <v>185</v>
      </c>
      <c r="C5" s="47"/>
    </row>
    <row r="6" spans="1:3" ht="13.25" customHeight="1" x14ac:dyDescent="0.25">
      <c r="A6" s="57" t="s">
        <v>192</v>
      </c>
      <c r="B6" s="58" t="s">
        <v>205</v>
      </c>
      <c r="C6" s="58"/>
    </row>
    <row r="7" spans="1:3" ht="13.25" customHeight="1" x14ac:dyDescent="0.25">
      <c r="A7" s="57" t="s">
        <v>189</v>
      </c>
      <c r="B7" s="58" t="s">
        <v>205</v>
      </c>
      <c r="C7" s="58"/>
    </row>
    <row r="8" spans="1:3" ht="13.25" customHeight="1" x14ac:dyDescent="0.25">
      <c r="A8" s="57" t="s">
        <v>200</v>
      </c>
      <c r="B8" s="58" t="s">
        <v>205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eNaUGvvmCJCkW5iIBTIAnnqwQDz7YyNcLHSsXXatOXVrW8LU9nE4XojNQp/mkAI2JlYHsEuZWxRRIfCnBl6HNg==" saltValue="oAQy2faWLaZXu3XF6Yn7p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ht="13.25" customHeight="1" x14ac:dyDescent="0.25">
      <c r="A2" s="33" t="s">
        <v>172</v>
      </c>
    </row>
    <row r="3" spans="1:1" ht="13.25" customHeight="1" x14ac:dyDescent="0.25">
      <c r="A3" s="33" t="s">
        <v>182</v>
      </c>
    </row>
    <row r="4" spans="1:1" ht="13.25" customHeight="1" x14ac:dyDescent="0.25">
      <c r="A4" s="33" t="s">
        <v>186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161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Cd1bC16Epn8Y6yz85kgin4FKcOK8W7xg86OHL1PgzcS/GA/2SSDDDfqq7EEZdHTWjRzXVY4EgrH6svge01kmHQ==" saltValue="MbRnQMzPtdotDKQ37fdcQ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3.2</v>
      </c>
      <c r="C2" s="21">
        <f>'Données pop de l''année de ref'!C52</f>
        <v>3.2</v>
      </c>
      <c r="D2" s="21">
        <f>'Données pop de l''année de ref'!C53</f>
        <v>3.2</v>
      </c>
      <c r="E2" s="21">
        <f>'Données pop de l''année de ref'!C54</f>
        <v>3.2</v>
      </c>
      <c r="F2" s="21">
        <f>'Données pop de l''année de ref'!C55</f>
        <v>3.2</v>
      </c>
    </row>
    <row r="3" spans="1:6" ht="15.75" customHeight="1" x14ac:dyDescent="0.25">
      <c r="A3" s="3" t="s">
        <v>209</v>
      </c>
      <c r="B3" s="21">
        <f>frac_mam_1month * 2.6</f>
        <v>7.6951063835616368E-2</v>
      </c>
      <c r="C3" s="21">
        <f>frac_mam_1_5months * 2.6</f>
        <v>7.6951063835616368E-2</v>
      </c>
      <c r="D3" s="21">
        <f>frac_mam_6_11months * 2.6</f>
        <v>6.773986945945934E-2</v>
      </c>
      <c r="E3" s="21">
        <f>frac_mam_12_23months * 2.6</f>
        <v>4.4810156756756821E-2</v>
      </c>
      <c r="F3" s="21">
        <f>frac_mam_24_59months * 2.6</f>
        <v>3.438349270270278E-2</v>
      </c>
    </row>
    <row r="4" spans="1:6" ht="15.75" customHeight="1" x14ac:dyDescent="0.25">
      <c r="A4" s="3" t="s">
        <v>208</v>
      </c>
      <c r="B4" s="21">
        <f>frac_sam_1month * 2.6</f>
        <v>4.6666666301369918E-2</v>
      </c>
      <c r="C4" s="21">
        <f>frac_sam_1_5months * 2.6</f>
        <v>4.6666666301369918E-2</v>
      </c>
      <c r="D4" s="21">
        <f>frac_sam_6_11months * 2.6</f>
        <v>2.830857162162172E-2</v>
      </c>
      <c r="E4" s="21">
        <f>frac_sam_12_23months * 2.6</f>
        <v>1.935467780821918E-2</v>
      </c>
      <c r="F4" s="21">
        <f>frac_sam_24_59months * 2.6</f>
        <v>1.1894532702702703E-2</v>
      </c>
    </row>
  </sheetData>
  <sheetProtection algorithmName="SHA-512" hashValue="bgpJ2E2MN3oxAKRj9LjY9KrEa/4DB4s6HKfCb/LrX2aZTK8So9rX0gFL/qfNtTJe+ZFegQz37+L9jYTLc4gTuA==" saltValue="t77LQpKaaEW9TMmnz9nhc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0.10199999999999999</v>
      </c>
      <c r="E2" s="60">
        <f>food_insecure</f>
        <v>0.10199999999999999</v>
      </c>
      <c r="F2" s="60">
        <f>food_insecure</f>
        <v>0.10199999999999999</v>
      </c>
      <c r="G2" s="60">
        <f>food_insecure</f>
        <v>0.10199999999999999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0.10199999999999999</v>
      </c>
      <c r="F5" s="60">
        <f>food_insecure</f>
        <v>0.10199999999999999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0.10199999999999999</v>
      </c>
      <c r="F8" s="60">
        <f>food_insecure</f>
        <v>0.10199999999999999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0.10199999999999999</v>
      </c>
      <c r="F9" s="60">
        <f>food_insecure</f>
        <v>0.10199999999999999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0.10199999999999999</v>
      </c>
      <c r="I15" s="60">
        <f>food_insecure</f>
        <v>0.10199999999999999</v>
      </c>
      <c r="J15" s="60">
        <f>food_insecure</f>
        <v>0.10199999999999999</v>
      </c>
      <c r="K15" s="60">
        <f>food_insecure</f>
        <v>0.10199999999999999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0.30299999999999999</v>
      </c>
      <c r="M24" s="60">
        <f>famplan_unmet_need</f>
        <v>0.30299999999999999</v>
      </c>
      <c r="N24" s="60">
        <f>famplan_unmet_need</f>
        <v>0.30299999999999999</v>
      </c>
      <c r="O24" s="60">
        <f>famplan_unmet_need</f>
        <v>0.30299999999999999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9.5079631369632017E-2</v>
      </c>
      <c r="M25" s="60">
        <f>(1-food_insecure)*(0.49)+food_insecure*(0.7)</f>
        <v>0.51141999999999999</v>
      </c>
      <c r="N25" s="60">
        <f>(1-food_insecure)*(0.49)+food_insecure*(0.7)</f>
        <v>0.51141999999999999</v>
      </c>
      <c r="O25" s="60">
        <f>(1-food_insecure)*(0.49)+food_insecure*(0.7)</f>
        <v>0.51141999999999999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4.0748413444128002E-2</v>
      </c>
      <c r="M26" s="60">
        <f>(1-food_insecure)*(0.21)+food_insecure*(0.3)</f>
        <v>0.21917999999999999</v>
      </c>
      <c r="N26" s="60">
        <f>(1-food_insecure)*(0.21)+food_insecure*(0.3)</f>
        <v>0.21917999999999999</v>
      </c>
      <c r="O26" s="60">
        <f>(1-food_insecure)*(0.21)+food_insecure*(0.3)</f>
        <v>0.21917999999999999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5.0084964786239999E-2</v>
      </c>
      <c r="M27" s="60">
        <f>(1-food_insecure)*(0.3)</f>
        <v>0.26939999999999997</v>
      </c>
      <c r="N27" s="60">
        <f>(1-food_insecure)*(0.3)</f>
        <v>0.26939999999999997</v>
      </c>
      <c r="O27" s="60">
        <f>(1-food_insecure)*(0.3)</f>
        <v>0.26939999999999997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0.81408699039999999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UD6nz6nhUfmjek9EkQf4euGVvcQ9nFnfdnT5lFIQDOY5gEuCncfj4QOoqTM5fNLnyXdV0rkVVQaVhvtcX8FCiw==" saltValue="UCbjUOAtHJZLfWxTBcHAo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j6Zd8GFi6nwk5/DyyKrp+xj/pbTHN5FHWHlgReRBPCzD39MipMEzxNYxLeKmVS0rFh5xcq6xsnoXlDAbJcIfyQ==" saltValue="CsooY4JPdo4dnpp7i2ukd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1dUn0TNEzknZzA8MQdMlQhALQjFbjT2TWCP99Hl4W99f2LC2TYNdWcv9V2ZvXxeCC71wDf5DhwEzkiL6atxJhg==" saltValue="qLSMDKArQ9zj1WkBKnecY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EfjlJ/2ZSzhJRaqf1x4qhPaOTnILHumcCym9IftffWa25y/PimlIdjDewAjm/yUVNpSnmCMQKkQHgJartHZ6Rw==" saltValue="Ui3z7NdlgUZR536EEnO2B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eFwWK2bCze4APZCy5r7nLQPojAsUn4JTG7iMmYKA0uv4wyfv7hTljTsAvDVuYsFJm40QVGTLk9mu+2ubwzBwpQ==" saltValue="4Vjokypaa8qRfJAHBTDN4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drzp+IImmUMaN0BjgCC4VCUIao1pDhiNOGJZ2AElGdYOv8/8Dyz2EMD6ZqnEjwgIFNHPrdDvzceoLUhRSGIFOQ==" saltValue="DnNlNWcFCjhXsp4RojWtO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109</v>
      </c>
      <c r="C5" s="8" t="s">
        <v>153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154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96</v>
      </c>
      <c r="C8" s="8" t="s">
        <v>153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154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154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109</v>
      </c>
      <c r="C58" s="8" t="s">
        <v>153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154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96</v>
      </c>
      <c r="C61" s="8" t="s">
        <v>153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154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109</v>
      </c>
      <c r="C111" s="8" t="s">
        <v>153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154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96</v>
      </c>
      <c r="C114" s="8" t="s">
        <v>153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154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97</v>
      </c>
      <c r="C117" s="8" t="s">
        <v>153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154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98</v>
      </c>
      <c r="C120" s="8" t="s">
        <v>153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154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154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109</v>
      </c>
      <c r="C128" s="8" t="s">
        <v>153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154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96</v>
      </c>
      <c r="C131" s="8" t="s">
        <v>153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154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97</v>
      </c>
      <c r="C134" s="8" t="s">
        <v>153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154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98</v>
      </c>
      <c r="C137" s="8" t="s">
        <v>153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154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154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109</v>
      </c>
      <c r="C145" s="8" t="s">
        <v>153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154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96</v>
      </c>
      <c r="C148" s="8" t="s">
        <v>153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154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97</v>
      </c>
      <c r="C151" s="8" t="s">
        <v>153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154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98</v>
      </c>
      <c r="C154" s="8" t="s">
        <v>153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154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vj5W34s6CxiJjH6ok3ZHpAYdWyqJHd0m/lrNjWVuaL889IeIcMYVhSGbHjvNNzIWMpzBZUzUV5nR8cK+rEygIA==" saltValue="t2ykK4MKhseQiUlSToaAmw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CWUSCqCzpkmVRWu05Ig6DHIA+n92qPP0J3/cd3zZwbN2PeBX+1btCVwbXM9NrrEXmUtivOgxgSdeV1pvQIzWg==" saltValue="a9n8EYzr0recvnJat2aUE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yGyrapDGMHGKvlGZ4osnO0G5ul87STAOP+xR6BsMtcGvqcne5X7wZghubof/paT+NBr/65FH89S2Wa0xOaGeQ==" saltValue="8VIh2iqzEtRR75VkOk0kp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287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298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121</v>
      </c>
      <c r="B40" s="11" t="s">
        <v>299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303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311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121</v>
      </c>
      <c r="B63" s="11" t="s">
        <v>312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Obpk0SisNwNtkUTh2pkIz1NdboN6ZJLaTdlUgXg1R5FeDJ7lychb8/d+pfThaK53ewn/33lmlHOmdZnwOoiLNA==" saltValue="NM71dnLy+9s/Q5IxuF5cc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U5KlQLXrHFCgOaeqkXspdKfE7iZrw7EKpdFSPVLwqMB+D+AKuVhMIz4qStAkacthob1h7sQusL6Npw/Qo3VJWQ==" saltValue="Mu5fID4PPeeIQV7RZJZ0V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176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177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178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179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180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174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183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176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177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178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179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180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174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183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pke7UGiaUJRS1hhK7rkHlLSSrkwIXMRrXBcEHj3dbgtAzEiWpQlUjCQPGIz2mZejoa2tp/d3xLVl5fZgrgcCDQ==" saltValue="gs1nmpZNnWjHbsGFSbO0D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ht="13.25" customHeight="1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ht="13.25" customHeight="1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ht="13.25" customHeight="1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Nusj1jHclX20dJP8jFATU5K3OWq66jKNkD0jr0uqUfW2cyW1Y/gFvUIUAQzY9Ia8f1TF01/KneBN3G0g6W5Daw==" saltValue="hJAxu88Jigs+UPD2+f5ix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ht="13.25" customHeight="1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336</v>
      </c>
      <c r="D18" s="90">
        <v>0</v>
      </c>
      <c r="E18" s="90">
        <v>0</v>
      </c>
      <c r="F18" s="90">
        <f>MIN(MAX(1-0.89/(1-frac_sam_6_11months+(frac_sam_6_11months*0.89)),0),1)</f>
        <v>0.10893279523983856</v>
      </c>
      <c r="G18" s="90">
        <f>MIN(MAX(1-0.89/(1-frac_sam_12_23months+(frac_sam_12_23months*0.89)),0),1)</f>
        <v>0.1092706246891999</v>
      </c>
      <c r="H18" s="90">
        <f>MIN(MAX(1-0.89/(1-frac_sam_24_59months+(frac_sam_24_59months*0.89)),0),1)</f>
        <v>0.10955189959787226</v>
      </c>
    </row>
    <row r="19" spans="1:8" ht="13.25" customHeight="1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336</v>
      </c>
      <c r="D20" s="90">
        <v>0</v>
      </c>
      <c r="E20" s="90">
        <v>0</v>
      </c>
      <c r="F20" s="90">
        <f>MIN(MAX(1-0.89/(1-frac_mam_6_11months+(frac_mam_6_11months*0.89)),0),1)</f>
        <v>0.10744200236657098</v>
      </c>
      <c r="G20" s="90">
        <f>MIN(MAX(1-0.89/(1-frac_mam_12_23months+(frac_mam_12_23months*0.89)),0),1)</f>
        <v>0.10830952041594089</v>
      </c>
      <c r="H20" s="90">
        <f>MIN(MAX(1-0.89/(1-frac_mam_24_59months+(frac_mam_24_59months*0.89)),0),1)</f>
        <v>0.10870344317217706</v>
      </c>
    </row>
    <row r="21" spans="1:8" ht="13.25" customHeight="1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335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9.8921979322001974E-3</v>
      </c>
      <c r="G73" s="90">
        <f>MIN(MAX(1-0.99/(1-frac_sam_12_23months+(frac_sam_12_23months*0.99)),0),1)</f>
        <v>9.9262978557254078E-3</v>
      </c>
      <c r="H73" s="90">
        <f>MIN(MAX(1-0.99/(1-frac_sam_24_59months+(frac_sam_24_59months*0.99)),0),1)</f>
        <v>9.9547072072605491E-3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9.742000201394041E-3</v>
      </c>
      <c r="G75" s="90">
        <f>MIN(MAX(1-0.99/(1-frac_mam_12_23months+(frac_mam_12_23months*0.99)),0),1)</f>
        <v>9.8293472993712383E-3</v>
      </c>
      <c r="H75" s="90">
        <f>MIN(MAX(1-0.99/(1-frac_mam_24_59months+(frac_mam_24_59months*0.99)),0),1)</f>
        <v>9.8690609233905713E-3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0.19825413228318445</v>
      </c>
      <c r="G128" s="90">
        <f>MIN(MAX(1-0.8/(1-frac_sam_12_23months+(frac_sam_12_23months*0.8)),0),1)</f>
        <v>0.19880716698883183</v>
      </c>
      <c r="H128" s="90">
        <f>MIN(MAX(1-0.8/(1-frac_sam_24_59months+(frac_sam_24_59months*0.8)),0),1)</f>
        <v>0.19926735841604293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0.19580955726063765</v>
      </c>
      <c r="G130" s="90">
        <f>MIN(MAX(1-0.8/(1-frac_mam_12_23months+(frac_mam_12_23months*0.8)),0),1)</f>
        <v>0.19723291392568032</v>
      </c>
      <c r="H130" s="90">
        <f>MIN(MAX(1-0.8/(1-frac_mam_24_59months+(frac_mam_24_59months*0.8)),0),1)</f>
        <v>0.19787848158653454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1Dug7HRAf6G9CRVKBNuOc1F1IxM9+4kXOgA2C0YlVlIW+HC0iMRqC5nqriL/fl2sPF57Uz3Evk9Sh9/CUgotEg==" saltValue="3/XlfFk65qOPAziqqpb84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ht="13.25" customHeight="1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335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ht="13.25" customHeight="1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ht="13.25" customHeight="1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335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tCNmlbRHovw+ZXsKxix+0tfUhHTjwm2Ni2OgOpMl07s/5FefVFzqx0IasQPy93wTS80c0FT0o6X0I6hs0/D6QA==" saltValue="JsVvl5dCHS0jGmxIc2VT+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2024-08-06T09:58:38Z</dcterms:modified>
</cp:coreProperties>
</file>