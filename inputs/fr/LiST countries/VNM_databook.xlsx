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8D36928-4428-46B2-B8C3-10245DB44FB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I4" i="2"/>
  <c r="I8" i="2"/>
  <c r="I12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<sst xmlns="http://schemas.openxmlformats.org/spreadsheetml/2006/main" count="2159" uniqueCount="368">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</sst>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6900235.5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8.1799999999999998E-2</v>
      </c>
    </row>
    <row r="24" spans="1:3" ht="15" customHeight="1" x14ac:dyDescent="0.25">
      <c r="B24" s="15" t="s">
        <v>51</v>
      </c>
      <c r="C24" s="45">
        <v>0.59670000000000001</v>
      </c>
    </row>
    <row r="25" spans="1:3" ht="15" customHeight="1" x14ac:dyDescent="0.25">
      <c r="B25" s="15" t="s">
        <v>52</v>
      </c>
      <c r="C25" s="45">
        <v>0.30309999999999998</v>
      </c>
    </row>
    <row r="26" spans="1:3" ht="15" customHeight="1" x14ac:dyDescent="0.25">
      <c r="B26" s="15" t="s">
        <v>53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9">
        <v>0.10516916316476101</v>
      </c>
    </row>
    <row r="31" spans="1:3" ht="14.25" customHeight="1" x14ac:dyDescent="0.25">
      <c r="B31" s="25" t="s">
        <v>57</v>
      </c>
      <c r="C31" s="99">
        <v>8.4505866375242988E-2</v>
      </c>
    </row>
    <row r="32" spans="1:3" ht="14.25" customHeight="1" x14ac:dyDescent="0.25">
      <c r="B32" s="25" t="s">
        <v>58</v>
      </c>
      <c r="C32" s="99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14.99222</v>
      </c>
    </row>
    <row r="38" spans="1:5" ht="15" customHeight="1" x14ac:dyDescent="0.25">
      <c r="B38" s="11" t="s">
        <v>63</v>
      </c>
      <c r="C38" s="43">
        <v>21.063030000000001</v>
      </c>
      <c r="D38" s="12"/>
      <c r="E38" s="13"/>
    </row>
    <row r="39" spans="1:5" ht="15" customHeight="1" x14ac:dyDescent="0.25">
      <c r="B39" s="11" t="s">
        <v>64</v>
      </c>
      <c r="C39" s="43">
        <v>24.22973</v>
      </c>
      <c r="D39" s="12"/>
      <c r="E39" s="12"/>
    </row>
    <row r="40" spans="1:5" ht="15" customHeight="1" x14ac:dyDescent="0.25">
      <c r="B40" s="11" t="s">
        <v>65</v>
      </c>
      <c r="C40" s="100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71</v>
      </c>
      <c r="C47" s="45">
        <v>7.4305499999999997E-2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0.58011699999999999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6.311217509E-2</v>
      </c>
    </row>
    <row r="63" spans="1:4" ht="15.75" customHeight="1" x14ac:dyDescent="0.3">
      <c r="A63" s="4"/>
    </row>
  </sheetData>
  <sheetProtection algorithmName="SHA-512" hashValue="qJtJyhZxDnvuYYQ+lYlGFPQ72YnX8yxewA0YS9GOfuPKPTqKAIRJ0HmPE4r//Rgw7ktq0kM11DDYtX3rwAn4Cg==" saltValue="IAt0Ba/vnloe8aEmnDiD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vewLIa5Zx0xjhYwekf6tYOXuWMR4Gx8UxbOZJeq05+hPKaoudu83o8Mb8ga4aE3gEAQV2DNgQOBdG7a0VaOqA==" saltValue="2ZfLgpYqZz2g2q+TkJLP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0.16119969142408941</v>
      </c>
    </row>
    <row r="5" spans="1:8" ht="15.75" customHeight="1" x14ac:dyDescent="0.25">
      <c r="B5" s="19" t="s">
        <v>98</v>
      </c>
      <c r="C5" s="101">
        <v>6.5832262834305141E-2</v>
      </c>
    </row>
    <row r="6" spans="1:8" ht="15.75" customHeight="1" x14ac:dyDescent="0.25">
      <c r="B6" s="19" t="s">
        <v>99</v>
      </c>
      <c r="C6" s="101">
        <v>0.14184394821056301</v>
      </c>
    </row>
    <row r="7" spans="1:8" ht="15.75" customHeight="1" x14ac:dyDescent="0.25">
      <c r="B7" s="19" t="s">
        <v>100</v>
      </c>
      <c r="C7" s="101">
        <v>0.39461551247407772</v>
      </c>
    </row>
    <row r="8" spans="1:8" ht="15.75" customHeight="1" x14ac:dyDescent="0.25">
      <c r="B8" s="19" t="s">
        <v>101</v>
      </c>
      <c r="C8" s="101">
        <v>7.4852374206232171E-5</v>
      </c>
    </row>
    <row r="9" spans="1:8" ht="15.75" customHeight="1" x14ac:dyDescent="0.25">
      <c r="B9" s="19" t="s">
        <v>102</v>
      </c>
      <c r="C9" s="101">
        <v>0.1777144467984253</v>
      </c>
    </row>
    <row r="10" spans="1:8" ht="15.75" customHeight="1" x14ac:dyDescent="0.25">
      <c r="B10" s="19" t="s">
        <v>103</v>
      </c>
      <c r="C10" s="101">
        <v>5.8719285884333283E-2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106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107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110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111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112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113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5.6534050000000002E-2</v>
      </c>
    </row>
    <row r="27" spans="1:8" ht="15.75" customHeight="1" x14ac:dyDescent="0.25">
      <c r="B27" s="19" t="s">
        <v>120</v>
      </c>
      <c r="C27" s="101">
        <v>3.5322311000000002E-2</v>
      </c>
    </row>
    <row r="28" spans="1:8" ht="15.75" customHeight="1" x14ac:dyDescent="0.25">
      <c r="B28" s="19" t="s">
        <v>121</v>
      </c>
      <c r="C28" s="101">
        <v>4.2593103E-2</v>
      </c>
    </row>
    <row r="29" spans="1:8" ht="15.75" customHeight="1" x14ac:dyDescent="0.25">
      <c r="B29" s="19" t="s">
        <v>122</v>
      </c>
      <c r="C29" s="101">
        <v>0.27419058800000001</v>
      </c>
    </row>
    <row r="30" spans="1:8" ht="15.75" customHeight="1" x14ac:dyDescent="0.25">
      <c r="B30" s="19" t="s">
        <v>2</v>
      </c>
      <c r="C30" s="101">
        <v>6.2699299999999999E-2</v>
      </c>
    </row>
    <row r="31" spans="1:8" ht="15.75" customHeight="1" x14ac:dyDescent="0.25">
      <c r="B31" s="19" t="s">
        <v>123</v>
      </c>
      <c r="C31" s="101">
        <v>0.140173941</v>
      </c>
    </row>
    <row r="32" spans="1:8" ht="15.75" customHeight="1" x14ac:dyDescent="0.25">
      <c r="B32" s="19" t="s">
        <v>124</v>
      </c>
      <c r="C32" s="101">
        <v>2.4544165999999999E-2</v>
      </c>
    </row>
    <row r="33" spans="2:3" ht="15.75" customHeight="1" x14ac:dyDescent="0.25">
      <c r="B33" s="19" t="s">
        <v>125</v>
      </c>
      <c r="C33" s="101">
        <v>0.119318915</v>
      </c>
    </row>
    <row r="34" spans="2:3" ht="15.75" customHeight="1" x14ac:dyDescent="0.25">
      <c r="B34" s="19" t="s">
        <v>126</v>
      </c>
      <c r="C34" s="101">
        <v>0.24462362800000001</v>
      </c>
    </row>
    <row r="35" spans="2:3" ht="15.75" customHeight="1" x14ac:dyDescent="0.25">
      <c r="B35" s="27" t="s">
        <v>59</v>
      </c>
      <c r="C35" s="48">
        <f>SUM(C26:C34)</f>
        <v>1.0000000019999999</v>
      </c>
    </row>
  </sheetData>
  <sheetProtection algorithmName="SHA-512" hashValue="9tZd0oxq3SYGBPzQaXuirn/P8tpPv5Pq6xkbFywbcxo7DHT50vUI7NSTpDuOE2T0hi7b6NJfyoE+00q0oVxxtA==" saltValue="Mlf2gJmLIylPEf3DEWVe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PiBTjC6/GYKJoFgvMz7lTbZiSla6UTOod4lbVvQa7lpkfch2hxOeIguDbcrA7oXgD8n0Pis5itxm6tXnAcefg==" saltValue="qkksvpc0Ou4X5A4Kx+8T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4aFWA2DFDTx8yZ0Efw1NbmvAugdA84ECkqqI/O9r05mB1wRIzrvAFaMGS+Kj7JemgpNYlonQMzocJTGGCigHHA==" saltValue="UFRqUKOOhPJg1Pkhdstaf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hfITeixh8dOnqcwWCDhHYZ3rGRkOzlvrtvGC/4hJOZVFjpl617EPRHxEH94tDf/6p00qevKQAK0dpQOU/7oAQ==" saltValue="nNuNvFze71EYT5leBX8a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4163.51429874522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0.42521000000000003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1.6240982895769779E-2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78581.379870000004</v>
      </c>
      <c r="O22" s="109">
        <v>69889.900070000003</v>
      </c>
    </row>
  </sheetData>
  <sheetProtection algorithmName="SHA-512" hashValue="Y+fS21gsK8D3AFuj3mx05qvO65SK/WdbMEJ8v9NhmuoxPJnTJpNWu9Q7LlfogUIFBmBXyKmVWTjNJlMX5rqDBw==" saltValue="hGnWOJ9ipyu2uiDH/AEB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1JUA4376h/VV+Q1VKx5uIysl03NQKLOnzHzctuxdFLMivwOpEYYvZ444xVZ4GhaJd0G+BC8xB3/TLn/RDijnzg==" saltValue="PZrZ7pc8TPPduUjWgw5c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X0q/OY54DJmwVTRAQud8zl0ifnz5SBuNyaiJ/qiTUgBDvaCGjIPfPg58jpRJU2Bu8Fboe8NMyMz+JFC17Rhwg==" saltValue="lxso93xzrlkF0Hhj3tJi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13.766606960081885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13.766606960081885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1.2802900880707899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13.70780222005237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13.70780222005237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13.70780222005237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13.70780222005237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13.70780222005237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13.70780222005237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0.13023111111111099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0.66700000000000004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5.0635162116449219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4.5660983713272767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0.67930453000000002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13.47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33.321934882307978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0.78326970000000007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2.72</v>
      </c>
      <c r="E39" s="56" t="s">
        <v>230</v>
      </c>
      <c r="F39" s="98">
        <v>1</v>
      </c>
      <c r="G39" s="98">
        <v>1</v>
      </c>
    </row>
  </sheetData>
  <sheetProtection algorithmName="SHA-512" hashValue="75B2ZIr7ZFYpLBuE4/ox2FybirSz2xR3sokJc8vcqgt9s9CE7hzQRLrksz1zHChD8RJnnGpb3nBaYAWiIvhrAA==" saltValue="m1vDYNLSo28tadtrwRHX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oh2hSjCFYB+T4s4XAUwqqLxQ0OLkp2nDkhPC28qpJhLZDYf/KP7DQf8BWZnDH5BmDAGLgH+pGJxeDuSnnF4aw==" saltValue="/9Hp+D/DkpWwzlxpA8bz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s46cAe7rQwGFmESkIG8+iKfAiPlH4TpLUx5FjG+4CCovy34lsNdU1jIgaCahSNU3Mn+zwH4L9KyS7sem2hbVg==" saltValue="UKwsGPGjSBbgEJIaWyEe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2vr1PoLo1SC9+DQpKWn2Djn014XCqnhDJHmoUAjlon7iJSI20pVb2YUgOvgL5yvvXhbilIH9FKC8hPloMUaSCw==" saltValue="k9RC4IWnHpAEf1efBNtg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b1Yq3Yr3EjvTp1dujzUGlgGCgSqSaL0yXHz+LD539IKo9mgA5CxC0a2stfPeiIln5f3MVW76PTkgmiyQyaE7g==" saltValue="hPYwZ3KpkgVNbybol5hg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+k2seAxZbu5a7yCOX6HnUd2/UVMmybaDH0EIQJSSQqdg7giY9aXjpjbQuVJUz3axx77QktuKhtBUD5iH7Zl7A==" saltValue="mPGBr9pzpLXHozfrej7F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iXcbr7XQghBQjcxnwjys4Hoyg7VXEhCFVaYiFY7rONW+mzm9737hNZr4eWfxH/wIBMLW6ZI6uoEzcq+k0Y27g==" saltValue="ySOl50nKv4mVVymF0VBJ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O+0Jg351h8g3Rq0NJ9YdU3zVWjFvSDmS6kISBZ8W4Z9bT78uK+bIJ9F32J5aRgT69Gw1074PGo3BoDs9WSRyQ==" saltValue="YJ/Ic6UIxN3F9JWnb26M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M6xzD3azMOmqpewKPY71yPRXLU8dViKMM2Vnt6cKKeZn6kdtXWVzBbfLIqyozqdBQt3i+DRA4WI0AEQt3kGBOQ==" saltValue="9GFdMEjlQQZPV6On+mww8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ceZgraOMkIQOmEioSquvo8eS32vU9ARn2lxoTm/GeZzltP2Tehim3fHG3tDRP3Go8fXuCQqAu5ZMLs7xdazjOw==" saltValue="5f5u79Us9W6kqY9+96yN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PZB2YOXU3L5bhY1Dery9Zx85keE3HaGgPq7GbRqoWo6imhq4wy0uIeryyxT/K8NZxCbvSs0qlSIQ73Ej8veCQ==" saltValue="XOfzZdiLjerE809ed/lEi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aKoXMekL6tF2ToTUMKq0H49MHFm/RwbpGLkPl1Rkim9wElnP8pD5NylXcjN6rFKPHDMwe74K/CzPFZZNpI6Ug==" saltValue="fnUuN/cBQ9gUPJm+dMSU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XjS1prycsdxtN3njWCZLx/JGbS8LEl+GIv49IeTCjrwR03ghS1Z/khFtavZk5eeyX8ha+cDjvafQLeiM5IPYQ==" saltValue="26zz18YpPZxGllCHRDfv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T7PSoEJiCjHmd4AUfxOAuXwst9LPxLn9d3isrNMTryy7dT8EPielCVcbgnN1rfuIkBbYIlG0t8zBwjjwiw0rg==" saltValue="jJbh5lbdGAKgivEPIKGY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sxFdE2SLSvlZ0sVOZENtFNm5QgS+PPGmvGdEREs8Z2NduwQaoepqH+rduBXnn2qRh79fRoMLvyPzoGiZnoBtw==" saltValue="5ieB3eGxBRg2uC5MXXL4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Aqzi0gdsDfRm8YE3emIUT3+2IhAxetFG86ViSp5P5f7jpkvuxpNx7Ho3h+pqWk85CSfj6AAUq3ByzmG4khXyg==" saltValue="EYNyvIU7TF7QKediVFF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ezJOo4+LhAG6JjunRkWMYwlb290AS8scntj0rv8n7ejUFXekr0AKbj3XuBq7xF3snNX1/iq3bpcnj3VT09M9Q==" saltValue="V/sLtnyDM6mTrFzseMtD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JHRY2MOc3P2jnHjknvbaF+yNRv0H0Iv83w5Kd1nzodBKMgXGrZI7UJcGMabf/K2OmAt5S0h5tdcDbrdUvEhPw==" saltValue="WgNtohveRlijKEtum5bP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vFwrCMeeRk0Gt8LlIYvQ0/RX/5MQNy3sobUORecBmSaidw9kBnEqmwAc+dtMNmNYmJI7we+4xvEiccgdc4Lmw==" saltValue="hLt4GFXC5NiZ0gkWCpOi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