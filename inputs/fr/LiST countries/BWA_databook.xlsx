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1A8DA6F-9FDC-43C7-B142-9F9E6E388F3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0" i="2" l="1"/>
  <c r="A21" i="2"/>
  <c r="A23" i="2"/>
  <c r="A36" i="2"/>
  <c r="A15" i="2"/>
  <c r="A37" i="2"/>
  <c r="A28" i="2"/>
  <c r="A29" i="2"/>
  <c r="I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<sst xmlns="http://schemas.openxmlformats.org/spreadsheetml/2006/main" count="2101" uniqueCount="337">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</sst>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290962.58984375</v>
      </c>
    </row>
    <row r="8" spans="1:3" ht="15" customHeight="1" x14ac:dyDescent="0.25">
      <c r="B8" s="5" t="s">
        <v>19</v>
      </c>
      <c r="C8" s="44">
        <v>0.161</v>
      </c>
    </row>
    <row r="9" spans="1:3" ht="15" customHeight="1" x14ac:dyDescent="0.25">
      <c r="B9" s="5" t="s">
        <v>20</v>
      </c>
      <c r="C9" s="45">
        <v>0.13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8.2100000000000006E-2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0.35039999999999999</v>
      </c>
    </row>
    <row r="26" spans="1:3" ht="15" customHeight="1" x14ac:dyDescent="0.25">
      <c r="B26" s="15" t="s">
        <v>35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0.34290466666442998</v>
      </c>
    </row>
    <row r="30" spans="1:3" ht="14.25" customHeight="1" x14ac:dyDescent="0.25">
      <c r="B30" s="25" t="s">
        <v>38</v>
      </c>
      <c r="C30" s="99">
        <v>3.07454772021977E-2</v>
      </c>
    </row>
    <row r="31" spans="1:3" ht="14.25" customHeight="1" x14ac:dyDescent="0.25">
      <c r="B31" s="25" t="s">
        <v>39</v>
      </c>
      <c r="C31" s="99">
        <v>5.8505816356096703E-2</v>
      </c>
    </row>
    <row r="32" spans="1:3" ht="14.25" customHeight="1" x14ac:dyDescent="0.25">
      <c r="B32" s="25" t="s">
        <v>40</v>
      </c>
      <c r="C32" s="99">
        <v>0.56784403977727504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17.9986</v>
      </c>
    </row>
    <row r="38" spans="1:5" ht="15" customHeight="1" x14ac:dyDescent="0.25">
      <c r="B38" s="11" t="s">
        <v>45</v>
      </c>
      <c r="C38" s="43">
        <v>28.314070000000001</v>
      </c>
      <c r="D38" s="12"/>
      <c r="E38" s="13"/>
    </row>
    <row r="39" spans="1:5" ht="15" customHeight="1" x14ac:dyDescent="0.25">
      <c r="B39" s="11" t="s">
        <v>46</v>
      </c>
      <c r="C39" s="43">
        <v>34.869419999999998</v>
      </c>
      <c r="D39" s="12"/>
      <c r="E39" s="12"/>
    </row>
    <row r="40" spans="1:5" ht="15" customHeight="1" x14ac:dyDescent="0.25">
      <c r="B40" s="11" t="s">
        <v>47</v>
      </c>
      <c r="C40" s="100">
        <v>1.86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9.3217000000000005E-3</v>
      </c>
      <c r="D45" s="12"/>
    </row>
    <row r="46" spans="1:5" ht="15.75" customHeight="1" x14ac:dyDescent="0.25">
      <c r="B46" s="11" t="s">
        <v>52</v>
      </c>
      <c r="C46" s="45">
        <v>9.8476499999999995E-2</v>
      </c>
      <c r="D46" s="12"/>
    </row>
    <row r="47" spans="1:5" ht="15.75" customHeight="1" x14ac:dyDescent="0.25">
      <c r="B47" s="11" t="s">
        <v>53</v>
      </c>
      <c r="C47" s="45">
        <v>0.1054223</v>
      </c>
      <c r="D47" s="12"/>
      <c r="E47" s="13"/>
    </row>
    <row r="48" spans="1:5" ht="15" customHeight="1" x14ac:dyDescent="0.25">
      <c r="B48" s="11" t="s">
        <v>54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0.53242699999999998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ck+TwkBzvcQUQuTUoviYookboQ5M7FgjAeD33OoXcQa/f0CVYMXH84He4sdtpco4tQq3/7lS/QqFpW/FPnAKLw==" saltValue="6/9DCeHWRNyExdShgXXC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ZZ5Pv8t8fvT6dZsTRI/2F9K89+6C6eqAIzj/EsNQhFZvnLzDJKLvuxifAMePpjoAlcC+oxIKObY5fa5u5S3lQ==" saltValue="vVHN5+fBsS9z/LujzGra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5.1841994815800541E-3</v>
      </c>
    </row>
    <row r="4" spans="1:8" ht="15.75" customHeight="1" x14ac:dyDescent="0.25">
      <c r="B4" s="19" t="s">
        <v>79</v>
      </c>
      <c r="C4" s="101">
        <v>5.427229457277058E-2</v>
      </c>
    </row>
    <row r="5" spans="1:8" ht="15.75" customHeight="1" x14ac:dyDescent="0.25">
      <c r="B5" s="19" t="s">
        <v>80</v>
      </c>
      <c r="C5" s="101">
        <v>5.7245594275440542E-2</v>
      </c>
    </row>
    <row r="6" spans="1:8" ht="15.75" customHeight="1" x14ac:dyDescent="0.25">
      <c r="B6" s="19" t="s">
        <v>81</v>
      </c>
      <c r="C6" s="101">
        <v>0.2203829779617027</v>
      </c>
    </row>
    <row r="7" spans="1:8" ht="15.75" customHeight="1" x14ac:dyDescent="0.25">
      <c r="B7" s="19" t="s">
        <v>82</v>
      </c>
      <c r="C7" s="101">
        <v>0.451351354864864</v>
      </c>
    </row>
    <row r="8" spans="1:8" ht="15.75" customHeight="1" x14ac:dyDescent="0.25">
      <c r="B8" s="19" t="s">
        <v>83</v>
      </c>
      <c r="C8" s="101">
        <v>6.7609993239000699E-4</v>
      </c>
    </row>
    <row r="9" spans="1:8" ht="15.75" customHeight="1" x14ac:dyDescent="0.25">
      <c r="B9" s="19" t="s">
        <v>84</v>
      </c>
      <c r="C9" s="101">
        <v>0.10118568988143101</v>
      </c>
    </row>
    <row r="10" spans="1:8" ht="15.75" customHeight="1" x14ac:dyDescent="0.25">
      <c r="B10" s="19" t="s">
        <v>85</v>
      </c>
      <c r="C10" s="101">
        <v>0.1097017890298211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88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89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90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91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92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93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94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95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4.6309735999999997E-2</v>
      </c>
    </row>
    <row r="27" spans="1:8" ht="15.75" customHeight="1" x14ac:dyDescent="0.25">
      <c r="B27" s="19" t="s">
        <v>102</v>
      </c>
      <c r="C27" s="101">
        <v>2.2410375E-2</v>
      </c>
    </row>
    <row r="28" spans="1:8" ht="15.75" customHeight="1" x14ac:dyDescent="0.25">
      <c r="B28" s="19" t="s">
        <v>103</v>
      </c>
      <c r="C28" s="101">
        <v>0.105751911</v>
      </c>
    </row>
    <row r="29" spans="1:8" ht="15.75" customHeight="1" x14ac:dyDescent="0.25">
      <c r="B29" s="19" t="s">
        <v>104</v>
      </c>
      <c r="C29" s="101">
        <v>0.106714216</v>
      </c>
    </row>
    <row r="30" spans="1:8" ht="15.75" customHeight="1" x14ac:dyDescent="0.25">
      <c r="B30" s="19" t="s">
        <v>2</v>
      </c>
      <c r="C30" s="101">
        <v>5.0717751999999991E-2</v>
      </c>
    </row>
    <row r="31" spans="1:8" ht="15.75" customHeight="1" x14ac:dyDescent="0.25">
      <c r="B31" s="19" t="s">
        <v>105</v>
      </c>
      <c r="C31" s="101">
        <v>9.8186192000000005E-2</v>
      </c>
    </row>
    <row r="32" spans="1:8" ht="15.75" customHeight="1" x14ac:dyDescent="0.25">
      <c r="B32" s="19" t="s">
        <v>106</v>
      </c>
      <c r="C32" s="101">
        <v>3.9065067000000002E-2</v>
      </c>
    </row>
    <row r="33" spans="2:3" ht="15.75" customHeight="1" x14ac:dyDescent="0.25">
      <c r="B33" s="19" t="s">
        <v>107</v>
      </c>
      <c r="C33" s="101">
        <v>9.1384244000000003E-2</v>
      </c>
    </row>
    <row r="34" spans="2:3" ht="15.75" customHeight="1" x14ac:dyDescent="0.25">
      <c r="B34" s="19" t="s">
        <v>108</v>
      </c>
      <c r="C34" s="101">
        <v>0.43946050599999997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/tX1zXRYdqtOn2zGNVMf8XbVqNwbWgaD4bw+WZso7fwYX09PHTcCcyMQ2eh4tLh6o3Y9wko3f1AwSAIcuvNPIg==" saltValue="5iesETsI08nvNhFGpqmO7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114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115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119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120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jCV3PsdFcXKT/kaheA6IUURJtAIYFRslMVLTIW66au6yy64gv9ru1QtfEr5uk4DJ61/SwzrQb1JcLiTGWxzGA==" saltValue="vDSHuCR9pkixANPUQycY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132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loByZxSQhNO9wn/4TBpQ3s7QoZ5Bv/qSs5vzygL6VUCJmUPr2y7FPVCHRjN3hsaeqtqS6TQv5JO0q3heWhi+uw==" saltValue="OXEi5uz66b/aaD15luKs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tQ5t2sv1b3QSq5+OSRec2EUHArGryiXfeYrR8uk/FzL/o0ykhutN+PCvEhFp89rrhn1Q47mw8+CgQ+6tEFeAw==" saltValue="9KDnjrt89wqslXJZTMx6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xiJnyQjcn95jJPvJDMXFRYUXjKCUu7Jo6kedT3u7av48Y0UlNsKUOn3sISmnbL9hopOfTDKQZYbofN2rnQAepA==" saltValue="VfSywaYvNmFYDgCGj6XY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/GcAzaIS94Rxq+IN2qvDSyG307FTlQ8Vzuj0SpXJlQrAxZkokeS5cUoGuX6Ua0DcDE65b+9CFt4FlIb7OrpUg==" saltValue="o/TYkv0rB16rYp4Wz0DD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jZ+swig/GyWSbDOC0P7Sr0T7hpJzWkyv6HLcsVsX3ysCMEnHLZhOL6MbCXSxRzR3TqEPcK3ce6KkHqqYSc2/w==" saltValue="hMAz+Y0M42xBlK/BzaAN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2.0667641916565072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13.409894534701801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13.409894534701801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13.409894534701801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13.409894534701801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13.409894534701801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13.409894534701801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23.349725533539811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4.5279095940423639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0.67072384119999995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0.42899999999999999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0.45500000000000002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0.64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0.91189679999999995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B0BTjdZPGXOfqcWW3rs/VGfGu7cNgHHHZmry9WRzFsOtiCKB8WOmN2TQ1i36xis3rq9AdfNPc5VruwZI394Rww==" saltValue="r9CnLccqIdGn6GH91GE1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NOVEPwCmiWNVq74UEvrpcQb6nS6vgfh5c5P0jzECxn/rUuCCZXy75MtGTAbzludBuXMutwGNL7nfVAM3JTFEg==" saltValue="0ww8Tzo637ZBQPk3hx8f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+3nez4G8fLDJRFaWkSJEz1p3ppPSp475Jt2kA20LfjrGhchZ2/kQct83vQ5Vnp9056FspPp7cT9TI0Ns3b34g==" saltValue="kn2eHm/mZWw2DcZvxYBo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208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J/GXvl+yzlJdN7mF71LjEBsp9MdXgV7NwGlN4UMTSdrcTtTh2A3rsQRvRSob1yEK7qOE74rUTOea+IzArYsNUA==" saltValue="+LG/BFx9XmPZIahAHv7t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7G8KL4gGRKLqnhA6fZI3fmY6ZpXiMqCumrqwI3PXAsiQAPxNPHWq1EZuDOu8zDFhKYBX1/iXfufESDyFpeFmw==" saltValue="vHwK+RoF1cQzCNE42vx8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ci3V9SpsjENRYbpwyKji1lSOcx2UYOzf2Q2pizPiltsJRgqSrRkvkJ+403yU5pH4ngmiU2O9SDKiFbJtxwkTA==" saltValue="x2K5gqaJm6+TNdxat9Br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uE3571228heWY0OtJGysMoAYO2o9MmVFktEPXcOeoGAiN+Fvbr3cdJEyoePEY4creJLAfcA4mtn/P7A+swqXw==" saltValue="UVxwcqy9b3kRWOdYyZoZ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wCyI78N3SXXog5Hu3gd4mCUCxnCl/OK4Anc39uDa0IMHtXxP3+YZNy+hpQ8mIamSWNNRZSeLXY7g9XemwhgHQ==" saltValue="L+3ieJbSNWRrFdDnFiEv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+OvEL2cbzREkN17bXVlrA3Jkenb3n1NHdUq2YJcrb7VwO57KW+rd5obg0cCQwrtzXtkZtqa4PkVCOfpp8Fvyw==" saltValue="0SmQsTR4A/Hxa0aUL8sf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dE2+E1UfS5jIR0gAgI98tWC9cGgok4hb1wcV2sjIqgnjBpTuPtL73sjXIOzrKoeH+5R5Md2mXgVEpVXRURKJA==" saltValue="OTrjTSwZr4mziIrRdfGy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47ueiX5mlrkfwdfdjGlUuFvIaZsK+31r+TXlEZNGoDsO7RrUVIFZ08sbLFVlCke82bUYGFHPbocNMs6KsoHWw==" saltValue="WXnJmhZF59mI0DQu62fq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aKi5Ijum9ZvUcN5LUq/9phkQXejogdt8EtqSn5ku19U0ljLyTy10iATf1vUvpkUN6m/wvObCaNB85syB2jy+g==" saltValue="2D8ZhkHjI4kgeO8X10Ci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uYf9OkwFMcy2caWmIsPFgbvOUl+wCc1wd01+7aIPuQYA4udt5u83sISiL7Bv9yCybaBS7176nOXRu2X2yUOew==" saltValue="s7hPOz8NSkQsYaupRCvx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m2les93aWdVeIzzTAIpUySxPR26kFN0rzxve6HHuf8d6+ctLKxakf0afcCbVn9UGLZ/Qp35UXHptyQ+OL59iA==" saltValue="EbDOy+V/BljKk9TeIKTY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iKHh1dadxjTb5Hbovp0V33XRwaq0wHuBFCpusOuoD11cbhzUVsJk9xS/LlnlvS4EZJiDwB5hh8J5QX16YmGmw==" saltValue="RUFkedP6uQy9zQMJuUoH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lfevQXaKFAt32fy/pGRjyJLnprzRvwGTZbcvLDO1H6AOeHBOKoKOcAJK9LOhKqLLDuIKzusi7hC+rRSS4WGGQ==" saltValue="0nIZn1oWA9unTYV1jOm6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/j2u5IKokJgUZWU4XkuUvRWWOywfitzIPjUNxr9FtRhjHhy49VB747N1PyDsBy+E9sezT0kilK041VPhhPqJg==" saltValue="7sMf+F090NYfxUJKZW5w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0.10721086571598237</v>
      </c>
      <c r="G18" s="90">
        <f>MIN(MAX(1-0.89/(1-frac_sam_12_23months+(frac_sam_12_23months*0.89)),0),1)</f>
        <v>0.1077475279132436</v>
      </c>
      <c r="H18" s="90">
        <f>MIN(MAX(1-0.89/(1-frac_sam_24_59months+(frac_sam_24_59months*0.89)),0),1)</f>
        <v>0.10895514505068638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0.10472120833192411</v>
      </c>
      <c r="G20" s="90">
        <f>MIN(MAX(1-0.89/(1-frac_mam_12_23months+(frac_mam_12_23months*0.89)),0),1)</f>
        <v>0.1058523700799322</v>
      </c>
      <c r="H20" s="90">
        <f>MIN(MAX(1-0.89/(1-frac_mam_24_59months+(frac_mam_24_59months*0.89)),0),1)</f>
        <v>0.10782286806760277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9.7187539722375371E-3</v>
      </c>
      <c r="G73" s="90">
        <f>MIN(MAX(1-0.99/(1-frac_sam_12_23months+(frac_sam_12_23months*0.99)),0),1)</f>
        <v>9.7727447900185505E-3</v>
      </c>
      <c r="H73" s="90">
        <f>MIN(MAX(1-0.99/(1-frac_sam_24_59months+(frac_sam_24_59months*0.99)),0),1)</f>
        <v>9.8944531574656214E-3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9.469052488417562E-3</v>
      </c>
      <c r="G75" s="90">
        <f>MIN(MAX(1-0.99/(1-frac_mam_12_23months+(frac_mam_12_23months*0.99)),0),1)</f>
        <v>9.5823461811934685E-3</v>
      </c>
      <c r="H75" s="90">
        <f>MIN(MAX(1-0.99/(1-frac_mam_24_59months+(frac_mam_24_59months*0.99)),0),1)</f>
        <v>9.780329102368257E-3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0.19542994207441833</v>
      </c>
      <c r="G128" s="90">
        <f>MIN(MAX(1-0.8/(1-frac_sam_12_23months+(frac_sam_12_23months*0.8)),0),1)</f>
        <v>0.19631109952029058</v>
      </c>
      <c r="H128" s="90">
        <f>MIN(MAX(1-0.8/(1-frac_sam_24_59months+(frac_sam_24_59months*0.8)),0),1)</f>
        <v>0.19829073006727693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0.19133069070600239</v>
      </c>
      <c r="G130" s="90">
        <f>MIN(MAX(1-0.8/(1-frac_mam_12_23months+(frac_mam_12_23months*0.8)),0),1)</f>
        <v>0.19319549726729179</v>
      </c>
      <c r="H130" s="90">
        <f>MIN(MAX(1-0.8/(1-frac_mam_24_59months+(frac_mam_24_59months*0.8)),0),1)</f>
        <v>0.19643473243727461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swrODPiNBuvw5kNZXJafD8y5gnK4p2R6DU94StuK0509h0g5y3VAbNKYuRjTc9GM+dSnKlzkkFLEG166t7KeA==" saltValue="T8BTi5GN4VT2n/ypS8FT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lgepsV+XT5Yr4Zs8qDJ8KREU+s2NqRzzb9nW0fYNm3S6szEc3DwwVCbGBicFf8kR9uGquWGmEmaRk113gPadg==" saltValue="pPvaCXa1BU0IFkzqzV1KS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2024-08-06T08:50:17Z</dcterms:modified>
</cp:coreProperties>
</file>