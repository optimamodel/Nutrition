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8636F690-C9AB-42C8-80D1-D34D1277332A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19" i="2" l="1"/>
  <c r="A37" i="2"/>
  <c r="A36" i="2"/>
  <c r="I7" i="2"/>
  <c r="I13" i="2"/>
  <c r="I6" i="2"/>
  <c r="I12" i="2"/>
  <c r="A35" i="2"/>
  <c r="I38" i="2"/>
  <c r="A22" i="2"/>
  <c r="I3" i="2"/>
  <c r="I9" i="2"/>
  <c r="A23" i="2"/>
  <c r="A24" i="2"/>
  <c r="A40" i="2"/>
  <c r="I4" i="2"/>
  <c r="A25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<sst xmlns="http://schemas.openxmlformats.org/spreadsheetml/2006/main" count="2169" uniqueCount="369">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</sst>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293184.5</v>
      </c>
    </row>
    <row r="8" spans="1:3" ht="15" customHeight="1" x14ac:dyDescent="0.25">
      <c r="B8" s="5" t="s">
        <v>37</v>
      </c>
      <c r="C8" s="44">
        <v>0.161</v>
      </c>
    </row>
    <row r="9" spans="1:3" ht="15" customHeight="1" x14ac:dyDescent="0.25">
      <c r="B9" s="5" t="s">
        <v>38</v>
      </c>
      <c r="C9" s="45">
        <v>0.13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8.2100000000000006E-2</v>
      </c>
    </row>
    <row r="24" spans="1:3" ht="15" customHeight="1" x14ac:dyDescent="0.25">
      <c r="B24" s="15" t="s">
        <v>51</v>
      </c>
      <c r="C24" s="45">
        <v>0.47039999999999998</v>
      </c>
    </row>
    <row r="25" spans="1:3" ht="15" customHeight="1" x14ac:dyDescent="0.25">
      <c r="B25" s="15" t="s">
        <v>52</v>
      </c>
      <c r="C25" s="45">
        <v>0.35039999999999999</v>
      </c>
    </row>
    <row r="26" spans="1:3" ht="15" customHeight="1" x14ac:dyDescent="0.25">
      <c r="B26" s="15" t="s">
        <v>53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0.34290466666442998</v>
      </c>
    </row>
    <row r="30" spans="1:3" ht="14.25" customHeight="1" x14ac:dyDescent="0.25">
      <c r="B30" s="25" t="s">
        <v>56</v>
      </c>
      <c r="C30" s="97">
        <v>3.07454772021977E-2</v>
      </c>
    </row>
    <row r="31" spans="1:3" ht="14.25" customHeight="1" x14ac:dyDescent="0.25">
      <c r="B31" s="25" t="s">
        <v>57</v>
      </c>
      <c r="C31" s="97">
        <v>5.8505816356096703E-2</v>
      </c>
    </row>
    <row r="32" spans="1:3" ht="14.25" customHeight="1" x14ac:dyDescent="0.25">
      <c r="B32" s="25" t="s">
        <v>58</v>
      </c>
      <c r="C32" s="97">
        <v>0.56784403977727504</v>
      </c>
    </row>
    <row r="33" spans="1:5" ht="13.25" customHeight="1" x14ac:dyDescent="0.25">
      <c r="B33" s="27" t="s">
        <v>59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17.9986</v>
      </c>
    </row>
    <row r="38" spans="1:5" ht="15" customHeight="1" x14ac:dyDescent="0.25">
      <c r="B38" s="11" t="s">
        <v>63</v>
      </c>
      <c r="C38" s="43">
        <v>28.314070000000001</v>
      </c>
      <c r="D38" s="12"/>
      <c r="E38" s="13"/>
    </row>
    <row r="39" spans="1:5" ht="15" customHeight="1" x14ac:dyDescent="0.25">
      <c r="B39" s="11" t="s">
        <v>64</v>
      </c>
      <c r="C39" s="43">
        <v>34.869419999999998</v>
      </c>
      <c r="D39" s="12"/>
      <c r="E39" s="12"/>
    </row>
    <row r="40" spans="1:5" ht="15" customHeight="1" x14ac:dyDescent="0.25">
      <c r="B40" s="11" t="s">
        <v>65</v>
      </c>
      <c r="C40" s="98">
        <v>1.86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14.728400000000001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9.3217000000000005E-3</v>
      </c>
      <c r="D45" s="12"/>
    </row>
    <row r="46" spans="1:5" ht="15.75" customHeight="1" x14ac:dyDescent="0.25">
      <c r="B46" s="11" t="s">
        <v>70</v>
      </c>
      <c r="C46" s="45">
        <v>9.8476499999999995E-2</v>
      </c>
      <c r="D46" s="12"/>
    </row>
    <row r="47" spans="1:5" ht="15.75" customHeight="1" x14ac:dyDescent="0.25">
      <c r="B47" s="11" t="s">
        <v>71</v>
      </c>
      <c r="C47" s="45">
        <v>0.1054223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3.3</v>
      </c>
      <c r="D51" s="12"/>
    </row>
    <row r="52" spans="1:4" ht="15" customHeight="1" x14ac:dyDescent="0.25">
      <c r="B52" s="11" t="s">
        <v>75</v>
      </c>
      <c r="C52" s="98">
        <v>3.3</v>
      </c>
    </row>
    <row r="53" spans="1:4" ht="15.75" customHeight="1" x14ac:dyDescent="0.25">
      <c r="B53" s="11" t="s">
        <v>76</v>
      </c>
      <c r="C53" s="98">
        <v>3.3</v>
      </c>
    </row>
    <row r="54" spans="1:4" ht="15.75" customHeight="1" x14ac:dyDescent="0.25">
      <c r="B54" s="11" t="s">
        <v>77</v>
      </c>
      <c r="C54" s="98">
        <v>3.3</v>
      </c>
    </row>
    <row r="55" spans="1:4" ht="15.75" customHeight="1" x14ac:dyDescent="0.25">
      <c r="B55" s="11" t="s">
        <v>78</v>
      </c>
      <c r="C55" s="98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0.53242699999999998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0.1683437991</v>
      </c>
    </row>
    <row r="63" spans="1:4" ht="15.75" customHeight="1" x14ac:dyDescent="0.3">
      <c r="A63" s="4"/>
    </row>
  </sheetData>
  <sheetProtection algorithmName="SHA-512" hashValue="shks6HW4V/Xe1bNkCeQSFGkJ5zGGN9o8xZcUykwwo7qtO50Ku/1X++kgn4SV36nJ0ulpDG1XqWwE++MGQt2xjw==" saltValue="lb42gefP/xjz6u2FcH4J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61418</v>
      </c>
      <c r="C2" s="49">
        <v>122043</v>
      </c>
      <c r="D2" s="49">
        <v>246514</v>
      </c>
      <c r="E2" s="49">
        <v>204504.5</v>
      </c>
      <c r="F2" s="49">
        <v>120444.5</v>
      </c>
      <c r="G2" s="17">
        <f t="shared" ref="G2:G13" si="0">C2+D2+E2+F2</f>
        <v>693506</v>
      </c>
      <c r="H2" s="17">
        <f t="shared" ref="H2:H13" si="1">(B2 + stillbirth*B2/(1000-stillbirth))/(1-abortion)</f>
        <v>70836.489977161444</v>
      </c>
      <c r="I2" s="17">
        <f t="shared" ref="I2:I13" si="2">G2-H2</f>
        <v>622669.5100228386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61186</v>
      </c>
      <c r="C3" s="50">
        <v>121150</v>
      </c>
      <c r="D3" s="50">
        <v>244901</v>
      </c>
      <c r="E3" s="50">
        <v>213267.5</v>
      </c>
      <c r="F3" s="50">
        <v>125401</v>
      </c>
      <c r="G3" s="17">
        <f t="shared" si="0"/>
        <v>704719.5</v>
      </c>
      <c r="H3" s="17">
        <f t="shared" si="1"/>
        <v>70568.912627285157</v>
      </c>
      <c r="I3" s="17">
        <f t="shared" si="2"/>
        <v>634150.58737271489</v>
      </c>
    </row>
    <row r="4" spans="1:9" ht="15.75" customHeight="1" x14ac:dyDescent="0.25">
      <c r="A4" s="5">
        <f t="shared" si="3"/>
        <v>2026</v>
      </c>
      <c r="B4" s="49">
        <v>60884</v>
      </c>
      <c r="C4" s="50">
        <v>120618</v>
      </c>
      <c r="D4" s="50">
        <v>243355.5</v>
      </c>
      <c r="E4" s="50">
        <v>220178.5</v>
      </c>
      <c r="F4" s="50">
        <v>131801.5</v>
      </c>
      <c r="G4" s="17">
        <f t="shared" si="0"/>
        <v>715953.5</v>
      </c>
      <c r="H4" s="17">
        <f t="shared" si="1"/>
        <v>70220.600732187595</v>
      </c>
      <c r="I4" s="17">
        <f t="shared" si="2"/>
        <v>645732.89926781238</v>
      </c>
    </row>
    <row r="5" spans="1:9" ht="15.75" customHeight="1" x14ac:dyDescent="0.25">
      <c r="A5" s="5">
        <f t="shared" si="3"/>
        <v>2027</v>
      </c>
      <c r="B5" s="49">
        <v>60499</v>
      </c>
      <c r="C5" s="50">
        <v>120595</v>
      </c>
      <c r="D5" s="50">
        <v>242341</v>
      </c>
      <c r="E5" s="50">
        <v>225669</v>
      </c>
      <c r="F5" s="50">
        <v>138740.5</v>
      </c>
      <c r="G5" s="17">
        <f t="shared" si="0"/>
        <v>727345.5</v>
      </c>
      <c r="H5" s="17">
        <f t="shared" si="1"/>
        <v>69776.560733470484</v>
      </c>
      <c r="I5" s="17">
        <f t="shared" si="2"/>
        <v>657568.93926652952</v>
      </c>
    </row>
    <row r="6" spans="1:9" ht="15.75" customHeight="1" x14ac:dyDescent="0.25">
      <c r="A6" s="5">
        <f t="shared" si="3"/>
        <v>2028</v>
      </c>
      <c r="B6" s="49">
        <v>60095</v>
      </c>
      <c r="C6" s="50">
        <v>120964</v>
      </c>
      <c r="D6" s="50">
        <v>241493.5</v>
      </c>
      <c r="E6" s="50">
        <v>231270</v>
      </c>
      <c r="F6" s="50">
        <v>144891</v>
      </c>
      <c r="G6" s="17">
        <f t="shared" si="0"/>
        <v>738618.5</v>
      </c>
      <c r="H6" s="17">
        <f t="shared" si="1"/>
        <v>69310.607072479033</v>
      </c>
      <c r="I6" s="17">
        <f t="shared" si="2"/>
        <v>669307.89292752091</v>
      </c>
    </row>
    <row r="7" spans="1:9" ht="15.75" customHeight="1" x14ac:dyDescent="0.25">
      <c r="A7" s="5">
        <f t="shared" si="3"/>
        <v>2029</v>
      </c>
      <c r="B7" s="49">
        <v>59578</v>
      </c>
      <c r="C7" s="50">
        <v>121605</v>
      </c>
      <c r="D7" s="50">
        <v>240392.5</v>
      </c>
      <c r="E7" s="50">
        <v>236092</v>
      </c>
      <c r="F7" s="50">
        <v>150942.5</v>
      </c>
      <c r="G7" s="17">
        <f t="shared" si="0"/>
        <v>749032</v>
      </c>
      <c r="H7" s="17">
        <f t="shared" si="1"/>
        <v>68714.324788487487</v>
      </c>
      <c r="I7" s="17">
        <f t="shared" si="2"/>
        <v>680317.67521151248</v>
      </c>
    </row>
    <row r="8" spans="1:9" ht="15.75" customHeight="1" x14ac:dyDescent="0.25">
      <c r="A8" s="5">
        <f t="shared" si="3"/>
        <v>2030</v>
      </c>
      <c r="B8" s="49">
        <v>59019</v>
      </c>
      <c r="C8" s="50">
        <v>122663</v>
      </c>
      <c r="D8" s="50">
        <v>239588</v>
      </c>
      <c r="E8" s="50">
        <v>239162</v>
      </c>
      <c r="F8" s="50">
        <v>158187.5</v>
      </c>
      <c r="G8" s="17">
        <f t="shared" si="0"/>
        <v>759600.5</v>
      </c>
      <c r="H8" s="17">
        <f t="shared" si="1"/>
        <v>68069.601777363176</v>
      </c>
      <c r="I8" s="17">
        <f t="shared" si="2"/>
        <v>691530.89822263678</v>
      </c>
    </row>
    <row r="9" spans="1:9" ht="15.75" customHeight="1" x14ac:dyDescent="0.25">
      <c r="A9" s="5">
        <f t="shared" si="3"/>
        <v>2031</v>
      </c>
      <c r="B9" s="49">
        <v>58504</v>
      </c>
      <c r="C9" s="50">
        <v>124182</v>
      </c>
      <c r="D9" s="50">
        <v>238890.5</v>
      </c>
      <c r="E9" s="50">
        <v>240863</v>
      </c>
      <c r="F9" s="50">
        <v>167012.5</v>
      </c>
      <c r="G9" s="17">
        <f t="shared" si="0"/>
        <v>770948</v>
      </c>
      <c r="H9" s="17">
        <f t="shared" si="1"/>
        <v>67475.626194663666</v>
      </c>
      <c r="I9" s="17">
        <f t="shared" si="2"/>
        <v>703472.3738053363</v>
      </c>
    </row>
    <row r="10" spans="1:9" ht="15.75" customHeight="1" x14ac:dyDescent="0.25">
      <c r="A10" s="5">
        <f t="shared" si="3"/>
        <v>2032</v>
      </c>
      <c r="B10" s="49">
        <v>57994</v>
      </c>
      <c r="C10" s="50">
        <v>126059</v>
      </c>
      <c r="D10" s="50">
        <v>238182</v>
      </c>
      <c r="E10" s="50">
        <v>240943</v>
      </c>
      <c r="F10" s="50">
        <v>177096</v>
      </c>
      <c r="G10" s="17">
        <f t="shared" si="0"/>
        <v>782280</v>
      </c>
      <c r="H10" s="17">
        <f t="shared" si="1"/>
        <v>66887.417365194255</v>
      </c>
      <c r="I10" s="17">
        <f t="shared" si="2"/>
        <v>715392.5826348057</v>
      </c>
    </row>
    <row r="11" spans="1:9" ht="15.75" customHeight="1" x14ac:dyDescent="0.25">
      <c r="A11" s="5">
        <f t="shared" si="3"/>
        <v>2033</v>
      </c>
      <c r="B11" s="49">
        <v>57410</v>
      </c>
      <c r="C11" s="50">
        <v>128198.5</v>
      </c>
      <c r="D11" s="50">
        <v>237690</v>
      </c>
      <c r="E11" s="50">
        <v>240093.5</v>
      </c>
      <c r="F11" s="50">
        <v>187359</v>
      </c>
      <c r="G11" s="17">
        <f t="shared" si="0"/>
        <v>793341</v>
      </c>
      <c r="H11" s="17">
        <f t="shared" si="1"/>
        <v>66213.86058791948</v>
      </c>
      <c r="I11" s="17">
        <f t="shared" si="2"/>
        <v>727127.13941208052</v>
      </c>
    </row>
    <row r="12" spans="1:9" ht="15.75" customHeight="1" x14ac:dyDescent="0.25">
      <c r="A12" s="5">
        <f t="shared" si="3"/>
        <v>2034</v>
      </c>
      <c r="B12" s="49">
        <v>56888</v>
      </c>
      <c r="C12" s="50">
        <v>130486</v>
      </c>
      <c r="D12" s="50">
        <v>237524.5</v>
      </c>
      <c r="E12" s="50">
        <v>238926</v>
      </c>
      <c r="F12" s="50">
        <v>197471.5</v>
      </c>
      <c r="G12" s="17">
        <f t="shared" si="0"/>
        <v>804408</v>
      </c>
      <c r="H12" s="17">
        <f t="shared" si="1"/>
        <v>65611.81155069785</v>
      </c>
      <c r="I12" s="17">
        <f t="shared" si="2"/>
        <v>738796.18844930211</v>
      </c>
    </row>
    <row r="13" spans="1:9" ht="15.75" customHeight="1" x14ac:dyDescent="0.25">
      <c r="A13" s="5">
        <f t="shared" si="3"/>
        <v>2035</v>
      </c>
      <c r="B13" s="49">
        <v>56435</v>
      </c>
      <c r="C13" s="50">
        <v>132832</v>
      </c>
      <c r="D13" s="50">
        <v>237920.5</v>
      </c>
      <c r="E13" s="50">
        <v>237826</v>
      </c>
      <c r="F13" s="50">
        <v>206281</v>
      </c>
      <c r="G13" s="17">
        <f t="shared" si="0"/>
        <v>814859.5</v>
      </c>
      <c r="H13" s="17">
        <f t="shared" si="1"/>
        <v>65089.343708051478</v>
      </c>
      <c r="I13" s="17">
        <f t="shared" si="2"/>
        <v>749770.15629194851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TwFIdQwmRy5wXMwTlPwBUh84dar4lmERWbccXqeIJmUhsKkha/6ieQ2fSqYU9jf+3xFTAbQitcFgOEBqzC2KQ==" saltValue="9AaWVaQy/OYvDplWSWj0W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5.1841994815800541E-3</v>
      </c>
    </row>
    <row r="4" spans="1:8" ht="15.75" customHeight="1" x14ac:dyDescent="0.25">
      <c r="B4" s="19" t="s">
        <v>97</v>
      </c>
      <c r="C4" s="99">
        <v>5.427229457277058E-2</v>
      </c>
    </row>
    <row r="5" spans="1:8" ht="15.75" customHeight="1" x14ac:dyDescent="0.25">
      <c r="B5" s="19" t="s">
        <v>98</v>
      </c>
      <c r="C5" s="99">
        <v>5.7245594275440542E-2</v>
      </c>
    </row>
    <row r="6" spans="1:8" ht="15.75" customHeight="1" x14ac:dyDescent="0.25">
      <c r="B6" s="19" t="s">
        <v>99</v>
      </c>
      <c r="C6" s="99">
        <v>0.2203829779617027</v>
      </c>
    </row>
    <row r="7" spans="1:8" ht="15.75" customHeight="1" x14ac:dyDescent="0.25">
      <c r="B7" s="19" t="s">
        <v>100</v>
      </c>
      <c r="C7" s="99">
        <v>0.451351354864864</v>
      </c>
    </row>
    <row r="8" spans="1:8" ht="15.75" customHeight="1" x14ac:dyDescent="0.25">
      <c r="B8" s="19" t="s">
        <v>101</v>
      </c>
      <c r="C8" s="99">
        <v>6.7609993239000699E-4</v>
      </c>
    </row>
    <row r="9" spans="1:8" ht="15.75" customHeight="1" x14ac:dyDescent="0.25">
      <c r="B9" s="19" t="s">
        <v>102</v>
      </c>
      <c r="C9" s="99">
        <v>0.10118568988143101</v>
      </c>
    </row>
    <row r="10" spans="1:8" ht="15.75" customHeight="1" x14ac:dyDescent="0.25">
      <c r="B10" s="19" t="s">
        <v>103</v>
      </c>
      <c r="C10" s="99">
        <v>0.1097017890298211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0.1058635654773743</v>
      </c>
      <c r="D14" s="55">
        <v>0.1058635654773743</v>
      </c>
      <c r="E14" s="55">
        <v>0.1058635654773743</v>
      </c>
      <c r="F14" s="55">
        <v>0.1058635654773743</v>
      </c>
    </row>
    <row r="15" spans="1:8" ht="15.75" customHeight="1" x14ac:dyDescent="0.25">
      <c r="B15" s="19" t="s">
        <v>106</v>
      </c>
      <c r="C15" s="99">
        <v>0.1278583636640768</v>
      </c>
      <c r="D15" s="99">
        <v>0.1278583636640768</v>
      </c>
      <c r="E15" s="99">
        <v>0.1278583636640768</v>
      </c>
      <c r="F15" s="99">
        <v>0.1278583636640768</v>
      </c>
    </row>
    <row r="16" spans="1:8" ht="15.75" customHeight="1" x14ac:dyDescent="0.25">
      <c r="B16" s="19" t="s">
        <v>107</v>
      </c>
      <c r="C16" s="99">
        <v>7.9540754572635704E-3</v>
      </c>
      <c r="D16" s="99">
        <v>7.9540754572635704E-3</v>
      </c>
      <c r="E16" s="99">
        <v>7.9540754572635704E-3</v>
      </c>
      <c r="F16" s="99">
        <v>7.9540754572635704E-3</v>
      </c>
    </row>
    <row r="17" spans="1:8" ht="15.75" customHeight="1" x14ac:dyDescent="0.25">
      <c r="B17" s="19" t="s">
        <v>108</v>
      </c>
      <c r="C17" s="99">
        <v>1.0143106701154391E-3</v>
      </c>
      <c r="D17" s="99">
        <v>1.0143106701154391E-3</v>
      </c>
      <c r="E17" s="99">
        <v>1.0143106701154391E-3</v>
      </c>
      <c r="F17" s="99">
        <v>1.0143106701154391E-3</v>
      </c>
    </row>
    <row r="18" spans="1:8" ht="15.75" customHeight="1" x14ac:dyDescent="0.25">
      <c r="B18" s="19" t="s">
        <v>109</v>
      </c>
      <c r="C18" s="99">
        <v>5.3754549258704684E-4</v>
      </c>
      <c r="D18" s="99">
        <v>5.3754549258704684E-4</v>
      </c>
      <c r="E18" s="99">
        <v>5.3754549258704684E-4</v>
      </c>
      <c r="F18" s="99">
        <v>5.3754549258704684E-4</v>
      </c>
    </row>
    <row r="19" spans="1:8" ht="15.75" customHeight="1" x14ac:dyDescent="0.25">
      <c r="B19" s="19" t="s">
        <v>110</v>
      </c>
      <c r="C19" s="99">
        <v>4.7038167794426723E-3</v>
      </c>
      <c r="D19" s="99">
        <v>4.7038167794426723E-3</v>
      </c>
      <c r="E19" s="99">
        <v>4.7038167794426723E-3</v>
      </c>
      <c r="F19" s="99">
        <v>4.7038167794426723E-3</v>
      </c>
    </row>
    <row r="20" spans="1:8" ht="15.75" customHeight="1" x14ac:dyDescent="0.25">
      <c r="B20" s="19" t="s">
        <v>111</v>
      </c>
      <c r="C20" s="99">
        <v>0.51254978406956297</v>
      </c>
      <c r="D20" s="99">
        <v>0.51254978406956297</v>
      </c>
      <c r="E20" s="99">
        <v>0.51254978406956297</v>
      </c>
      <c r="F20" s="99">
        <v>0.51254978406956297</v>
      </c>
    </row>
    <row r="21" spans="1:8" ht="15.75" customHeight="1" x14ac:dyDescent="0.25">
      <c r="B21" s="19" t="s">
        <v>112</v>
      </c>
      <c r="C21" s="99">
        <v>0.1037471416459311</v>
      </c>
      <c r="D21" s="99">
        <v>0.1037471416459311</v>
      </c>
      <c r="E21" s="99">
        <v>0.1037471416459311</v>
      </c>
      <c r="F21" s="99">
        <v>0.1037471416459311</v>
      </c>
    </row>
    <row r="22" spans="1:8" ht="15.75" customHeight="1" x14ac:dyDescent="0.25">
      <c r="B22" s="19" t="s">
        <v>113</v>
      </c>
      <c r="C22" s="99">
        <v>0.13577139674364599</v>
      </c>
      <c r="D22" s="99">
        <v>0.13577139674364599</v>
      </c>
      <c r="E22" s="99">
        <v>0.13577139674364599</v>
      </c>
      <c r="F22" s="99">
        <v>0.13577139674364599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4.6309735999999997E-2</v>
      </c>
    </row>
    <row r="27" spans="1:8" ht="15.75" customHeight="1" x14ac:dyDescent="0.25">
      <c r="B27" s="19" t="s">
        <v>120</v>
      </c>
      <c r="C27" s="99">
        <v>2.2410375E-2</v>
      </c>
    </row>
    <row r="28" spans="1:8" ht="15.75" customHeight="1" x14ac:dyDescent="0.25">
      <c r="B28" s="19" t="s">
        <v>121</v>
      </c>
      <c r="C28" s="99">
        <v>0.105751911</v>
      </c>
    </row>
    <row r="29" spans="1:8" ht="15.75" customHeight="1" x14ac:dyDescent="0.25">
      <c r="B29" s="19" t="s">
        <v>122</v>
      </c>
      <c r="C29" s="99">
        <v>0.106714216</v>
      </c>
    </row>
    <row r="30" spans="1:8" ht="15.75" customHeight="1" x14ac:dyDescent="0.25">
      <c r="B30" s="19" t="s">
        <v>2</v>
      </c>
      <c r="C30" s="99">
        <v>5.0717751999999991E-2</v>
      </c>
    </row>
    <row r="31" spans="1:8" ht="15.75" customHeight="1" x14ac:dyDescent="0.25">
      <c r="B31" s="19" t="s">
        <v>123</v>
      </c>
      <c r="C31" s="99">
        <v>9.8186192000000005E-2</v>
      </c>
    </row>
    <row r="32" spans="1:8" ht="15.75" customHeight="1" x14ac:dyDescent="0.25">
      <c r="B32" s="19" t="s">
        <v>124</v>
      </c>
      <c r="C32" s="99">
        <v>3.9065067000000002E-2</v>
      </c>
    </row>
    <row r="33" spans="2:3" ht="15.75" customHeight="1" x14ac:dyDescent="0.25">
      <c r="B33" s="19" t="s">
        <v>125</v>
      </c>
      <c r="C33" s="99">
        <v>9.1384244000000003E-2</v>
      </c>
    </row>
    <row r="34" spans="2:3" ht="15.75" customHeight="1" x14ac:dyDescent="0.25">
      <c r="B34" s="19" t="s">
        <v>126</v>
      </c>
      <c r="C34" s="99">
        <v>0.43946050599999997</v>
      </c>
    </row>
    <row r="35" spans="2:3" ht="15.75" customHeight="1" x14ac:dyDescent="0.25">
      <c r="B35" s="27" t="s">
        <v>59</v>
      </c>
      <c r="C35" s="48">
        <f>SUM(C26:C34)</f>
        <v>0.99999999900000003</v>
      </c>
    </row>
  </sheetData>
  <sheetProtection algorithmName="SHA-512" hashValue="5stcDJi1KOJ8Pg47uQFpvyKZwxPmpVj+n1u5jUO/sHEbz2ZaU11Cwmu+2LDA5YvnMw6MtATyT+/gqY3FI8XY/A==" saltValue="2HUZehDnzuKD+v7hIjFHZ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0.44285538537378655</v>
      </c>
      <c r="D2" s="52">
        <f>IFERROR(1-_xlfn.NORM.DIST(_xlfn.NORM.INV(SUM(D4:D5), 0, 1) + 1, 0, 1, TRUE), "")</f>
        <v>0.44285538537378655</v>
      </c>
      <c r="E2" s="52">
        <f>IFERROR(1-_xlfn.NORM.DIST(_xlfn.NORM.INV(SUM(E4:E5), 0, 1) + 1, 0, 1, TRUE), "")</f>
        <v>0.40178002797069423</v>
      </c>
      <c r="F2" s="52">
        <f>IFERROR(1-_xlfn.NORM.DIST(_xlfn.NORM.INV(SUM(F4:F5), 0, 1) + 1, 0, 1, TRUE), "")</f>
        <v>0.22812914802423689</v>
      </c>
      <c r="G2" s="52">
        <f>IFERROR(1-_xlfn.NORM.DIST(_xlfn.NORM.INV(SUM(G4:G5), 0, 1) + 1, 0, 1, TRUE), "")</f>
        <v>0.23057770189609239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0.36121937018176886</v>
      </c>
      <c r="D3" s="52">
        <f>IFERROR(_xlfn.NORM.DIST(_xlfn.NORM.INV(SUM(D4:D5), 0, 1) + 1, 0, 1, TRUE) - SUM(D4:D5), "")</f>
        <v>0.36121937018176886</v>
      </c>
      <c r="E3" s="52">
        <f>IFERROR(_xlfn.NORM.DIST(_xlfn.NORM.INV(SUM(E4:E5), 0, 1) + 1, 0, 1, TRUE) - SUM(E4:E5), "")</f>
        <v>0.37197115417216309</v>
      </c>
      <c r="F3" s="52">
        <f>IFERROR(_xlfn.NORM.DIST(_xlfn.NORM.INV(SUM(F4:F5), 0, 1) + 1, 0, 1, TRUE) - SUM(F4:F5), "")</f>
        <v>0.37250072697576209</v>
      </c>
      <c r="G3" s="52">
        <f>IFERROR(_xlfn.NORM.DIST(_xlfn.NORM.INV(SUM(G4:G5), 0, 1) + 1, 0, 1, TRUE) - SUM(G4:G5), "")</f>
        <v>0.3731679552467646</v>
      </c>
    </row>
    <row r="4" spans="1:15" ht="15.75" customHeight="1" x14ac:dyDescent="0.25">
      <c r="B4" s="5" t="s">
        <v>132</v>
      </c>
      <c r="C4" s="45">
        <v>0.112263488888889</v>
      </c>
      <c r="D4" s="53">
        <v>0.112263488888889</v>
      </c>
      <c r="E4" s="53">
        <v>0.137070732142857</v>
      </c>
      <c r="F4" s="53">
        <v>0.23025359642857199</v>
      </c>
      <c r="G4" s="53">
        <v>0.23818805000000001</v>
      </c>
    </row>
    <row r="5" spans="1:15" ht="15.75" customHeight="1" x14ac:dyDescent="0.25">
      <c r="B5" s="5" t="s">
        <v>133</v>
      </c>
      <c r="C5" s="45">
        <v>8.3661755555555606E-2</v>
      </c>
      <c r="D5" s="53">
        <v>8.3661755555555606E-2</v>
      </c>
      <c r="E5" s="53">
        <v>8.917808571428569E-2</v>
      </c>
      <c r="F5" s="53">
        <v>0.169116528571429</v>
      </c>
      <c r="G5" s="53">
        <v>0.15806629285714299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0.66761624962887534</v>
      </c>
      <c r="D8" s="52">
        <f>IFERROR(1-_xlfn.NORM.DIST(_xlfn.NORM.INV(SUM(D10:D11), 0, 1) + 1, 0, 1, TRUE), "")</f>
        <v>0.66761624962887534</v>
      </c>
      <c r="E8" s="52">
        <f>IFERROR(1-_xlfn.NORM.DIST(_xlfn.NORM.INV(SUM(E10:E11), 0, 1) + 1, 0, 1, TRUE), "")</f>
        <v>0.65236906929467353</v>
      </c>
      <c r="F8" s="52">
        <f>IFERROR(1-_xlfn.NORM.DIST(_xlfn.NORM.INV(SUM(F10:F11), 0, 1) + 1, 0, 1, TRUE), "")</f>
        <v>0.69608096772344996</v>
      </c>
      <c r="G8" s="52">
        <f>IFERROR(1-_xlfn.NORM.DIST(_xlfn.NORM.INV(SUM(G10:G11), 0, 1) + 1, 0, 1, TRUE), "")</f>
        <v>0.79969823107410432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0.25650345777853206</v>
      </c>
      <c r="D9" s="52">
        <f>IFERROR(_xlfn.NORM.DIST(_xlfn.NORM.INV(SUM(D10:D11), 0, 1) + 1, 0, 1, TRUE) - SUM(D10:D11), "")</f>
        <v>0.25650345777853206</v>
      </c>
      <c r="E9" s="52">
        <f>IFERROR(_xlfn.NORM.DIST(_xlfn.NORM.INV(SUM(E10:E11), 0, 1) + 1, 0, 1, TRUE) - SUM(E10:E11), "")</f>
        <v>0.26562799499104084</v>
      </c>
      <c r="F9" s="52">
        <f>IFERROR(_xlfn.NORM.DIST(_xlfn.NORM.INV(SUM(F10:F11), 0, 1) + 1, 0, 1, TRUE) - SUM(F10:F11), "")</f>
        <v>0.23879976441940715</v>
      </c>
      <c r="G9" s="52">
        <f>IFERROR(_xlfn.NORM.DIST(_xlfn.NORM.INV(SUM(G10:G11), 0, 1) + 1, 0, 1, TRUE) - SUM(G10:G11), "")</f>
        <v>0.16745755106875282</v>
      </c>
    </row>
    <row r="10" spans="1:15" ht="15.75" customHeight="1" x14ac:dyDescent="0.25">
      <c r="B10" s="5" t="s">
        <v>137</v>
      </c>
      <c r="C10" s="45">
        <v>4.4498244444444397E-2</v>
      </c>
      <c r="D10" s="53">
        <v>4.4498244444444397E-2</v>
      </c>
      <c r="E10" s="53">
        <v>5.3602314285714298E-2</v>
      </c>
      <c r="F10" s="53">
        <v>4.2169464285714303E-2</v>
      </c>
      <c r="G10" s="53">
        <v>2.2184057142857101E-2</v>
      </c>
    </row>
    <row r="11" spans="1:15" ht="15.75" customHeight="1" x14ac:dyDescent="0.25">
      <c r="B11" s="5" t="s">
        <v>138</v>
      </c>
      <c r="C11" s="45">
        <v>3.1382048148148198E-2</v>
      </c>
      <c r="D11" s="53">
        <v>3.1382048148148198E-2</v>
      </c>
      <c r="E11" s="53">
        <v>2.8400621428571401E-2</v>
      </c>
      <c r="F11" s="53">
        <v>2.29498035714286E-2</v>
      </c>
      <c r="G11" s="53">
        <v>1.06601607142857E-2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0.62072485924999998</v>
      </c>
      <c r="D14" s="54">
        <v>0.60000760225000005</v>
      </c>
      <c r="E14" s="54">
        <v>0.60000760225000005</v>
      </c>
      <c r="F14" s="54">
        <v>0.365490115999</v>
      </c>
      <c r="G14" s="54">
        <v>0.365490115999</v>
      </c>
      <c r="H14" s="45">
        <v>0.34</v>
      </c>
      <c r="I14" s="55">
        <v>0.34</v>
      </c>
      <c r="J14" s="55">
        <v>0.34</v>
      </c>
      <c r="K14" s="55">
        <v>0.34</v>
      </c>
      <c r="L14" s="45">
        <v>0.3</v>
      </c>
      <c r="M14" s="55">
        <v>0.3</v>
      </c>
      <c r="N14" s="55">
        <v>0.3</v>
      </c>
      <c r="O14" s="55">
        <v>0.3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0.33049067463589971</v>
      </c>
      <c r="D15" s="52">
        <f t="shared" si="0"/>
        <v>0.31946024764316078</v>
      </c>
      <c r="E15" s="52">
        <f t="shared" si="0"/>
        <v>0.31946024764316078</v>
      </c>
      <c r="F15" s="52">
        <f t="shared" si="0"/>
        <v>0.19459680599099957</v>
      </c>
      <c r="G15" s="52">
        <f t="shared" si="0"/>
        <v>0.19459680599099957</v>
      </c>
      <c r="H15" s="52">
        <f t="shared" si="0"/>
        <v>0.18102518000000001</v>
      </c>
      <c r="I15" s="52">
        <f t="shared" si="0"/>
        <v>0.18102518000000001</v>
      </c>
      <c r="J15" s="52">
        <f t="shared" si="0"/>
        <v>0.18102518000000001</v>
      </c>
      <c r="K15" s="52">
        <f t="shared" si="0"/>
        <v>0.18102518000000001</v>
      </c>
      <c r="L15" s="52">
        <f t="shared" si="0"/>
        <v>0.15972809999999998</v>
      </c>
      <c r="M15" s="52">
        <f t="shared" si="0"/>
        <v>0.15972809999999998</v>
      </c>
      <c r="N15" s="52">
        <f t="shared" si="0"/>
        <v>0.15972809999999998</v>
      </c>
      <c r="O15" s="52">
        <f t="shared" si="0"/>
        <v>0.15972809999999998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MUoTeOdow6EyfEdzmKmTh+QD+Es/tW/aKsbN29MvVyEmcLoq9aS0ruQoguAYfNqFjpi4zbrWNywG6niyvpLSg==" saltValue="WsHZJ0o2TiB+/59WtIS9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0.62221204666666696</v>
      </c>
      <c r="D2" s="53">
        <v>0.37241107999999989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0.20366382666666699</v>
      </c>
      <c r="D3" s="53">
        <v>0.21027029999999999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0.134299366666667</v>
      </c>
      <c r="D4" s="53">
        <v>0.36252068999999998</v>
      </c>
      <c r="E4" s="53">
        <v>0.88787583999999997</v>
      </c>
      <c r="F4" s="53">
        <v>0.60830171666666699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3.9824759999999015E-2</v>
      </c>
      <c r="D5" s="52">
        <f t="shared" si="0"/>
        <v>5.4797930000000106E-2</v>
      </c>
      <c r="E5" s="52">
        <f>1-SUM(E2:E4)</f>
        <v>0.11212416000000003</v>
      </c>
      <c r="F5" s="52">
        <f>1-SUM(F2:F4)</f>
        <v>0.39169828333333301</v>
      </c>
      <c r="G5" s="52">
        <f>1-SUM(G2:G4)</f>
        <v>1</v>
      </c>
    </row>
  </sheetData>
  <sheetProtection algorithmName="SHA-512" hashValue="QazYktdCAC5cheE1i8irhc7x+pMwdFmjRalq7x8PGaeiqyL9GjbdMbxC5H01ejlKXScN8d0mEm9Idq4MOtUx0w==" saltValue="aSRh2uRe7/XDaOE2o/B3M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d+qLWo3EbasCnKSuXvlA1kAuQG6EN9ncNIG1ns8wbm+HazizQOaAEA4KcNPD43a3FRavMIVBNO24BI9lrrqCQ==" saltValue="WIBZlmkzMfI2jinpCdTm/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7738.87880407803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0.41491999999999996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0.62680999999999998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1.0876460240049601E-2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95747.141799999998</v>
      </c>
      <c r="C22" s="107">
        <v>95406.669110000003</v>
      </c>
      <c r="D22" s="107">
        <v>95185.842640000003</v>
      </c>
      <c r="E22" s="107">
        <v>94425.825410000005</v>
      </c>
      <c r="F22" s="107">
        <v>93189.446800000005</v>
      </c>
      <c r="G22" s="107">
        <v>91548.078529999999</v>
      </c>
      <c r="H22" s="107">
        <v>89137.952510000003</v>
      </c>
      <c r="I22" s="107">
        <v>85711.4277</v>
      </c>
      <c r="J22" s="107">
        <v>81043.210319999998</v>
      </c>
      <c r="K22" s="107">
        <v>75455.056979999994</v>
      </c>
      <c r="L22" s="107">
        <v>68754.608210000006</v>
      </c>
      <c r="M22" s="107">
        <v>61546.848539999999</v>
      </c>
      <c r="N22" s="107">
        <v>53355.522680000002</v>
      </c>
      <c r="O22" s="107">
        <v>43956.819770000002</v>
      </c>
    </row>
  </sheetData>
  <sheetProtection algorithmName="SHA-512" hashValue="a0ukxKLwV/zkxp2lyqQXAf+4yCbSwdHGhM6Y4tcVUeeXlahkp+g1bxqGmr+VvPyyioc2TmhftsGGYv+4r9G6tQ==" saltValue="yTbIlBCvQ8DkeLpwkXrEx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Txj6E1bl75f8NjyWQly6ZEVR5LM2A3r8TSUfQnqcFqe3H9otixr3cIlUhQ7CJVWnjYd1KsHS6RMaBX6eJKOhRA==" saltValue="YJ5p2szMKER3XRlpFDuJw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Pr7wJ7+6DNpLZVHowqeW2YG0+KJ05r8O8WQov9ex2p0S/Zlfqfl2AQQ4Z6JW+2b7W7sqsWSxcSEBICbadqGyeg==" saltValue="aZrpaUW2NAYQBajXaCs3j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0.2139553248340432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13.409894534701801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13.409894534701801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13.409894534701801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13.409894534701801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0.31330000000000002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13.409894534701801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</v>
      </c>
      <c r="C19" s="96">
        <v>0.95</v>
      </c>
      <c r="D19" s="56">
        <v>15.87897005630612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4.5279095940423639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0.67072384119999995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0.42899999999999999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0.45500000000000002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0.64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0.91189679999999995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mm7/V+WH3BB6RDpM36T95R9jzOvDBCnfThL+Or+wkpO/g3UOrQ+/zjluhjqiwFA1eCo2Yvny2f0Cxv1omBz+Lg==" saltValue="ckR0ZdLiWQ8iYYFk3tuA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1dVZNMvcSLwxanHh+dKTyft1vJ0TsTm26TVzb6gss6Vop+CCHjfjsasIx1NjA9UVPqlz/YwL5twBARdDxeYcug==" saltValue="O4S4iL0LwUNSd/hphmfv2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I1adLTtJMo8jN5SXxvR6L5DBKu+O42dsq4Ozn5d6Rx7hVu6ccQSHnMHc06nFYeL2e4ldTx+obN7DODhlI4djw==" saltValue="11Smnd1fmndN0auxERoG7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0.11569543555555543</v>
      </c>
      <c r="C3" s="21">
        <f>frac_mam_1_5months * 2.6</f>
        <v>0.11569543555555543</v>
      </c>
      <c r="D3" s="21">
        <f>frac_mam_6_11months * 2.6</f>
        <v>0.13936601714285718</v>
      </c>
      <c r="E3" s="21">
        <f>frac_mam_12_23months * 2.6</f>
        <v>0.10964060714285719</v>
      </c>
      <c r="F3" s="21">
        <f>frac_mam_24_59months * 2.6</f>
        <v>5.7678548571428463E-2</v>
      </c>
    </row>
    <row r="4" spans="1:6" ht="15.75" customHeight="1" x14ac:dyDescent="0.25">
      <c r="A4" s="3" t="s">
        <v>237</v>
      </c>
      <c r="B4" s="21">
        <f>frac_sam_1month * 2.6</f>
        <v>8.159332518518532E-2</v>
      </c>
      <c r="C4" s="21">
        <f>frac_sam_1_5months * 2.6</f>
        <v>8.159332518518532E-2</v>
      </c>
      <c r="D4" s="21">
        <f>frac_sam_6_11months * 2.6</f>
        <v>7.3841615714285644E-2</v>
      </c>
      <c r="E4" s="21">
        <f>frac_sam_12_23months * 2.6</f>
        <v>5.9669489285714361E-2</v>
      </c>
      <c r="F4" s="21">
        <f>frac_sam_24_59months * 2.6</f>
        <v>2.7716417857142822E-2</v>
      </c>
    </row>
  </sheetData>
  <sheetProtection algorithmName="SHA-512" hashValue="ozbxtSBQsi0laWhMkGDbqQE+OIHmxK6jOyydMMXuqP8mtVt261x49s4xKCJT3tsnKMoF0BPpVeG8RwSZcYHlcw==" saltValue="TkpBM3Tl94a6FkduFCYId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0.161</v>
      </c>
      <c r="F2" s="60">
        <f>food_insecure</f>
        <v>0.161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0.161</v>
      </c>
      <c r="F5" s="60">
        <f>food_insecure</f>
        <v>0.161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0.161</v>
      </c>
      <c r="F8" s="60">
        <f>food_insecure</f>
        <v>0.161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0.161</v>
      </c>
      <c r="F9" s="60">
        <f>food_insecure</f>
        <v>0.161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0.161</v>
      </c>
      <c r="I15" s="60">
        <f t="shared" si="0"/>
        <v>0.161</v>
      </c>
      <c r="J15" s="60">
        <f t="shared" si="0"/>
        <v>0.161</v>
      </c>
      <c r="K15" s="60">
        <f t="shared" si="0"/>
        <v>0.161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0.161</v>
      </c>
      <c r="I16" s="60">
        <f t="shared" si="0"/>
        <v>0.161</v>
      </c>
      <c r="J16" s="60">
        <f t="shared" si="0"/>
        <v>0.161</v>
      </c>
      <c r="K16" s="60">
        <f t="shared" si="0"/>
        <v>0.161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</v>
      </c>
      <c r="I19" s="60">
        <f>frac_malaria_risk</f>
        <v>0.13</v>
      </c>
      <c r="J19" s="60">
        <f>frac_malaria_risk</f>
        <v>0.13</v>
      </c>
      <c r="K19" s="60">
        <f>frac_malaria_risk</f>
        <v>0.13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0.35303054385085197</v>
      </c>
      <c r="M25" s="60">
        <f>(1-food_insecure)*(0.49)+food_insecure*(0.7)</f>
        <v>0.52381</v>
      </c>
      <c r="N25" s="60">
        <f>(1-food_insecure)*(0.49)+food_insecure*(0.7)</f>
        <v>0.52381</v>
      </c>
      <c r="O25" s="60">
        <f>(1-food_insecure)*(0.49)+food_insecure*(0.7)</f>
        <v>0.52381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0.15129880450750799</v>
      </c>
      <c r="M26" s="60">
        <f>(1-food_insecure)*(0.21)+food_insecure*(0.3)</f>
        <v>0.22449</v>
      </c>
      <c r="N26" s="60">
        <f>(1-food_insecure)*(0.21)+food_insecure*(0.3)</f>
        <v>0.22449</v>
      </c>
      <c r="O26" s="60">
        <f>(1-food_insecure)*(0.21)+food_insecure*(0.3)</f>
        <v>0.22449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0.16963744084164001</v>
      </c>
      <c r="M27" s="60">
        <f>(1-food_insecure)*(0.3)</f>
        <v>0.25169999999999998</v>
      </c>
      <c r="N27" s="60">
        <f>(1-food_insecure)*(0.3)</f>
        <v>0.25169999999999998</v>
      </c>
      <c r="O27" s="60">
        <f>(1-food_insecure)*(0.3)</f>
        <v>0.25169999999999998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0.13</v>
      </c>
      <c r="D34" s="60">
        <f t="shared" si="4"/>
        <v>0.13</v>
      </c>
      <c r="E34" s="60">
        <f t="shared" si="4"/>
        <v>0.13</v>
      </c>
      <c r="F34" s="60">
        <f t="shared" si="4"/>
        <v>0.13</v>
      </c>
      <c r="G34" s="60">
        <f t="shared" si="4"/>
        <v>0.13</v>
      </c>
      <c r="H34" s="60">
        <f t="shared" si="4"/>
        <v>0.13</v>
      </c>
      <c r="I34" s="60">
        <f t="shared" si="4"/>
        <v>0.13</v>
      </c>
      <c r="J34" s="60">
        <f t="shared" si="4"/>
        <v>0.13</v>
      </c>
      <c r="K34" s="60">
        <f t="shared" si="4"/>
        <v>0.13</v>
      </c>
      <c r="L34" s="60">
        <f t="shared" si="4"/>
        <v>0.13</v>
      </c>
      <c r="M34" s="60">
        <f t="shared" si="4"/>
        <v>0.13</v>
      </c>
      <c r="N34" s="60">
        <f t="shared" si="4"/>
        <v>0.13</v>
      </c>
      <c r="O34" s="60">
        <f t="shared" si="4"/>
        <v>0.13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GOYs15J8nHy2ACrMHqAeUdspoPpRlUhtFQH6lXh6swUcvL+RDWRybdV3oZFFDZt3tuRpo4lwo3nOO2GsjUTgQ==" saltValue="ZKW7mA21ofs27cJYN7hBJ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Yyr4CteTzUDSUAx0jcPqT63TuIfELuFn0leXZoER3BhCWDYbF3dYWbT4WJPDcNzKYhZu6ebObSLWtviyQcgg4g==" saltValue="LLAtO8gEIDnn6shyM3kjj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DuTbWEh1aOKrYNazmpVVIR9p81UO6OV/p8LAqT3I4SPUGz6Yfu5Si22u2qrKwP8+sPgqWtbjfIkQqkWq82Qnw==" saltValue="zOYzEs/KXotA8Gcdxx7Yh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32kEo6VMBn3lvNjXyIyF4KgsmOteTvNnNfepp9cpEz4cWvfbgWSLwJelGgpHgvGRywcSbmpMMfa0CZ1E//JakA==" saltValue="48dfysXFEvShOAJkNGwXG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WillKBWhFuSHy+/VgNwoDK57gQqr6k2auUYmY+Fds5iCFOSLSLigb26iusf5IbWUx8hufsTTr6Q2QBpfgmolIw==" saltValue="K9XAsyHEhzbTL6RuCYXu/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7i8g+tPjf2AA0yCqqaxqnoV8Bo8O9XxLiuPZSr0deZHxRRl1UjG/aCqVY5dDQApPorwEnYQVz6yl1rvBvdwfLg==" saltValue="aAFWYQil/jYvW0F3i3vyl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L8P13JDSqrJNrJE4cPXXoGX1I+BQ0WtpBtL/2qs1oZTBZysto2gjJ2V6s5TrqOsnO4PQmPI82T9mPiGHeSArw==" saltValue="Tprola8KfmYfs92y96o6v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OwG9jk7LAWmhI3flqosxcmzpJk4smhBAIYFGBsLZAVMjIdB6c6HUg4gh2YOTRY8mJVXhGkquwd6ioAr9xGiN2g==" saltValue="iTZhiySJCHkN4+AYg/0T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O4gFqyPQudQtp7wEPlzKtJs+3ihE2aHUvYA+2q+1uddbdFhHi7vvQs6U8n7Ym1ZNm6Z3EoxXYA+IDE73Ao9MyQ==" saltValue="0YXmHKKUOJ1ikT6RnBF3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Zy9F/q+NljOF/bckFzZZP7AHMfLpOTf3RSSxUwo0MovwencWjlR+NLZ7+YPdRwCqDo6ADKmKdLCTUm7DNM7YA==" saltValue="PzMu/vGPVIi85roBWSDq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0w6paVMN/K/w9FDGJBYboXYzPfRoBlBxhORZIGGG2vQc7cY4USAHBZ3nQy0uVE2bfUveWtaZYTZChnX4NBVYg==" saltValue="YIpB/EbmHLWQcPXyjBel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4PuUbWC1rmtB7iQ/OWc7fyZT0B8B6ULyJXQ7PrAgF8Z9HYn5+NJJWNfYlLP7sfbDo/mzi6qAZrwnQfsdxhg0Q==" saltValue="t5bggd3ghP7VL4aLxblq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2d2XqJL2rAu5IWt3x5aI4GAmTs+f58qi8JIQuGSiF+vUFot+BIgnbQIYLUtc+ayMDCpPoE3B8zG+bEvG7nlHA==" saltValue="98MviUoX1xXJrOOH2MfWY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DaXQ9cMMPR9ag6bdJG1yMNZHO186MuxGNF+cy3Kg4eZZ+HqLkWe0T03J7oTGhnIWXzKH1Z0NflWnZuxLyrL8Q==" saltValue="wEIqtVR4aF8mIQCLyRKp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MB4keVVX5p36+vl7qIbGFkxFmTwr/nF+IrNd7d2nQxmMAlSboz6/rx/NdiD99UIZRyjAq/+HuugZPW49r9oA1w==" saltValue="CUmfM7ifOUdn7HeEd/qbr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2026-04-29T04:59:02Z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