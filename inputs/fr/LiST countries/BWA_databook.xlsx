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7D175B8-5A84-41EE-9EF5-FE47AA2813B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A23" i="2"/>
  <c r="A37" i="2"/>
  <c r="I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<sst xmlns="http://schemas.openxmlformats.org/spreadsheetml/2006/main" count="2159" uniqueCount="368">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</sst>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293184.5</v>
      </c>
    </row>
    <row r="8" spans="1:3" ht="15" customHeight="1" x14ac:dyDescent="0.25">
      <c r="B8" s="5" t="s">
        <v>37</v>
      </c>
      <c r="C8" s="44">
        <v>0.161</v>
      </c>
    </row>
    <row r="9" spans="1:3" ht="15" customHeight="1" x14ac:dyDescent="0.25">
      <c r="B9" s="5" t="s">
        <v>38</v>
      </c>
      <c r="C9" s="45">
        <v>0.13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8.2100000000000006E-2</v>
      </c>
    </row>
    <row r="24" spans="1:3" ht="15" customHeight="1" x14ac:dyDescent="0.25">
      <c r="B24" s="15" t="s">
        <v>51</v>
      </c>
      <c r="C24" s="45">
        <v>0.47039999999999998</v>
      </c>
    </row>
    <row r="25" spans="1:3" ht="15" customHeight="1" x14ac:dyDescent="0.25">
      <c r="B25" s="15" t="s">
        <v>52</v>
      </c>
      <c r="C25" s="45">
        <v>0.35039999999999999</v>
      </c>
    </row>
    <row r="26" spans="1:3" ht="15" customHeight="1" x14ac:dyDescent="0.25">
      <c r="B26" s="15" t="s">
        <v>53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0.34290466666442998</v>
      </c>
    </row>
    <row r="30" spans="1:3" ht="14.25" customHeight="1" x14ac:dyDescent="0.25">
      <c r="B30" s="25" t="s">
        <v>56</v>
      </c>
      <c r="C30" s="99">
        <v>3.07454772021977E-2</v>
      </c>
    </row>
    <row r="31" spans="1:3" ht="14.25" customHeight="1" x14ac:dyDescent="0.25">
      <c r="B31" s="25" t="s">
        <v>57</v>
      </c>
      <c r="C31" s="99">
        <v>5.8505816356096703E-2</v>
      </c>
    </row>
    <row r="32" spans="1:3" ht="14.25" customHeight="1" x14ac:dyDescent="0.25">
      <c r="B32" s="25" t="s">
        <v>58</v>
      </c>
      <c r="C32" s="99">
        <v>0.56784403977727504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17.9986</v>
      </c>
    </row>
    <row r="38" spans="1:5" ht="15" customHeight="1" x14ac:dyDescent="0.25">
      <c r="B38" s="11" t="s">
        <v>63</v>
      </c>
      <c r="C38" s="43">
        <v>28.314070000000001</v>
      </c>
      <c r="D38" s="12"/>
      <c r="E38" s="13"/>
    </row>
    <row r="39" spans="1:5" ht="15" customHeight="1" x14ac:dyDescent="0.25">
      <c r="B39" s="11" t="s">
        <v>64</v>
      </c>
      <c r="C39" s="43">
        <v>34.869419999999998</v>
      </c>
      <c r="D39" s="12"/>
      <c r="E39" s="12"/>
    </row>
    <row r="40" spans="1:5" ht="15" customHeight="1" x14ac:dyDescent="0.25">
      <c r="B40" s="11" t="s">
        <v>65</v>
      </c>
      <c r="C40" s="100">
        <v>1.86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9.3217000000000005E-3</v>
      </c>
      <c r="D45" s="12"/>
    </row>
    <row r="46" spans="1:5" ht="15.75" customHeight="1" x14ac:dyDescent="0.25">
      <c r="B46" s="11" t="s">
        <v>70</v>
      </c>
      <c r="C46" s="45">
        <v>9.8476499999999995E-2</v>
      </c>
      <c r="D46" s="12"/>
    </row>
    <row r="47" spans="1:5" ht="15.75" customHeight="1" x14ac:dyDescent="0.25">
      <c r="B47" s="11" t="s">
        <v>71</v>
      </c>
      <c r="C47" s="45">
        <v>0.1054223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0.53242699999999998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0.1683437991</v>
      </c>
    </row>
    <row r="63" spans="1:4" ht="15.75" customHeight="1" x14ac:dyDescent="0.3">
      <c r="A63" s="4"/>
    </row>
  </sheetData>
  <sheetProtection algorithmName="SHA-512" hashValue="DDX7De2BM9+odHB0UZ/bwWxtWR4byjH2uFBppjBXr8dkynZ5i2YjNIfyL29HHoqPs9bDUOrJO1EknBTdNXUvOQ==" saltValue="oJIZHzMUFSHha7CO83x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299676</v>
      </c>
      <c r="C2" s="49">
        <v>56435</v>
      </c>
      <c r="D2" s="49">
        <v>132832</v>
      </c>
      <c r="E2" s="49">
        <v>237920.5</v>
      </c>
      <c r="F2" s="49">
        <v>237826.00000000003</v>
      </c>
      <c r="G2" s="17">
        <f t="shared" ref="G2:G13" si="0">C2+D2+E2+F2</f>
        <v>665013.5</v>
      </c>
      <c r="H2" s="17">
        <f t="shared" ref="H2:H13" si="1">(B2 + stillbirth*B2/(1000-stillbirth))/(1-abortion)</f>
        <v>345631.50819622638</v>
      </c>
      <c r="I2" s="17">
        <f t="shared" ref="I2:I13" si="2">G2-H2</f>
        <v>319381.99180377362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61418</v>
      </c>
      <c r="C3" s="50">
        <v>122043</v>
      </c>
      <c r="D3" s="50">
        <v>246514</v>
      </c>
      <c r="E3" s="50">
        <v>204504.5</v>
      </c>
      <c r="F3" s="50">
        <v>120444.5</v>
      </c>
      <c r="G3" s="17">
        <f t="shared" si="0"/>
        <v>693506</v>
      </c>
      <c r="H3" s="17">
        <f t="shared" si="1"/>
        <v>70836.489977161444</v>
      </c>
      <c r="I3" s="17">
        <f t="shared" si="2"/>
        <v>622669.5100228386</v>
      </c>
    </row>
    <row r="4" spans="1:9" ht="15.75" customHeight="1" x14ac:dyDescent="0.25">
      <c r="A4" s="5">
        <f t="shared" si="3"/>
        <v>2026</v>
      </c>
      <c r="B4" s="49">
        <v>61186</v>
      </c>
      <c r="C4" s="50">
        <v>121150</v>
      </c>
      <c r="D4" s="50">
        <v>244901</v>
      </c>
      <c r="E4" s="50">
        <v>213267.49999999997</v>
      </c>
      <c r="F4" s="50">
        <v>125401</v>
      </c>
      <c r="G4" s="17">
        <f t="shared" si="0"/>
        <v>704719.5</v>
      </c>
      <c r="H4" s="17">
        <f t="shared" si="1"/>
        <v>70568.912627285157</v>
      </c>
      <c r="I4" s="17">
        <f t="shared" si="2"/>
        <v>634150.58737271489</v>
      </c>
    </row>
    <row r="5" spans="1:9" ht="15.75" customHeight="1" x14ac:dyDescent="0.25">
      <c r="A5" s="5">
        <f t="shared" si="3"/>
        <v>2027</v>
      </c>
      <c r="B5" s="49">
        <v>60884</v>
      </c>
      <c r="C5" s="50">
        <v>120618</v>
      </c>
      <c r="D5" s="50">
        <v>243355.5</v>
      </c>
      <c r="E5" s="50">
        <v>220178.5</v>
      </c>
      <c r="F5" s="50">
        <v>131801.5</v>
      </c>
      <c r="G5" s="17">
        <f t="shared" si="0"/>
        <v>715953.5</v>
      </c>
      <c r="H5" s="17">
        <f t="shared" si="1"/>
        <v>70220.600732187595</v>
      </c>
      <c r="I5" s="17">
        <f t="shared" si="2"/>
        <v>645732.89926781238</v>
      </c>
    </row>
    <row r="6" spans="1:9" ht="15.75" customHeight="1" x14ac:dyDescent="0.25">
      <c r="A6" s="5">
        <f t="shared" si="3"/>
        <v>2028</v>
      </c>
      <c r="B6" s="49">
        <v>60499</v>
      </c>
      <c r="C6" s="50">
        <v>120595</v>
      </c>
      <c r="D6" s="50">
        <v>242341</v>
      </c>
      <c r="E6" s="50">
        <v>225669</v>
      </c>
      <c r="F6" s="50">
        <v>138740.5</v>
      </c>
      <c r="G6" s="17">
        <f t="shared" si="0"/>
        <v>727345.5</v>
      </c>
      <c r="H6" s="17">
        <f t="shared" si="1"/>
        <v>69776.560733470484</v>
      </c>
      <c r="I6" s="17">
        <f t="shared" si="2"/>
        <v>657568.93926652952</v>
      </c>
    </row>
    <row r="7" spans="1:9" ht="15.75" customHeight="1" x14ac:dyDescent="0.25">
      <c r="A7" s="5">
        <f t="shared" si="3"/>
        <v>2029</v>
      </c>
      <c r="B7" s="49">
        <v>60095</v>
      </c>
      <c r="C7" s="50">
        <v>120964</v>
      </c>
      <c r="D7" s="50">
        <v>241493.49999999997</v>
      </c>
      <c r="E7" s="50">
        <v>231269.99999999997</v>
      </c>
      <c r="F7" s="50">
        <v>144891</v>
      </c>
      <c r="G7" s="17">
        <f t="shared" si="0"/>
        <v>738618.5</v>
      </c>
      <c r="H7" s="17">
        <f t="shared" si="1"/>
        <v>69310.607072479033</v>
      </c>
      <c r="I7" s="17">
        <f t="shared" si="2"/>
        <v>669307.89292752091</v>
      </c>
    </row>
    <row r="8" spans="1:9" ht="15.75" customHeight="1" x14ac:dyDescent="0.25">
      <c r="A8" s="5">
        <f t="shared" si="3"/>
        <v>2030</v>
      </c>
      <c r="B8" s="49">
        <v>59578</v>
      </c>
      <c r="C8" s="50">
        <v>121605</v>
      </c>
      <c r="D8" s="50">
        <v>240392.49999999997</v>
      </c>
      <c r="E8" s="50">
        <v>236091.99999999997</v>
      </c>
      <c r="F8" s="50">
        <v>150942.5</v>
      </c>
      <c r="G8" s="17">
        <f t="shared" si="0"/>
        <v>749032</v>
      </c>
      <c r="H8" s="17">
        <f t="shared" si="1"/>
        <v>68714.324788487487</v>
      </c>
      <c r="I8" s="17">
        <f t="shared" si="2"/>
        <v>680317.67521151248</v>
      </c>
    </row>
    <row r="9" spans="1:9" ht="15.75" customHeight="1" x14ac:dyDescent="0.25">
      <c r="A9" s="5">
        <f t="shared" si="3"/>
        <v>2031</v>
      </c>
      <c r="B9" s="49">
        <v>59019</v>
      </c>
      <c r="C9" s="50">
        <v>122663</v>
      </c>
      <c r="D9" s="50">
        <v>239588</v>
      </c>
      <c r="E9" s="50">
        <v>239162</v>
      </c>
      <c r="F9" s="50">
        <v>158187.5</v>
      </c>
      <c r="G9" s="17">
        <f t="shared" si="0"/>
        <v>759600.5</v>
      </c>
      <c r="H9" s="17">
        <f t="shared" si="1"/>
        <v>68069.601777363176</v>
      </c>
      <c r="I9" s="17">
        <f t="shared" si="2"/>
        <v>691530.89822263678</v>
      </c>
    </row>
    <row r="10" spans="1:9" ht="15.75" customHeight="1" x14ac:dyDescent="0.25">
      <c r="A10" s="5">
        <f t="shared" si="3"/>
        <v>2032</v>
      </c>
      <c r="B10" s="49">
        <v>58504</v>
      </c>
      <c r="C10" s="50">
        <v>124182</v>
      </c>
      <c r="D10" s="50">
        <v>238890.5</v>
      </c>
      <c r="E10" s="50">
        <v>240863</v>
      </c>
      <c r="F10" s="50">
        <v>167012.5</v>
      </c>
      <c r="G10" s="17">
        <f t="shared" si="0"/>
        <v>770948</v>
      </c>
      <c r="H10" s="17">
        <f t="shared" si="1"/>
        <v>67475.626194663666</v>
      </c>
      <c r="I10" s="17">
        <f t="shared" si="2"/>
        <v>703472.3738053363</v>
      </c>
    </row>
    <row r="11" spans="1:9" ht="15.75" customHeight="1" x14ac:dyDescent="0.25">
      <c r="A11" s="5">
        <f t="shared" si="3"/>
        <v>2033</v>
      </c>
      <c r="B11" s="49">
        <v>57994</v>
      </c>
      <c r="C11" s="50">
        <v>126059</v>
      </c>
      <c r="D11" s="50">
        <v>238182</v>
      </c>
      <c r="E11" s="50">
        <v>240942.99999999997</v>
      </c>
      <c r="F11" s="50">
        <v>177096</v>
      </c>
      <c r="G11" s="17">
        <f t="shared" si="0"/>
        <v>782280</v>
      </c>
      <c r="H11" s="17">
        <f t="shared" si="1"/>
        <v>66887.417365194255</v>
      </c>
      <c r="I11" s="17">
        <f t="shared" si="2"/>
        <v>715392.5826348057</v>
      </c>
    </row>
    <row r="12" spans="1:9" ht="15.75" customHeight="1" x14ac:dyDescent="0.25">
      <c r="A12" s="5">
        <f t="shared" si="3"/>
        <v>2034</v>
      </c>
      <c r="B12" s="49">
        <v>57410</v>
      </c>
      <c r="C12" s="50">
        <v>128198.5</v>
      </c>
      <c r="D12" s="50">
        <v>237690</v>
      </c>
      <c r="E12" s="50">
        <v>240093.5</v>
      </c>
      <c r="F12" s="50">
        <v>187358.99999999997</v>
      </c>
      <c r="G12" s="17">
        <f t="shared" si="0"/>
        <v>793341</v>
      </c>
      <c r="H12" s="17">
        <f t="shared" si="1"/>
        <v>66213.86058791948</v>
      </c>
      <c r="I12" s="17">
        <f t="shared" si="2"/>
        <v>727127.13941208052</v>
      </c>
    </row>
    <row r="13" spans="1:9" ht="15.75" customHeight="1" x14ac:dyDescent="0.25">
      <c r="A13" s="5">
        <f t="shared" si="3"/>
        <v>2035</v>
      </c>
      <c r="B13" s="49">
        <v>56888</v>
      </c>
      <c r="C13" s="50">
        <v>130485.99999999999</v>
      </c>
      <c r="D13" s="50">
        <v>237524.5</v>
      </c>
      <c r="E13" s="50">
        <v>238926</v>
      </c>
      <c r="F13" s="50">
        <v>197471.5</v>
      </c>
      <c r="G13" s="17">
        <f t="shared" si="0"/>
        <v>804408</v>
      </c>
      <c r="H13" s="17">
        <f t="shared" si="1"/>
        <v>65611.81155069785</v>
      </c>
      <c r="I13" s="17">
        <f t="shared" si="2"/>
        <v>738796.18844930211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2+R+6tGdojl/wwkMfJNtAedvj/LXKiYo+qx3GTReW6MpWkzovV0qW87zsDgOQpgNGw1S/5RxRvY1150EGSzCg==" saltValue="AYmVY+oaZSUGI+qTABTW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5.1841994815800541E-3</v>
      </c>
    </row>
    <row r="4" spans="1:8" ht="15.75" customHeight="1" x14ac:dyDescent="0.25">
      <c r="B4" s="19" t="s">
        <v>97</v>
      </c>
      <c r="C4" s="101">
        <v>5.427229457277058E-2</v>
      </c>
    </row>
    <row r="5" spans="1:8" ht="15.75" customHeight="1" x14ac:dyDescent="0.25">
      <c r="B5" s="19" t="s">
        <v>98</v>
      </c>
      <c r="C5" s="101">
        <v>5.7245594275440542E-2</v>
      </c>
    </row>
    <row r="6" spans="1:8" ht="15.75" customHeight="1" x14ac:dyDescent="0.25">
      <c r="B6" s="19" t="s">
        <v>99</v>
      </c>
      <c r="C6" s="101">
        <v>0.2203829779617027</v>
      </c>
    </row>
    <row r="7" spans="1:8" ht="15.75" customHeight="1" x14ac:dyDescent="0.25">
      <c r="B7" s="19" t="s">
        <v>100</v>
      </c>
      <c r="C7" s="101">
        <v>0.451351354864864</v>
      </c>
    </row>
    <row r="8" spans="1:8" ht="15.75" customHeight="1" x14ac:dyDescent="0.25">
      <c r="B8" s="19" t="s">
        <v>101</v>
      </c>
      <c r="C8" s="101">
        <v>6.7609993239000699E-4</v>
      </c>
    </row>
    <row r="9" spans="1:8" ht="15.75" customHeight="1" x14ac:dyDescent="0.25">
      <c r="B9" s="19" t="s">
        <v>102</v>
      </c>
      <c r="C9" s="101">
        <v>0.10118568988143101</v>
      </c>
    </row>
    <row r="10" spans="1:8" ht="15.75" customHeight="1" x14ac:dyDescent="0.25">
      <c r="B10" s="19" t="s">
        <v>103</v>
      </c>
      <c r="C10" s="101">
        <v>0.1097017890298211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106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107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108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109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110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111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112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113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4.6309735999999997E-2</v>
      </c>
    </row>
    <row r="27" spans="1:8" ht="15.75" customHeight="1" x14ac:dyDescent="0.25">
      <c r="B27" s="19" t="s">
        <v>120</v>
      </c>
      <c r="C27" s="101">
        <v>2.2410375E-2</v>
      </c>
    </row>
    <row r="28" spans="1:8" ht="15.75" customHeight="1" x14ac:dyDescent="0.25">
      <c r="B28" s="19" t="s">
        <v>121</v>
      </c>
      <c r="C28" s="101">
        <v>0.105751911</v>
      </c>
    </row>
    <row r="29" spans="1:8" ht="15.75" customHeight="1" x14ac:dyDescent="0.25">
      <c r="B29" s="19" t="s">
        <v>122</v>
      </c>
      <c r="C29" s="101">
        <v>0.106714216</v>
      </c>
    </row>
    <row r="30" spans="1:8" ht="15.75" customHeight="1" x14ac:dyDescent="0.25">
      <c r="B30" s="19" t="s">
        <v>2</v>
      </c>
      <c r="C30" s="101">
        <v>5.0717751999999991E-2</v>
      </c>
    </row>
    <row r="31" spans="1:8" ht="15.75" customHeight="1" x14ac:dyDescent="0.25">
      <c r="B31" s="19" t="s">
        <v>123</v>
      </c>
      <c r="C31" s="101">
        <v>9.8186192000000005E-2</v>
      </c>
    </row>
    <row r="32" spans="1:8" ht="15.75" customHeight="1" x14ac:dyDescent="0.25">
      <c r="B32" s="19" t="s">
        <v>124</v>
      </c>
      <c r="C32" s="101">
        <v>3.9065067000000002E-2</v>
      </c>
    </row>
    <row r="33" spans="2:3" ht="15.75" customHeight="1" x14ac:dyDescent="0.25">
      <c r="B33" s="19" t="s">
        <v>125</v>
      </c>
      <c r="C33" s="101">
        <v>9.1384244000000003E-2</v>
      </c>
    </row>
    <row r="34" spans="2:3" ht="15.75" customHeight="1" x14ac:dyDescent="0.25">
      <c r="B34" s="19" t="s">
        <v>126</v>
      </c>
      <c r="C34" s="101">
        <v>0.43946050599999997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6rlvAhzymR7ABSGmBRSBnTKvAI9RTZeugL0lic5OUo7XCflBtFiYbg626zKLG0mkLwTS6tWrNEHeEcswmFbSwQ==" saltValue="8QNJKMmBrIdta1dM6Egk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132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133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137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138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epNAgK/21BdMTuoABaDF8pSkoMZDxO8C7V2sxV14wT1CYb/NOBqnaCxsysihn3RU9CV4RbwMtu955tmzzbeCw==" saltValue="TY7BFsfIBFUR0qyWJ6l4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YaoXqCuag4GLmjb8eGOFFUQVrdmvsykyFAnl/9M+EWKMB7hk4IJ+qaOJdFl+fEwlaDP4Mt6bbMWP8DxIO8OTMg==" saltValue="L7CCtEIcdmHGykgIabKv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15BNykBAyDigHTQN8v0HOe8Wb/U9PNVHN7LFd3lBDCITKH+oitW0OiOayz3WMt2A+YuQGhyqhm1kNsiuK5UvQ==" saltValue="4Ed2Mvl4wcsC7BIBbBPz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7738.87880407803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0.41491999999999996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0.62680999999999998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1.0876460240049601E-2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95747.141799999998</v>
      </c>
      <c r="C22" s="109">
        <v>95406.669110000003</v>
      </c>
      <c r="D22" s="109">
        <v>95185.842640000003</v>
      </c>
      <c r="E22" s="109">
        <v>94425.825410000005</v>
      </c>
      <c r="F22" s="109">
        <v>93189.446800000005</v>
      </c>
      <c r="G22" s="109">
        <v>91548.078529999999</v>
      </c>
      <c r="H22" s="109">
        <v>89137.952510000003</v>
      </c>
      <c r="I22" s="109">
        <v>85711.4277</v>
      </c>
      <c r="J22" s="109">
        <v>81043.210319999998</v>
      </c>
      <c r="K22" s="109">
        <v>75455.056979999994</v>
      </c>
      <c r="L22" s="109">
        <v>68754.608210000006</v>
      </c>
      <c r="M22" s="109">
        <v>61546.848539999999</v>
      </c>
      <c r="N22" s="109">
        <v>53355.522680000002</v>
      </c>
      <c r="O22" s="109">
        <v>43956.819770000002</v>
      </c>
    </row>
  </sheetData>
  <sheetProtection algorithmName="SHA-512" hashValue="85U7T9JN8RjlC8uH+FMIsEzRIriqe7p12v9iYu/IGoeH1TfZ2lT4CmVi6gAsf0BNP7GiSjtIWclpsC4CTNyokg==" saltValue="gR2zy9BEAXnn+BxRpZm0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iRwgmU1JlJVAeqNThfJae/pAJwFDqK0VgiwJvhVlYoPfuhA9rG0dmOGvMD9I08eXOP5FZ+IglnxN+9CedLMXQ==" saltValue="XH4btBfOeEC75hP4gcYc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XcTaH6LVncUznL5+LbNIXdhLRQkDfLglp2M0hC7iuWigOT0y7I2wLMxiBMoTLdTS+HpFJrIpCJt2giaFDgK/Q==" saltValue="oYYcqx7T4K9eIUgQxEmN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13.409894534701801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13.409894534701801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13.409894534701801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13.409894534701801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13.409894534701801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15.87897005630612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4.5279095940423639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0.67072384119999995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0.42899999999999999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0.45500000000000002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0.64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0.91189679999999995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BFtbrkE2WQrldKrUbs8Cb4cLNGOBCvebyHD/6yai6GHlf3eDSVHK1PkZL7pkMc893rzmZTW6IyFQ3Vzlu0P8kg==" saltValue="rTjVoTk1JF7kJKOM9OPT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boVaOqqbJRbhklLpPEhGjyB0GRny1yCCj2ZSP0waamnuNv+3v3YjkZWOyhL9NbdSVRUZCUJcuP15oNJQrrpQg==" saltValue="38+9Ak8geMa5DDMYsCYT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jhh8oiueQEfhw5F116cByvnWS51Klq3ZQFqmTX/bS1yLe8ogi8utr5q6twG6aOAC5jXwuQS2ypUb9+umlW3qg==" saltValue="z9mBJpzjtDJR0oAa0th3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237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oM8x1Mo0lHzlXj2yttp990pqk95KOV8BNpj974BdzzBeNlWOFSCF0o+jartGvrMNzhWdvRx3q08codqaSWJxCA==" saltValue="AkdC1fXY3oM8Tc4WktMW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Ho1lRcJi7b47Ksr5CLI7cpn6zoHFj62WlpFoYUb51mEe9jr6yzuwgG1l8NM5KWPW+wYIC3l4mIYY+gcssZLRw==" saltValue="q/xA/zmgIPHUnZm1EloN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sBlUtLPu2z8YS77M6pQFXQ5nE064UlP5BGy9p2zwMXdW+8SnOhaZNK97sqGHSujL8ateM8OKkOVyOET66PORw==" saltValue="VpgJ8256N/DFsDhwIoYW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kxqmcvy9HLHsVYIlPi0irgsRv+NBYLPlkuaAs0g965088AyRvP25XJnORtseEZfCdKIOaqcQQt2sy/Y+UuXWQ==" saltValue="JfH2X3Qv0JHc8KcJMzujd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P6bmboRt8zg8vuHKBGam6X0S+eScpb3eU8dAZ+wuKF68BpD/7W40e8VEmaSBQqKeBWhlofNPRMPhWo2bcZNJQ==" saltValue="lOFBhZi6Au4qsBBtHSa6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MxKZP0OJhZ2tq4FHJjF2bykWAGBN3it4+ecs0Bv0Wiiu2EWUkkkuxA4Su03Gnr08PDQGxszcc8LNNDlnLvx0Lg==" saltValue="U10oF0xX4T+DYK7ClJPP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kSz3EP1+SpeaHfv11ckiQobNGR18IbecfMoAVK617DwrDwZukhLhfjc+s+yoMoWMtdbCQCVr9a50fjZ/qRrrRw==" saltValue="TxH00NaroKbNsfUe1Zc/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AZQyscIZsIvaNEmveZrryI7xy/7uQwPRBZ59BNEAz9sTP30lTRNfHsURBiL+cqIRbjZscAkH1huA+7+Km66bw==" saltValue="mo7d9peAg2zo0T6qXdzhV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BEyDJ32YAQjty+NlfE0SdUDdglfiBGTs9mwaUsFht4EI+41P+4gY8Ebf/nOkRNbg1p1R+yixIyyppvqlI3yLvQ==" saltValue="dgcu7BWiE1D7s9SPJ0rD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Nra06vgN/GXhHWDTgye9MRPenjsuzZ8PR8sYvutDkVZX3y05NTs/2ahMy6CScLZlWF1qK8aY7z+1dENbtj1qkw==" saltValue="wU3TDjp3Z7lx9ME0aLwI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BUh5pWM6M4JB0fmbYQBQps3DCtXT8xVlQzPhNNZLl4Ez+8eleCxz/9fD2ovfMtTOVLlNcI+umLvr5SJAYkisQ==" saltValue="heEKrnP+BEZPn0f7tMvx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zVgzoSXUHb8dvzrKcDb+FodX5qdQVaJCpM7Lx9oMbmSaybnWRPRLKovVmZQswjjWkqTMTs+ALQd1mdBNSmKHg==" saltValue="ykGh5muPEvSwcXYAtn42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sXTFuYZe0d+xClEUpbZWm5BwZNks7wnFiRpFH6hcDnV/LRUPtZzu2yv6AOO5IEXua3BdZLevUYG5ejiSM9skA==" saltValue="uQbrW9a9u+Gwi/2gSeDO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Yup9v2sc6ZeqBfUSUWpbLbd6OPF+rhhfu87TdzfoGQlo/jkBug75yTUAlVztp+qUxm+5ReCa1KQep4aqNrQPA==" saltValue="0ol2mkbKlyMHDqJt99oX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IQQHLHhmfi8mLvS6U8PamVStBLNJKUkSBVVdgxiQ+GaRRvjhoEOrlB+X7Ob9MY+BrlQmwglNRKSV0KGfnCHcw==" saltValue="B2BFnFn/tFOrMkr5YSlR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t9JErGMCEpyCZBvcipjCPzRJrec0xqtzwRCpblznFQnh6rxcAQFGD8QE8oCGdNyXuB57MPAKKtDNHWmaDSqfw==" saltValue="g//yHpwizr15Pwh6Bysn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