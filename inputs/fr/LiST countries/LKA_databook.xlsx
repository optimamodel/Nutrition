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FFF2647E-EAE1-4775-B003-31C77C482C81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6" i="2" l="1"/>
  <c r="I4" i="2"/>
  <c r="I8" i="2"/>
  <c r="I12" i="2"/>
  <c r="A25" i="2"/>
  <c r="I9" i="2"/>
  <c r="I13" i="2"/>
  <c r="A31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<sst xmlns="http://schemas.openxmlformats.org/spreadsheetml/2006/main" count="2159" uniqueCount="368">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</sst>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1607403</v>
      </c>
    </row>
    <row r="8" spans="1:3" ht="15" customHeight="1" x14ac:dyDescent="0.25">
      <c r="B8" s="5" t="s">
        <v>37</v>
      </c>
      <c r="C8" s="44">
        <v>0.14299999999999999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0.92255489999999996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7.4999999999999997E-2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3.6700000000000003E-2</v>
      </c>
    </row>
    <row r="24" spans="1:3" ht="15" customHeight="1" x14ac:dyDescent="0.25">
      <c r="B24" s="15" t="s">
        <v>51</v>
      </c>
      <c r="C24" s="45">
        <v>0.48730000000000001</v>
      </c>
    </row>
    <row r="25" spans="1:3" ht="15" customHeight="1" x14ac:dyDescent="0.25">
      <c r="B25" s="15" t="s">
        <v>52</v>
      </c>
      <c r="C25" s="45">
        <v>0.43280000000000002</v>
      </c>
    </row>
    <row r="26" spans="1:3" ht="15" customHeight="1" x14ac:dyDescent="0.25">
      <c r="B26" s="15" t="s">
        <v>53</v>
      </c>
      <c r="C26" s="45">
        <v>4.3200000000000002E-2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0.3567553</v>
      </c>
    </row>
    <row r="30" spans="1:3" ht="14.25" customHeight="1" x14ac:dyDescent="0.25">
      <c r="B30" s="25" t="s">
        <v>56</v>
      </c>
      <c r="C30" s="99">
        <v>6.59106E-2</v>
      </c>
    </row>
    <row r="31" spans="1:3" ht="14.25" customHeight="1" x14ac:dyDescent="0.25">
      <c r="B31" s="25" t="s">
        <v>57</v>
      </c>
      <c r="C31" s="99">
        <v>9.2620400000000006E-2</v>
      </c>
    </row>
    <row r="32" spans="1:3" ht="14.25" customHeight="1" x14ac:dyDescent="0.25">
      <c r="B32" s="25" t="s">
        <v>58</v>
      </c>
      <c r="C32" s="99">
        <v>0.48471370000000003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3.8523700000000001</v>
      </c>
    </row>
    <row r="38" spans="1:5" ht="15" customHeight="1" x14ac:dyDescent="0.25">
      <c r="B38" s="11" t="s">
        <v>63</v>
      </c>
      <c r="C38" s="43">
        <v>5.7698299999999998</v>
      </c>
      <c r="D38" s="12"/>
      <c r="E38" s="13"/>
    </row>
    <row r="39" spans="1:5" ht="15" customHeight="1" x14ac:dyDescent="0.25">
      <c r="B39" s="11" t="s">
        <v>64</v>
      </c>
      <c r="C39" s="43">
        <v>6.7480700000000002</v>
      </c>
      <c r="D39" s="12"/>
      <c r="E39" s="12"/>
    </row>
    <row r="40" spans="1:5" ht="15" customHeight="1" x14ac:dyDescent="0.25">
      <c r="B40" s="11" t="s">
        <v>65</v>
      </c>
      <c r="C40" s="100">
        <v>0.28999999999999998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6.0074699999999996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6.7450000000000001E-3</v>
      </c>
      <c r="D45" s="12"/>
    </row>
    <row r="46" spans="1:5" ht="15.75" customHeight="1" x14ac:dyDescent="0.25">
      <c r="B46" s="11" t="s">
        <v>70</v>
      </c>
      <c r="C46" s="45">
        <v>7.1213499999999999E-2</v>
      </c>
      <c r="D46" s="12"/>
    </row>
    <row r="47" spans="1:5" ht="15.75" customHeight="1" x14ac:dyDescent="0.25">
      <c r="B47" s="11" t="s">
        <v>71</v>
      </c>
      <c r="C47" s="45">
        <v>0.17027529999999999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2.4</v>
      </c>
      <c r="D51" s="12"/>
    </row>
    <row r="52" spans="1:4" ht="15" customHeight="1" x14ac:dyDescent="0.25">
      <c r="B52" s="11" t="s">
        <v>75</v>
      </c>
      <c r="C52" s="100">
        <v>2.4</v>
      </c>
    </row>
    <row r="53" spans="1:4" ht="15.75" customHeight="1" x14ac:dyDescent="0.25">
      <c r="B53" s="11" t="s">
        <v>76</v>
      </c>
      <c r="C53" s="100">
        <v>2.4</v>
      </c>
    </row>
    <row r="54" spans="1:4" ht="15.75" customHeight="1" x14ac:dyDescent="0.25">
      <c r="B54" s="11" t="s">
        <v>77</v>
      </c>
      <c r="C54" s="100">
        <v>2.4</v>
      </c>
    </row>
    <row r="55" spans="1:4" ht="15.75" customHeight="1" x14ac:dyDescent="0.25">
      <c r="B55" s="11" t="s">
        <v>78</v>
      </c>
      <c r="C55" s="100">
        <v>2.4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2.1666666666666671E-2</v>
      </c>
    </row>
    <row r="59" spans="1:4" ht="15.75" customHeight="1" x14ac:dyDescent="0.25">
      <c r="B59" s="11" t="s">
        <v>81</v>
      </c>
      <c r="C59" s="45">
        <v>0.62930399999999997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0.17978289859999999</v>
      </c>
    </row>
    <row r="63" spans="1:4" ht="15.75" customHeight="1" x14ac:dyDescent="0.3">
      <c r="A63" s="4"/>
    </row>
  </sheetData>
  <sheetProtection algorithmName="SHA-512" hashValue="YhkTflEo4uiZ/lu+fTvWyewc1T5tbABOMtXdD3uRxk40EkhElJtA0HsiqY4HpJd4fZC5rmw5wZr2JFPBx7nLtA==" saltValue="ST7fQiyAsNJ9oCfcndD+V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320429</v>
      </c>
      <c r="C2" s="49">
        <v>894482.5</v>
      </c>
      <c r="D2" s="49">
        <v>1655025.5</v>
      </c>
      <c r="E2" s="49">
        <v>1614266.9999999998</v>
      </c>
      <c r="F2" s="49">
        <v>1629127.5</v>
      </c>
      <c r="G2" s="17">
        <f t="shared" ref="G2:G13" si="0">C2+D2+E2+F2</f>
        <v>5792902.5</v>
      </c>
      <c r="H2" s="17">
        <f t="shared" ref="H2:H13" si="1">(B2 + stillbirth*B2/(1000-stillbirth))/(1-abortion)</f>
        <v>366324.54736492201</v>
      </c>
      <c r="I2" s="17">
        <f t="shared" ref="I2:I13" si="2">G2-H2</f>
        <v>5426577.9526350778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318489</v>
      </c>
      <c r="C3" s="50">
        <v>892927</v>
      </c>
      <c r="D3" s="50">
        <v>1661383</v>
      </c>
      <c r="E3" s="50">
        <v>1613825</v>
      </c>
      <c r="F3" s="50">
        <v>1645088.5</v>
      </c>
      <c r="G3" s="17">
        <f t="shared" si="0"/>
        <v>5813223.5</v>
      </c>
      <c r="H3" s="17">
        <f t="shared" si="1"/>
        <v>364106.67812746862</v>
      </c>
      <c r="I3" s="17">
        <f t="shared" si="2"/>
        <v>5449116.8218725314</v>
      </c>
    </row>
    <row r="4" spans="1:9" ht="15.75" customHeight="1" x14ac:dyDescent="0.25">
      <c r="A4" s="5">
        <f t="shared" si="3"/>
        <v>2026</v>
      </c>
      <c r="B4" s="49">
        <v>316459</v>
      </c>
      <c r="C4" s="50">
        <v>888383</v>
      </c>
      <c r="D4" s="50">
        <v>1669654</v>
      </c>
      <c r="E4" s="50">
        <v>1613936.0000000002</v>
      </c>
      <c r="F4" s="50">
        <v>1653855.5000000002</v>
      </c>
      <c r="G4" s="17">
        <f t="shared" si="0"/>
        <v>5825828.5</v>
      </c>
      <c r="H4" s="17">
        <f t="shared" si="1"/>
        <v>361785.91804910247</v>
      </c>
      <c r="I4" s="17">
        <f t="shared" si="2"/>
        <v>5464042.5819508974</v>
      </c>
    </row>
    <row r="5" spans="1:9" ht="15.75" customHeight="1" x14ac:dyDescent="0.25">
      <c r="A5" s="5">
        <f t="shared" si="3"/>
        <v>2027</v>
      </c>
      <c r="B5" s="49">
        <v>314866</v>
      </c>
      <c r="C5" s="50">
        <v>882279.5</v>
      </c>
      <c r="D5" s="50">
        <v>1680071</v>
      </c>
      <c r="E5" s="50">
        <v>1613340.0000000002</v>
      </c>
      <c r="F5" s="50">
        <v>1654402</v>
      </c>
      <c r="G5" s="17">
        <f t="shared" si="0"/>
        <v>5830092.5</v>
      </c>
      <c r="H5" s="17">
        <f t="shared" si="1"/>
        <v>359964.75016494613</v>
      </c>
      <c r="I5" s="17">
        <f t="shared" si="2"/>
        <v>5470127.7498350535</v>
      </c>
    </row>
    <row r="6" spans="1:9" ht="15.75" customHeight="1" x14ac:dyDescent="0.25">
      <c r="A6" s="5">
        <f t="shared" si="3"/>
        <v>2028</v>
      </c>
      <c r="B6" s="49">
        <v>313284</v>
      </c>
      <c r="C6" s="50">
        <v>876557.5</v>
      </c>
      <c r="D6" s="50">
        <v>1691592.5</v>
      </c>
      <c r="E6" s="50">
        <v>1611810</v>
      </c>
      <c r="F6" s="50">
        <v>1647257.5000000002</v>
      </c>
      <c r="G6" s="17">
        <f t="shared" si="0"/>
        <v>5827217.5</v>
      </c>
      <c r="H6" s="17">
        <f t="shared" si="1"/>
        <v>358156.15782801248</v>
      </c>
      <c r="I6" s="17">
        <f t="shared" si="2"/>
        <v>5469061.3421719875</v>
      </c>
    </row>
    <row r="7" spans="1:9" ht="15.75" customHeight="1" x14ac:dyDescent="0.25">
      <c r="A7" s="5">
        <f t="shared" si="3"/>
        <v>2029</v>
      </c>
      <c r="B7" s="49">
        <v>312034</v>
      </c>
      <c r="C7" s="50">
        <v>870095.5</v>
      </c>
      <c r="D7" s="50">
        <v>1702816.5</v>
      </c>
      <c r="E7" s="50">
        <v>1609554</v>
      </c>
      <c r="F7" s="50">
        <v>1634765.5</v>
      </c>
      <c r="G7" s="17">
        <f t="shared" si="0"/>
        <v>5817231.5</v>
      </c>
      <c r="H7" s="17">
        <f t="shared" si="1"/>
        <v>356727.1183708905</v>
      </c>
      <c r="I7" s="17">
        <f t="shared" si="2"/>
        <v>5460504.3816291094</v>
      </c>
    </row>
    <row r="8" spans="1:9" ht="15.75" customHeight="1" x14ac:dyDescent="0.25">
      <c r="A8" s="5">
        <f t="shared" si="3"/>
        <v>2030</v>
      </c>
      <c r="B8" s="49">
        <v>311150</v>
      </c>
      <c r="C8" s="50">
        <v>861352.5</v>
      </c>
      <c r="D8" s="50">
        <v>1712608.5</v>
      </c>
      <c r="E8" s="50">
        <v>1607167</v>
      </c>
      <c r="F8" s="50">
        <v>1619935</v>
      </c>
      <c r="G8" s="17">
        <f t="shared" si="0"/>
        <v>5801063</v>
      </c>
      <c r="H8" s="17">
        <f t="shared" si="1"/>
        <v>355716.50166681374</v>
      </c>
      <c r="I8" s="17">
        <f t="shared" si="2"/>
        <v>5445346.4983331859</v>
      </c>
    </row>
    <row r="9" spans="1:9" ht="15.75" customHeight="1" x14ac:dyDescent="0.25">
      <c r="A9" s="5">
        <f t="shared" si="3"/>
        <v>2031</v>
      </c>
      <c r="B9" s="49">
        <v>310127</v>
      </c>
      <c r="C9" s="50">
        <v>851407.5</v>
      </c>
      <c r="D9" s="50">
        <v>1719015.5</v>
      </c>
      <c r="E9" s="50">
        <v>1605658</v>
      </c>
      <c r="F9" s="50">
        <v>1605841</v>
      </c>
      <c r="G9" s="17">
        <f t="shared" si="0"/>
        <v>5781922</v>
      </c>
      <c r="H9" s="17">
        <f t="shared" si="1"/>
        <v>354546.97577510512</v>
      </c>
      <c r="I9" s="17">
        <f t="shared" si="2"/>
        <v>5427375.0242248951</v>
      </c>
    </row>
    <row r="10" spans="1:9" ht="15.75" customHeight="1" x14ac:dyDescent="0.25">
      <c r="A10" s="5">
        <f t="shared" si="3"/>
        <v>2032</v>
      </c>
      <c r="B10" s="49">
        <v>309526</v>
      </c>
      <c r="C10" s="50">
        <v>840602</v>
      </c>
      <c r="D10" s="50">
        <v>1721407.0000000002</v>
      </c>
      <c r="E10" s="50">
        <v>1605715.0000000002</v>
      </c>
      <c r="F10" s="50">
        <v>1595130.5</v>
      </c>
      <c r="G10" s="17">
        <f t="shared" si="0"/>
        <v>5762854.5</v>
      </c>
      <c r="H10" s="17">
        <f t="shared" si="1"/>
        <v>353859.89360412088</v>
      </c>
      <c r="I10" s="17">
        <f t="shared" si="2"/>
        <v>5408994.6063958788</v>
      </c>
    </row>
    <row r="11" spans="1:9" ht="15.75" customHeight="1" x14ac:dyDescent="0.25">
      <c r="A11" s="5">
        <f t="shared" si="3"/>
        <v>2033</v>
      </c>
      <c r="B11" s="49">
        <v>309081</v>
      </c>
      <c r="C11" s="50">
        <v>828313.5</v>
      </c>
      <c r="D11" s="50">
        <v>1720858.4999999998</v>
      </c>
      <c r="E11" s="50">
        <v>1607778.5</v>
      </c>
      <c r="F11" s="50">
        <v>1588896</v>
      </c>
      <c r="G11" s="17">
        <f t="shared" si="0"/>
        <v>5745846.5</v>
      </c>
      <c r="H11" s="17">
        <f t="shared" si="1"/>
        <v>353351.15555738541</v>
      </c>
      <c r="I11" s="17">
        <f t="shared" si="2"/>
        <v>5392495.3444426144</v>
      </c>
    </row>
    <row r="12" spans="1:9" ht="15.75" customHeight="1" x14ac:dyDescent="0.25">
      <c r="A12" s="5">
        <f t="shared" si="3"/>
        <v>2034</v>
      </c>
      <c r="B12" s="49">
        <v>308281</v>
      </c>
      <c r="C12" s="50">
        <v>816292</v>
      </c>
      <c r="D12" s="50">
        <v>1716071</v>
      </c>
      <c r="E12" s="50">
        <v>1611825.5</v>
      </c>
      <c r="F12" s="50">
        <v>1586308</v>
      </c>
      <c r="G12" s="17">
        <f t="shared" si="0"/>
        <v>5730496.5</v>
      </c>
      <c r="H12" s="17">
        <f t="shared" si="1"/>
        <v>352436.5703048273</v>
      </c>
      <c r="I12" s="17">
        <f t="shared" si="2"/>
        <v>5378059.9296951722</v>
      </c>
    </row>
    <row r="13" spans="1:9" ht="15.75" customHeight="1" x14ac:dyDescent="0.25">
      <c r="A13" s="5">
        <f t="shared" si="3"/>
        <v>2035</v>
      </c>
      <c r="B13" s="49">
        <v>307430</v>
      </c>
      <c r="C13" s="50">
        <v>806445.5</v>
      </c>
      <c r="D13" s="50">
        <v>1705764.5</v>
      </c>
      <c r="E13" s="50">
        <v>1617948.5</v>
      </c>
      <c r="F13" s="50">
        <v>1585915</v>
      </c>
      <c r="G13" s="17">
        <f t="shared" si="0"/>
        <v>5716073.5</v>
      </c>
      <c r="H13" s="17">
        <f t="shared" si="1"/>
        <v>351463.68024241866</v>
      </c>
      <c r="I13" s="17">
        <f t="shared" si="2"/>
        <v>5364609.8197575817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OKQNTYUzRoAvNCSKdpJy8MqsHLwPBMxJILFXqzJ3wZWr6Si/PDfMRxNykgvAp5ZX3YpmhXi050JlQI7eIHnFlA==" saltValue="jVoTLcOTGa7Yu1nLfs+tc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101">
        <v>6.7294099999999968E-2</v>
      </c>
    </row>
    <row r="5" spans="1:8" ht="15.75" customHeight="1" x14ac:dyDescent="0.25">
      <c r="B5" s="19" t="s">
        <v>98</v>
      </c>
      <c r="C5" s="101">
        <v>1.80132E-2</v>
      </c>
    </row>
    <row r="6" spans="1:8" ht="15.75" customHeight="1" x14ac:dyDescent="0.25">
      <c r="B6" s="19" t="s">
        <v>99</v>
      </c>
      <c r="C6" s="101">
        <v>0.12381249999999989</v>
      </c>
    </row>
    <row r="7" spans="1:8" ht="15.75" customHeight="1" x14ac:dyDescent="0.25">
      <c r="B7" s="19" t="s">
        <v>100</v>
      </c>
      <c r="C7" s="101">
        <v>0.38642470000000018</v>
      </c>
    </row>
    <row r="8" spans="1:8" ht="15.75" customHeight="1" x14ac:dyDescent="0.25">
      <c r="B8" s="19" t="s">
        <v>101</v>
      </c>
      <c r="C8" s="101">
        <v>1.914869999999996E-2</v>
      </c>
    </row>
    <row r="9" spans="1:8" ht="15.75" customHeight="1" x14ac:dyDescent="0.25">
      <c r="B9" s="19" t="s">
        <v>102</v>
      </c>
      <c r="C9" s="101">
        <v>0.26609360000000021</v>
      </c>
    </row>
    <row r="10" spans="1:8" ht="15.75" customHeight="1" x14ac:dyDescent="0.25">
      <c r="B10" s="19" t="s">
        <v>103</v>
      </c>
      <c r="C10" s="101">
        <v>0.1192131999999998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4.9026282500886732E-2</v>
      </c>
      <c r="D14" s="55">
        <v>4.9026282500886732E-2</v>
      </c>
      <c r="E14" s="55">
        <v>4.9026282500886732E-2</v>
      </c>
      <c r="F14" s="55">
        <v>4.9026282500886732E-2</v>
      </c>
    </row>
    <row r="15" spans="1:8" ht="15.75" customHeight="1" x14ac:dyDescent="0.25">
      <c r="B15" s="19" t="s">
        <v>106</v>
      </c>
      <c r="C15" s="101">
        <v>0.14568781322098809</v>
      </c>
      <c r="D15" s="101">
        <v>0.14568781322098809</v>
      </c>
      <c r="E15" s="101">
        <v>0.14568781322098809</v>
      </c>
      <c r="F15" s="101">
        <v>0.14568781322098809</v>
      </c>
    </row>
    <row r="16" spans="1:8" ht="15.75" customHeight="1" x14ac:dyDescent="0.25">
      <c r="B16" s="19" t="s">
        <v>107</v>
      </c>
      <c r="C16" s="101">
        <v>4.4828200364618188E-2</v>
      </c>
      <c r="D16" s="101">
        <v>4.4828200364618188E-2</v>
      </c>
      <c r="E16" s="101">
        <v>4.4828200364618188E-2</v>
      </c>
      <c r="F16" s="101">
        <v>4.4828200364618188E-2</v>
      </c>
    </row>
    <row r="17" spans="1:8" ht="15.75" customHeight="1" x14ac:dyDescent="0.25">
      <c r="B17" s="19" t="s">
        <v>108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109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110</v>
      </c>
      <c r="C19" s="101">
        <v>9.4837782257655406E-2</v>
      </c>
      <c r="D19" s="101">
        <v>9.4837782257655406E-2</v>
      </c>
      <c r="E19" s="101">
        <v>9.4837782257655406E-2</v>
      </c>
      <c r="F19" s="101">
        <v>9.4837782257655406E-2</v>
      </c>
    </row>
    <row r="20" spans="1:8" ht="15.75" customHeight="1" x14ac:dyDescent="0.25">
      <c r="B20" s="19" t="s">
        <v>111</v>
      </c>
      <c r="C20" s="101">
        <v>1.385700301523442E-3</v>
      </c>
      <c r="D20" s="101">
        <v>1.385700301523442E-3</v>
      </c>
      <c r="E20" s="101">
        <v>1.385700301523442E-3</v>
      </c>
      <c r="F20" s="101">
        <v>1.385700301523442E-3</v>
      </c>
    </row>
    <row r="21" spans="1:8" ht="15.75" customHeight="1" x14ac:dyDescent="0.25">
      <c r="B21" s="19" t="s">
        <v>112</v>
      </c>
      <c r="C21" s="101">
        <v>0.53798862315887519</v>
      </c>
      <c r="D21" s="101">
        <v>0.53798862315887519</v>
      </c>
      <c r="E21" s="101">
        <v>0.53798862315887519</v>
      </c>
      <c r="F21" s="101">
        <v>0.53798862315887519</v>
      </c>
    </row>
    <row r="22" spans="1:8" ht="15.75" customHeight="1" x14ac:dyDescent="0.25">
      <c r="B22" s="19" t="s">
        <v>113</v>
      </c>
      <c r="C22" s="101">
        <v>0.126245598195453</v>
      </c>
      <c r="D22" s="101">
        <v>0.126245598195453</v>
      </c>
      <c r="E22" s="101">
        <v>0.126245598195453</v>
      </c>
      <c r="F22" s="101">
        <v>0.126245598195453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6.2575125999999995E-2</v>
      </c>
    </row>
    <row r="27" spans="1:8" ht="15.75" customHeight="1" x14ac:dyDescent="0.25">
      <c r="B27" s="19" t="s">
        <v>120</v>
      </c>
      <c r="C27" s="101">
        <v>2.7904689999999998E-3</v>
      </c>
    </row>
    <row r="28" spans="1:8" ht="15.75" customHeight="1" x14ac:dyDescent="0.25">
      <c r="B28" s="19" t="s">
        <v>121</v>
      </c>
      <c r="C28" s="101">
        <v>0.17595467200000001</v>
      </c>
    </row>
    <row r="29" spans="1:8" ht="15.75" customHeight="1" x14ac:dyDescent="0.25">
      <c r="B29" s="19" t="s">
        <v>122</v>
      </c>
      <c r="C29" s="101">
        <v>0.129916751</v>
      </c>
    </row>
    <row r="30" spans="1:8" ht="15.75" customHeight="1" x14ac:dyDescent="0.25">
      <c r="B30" s="19" t="s">
        <v>2</v>
      </c>
      <c r="C30" s="101">
        <v>6.5542224999999996E-2</v>
      </c>
    </row>
    <row r="31" spans="1:8" ht="15.75" customHeight="1" x14ac:dyDescent="0.25">
      <c r="B31" s="19" t="s">
        <v>123</v>
      </c>
      <c r="C31" s="101">
        <v>0.16151726199999999</v>
      </c>
    </row>
    <row r="32" spans="1:8" ht="15.75" customHeight="1" x14ac:dyDescent="0.25">
      <c r="B32" s="19" t="s">
        <v>124</v>
      </c>
      <c r="C32" s="101">
        <v>7.3741798999999997E-2</v>
      </c>
    </row>
    <row r="33" spans="2:3" ht="15.75" customHeight="1" x14ac:dyDescent="0.25">
      <c r="B33" s="19" t="s">
        <v>125</v>
      </c>
      <c r="C33" s="101">
        <v>3.4829341E-2</v>
      </c>
    </row>
    <row r="34" spans="2:3" ht="15.75" customHeight="1" x14ac:dyDescent="0.25">
      <c r="B34" s="19" t="s">
        <v>126</v>
      </c>
      <c r="C34" s="101">
        <v>0.29313235599999998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Q6if4qH9cqmrfyeGS+NYVibT+T3HbzZBy8dsY5PNWFN9k1N9VEgDNxb2XLvX+EbdVwS0FyHPqR0KaAsc3M8eNw==" saltValue="SBZc4X9a2dwqbmYlgVP7U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132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133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137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138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0.37582732899999999</v>
      </c>
      <c r="D14" s="54">
        <v>0.36131474626900001</v>
      </c>
      <c r="E14" s="54">
        <v>0.36131474626900001</v>
      </c>
      <c r="F14" s="54">
        <v>0.174274205716</v>
      </c>
      <c r="G14" s="54">
        <v>0.174274205716</v>
      </c>
      <c r="H14" s="45">
        <v>0.35399999999999998</v>
      </c>
      <c r="I14" s="55">
        <v>0.35399999999999998</v>
      </c>
      <c r="J14" s="55">
        <v>0.35399999999999998</v>
      </c>
      <c r="K14" s="55">
        <v>0.35399999999999998</v>
      </c>
      <c r="L14" s="45">
        <v>0.32500000000000001</v>
      </c>
      <c r="M14" s="55">
        <v>0.32500000000000001</v>
      </c>
      <c r="N14" s="55">
        <v>0.32500000000000001</v>
      </c>
      <c r="O14" s="55">
        <v>0.32500000000000001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0.23650964144901598</v>
      </c>
      <c r="D15" s="52">
        <f t="shared" si="0"/>
        <v>0.22737681508606677</v>
      </c>
      <c r="E15" s="52">
        <f t="shared" si="0"/>
        <v>0.22737681508606677</v>
      </c>
      <c r="F15" s="52">
        <f t="shared" si="0"/>
        <v>0.10967145475390165</v>
      </c>
      <c r="G15" s="52">
        <f t="shared" si="0"/>
        <v>0.10967145475390165</v>
      </c>
      <c r="H15" s="52">
        <f t="shared" si="0"/>
        <v>0.22277361599999998</v>
      </c>
      <c r="I15" s="52">
        <f t="shared" si="0"/>
        <v>0.22277361599999998</v>
      </c>
      <c r="J15" s="52">
        <f t="shared" si="0"/>
        <v>0.22277361599999998</v>
      </c>
      <c r="K15" s="52">
        <f t="shared" si="0"/>
        <v>0.22277361599999998</v>
      </c>
      <c r="L15" s="52">
        <f t="shared" si="0"/>
        <v>0.20452380000000001</v>
      </c>
      <c r="M15" s="52">
        <f t="shared" si="0"/>
        <v>0.20452380000000001</v>
      </c>
      <c r="N15" s="52">
        <f t="shared" si="0"/>
        <v>0.20452380000000001</v>
      </c>
      <c r="O15" s="52">
        <f t="shared" si="0"/>
        <v>0.20452380000000001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i0KfboVi11K371mwwMoS96pKERO2++6xc6aXKzxPciGofH4365MRklAD/zH8GFERGRuJPHSnWkPpfnIcUrP43A==" saltValue="8L3WVqSGSFyiUF79N43W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0.63046120140845097</v>
      </c>
      <c r="D2" s="53">
        <v>0.43695124225352111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0.13987543571428601</v>
      </c>
      <c r="D3" s="53">
        <v>0.172720771830986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0.18968471549295801</v>
      </c>
      <c r="D4" s="53">
        <v>0.32114636056337997</v>
      </c>
      <c r="E4" s="53">
        <v>0.86012135342465701</v>
      </c>
      <c r="F4" s="53">
        <v>0.68589079999999991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3.9978647384305122E-2</v>
      </c>
      <c r="D5" s="52">
        <f t="shared" si="0"/>
        <v>6.9181625352112919E-2</v>
      </c>
      <c r="E5" s="52">
        <f>1-SUM(E2:E4)</f>
        <v>0.13987864657534299</v>
      </c>
      <c r="F5" s="52">
        <f>1-SUM(F2:F4)</f>
        <v>0.31410920000000009</v>
      </c>
      <c r="G5" s="52">
        <f>1-SUM(G2:G4)</f>
        <v>1</v>
      </c>
    </row>
  </sheetData>
  <sheetProtection algorithmName="SHA-512" hashValue="iAKMLZMDA9Vm4tS1QZBedeneXzrhLeenbLAsJ1MXw4gFAD6rSNz74IfUnembdQyULG2M7m+Dh0jZ0tnUoTOZqQ==" saltValue="V3wVKeEeHYSbh45eNsYEP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vW4JwQr3/mp5IMmFLYOjaElaWeDi9kGUTOt51pLNyFcz0CC49ABN7qLjK26HIHmIpOZbdD1ffKBmf0vuxTUtGw==" saltValue="bbRV1DXubs66XCjMjg5J9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3354.3834075756499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0.37237999999999999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0.36241999999999996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1.3419451631607049E-2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99294.167350000003</v>
      </c>
      <c r="C22" s="109">
        <v>99219.714189999999</v>
      </c>
      <c r="D22" s="109">
        <v>99128.427190000002</v>
      </c>
      <c r="E22" s="109">
        <v>98803.164210000003</v>
      </c>
      <c r="F22" s="109">
        <v>98380.559210000007</v>
      </c>
      <c r="G22" s="109">
        <v>97978.862309999997</v>
      </c>
      <c r="H22" s="109">
        <v>97553.587979999997</v>
      </c>
      <c r="I22" s="109">
        <v>97071.106329999995</v>
      </c>
      <c r="J22" s="109">
        <v>96342.997470000002</v>
      </c>
      <c r="K22" s="109">
        <v>95008.854999999996</v>
      </c>
      <c r="L22" s="109">
        <v>92808.687170000005</v>
      </c>
      <c r="M22" s="109">
        <v>89439.914000000004</v>
      </c>
      <c r="N22" s="109">
        <v>84404.234909999999</v>
      </c>
      <c r="O22" s="109">
        <v>78169.212710000007</v>
      </c>
    </row>
  </sheetData>
  <sheetProtection algorithmName="SHA-512" hashValue="UMQUuoq+XuqwJIFMCsrueW4smfEo6QQsh7PfmGo25qTTEX+gj38s6Jt38nF40ZKeDTDIJW+Cf2NAKMGlK9JLpw==" saltValue="q27lM6SN96RSLTviTlbMu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PXhKhsSbajwnLml9jt49hlVOxaNHVJr54Z4oIgDWdGvMRbaw7M3HYgvsPm0VW/6Q00+Z4brEep6Sh/U08IRTfQ==" saltValue="emdtr8dHVtaafRQugFOgy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PAhzuoA/5s6nI5YgbRKGb3QIklrhMhqboq4txwNkSK0N8UIgJAs5Vo0wfw2KFw93xz34jIqiuWZz08gD+GWI+A==" saltValue="DmBJSuqXW/YD5xyfec95w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17.026484135107474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17.026484135107474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8.0705350947424606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0.48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0.19283527130965261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0.61278763993956276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0.5</v>
      </c>
      <c r="C9" s="98">
        <v>0.95</v>
      </c>
      <c r="D9" s="56">
        <v>0.24171699078812695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</v>
      </c>
      <c r="C10" s="98">
        <v>0.95</v>
      </c>
      <c r="D10" s="56">
        <v>12.968306811567571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12.968306811567571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12.968306811567571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12.968306811567571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</v>
      </c>
      <c r="C14" s="98">
        <v>0.95</v>
      </c>
      <c r="D14" s="56">
        <v>12.968306811567571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12.968306811567571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3.4000000000000002E-2</v>
      </c>
      <c r="C16" s="98">
        <v>0.95</v>
      </c>
      <c r="D16" s="56">
        <v>2.5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</v>
      </c>
      <c r="C17" s="98">
        <v>0.95</v>
      </c>
      <c r="D17" s="56">
        <v>9.7330203637492063E-2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</v>
      </c>
      <c r="C18" s="98">
        <v>0.95</v>
      </c>
      <c r="D18" s="56">
        <v>8.0705350947424606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</v>
      </c>
      <c r="C19" s="98">
        <v>0.95</v>
      </c>
      <c r="D19" s="56">
        <v>8.8512484629968728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7.48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8.0705350947424606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6.4000000000000001E-2</v>
      </c>
      <c r="C23" s="98">
        <v>0.95</v>
      </c>
      <c r="D23" s="56">
        <v>4.2519172670834697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0.71148211299999997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</v>
      </c>
      <c r="C26" s="98">
        <v>0.95</v>
      </c>
      <c r="D26" s="56">
        <v>4.7229528222409431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17.846880984952122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0.54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0.72599999999999998</v>
      </c>
      <c r="C29" s="98">
        <v>0.95</v>
      </c>
      <c r="D29" s="56">
        <v>26.81689264396762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175.48809161556471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0.93</v>
      </c>
      <c r="C32" s="98">
        <v>0.95</v>
      </c>
      <c r="D32" s="56">
        <v>0.45463218100922231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0.85346329999999992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0.90599999999999992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0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0.52352160000000003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</v>
      </c>
      <c r="C38" s="98">
        <v>0.95</v>
      </c>
      <c r="D38" s="56">
        <v>1.6798709086682517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3.43</v>
      </c>
      <c r="E39" s="56" t="s">
        <v>230</v>
      </c>
      <c r="F39" s="98">
        <v>1</v>
      </c>
      <c r="G39" s="98">
        <v>1</v>
      </c>
    </row>
  </sheetData>
  <sheetProtection algorithmName="SHA-512" hashValue="1b0MOjhXV3eeaHA5U2eRyNaNCZfvtGGGQlpfr+5GKvFVsmwtPU6hhXIAi/dqId6hzBmShfOVO9HEPyhLpBhJng==" saltValue="zmlP34oKOKUKZdudVIP/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3dSmEjBsg18lxDLUUSLDkIVkSJDovfnGQ7rSKvhQHkMIIXsd1fxatzvogYATV69dbaa1BZEdW0AhOwJ8aVvDdg==" saltValue="p60fCvSEGgyiBhDqlVCEi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qvesMMHnrztxqJs3syuclp1bsxK9uU5akob3u5J10Lpq2QgE41JUBgP4zwAv98/vn6dkAsT1EcS+Ftz3LbkR7Q==" saltValue="1Fcc0R+ijafxzkTFuIITj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2.4</v>
      </c>
      <c r="C2" s="21">
        <f>'Données pop de l''année de ref'!C52</f>
        <v>2.4</v>
      </c>
      <c r="D2" s="21">
        <f>'Données pop de l''année de ref'!C53</f>
        <v>2.4</v>
      </c>
      <c r="E2" s="21">
        <f>'Données pop de l''année de ref'!C54</f>
        <v>2.4</v>
      </c>
      <c r="F2" s="21">
        <f>'Données pop de l''année de ref'!C55</f>
        <v>2.4</v>
      </c>
    </row>
    <row r="3" spans="1:6" ht="15.75" customHeight="1" x14ac:dyDescent="0.25">
      <c r="A3" s="3" t="s">
        <v>238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237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sheetProtection algorithmName="SHA-512" hashValue="kFmLv9tpYeN0vMjxbFfAoPn4m1A5qwyAHfeoHKQ02mAST/FYA8CPSQiKw1nT+Tsyqdg1t3JqI7qqi0GrFUOdCQ==" saltValue="AAQ0v5II/k6tMXtt02a8A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0.14299999999999999</v>
      </c>
      <c r="F2" s="60">
        <f>food_insecure</f>
        <v>0.14299999999999999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0.14299999999999999</v>
      </c>
      <c r="F5" s="60">
        <f>food_insecure</f>
        <v>0.14299999999999999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0.14299999999999999</v>
      </c>
      <c r="F8" s="60">
        <f>food_insecure</f>
        <v>0.14299999999999999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0.14299999999999999</v>
      </c>
      <c r="F9" s="60">
        <f>food_insecure</f>
        <v>0.14299999999999999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0.14299999999999999</v>
      </c>
      <c r="I15" s="60">
        <f t="shared" si="0"/>
        <v>0.14299999999999999</v>
      </c>
      <c r="J15" s="60">
        <f t="shared" si="0"/>
        <v>0.14299999999999999</v>
      </c>
      <c r="K15" s="60">
        <f t="shared" si="0"/>
        <v>0.14299999999999999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0.14299999999999999</v>
      </c>
      <c r="I16" s="60">
        <f t="shared" si="0"/>
        <v>0.14299999999999999</v>
      </c>
      <c r="J16" s="60">
        <f t="shared" si="0"/>
        <v>0.14299999999999999</v>
      </c>
      <c r="K16" s="60">
        <f t="shared" si="0"/>
        <v>0.14299999999999999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7.4999999999999997E-2</v>
      </c>
      <c r="M24" s="60">
        <f>famplan_unmet_need</f>
        <v>7.4999999999999997E-2</v>
      </c>
      <c r="N24" s="60">
        <f>famplan_unmet_need</f>
        <v>7.4999999999999997E-2</v>
      </c>
      <c r="O24" s="60">
        <f>famplan_unmet_need</f>
        <v>7.4999999999999997E-2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4.0273775353000016E-2</v>
      </c>
      <c r="M25" s="60">
        <f>(1-food_insecure)*(0.49)+food_insecure*(0.7)</f>
        <v>0.52002999999999999</v>
      </c>
      <c r="N25" s="60">
        <f>(1-food_insecure)*(0.49)+food_insecure*(0.7)</f>
        <v>0.52002999999999999</v>
      </c>
      <c r="O25" s="60">
        <f>(1-food_insecure)*(0.49)+food_insecure*(0.7)</f>
        <v>0.52002999999999999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1.7260189437000008E-2</v>
      </c>
      <c r="M26" s="60">
        <f>(1-food_insecure)*(0.21)+food_insecure*(0.3)</f>
        <v>0.22286999999999998</v>
      </c>
      <c r="N26" s="60">
        <f>(1-food_insecure)*(0.21)+food_insecure*(0.3)</f>
        <v>0.22286999999999998</v>
      </c>
      <c r="O26" s="60">
        <f>(1-food_insecure)*(0.21)+food_insecure*(0.3)</f>
        <v>0.22286999999999998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1.991113521000001E-2</v>
      </c>
      <c r="M27" s="60">
        <f>(1-food_insecure)*(0.3)</f>
        <v>0.2571</v>
      </c>
      <c r="N27" s="60">
        <f>(1-food_insecure)*(0.3)</f>
        <v>0.2571</v>
      </c>
      <c r="O27" s="60">
        <f>(1-food_insecure)*(0.3)</f>
        <v>0.2571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0.92255489999999996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uf57C0jhZX4xCWxR4EOMc+fVJPSaDCh3E0iozYOCxCaxqEZAnCey64qOaaYEuqh7Uezdt6oTDuTZs//R08QS5w==" saltValue="uxncz+Aa7Gdb567eoFnKA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WRDymcDmWDhwmWosOX5RyP4YAlLV9RwN9sNihy91bEwCFcvLnGsEWXHHxaydPk+1ABp55KXA1xu2FFRumdFGVA==" saltValue="Iqh6hPaL5bZOsCqoT+CWL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gxvUPgbtQzFIEhNS7pInqhwosrJmtBAIAkTW2PRADz2Zj9MuVzuKkOpjeuhwUrtx1r7rYmGgRVlir8BAZa+fIw==" saltValue="E49iTxOM4pQJjuiJr9FT4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PRqnh6YxdYnhL4FiKTyb2by2yBaZSvV0c/lCCi6aX0yxroHyQS/Xz7pJ8qDtdFTF8pNvMBNc5Ae6TxcAYZqUBQ==" saltValue="oqy7fp+cSwdJAShkSX8LL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45lM9Dy3PGxIAF8axx0/HpgC90K2+IO1McrSWKal66X7vR1YuuwnKSe/E+aaE8BcxUL2GfaVEfy78rSWOs7+IA==" saltValue="lCWnxZZu2kKlqo7LSRm8H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A0W+oELJxOHUPjuKVP+sCUkbJ29kfL78hRYhYeib/3FaKIvt5BKHd7g1IylbIqwO+OvdMyiT7QRMqpQsCRNKeA==" saltValue="pqNPNHO7nFKq/Z3nC0R3a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2nLv7o28l5WCFtIBHsYJi82QlYD67zF0++f7PWdvSi2lWS5VTDKy5YCcDLnENVj5VaUtjdlWo5jNMn9n7fX9Og==" saltValue="0mTwKSPcG7gW4Kxho2vN8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DqWfAdJ73hpJp0WEZpWH8awyJKfexb/c/0Ql8fi3ZZtvGifUQoIA/ahbClI1smce+I5yqhKuJRYGrpN0KPO0Yg==" saltValue="qbucg2iPdwuaHHSYqKPB3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oQGdtC+Am1LHVKBTv/8fkbJ7052Wrw/dZqIYkQ/IEisUQIB5Ss68U5xbpyQQ08d/Jb4OZ+jkjqusqSGRVRal2Q==" saltValue="oes3xrReKTIpCOr8daCg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pcL9w6r2NO/0LLdcTNQfnIh2Sw9Yfe/NzvbOgJCAHrLO5mQUfo8qh7tpHL69WGU7ORFx+z9dw4KxjgbZLn/WNA==" saltValue="pMFSgEK5+Ad6jd8rao/t9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KQbnMRAe40Iu/0p7RvIk3ElR9SOcdUzToukLZFvm59VtWZsYTktxlcuEDjKJyKUtz23c7RdbSJuCOanOQdcBCA==" saltValue="QROMhOnh2XyOyWrbOOei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UnVS+FumcNQuLPcDF+DzGmpWwXKlr6hBcCw7k7U5tfbAiWrc+/ZvDcO6DDsLDoB2QR7HFStQEUkCwMlMV9QEQ==" saltValue="QjW/i1IiF/wyBfXdMy2G8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GgEdjV+Ez4+4APQtfV8d+AEeac006WIibqwxvgGo7mnxSVXI5h488Eo0webCydSFii8mPaaLAv2LBmzYOW45Kg==" saltValue="d/Y9xzH5DAGSlf5e28Q6J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aMBZr80xdqS1KjVNwSoq3ywfRj9u145vAy9ThQG7qne3RsYeMK1qEWQ1PXSXivU3qWgyRb4k0xcO16tsF5GNJw==" saltValue="j7kv+Lf4e7cE6DI1FvWwv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jKZyxSrJXdtrjsy0cfFoBAD6TdHLvoZlCBMZOqUIPgoGLyqg6vgntEnJmfW43ETeIzQlqE3xn5a0K5COELAViQ==" saltValue="RSINDdvhc5Jsj8EVjBAjs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2025-07-04T04:17:47Z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