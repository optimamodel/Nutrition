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89542CC-44B3-4F8F-A216-F3A0CF5FB2D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<sst xmlns="http://schemas.openxmlformats.org/spreadsheetml/2006/main" count="2102" uniqueCount="337">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</sst>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1487954.1875</v>
      </c>
    </row>
    <row r="8" spans="1:3" ht="15" customHeight="1" x14ac:dyDescent="0.25">
      <c r="B8" s="5" t="s">
        <v>19</v>
      </c>
      <c r="C8" s="44">
        <v>8.0000000000000002E-3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0.90408493041992199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3.6700000000000003E-2</v>
      </c>
    </row>
    <row r="24" spans="1:3" ht="15" customHeight="1" x14ac:dyDescent="0.25">
      <c r="B24" s="15" t="s">
        <v>33</v>
      </c>
      <c r="C24" s="45">
        <v>0.48730000000000001</v>
      </c>
    </row>
    <row r="25" spans="1:3" ht="15" customHeight="1" x14ac:dyDescent="0.25">
      <c r="B25" s="15" t="s">
        <v>34</v>
      </c>
      <c r="C25" s="45">
        <v>0.43280000000000002</v>
      </c>
    </row>
    <row r="26" spans="1:3" ht="15" customHeight="1" x14ac:dyDescent="0.25">
      <c r="B26" s="15" t="s">
        <v>35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0.3567553</v>
      </c>
    </row>
    <row r="30" spans="1:3" ht="14.25" customHeight="1" x14ac:dyDescent="0.25">
      <c r="B30" s="25" t="s">
        <v>38</v>
      </c>
      <c r="C30" s="99">
        <v>6.59106E-2</v>
      </c>
    </row>
    <row r="31" spans="1:3" ht="14.25" customHeight="1" x14ac:dyDescent="0.25">
      <c r="B31" s="25" t="s">
        <v>39</v>
      </c>
      <c r="C31" s="99">
        <v>9.2620400000000006E-2</v>
      </c>
    </row>
    <row r="32" spans="1:3" ht="14.25" customHeight="1" x14ac:dyDescent="0.25">
      <c r="B32" s="25" t="s">
        <v>40</v>
      </c>
      <c r="C32" s="99">
        <v>0.48471370000000003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3.8523700000000001</v>
      </c>
    </row>
    <row r="38" spans="1:5" ht="15" customHeight="1" x14ac:dyDescent="0.25">
      <c r="B38" s="11" t="s">
        <v>45</v>
      </c>
      <c r="C38" s="43">
        <v>5.7698299999999998</v>
      </c>
      <c r="D38" s="12"/>
      <c r="E38" s="13"/>
    </row>
    <row r="39" spans="1:5" ht="15" customHeight="1" x14ac:dyDescent="0.25">
      <c r="B39" s="11" t="s">
        <v>46</v>
      </c>
      <c r="C39" s="43">
        <v>6.7480700000000002</v>
      </c>
      <c r="D39" s="12"/>
      <c r="E39" s="12"/>
    </row>
    <row r="40" spans="1:5" ht="15" customHeight="1" x14ac:dyDescent="0.25">
      <c r="B40" s="11" t="s">
        <v>47</v>
      </c>
      <c r="C40" s="100">
        <v>0.28999999999999998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6.7450000000000001E-3</v>
      </c>
      <c r="D45" s="12"/>
    </row>
    <row r="46" spans="1:5" ht="15.75" customHeight="1" x14ac:dyDescent="0.25">
      <c r="B46" s="11" t="s">
        <v>52</v>
      </c>
      <c r="C46" s="45">
        <v>7.1213499999999999E-2</v>
      </c>
      <c r="D46" s="12"/>
    </row>
    <row r="47" spans="1:5" ht="15.75" customHeight="1" x14ac:dyDescent="0.25">
      <c r="B47" s="11" t="s">
        <v>53</v>
      </c>
      <c r="C47" s="45">
        <v>0.17027529999999999</v>
      </c>
      <c r="D47" s="12"/>
      <c r="E47" s="13"/>
    </row>
    <row r="48" spans="1:5" ht="15" customHeight="1" x14ac:dyDescent="0.25">
      <c r="B48" s="11" t="s">
        <v>54</v>
      </c>
      <c r="C48" s="46">
        <v>0.75176620000000005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0.62930399999999997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0.15888087000000001</v>
      </c>
    </row>
    <row r="63" spans="1:4" ht="15.75" customHeight="1" x14ac:dyDescent="0.3">
      <c r="A63" s="4"/>
    </row>
  </sheetData>
  <sheetProtection algorithmName="SHA-512" hashValue="0kZOfrrBupcPiw+SGYYEASsQSpmiio8ln8ySSQfrv6dd9TaYnuMigApO4xdpVGa4+mQilVc6UL7xEBsCHURqJw==" saltValue="wjKHN+j6GN+s5VfY+9U/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295432</v>
      </c>
      <c r="C2" s="49">
        <v>1052264</v>
      </c>
      <c r="D2" s="49">
        <v>1545255</v>
      </c>
      <c r="E2" s="49">
        <v>1464186.5</v>
      </c>
      <c r="F2" s="49">
        <v>1397880</v>
      </c>
      <c r="G2" s="17">
        <f t="shared" ref="G2:G13" si="0">C2+D2+E2+F2</f>
        <v>5459585.5</v>
      </c>
      <c r="H2" s="17">
        <f t="shared" ref="H2:H13" si="1">(B2 + stillbirth*B2/(1000-stillbirth))/(1-abortion)</f>
        <v>337747.18791717861</v>
      </c>
      <c r="I2" s="17">
        <f t="shared" ref="I2:I13" si="2">G2-H2</f>
        <v>5121838.3120828215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294245</v>
      </c>
      <c r="C3" s="50">
        <v>1046889</v>
      </c>
      <c r="D3" s="50">
        <v>1554029.5</v>
      </c>
      <c r="E3" s="50">
        <v>1449803</v>
      </c>
      <c r="F3" s="50">
        <v>1409977.5</v>
      </c>
      <c r="G3" s="17">
        <f t="shared" si="0"/>
        <v>5460699</v>
      </c>
      <c r="H3" s="17">
        <f t="shared" si="1"/>
        <v>336390.17204869556</v>
      </c>
      <c r="I3" s="17">
        <f t="shared" si="2"/>
        <v>5124308.8279513046</v>
      </c>
    </row>
    <row r="4" spans="1:9" ht="15.75" customHeight="1" x14ac:dyDescent="0.25">
      <c r="A4" s="5">
        <f t="shared" si="3"/>
        <v>2026</v>
      </c>
      <c r="B4" s="49">
        <v>291602</v>
      </c>
      <c r="C4" s="50">
        <v>1039723</v>
      </c>
      <c r="D4" s="50">
        <v>1566933.5</v>
      </c>
      <c r="E4" s="50">
        <v>1438735</v>
      </c>
      <c r="F4" s="50">
        <v>1414976</v>
      </c>
      <c r="G4" s="17">
        <f t="shared" si="0"/>
        <v>5460367.5</v>
      </c>
      <c r="H4" s="17">
        <f t="shared" si="1"/>
        <v>333368.61102055671</v>
      </c>
      <c r="I4" s="17">
        <f t="shared" si="2"/>
        <v>5126998.8889794433</v>
      </c>
    </row>
    <row r="5" spans="1:9" ht="15.75" customHeight="1" x14ac:dyDescent="0.25">
      <c r="A5" s="5">
        <f t="shared" si="3"/>
        <v>2027</v>
      </c>
      <c r="B5" s="49">
        <v>290163</v>
      </c>
      <c r="C5" s="50">
        <v>1030161</v>
      </c>
      <c r="D5" s="50">
        <v>1583101.5</v>
      </c>
      <c r="E5" s="50">
        <v>1431091</v>
      </c>
      <c r="F5" s="50">
        <v>1409943.5</v>
      </c>
      <c r="G5" s="17">
        <f t="shared" si="0"/>
        <v>5454297</v>
      </c>
      <c r="H5" s="17">
        <f t="shared" si="1"/>
        <v>331723.50079751789</v>
      </c>
      <c r="I5" s="17">
        <f t="shared" si="2"/>
        <v>5122573.4992024824</v>
      </c>
    </row>
    <row r="6" spans="1:9" ht="15.75" customHeight="1" x14ac:dyDescent="0.25">
      <c r="A6" s="5">
        <f t="shared" si="3"/>
        <v>2028</v>
      </c>
      <c r="B6" s="49">
        <v>288952</v>
      </c>
      <c r="C6" s="50">
        <v>1017749.5</v>
      </c>
      <c r="D6" s="50">
        <v>1599278</v>
      </c>
      <c r="E6" s="50">
        <v>1424285</v>
      </c>
      <c r="F6" s="50">
        <v>1393265</v>
      </c>
      <c r="G6" s="17">
        <f t="shared" si="0"/>
        <v>5434577.5</v>
      </c>
      <c r="H6" s="17">
        <f t="shared" si="1"/>
        <v>330339.04737145803</v>
      </c>
      <c r="I6" s="17">
        <f t="shared" si="2"/>
        <v>5104238.4526285417</v>
      </c>
    </row>
    <row r="7" spans="1:9" ht="15.75" customHeight="1" x14ac:dyDescent="0.25">
      <c r="A7" s="5">
        <f t="shared" si="3"/>
        <v>2029</v>
      </c>
      <c r="B7" s="49">
        <v>289102</v>
      </c>
      <c r="C7" s="50">
        <v>1002999</v>
      </c>
      <c r="D7" s="50">
        <v>1612315.5</v>
      </c>
      <c r="E7" s="50">
        <v>1418125</v>
      </c>
      <c r="F7" s="50">
        <v>1369326</v>
      </c>
      <c r="G7" s="17">
        <f t="shared" si="0"/>
        <v>5402765.5</v>
      </c>
      <c r="H7" s="17">
        <f t="shared" si="1"/>
        <v>330510.53210631269</v>
      </c>
      <c r="I7" s="17">
        <f t="shared" si="2"/>
        <v>5072254.9678936871</v>
      </c>
    </row>
    <row r="8" spans="1:9" ht="15.75" customHeight="1" x14ac:dyDescent="0.25">
      <c r="A8" s="5">
        <f t="shared" si="3"/>
        <v>2030</v>
      </c>
      <c r="B8" s="49">
        <v>287955</v>
      </c>
      <c r="C8" s="50">
        <v>988146.5</v>
      </c>
      <c r="D8" s="50">
        <v>1619137</v>
      </c>
      <c r="E8" s="50">
        <v>1414975.5</v>
      </c>
      <c r="F8" s="50">
        <v>1340822</v>
      </c>
      <c r="G8" s="17">
        <f t="shared" si="0"/>
        <v>5363081</v>
      </c>
      <c r="H8" s="17">
        <f t="shared" si="1"/>
        <v>329199.24550045753</v>
      </c>
      <c r="I8" s="17">
        <f t="shared" si="2"/>
        <v>5033881.7544995425</v>
      </c>
    </row>
    <row r="9" spans="1:9" ht="15.75" customHeight="1" x14ac:dyDescent="0.25">
      <c r="A9" s="5">
        <f t="shared" si="3"/>
        <v>2031</v>
      </c>
      <c r="B9" s="49">
        <v>287155</v>
      </c>
      <c r="C9" s="50">
        <v>972055.99999999988</v>
      </c>
      <c r="D9" s="50">
        <v>1620897.5</v>
      </c>
      <c r="E9" s="50">
        <v>1413424</v>
      </c>
      <c r="F9" s="50">
        <v>1309024.5</v>
      </c>
      <c r="G9" s="17">
        <f t="shared" si="0"/>
        <v>5315402</v>
      </c>
      <c r="H9" s="17">
        <f t="shared" si="1"/>
        <v>328284.66024789948</v>
      </c>
      <c r="I9" s="17">
        <f t="shared" si="2"/>
        <v>4987117.3397521004</v>
      </c>
    </row>
    <row r="10" spans="1:9" ht="15.75" customHeight="1" x14ac:dyDescent="0.25">
      <c r="A10" s="5">
        <f t="shared" si="3"/>
        <v>2032</v>
      </c>
      <c r="B10" s="49">
        <v>286652</v>
      </c>
      <c r="C10" s="50">
        <v>952664</v>
      </c>
      <c r="D10" s="50">
        <v>1620791</v>
      </c>
      <c r="E10" s="50">
        <v>1411215</v>
      </c>
      <c r="F10" s="50">
        <v>1283351.5</v>
      </c>
      <c r="G10" s="17">
        <f t="shared" si="0"/>
        <v>5268021.5</v>
      </c>
      <c r="H10" s="17">
        <f t="shared" si="1"/>
        <v>327709.61477035354</v>
      </c>
      <c r="I10" s="17">
        <f t="shared" si="2"/>
        <v>4940311.8852296462</v>
      </c>
    </row>
    <row r="11" spans="1:9" ht="15.75" customHeight="1" x14ac:dyDescent="0.25">
      <c r="A11" s="5">
        <f t="shared" si="3"/>
        <v>2033</v>
      </c>
      <c r="B11" s="49">
        <v>286825</v>
      </c>
      <c r="C11" s="50">
        <v>931797.5</v>
      </c>
      <c r="D11" s="50">
        <v>1618124.5</v>
      </c>
      <c r="E11" s="50">
        <v>1411992</v>
      </c>
      <c r="F11" s="50">
        <v>1266740.5</v>
      </c>
      <c r="G11" s="17">
        <f t="shared" si="0"/>
        <v>5228654.5</v>
      </c>
      <c r="H11" s="17">
        <f t="shared" si="1"/>
        <v>327907.39383121923</v>
      </c>
      <c r="I11" s="17">
        <f t="shared" si="2"/>
        <v>4900747.1061687805</v>
      </c>
    </row>
    <row r="12" spans="1:9" ht="15.75" customHeight="1" x14ac:dyDescent="0.25">
      <c r="A12" s="5">
        <f t="shared" si="3"/>
        <v>2034</v>
      </c>
      <c r="B12" s="49">
        <v>285678</v>
      </c>
      <c r="C12" s="50">
        <v>912264</v>
      </c>
      <c r="D12" s="50">
        <v>1610306</v>
      </c>
      <c r="E12" s="50">
        <v>1417014</v>
      </c>
      <c r="F12" s="50">
        <v>1254172</v>
      </c>
      <c r="G12" s="17">
        <f t="shared" si="0"/>
        <v>5193756</v>
      </c>
      <c r="H12" s="17">
        <f t="shared" si="1"/>
        <v>326596.10722536407</v>
      </c>
      <c r="I12" s="17">
        <f t="shared" si="2"/>
        <v>4867159.8927746359</v>
      </c>
    </row>
    <row r="13" spans="1:9" ht="15.75" customHeight="1" x14ac:dyDescent="0.25">
      <c r="A13" s="5">
        <f t="shared" si="3"/>
        <v>2035</v>
      </c>
      <c r="B13" s="49">
        <v>283859</v>
      </c>
      <c r="C13" s="50">
        <v>895391.99999999988</v>
      </c>
      <c r="D13" s="50">
        <v>1595734.5</v>
      </c>
      <c r="E13" s="50">
        <v>1425891</v>
      </c>
      <c r="F13" s="50">
        <v>1242077</v>
      </c>
      <c r="G13" s="17">
        <f t="shared" si="0"/>
        <v>5159094.5</v>
      </c>
      <c r="H13" s="17">
        <f t="shared" si="1"/>
        <v>324516.56900736014</v>
      </c>
      <c r="I13" s="17">
        <f t="shared" si="2"/>
        <v>4834577.9309926396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fLk3L6UNUQuBeLraq+ZdJjODmHsbVNyIEB1QiocTuTqXXB1qwi+I0kPGfxIkz5H4A+u1vUmYdkGuOdwpvNdCA==" saltValue="hgBeMIjI80pKnRgFHbtI9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6.7294099999999968E-2</v>
      </c>
    </row>
    <row r="5" spans="1:8" ht="15.75" customHeight="1" x14ac:dyDescent="0.25">
      <c r="B5" s="19" t="s">
        <v>80</v>
      </c>
      <c r="C5" s="101">
        <v>1.80132E-2</v>
      </c>
    </row>
    <row r="6" spans="1:8" ht="15.75" customHeight="1" x14ac:dyDescent="0.25">
      <c r="B6" s="19" t="s">
        <v>81</v>
      </c>
      <c r="C6" s="101">
        <v>0.12381249999999989</v>
      </c>
    </row>
    <row r="7" spans="1:8" ht="15.75" customHeight="1" x14ac:dyDescent="0.25">
      <c r="B7" s="19" t="s">
        <v>82</v>
      </c>
      <c r="C7" s="101">
        <v>0.38642470000000018</v>
      </c>
    </row>
    <row r="8" spans="1:8" ht="15.75" customHeight="1" x14ac:dyDescent="0.25">
      <c r="B8" s="19" t="s">
        <v>83</v>
      </c>
      <c r="C8" s="101">
        <v>1.914869999999996E-2</v>
      </c>
    </row>
    <row r="9" spans="1:8" ht="15.75" customHeight="1" x14ac:dyDescent="0.25">
      <c r="B9" s="19" t="s">
        <v>84</v>
      </c>
      <c r="C9" s="101">
        <v>0.26609360000000021</v>
      </c>
    </row>
    <row r="10" spans="1:8" ht="15.75" customHeight="1" x14ac:dyDescent="0.25">
      <c r="B10" s="19" t="s">
        <v>85</v>
      </c>
      <c r="C10" s="101">
        <v>0.1192131999999998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88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89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93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94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95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6.2575125999999995E-2</v>
      </c>
    </row>
    <row r="27" spans="1:8" ht="15.75" customHeight="1" x14ac:dyDescent="0.25">
      <c r="B27" s="19" t="s">
        <v>102</v>
      </c>
      <c r="C27" s="101">
        <v>2.7904689999999998E-3</v>
      </c>
    </row>
    <row r="28" spans="1:8" ht="15.75" customHeight="1" x14ac:dyDescent="0.25">
      <c r="B28" s="19" t="s">
        <v>103</v>
      </c>
      <c r="C28" s="101">
        <v>0.17595467200000001</v>
      </c>
    </row>
    <row r="29" spans="1:8" ht="15.75" customHeight="1" x14ac:dyDescent="0.25">
      <c r="B29" s="19" t="s">
        <v>104</v>
      </c>
      <c r="C29" s="101">
        <v>0.129916751</v>
      </c>
    </row>
    <row r="30" spans="1:8" ht="15.75" customHeight="1" x14ac:dyDescent="0.25">
      <c r="B30" s="19" t="s">
        <v>2</v>
      </c>
      <c r="C30" s="101">
        <v>6.5542224999999996E-2</v>
      </c>
    </row>
    <row r="31" spans="1:8" ht="15.75" customHeight="1" x14ac:dyDescent="0.25">
      <c r="B31" s="19" t="s">
        <v>105</v>
      </c>
      <c r="C31" s="101">
        <v>0.16151726199999999</v>
      </c>
    </row>
    <row r="32" spans="1:8" ht="15.75" customHeight="1" x14ac:dyDescent="0.25">
      <c r="B32" s="19" t="s">
        <v>106</v>
      </c>
      <c r="C32" s="101">
        <v>7.3741798999999997E-2</v>
      </c>
    </row>
    <row r="33" spans="2:3" ht="15.75" customHeight="1" x14ac:dyDescent="0.25">
      <c r="B33" s="19" t="s">
        <v>107</v>
      </c>
      <c r="C33" s="101">
        <v>3.4829341E-2</v>
      </c>
    </row>
    <row r="34" spans="2:3" ht="15.75" customHeight="1" x14ac:dyDescent="0.25">
      <c r="B34" s="19" t="s">
        <v>108</v>
      </c>
      <c r="C34" s="101">
        <v>0.29313235599999998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cTQLje9U5r47PnOe/O3hEVq8ItOHnUeKZiAqrs8oTpAffqwG1HdAMfeUUHuPTb2PmuGX7oCEztdAeOacUwkoow==" saltValue="i93qrPeRkzN4qtyvcsTCU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YkQraafpWkYjBsUbW/pQthJhWuMjqNndmNw/hOtNc1oCyWvVg+gefwItTSYFswKlk9/G/UPFwPTT3Jfj3vRew==" saltValue="Q/TxKzHT6KgGZOX0Khot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132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Nqc6X3AxJPM9WTQhOcL/Db3cBfSWClzuqTv6Z3clcLV42vH37uolc+oCQNwCEmOtwgnz/7+IuXxIf991dP4/sg==" saltValue="wq/3b20/YuV3jpjTrnAh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7Jopu3Rs9v3fFz02Iex4TIZ1xrp4SjLb4xpQ1UITDxasOvAxAPCuvg5QLemthbnj5wmR96i/MNMJisiz2JCfSg==" saltValue="vRJtWYCXDk5Y1eGPjLwa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OXmD5eW2hEOQooXxmtXNtRWTbVCpF2JMEwPRuyVinFqECPYsX6XbjAriFLHaaDk9XnulkFpLj55Ajpwi2pPTww==" saltValue="baQ5m/N/3mW2M7i1JtxU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ZNLAYfx7aD/+Wb/0nTSY/raRl9qTfxTE76lF/y3YZRAbVADs/iaJQcnSPGZ9nGPHfMLhhSWKkkHDoZJYrfCtCA==" saltValue="akYobQLMnSsjPxVVCCnz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Mc9vgNve9lxWUfePghZTr+PUjkoNx8JwgizsEVSIP+5SMSEcfFAHThZzla/Nb3qrSdbqWHJXL62UbfhNXc2HpA==" saltValue="6XCuCiEeOOtk592rTnD8q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56.060857440763883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0.24425928799999999</v>
      </c>
      <c r="C3" s="98">
        <v>0.95</v>
      </c>
      <c r="D3" s="56">
        <v>39.836007367771657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383.53948171134112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2.6821610077954769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12.968306811567571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12.968306811567571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12.968306811567571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12.968306811567571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12.968306811567571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12.968306811567571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0.99</v>
      </c>
      <c r="C16" s="98">
        <v>0.95</v>
      </c>
      <c r="D16" s="56">
        <v>0.67507261146291864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0.12529945449999999</v>
      </c>
      <c r="C18" s="98">
        <v>0.95</v>
      </c>
      <c r="D18" s="56">
        <v>8.8512484629968728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0.95086360000000003</v>
      </c>
      <c r="C19" s="98">
        <v>0.95</v>
      </c>
      <c r="D19" s="56">
        <v>8.8512484629968728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0.52352160000000003</v>
      </c>
      <c r="C21" s="98">
        <v>0.95</v>
      </c>
      <c r="D21" s="56">
        <v>24.480490916001791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22.356153156487789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4.2519172670834697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0.94947795400000001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18.528185290228219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0.74457849949999999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109.15510136543379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0.93</v>
      </c>
      <c r="C31" s="98">
        <v>0.95</v>
      </c>
      <c r="D31" s="56">
        <v>3.341585585510273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1.4449724110069491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0.72599999999999998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</v>
      </c>
      <c r="C38" s="98">
        <v>0.95</v>
      </c>
      <c r="D38" s="56">
        <v>2.490967096558574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T3OHu1iYng1wXv3iWOiyAfc7aFMfNEO8tdiV0eCs30qpJouinm4EkyKPMcsHIqkj6t27tstqD7/fVDjdemwyOA==" saltValue="CTLTOT67tbWqLxyLgj1U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82hr51A9ht7aYPmwUJoUGOUpgkL9+ZW0Nt9utV39eZqgkCjdNoD94XVBqSFZcshzgvzBEVjcchDT8pCjK5HiTQ==" saltValue="40QdfN/JYeEs+d5GExp1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vIi5hFJsOZJA2m31FjnkhqBFXu4O7/0aECP75/vzNX8du0+lg/Dlk6cHMDleGfG+AKzYvaaQ8XctXE49wS5pg==" saltValue="7b3W2ODxOd1fzvx/e/ivb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rcMO+o+vXb8OODo7hgscDD11w4a1xU4n22h+6jakwH8V42ZC4oyM14oIiwt9UI2wM71c7pOneM/M8pH8UeIYDw==" saltValue="cDfhr4Q/uclACmHiGbxq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8.0000000000000002E-3</v>
      </c>
      <c r="E2" s="60">
        <f>food_insecure</f>
        <v>8.0000000000000002E-3</v>
      </c>
      <c r="F2" s="60">
        <f>food_insecure</f>
        <v>8.0000000000000002E-3</v>
      </c>
      <c r="G2" s="60">
        <f>food_insecure</f>
        <v>8.0000000000000002E-3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8.0000000000000002E-3</v>
      </c>
      <c r="F5" s="60">
        <f>food_insecure</f>
        <v>8.0000000000000002E-3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8.0000000000000002E-3</v>
      </c>
      <c r="F8" s="60">
        <f>food_insecure</f>
        <v>8.0000000000000002E-3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8.0000000000000002E-3</v>
      </c>
      <c r="F9" s="60">
        <f>food_insecure</f>
        <v>8.0000000000000002E-3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8.0000000000000002E-3</v>
      </c>
      <c r="I15" s="60">
        <f>food_insecure</f>
        <v>8.0000000000000002E-3</v>
      </c>
      <c r="J15" s="60">
        <f>food_insecure</f>
        <v>8.0000000000000002E-3</v>
      </c>
      <c r="K15" s="60">
        <f>food_insecure</f>
        <v>8.0000000000000002E-3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4.7159521411132756E-2</v>
      </c>
      <c r="M25" s="60">
        <f>(1-food_insecure)*(0.49)+food_insecure*(0.7)</f>
        <v>0.49168000000000001</v>
      </c>
      <c r="N25" s="60">
        <f>(1-food_insecure)*(0.49)+food_insecure*(0.7)</f>
        <v>0.49168000000000001</v>
      </c>
      <c r="O25" s="60">
        <f>(1-food_insecure)*(0.49)+food_insecure*(0.7)</f>
        <v>0.49168000000000001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2.0211223461914035E-2</v>
      </c>
      <c r="M26" s="60">
        <f>(1-food_insecure)*(0.21)+food_insecure*(0.3)</f>
        <v>0.21071999999999999</v>
      </c>
      <c r="N26" s="60">
        <f>(1-food_insecure)*(0.21)+food_insecure*(0.3)</f>
        <v>0.21071999999999999</v>
      </c>
      <c r="O26" s="60">
        <f>(1-food_insecure)*(0.21)+food_insecure*(0.3)</f>
        <v>0.21071999999999999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2.8544324707031211E-2</v>
      </c>
      <c r="M27" s="60">
        <f>(1-food_insecure)*(0.3)</f>
        <v>0.29759999999999998</v>
      </c>
      <c r="N27" s="60">
        <f>(1-food_insecure)*(0.3)</f>
        <v>0.29759999999999998</v>
      </c>
      <c r="O27" s="60">
        <f>(1-food_insecure)*(0.3)</f>
        <v>0.29759999999999998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0.90408493041992199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4fHJYUmmS3JtsfYbWO5lJ4Y1hLgI9MOHNniMPLMYD5/0J+4/pewavy5dmKfblqq/hE7a9F0p7JTnRWZCIeCqA==" saltValue="I1KNHAeWlpd3Ub/MhV4B7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kKMCQt06e7A31msTusoJKOeOs9GDDdoDPEGN6+zm8nov7KGAFCwXBKv5FMn/3PBF5BMtAL3/J7A6PejxVoC1XA==" saltValue="BRisnF5eYzHMD1OVw9hog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MljgTGQf9xmJMhc/Vr0svzfB9CtghxjulI5yLNEezcPHPhQVBop0sOmN6pc0/NLsFvABbeMomDd4POIj+eJcQ==" saltValue="xLSz1Ncs1YPXbOIrKQiKJ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K2vsSKHs6EmduH61Az/2zu7fLC/cZkBA+5j+RISgsCcUa67TX97EMLxJor28TuuXtf8l79Rpij5wzzbXSs3fA==" saltValue="ASMa0UrEndrXQfPjk+cOc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C6udm1/GMloJD0SZRk+EWr0juGwMjxsBQzCdzvMxX925zXDF21UwDO9vpKC2NomuclmBhtEol5lYVKeJjoF0w==" saltValue="tg6kkd3VQ0vCEzQgkhwCR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kQjvzrC+xLys6vU48VCcIdZVQXu3rep/fEqlWvIoKtf6FM51sGztc9w0CqO6o9JpbDyopVrGTvOlOgdPr77WA==" saltValue="lAIOGoTyqoSi0C1MCYen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t9QCYLOUrIXxhKUQv4YgmSmhdnimiVHgv8kjWdajs98kIvSVukaP/Nf37u3LP5iVpWJSVRluISXwhpmAvlQ+Xg==" saltValue="nq1noivq4sBxlqCQDYvB/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FC91ahOOm5ze5iM77pzNzmKcuGj9DPFhuA79SFrlo7lPCaRgFk66yKaef/ore1pphOf8XmbqH2gOEaba0l6KQ==" saltValue="IhEuB5surPy42JIq6OR2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nTobRorOnP/RQupmLPx8PjL9c1kDx9V9c0RZwYn8DQW5Komwl2qzle0OuEaE8hk7KR672nkmxL+SPzwShopug==" saltValue="Wx+YdLXsg9b3e/+P+cXA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YXhrnsv7fvIQ83OQEkJdr+eJqytvceFwVpJr4K9iNtfHzD5SLX+dv2d9A6w9hBhP/j9cuGQN3HmAlEDzPoyxA==" saltValue="6cZQeL0/PMAiZCszEzYJ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1GjEQaWqjLN/LiZjxoZOyaQ9BBMfv4fZtI9Hl1w2nru5OV4hOlj3morAuStJU/V2vtXTtNAFYEqauALDSYhNLA==" saltValue="HnvXADB5gDznEMj6LI3p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NA6u5Xwe6C8dmZdPYEiNz0gLTxP7Pio9CpdEV/Irx5XkVyx0/uYCrnJiCHo63apcaMq+Hlac99R6sA4HHG/Uw==" saltValue="XD1/q5yubGtGHKEosreH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dhZOzsCW5dvpbNIESG11u0zU0nNE/WNH6tWefY+Uo6v4MD2rOa4fpxMP8adW2i2Mvdmvj8yYmXxV3RY4CCkiw==" saltValue="H55aIAwx94/I8BA8WuLN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8tsSlFJkFVMNJJx6pLVOb7/Iz5Cen0JsfATRU3MBDHqnlzFll5uoWk8NY2NOgJgsGwJiv05D/wbTuPhK+1dCg==" saltValue="6uLLJxII1ieYs58TkGf/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GPDNHsbr9ln6eqHWp84LHEvQ7GookAhSYjZL46HshdLzoJB7ljr+TUBINwtywiGQtzc3xGkbXEaNasf2jVexag==" saltValue="EaGa61z7WY5mLbmtAJCr6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2024-05-17T00:37:16Z</dcterms:modified>
</cp:coreProperties>
</file>