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38F6E8F4-DC2A-4F44-9335-F61BA2C381A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A36" i="2"/>
  <c r="A34" i="2"/>
  <c r="A33" i="2"/>
  <c r="A31" i="2"/>
  <c r="A29" i="2"/>
  <c r="A25" i="2"/>
  <c r="A23" i="2"/>
  <c r="A21" i="2"/>
  <c r="A20" i="2"/>
  <c r="A18" i="2"/>
  <c r="A17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37" i="2" l="1"/>
  <c r="A26" i="2"/>
  <c r="I38" i="2"/>
  <c r="A15" i="2"/>
  <c r="A28" i="2"/>
  <c r="A16" i="2"/>
  <c r="A24" i="2"/>
  <c r="A32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<sst xmlns="http://schemas.openxmlformats.org/spreadsheetml/2006/main" count="2101" uniqueCount="337">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</sst>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1487954.1875</v>
      </c>
    </row>
    <row r="8" spans="1:3" ht="15" customHeight="1" x14ac:dyDescent="0.25">
      <c r="B8" s="5" t="s">
        <v>19</v>
      </c>
      <c r="C8" s="44">
        <v>8.0000000000000002E-3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0.90408493041992199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3.6700000000000003E-2</v>
      </c>
    </row>
    <row r="24" spans="1:3" ht="15" customHeight="1" x14ac:dyDescent="0.25">
      <c r="B24" s="15" t="s">
        <v>33</v>
      </c>
      <c r="C24" s="45">
        <v>0.48730000000000001</v>
      </c>
    </row>
    <row r="25" spans="1:3" ht="15" customHeight="1" x14ac:dyDescent="0.25">
      <c r="B25" s="15" t="s">
        <v>34</v>
      </c>
      <c r="C25" s="45">
        <v>0.43280000000000002</v>
      </c>
    </row>
    <row r="26" spans="1:3" ht="15" customHeight="1" x14ac:dyDescent="0.25">
      <c r="B26" s="15" t="s">
        <v>35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0.3567553</v>
      </c>
    </row>
    <row r="30" spans="1:3" ht="14.25" customHeight="1" x14ac:dyDescent="0.25">
      <c r="B30" s="25" t="s">
        <v>38</v>
      </c>
      <c r="C30" s="99">
        <v>6.59106E-2</v>
      </c>
    </row>
    <row r="31" spans="1:3" ht="14.25" customHeight="1" x14ac:dyDescent="0.25">
      <c r="B31" s="25" t="s">
        <v>39</v>
      </c>
      <c r="C31" s="99">
        <v>9.2620400000000006E-2</v>
      </c>
    </row>
    <row r="32" spans="1:3" ht="14.25" customHeight="1" x14ac:dyDescent="0.25">
      <c r="B32" s="25" t="s">
        <v>40</v>
      </c>
      <c r="C32" s="99">
        <v>0.48471370000000003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3.8523700000000001</v>
      </c>
    </row>
    <row r="38" spans="1:5" ht="15" customHeight="1" x14ac:dyDescent="0.25">
      <c r="B38" s="11" t="s">
        <v>45</v>
      </c>
      <c r="C38" s="43">
        <v>5.7698299999999998</v>
      </c>
      <c r="D38" s="12"/>
      <c r="E38" s="13"/>
    </row>
    <row r="39" spans="1:5" ht="15" customHeight="1" x14ac:dyDescent="0.25">
      <c r="B39" s="11" t="s">
        <v>46</v>
      </c>
      <c r="C39" s="43">
        <v>6.7480700000000002</v>
      </c>
      <c r="D39" s="12"/>
      <c r="E39" s="12"/>
    </row>
    <row r="40" spans="1:5" ht="15" customHeight="1" x14ac:dyDescent="0.25">
      <c r="B40" s="11" t="s">
        <v>47</v>
      </c>
      <c r="C40" s="100">
        <v>0.28999999999999998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6.7450000000000001E-3</v>
      </c>
      <c r="D45" s="12"/>
    </row>
    <row r="46" spans="1:5" ht="15.75" customHeight="1" x14ac:dyDescent="0.25">
      <c r="B46" s="11" t="s">
        <v>52</v>
      </c>
      <c r="C46" s="45">
        <v>7.1213499999999999E-2</v>
      </c>
      <c r="D46" s="12"/>
    </row>
    <row r="47" spans="1:5" ht="15.75" customHeight="1" x14ac:dyDescent="0.25">
      <c r="B47" s="11" t="s">
        <v>53</v>
      </c>
      <c r="C47" s="45">
        <v>0.17027529999999999</v>
      </c>
      <c r="D47" s="12"/>
      <c r="E47" s="13"/>
    </row>
    <row r="48" spans="1:5" ht="15" customHeight="1" x14ac:dyDescent="0.25">
      <c r="B48" s="11" t="s">
        <v>54</v>
      </c>
      <c r="C48" s="46">
        <v>0.75176620000000005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2.4</v>
      </c>
      <c r="D51" s="12"/>
    </row>
    <row r="52" spans="1:4" ht="15" customHeight="1" x14ac:dyDescent="0.25">
      <c r="B52" s="11" t="s">
        <v>57</v>
      </c>
      <c r="C52" s="100">
        <v>2.4</v>
      </c>
    </row>
    <row r="53" spans="1:4" ht="15.75" customHeight="1" x14ac:dyDescent="0.25">
      <c r="B53" s="11" t="s">
        <v>58</v>
      </c>
      <c r="C53" s="100">
        <v>2.4</v>
      </c>
    </row>
    <row r="54" spans="1:4" ht="15.75" customHeight="1" x14ac:dyDescent="0.25">
      <c r="B54" s="11" t="s">
        <v>59</v>
      </c>
      <c r="C54" s="100">
        <v>2.4</v>
      </c>
    </row>
    <row r="55" spans="1:4" ht="15.75" customHeight="1" x14ac:dyDescent="0.25">
      <c r="B55" s="11" t="s">
        <v>60</v>
      </c>
      <c r="C55" s="100">
        <v>2.4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2.1666666666666671E-2</v>
      </c>
    </row>
    <row r="59" spans="1:4" ht="15.75" customHeight="1" x14ac:dyDescent="0.25">
      <c r="B59" s="11" t="s">
        <v>63</v>
      </c>
      <c r="C59" s="45">
        <v>0.62930399999999997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0.15888087000000001</v>
      </c>
    </row>
    <row r="63" spans="1:4" ht="15.75" customHeight="1" x14ac:dyDescent="0.3">
      <c r="A63" s="4"/>
    </row>
  </sheetData>
  <sheetProtection algorithmName="SHA-512" hashValue="VD44UbYiAJoSnVKzL6QBd0NGWua3JvSvViMA9CCeHiltekqDrYZbcMYRBcLsIGuBXF8YOXs9L4DxR3sQp7EQSQ==" saltValue="ak98THmx/r/0CAJ4xnoO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295432</v>
      </c>
      <c r="C2" s="49">
        <v>1052264</v>
      </c>
      <c r="D2" s="49">
        <v>1545255</v>
      </c>
      <c r="E2" s="49">
        <v>1464186.5</v>
      </c>
      <c r="F2" s="49">
        <v>1397880</v>
      </c>
      <c r="G2" s="17">
        <f t="shared" ref="G2:G13" si="0">C2+D2+E2+F2</f>
        <v>5459585.5</v>
      </c>
      <c r="H2" s="17">
        <f t="shared" ref="H2:H13" si="1">(B2 + stillbirth*B2/(1000-stillbirth))/(1-abortion)</f>
        <v>337747.18791717861</v>
      </c>
      <c r="I2" s="17">
        <f t="shared" ref="I2:I13" si="2">G2-H2</f>
        <v>5121838.3120828215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294245</v>
      </c>
      <c r="C3" s="50">
        <v>1046889</v>
      </c>
      <c r="D3" s="50">
        <v>1554029.5</v>
      </c>
      <c r="E3" s="50">
        <v>1449803</v>
      </c>
      <c r="F3" s="50">
        <v>1409977.5</v>
      </c>
      <c r="G3" s="17">
        <f t="shared" si="0"/>
        <v>5460699</v>
      </c>
      <c r="H3" s="17">
        <f t="shared" si="1"/>
        <v>336390.17204869556</v>
      </c>
      <c r="I3" s="17">
        <f t="shared" si="2"/>
        <v>5124308.8279513046</v>
      </c>
    </row>
    <row r="4" spans="1:9" ht="15.75" customHeight="1" x14ac:dyDescent="0.25">
      <c r="A4" s="5">
        <f t="shared" si="3"/>
        <v>2026</v>
      </c>
      <c r="B4" s="49">
        <v>291602</v>
      </c>
      <c r="C4" s="50">
        <v>1039723</v>
      </c>
      <c r="D4" s="50">
        <v>1566933.5</v>
      </c>
      <c r="E4" s="50">
        <v>1438735</v>
      </c>
      <c r="F4" s="50">
        <v>1414976</v>
      </c>
      <c r="G4" s="17">
        <f t="shared" si="0"/>
        <v>5460367.5</v>
      </c>
      <c r="H4" s="17">
        <f t="shared" si="1"/>
        <v>333368.61102055671</v>
      </c>
      <c r="I4" s="17">
        <f t="shared" si="2"/>
        <v>5126998.8889794433</v>
      </c>
    </row>
    <row r="5" spans="1:9" ht="15.75" customHeight="1" x14ac:dyDescent="0.25">
      <c r="A5" s="5">
        <f t="shared" si="3"/>
        <v>2027</v>
      </c>
      <c r="B5" s="49">
        <v>290163</v>
      </c>
      <c r="C5" s="50">
        <v>1030161</v>
      </c>
      <c r="D5" s="50">
        <v>1583101.5</v>
      </c>
      <c r="E5" s="50">
        <v>1431091</v>
      </c>
      <c r="F5" s="50">
        <v>1409943.5</v>
      </c>
      <c r="G5" s="17">
        <f t="shared" si="0"/>
        <v>5454297</v>
      </c>
      <c r="H5" s="17">
        <f t="shared" si="1"/>
        <v>331723.50079751789</v>
      </c>
      <c r="I5" s="17">
        <f t="shared" si="2"/>
        <v>5122573.4992024824</v>
      </c>
    </row>
    <row r="6" spans="1:9" ht="15.75" customHeight="1" x14ac:dyDescent="0.25">
      <c r="A6" s="5">
        <f t="shared" si="3"/>
        <v>2028</v>
      </c>
      <c r="B6" s="49">
        <v>288952</v>
      </c>
      <c r="C6" s="50">
        <v>1017749.5</v>
      </c>
      <c r="D6" s="50">
        <v>1599278</v>
      </c>
      <c r="E6" s="50">
        <v>1424285</v>
      </c>
      <c r="F6" s="50">
        <v>1393265</v>
      </c>
      <c r="G6" s="17">
        <f t="shared" si="0"/>
        <v>5434577.5</v>
      </c>
      <c r="H6" s="17">
        <f t="shared" si="1"/>
        <v>330339.04737145803</v>
      </c>
      <c r="I6" s="17">
        <f t="shared" si="2"/>
        <v>5104238.4526285417</v>
      </c>
    </row>
    <row r="7" spans="1:9" ht="15.75" customHeight="1" x14ac:dyDescent="0.25">
      <c r="A7" s="5">
        <f t="shared" si="3"/>
        <v>2029</v>
      </c>
      <c r="B7" s="49">
        <v>289102</v>
      </c>
      <c r="C7" s="50">
        <v>1002999</v>
      </c>
      <c r="D7" s="50">
        <v>1612315.5</v>
      </c>
      <c r="E7" s="50">
        <v>1418125</v>
      </c>
      <c r="F7" s="50">
        <v>1369326</v>
      </c>
      <c r="G7" s="17">
        <f t="shared" si="0"/>
        <v>5402765.5</v>
      </c>
      <c r="H7" s="17">
        <f t="shared" si="1"/>
        <v>330510.53210631269</v>
      </c>
      <c r="I7" s="17">
        <f t="shared" si="2"/>
        <v>5072254.9678936871</v>
      </c>
    </row>
    <row r="8" spans="1:9" ht="15.75" customHeight="1" x14ac:dyDescent="0.25">
      <c r="A8" s="5">
        <f t="shared" si="3"/>
        <v>2030</v>
      </c>
      <c r="B8" s="49">
        <v>287955</v>
      </c>
      <c r="C8" s="50">
        <v>988146.5</v>
      </c>
      <c r="D8" s="50">
        <v>1619137</v>
      </c>
      <c r="E8" s="50">
        <v>1414975.5</v>
      </c>
      <c r="F8" s="50">
        <v>1340822</v>
      </c>
      <c r="G8" s="17">
        <f t="shared" si="0"/>
        <v>5363081</v>
      </c>
      <c r="H8" s="17">
        <f t="shared" si="1"/>
        <v>329199.24550045753</v>
      </c>
      <c r="I8" s="17">
        <f t="shared" si="2"/>
        <v>5033881.7544995425</v>
      </c>
    </row>
    <row r="9" spans="1:9" ht="15.75" customHeight="1" x14ac:dyDescent="0.25">
      <c r="A9" s="5">
        <f t="shared" si="3"/>
        <v>2031</v>
      </c>
      <c r="B9" s="49">
        <v>287155</v>
      </c>
      <c r="C9" s="50">
        <v>972055.99999999988</v>
      </c>
      <c r="D9" s="50">
        <v>1620897.5</v>
      </c>
      <c r="E9" s="50">
        <v>1413424</v>
      </c>
      <c r="F9" s="50">
        <v>1309024.5</v>
      </c>
      <c r="G9" s="17">
        <f t="shared" si="0"/>
        <v>5315402</v>
      </c>
      <c r="H9" s="17">
        <f t="shared" si="1"/>
        <v>328284.66024789948</v>
      </c>
      <c r="I9" s="17">
        <f t="shared" si="2"/>
        <v>4987117.3397521004</v>
      </c>
    </row>
    <row r="10" spans="1:9" ht="15.75" customHeight="1" x14ac:dyDescent="0.25">
      <c r="A10" s="5">
        <f t="shared" si="3"/>
        <v>2032</v>
      </c>
      <c r="B10" s="49">
        <v>286652</v>
      </c>
      <c r="C10" s="50">
        <v>952664</v>
      </c>
      <c r="D10" s="50">
        <v>1620791</v>
      </c>
      <c r="E10" s="50">
        <v>1411215</v>
      </c>
      <c r="F10" s="50">
        <v>1283351.5</v>
      </c>
      <c r="G10" s="17">
        <f t="shared" si="0"/>
        <v>5268021.5</v>
      </c>
      <c r="H10" s="17">
        <f t="shared" si="1"/>
        <v>327709.61477035354</v>
      </c>
      <c r="I10" s="17">
        <f t="shared" si="2"/>
        <v>4940311.8852296462</v>
      </c>
    </row>
    <row r="11" spans="1:9" ht="15.75" customHeight="1" x14ac:dyDescent="0.25">
      <c r="A11" s="5">
        <f t="shared" si="3"/>
        <v>2033</v>
      </c>
      <c r="B11" s="49">
        <v>286825</v>
      </c>
      <c r="C11" s="50">
        <v>931797.5</v>
      </c>
      <c r="D11" s="50">
        <v>1618124.5</v>
      </c>
      <c r="E11" s="50">
        <v>1411992</v>
      </c>
      <c r="F11" s="50">
        <v>1266740.5</v>
      </c>
      <c r="G11" s="17">
        <f t="shared" si="0"/>
        <v>5228654.5</v>
      </c>
      <c r="H11" s="17">
        <f t="shared" si="1"/>
        <v>327907.39383121923</v>
      </c>
      <c r="I11" s="17">
        <f t="shared" si="2"/>
        <v>4900747.1061687805</v>
      </c>
    </row>
    <row r="12" spans="1:9" ht="15.75" customHeight="1" x14ac:dyDescent="0.25">
      <c r="A12" s="5">
        <f t="shared" si="3"/>
        <v>2034</v>
      </c>
      <c r="B12" s="49">
        <v>285678</v>
      </c>
      <c r="C12" s="50">
        <v>912264</v>
      </c>
      <c r="D12" s="50">
        <v>1610306</v>
      </c>
      <c r="E12" s="50">
        <v>1417014</v>
      </c>
      <c r="F12" s="50">
        <v>1254172</v>
      </c>
      <c r="G12" s="17">
        <f t="shared" si="0"/>
        <v>5193756</v>
      </c>
      <c r="H12" s="17">
        <f t="shared" si="1"/>
        <v>326596.10722536407</v>
      </c>
      <c r="I12" s="17">
        <f t="shared" si="2"/>
        <v>4867159.8927746359</v>
      </c>
    </row>
    <row r="13" spans="1:9" ht="15.75" customHeight="1" x14ac:dyDescent="0.25">
      <c r="A13" s="5">
        <f t="shared" si="3"/>
        <v>2035</v>
      </c>
      <c r="B13" s="49">
        <v>283859</v>
      </c>
      <c r="C13" s="50">
        <v>895391.99999999988</v>
      </c>
      <c r="D13" s="50">
        <v>1595734.5</v>
      </c>
      <c r="E13" s="50">
        <v>1425891</v>
      </c>
      <c r="F13" s="50">
        <v>1242077</v>
      </c>
      <c r="G13" s="17">
        <f t="shared" si="0"/>
        <v>5159094.5</v>
      </c>
      <c r="H13" s="17">
        <f t="shared" si="1"/>
        <v>324516.56900736014</v>
      </c>
      <c r="I13" s="17">
        <f t="shared" si="2"/>
        <v>4834577.9309926396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GBQ1BiTkp4Suu8e4qYFX8UW5eZm2Q3ZBvJaB2w5GJ5AReW92P9c5OvVbDGeFryLE5mMEyRRszoUf/vINx/Qzw==" saltValue="wOIMDgbP6WHsKmnRNe+OY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6.7294099999999968E-2</v>
      </c>
    </row>
    <row r="5" spans="1:8" ht="15.75" customHeight="1" x14ac:dyDescent="0.25">
      <c r="B5" s="19" t="s">
        <v>80</v>
      </c>
      <c r="C5" s="101">
        <v>1.80132E-2</v>
      </c>
    </row>
    <row r="6" spans="1:8" ht="15.75" customHeight="1" x14ac:dyDescent="0.25">
      <c r="B6" s="19" t="s">
        <v>81</v>
      </c>
      <c r="C6" s="101">
        <v>0.12381249999999989</v>
      </c>
    </row>
    <row r="7" spans="1:8" ht="15.75" customHeight="1" x14ac:dyDescent="0.25">
      <c r="B7" s="19" t="s">
        <v>82</v>
      </c>
      <c r="C7" s="101">
        <v>0.38642470000000018</v>
      </c>
    </row>
    <row r="8" spans="1:8" ht="15.75" customHeight="1" x14ac:dyDescent="0.25">
      <c r="B8" s="19" t="s">
        <v>83</v>
      </c>
      <c r="C8" s="101">
        <v>1.914869999999996E-2</v>
      </c>
    </row>
    <row r="9" spans="1:8" ht="15.75" customHeight="1" x14ac:dyDescent="0.25">
      <c r="B9" s="19" t="s">
        <v>84</v>
      </c>
      <c r="C9" s="101">
        <v>0.26609360000000021</v>
      </c>
    </row>
    <row r="10" spans="1:8" ht="15.75" customHeight="1" x14ac:dyDescent="0.25">
      <c r="B10" s="19" t="s">
        <v>85</v>
      </c>
      <c r="C10" s="101">
        <v>0.1192131999999998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88</v>
      </c>
      <c r="C15" s="101">
        <v>0.14568781322098809</v>
      </c>
      <c r="D15" s="101">
        <v>0.14568781322098809</v>
      </c>
      <c r="E15" s="101">
        <v>0.14568781322098809</v>
      </c>
      <c r="F15" s="101">
        <v>0.14568781322098809</v>
      </c>
    </row>
    <row r="16" spans="1:8" ht="15.75" customHeight="1" x14ac:dyDescent="0.25">
      <c r="B16" s="19" t="s">
        <v>89</v>
      </c>
      <c r="C16" s="101">
        <v>4.4828200364618188E-2</v>
      </c>
      <c r="D16" s="101">
        <v>4.4828200364618188E-2</v>
      </c>
      <c r="E16" s="101">
        <v>4.4828200364618188E-2</v>
      </c>
      <c r="F16" s="101">
        <v>4.4828200364618188E-2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9.4837782257655406E-2</v>
      </c>
      <c r="D19" s="101">
        <v>9.4837782257655406E-2</v>
      </c>
      <c r="E19" s="101">
        <v>9.4837782257655406E-2</v>
      </c>
      <c r="F19" s="101">
        <v>9.4837782257655406E-2</v>
      </c>
    </row>
    <row r="20" spans="1:8" ht="15.75" customHeight="1" x14ac:dyDescent="0.25">
      <c r="B20" s="19" t="s">
        <v>93</v>
      </c>
      <c r="C20" s="101">
        <v>1.385700301523442E-3</v>
      </c>
      <c r="D20" s="101">
        <v>1.385700301523442E-3</v>
      </c>
      <c r="E20" s="101">
        <v>1.385700301523442E-3</v>
      </c>
      <c r="F20" s="101">
        <v>1.385700301523442E-3</v>
      </c>
    </row>
    <row r="21" spans="1:8" ht="15.75" customHeight="1" x14ac:dyDescent="0.25">
      <c r="B21" s="19" t="s">
        <v>94</v>
      </c>
      <c r="C21" s="101">
        <v>0.53798862315887519</v>
      </c>
      <c r="D21" s="101">
        <v>0.53798862315887519</v>
      </c>
      <c r="E21" s="101">
        <v>0.53798862315887519</v>
      </c>
      <c r="F21" s="101">
        <v>0.53798862315887519</v>
      </c>
    </row>
    <row r="22" spans="1:8" ht="15.75" customHeight="1" x14ac:dyDescent="0.25">
      <c r="B22" s="19" t="s">
        <v>95</v>
      </c>
      <c r="C22" s="101">
        <v>0.126245598195453</v>
      </c>
      <c r="D22" s="101">
        <v>0.126245598195453</v>
      </c>
      <c r="E22" s="101">
        <v>0.126245598195453</v>
      </c>
      <c r="F22" s="101">
        <v>0.126245598195453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6.2575125999999995E-2</v>
      </c>
    </row>
    <row r="27" spans="1:8" ht="15.75" customHeight="1" x14ac:dyDescent="0.25">
      <c r="B27" s="19" t="s">
        <v>102</v>
      </c>
      <c r="C27" s="101">
        <v>2.7904689999999998E-3</v>
      </c>
    </row>
    <row r="28" spans="1:8" ht="15.75" customHeight="1" x14ac:dyDescent="0.25">
      <c r="B28" s="19" t="s">
        <v>103</v>
      </c>
      <c r="C28" s="101">
        <v>0.17595467200000001</v>
      </c>
    </row>
    <row r="29" spans="1:8" ht="15.75" customHeight="1" x14ac:dyDescent="0.25">
      <c r="B29" s="19" t="s">
        <v>104</v>
      </c>
      <c r="C29" s="101">
        <v>0.129916751</v>
      </c>
    </row>
    <row r="30" spans="1:8" ht="15.75" customHeight="1" x14ac:dyDescent="0.25">
      <c r="B30" s="19" t="s">
        <v>2</v>
      </c>
      <c r="C30" s="101">
        <v>6.5542224999999996E-2</v>
      </c>
    </row>
    <row r="31" spans="1:8" ht="15.75" customHeight="1" x14ac:dyDescent="0.25">
      <c r="B31" s="19" t="s">
        <v>105</v>
      </c>
      <c r="C31" s="101">
        <v>0.16151726199999999</v>
      </c>
    </row>
    <row r="32" spans="1:8" ht="15.75" customHeight="1" x14ac:dyDescent="0.25">
      <c r="B32" s="19" t="s">
        <v>106</v>
      </c>
      <c r="C32" s="101">
        <v>7.3741798999999997E-2</v>
      </c>
    </row>
    <row r="33" spans="2:3" ht="15.75" customHeight="1" x14ac:dyDescent="0.25">
      <c r="B33" s="19" t="s">
        <v>107</v>
      </c>
      <c r="C33" s="101">
        <v>3.4829341E-2</v>
      </c>
    </row>
    <row r="34" spans="2:3" ht="15.75" customHeight="1" x14ac:dyDescent="0.25">
      <c r="B34" s="19" t="s">
        <v>108</v>
      </c>
      <c r="C34" s="101">
        <v>0.29313235599999998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y74pkaMSlgL+6vl2keCXWmO9Mk3pTTWP/iCJEhawdI9oLXo03YzxucazSqPRZa9bErWa8WWMheKQ58EN4gSOdA==" saltValue="SAWstVXWc4bcWn5wAGt8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115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119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120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vVwMwsekUKPQgzlt4MXcR0jn3o/ABoPaM1SqNlEmBMnBfv+DHSN/b5mGROVcd7C7gefYIvoeTApVOxXwNZpSQ==" saltValue="J5HSS9FX/BDI2LBthxW2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132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ndEj0rHLwTPQUF/utRR5gm/mSCYL0kLi+5RyEpQjHmxJKAwLIvyFfPIa5oor4LW0IwSHDIyE8DQHH9ZHm3tfPA==" saltValue="bbK/4ZKE87yvIJrkvIgPj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VHKwrTBZLczkSiKu3FxET/OHZIL4tuPpSaSFq5TlG2NLHVw8hta81IdfTDU3qZAXfvsJadBv4rqstcNP46rPA==" saltValue="Mb8b8ujkxZ0wDwWlkO3DJ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L5DAhCQFU4MwZU0Nt/o8DMdXoSK1+1OprXRxfSrlyz2W367nu9jwNFYHVDxTvUAELJTQ/H9u2iYHXGtIAEiUlw==" saltValue="skuJXFVQ/S8psXkbNESnQ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vv5EPrOQFrohTYMTVOXdm4k03O/fJItqh1mXM18iubr8ykKAr6XhjuxFDa9DjizgdUYl7iwEOuTDY91bLvKN+w==" saltValue="Rl/KWJ9oIp1jtW74kiLnw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N5iv9ZFEoCmGMd9p3TyFqvjtfvuYhIoz25iAaWH2l70XtDrSTDtbas5pxn8kkLFxAN7+7yxot4NeHFL0ZlpKRg==" saltValue="9VrtTp7j37JL0pmmKE5k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52.760864598354758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5.5316310965581978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2.6821610077954769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0.61278763993956276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0.33817592950044628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12.968306811567571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12.968306811567571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12.968306811567571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12.968306811567571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12.968306811567571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12.968306811567571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3.4000000000000002E-2</v>
      </c>
      <c r="C16" s="98">
        <v>0.95</v>
      </c>
      <c r="D16" s="56">
        <v>0.67507261146291864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</v>
      </c>
      <c r="C18" s="98">
        <v>0.95</v>
      </c>
      <c r="D18" s="56">
        <v>5.5316310965581978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</v>
      </c>
      <c r="C19" s="98">
        <v>0.95</v>
      </c>
      <c r="D19" s="56">
        <v>5.5316310965581978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10.726757057587051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22.356153156487789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6.4000000000000001E-2</v>
      </c>
      <c r="C23" s="98">
        <v>0.95</v>
      </c>
      <c r="D23" s="56">
        <v>4.2519172670834697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0.71148211299999997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8.7121114042606536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21.404647062622459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0.54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0.72599999999999998</v>
      </c>
      <c r="C29" s="98">
        <v>0.95</v>
      </c>
      <c r="D29" s="56">
        <v>26.81689264396762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124.95507750751879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0.93</v>
      </c>
      <c r="C32" s="98">
        <v>0.95</v>
      </c>
      <c r="D32" s="56">
        <v>0.3680037656399861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0.85346329999999992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0.90599999999999992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0.52352160000000003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4.8321970599589923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76JSzPi0fHUdMKt1vM3ufC+BKQLG0mf6u5dbZJPVtz7Oo2dTfxvoUjfAH6xfneoVuk7YKW7obDy5HVZ1DrgppA==" saltValue="VJRLFuyo5Ga03Y4ORvuC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DAt3s/IoBHcpf3kCN/ySodiH7MAA3VMnE4rMrSX5BmHboLYeOa2QBRcw7c3rcTZRp4CiOrkMrF/3Rh4ipN92XQ==" saltValue="HkQNDwl/MppO0bCv9Drca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YOk8e5JZqAPQDP5EnowWKTMHX/gX8NU4jlcURkC7XhpRwjhqt6am8a9TovUBcnMPe5O+ygykwHP0bBXJq+h5qQ==" saltValue="bQ7MthiLk++oURTwhXON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209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208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bsALmrp39ViJ6EMy9nVuSW8adbB784VYUqdUT1uJvltizgZhNGsEFFJRblBt0Z4rx1V56C/9PRZLuo+PEu1M7A==" saltValue="yMVseA4Qfy8Ifjk8ds2Mc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8.0000000000000002E-3</v>
      </c>
      <c r="E2" s="60">
        <f>food_insecure</f>
        <v>8.0000000000000002E-3</v>
      </c>
      <c r="F2" s="60">
        <f>food_insecure</f>
        <v>8.0000000000000002E-3</v>
      </c>
      <c r="G2" s="60">
        <f>food_insecure</f>
        <v>8.0000000000000002E-3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8.0000000000000002E-3</v>
      </c>
      <c r="F5" s="60">
        <f>food_insecure</f>
        <v>8.0000000000000002E-3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8.0000000000000002E-3</v>
      </c>
      <c r="F8" s="60">
        <f>food_insecure</f>
        <v>8.0000000000000002E-3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8.0000000000000002E-3</v>
      </c>
      <c r="F9" s="60">
        <f>food_insecure</f>
        <v>8.0000000000000002E-3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8.0000000000000002E-3</v>
      </c>
      <c r="I15" s="60">
        <f>food_insecure</f>
        <v>8.0000000000000002E-3</v>
      </c>
      <c r="J15" s="60">
        <f>food_insecure</f>
        <v>8.0000000000000002E-3</v>
      </c>
      <c r="K15" s="60">
        <f>food_insecure</f>
        <v>8.0000000000000002E-3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4.7159521411132756E-2</v>
      </c>
      <c r="M25" s="60">
        <f>(1-food_insecure)*(0.49)+food_insecure*(0.7)</f>
        <v>0.49168000000000001</v>
      </c>
      <c r="N25" s="60">
        <f>(1-food_insecure)*(0.49)+food_insecure*(0.7)</f>
        <v>0.49168000000000001</v>
      </c>
      <c r="O25" s="60">
        <f>(1-food_insecure)*(0.49)+food_insecure*(0.7)</f>
        <v>0.49168000000000001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2.0211223461914035E-2</v>
      </c>
      <c r="M26" s="60">
        <f>(1-food_insecure)*(0.21)+food_insecure*(0.3)</f>
        <v>0.21071999999999999</v>
      </c>
      <c r="N26" s="60">
        <f>(1-food_insecure)*(0.21)+food_insecure*(0.3)</f>
        <v>0.21071999999999999</v>
      </c>
      <c r="O26" s="60">
        <f>(1-food_insecure)*(0.21)+food_insecure*(0.3)</f>
        <v>0.21071999999999999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2.8544324707031211E-2</v>
      </c>
      <c r="M27" s="60">
        <f>(1-food_insecure)*(0.3)</f>
        <v>0.29759999999999998</v>
      </c>
      <c r="N27" s="60">
        <f>(1-food_insecure)*(0.3)</f>
        <v>0.29759999999999998</v>
      </c>
      <c r="O27" s="60">
        <f>(1-food_insecure)*(0.3)</f>
        <v>0.29759999999999998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0.90408493041992199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LULk33igLfWQ0M8Uo8A55g4I4BWXvuAln1ZyURby1d5gp2wKkTEob25S+2k73ds92PUaMIkdnrI1AYte4FqTQ==" saltValue="kSkIdCdNtYtgClcK1tNQE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QvXlLhWTptDhmkBybBjzx4hE9GzCwfWtmFhiRfgnsZ/UCu1lC0Fklw13dcdhHt3dlm2Pce1fGwy/51Xvn7uNtA==" saltValue="+j8ucEZhoNJAzb6lv37G7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Q3d1RufG9nYc92RSe/woilpOPdUbj3JnP45tdOr5rRgCMy52BxX7C7dA8tdfZZIdJL/S3NTIBhb9R3ydbdrYw==" saltValue="vfbDSlzbssbwDAinkq4SH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mqX/2cmUvi6gga/e5h6TgUnGJmdDXc74j0Zc4MeOBsr3w1c8aldnegHW8WZvByreOcDwvJ6belK8ex7IYAXyw==" saltValue="FxHFG2xehY41qyBVcALc4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raThxEOzC3SrCd/wy5wYPpSw2VWQYsauVOdJEr4Lbv6ESJnczaO7G4e5VtW1mdiN8Yf9MaMHgJMdbafouVwQg==" saltValue="q9ysYkKyXccJ6XNJiFXay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bL8WTM//kkWiJFFO+2Z9zGHFKbJy30WqaNciGsg2HJ2svOPGhXeu3n6g82EVjxHUz99R9tUQnkKPZC+cqHip5g==" saltValue="GexOnRl3KY0vfyERomjR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hEMzT0sFqSkaeVGSOeu8fnuFLUv/bc+mNjg6dpcmCST92oFPpajoGTBgSEXTeWK2MPs2QoZNeGh/pki8L7jjg==" saltValue="MzAvmNuJ4bG0OsDFGJsPi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bPHk/bew8sDXyNnu29DL2PY2HQHZ9CpKh4jlkqfxPuwGhNJMDgrnZVcTpfJ2g9qvrYjqiNT9KohVU8tb7ranw==" saltValue="tNrNPbtzMhvxYpplrxr/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T9DwLYdwu2Q/E7oQBi6D1XdgnUNCk48U+XHzfFYlKF/5YYr8m0SZBG+mTZW8S/w63HLbeVl7xssY6aAoE65Ocw==" saltValue="BmVw6DTiBH0vTHmQEMui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NSdBJUPTdINxkNDYUX7aHlVVyMPDUYa24l6+LStZpbkU8WLaOHzgLHZweN1y/JMVf/8i/BFrHhPxB5Ta7KUxLw==" saltValue="/VXIEziczjquOCdbXKOq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2Wcg8nGkQrBcCHBgjfZUyVN3tHr9R1CqCIJAds5kxkgGOsqIbuP1YRr654WT05Br4iQayh6q+ps8bk1Vp5lE0g==" saltValue="5/8HkVLq3TemA/OZ+VMI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Ztrz63E2Wffas43rBDJ+NdR7n3vRMiknf2aG27E2V8f1DP3++8th1nJByRyB+FpwIg/19qGiWgXdi8HPZZyoQ==" saltValue="95k9iOVsv0dh4MDsi98x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WQRR9FZsneqq5ft3VR8JLIPD72TdqEJMhIxJ16e+Z2PO8t5kEKB8wduumfSCdnqa6PC9ASmMvoOHvL+iA9+zw==" saltValue="QN+zdGdGpsbDCWz3DG7U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BD2awP126Ptsw6UonI8rbmb8EJu+MbGbWDVKKtPI+37mxmy3wlnqIo0WTXH6ZgazBAaaWYu7okwG2Yt2whVdg==" saltValue="SWvRhUM75zL2U7+pBDdy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oaOROiD/mZ4i6tx9BRoC1L3nZMeAVYlkdjiqjlgOMD0EJl089XBkZ+A8kx41JefECURpiUQcTwlREhl0ccvBmg==" saltValue="7+qoKx+NleYKDNa+SQZs7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2024-08-06T09:20:48Z</dcterms:modified>
</cp:coreProperties>
</file>