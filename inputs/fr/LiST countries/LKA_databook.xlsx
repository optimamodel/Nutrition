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8F046839-209B-4441-8A58-DA5A0F476893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3" i="2" l="1"/>
  <c r="A36" i="2"/>
  <c r="A22" i="2"/>
  <c r="A24" i="2"/>
  <c r="A37" i="2"/>
  <c r="I38" i="2"/>
  <c r="A26" i="2"/>
  <c r="A31" i="2"/>
  <c r="A34" i="2"/>
  <c r="A40" i="2"/>
  <c r="I7" i="2"/>
  <c r="I2" i="2"/>
  <c r="I6" i="2"/>
  <c r="A19" i="2"/>
  <c r="A35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<sst xmlns="http://schemas.openxmlformats.org/spreadsheetml/2006/main" count="2169" uniqueCount="369">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</sst>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1607403</v>
      </c>
    </row>
    <row r="8" spans="1:3" ht="15" customHeight="1" x14ac:dyDescent="0.25">
      <c r="B8" s="5" t="s">
        <v>37</v>
      </c>
      <c r="C8" s="44">
        <v>0.14299999999999999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0.92255489999999996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7.4999999999999997E-2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3.6700000000000003E-2</v>
      </c>
    </row>
    <row r="24" spans="1:3" ht="15" customHeight="1" x14ac:dyDescent="0.25">
      <c r="B24" s="15" t="s">
        <v>51</v>
      </c>
      <c r="C24" s="45">
        <v>0.48730000000000001</v>
      </c>
    </row>
    <row r="25" spans="1:3" ht="15" customHeight="1" x14ac:dyDescent="0.25">
      <c r="B25" s="15" t="s">
        <v>52</v>
      </c>
      <c r="C25" s="45">
        <v>0.43280000000000002</v>
      </c>
    </row>
    <row r="26" spans="1:3" ht="15" customHeight="1" x14ac:dyDescent="0.25">
      <c r="B26" s="15" t="s">
        <v>53</v>
      </c>
      <c r="C26" s="45">
        <v>4.3200000000000002E-2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0.3567553</v>
      </c>
    </row>
    <row r="30" spans="1:3" ht="14.25" customHeight="1" x14ac:dyDescent="0.25">
      <c r="B30" s="25" t="s">
        <v>56</v>
      </c>
      <c r="C30" s="97">
        <v>6.59106E-2</v>
      </c>
    </row>
    <row r="31" spans="1:3" ht="14.25" customHeight="1" x14ac:dyDescent="0.25">
      <c r="B31" s="25" t="s">
        <v>57</v>
      </c>
      <c r="C31" s="97">
        <v>9.2620400000000006E-2</v>
      </c>
    </row>
    <row r="32" spans="1:3" ht="14.25" customHeight="1" x14ac:dyDescent="0.25">
      <c r="B32" s="25" t="s">
        <v>58</v>
      </c>
      <c r="C32" s="97">
        <v>0.48471370000000003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3.8523700000000001</v>
      </c>
    </row>
    <row r="38" spans="1:5" ht="15" customHeight="1" x14ac:dyDescent="0.25">
      <c r="B38" s="11" t="s">
        <v>63</v>
      </c>
      <c r="C38" s="43">
        <v>5.7698299999999998</v>
      </c>
      <c r="D38" s="12"/>
      <c r="E38" s="13"/>
    </row>
    <row r="39" spans="1:5" ht="15" customHeight="1" x14ac:dyDescent="0.25">
      <c r="B39" s="11" t="s">
        <v>64</v>
      </c>
      <c r="C39" s="43">
        <v>6.7480700000000002</v>
      </c>
      <c r="D39" s="12"/>
      <c r="E39" s="12"/>
    </row>
    <row r="40" spans="1:5" ht="15" customHeight="1" x14ac:dyDescent="0.25">
      <c r="B40" s="11" t="s">
        <v>65</v>
      </c>
      <c r="C40" s="98">
        <v>0.28999999999999998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6.0074699999999996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6.7450000000000001E-3</v>
      </c>
      <c r="D45" s="12"/>
    </row>
    <row r="46" spans="1:5" ht="15.75" customHeight="1" x14ac:dyDescent="0.25">
      <c r="B46" s="11" t="s">
        <v>70</v>
      </c>
      <c r="C46" s="45">
        <v>7.1213499999999999E-2</v>
      </c>
      <c r="D46" s="12"/>
    </row>
    <row r="47" spans="1:5" ht="15.75" customHeight="1" x14ac:dyDescent="0.25">
      <c r="B47" s="11" t="s">
        <v>71</v>
      </c>
      <c r="C47" s="45">
        <v>0.17027529999999999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2.4</v>
      </c>
      <c r="D51" s="12"/>
    </row>
    <row r="52" spans="1:4" ht="15" customHeight="1" x14ac:dyDescent="0.25">
      <c r="B52" s="11" t="s">
        <v>75</v>
      </c>
      <c r="C52" s="98">
        <v>2.4</v>
      </c>
    </row>
    <row r="53" spans="1:4" ht="15.75" customHeight="1" x14ac:dyDescent="0.25">
      <c r="B53" s="11" t="s">
        <v>76</v>
      </c>
      <c r="C53" s="98">
        <v>2.4</v>
      </c>
    </row>
    <row r="54" spans="1:4" ht="15.75" customHeight="1" x14ac:dyDescent="0.25">
      <c r="B54" s="11" t="s">
        <v>77</v>
      </c>
      <c r="C54" s="98">
        <v>2.4</v>
      </c>
    </row>
    <row r="55" spans="1:4" ht="15.75" customHeight="1" x14ac:dyDescent="0.25">
      <c r="B55" s="11" t="s">
        <v>78</v>
      </c>
      <c r="C55" s="98">
        <v>2.4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2.1666666666666671E-2</v>
      </c>
    </row>
    <row r="59" spans="1:4" ht="15.75" customHeight="1" x14ac:dyDescent="0.25">
      <c r="B59" s="11" t="s">
        <v>81</v>
      </c>
      <c r="C59" s="45">
        <v>0.62930399999999997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0.17978289859999999</v>
      </c>
    </row>
    <row r="63" spans="1:4" ht="15.75" customHeight="1" x14ac:dyDescent="0.3">
      <c r="A63" s="4"/>
    </row>
  </sheetData>
  <sheetProtection algorithmName="SHA-512" hashValue="6MUWrnJ2mKHzBwWW2I0gtQTtzJ8C6Etencqv6VrPd8TI0OieZvYmcCGCMF4gdA64ca5+guOW9odV9lvc4N1uww==" saltValue="M1XQlkXkeh60vOukuU4w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320429</v>
      </c>
      <c r="C2" s="49">
        <v>894482.5</v>
      </c>
      <c r="D2" s="49">
        <v>1655025.5</v>
      </c>
      <c r="E2" s="49">
        <v>1614266.9999999998</v>
      </c>
      <c r="F2" s="49">
        <v>1629127.5</v>
      </c>
      <c r="G2" s="17">
        <f t="shared" ref="G2:G13" si="0">C2+D2+E2+F2</f>
        <v>5792902.5</v>
      </c>
      <c r="H2" s="17">
        <f t="shared" ref="H2:H13" si="1">(B2 + stillbirth*B2/(1000-stillbirth))/(1-abortion)</f>
        <v>366324.54736492201</v>
      </c>
      <c r="I2" s="17">
        <f t="shared" ref="I2:I13" si="2">G2-H2</f>
        <v>5426577.9526350778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318489</v>
      </c>
      <c r="C3" s="50">
        <v>892927</v>
      </c>
      <c r="D3" s="50">
        <v>1661383</v>
      </c>
      <c r="E3" s="50">
        <v>1613825</v>
      </c>
      <c r="F3" s="50">
        <v>1645088.5</v>
      </c>
      <c r="G3" s="17">
        <f t="shared" si="0"/>
        <v>5813223.5</v>
      </c>
      <c r="H3" s="17">
        <f t="shared" si="1"/>
        <v>364106.67812746862</v>
      </c>
      <c r="I3" s="17">
        <f t="shared" si="2"/>
        <v>5449116.8218725314</v>
      </c>
    </row>
    <row r="4" spans="1:9" ht="15.75" customHeight="1" x14ac:dyDescent="0.25">
      <c r="A4" s="5">
        <f t="shared" si="3"/>
        <v>2026</v>
      </c>
      <c r="B4" s="49">
        <v>316459</v>
      </c>
      <c r="C4" s="50">
        <v>888383</v>
      </c>
      <c r="D4" s="50">
        <v>1669654</v>
      </c>
      <c r="E4" s="50">
        <v>1613936.0000000002</v>
      </c>
      <c r="F4" s="50">
        <v>1653855.5000000002</v>
      </c>
      <c r="G4" s="17">
        <f t="shared" si="0"/>
        <v>5825828.5</v>
      </c>
      <c r="H4" s="17">
        <f t="shared" si="1"/>
        <v>361785.91804910247</v>
      </c>
      <c r="I4" s="17">
        <f t="shared" si="2"/>
        <v>5464042.5819508974</v>
      </c>
    </row>
    <row r="5" spans="1:9" ht="15.75" customHeight="1" x14ac:dyDescent="0.25">
      <c r="A5" s="5">
        <f t="shared" si="3"/>
        <v>2027</v>
      </c>
      <c r="B5" s="49">
        <v>314866</v>
      </c>
      <c r="C5" s="50">
        <v>882279.5</v>
      </c>
      <c r="D5" s="50">
        <v>1680071</v>
      </c>
      <c r="E5" s="50">
        <v>1613340.0000000002</v>
      </c>
      <c r="F5" s="50">
        <v>1654402</v>
      </c>
      <c r="G5" s="17">
        <f t="shared" si="0"/>
        <v>5830092.5</v>
      </c>
      <c r="H5" s="17">
        <f t="shared" si="1"/>
        <v>359964.75016494613</v>
      </c>
      <c r="I5" s="17">
        <f t="shared" si="2"/>
        <v>5470127.7498350535</v>
      </c>
    </row>
    <row r="6" spans="1:9" ht="15.75" customHeight="1" x14ac:dyDescent="0.25">
      <c r="A6" s="5">
        <f t="shared" si="3"/>
        <v>2028</v>
      </c>
      <c r="B6" s="49">
        <v>313284</v>
      </c>
      <c r="C6" s="50">
        <v>876557.5</v>
      </c>
      <c r="D6" s="50">
        <v>1691592.5</v>
      </c>
      <c r="E6" s="50">
        <v>1611810</v>
      </c>
      <c r="F6" s="50">
        <v>1647257.5000000002</v>
      </c>
      <c r="G6" s="17">
        <f t="shared" si="0"/>
        <v>5827217.5</v>
      </c>
      <c r="H6" s="17">
        <f t="shared" si="1"/>
        <v>358156.15782801248</v>
      </c>
      <c r="I6" s="17">
        <f t="shared" si="2"/>
        <v>5469061.3421719875</v>
      </c>
    </row>
    <row r="7" spans="1:9" ht="15.75" customHeight="1" x14ac:dyDescent="0.25">
      <c r="A7" s="5">
        <f t="shared" si="3"/>
        <v>2029</v>
      </c>
      <c r="B7" s="49">
        <v>312034</v>
      </c>
      <c r="C7" s="50">
        <v>870095.5</v>
      </c>
      <c r="D7" s="50">
        <v>1702816.5</v>
      </c>
      <c r="E7" s="50">
        <v>1609554</v>
      </c>
      <c r="F7" s="50">
        <v>1634765.5</v>
      </c>
      <c r="G7" s="17">
        <f t="shared" si="0"/>
        <v>5817231.5</v>
      </c>
      <c r="H7" s="17">
        <f t="shared" si="1"/>
        <v>356727.1183708905</v>
      </c>
      <c r="I7" s="17">
        <f t="shared" si="2"/>
        <v>5460504.3816291094</v>
      </c>
    </row>
    <row r="8" spans="1:9" ht="15.75" customHeight="1" x14ac:dyDescent="0.25">
      <c r="A8" s="5">
        <f t="shared" si="3"/>
        <v>2030</v>
      </c>
      <c r="B8" s="49">
        <v>311150</v>
      </c>
      <c r="C8" s="50">
        <v>861352.5</v>
      </c>
      <c r="D8" s="50">
        <v>1712608.5</v>
      </c>
      <c r="E8" s="50">
        <v>1607167</v>
      </c>
      <c r="F8" s="50">
        <v>1619935</v>
      </c>
      <c r="G8" s="17">
        <f t="shared" si="0"/>
        <v>5801063</v>
      </c>
      <c r="H8" s="17">
        <f t="shared" si="1"/>
        <v>355716.50166681374</v>
      </c>
      <c r="I8" s="17">
        <f t="shared" si="2"/>
        <v>5445346.4983331859</v>
      </c>
    </row>
    <row r="9" spans="1:9" ht="15.75" customHeight="1" x14ac:dyDescent="0.25">
      <c r="A9" s="5">
        <f t="shared" si="3"/>
        <v>2031</v>
      </c>
      <c r="B9" s="49">
        <v>310127</v>
      </c>
      <c r="C9" s="50">
        <v>851407.5</v>
      </c>
      <c r="D9" s="50">
        <v>1719015.5</v>
      </c>
      <c r="E9" s="50">
        <v>1605658</v>
      </c>
      <c r="F9" s="50">
        <v>1605841</v>
      </c>
      <c r="G9" s="17">
        <f t="shared" si="0"/>
        <v>5781922</v>
      </c>
      <c r="H9" s="17">
        <f t="shared" si="1"/>
        <v>354546.97577510512</v>
      </c>
      <c r="I9" s="17">
        <f t="shared" si="2"/>
        <v>5427375.0242248951</v>
      </c>
    </row>
    <row r="10" spans="1:9" ht="15.75" customHeight="1" x14ac:dyDescent="0.25">
      <c r="A10" s="5">
        <f t="shared" si="3"/>
        <v>2032</v>
      </c>
      <c r="B10" s="49">
        <v>309526</v>
      </c>
      <c r="C10" s="50">
        <v>840602</v>
      </c>
      <c r="D10" s="50">
        <v>1721407.0000000002</v>
      </c>
      <c r="E10" s="50">
        <v>1605715.0000000002</v>
      </c>
      <c r="F10" s="50">
        <v>1595130.5</v>
      </c>
      <c r="G10" s="17">
        <f t="shared" si="0"/>
        <v>5762854.5</v>
      </c>
      <c r="H10" s="17">
        <f t="shared" si="1"/>
        <v>353859.89360412088</v>
      </c>
      <c r="I10" s="17">
        <f t="shared" si="2"/>
        <v>5408994.6063958788</v>
      </c>
    </row>
    <row r="11" spans="1:9" ht="15.75" customHeight="1" x14ac:dyDescent="0.25">
      <c r="A11" s="5">
        <f t="shared" si="3"/>
        <v>2033</v>
      </c>
      <c r="B11" s="49">
        <v>309081</v>
      </c>
      <c r="C11" s="50">
        <v>828313.5</v>
      </c>
      <c r="D11" s="50">
        <v>1720858.4999999998</v>
      </c>
      <c r="E11" s="50">
        <v>1607778.5</v>
      </c>
      <c r="F11" s="50">
        <v>1588896</v>
      </c>
      <c r="G11" s="17">
        <f t="shared" si="0"/>
        <v>5745846.5</v>
      </c>
      <c r="H11" s="17">
        <f t="shared" si="1"/>
        <v>353351.15555738541</v>
      </c>
      <c r="I11" s="17">
        <f t="shared" si="2"/>
        <v>5392495.3444426144</v>
      </c>
    </row>
    <row r="12" spans="1:9" ht="15.75" customHeight="1" x14ac:dyDescent="0.25">
      <c r="A12" s="5">
        <f t="shared" si="3"/>
        <v>2034</v>
      </c>
      <c r="B12" s="49">
        <v>308281</v>
      </c>
      <c r="C12" s="50">
        <v>816292</v>
      </c>
      <c r="D12" s="50">
        <v>1716071</v>
      </c>
      <c r="E12" s="50">
        <v>1611825.5</v>
      </c>
      <c r="F12" s="50">
        <v>1586308</v>
      </c>
      <c r="G12" s="17">
        <f t="shared" si="0"/>
        <v>5730496.5</v>
      </c>
      <c r="H12" s="17">
        <f t="shared" si="1"/>
        <v>352436.5703048273</v>
      </c>
      <c r="I12" s="17">
        <f t="shared" si="2"/>
        <v>5378059.9296951722</v>
      </c>
    </row>
    <row r="13" spans="1:9" ht="15.75" customHeight="1" x14ac:dyDescent="0.25">
      <c r="A13" s="5">
        <f t="shared" si="3"/>
        <v>2035</v>
      </c>
      <c r="B13" s="49">
        <v>307430</v>
      </c>
      <c r="C13" s="50">
        <v>806445.5</v>
      </c>
      <c r="D13" s="50">
        <v>1705764.5</v>
      </c>
      <c r="E13" s="50">
        <v>1617948.5</v>
      </c>
      <c r="F13" s="50">
        <v>1585915</v>
      </c>
      <c r="G13" s="17">
        <f t="shared" si="0"/>
        <v>5716073.5</v>
      </c>
      <c r="H13" s="17">
        <f t="shared" si="1"/>
        <v>351463.68024241866</v>
      </c>
      <c r="I13" s="17">
        <f t="shared" si="2"/>
        <v>5364609.8197575817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4/AvPncfTWMcjkCnVCPJxmV8CKrGqG9OhtbmxG+4QlPIZKXUvLVzb0lDk7dZ4X5Qn/oBIKpbfPNRTeE331aeIA==" saltValue="embqakxvk7NvO1Xky6fil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6.7294099999999968E-2</v>
      </c>
    </row>
    <row r="5" spans="1:8" ht="15.75" customHeight="1" x14ac:dyDescent="0.25">
      <c r="B5" s="19" t="s">
        <v>98</v>
      </c>
      <c r="C5" s="99">
        <v>1.80132E-2</v>
      </c>
    </row>
    <row r="6" spans="1:8" ht="15.75" customHeight="1" x14ac:dyDescent="0.25">
      <c r="B6" s="19" t="s">
        <v>99</v>
      </c>
      <c r="C6" s="99">
        <v>0.12381249999999989</v>
      </c>
    </row>
    <row r="7" spans="1:8" ht="15.75" customHeight="1" x14ac:dyDescent="0.25">
      <c r="B7" s="19" t="s">
        <v>100</v>
      </c>
      <c r="C7" s="99">
        <v>0.38642470000000018</v>
      </c>
    </row>
    <row r="8" spans="1:8" ht="15.75" customHeight="1" x14ac:dyDescent="0.25">
      <c r="B8" s="19" t="s">
        <v>101</v>
      </c>
      <c r="C8" s="99">
        <v>1.914869999999996E-2</v>
      </c>
    </row>
    <row r="9" spans="1:8" ht="15.75" customHeight="1" x14ac:dyDescent="0.25">
      <c r="B9" s="19" t="s">
        <v>102</v>
      </c>
      <c r="C9" s="99">
        <v>0.26609360000000021</v>
      </c>
    </row>
    <row r="10" spans="1:8" ht="15.75" customHeight="1" x14ac:dyDescent="0.25">
      <c r="B10" s="19" t="s">
        <v>103</v>
      </c>
      <c r="C10" s="99">
        <v>0.1192131999999998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4.9026282500886732E-2</v>
      </c>
      <c r="D14" s="55">
        <v>4.9026282500886732E-2</v>
      </c>
      <c r="E14" s="55">
        <v>4.9026282500886732E-2</v>
      </c>
      <c r="F14" s="55">
        <v>4.9026282500886732E-2</v>
      </c>
    </row>
    <row r="15" spans="1:8" ht="15.75" customHeight="1" x14ac:dyDescent="0.25">
      <c r="B15" s="19" t="s">
        <v>106</v>
      </c>
      <c r="C15" s="99">
        <v>0.14568781322098809</v>
      </c>
      <c r="D15" s="99">
        <v>0.14568781322098809</v>
      </c>
      <c r="E15" s="99">
        <v>0.14568781322098809</v>
      </c>
      <c r="F15" s="99">
        <v>0.14568781322098809</v>
      </c>
    </row>
    <row r="16" spans="1:8" ht="15.75" customHeight="1" x14ac:dyDescent="0.25">
      <c r="B16" s="19" t="s">
        <v>107</v>
      </c>
      <c r="C16" s="99">
        <v>4.4828200364618188E-2</v>
      </c>
      <c r="D16" s="99">
        <v>4.4828200364618188E-2</v>
      </c>
      <c r="E16" s="99">
        <v>4.4828200364618188E-2</v>
      </c>
      <c r="F16" s="99">
        <v>4.4828200364618188E-2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9.4837782257655406E-2</v>
      </c>
      <c r="D19" s="99">
        <v>9.4837782257655406E-2</v>
      </c>
      <c r="E19" s="99">
        <v>9.4837782257655406E-2</v>
      </c>
      <c r="F19" s="99">
        <v>9.4837782257655406E-2</v>
      </c>
    </row>
    <row r="20" spans="1:8" ht="15.75" customHeight="1" x14ac:dyDescent="0.25">
      <c r="B20" s="19" t="s">
        <v>111</v>
      </c>
      <c r="C20" s="99">
        <v>1.385700301523442E-3</v>
      </c>
      <c r="D20" s="99">
        <v>1.385700301523442E-3</v>
      </c>
      <c r="E20" s="99">
        <v>1.385700301523442E-3</v>
      </c>
      <c r="F20" s="99">
        <v>1.385700301523442E-3</v>
      </c>
    </row>
    <row r="21" spans="1:8" ht="15.75" customHeight="1" x14ac:dyDescent="0.25">
      <c r="B21" s="19" t="s">
        <v>112</v>
      </c>
      <c r="C21" s="99">
        <v>0.53798862315887519</v>
      </c>
      <c r="D21" s="99">
        <v>0.53798862315887519</v>
      </c>
      <c r="E21" s="99">
        <v>0.53798862315887519</v>
      </c>
      <c r="F21" s="99">
        <v>0.53798862315887519</v>
      </c>
    </row>
    <row r="22" spans="1:8" ht="15.75" customHeight="1" x14ac:dyDescent="0.25">
      <c r="B22" s="19" t="s">
        <v>113</v>
      </c>
      <c r="C22" s="99">
        <v>0.126245598195453</v>
      </c>
      <c r="D22" s="99">
        <v>0.126245598195453</v>
      </c>
      <c r="E22" s="99">
        <v>0.126245598195453</v>
      </c>
      <c r="F22" s="99">
        <v>0.126245598195453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6.2575125999999995E-2</v>
      </c>
    </row>
    <row r="27" spans="1:8" ht="15.75" customHeight="1" x14ac:dyDescent="0.25">
      <c r="B27" s="19" t="s">
        <v>120</v>
      </c>
      <c r="C27" s="99">
        <v>2.7904689999999998E-3</v>
      </c>
    </row>
    <row r="28" spans="1:8" ht="15.75" customHeight="1" x14ac:dyDescent="0.25">
      <c r="B28" s="19" t="s">
        <v>121</v>
      </c>
      <c r="C28" s="99">
        <v>0.17595467200000001</v>
      </c>
    </row>
    <row r="29" spans="1:8" ht="15.75" customHeight="1" x14ac:dyDescent="0.25">
      <c r="B29" s="19" t="s">
        <v>122</v>
      </c>
      <c r="C29" s="99">
        <v>0.129916751</v>
      </c>
    </row>
    <row r="30" spans="1:8" ht="15.75" customHeight="1" x14ac:dyDescent="0.25">
      <c r="B30" s="19" t="s">
        <v>2</v>
      </c>
      <c r="C30" s="99">
        <v>6.5542224999999996E-2</v>
      </c>
    </row>
    <row r="31" spans="1:8" ht="15.75" customHeight="1" x14ac:dyDescent="0.25">
      <c r="B31" s="19" t="s">
        <v>123</v>
      </c>
      <c r="C31" s="99">
        <v>0.16151726199999999</v>
      </c>
    </row>
    <row r="32" spans="1:8" ht="15.75" customHeight="1" x14ac:dyDescent="0.25">
      <c r="B32" s="19" t="s">
        <v>124</v>
      </c>
      <c r="C32" s="99">
        <v>7.3741798999999997E-2</v>
      </c>
    </row>
    <row r="33" spans="2:3" ht="15.75" customHeight="1" x14ac:dyDescent="0.25">
      <c r="B33" s="19" t="s">
        <v>125</v>
      </c>
      <c r="C33" s="99">
        <v>3.4829341E-2</v>
      </c>
    </row>
    <row r="34" spans="2:3" ht="15.75" customHeight="1" x14ac:dyDescent="0.25">
      <c r="B34" s="19" t="s">
        <v>126</v>
      </c>
      <c r="C34" s="99">
        <v>0.29313235599999998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h2g/ZpTMwBkT7cFM6fVy/cJJ2bSHVqC4u9JafOguJ/eUBgIpLlGdXq+7gYbOO+8Mf8SfaJgWKuVZMWcdlB1hqQ==" saltValue="z3qnerG/DSE39UHo6VAnq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132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133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137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0.37582732899999999</v>
      </c>
      <c r="D14" s="54">
        <v>0.36131474626900001</v>
      </c>
      <c r="E14" s="54">
        <v>0.36131474626900001</v>
      </c>
      <c r="F14" s="54">
        <v>0.174274205716</v>
      </c>
      <c r="G14" s="54">
        <v>0.174274205716</v>
      </c>
      <c r="H14" s="45">
        <v>0.35399999999999998</v>
      </c>
      <c r="I14" s="55">
        <v>0.35399999999999998</v>
      </c>
      <c r="J14" s="55">
        <v>0.35399999999999998</v>
      </c>
      <c r="K14" s="55">
        <v>0.35399999999999998</v>
      </c>
      <c r="L14" s="45">
        <v>0.32500000000000001</v>
      </c>
      <c r="M14" s="55">
        <v>0.32500000000000001</v>
      </c>
      <c r="N14" s="55">
        <v>0.32500000000000001</v>
      </c>
      <c r="O14" s="55">
        <v>0.32500000000000001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0.23650964144901598</v>
      </c>
      <c r="D15" s="52">
        <f t="shared" si="0"/>
        <v>0.22737681508606677</v>
      </c>
      <c r="E15" s="52">
        <f t="shared" si="0"/>
        <v>0.22737681508606677</v>
      </c>
      <c r="F15" s="52">
        <f t="shared" si="0"/>
        <v>0.10967145475390165</v>
      </c>
      <c r="G15" s="52">
        <f t="shared" si="0"/>
        <v>0.10967145475390165</v>
      </c>
      <c r="H15" s="52">
        <f t="shared" si="0"/>
        <v>0.22277361599999998</v>
      </c>
      <c r="I15" s="52">
        <f t="shared" si="0"/>
        <v>0.22277361599999998</v>
      </c>
      <c r="J15" s="52">
        <f t="shared" si="0"/>
        <v>0.22277361599999998</v>
      </c>
      <c r="K15" s="52">
        <f t="shared" si="0"/>
        <v>0.22277361599999998</v>
      </c>
      <c r="L15" s="52">
        <f t="shared" si="0"/>
        <v>0.20452380000000001</v>
      </c>
      <c r="M15" s="52">
        <f t="shared" si="0"/>
        <v>0.20452380000000001</v>
      </c>
      <c r="N15" s="52">
        <f t="shared" si="0"/>
        <v>0.20452380000000001</v>
      </c>
      <c r="O15" s="52">
        <f t="shared" si="0"/>
        <v>0.20452380000000001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/WBXabze+XLtzYjQyA769i97GstiOuuZMA2SnVUbe+mJCT9pdl2khE63Afrl9arFDQldrQE2N8cyw3qIviDP4A==" saltValue="HqctSE51w39Pno+4NqOT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3.9978647384305122E-2</v>
      </c>
      <c r="D5" s="52">
        <f t="shared" si="0"/>
        <v>6.9181625352112919E-2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AFqONW3EldONvS/E/b9EipOZPNOad+3e+Z7cQ5tDUwF5YvyKZeDpRAC0aozRY6vZpwdDKf6S/l+Q9UjQVpvAoQ==" saltValue="TYBFdGJnjPKVfO4S8O+nn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4T/n21VOpGJst8LBJ7Od25il47UoZ6POv7udGTmcq+pt/1YHlcaaTdSJwxHI2dNc7/R78jZZ9seAZsiuM5e8ZQ==" saltValue="gDHEMxFsdNev8e6mY7V7F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3354.3834075756499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0.37237999999999999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0.36241999999999996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1.3419451631607049E-2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99294.167350000003</v>
      </c>
      <c r="C22" s="107">
        <v>99219.714189999999</v>
      </c>
      <c r="D22" s="107">
        <v>99128.427190000002</v>
      </c>
      <c r="E22" s="107">
        <v>98803.164210000003</v>
      </c>
      <c r="F22" s="107">
        <v>98380.559210000007</v>
      </c>
      <c r="G22" s="107">
        <v>97978.862309999997</v>
      </c>
      <c r="H22" s="107">
        <v>97553.587979999997</v>
      </c>
      <c r="I22" s="107">
        <v>97071.106329999995</v>
      </c>
      <c r="J22" s="107">
        <v>96342.997470000002</v>
      </c>
      <c r="K22" s="107">
        <v>95008.854999999996</v>
      </c>
      <c r="L22" s="107">
        <v>92808.687170000005</v>
      </c>
      <c r="M22" s="107">
        <v>89439.914000000004</v>
      </c>
      <c r="N22" s="107">
        <v>84404.234909999999</v>
      </c>
      <c r="O22" s="107">
        <v>78169.212710000007</v>
      </c>
    </row>
  </sheetData>
  <sheetProtection algorithmName="SHA-512" hashValue="s7U2sm8gt2qSVeDNp8jogY350CtwGQiMf9RivLFLE5V1THLR9vDvwyFBONWmSgfVkKSxGBqxFTSNDzehWWtL3Q==" saltValue="mizfV31mYpdLyTe6PMFBE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JLJvj/Ie0pnwwshxED3jDNIgMXa0Rmjsw4NIwBuuvrnloloaJg6KoBl98esmBraHRvaR2jfnJFHpX8H4G5Je8g==" saltValue="Nb9Odd6Q4tyxBGCD48dK8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ZX5KzYpPEwt0Uvc9UHMj/35Gdpr0lo0FBSjqCGIXUprHbnFVRaaL5Ux9f2e2BfzuQiBh4bN6Jxii9XcSPMVw/g==" saltValue="BF/duybtKo1u49r4bYzIB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17.026484135107474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17.026484135107474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8.0705350947424606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0.61278763993956276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0.24171699078812695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12.968306811567571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12.968306811567571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12.968306811567571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12.968306811567571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12.968306811567571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12.968306811567571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3.4000000000000002E-2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9.7330203637492063E-2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</v>
      </c>
      <c r="C18" s="96">
        <v>0.95</v>
      </c>
      <c r="D18" s="56">
        <v>8.0705350947424606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</v>
      </c>
      <c r="C19" s="96">
        <v>0.95</v>
      </c>
      <c r="D19" s="56">
        <v>8.8512484629968728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8.0705350947424606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6.4000000000000001E-2</v>
      </c>
      <c r="C23" s="96">
        <v>0.95</v>
      </c>
      <c r="D23" s="56">
        <v>4.2519172670834697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0.71148211299999997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4.7229528222409431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17.846880984952122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0.54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0.72599999999999998</v>
      </c>
      <c r="C29" s="96">
        <v>0.95</v>
      </c>
      <c r="D29" s="56">
        <v>26.81689264396762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175.48809161556471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0.93</v>
      </c>
      <c r="C32" s="96">
        <v>0.95</v>
      </c>
      <c r="D32" s="56">
        <v>0.45463218100922231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0.85346329999999992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0.90599999999999992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0.52352160000000003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1.6798709086682517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CM3WBQkF4zqw7AtjjQ/lfPz2txCso2QO1JwIFMtxIjlNVpyDacVlYRdiROwmFE0C5J4TzbcNJNtD5NtyrGzwjw==" saltValue="9DIH78oeaMaEqyA+MoNn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Kaj52tpOVnk6fOqUf8r33Ax8s/z5Gu0TlaDikITSVz0rNA/gTLRzb9lIn1caDft16XFtvUc4Q9nqU4CTwMtIw==" saltValue="wOQdz5k6/I9uxFeWyDZ2t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YoMFWuyXjMSTk71n/RZWMUp9528C5rslQAlLJlBBNNRRyxok0Mh8MNGc+C8ZFQvE81gxk5AP6UaiHcxaFb8SYg==" saltValue="BNSe9ClOSBRlwuVvHGl2v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238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237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OvtDG1A1B4izOZ+7w06tH9vgzRYMe3cLxciSxb7FzlNKwbbEvQHL1chHR8Bm4tNLAt31g32B+rQsHOb4uZjX+A==" saltValue="NWrwIvaSSfWPCv+IjcYKD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0.14299999999999999</v>
      </c>
      <c r="F2" s="60">
        <f>food_insecure</f>
        <v>0.14299999999999999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0.14299999999999999</v>
      </c>
      <c r="F5" s="60">
        <f>food_insecure</f>
        <v>0.14299999999999999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0.14299999999999999</v>
      </c>
      <c r="F8" s="60">
        <f>food_insecure</f>
        <v>0.14299999999999999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0.14299999999999999</v>
      </c>
      <c r="F9" s="60">
        <f>food_insecure</f>
        <v>0.14299999999999999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0.14299999999999999</v>
      </c>
      <c r="I15" s="60">
        <f t="shared" si="0"/>
        <v>0.14299999999999999</v>
      </c>
      <c r="J15" s="60">
        <f t="shared" si="0"/>
        <v>0.14299999999999999</v>
      </c>
      <c r="K15" s="60">
        <f t="shared" si="0"/>
        <v>0.14299999999999999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0.14299999999999999</v>
      </c>
      <c r="I16" s="60">
        <f t="shared" si="0"/>
        <v>0.14299999999999999</v>
      </c>
      <c r="J16" s="60">
        <f t="shared" si="0"/>
        <v>0.14299999999999999</v>
      </c>
      <c r="K16" s="60">
        <f t="shared" si="0"/>
        <v>0.14299999999999999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7.4999999999999997E-2</v>
      </c>
      <c r="M24" s="60">
        <f>famplan_unmet_need</f>
        <v>7.4999999999999997E-2</v>
      </c>
      <c r="N24" s="60">
        <f>famplan_unmet_need</f>
        <v>7.4999999999999997E-2</v>
      </c>
      <c r="O24" s="60">
        <f>famplan_unmet_need</f>
        <v>7.4999999999999997E-2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4.0273775353000016E-2</v>
      </c>
      <c r="M25" s="60">
        <f>(1-food_insecure)*(0.49)+food_insecure*(0.7)</f>
        <v>0.52002999999999999</v>
      </c>
      <c r="N25" s="60">
        <f>(1-food_insecure)*(0.49)+food_insecure*(0.7)</f>
        <v>0.52002999999999999</v>
      </c>
      <c r="O25" s="60">
        <f>(1-food_insecure)*(0.49)+food_insecure*(0.7)</f>
        <v>0.52002999999999999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1.7260189437000008E-2</v>
      </c>
      <c r="M26" s="60">
        <f>(1-food_insecure)*(0.21)+food_insecure*(0.3)</f>
        <v>0.22286999999999998</v>
      </c>
      <c r="N26" s="60">
        <f>(1-food_insecure)*(0.21)+food_insecure*(0.3)</f>
        <v>0.22286999999999998</v>
      </c>
      <c r="O26" s="60">
        <f>(1-food_insecure)*(0.21)+food_insecure*(0.3)</f>
        <v>0.22286999999999998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1.991113521000001E-2</v>
      </c>
      <c r="M27" s="60">
        <f>(1-food_insecure)*(0.3)</f>
        <v>0.2571</v>
      </c>
      <c r="N27" s="60">
        <f>(1-food_insecure)*(0.3)</f>
        <v>0.2571</v>
      </c>
      <c r="O27" s="60">
        <f>(1-food_insecure)*(0.3)</f>
        <v>0.2571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0.92255489999999996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M0QEbk7Cxc/7e3/bB797HxvfcbEF8PLzLZx0zAV2NFrgLmwAhD4f50GtcKhLfES1pY5uI/Ykw14OheL8HHEIzg==" saltValue="iFpN1NWwEVxe+OtG+9zRB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EBY1tppfqNKj0fr+MuZs1WsxSC4TE5U7XGMUAcLD/Q/4LdEcaEZoP8aVKDdCacpE2ComQYkl1S34zhFcydS4Kw==" saltValue="L7WWbsANeDav56YLvzsiO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/sqUedGlDgUR9D4MKHiCUt7XYqjJgDb6QyDvlV8kSPVyJOKw1qot3mNN9jFYq07Pv/Dmwl/K2oS/s7NVnlqzBw==" saltValue="XD5Y4jthi7jU8Ea1ijpP7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V96p88O5G5u4MxyaXBjUcJUjcFY6tfMZBRqYaNiCx3yN6X/jDSpVbR94DRvMugK/YvTKgIrMS8v8xO7kA+/tA==" saltValue="UA7kIt211riol5rEcci+J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l0pSKNJ7CAjNz5kDppAxEFY9+uQtAI2gW+9VfGj5CwFVxnGhN3gJUCpoUWbYgqo1cc+MpSKCrGKoPKLGBJQz5g==" saltValue="rIPuSnuXHzqVqphd7lDBs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tqU4o7A51+ShDEISQDIMGO94/KZQXBDoN5/wp695uVkD5z75F7qDpqfPWtUqcgtKnAs7iQeKDSeYkelUmUZz2Q==" saltValue="HRRk0I4XZRQ6cjlHGKi22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ALnBgpVkNh165v+uSkr7rOxXhcGf74OliNXZQUmWqYMAJqIdYFkrQ5kb5RcW2iruweE7HUsF9n1RTC1vQwMs/A==" saltValue="JmPmoUBykA1b4epWLYxaf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RZqzNLo/TzOyMwlOB/wuDE0Ahp1XTG4XtSzkK+ARCnkAFg0xWXOkZd7LPB5/1pPImbQQOd1q8pRzlepfevwDDg==" saltValue="uVFKawrHH4H9o/2QJlZA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oWU18ND/dDVRB44mCe1nzn+uUhTVbLi0FPD3XkUJAYJxRS6HjFfBXQjh3Iljgj6VxB9b8rgaE4VFLEJWw2IecA==" saltValue="8C//jFtyv850pwN7pYkv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03FUZU7C45foC1BapyotubM8s9Q0wgtnHQ6WtJajDV9+RHwOIfk4kDJTZvujugYWLglIcVOG58M+J2cahBP/rA==" saltValue="ZCJ2Xu56Up847tqG/Fdd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TG4hkdSc71djthSbizbo61d6+rjmpGrq41gtNqRItt2jAJmfbNGjADaAWKoaHIsdoxqkmD9SwZfbhlSvVI1Gw==" saltValue="1d0wxngnoFhf5msfU7KV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Oqq7c+1+8Ns1YRAwEQnn9hTj3+oKJbgzHGdxzbol1/pV/cBI4wUk9VWeDJCI6IhVDZHxNbGBAFl9Oy8OQhSpg==" saltValue="Wl+/9qCOSOMIfMOaUAkl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5IC/9g3OaL8IjRLqwpREVrFI6tj06fZGTETQEMdLNrcTZnR4q4+Vacdy2n4XZAlR3xP593Tha+baM62eKFsr4Q==" saltValue="MEnUh/LIJ6phLQj/ZPM4j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Bnw0YlRN7Y3Rs6jOLMs76Fok+UShQyV89XtA84dcU5h4mim/m4Eb6X2eH1icmYrqfpY4sY0hTuuLKKo+ULsesw==" saltValue="LcVlIbXoHNO7LXyeEUvD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OvL5/kpwbi0CCeQTplXFu5ZbBNA0+ndeRheYo5JEaQJW2BSV5JPGokVHDDj6W/9bdYjDy14O0YGnUXnvD9PYoQ==" saltValue="v4R2QdwweNMNLV9cichvp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2025-07-30T02:45:26Z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