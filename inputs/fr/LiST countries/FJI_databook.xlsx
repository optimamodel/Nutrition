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fr\LiST countries\"/>
    </mc:Choice>
  </mc:AlternateContent>
  <xr:revisionPtr revIDLastSave="0" documentId="8_{74FD0242-CEE2-4D50-A5BB-24AC77514C97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I13" i="2" s="1"/>
  <c r="H12" i="2"/>
  <c r="G12" i="2"/>
  <c r="H11" i="2"/>
  <c r="G11" i="2"/>
  <c r="I11" i="2" s="1"/>
  <c r="H10" i="2"/>
  <c r="G10" i="2"/>
  <c r="H9" i="2"/>
  <c r="G9" i="2"/>
  <c r="H8" i="2"/>
  <c r="G8" i="2"/>
  <c r="I8" i="2" s="1"/>
  <c r="H7" i="2"/>
  <c r="G7" i="2"/>
  <c r="H6" i="2"/>
  <c r="G6" i="2"/>
  <c r="H5" i="2"/>
  <c r="G5" i="2"/>
  <c r="H4" i="2"/>
  <c r="G4" i="2"/>
  <c r="H3" i="2"/>
  <c r="G3" i="2"/>
  <c r="H2" i="2"/>
  <c r="G2" i="2"/>
  <c r="I2" i="2" s="1"/>
  <c r="A2" i="2"/>
  <c r="A39" i="2" s="1"/>
  <c r="C33" i="1"/>
  <c r="C20" i="1"/>
  <c r="I6" i="2" l="1"/>
  <c r="I12" i="2"/>
  <c r="A35" i="2"/>
  <c r="A37" i="2"/>
  <c r="A19" i="2"/>
  <c r="A22" i="2"/>
  <c r="I39" i="2"/>
  <c r="I3" i="2"/>
  <c r="I9" i="2"/>
  <c r="A23" i="2"/>
  <c r="I4" i="2"/>
  <c r="A25" i="2"/>
  <c r="A24" i="2"/>
  <c r="A40" i="2"/>
  <c r="A26" i="2"/>
  <c r="A36" i="2"/>
  <c r="A31" i="2"/>
  <c r="I7" i="2"/>
  <c r="A3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<sst xmlns="http://schemas.openxmlformats.org/spreadsheetml/2006/main" count="2169" uniqueCount="369">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</sst>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80996</v>
      </c>
    </row>
    <row r="8" spans="1:3" ht="15" customHeight="1" x14ac:dyDescent="0.25">
      <c r="B8" s="5" t="s">
        <v>37</v>
      </c>
      <c r="C8" s="44">
        <v>1.4E-2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0.87981307983398394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0.10299999999999999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0.1032</v>
      </c>
    </row>
    <row r="24" spans="1:3" ht="15" customHeight="1" x14ac:dyDescent="0.25">
      <c r="B24" s="15" t="s">
        <v>51</v>
      </c>
      <c r="C24" s="45">
        <v>0.55130000000000001</v>
      </c>
    </row>
    <row r="25" spans="1:3" ht="15" customHeight="1" x14ac:dyDescent="0.25">
      <c r="B25" s="15" t="s">
        <v>52</v>
      </c>
      <c r="C25" s="45">
        <v>0.28949999999999998</v>
      </c>
    </row>
    <row r="26" spans="1:3" ht="15" customHeight="1" x14ac:dyDescent="0.25">
      <c r="B26" s="15" t="s">
        <v>53</v>
      </c>
      <c r="C26" s="45">
        <v>5.6000000000000008E-2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0.35185775257007201</v>
      </c>
    </row>
    <row r="30" spans="1:3" ht="14.25" customHeight="1" x14ac:dyDescent="0.25">
      <c r="B30" s="25" t="s">
        <v>56</v>
      </c>
      <c r="C30" s="97">
        <v>2.3858720907234902E-2</v>
      </c>
    </row>
    <row r="31" spans="1:3" ht="14.25" customHeight="1" x14ac:dyDescent="0.25">
      <c r="B31" s="25" t="s">
        <v>57</v>
      </c>
      <c r="C31" s="97">
        <v>3.4342930038455802E-2</v>
      </c>
    </row>
    <row r="32" spans="1:3" ht="14.25" customHeight="1" x14ac:dyDescent="0.25">
      <c r="B32" s="25" t="s">
        <v>58</v>
      </c>
      <c r="C32" s="97">
        <v>0.58994059648423802</v>
      </c>
    </row>
    <row r="33" spans="1:5" ht="13.25" customHeight="1" x14ac:dyDescent="0.25">
      <c r="B33" s="27" t="s">
        <v>59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13.74817</v>
      </c>
    </row>
    <row r="38" spans="1:5" ht="15" customHeight="1" x14ac:dyDescent="0.25">
      <c r="B38" s="11" t="s">
        <v>63</v>
      </c>
      <c r="C38" s="43">
        <v>23.256340000000002</v>
      </c>
      <c r="D38" s="12"/>
      <c r="E38" s="13"/>
    </row>
    <row r="39" spans="1:5" ht="15" customHeight="1" x14ac:dyDescent="0.25">
      <c r="B39" s="11" t="s">
        <v>64</v>
      </c>
      <c r="C39" s="43">
        <v>27.726030000000002</v>
      </c>
      <c r="D39" s="12"/>
      <c r="E39" s="12"/>
    </row>
    <row r="40" spans="1:5" ht="15" customHeight="1" x14ac:dyDescent="0.25">
      <c r="B40" s="11" t="s">
        <v>65</v>
      </c>
      <c r="C40" s="98">
        <v>0.38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9.1388800000000003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6.1751000000000002E-3</v>
      </c>
      <c r="D45" s="12"/>
    </row>
    <row r="46" spans="1:5" ht="15.75" customHeight="1" x14ac:dyDescent="0.25">
      <c r="B46" s="11" t="s">
        <v>70</v>
      </c>
      <c r="C46" s="45">
        <v>6.6350900000000004E-2</v>
      </c>
      <c r="D46" s="12"/>
    </row>
    <row r="47" spans="1:5" ht="15.75" customHeight="1" x14ac:dyDescent="0.25">
      <c r="B47" s="11" t="s">
        <v>71</v>
      </c>
      <c r="C47" s="45">
        <v>7.5128899999999998E-2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2.2000000000000002</v>
      </c>
      <c r="D51" s="12"/>
    </row>
    <row r="52" spans="1:4" ht="15" customHeight="1" x14ac:dyDescent="0.25">
      <c r="B52" s="11" t="s">
        <v>75</v>
      </c>
      <c r="C52" s="98">
        <v>2.2000000000000002</v>
      </c>
    </row>
    <row r="53" spans="1:4" ht="15.75" customHeight="1" x14ac:dyDescent="0.25">
      <c r="B53" s="11" t="s">
        <v>76</v>
      </c>
      <c r="C53" s="98">
        <v>2.2000000000000002</v>
      </c>
    </row>
    <row r="54" spans="1:4" ht="15.75" customHeight="1" x14ac:dyDescent="0.25">
      <c r="B54" s="11" t="s">
        <v>77</v>
      </c>
      <c r="C54" s="98">
        <v>2.2000000000000002</v>
      </c>
    </row>
    <row r="55" spans="1:4" ht="15.75" customHeight="1" x14ac:dyDescent="0.25">
      <c r="B55" s="11" t="s">
        <v>78</v>
      </c>
      <c r="C55" s="98">
        <v>2.2000000000000002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2.1363636363636359E-2</v>
      </c>
    </row>
    <row r="59" spans="1:4" ht="15.75" customHeight="1" x14ac:dyDescent="0.25">
      <c r="B59" s="11" t="s">
        <v>81</v>
      </c>
      <c r="C59" s="45">
        <v>0.48294500000000001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CKTCpKXc4kzIjMPMD4zWDpqZgBHcVVT6fVvMd3iuIbkKRRvWR2m8u/oAKpBT0niBV+WWJqGpUCnrIJ5tzsxeYA==" saltValue="WJ0EKOunfluQWk11y8vbq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16592</v>
      </c>
      <c r="C2" s="49">
        <v>41215</v>
      </c>
      <c r="D2" s="49">
        <v>74107.5</v>
      </c>
      <c r="E2" s="49">
        <v>70502.000000000015</v>
      </c>
      <c r="F2" s="49">
        <v>60400.999999999993</v>
      </c>
      <c r="G2" s="17">
        <f t="shared" ref="G2:G13" si="0">C2+D2+E2+F2</f>
        <v>246225.5</v>
      </c>
      <c r="H2" s="17">
        <f t="shared" ref="H2:H13" si="1">(B2 + stillbirth*B2/(1000-stillbirth))/(1-abortion)</f>
        <v>19028.444121962781</v>
      </c>
      <c r="I2" s="17">
        <f t="shared" ref="I2:I13" si="2">G2-H2</f>
        <v>227197.05587803721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16446</v>
      </c>
      <c r="C3" s="50">
        <v>41505</v>
      </c>
      <c r="D3" s="50">
        <v>74125</v>
      </c>
      <c r="E3" s="50">
        <v>70475</v>
      </c>
      <c r="F3" s="50">
        <v>62099.999999999993</v>
      </c>
      <c r="G3" s="17">
        <f t="shared" si="0"/>
        <v>248205</v>
      </c>
      <c r="H3" s="17">
        <f t="shared" si="1"/>
        <v>18861.004823396808</v>
      </c>
      <c r="I3" s="17">
        <f t="shared" si="2"/>
        <v>229343.9951766032</v>
      </c>
    </row>
    <row r="4" spans="1:9" ht="15.75" customHeight="1" x14ac:dyDescent="0.25">
      <c r="A4" s="5">
        <f t="shared" si="3"/>
        <v>2026</v>
      </c>
      <c r="B4" s="49">
        <v>16340</v>
      </c>
      <c r="C4" s="50">
        <v>41573.5</v>
      </c>
      <c r="D4" s="50">
        <v>74241.5</v>
      </c>
      <c r="E4" s="50">
        <v>70645.000000000015</v>
      </c>
      <c r="F4" s="50">
        <v>63284.499999999993</v>
      </c>
      <c r="G4" s="17">
        <f t="shared" si="0"/>
        <v>249744.5</v>
      </c>
      <c r="H4" s="17">
        <f t="shared" si="1"/>
        <v>18739.439305259872</v>
      </c>
      <c r="I4" s="17">
        <f t="shared" si="2"/>
        <v>231005.06069474012</v>
      </c>
    </row>
    <row r="5" spans="1:9" ht="15.75" customHeight="1" x14ac:dyDescent="0.25">
      <c r="A5" s="5">
        <f t="shared" si="3"/>
        <v>2027</v>
      </c>
      <c r="B5" s="49">
        <v>16245.000000000002</v>
      </c>
      <c r="C5" s="50">
        <v>41480</v>
      </c>
      <c r="D5" s="50">
        <v>74599.5</v>
      </c>
      <c r="E5" s="50">
        <v>70770.5</v>
      </c>
      <c r="F5" s="50">
        <v>64207.499999999993</v>
      </c>
      <c r="G5" s="17">
        <f t="shared" si="0"/>
        <v>251057.5</v>
      </c>
      <c r="H5" s="17">
        <f t="shared" si="1"/>
        <v>18630.48907674092</v>
      </c>
      <c r="I5" s="17">
        <f t="shared" si="2"/>
        <v>232427.01092325908</v>
      </c>
    </row>
    <row r="6" spans="1:9" ht="15.75" customHeight="1" x14ac:dyDescent="0.25">
      <c r="A6" s="5">
        <f t="shared" si="3"/>
        <v>2028</v>
      </c>
      <c r="B6" s="49">
        <v>16170.000000000002</v>
      </c>
      <c r="C6" s="50">
        <v>41428.5</v>
      </c>
      <c r="D6" s="50">
        <v>75186</v>
      </c>
      <c r="E6" s="50">
        <v>70709.499999999985</v>
      </c>
      <c r="F6" s="50">
        <v>64982.5</v>
      </c>
      <c r="G6" s="17">
        <f t="shared" si="0"/>
        <v>252306.5</v>
      </c>
      <c r="H6" s="17">
        <f t="shared" si="1"/>
        <v>18544.475738436486</v>
      </c>
      <c r="I6" s="17">
        <f t="shared" si="2"/>
        <v>233762.02426156352</v>
      </c>
    </row>
    <row r="7" spans="1:9" ht="15.75" customHeight="1" x14ac:dyDescent="0.25">
      <c r="A7" s="5">
        <f t="shared" si="3"/>
        <v>2029</v>
      </c>
      <c r="B7" s="49">
        <v>16094.999999999998</v>
      </c>
      <c r="C7" s="50">
        <v>41487</v>
      </c>
      <c r="D7" s="50">
        <v>75852</v>
      </c>
      <c r="E7" s="50">
        <v>70496.000000000015</v>
      </c>
      <c r="F7" s="50">
        <v>65595</v>
      </c>
      <c r="G7" s="17">
        <f t="shared" si="0"/>
        <v>253430</v>
      </c>
      <c r="H7" s="17">
        <f t="shared" si="1"/>
        <v>18458.462400132044</v>
      </c>
      <c r="I7" s="17">
        <f t="shared" si="2"/>
        <v>234971.53759986797</v>
      </c>
    </row>
    <row r="8" spans="1:9" ht="15.75" customHeight="1" x14ac:dyDescent="0.25">
      <c r="A8" s="5">
        <f t="shared" si="3"/>
        <v>2030</v>
      </c>
      <c r="B8" s="49">
        <v>16024.999999999998</v>
      </c>
      <c r="C8" s="50">
        <v>41607.5</v>
      </c>
      <c r="D8" s="50">
        <v>76562</v>
      </c>
      <c r="E8" s="50">
        <v>70139.000000000015</v>
      </c>
      <c r="F8" s="50">
        <v>66107</v>
      </c>
      <c r="G8" s="17">
        <f t="shared" si="0"/>
        <v>254415.5</v>
      </c>
      <c r="H8" s="17">
        <f t="shared" si="1"/>
        <v>18378.183284381237</v>
      </c>
      <c r="I8" s="17">
        <f t="shared" si="2"/>
        <v>236037.31671561877</v>
      </c>
    </row>
    <row r="9" spans="1:9" ht="15.75" customHeight="1" x14ac:dyDescent="0.25">
      <c r="A9" s="5">
        <f t="shared" si="3"/>
        <v>2031</v>
      </c>
      <c r="B9" s="49">
        <v>15955</v>
      </c>
      <c r="C9" s="50">
        <v>41732</v>
      </c>
      <c r="D9" s="50">
        <v>77185</v>
      </c>
      <c r="E9" s="50">
        <v>69716</v>
      </c>
      <c r="F9" s="50">
        <v>66513.5</v>
      </c>
      <c r="G9" s="17">
        <f t="shared" si="0"/>
        <v>255146.5</v>
      </c>
      <c r="H9" s="17">
        <f t="shared" si="1"/>
        <v>18297.904168630434</v>
      </c>
      <c r="I9" s="17">
        <f t="shared" si="2"/>
        <v>236848.59583136957</v>
      </c>
    </row>
    <row r="10" spans="1:9" ht="15.75" customHeight="1" x14ac:dyDescent="0.25">
      <c r="A10" s="5">
        <f t="shared" si="3"/>
        <v>2032</v>
      </c>
      <c r="B10" s="49">
        <v>15892</v>
      </c>
      <c r="C10" s="50">
        <v>41718.5</v>
      </c>
      <c r="D10" s="50">
        <v>77694.5</v>
      </c>
      <c r="E10" s="50">
        <v>69388</v>
      </c>
      <c r="F10" s="50">
        <v>66759</v>
      </c>
      <c r="G10" s="17">
        <f t="shared" si="0"/>
        <v>255560</v>
      </c>
      <c r="H10" s="17">
        <f t="shared" si="1"/>
        <v>18225.652964454704</v>
      </c>
      <c r="I10" s="17">
        <f t="shared" si="2"/>
        <v>237334.3470355453</v>
      </c>
    </row>
    <row r="11" spans="1:9" ht="15.75" customHeight="1" x14ac:dyDescent="0.25">
      <c r="A11" s="5">
        <f t="shared" si="3"/>
        <v>2033</v>
      </c>
      <c r="B11" s="49">
        <v>15826</v>
      </c>
      <c r="C11" s="50">
        <v>41454.5</v>
      </c>
      <c r="D11" s="50">
        <v>78205.5</v>
      </c>
      <c r="E11" s="50">
        <v>69214.5</v>
      </c>
      <c r="F11" s="50">
        <v>66826</v>
      </c>
      <c r="G11" s="17">
        <f t="shared" si="0"/>
        <v>255700.5</v>
      </c>
      <c r="H11" s="17">
        <f t="shared" si="1"/>
        <v>18149.9612267468</v>
      </c>
      <c r="I11" s="17">
        <f t="shared" si="2"/>
        <v>237550.53877325321</v>
      </c>
    </row>
    <row r="12" spans="1:9" ht="15.75" customHeight="1" x14ac:dyDescent="0.25">
      <c r="A12" s="5">
        <f t="shared" si="3"/>
        <v>2034</v>
      </c>
      <c r="B12" s="49">
        <v>15772</v>
      </c>
      <c r="C12" s="50">
        <v>40973.5</v>
      </c>
      <c r="D12" s="50">
        <v>78713</v>
      </c>
      <c r="E12" s="50">
        <v>69179</v>
      </c>
      <c r="F12" s="50">
        <v>66759.999999999985</v>
      </c>
      <c r="G12" s="17">
        <f t="shared" si="0"/>
        <v>255625.5</v>
      </c>
      <c r="H12" s="17">
        <f t="shared" si="1"/>
        <v>18088.031623167608</v>
      </c>
      <c r="I12" s="17">
        <f t="shared" si="2"/>
        <v>237537.4683768324</v>
      </c>
    </row>
    <row r="13" spans="1:9" ht="15.75" customHeight="1" x14ac:dyDescent="0.25">
      <c r="A13" s="5">
        <f t="shared" si="3"/>
        <v>2035</v>
      </c>
      <c r="B13" s="49">
        <v>15710</v>
      </c>
      <c r="C13" s="50">
        <v>40336</v>
      </c>
      <c r="D13" s="50">
        <v>79141.500000000015</v>
      </c>
      <c r="E13" s="50">
        <v>69251</v>
      </c>
      <c r="F13" s="50">
        <v>66785</v>
      </c>
      <c r="G13" s="17">
        <f t="shared" si="0"/>
        <v>255513.5</v>
      </c>
      <c r="H13" s="17">
        <f t="shared" si="1"/>
        <v>18016.927263502606</v>
      </c>
      <c r="I13" s="17">
        <f t="shared" si="2"/>
        <v>237496.57273649739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7vFaZWv0+c2j3vMCPnBl/0QN17iTpLPOxuFbHzjGDeAfDNUh+XGUeZVVh7qUsB9fL+ZJKjZ/W7Ex9Zq/G3h5tA==" saltValue="kakrfNP7DiHyKd48aHgu0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3.9490007898001562E-4</v>
      </c>
    </row>
    <row r="4" spans="1:8" ht="15.75" customHeight="1" x14ac:dyDescent="0.25">
      <c r="B4" s="19" t="s">
        <v>97</v>
      </c>
      <c r="C4" s="99">
        <v>6.7987713597542757E-2</v>
      </c>
    </row>
    <row r="5" spans="1:8" ht="15.75" customHeight="1" x14ac:dyDescent="0.25">
      <c r="B5" s="19" t="s">
        <v>98</v>
      </c>
      <c r="C5" s="99">
        <v>4.5168509033701752E-2</v>
      </c>
    </row>
    <row r="6" spans="1:8" ht="15.75" customHeight="1" x14ac:dyDescent="0.25">
      <c r="B6" s="19" t="s">
        <v>99</v>
      </c>
      <c r="C6" s="99">
        <v>0.16706933341386659</v>
      </c>
    </row>
    <row r="7" spans="1:8" ht="15.75" customHeight="1" x14ac:dyDescent="0.25">
      <c r="B7" s="19" t="s">
        <v>100</v>
      </c>
      <c r="C7" s="99">
        <v>0.42742528548505748</v>
      </c>
    </row>
    <row r="8" spans="1:8" ht="15.75" customHeight="1" x14ac:dyDescent="0.25">
      <c r="B8" s="19" t="s">
        <v>101</v>
      </c>
      <c r="C8" s="99">
        <v>4.3700008740001817E-5</v>
      </c>
    </row>
    <row r="9" spans="1:8" ht="15.75" customHeight="1" x14ac:dyDescent="0.25">
      <c r="B9" s="19" t="s">
        <v>102</v>
      </c>
      <c r="C9" s="99">
        <v>0.19184183836836749</v>
      </c>
    </row>
    <row r="10" spans="1:8" ht="15.75" customHeight="1" x14ac:dyDescent="0.25">
      <c r="B10" s="19" t="s">
        <v>103</v>
      </c>
      <c r="C10" s="99">
        <v>0.10006872001374389</v>
      </c>
    </row>
    <row r="11" spans="1:8" ht="15.75" customHeight="1" x14ac:dyDescent="0.25">
      <c r="B11" s="27" t="s">
        <v>59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8.9962548660723382E-2</v>
      </c>
      <c r="D14" s="55">
        <v>8.9962548660723382E-2</v>
      </c>
      <c r="E14" s="55">
        <v>8.9962548660723382E-2</v>
      </c>
      <c r="F14" s="55">
        <v>8.9962548660723382E-2</v>
      </c>
    </row>
    <row r="15" spans="1:8" ht="15.75" customHeight="1" x14ac:dyDescent="0.25">
      <c r="B15" s="19" t="s">
        <v>106</v>
      </c>
      <c r="C15" s="99">
        <v>0.47128850428328262</v>
      </c>
      <c r="D15" s="99">
        <v>0.47128850428328262</v>
      </c>
      <c r="E15" s="99">
        <v>0.47128850428328262</v>
      </c>
      <c r="F15" s="99">
        <v>0.47128850428328262</v>
      </c>
    </row>
    <row r="16" spans="1:8" ht="15.75" customHeight="1" x14ac:dyDescent="0.25">
      <c r="B16" s="19" t="s">
        <v>107</v>
      </c>
      <c r="C16" s="99">
        <v>2.1451893525098679E-2</v>
      </c>
      <c r="D16" s="99">
        <v>2.1451893525098679E-2</v>
      </c>
      <c r="E16" s="99">
        <v>2.1451893525098679E-2</v>
      </c>
      <c r="F16" s="99">
        <v>2.1451893525098679E-2</v>
      </c>
    </row>
    <row r="17" spans="1:8" ht="15.75" customHeight="1" x14ac:dyDescent="0.25">
      <c r="B17" s="19" t="s">
        <v>108</v>
      </c>
      <c r="C17" s="99">
        <v>4.399615969642604E-3</v>
      </c>
      <c r="D17" s="99">
        <v>4.399615969642604E-3</v>
      </c>
      <c r="E17" s="99">
        <v>4.399615969642604E-3</v>
      </c>
      <c r="F17" s="99">
        <v>4.399615969642604E-3</v>
      </c>
    </row>
    <row r="18" spans="1:8" ht="15.75" customHeight="1" x14ac:dyDescent="0.25">
      <c r="B18" s="19" t="s">
        <v>109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110</v>
      </c>
      <c r="C19" s="99">
        <v>8.5593931275366152E-3</v>
      </c>
      <c r="D19" s="99">
        <v>8.5593931275366152E-3</v>
      </c>
      <c r="E19" s="99">
        <v>8.5593931275366152E-3</v>
      </c>
      <c r="F19" s="99">
        <v>8.5593931275366152E-3</v>
      </c>
    </row>
    <row r="20" spans="1:8" ht="15.75" customHeight="1" x14ac:dyDescent="0.25">
      <c r="B20" s="19" t="s">
        <v>111</v>
      </c>
      <c r="C20" s="99">
        <v>2.388630710131014E-2</v>
      </c>
      <c r="D20" s="99">
        <v>2.388630710131014E-2</v>
      </c>
      <c r="E20" s="99">
        <v>2.388630710131014E-2</v>
      </c>
      <c r="F20" s="99">
        <v>2.388630710131014E-2</v>
      </c>
    </row>
    <row r="21" spans="1:8" ht="15.75" customHeight="1" x14ac:dyDescent="0.25">
      <c r="B21" s="19" t="s">
        <v>112</v>
      </c>
      <c r="C21" s="99">
        <v>0.32209522878253438</v>
      </c>
      <c r="D21" s="99">
        <v>0.32209522878253438</v>
      </c>
      <c r="E21" s="99">
        <v>0.32209522878253438</v>
      </c>
      <c r="F21" s="99">
        <v>0.32209522878253438</v>
      </c>
    </row>
    <row r="22" spans="1:8" ht="15.75" customHeight="1" x14ac:dyDescent="0.25">
      <c r="B22" s="19" t="s">
        <v>113</v>
      </c>
      <c r="C22" s="99">
        <v>5.8356508549871497E-2</v>
      </c>
      <c r="D22" s="99">
        <v>5.8356508549871497E-2</v>
      </c>
      <c r="E22" s="99">
        <v>5.8356508549871497E-2</v>
      </c>
      <c r="F22" s="99">
        <v>5.8356508549871497E-2</v>
      </c>
    </row>
    <row r="23" spans="1:8" ht="15.75" customHeight="1" x14ac:dyDescent="0.25">
      <c r="B23" s="27" t="s">
        <v>59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3.8186174000000003E-2</v>
      </c>
    </row>
    <row r="27" spans="1:8" ht="15.75" customHeight="1" x14ac:dyDescent="0.25">
      <c r="B27" s="19" t="s">
        <v>120</v>
      </c>
      <c r="C27" s="99">
        <v>3.5979345000000003E-2</v>
      </c>
    </row>
    <row r="28" spans="1:8" ht="15.75" customHeight="1" x14ac:dyDescent="0.25">
      <c r="B28" s="19" t="s">
        <v>121</v>
      </c>
      <c r="C28" s="99">
        <v>0.17918920699999999</v>
      </c>
    </row>
    <row r="29" spans="1:8" ht="15.75" customHeight="1" x14ac:dyDescent="0.25">
      <c r="B29" s="19" t="s">
        <v>122</v>
      </c>
      <c r="C29" s="99">
        <v>9.3383905000000003E-2</v>
      </c>
    </row>
    <row r="30" spans="1:8" ht="15.75" customHeight="1" x14ac:dyDescent="0.25">
      <c r="B30" s="19" t="s">
        <v>2</v>
      </c>
      <c r="C30" s="99">
        <v>4.2695289999999983E-2</v>
      </c>
    </row>
    <row r="31" spans="1:8" ht="15.75" customHeight="1" x14ac:dyDescent="0.25">
      <c r="B31" s="19" t="s">
        <v>123</v>
      </c>
      <c r="C31" s="99">
        <v>0.135273369</v>
      </c>
    </row>
    <row r="32" spans="1:8" ht="15.75" customHeight="1" x14ac:dyDescent="0.25">
      <c r="B32" s="19" t="s">
        <v>124</v>
      </c>
      <c r="C32" s="99">
        <v>0.18705686599999999</v>
      </c>
    </row>
    <row r="33" spans="2:3" ht="15.75" customHeight="1" x14ac:dyDescent="0.25">
      <c r="B33" s="19" t="s">
        <v>125</v>
      </c>
      <c r="C33" s="99">
        <v>0.13805392899999999</v>
      </c>
    </row>
    <row r="34" spans="2:3" ht="15.75" customHeight="1" x14ac:dyDescent="0.25">
      <c r="B34" s="19" t="s">
        <v>126</v>
      </c>
      <c r="C34" s="99">
        <v>0.150181916</v>
      </c>
    </row>
    <row r="35" spans="2:3" ht="15.75" customHeight="1" x14ac:dyDescent="0.25">
      <c r="B35" s="27" t="s">
        <v>59</v>
      </c>
      <c r="C35" s="48">
        <f>SUM(C26:C34)</f>
        <v>1.0000000009999999</v>
      </c>
    </row>
  </sheetData>
  <sheetProtection algorithmName="SHA-512" hashValue="N9uxeE9AFbP6t9cHzziV9gdwYbBX94HqqTDCPn+u53uLJKRpFlf+Q+yLNTqhA59T+Jfl+BAEMlNEZWpFe99/Tw==" saltValue="C2euXebcqeaj11t4agrwk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0.71991406732802443</v>
      </c>
      <c r="D2" s="52">
        <f>IFERROR(1-_xlfn.NORM.DIST(_xlfn.NORM.INV(SUM(D4:D5), 0, 1) + 1, 0, 1, TRUE), "")</f>
        <v>0.71991406732802443</v>
      </c>
      <c r="E2" s="52">
        <f>IFERROR(1-_xlfn.NORM.DIST(_xlfn.NORM.INV(SUM(E4:E5), 0, 1) + 1, 0, 1, TRUE), "")</f>
        <v>0.69603791482324251</v>
      </c>
      <c r="F2" s="52">
        <f>IFERROR(1-_xlfn.NORM.DIST(_xlfn.NORM.INV(SUM(F4:F5), 0, 1) + 1, 0, 1, TRUE), "")</f>
        <v>0.71878964149994229</v>
      </c>
      <c r="G2" s="52">
        <f>IFERROR(1-_xlfn.NORM.DIST(_xlfn.NORM.INV(SUM(G4:G5), 0, 1) + 1, 0, 1, TRUE), "")</f>
        <v>0.65385158335828997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0.22332803267197551</v>
      </c>
      <c r="D3" s="52">
        <f>IFERROR(_xlfn.NORM.DIST(_xlfn.NORM.INV(SUM(D4:D5), 0, 1) + 1, 0, 1, TRUE) - SUM(D4:D5), "")</f>
        <v>0.22332803267197551</v>
      </c>
      <c r="E3" s="52">
        <f>IFERROR(_xlfn.NORM.DIST(_xlfn.NORM.INV(SUM(E4:E5), 0, 1) + 1, 0, 1, TRUE) - SUM(E4:E5), "")</f>
        <v>0.23882718517675744</v>
      </c>
      <c r="F3" s="52">
        <f>IFERROR(_xlfn.NORM.DIST(_xlfn.NORM.INV(SUM(F4:F5), 0, 1) + 1, 0, 1, TRUE) - SUM(F4:F5), "")</f>
        <v>0.2240709585000577</v>
      </c>
      <c r="G3" s="52">
        <f>IFERROR(_xlfn.NORM.DIST(_xlfn.NORM.INV(SUM(G4:G5), 0, 1) + 1, 0, 1, TRUE) - SUM(G4:G5), "")</f>
        <v>0.26475201664171005</v>
      </c>
    </row>
    <row r="4" spans="1:15" ht="15.75" customHeight="1" x14ac:dyDescent="0.25">
      <c r="B4" s="5" t="s">
        <v>132</v>
      </c>
      <c r="C4" s="45">
        <v>3.2299599999999998E-2</v>
      </c>
      <c r="D4" s="53">
        <v>3.2299599999999998E-2</v>
      </c>
      <c r="E4" s="53">
        <v>2.3189100000000001E-2</v>
      </c>
      <c r="F4" s="53">
        <v>3.1199399999999999E-2</v>
      </c>
      <c r="G4" s="53">
        <v>4.7052899999999988E-2</v>
      </c>
    </row>
    <row r="5" spans="1:15" ht="15.75" customHeight="1" x14ac:dyDescent="0.25">
      <c r="B5" s="5" t="s">
        <v>133</v>
      </c>
      <c r="C5" s="45">
        <v>2.4458299999999999E-2</v>
      </c>
      <c r="D5" s="53">
        <v>2.4458299999999999E-2</v>
      </c>
      <c r="E5" s="53">
        <v>4.1945800000000012E-2</v>
      </c>
      <c r="F5" s="53">
        <v>2.5940000000000001E-2</v>
      </c>
      <c r="G5" s="53">
        <v>3.4343499999999999E-2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0.65561821603473891</v>
      </c>
      <c r="D8" s="52">
        <f>IFERROR(1-_xlfn.NORM.DIST(_xlfn.NORM.INV(SUM(D10:D11), 0, 1) + 1, 0, 1, TRUE), "")</f>
        <v>0.65561821603473891</v>
      </c>
      <c r="E8" s="52">
        <f>IFERROR(1-_xlfn.NORM.DIST(_xlfn.NORM.INV(SUM(E10:E11), 0, 1) + 1, 0, 1, TRUE), "")</f>
        <v>0.67788556299605163</v>
      </c>
      <c r="F8" s="52">
        <f>IFERROR(1-_xlfn.NORM.DIST(_xlfn.NORM.INV(SUM(F10:F11), 0, 1) + 1, 0, 1, TRUE), "")</f>
        <v>0.78090906818077377</v>
      </c>
      <c r="G8" s="52">
        <f>IFERROR(1-_xlfn.NORM.DIST(_xlfn.NORM.INV(SUM(G10:G11), 0, 1) + 1, 0, 1, TRUE), "")</f>
        <v>0.7805327279926525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0.2637049839652611</v>
      </c>
      <c r="D9" s="52">
        <f>IFERROR(_xlfn.NORM.DIST(_xlfn.NORM.INV(SUM(D10:D11), 0, 1) + 1, 0, 1, TRUE) - SUM(D10:D11), "")</f>
        <v>0.2637049839652611</v>
      </c>
      <c r="E9" s="52">
        <f>IFERROR(_xlfn.NORM.DIST(_xlfn.NORM.INV(SUM(E10:E11), 0, 1) + 1, 0, 1, TRUE) - SUM(E10:E11), "")</f>
        <v>0.25021563700394839</v>
      </c>
      <c r="F9" s="52">
        <f>IFERROR(_xlfn.NORM.DIST(_xlfn.NORM.INV(SUM(F10:F11), 0, 1) + 1, 0, 1, TRUE) - SUM(F10:F11), "")</f>
        <v>0.18116403181922625</v>
      </c>
      <c r="G9" s="52">
        <f>IFERROR(_xlfn.NORM.DIST(_xlfn.NORM.INV(SUM(G10:G11), 0, 1) + 1, 0, 1, TRUE) - SUM(G10:G11), "")</f>
        <v>0.18143517200734749</v>
      </c>
    </row>
    <row r="10" spans="1:15" ht="15.75" customHeight="1" x14ac:dyDescent="0.25">
      <c r="B10" s="5" t="s">
        <v>137</v>
      </c>
      <c r="C10" s="45">
        <v>3.7755499999999997E-2</v>
      </c>
      <c r="D10" s="53">
        <v>3.7755499999999997E-2</v>
      </c>
      <c r="E10" s="53">
        <v>5.1403200000000003E-2</v>
      </c>
      <c r="F10" s="53">
        <v>3.3150300000000001E-2</v>
      </c>
      <c r="G10" s="53">
        <v>3.0782299999999999E-2</v>
      </c>
    </row>
    <row r="11" spans="1:15" ht="15.75" customHeight="1" x14ac:dyDescent="0.25">
      <c r="B11" s="5" t="s">
        <v>138</v>
      </c>
      <c r="C11" s="45">
        <v>4.2921300000000003E-2</v>
      </c>
      <c r="D11" s="53">
        <v>4.2921300000000003E-2</v>
      </c>
      <c r="E11" s="53">
        <v>2.0495599999999999E-2</v>
      </c>
      <c r="F11" s="53">
        <v>4.7765999999999998E-3</v>
      </c>
      <c r="G11" s="53">
        <v>7.2497999999999998E-3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0.58198644774999997</v>
      </c>
      <c r="D14" s="54">
        <v>0.553427985096</v>
      </c>
      <c r="E14" s="54">
        <v>0.553427985096</v>
      </c>
      <c r="F14" s="54">
        <v>0.36485581126</v>
      </c>
      <c r="G14" s="54">
        <v>0.36485581126</v>
      </c>
      <c r="H14" s="45">
        <v>0.39</v>
      </c>
      <c r="I14" s="55">
        <v>0.39</v>
      </c>
      <c r="J14" s="55">
        <v>0.39</v>
      </c>
      <c r="K14" s="55">
        <v>0.39</v>
      </c>
      <c r="L14" s="45">
        <v>0.30599999999999999</v>
      </c>
      <c r="M14" s="55">
        <v>0.30599999999999999</v>
      </c>
      <c r="N14" s="55">
        <v>0.30599999999999999</v>
      </c>
      <c r="O14" s="55">
        <v>0.30599999999999999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0.28106744500862374</v>
      </c>
      <c r="D15" s="52">
        <f t="shared" si="0"/>
        <v>0.26727527826218772</v>
      </c>
      <c r="E15" s="52">
        <f t="shared" si="0"/>
        <v>0.26727527826218772</v>
      </c>
      <c r="F15" s="52">
        <f t="shared" si="0"/>
        <v>0.17620528976896072</v>
      </c>
      <c r="G15" s="52">
        <f t="shared" si="0"/>
        <v>0.17620528976896072</v>
      </c>
      <c r="H15" s="52">
        <f t="shared" si="0"/>
        <v>0.18834855</v>
      </c>
      <c r="I15" s="52">
        <f t="shared" si="0"/>
        <v>0.18834855</v>
      </c>
      <c r="J15" s="52">
        <f t="shared" si="0"/>
        <v>0.18834855</v>
      </c>
      <c r="K15" s="52">
        <f t="shared" si="0"/>
        <v>0.18834855</v>
      </c>
      <c r="L15" s="52">
        <f t="shared" si="0"/>
        <v>0.14778116999999999</v>
      </c>
      <c r="M15" s="52">
        <f t="shared" si="0"/>
        <v>0.14778116999999999</v>
      </c>
      <c r="N15" s="52">
        <f t="shared" si="0"/>
        <v>0.14778116999999999</v>
      </c>
      <c r="O15" s="52">
        <f t="shared" si="0"/>
        <v>0.14778116999999999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Om/t3wAzgUkKdCjoyJsGsjHY5pBjI6AKq+an3zRMVyw3H2VrYZNrEV8IjWwQ+vIcEVW+xLZLEoJrdm0xq1jHWA==" saltValue="UMflgwnxjvYUTKE6AAYhi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0.63254330000000003</v>
      </c>
      <c r="D2" s="53">
        <v>0.39031369999999999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5.8057499999999998E-2</v>
      </c>
      <c r="D3" s="53">
        <v>0.14022200000000001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0.2716944</v>
      </c>
      <c r="D4" s="53">
        <v>0.33379629999999999</v>
      </c>
      <c r="E4" s="53">
        <v>0.65952209999999989</v>
      </c>
      <c r="F4" s="53">
        <v>0.45808939999999998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3.7704799999999983E-2</v>
      </c>
      <c r="D5" s="52">
        <f t="shared" si="0"/>
        <v>0.13566800000000012</v>
      </c>
      <c r="E5" s="52">
        <f>1-SUM(E2:E4)</f>
        <v>0.34047790000000011</v>
      </c>
      <c r="F5" s="52">
        <f>1-SUM(F2:F4)</f>
        <v>0.54191060000000002</v>
      </c>
      <c r="G5" s="52">
        <f>1-SUM(G2:G4)</f>
        <v>1</v>
      </c>
    </row>
  </sheetData>
  <sheetProtection algorithmName="SHA-512" hashValue="VKb2PK30T4aBPptFtDBp7tSwCyknPTDowBYSZWtm4tyAZJVbzUzg38GPOuOqaC+rFJVJsSTtcrnLD5SLDlsprg==" saltValue="pUHW/qjNB7UvNEr5nEFct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cNJ6X3ZKMxWwUSZNYnJphB7fKxd4VIKhTIeQUXx6pcfXqHrgN2Ferzqf5mQ+APCVyFss2p32iWTfPeHMaCV6pw==" saltValue="0sRI18EehXG2n0cNbvZ8o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5356.1643962161397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0.42786000000000002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0.41177000000000002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1.4429131031442666E-2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97373.863949999999</v>
      </c>
      <c r="C22" s="107">
        <v>97174.923139999999</v>
      </c>
      <c r="D22" s="107">
        <v>96905.765599999999</v>
      </c>
      <c r="E22" s="107">
        <v>96461.746320000006</v>
      </c>
      <c r="F22" s="107">
        <v>95834.592480000007</v>
      </c>
      <c r="G22" s="107">
        <v>95118.355790000001</v>
      </c>
      <c r="H22" s="107">
        <v>94265.49467</v>
      </c>
      <c r="I22" s="107">
        <v>92979.624660000001</v>
      </c>
      <c r="J22" s="107">
        <v>91029.706779999993</v>
      </c>
      <c r="K22" s="107">
        <v>87851.51281</v>
      </c>
      <c r="L22" s="107">
        <v>82831.043160000001</v>
      </c>
      <c r="M22" s="107">
        <v>75878.492119999995</v>
      </c>
      <c r="N22" s="107">
        <v>66148.162830000001</v>
      </c>
      <c r="O22" s="107">
        <v>54672.913780000003</v>
      </c>
    </row>
  </sheetData>
  <sheetProtection algorithmName="SHA-512" hashValue="DLRDHVpVi3I+taOMwuG9oit/m3ZuvFshu/AXrGwZrZwxz6vgksUCwWpyWSfgZotS7Gab5Jbgdcsg64lllyacPA==" saltValue="36jwn23vn4c/6Y2MULvHX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Vm0th9Ec2yhdayetgcadV5xfNPBqfSC/zogInUDQMXEqISaWMk5vkHbnbWY0Ejwrub5lj/lmsIXuBVmvH0a6gQ==" saltValue="wf5XWNl2UMwNPUZQvjgLe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82roOt3uuyIEPOy3vwpsYG5FGzUfsUhY/OHk73pv1ByQcIa1nBA8UB3eKl3XVqPvj8T2EMFnjfER7TwOFz/d4Q==" saltValue="vMejcFo3di+UcRRq+L47R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23.27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23.27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0.81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2.3575314448863529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1.81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0.5</v>
      </c>
      <c r="C9" s="96">
        <v>0.95</v>
      </c>
      <c r="D9" s="56">
        <v>0.33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0.29817860000000002</v>
      </c>
      <c r="C10" s="96">
        <v>0.95</v>
      </c>
      <c r="D10" s="56">
        <v>13.16818429949879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13.16818429949879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13.16818429949879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13.16818429949879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0.29817860000000002</v>
      </c>
      <c r="C14" s="96">
        <v>0.95</v>
      </c>
      <c r="D14" s="56">
        <v>13.16818429949879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13.16818429949879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</v>
      </c>
      <c r="C16" s="96">
        <v>0.95</v>
      </c>
      <c r="D16" s="56">
        <v>1.57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0.5554</v>
      </c>
      <c r="C17" s="96">
        <v>0.95</v>
      </c>
      <c r="D17" s="56">
        <v>0.1369044839662158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0.39031369999999999</v>
      </c>
      <c r="C18" s="96">
        <v>0.95</v>
      </c>
      <c r="D18" s="56">
        <v>8.08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0.39031369999999999</v>
      </c>
      <c r="C19" s="96">
        <v>0.95</v>
      </c>
      <c r="D19" s="56">
        <v>12.03223213704624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8.32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0.81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</v>
      </c>
      <c r="C23" s="96">
        <v>0.95</v>
      </c>
      <c r="D23" s="56">
        <v>4.3768406970404801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0.71283421503765998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0.29817860000000002</v>
      </c>
      <c r="C26" s="96">
        <v>0.95</v>
      </c>
      <c r="D26" s="56">
        <v>8.469314227226203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14.96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0.53874940000000004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0.54248930000000006</v>
      </c>
      <c r="C29" s="96">
        <v>0.95</v>
      </c>
      <c r="D29" s="56">
        <v>129.5082053629678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118.84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</v>
      </c>
      <c r="C32" s="96">
        <v>0.95</v>
      </c>
      <c r="D32" s="56">
        <v>0.69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0.86528440000000006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0.119801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5.2214799999999999E-2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0.89245750000000001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0.1946205</v>
      </c>
      <c r="C38" s="96">
        <v>0.95</v>
      </c>
      <c r="D38" s="56">
        <v>3.45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3.07</v>
      </c>
      <c r="E39" s="56" t="s">
        <v>230</v>
      </c>
      <c r="F39" s="96">
        <v>1</v>
      </c>
      <c r="G39" s="96">
        <v>1</v>
      </c>
    </row>
  </sheetData>
  <sheetProtection algorithmName="SHA-512" hashValue="T+PSRQNke4BZhBztfNEs5UpUJWwhrTVjywjGnSS1Lj7hYqQIhRQVnqOqvqsiSavn3WyboS2fb/cOjYdBvm5ClQ==" saltValue="HzFfG86E9PW8/o94fiTTd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G9Iz1cK/3bftt3X7RlLwFdtPklgPX9Sub8dc7pR69UQpq0EJwj2Kkhr7rYNjKihVlwdqE9lEkvTi5HSU9Q4o3g==" saltValue="hpbxUhD3Xf+D6cwFHWgsP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P8+ji4lDV0Ka8AlR/QUsSa7KCK70ngPlie6V0oriJi9vJR5OEI9gBMkajk5zE6YqB03LGwty9YD6CzyC5Nd0lw==" saltValue="XD4kAVQmFW0G0CZZ7FCHa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2.2000000000000002</v>
      </c>
      <c r="C2" s="21">
        <f>'Données pop de l''année de ref'!C52</f>
        <v>2.2000000000000002</v>
      </c>
      <c r="D2" s="21">
        <f>'Données pop de l''année de ref'!C53</f>
        <v>2.2000000000000002</v>
      </c>
      <c r="E2" s="21">
        <f>'Données pop de l''année de ref'!C54</f>
        <v>2.2000000000000002</v>
      </c>
      <c r="F2" s="21">
        <f>'Données pop de l''année de ref'!C55</f>
        <v>2.2000000000000002</v>
      </c>
    </row>
    <row r="3" spans="1:6" ht="15.75" customHeight="1" x14ac:dyDescent="0.25">
      <c r="A3" s="3" t="s">
        <v>238</v>
      </c>
      <c r="B3" s="21">
        <f>frac_mam_1month * 2.6</f>
        <v>9.8164299999999996E-2</v>
      </c>
      <c r="C3" s="21">
        <f>frac_mam_1_5months * 2.6</f>
        <v>9.8164299999999996E-2</v>
      </c>
      <c r="D3" s="21">
        <f>frac_mam_6_11months * 2.6</f>
        <v>0.13364832000000001</v>
      </c>
      <c r="E3" s="21">
        <f>frac_mam_12_23months * 2.6</f>
        <v>8.6190780000000008E-2</v>
      </c>
      <c r="F3" s="21">
        <f>frac_mam_24_59months * 2.6</f>
        <v>8.0033980000000005E-2</v>
      </c>
    </row>
    <row r="4" spans="1:6" ht="15.75" customHeight="1" x14ac:dyDescent="0.25">
      <c r="A4" s="3" t="s">
        <v>237</v>
      </c>
      <c r="B4" s="21">
        <f>frac_sam_1month * 2.6</f>
        <v>0.11159538000000001</v>
      </c>
      <c r="C4" s="21">
        <f>frac_sam_1_5months * 2.6</f>
        <v>0.11159538000000001</v>
      </c>
      <c r="D4" s="21">
        <f>frac_sam_6_11months * 2.6</f>
        <v>5.3288559999999999E-2</v>
      </c>
      <c r="E4" s="21">
        <f>frac_sam_12_23months * 2.6</f>
        <v>1.241916E-2</v>
      </c>
      <c r="F4" s="21">
        <f>frac_sam_24_59months * 2.6</f>
        <v>1.8849480000000002E-2</v>
      </c>
    </row>
  </sheetData>
  <sheetProtection algorithmName="SHA-512" hashValue="U5qUu+/P35gbvGigmPJ9W44ualX4mET8h84urcXZZQFvriKOfGyONIkKlRZd0xuJ4X/uq0Tnz0v08rcDy0RxVA==" saltValue="/ttELN103RYH5Ks+FXmpN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1.4E-2</v>
      </c>
      <c r="F2" s="60">
        <f>food_insecure</f>
        <v>1.4E-2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1.4E-2</v>
      </c>
      <c r="F5" s="60">
        <f>food_insecure</f>
        <v>1.4E-2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1.4E-2</v>
      </c>
      <c r="F8" s="60">
        <f>food_insecure</f>
        <v>1.4E-2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1.4E-2</v>
      </c>
      <c r="F9" s="60">
        <f>food_insecure</f>
        <v>1.4E-2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1.4E-2</v>
      </c>
      <c r="I15" s="60">
        <f t="shared" si="0"/>
        <v>1.4E-2</v>
      </c>
      <c r="J15" s="60">
        <f t="shared" si="0"/>
        <v>1.4E-2</v>
      </c>
      <c r="K15" s="60">
        <f t="shared" si="0"/>
        <v>1.4E-2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1.4E-2</v>
      </c>
      <c r="I16" s="60">
        <f t="shared" si="0"/>
        <v>1.4E-2</v>
      </c>
      <c r="J16" s="60">
        <f t="shared" si="0"/>
        <v>1.4E-2</v>
      </c>
      <c r="K16" s="60">
        <f t="shared" si="0"/>
        <v>1.4E-2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0.10299999999999999</v>
      </c>
      <c r="M24" s="60">
        <f>famplan_unmet_need</f>
        <v>0.10299999999999999</v>
      </c>
      <c r="N24" s="60">
        <f>famplan_unmet_need</f>
        <v>0.10299999999999999</v>
      </c>
      <c r="O24" s="60">
        <f>famplan_unmet_need</f>
        <v>0.10299999999999999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5.9244940426635952E-2</v>
      </c>
      <c r="M25" s="60">
        <f>(1-food_insecure)*(0.49)+food_insecure*(0.7)</f>
        <v>0.49293999999999993</v>
      </c>
      <c r="N25" s="60">
        <f>(1-food_insecure)*(0.49)+food_insecure*(0.7)</f>
        <v>0.49293999999999993</v>
      </c>
      <c r="O25" s="60">
        <f>(1-food_insecure)*(0.49)+food_insecure*(0.7)</f>
        <v>0.49293999999999993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2.5390688754272556E-2</v>
      </c>
      <c r="M26" s="60">
        <f>(1-food_insecure)*(0.21)+food_insecure*(0.3)</f>
        <v>0.21126</v>
      </c>
      <c r="N26" s="60">
        <f>(1-food_insecure)*(0.21)+food_insecure*(0.3)</f>
        <v>0.21126</v>
      </c>
      <c r="O26" s="60">
        <f>(1-food_insecure)*(0.21)+food_insecure*(0.3)</f>
        <v>0.21126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3.555129098510755E-2</v>
      </c>
      <c r="M27" s="60">
        <f>(1-food_insecure)*(0.3)</f>
        <v>0.29580000000000001</v>
      </c>
      <c r="N27" s="60">
        <f>(1-food_insecure)*(0.3)</f>
        <v>0.29580000000000001</v>
      </c>
      <c r="O27" s="60">
        <f>(1-food_insecure)*(0.3)</f>
        <v>0.29580000000000001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0.87981307983398394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+CK9H6mfm8/3411gMSgK6ifdIjEpjSHHUUhqadapzb7v9lH1IhSu6GRxwV6GqLP+AFXR8dqBKjGV2vDnEy+14g==" saltValue="heAPyDP2fRq0FlxS9kXmD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rxaMsIoKYt81urA0XBVHLXpCsf6LrnRBsPhcM2EWgHjGb7E9cE5qZckIg/kwN297dTcUQzNkKpcsnFMZMaAccA==" saltValue="wgHUpmgXwGrsvlJrXoDVB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XDE4YlO7RHnzmnBS1xPELHYru/QgCasJ6MVCT45e/GdrUuNd/wSZ1j58KvAg9wamT+/JZuiSzrjxLqwabCCc9g==" saltValue="HCA1IpR8aEhNJr+SZzl2g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wqBvdWiLaViSmG7otKGFWqEC/RPGxhoQ1L22lcGNlM7gKg/j7DbQeEhmigVNeac6z4MN0pMFzFI4SyGeplaHKg==" saltValue="WjS0/1eRyl4LKdDueKudz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tehLkpBmrYzlImdgVhgPf3+YGB1PNbqJzfh41yow/Z2iqyczlTQw8cMjnegTDhZek7wzr19h/A/eRO9GQ8oeIg==" saltValue="6n7acNQtuZ+03icgxDUw1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poRyqqAAaIgUuGwVHQf3QhCTNW9lrAio+5gDTJCpxIpVWns8FbbQvEahUm6ez/mUAPLHz3Ci1RjjUujS8WDSGw==" saltValue="RSOOYRRp5xSZyCcmnsb4u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Sd7hts2rR37Q0nb+qOz4G7XhvvABIUyn7aW3OBoz0uV4pvhrFoB6MPxg8SAzOFSQQCpDjJmE8LEpZJL1Pbkqjw==" saltValue="sbm7BlRzFs/ih13XFC5aCQ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GGBobtZEUul/PuzRqGhYPfXfohiKilb33L2yg/r+E4ebrqoVgh59pDztsfcUaIATYBvGQUyqoZaZUiX5HTzXSg==" saltValue="jY3JJIiLSAGgN+VphuyFB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D0GXFt0nqSAGuCqSADR19EhLpOjwo7vHegHtM8Mtjx6AWuYY0VfI3kfMvPVCt9/FtZpatZiOkWFXhO0MQBt8hQ==" saltValue="u2H3npZbflK+K1Jcn5Q0+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yvpk52zmas7YyU8yr8SmZhvvzZJCuYOviUP71Cj4BAd2ZCtmIybN7JrB1/6TVUhPXrtgrRdIfFo8sIW0VlZBSA==" saltValue="atxF+yIVHQSzQU1XRvD+V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5wNK6c9pkpSQsKtSoQGGtW8ED+gMp13ZvkMmurGGyi0gLLvb+ephBDKcIkxWna6uOK6noEAObrmYTm0N+3pXIg==" saltValue="Q+9eo2GFHSZFA3JpyZQB/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kd0hOeN/jhmAl9xzbCeYhUnLNtsIwWNKFadbg2/NECwDlCRoVWe/0tlx/lGOI5yyCYMo774V4BAzm5D966Y/eA==" saltValue="25LMAG0glX7ihqtJzexbG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bX2YDwczQx2q9z1xLI5Z0s3lZrw5vMuWEdLrQ7Fo3wu2sLhUXzIHFyiw1g9/EdqZ2KzNpXb7og/iBENlW365PA==" saltValue="A8XBwXJtbqE+1D6wuOvAI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909/fownvjCwotzZ72uSPpK8pgUzwv/MB3r5Z+oAuBIdFi7sQMvTVShmiHiuUdwZr9fxrbXNJl0PAxJUcCgNVQ==" saltValue="YSzQ38er0YXr9H8nz5TV3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eLpNQs5Smd5SPXaqK82XfGYrK3PeKWFMKLRuKSUj50fBB2p+v+tWEjk8Txs/CZz6RPEkfxrBdE3ctnX9kdtbvw==" saltValue="FesF55hpDTKvfIBa3FxYN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2026-04-29T05:34:25Z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