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3ED9272-ABB4-437B-A8FC-CA88F03451D0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2" i="2" l="1"/>
  <c r="A23" i="2"/>
  <c r="A37" i="2"/>
  <c r="A36" i="2"/>
  <c r="I4" i="2"/>
  <c r="I8" i="2"/>
  <c r="I12" i="2"/>
  <c r="A25" i="2"/>
  <c r="A26" i="2"/>
  <c r="I39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<sst xmlns="http://schemas.openxmlformats.org/spreadsheetml/2006/main" count="2169" uniqueCount="369">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</sst>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80996</v>
      </c>
    </row>
    <row r="8" spans="1:3" ht="15" customHeight="1" x14ac:dyDescent="0.25">
      <c r="B8" s="5" t="s">
        <v>37</v>
      </c>
      <c r="C8" s="44">
        <v>1.4E-2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0.87981307983398394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0.1032</v>
      </c>
    </row>
    <row r="24" spans="1:3" ht="15" customHeight="1" x14ac:dyDescent="0.25">
      <c r="B24" s="15" t="s">
        <v>51</v>
      </c>
      <c r="C24" s="45">
        <v>0.55130000000000001</v>
      </c>
    </row>
    <row r="25" spans="1:3" ht="15" customHeight="1" x14ac:dyDescent="0.25">
      <c r="B25" s="15" t="s">
        <v>52</v>
      </c>
      <c r="C25" s="45">
        <v>0.28949999999999998</v>
      </c>
    </row>
    <row r="26" spans="1:3" ht="15" customHeight="1" x14ac:dyDescent="0.25">
      <c r="B26" s="15" t="s">
        <v>53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7">
        <v>2.3858720907234902E-2</v>
      </c>
    </row>
    <row r="31" spans="1:3" ht="14.25" customHeight="1" x14ac:dyDescent="0.25">
      <c r="B31" s="25" t="s">
        <v>57</v>
      </c>
      <c r="C31" s="97">
        <v>3.4342930038455802E-2</v>
      </c>
    </row>
    <row r="32" spans="1:3" ht="14.25" customHeight="1" x14ac:dyDescent="0.25">
      <c r="B32" s="25" t="s">
        <v>58</v>
      </c>
      <c r="C32" s="97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13.74817</v>
      </c>
    </row>
    <row r="38" spans="1:5" ht="15" customHeight="1" x14ac:dyDescent="0.25">
      <c r="B38" s="11" t="s">
        <v>63</v>
      </c>
      <c r="C38" s="43">
        <v>23.256340000000002</v>
      </c>
      <c r="D38" s="12"/>
      <c r="E38" s="13"/>
    </row>
    <row r="39" spans="1:5" ht="15" customHeight="1" x14ac:dyDescent="0.25">
      <c r="B39" s="11" t="s">
        <v>64</v>
      </c>
      <c r="C39" s="43">
        <v>27.726030000000002</v>
      </c>
      <c r="D39" s="12"/>
      <c r="E39" s="12"/>
    </row>
    <row r="40" spans="1:5" ht="15" customHeight="1" x14ac:dyDescent="0.25">
      <c r="B40" s="11" t="s">
        <v>65</v>
      </c>
      <c r="C40" s="98">
        <v>0.38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6.1751000000000002E-3</v>
      </c>
      <c r="D45" s="12"/>
    </row>
    <row r="46" spans="1:5" ht="15.75" customHeight="1" x14ac:dyDescent="0.25">
      <c r="B46" s="11" t="s">
        <v>70</v>
      </c>
      <c r="C46" s="45">
        <v>6.6350900000000004E-2</v>
      </c>
      <c r="D46" s="12"/>
    </row>
    <row r="47" spans="1:5" ht="15.75" customHeight="1" x14ac:dyDescent="0.25">
      <c r="B47" s="11" t="s">
        <v>71</v>
      </c>
      <c r="C47" s="45">
        <v>7.5128899999999998E-2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2.2000000000000002</v>
      </c>
      <c r="D51" s="12"/>
    </row>
    <row r="52" spans="1:4" ht="15" customHeight="1" x14ac:dyDescent="0.25">
      <c r="B52" s="11" t="s">
        <v>75</v>
      </c>
      <c r="C52" s="98">
        <v>2.2000000000000002</v>
      </c>
    </row>
    <row r="53" spans="1:4" ht="15.75" customHeight="1" x14ac:dyDescent="0.25">
      <c r="B53" s="11" t="s">
        <v>76</v>
      </c>
      <c r="C53" s="98">
        <v>2.2000000000000002</v>
      </c>
    </row>
    <row r="54" spans="1:4" ht="15.75" customHeight="1" x14ac:dyDescent="0.25">
      <c r="B54" s="11" t="s">
        <v>77</v>
      </c>
      <c r="C54" s="98">
        <v>2.2000000000000002</v>
      </c>
    </row>
    <row r="55" spans="1:4" ht="15.75" customHeight="1" x14ac:dyDescent="0.25">
      <c r="B55" s="11" t="s">
        <v>78</v>
      </c>
      <c r="C55" s="98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0.48294500000000001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MIT95m8fozdz/nxnrSwp/CzJnhnWeT9x1bC2mU5Y9vXL7MZHV6N4HFgQTrJuIvyaRA0R/6Lm3ogwANvUolBIQ==" saltValue="sH2o4WEkkn9NQbp8XBqJ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16592</v>
      </c>
      <c r="C2" s="49">
        <v>41215</v>
      </c>
      <c r="D2" s="49">
        <v>74107.5</v>
      </c>
      <c r="E2" s="49">
        <v>70502.000000000015</v>
      </c>
      <c r="F2" s="49">
        <v>60400.999999999993</v>
      </c>
      <c r="G2" s="17">
        <f t="shared" ref="G2:G13" si="0">C2+D2+E2+F2</f>
        <v>246225.5</v>
      </c>
      <c r="H2" s="17">
        <f t="shared" ref="H2:H13" si="1">(B2 + stillbirth*B2/(1000-stillbirth))/(1-abortion)</f>
        <v>19028.444121962781</v>
      </c>
      <c r="I2" s="17">
        <f t="shared" ref="I2:I13" si="2">G2-H2</f>
        <v>227197.05587803721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16446</v>
      </c>
      <c r="C3" s="50">
        <v>41505</v>
      </c>
      <c r="D3" s="50">
        <v>74125</v>
      </c>
      <c r="E3" s="50">
        <v>70475</v>
      </c>
      <c r="F3" s="50">
        <v>62099.999999999993</v>
      </c>
      <c r="G3" s="17">
        <f t="shared" si="0"/>
        <v>248205</v>
      </c>
      <c r="H3" s="17">
        <f t="shared" si="1"/>
        <v>18861.004823396808</v>
      </c>
      <c r="I3" s="17">
        <f t="shared" si="2"/>
        <v>229343.9951766032</v>
      </c>
    </row>
    <row r="4" spans="1:9" ht="15.75" customHeight="1" x14ac:dyDescent="0.25">
      <c r="A4" s="5">
        <f t="shared" si="3"/>
        <v>2026</v>
      </c>
      <c r="B4" s="49">
        <v>16340</v>
      </c>
      <c r="C4" s="50">
        <v>41573.5</v>
      </c>
      <c r="D4" s="50">
        <v>74241.5</v>
      </c>
      <c r="E4" s="50">
        <v>70645.000000000015</v>
      </c>
      <c r="F4" s="50">
        <v>63284.499999999993</v>
      </c>
      <c r="G4" s="17">
        <f t="shared" si="0"/>
        <v>249744.5</v>
      </c>
      <c r="H4" s="17">
        <f t="shared" si="1"/>
        <v>18739.439305259872</v>
      </c>
      <c r="I4" s="17">
        <f t="shared" si="2"/>
        <v>231005.06069474012</v>
      </c>
    </row>
    <row r="5" spans="1:9" ht="15.75" customHeight="1" x14ac:dyDescent="0.25">
      <c r="A5" s="5">
        <f t="shared" si="3"/>
        <v>2027</v>
      </c>
      <c r="B5" s="49">
        <v>16245.000000000002</v>
      </c>
      <c r="C5" s="50">
        <v>41480</v>
      </c>
      <c r="D5" s="50">
        <v>74599.5</v>
      </c>
      <c r="E5" s="50">
        <v>70770.5</v>
      </c>
      <c r="F5" s="50">
        <v>64207.499999999993</v>
      </c>
      <c r="G5" s="17">
        <f t="shared" si="0"/>
        <v>251057.5</v>
      </c>
      <c r="H5" s="17">
        <f t="shared" si="1"/>
        <v>18630.48907674092</v>
      </c>
      <c r="I5" s="17">
        <f t="shared" si="2"/>
        <v>232427.01092325908</v>
      </c>
    </row>
    <row r="6" spans="1:9" ht="15.75" customHeight="1" x14ac:dyDescent="0.25">
      <c r="A6" s="5">
        <f t="shared" si="3"/>
        <v>2028</v>
      </c>
      <c r="B6" s="49">
        <v>16170.000000000002</v>
      </c>
      <c r="C6" s="50">
        <v>41428.5</v>
      </c>
      <c r="D6" s="50">
        <v>75186</v>
      </c>
      <c r="E6" s="50">
        <v>70709.499999999985</v>
      </c>
      <c r="F6" s="50">
        <v>64982.5</v>
      </c>
      <c r="G6" s="17">
        <f t="shared" si="0"/>
        <v>252306.5</v>
      </c>
      <c r="H6" s="17">
        <f t="shared" si="1"/>
        <v>18544.475738436486</v>
      </c>
      <c r="I6" s="17">
        <f t="shared" si="2"/>
        <v>233762.02426156352</v>
      </c>
    </row>
    <row r="7" spans="1:9" ht="15.75" customHeight="1" x14ac:dyDescent="0.25">
      <c r="A7" s="5">
        <f t="shared" si="3"/>
        <v>2029</v>
      </c>
      <c r="B7" s="49">
        <v>16094.999999999998</v>
      </c>
      <c r="C7" s="50">
        <v>41487</v>
      </c>
      <c r="D7" s="50">
        <v>75852</v>
      </c>
      <c r="E7" s="50">
        <v>70496.000000000015</v>
      </c>
      <c r="F7" s="50">
        <v>65595</v>
      </c>
      <c r="G7" s="17">
        <f t="shared" si="0"/>
        <v>253430</v>
      </c>
      <c r="H7" s="17">
        <f t="shared" si="1"/>
        <v>18458.462400132044</v>
      </c>
      <c r="I7" s="17">
        <f t="shared" si="2"/>
        <v>234971.53759986797</v>
      </c>
    </row>
    <row r="8" spans="1:9" ht="15.75" customHeight="1" x14ac:dyDescent="0.25">
      <c r="A8" s="5">
        <f t="shared" si="3"/>
        <v>2030</v>
      </c>
      <c r="B8" s="49">
        <v>16024.999999999998</v>
      </c>
      <c r="C8" s="50">
        <v>41607.5</v>
      </c>
      <c r="D8" s="50">
        <v>76562</v>
      </c>
      <c r="E8" s="50">
        <v>70139.000000000015</v>
      </c>
      <c r="F8" s="50">
        <v>66107</v>
      </c>
      <c r="G8" s="17">
        <f t="shared" si="0"/>
        <v>254415.5</v>
      </c>
      <c r="H8" s="17">
        <f t="shared" si="1"/>
        <v>18378.183284381237</v>
      </c>
      <c r="I8" s="17">
        <f t="shared" si="2"/>
        <v>236037.31671561877</v>
      </c>
    </row>
    <row r="9" spans="1:9" ht="15.75" customHeight="1" x14ac:dyDescent="0.25">
      <c r="A9" s="5">
        <f t="shared" si="3"/>
        <v>2031</v>
      </c>
      <c r="B9" s="49">
        <v>15955</v>
      </c>
      <c r="C9" s="50">
        <v>41732</v>
      </c>
      <c r="D9" s="50">
        <v>77185</v>
      </c>
      <c r="E9" s="50">
        <v>69716</v>
      </c>
      <c r="F9" s="50">
        <v>66513.5</v>
      </c>
      <c r="G9" s="17">
        <f t="shared" si="0"/>
        <v>255146.5</v>
      </c>
      <c r="H9" s="17">
        <f t="shared" si="1"/>
        <v>18297.904168630434</v>
      </c>
      <c r="I9" s="17">
        <f t="shared" si="2"/>
        <v>236848.59583136957</v>
      </c>
    </row>
    <row r="10" spans="1:9" ht="15.75" customHeight="1" x14ac:dyDescent="0.25">
      <c r="A10" s="5">
        <f t="shared" si="3"/>
        <v>2032</v>
      </c>
      <c r="B10" s="49">
        <v>15892</v>
      </c>
      <c r="C10" s="50">
        <v>41718.5</v>
      </c>
      <c r="D10" s="50">
        <v>77694.5</v>
      </c>
      <c r="E10" s="50">
        <v>69388</v>
      </c>
      <c r="F10" s="50">
        <v>66759</v>
      </c>
      <c r="G10" s="17">
        <f t="shared" si="0"/>
        <v>255560</v>
      </c>
      <c r="H10" s="17">
        <f t="shared" si="1"/>
        <v>18225.652964454704</v>
      </c>
      <c r="I10" s="17">
        <f t="shared" si="2"/>
        <v>237334.3470355453</v>
      </c>
    </row>
    <row r="11" spans="1:9" ht="15.75" customHeight="1" x14ac:dyDescent="0.25">
      <c r="A11" s="5">
        <f t="shared" si="3"/>
        <v>2033</v>
      </c>
      <c r="B11" s="49">
        <v>15826</v>
      </c>
      <c r="C11" s="50">
        <v>41454.5</v>
      </c>
      <c r="D11" s="50">
        <v>78205.5</v>
      </c>
      <c r="E11" s="50">
        <v>69214.5</v>
      </c>
      <c r="F11" s="50">
        <v>66826</v>
      </c>
      <c r="G11" s="17">
        <f t="shared" si="0"/>
        <v>255700.5</v>
      </c>
      <c r="H11" s="17">
        <f t="shared" si="1"/>
        <v>18149.9612267468</v>
      </c>
      <c r="I11" s="17">
        <f t="shared" si="2"/>
        <v>237550.53877325321</v>
      </c>
    </row>
    <row r="12" spans="1:9" ht="15.75" customHeight="1" x14ac:dyDescent="0.25">
      <c r="A12" s="5">
        <f t="shared" si="3"/>
        <v>2034</v>
      </c>
      <c r="B12" s="49">
        <v>15772</v>
      </c>
      <c r="C12" s="50">
        <v>40973.5</v>
      </c>
      <c r="D12" s="50">
        <v>78713</v>
      </c>
      <c r="E12" s="50">
        <v>69179</v>
      </c>
      <c r="F12" s="50">
        <v>66759.999999999985</v>
      </c>
      <c r="G12" s="17">
        <f t="shared" si="0"/>
        <v>255625.5</v>
      </c>
      <c r="H12" s="17">
        <f t="shared" si="1"/>
        <v>18088.031623167608</v>
      </c>
      <c r="I12" s="17">
        <f t="shared" si="2"/>
        <v>237537.4683768324</v>
      </c>
    </row>
    <row r="13" spans="1:9" ht="15.75" customHeight="1" x14ac:dyDescent="0.25">
      <c r="A13" s="5">
        <f t="shared" si="3"/>
        <v>2035</v>
      </c>
      <c r="B13" s="49">
        <v>15710</v>
      </c>
      <c r="C13" s="50">
        <v>40336</v>
      </c>
      <c r="D13" s="50">
        <v>79141.500000000015</v>
      </c>
      <c r="E13" s="50">
        <v>69251</v>
      </c>
      <c r="F13" s="50">
        <v>66785</v>
      </c>
      <c r="G13" s="17">
        <f t="shared" si="0"/>
        <v>255513.5</v>
      </c>
      <c r="H13" s="17">
        <f t="shared" si="1"/>
        <v>18016.927263502606</v>
      </c>
      <c r="I13" s="17">
        <f t="shared" si="2"/>
        <v>237496.57273649739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FFWAb9f4cROIRhEQG28A4Z8H42zZPIuUxLm91TeYiEwtOsdk1yr4l7/6iFEvSoA8mxL/7MKGRkBOdCT1FBWaKg==" saltValue="ODkcfZ1aYdeZfVFWf0dXd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3.9490007898001562E-4</v>
      </c>
    </row>
    <row r="4" spans="1:8" ht="15.75" customHeight="1" x14ac:dyDescent="0.25">
      <c r="B4" s="19" t="s">
        <v>97</v>
      </c>
      <c r="C4" s="99">
        <v>6.7987713597542757E-2</v>
      </c>
    </row>
    <row r="5" spans="1:8" ht="15.75" customHeight="1" x14ac:dyDescent="0.25">
      <c r="B5" s="19" t="s">
        <v>98</v>
      </c>
      <c r="C5" s="99">
        <v>4.5168509033701752E-2</v>
      </c>
    </row>
    <row r="6" spans="1:8" ht="15.75" customHeight="1" x14ac:dyDescent="0.25">
      <c r="B6" s="19" t="s">
        <v>99</v>
      </c>
      <c r="C6" s="99">
        <v>0.16706933341386659</v>
      </c>
    </row>
    <row r="7" spans="1:8" ht="15.75" customHeight="1" x14ac:dyDescent="0.25">
      <c r="B7" s="19" t="s">
        <v>100</v>
      </c>
      <c r="C7" s="99">
        <v>0.42742528548505748</v>
      </c>
    </row>
    <row r="8" spans="1:8" ht="15.75" customHeight="1" x14ac:dyDescent="0.25">
      <c r="B8" s="19" t="s">
        <v>101</v>
      </c>
      <c r="C8" s="99">
        <v>4.3700008740001817E-5</v>
      </c>
    </row>
    <row r="9" spans="1:8" ht="15.75" customHeight="1" x14ac:dyDescent="0.25">
      <c r="B9" s="19" t="s">
        <v>102</v>
      </c>
      <c r="C9" s="99">
        <v>0.19184183836836749</v>
      </c>
    </row>
    <row r="10" spans="1:8" ht="15.75" customHeight="1" x14ac:dyDescent="0.25">
      <c r="B10" s="19" t="s">
        <v>103</v>
      </c>
      <c r="C10" s="99">
        <v>0.10006872001374389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106</v>
      </c>
      <c r="C15" s="99">
        <v>0.47128850428328262</v>
      </c>
      <c r="D15" s="99">
        <v>0.47128850428328262</v>
      </c>
      <c r="E15" s="99">
        <v>0.47128850428328262</v>
      </c>
      <c r="F15" s="99">
        <v>0.47128850428328262</v>
      </c>
    </row>
    <row r="16" spans="1:8" ht="15.75" customHeight="1" x14ac:dyDescent="0.25">
      <c r="B16" s="19" t="s">
        <v>107</v>
      </c>
      <c r="C16" s="99">
        <v>2.1451893525098679E-2</v>
      </c>
      <c r="D16" s="99">
        <v>2.1451893525098679E-2</v>
      </c>
      <c r="E16" s="99">
        <v>2.1451893525098679E-2</v>
      </c>
      <c r="F16" s="99">
        <v>2.1451893525098679E-2</v>
      </c>
    </row>
    <row r="17" spans="1:8" ht="15.75" customHeight="1" x14ac:dyDescent="0.25">
      <c r="B17" s="19" t="s">
        <v>108</v>
      </c>
      <c r="C17" s="99">
        <v>4.399615969642604E-3</v>
      </c>
      <c r="D17" s="99">
        <v>4.399615969642604E-3</v>
      </c>
      <c r="E17" s="99">
        <v>4.399615969642604E-3</v>
      </c>
      <c r="F17" s="99">
        <v>4.399615969642604E-3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8.5593931275366152E-3</v>
      </c>
      <c r="D19" s="99">
        <v>8.5593931275366152E-3</v>
      </c>
      <c r="E19" s="99">
        <v>8.5593931275366152E-3</v>
      </c>
      <c r="F19" s="99">
        <v>8.5593931275366152E-3</v>
      </c>
    </row>
    <row r="20" spans="1:8" ht="15.75" customHeight="1" x14ac:dyDescent="0.25">
      <c r="B20" s="19" t="s">
        <v>111</v>
      </c>
      <c r="C20" s="99">
        <v>2.388630710131014E-2</v>
      </c>
      <c r="D20" s="99">
        <v>2.388630710131014E-2</v>
      </c>
      <c r="E20" s="99">
        <v>2.388630710131014E-2</v>
      </c>
      <c r="F20" s="99">
        <v>2.388630710131014E-2</v>
      </c>
    </row>
    <row r="21" spans="1:8" ht="15.75" customHeight="1" x14ac:dyDescent="0.25">
      <c r="B21" s="19" t="s">
        <v>112</v>
      </c>
      <c r="C21" s="99">
        <v>0.32209522878253438</v>
      </c>
      <c r="D21" s="99">
        <v>0.32209522878253438</v>
      </c>
      <c r="E21" s="99">
        <v>0.32209522878253438</v>
      </c>
      <c r="F21" s="99">
        <v>0.32209522878253438</v>
      </c>
    </row>
    <row r="22" spans="1:8" ht="15.75" customHeight="1" x14ac:dyDescent="0.25">
      <c r="B22" s="19" t="s">
        <v>113</v>
      </c>
      <c r="C22" s="99">
        <v>5.8356508549871497E-2</v>
      </c>
      <c r="D22" s="99">
        <v>5.8356508549871497E-2</v>
      </c>
      <c r="E22" s="99">
        <v>5.8356508549871497E-2</v>
      </c>
      <c r="F22" s="99">
        <v>5.8356508549871497E-2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3.8186174000000003E-2</v>
      </c>
    </row>
    <row r="27" spans="1:8" ht="15.75" customHeight="1" x14ac:dyDescent="0.25">
      <c r="B27" s="19" t="s">
        <v>120</v>
      </c>
      <c r="C27" s="99">
        <v>3.5979345000000003E-2</v>
      </c>
    </row>
    <row r="28" spans="1:8" ht="15.75" customHeight="1" x14ac:dyDescent="0.25">
      <c r="B28" s="19" t="s">
        <v>121</v>
      </c>
      <c r="C28" s="99">
        <v>0.17918920699999999</v>
      </c>
    </row>
    <row r="29" spans="1:8" ht="15.75" customHeight="1" x14ac:dyDescent="0.25">
      <c r="B29" s="19" t="s">
        <v>122</v>
      </c>
      <c r="C29" s="99">
        <v>9.3383905000000003E-2</v>
      </c>
    </row>
    <row r="30" spans="1:8" ht="15.75" customHeight="1" x14ac:dyDescent="0.25">
      <c r="B30" s="19" t="s">
        <v>2</v>
      </c>
      <c r="C30" s="99">
        <v>4.2695289999999983E-2</v>
      </c>
    </row>
    <row r="31" spans="1:8" ht="15.75" customHeight="1" x14ac:dyDescent="0.25">
      <c r="B31" s="19" t="s">
        <v>123</v>
      </c>
      <c r="C31" s="99">
        <v>0.135273369</v>
      </c>
    </row>
    <row r="32" spans="1:8" ht="15.75" customHeight="1" x14ac:dyDescent="0.25">
      <c r="B32" s="19" t="s">
        <v>124</v>
      </c>
      <c r="C32" s="99">
        <v>0.18705686599999999</v>
      </c>
    </row>
    <row r="33" spans="2:3" ht="15.75" customHeight="1" x14ac:dyDescent="0.25">
      <c r="B33" s="19" t="s">
        <v>125</v>
      </c>
      <c r="C33" s="99">
        <v>0.13805392899999999</v>
      </c>
    </row>
    <row r="34" spans="2:3" ht="15.75" customHeight="1" x14ac:dyDescent="0.25">
      <c r="B34" s="19" t="s">
        <v>126</v>
      </c>
      <c r="C34" s="99">
        <v>0.150181916</v>
      </c>
    </row>
    <row r="35" spans="2:3" ht="15.75" customHeight="1" x14ac:dyDescent="0.25">
      <c r="B35" s="27" t="s">
        <v>59</v>
      </c>
      <c r="C35" s="48">
        <f>SUM(C26:C34)</f>
        <v>1.0000000009999999</v>
      </c>
    </row>
  </sheetData>
  <sheetProtection algorithmName="SHA-512" hashValue="KXivzNEiqztiuM2/ZHCeSmT2pZM4dQ0vTWwv4cNK9utfUnNEpPdKkn+U/5HtNfBoXgxNcceUyV3aVu/3xGVQtg==" saltValue="IHkmpAZmB5gf2+M+0D2Nj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132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133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137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138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5c6Ci92Jkvgn7MbyvEupUucJrrAIJ2ZDKZzQWrMg0w8+VsfEEkPp42szItQqnIO0E/dXfFLEgvqXUK2B+V8Afg==" saltValue="Cxdm2BEpirPv8r2NP4Dj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3.7704799999999983E-2</v>
      </c>
      <c r="D5" s="52">
        <f t="shared" si="0"/>
        <v>0.13566800000000012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yfvztGsacrb3iJwqAJlTlQ1w4dN+2yK0hdV+NbuecQ59F0SAw55MaLmkkuzsrXolJblLJQGRSOs1qPBgKSjWBQ==" saltValue="d/sJctF+nh3GglrlAM0WU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Uj7i87G7pvJKl5/cMGAzPO7EzjUmKEIfcXP+urOYIlHaBddDlKYvYcrY4DyFAinFavi3DItYFdk75mTms7Tgw==" saltValue="S7Z2d2g1omZl9Qq9jQJxZ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5356.1643962161397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0.42786000000000002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0.41177000000000002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1.4429131031442666E-2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97373.863949999999</v>
      </c>
      <c r="C22" s="107">
        <v>97174.923139999999</v>
      </c>
      <c r="D22" s="107">
        <v>96905.765599999999</v>
      </c>
      <c r="E22" s="107">
        <v>96461.746320000006</v>
      </c>
      <c r="F22" s="107">
        <v>95834.592480000007</v>
      </c>
      <c r="G22" s="107">
        <v>95118.355790000001</v>
      </c>
      <c r="H22" s="107">
        <v>94265.49467</v>
      </c>
      <c r="I22" s="107">
        <v>92979.624660000001</v>
      </c>
      <c r="J22" s="107">
        <v>91029.706779999993</v>
      </c>
      <c r="K22" s="107">
        <v>87851.51281</v>
      </c>
      <c r="L22" s="107">
        <v>82831.043160000001</v>
      </c>
      <c r="M22" s="107">
        <v>75878.492119999995</v>
      </c>
      <c r="N22" s="107">
        <v>66148.162830000001</v>
      </c>
      <c r="O22" s="107">
        <v>54672.913780000003</v>
      </c>
    </row>
  </sheetData>
  <sheetProtection algorithmName="SHA-512" hashValue="e6AFrWbA3Lu+DAcXXnG2qp7Y2CiUQX/vhOV63WmIE2bLsxORjzBgwNG98ohLw+83O6YGuQlsyYqIQpfwPY9grQ==" saltValue="5872y31Rr4Lw7DP9E1Sqk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Rozbj321avtBa8pKClk0tuJKbn4nbGsPQLklrF7i3qg17AiBbRtyc6cYfpwmUIFtJtdFAmf5owKhXEncmyyWcw==" saltValue="YyEtDWtGrY8ZFQly3cRJJ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fZQSXpfTK7RQR5WtWnSojAZ9FzEL32+hu4rv6p/7nrmhDwlZ6js+3LNts2iwvW2fwMZmyo/VdIf/VpjrH9KeRw==" saltValue="TgbPDCJ53kB5eijtTpXzj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23.27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23.27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2.3575314448863529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1.81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0.29817860000000002</v>
      </c>
      <c r="C10" s="96">
        <v>0.95</v>
      </c>
      <c r="D10" s="56">
        <v>13.16818429949879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13.16818429949879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13.16818429949879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13.16818429949879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0.29817860000000002</v>
      </c>
      <c r="C14" s="96">
        <v>0.95</v>
      </c>
      <c r="D14" s="56">
        <v>13.16818429949879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13.16818429949879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0.5554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0.39031369999999999</v>
      </c>
      <c r="C18" s="96">
        <v>0.95</v>
      </c>
      <c r="D18" s="56">
        <v>8.08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0.39031369999999999</v>
      </c>
      <c r="C19" s="96">
        <v>0.95</v>
      </c>
      <c r="D19" s="56">
        <v>12.03223213704624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4.3768406970404801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0.71283421503765998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0.29817860000000002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0.53874940000000004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0.54248930000000006</v>
      </c>
      <c r="C29" s="96">
        <v>0.95</v>
      </c>
      <c r="D29" s="56">
        <v>129.5082053629678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118.84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0.86528440000000006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0.119801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5.2214799999999999E-2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0.89245750000000001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0.1946205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tCGgrjZPo7nJRVNwQsjUGHFqyIN8uzSPe2hU9O2RhfePZnCuuZV9pHPHSInGVA+4e5w1q+RiyCJ+kaDcZQD6hA==" saltValue="t8AmhAR023bem2BMAHJq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C83GjDBFQL8ZCGeI2hWwMEsK1FffLXSUryO0Vqy/4Eu1BEtzC5X64Ali4L18TRTc/lRXXUq78I8jy3TKsCOJcg==" saltValue="E3HjjhibnQPAWbJ0erJx8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WIdJIBpRYskKM94mo6LHsYlO7Hp3M72bR2weOgaKG11DuCqlqgIOwKj8JZvP082lRmWet4sm0r4kB2hFcRXBRA==" saltValue="x4cKH0LwEaCLuMEBNp3Kq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237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sheetProtection algorithmName="SHA-512" hashValue="zY/jlBebl7Iy85/K6DnRIK6uWpoTaewjzprwjmSOUfZyUmDMENyYI5Nj3NVrjp4kNo3EO1rXXBmdvcvF7lPlAA==" saltValue="u2o3On0h3xSD61DfPXPmS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1.4E-2</v>
      </c>
      <c r="F2" s="60">
        <f>food_insecure</f>
        <v>1.4E-2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1.4E-2</v>
      </c>
      <c r="I15" s="60">
        <f t="shared" si="0"/>
        <v>1.4E-2</v>
      </c>
      <c r="J15" s="60">
        <f t="shared" si="0"/>
        <v>1.4E-2</v>
      </c>
      <c r="K15" s="60">
        <f t="shared" si="0"/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1.4E-2</v>
      </c>
      <c r="I16" s="60">
        <f t="shared" si="0"/>
        <v>1.4E-2</v>
      </c>
      <c r="J16" s="60">
        <f t="shared" si="0"/>
        <v>1.4E-2</v>
      </c>
      <c r="K16" s="60">
        <f t="shared" si="0"/>
        <v>1.4E-2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8Be8K1eJ/Ix4EibeUrysRoXq4fYprf8lHAHqNA0FRkTG07KK+Ecgu2cPY0sfXfv0sjNuL6fmLRRs+b5rkaLxw==" saltValue="5UBupLVdc9XHQ9zzohFZ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8FHNtpboz1PNLh3LgGr/qQYwLQsVvpjw/PKXQROMQjP934fkgN4VMnBksZNEM+o+vqp5WqA4DmAwmWwLk1sxCQ==" saltValue="DzoENgAbG897jldm46ah9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DFc8e29BT2zzw7OSrXdycnLfga1+q5Vq4Nxdpyw9HjS6n+NMbMwI9SIbRUltEiajr7RbLtW1pB7A4pkSjxjCw==" saltValue="vh8Gc3PbPjbR4/nk/QFKV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TlmooPuTQvqE6d6hru6f1wOTABEGYsEQco1QmW2uQEMNlqHwUnJqESqreyJGKx1PuAY7hd2OePhNWHQko9UsQ==" saltValue="aTZsePwMzy1kTLTYKm9B/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yM4EZ7Mn7aMyJkU8+wj663FesgsLOoAgnQZ2lJYN0G9wnANf8O7zZAyzQvgLPLFoTvQ1Qai/L4gR6JPZJjoGIg==" saltValue="/6sjxkU/C15T7QnABIi1l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pXRxpm8U/Dwqn1PV9sDNQtGvQhZItsUSLZUBNaGcaqZaMPr33NcOeW0f94zLS8mwV9SqRq8SEHauyJJNEbUMWQ==" saltValue="ojWedOv30adNK0hTX+KBN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HMDUr46eSKWTlcs05iWkt4A34NA9+rkrmnCN0RS5/eDFxOtz+eHMS5xJ++qenMfEwsAJ7CG1tCx5QqXjihLPQ==" saltValue="GAKzFOu/0mMC2QZNhFPCM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8KuyYxzQ4WQMUxwMoy1mfXRcXtHfmZTtPRqc8pLQPQIfZ4TLAKcSwOpOUlGpQIOIznFgiaft8Rr4E3Cf5NUXOw==" saltValue="GiR6mTu5jL+T54FUQHc+9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wXpkRWtD4mtQN4xHPJE6EUEIbnFYPRFwBNSRLqL0ooKYIsZejwhkktBWJ1YX0TGhQJyum2q1MbnVbZ6o29qk5Q==" saltValue="pAON4cGy0MoekEUiqDhK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+/uzAdaJHqfpC1gCmq2O7UcDjMWJ0CBocMlGw6//wH4OVhU1ucsj2thYDZcS+S2opRjyS0zpMdcaChutXL900A==" saltValue="yOMdNMmePGwBz5ztkuNz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+y9tQFqKQnS4X0IUIFLkT+Tma7kgrYhE7q7nwfyPjRlXKT+dvepUPVtoIqdeZaEwOjYpcHi40GMW0T320OioQ==" saltValue="HgKwSrj95ls5fIz2eKny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gNFYSpS+c0Oy6LlGv01H04etcIZ0ukIxCUk39IiKN4iEmIEBdRL6co9gFQfdDlxfEMI0LwqXstCsw9EFg2sow==" saltValue="SES/j5C1x7WjYrD+M/5S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94XcAP9oofqZCCDgQv3CZJ8MZdcPxtBMzK6UK7gVhiS4jUUMQS2mr+RCp7KD6GRcaA+2z0Bjnw4EPcqLP5KP9Q==" saltValue="a1iUgEfKivuvl7ICb6sn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jWiD8fnYXzNqCYOi2e+jtyIFZmNJkqqcTID3AU3C5LE3Mi1e4Sfdl1I8hhn212bSpy2q8xdm5vdkawNL4v44Mg==" saltValue="7/yPLCYo7nAcX1iXvEJz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SHwww0P/+lZkKZzc7FlT/18mTcQVQKhD9wq6Fuwf0QLqxlAYJHmIEUXOH2j3eEcwqHTZcS+MkeUVRWDoWW4pug==" saltValue="J/aDvofJz1aW4JXJVEzQM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2025-07-30T02:16:32Z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