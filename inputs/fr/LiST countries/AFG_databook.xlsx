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4E8927B-658C-45E3-A627-B75BC02ED1F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<sst xmlns="http://schemas.openxmlformats.org/spreadsheetml/2006/main" count="2169" uniqueCount="369">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</sst>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6897832.5</v>
      </c>
    </row>
    <row r="8" spans="1:3" ht="15" customHeight="1" x14ac:dyDescent="0.25">
      <c r="B8" s="5" t="s">
        <v>37</v>
      </c>
      <c r="C8" s="44">
        <v>0.54500000000000004</v>
      </c>
    </row>
    <row r="9" spans="1:3" ht="15" customHeight="1" x14ac:dyDescent="0.25">
      <c r="B9" s="5" t="s">
        <v>38</v>
      </c>
      <c r="C9" s="45">
        <v>3.2400000000000012E-2</v>
      </c>
    </row>
    <row r="10" spans="1:3" ht="15" customHeight="1" x14ac:dyDescent="0.25">
      <c r="B10" s="5" t="s">
        <v>39</v>
      </c>
      <c r="C10" s="45">
        <v>0.36695270000000002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8.48E-2</v>
      </c>
    </row>
    <row r="24" spans="1:3" ht="15" customHeight="1" x14ac:dyDescent="0.25">
      <c r="B24" s="15" t="s">
        <v>51</v>
      </c>
      <c r="C24" s="45">
        <v>0.49769999999999998</v>
      </c>
    </row>
    <row r="25" spans="1:3" ht="15" customHeight="1" x14ac:dyDescent="0.25">
      <c r="B25" s="15" t="s">
        <v>52</v>
      </c>
      <c r="C25" s="45">
        <v>0.3468</v>
      </c>
    </row>
    <row r="26" spans="1:3" ht="15" customHeight="1" x14ac:dyDescent="0.25">
      <c r="B26" s="15" t="s">
        <v>53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0.19234081473040299</v>
      </c>
    </row>
    <row r="30" spans="1:3" ht="14.25" customHeight="1" x14ac:dyDescent="0.25">
      <c r="B30" s="25" t="s">
        <v>56</v>
      </c>
      <c r="C30" s="97">
        <v>9.4472202810495898E-2</v>
      </c>
    </row>
    <row r="31" spans="1:3" ht="14.25" customHeight="1" x14ac:dyDescent="0.25">
      <c r="B31" s="25" t="s">
        <v>57</v>
      </c>
      <c r="C31" s="97">
        <v>0.16743043577463701</v>
      </c>
    </row>
    <row r="32" spans="1:3" ht="14.25" customHeight="1" x14ac:dyDescent="0.25">
      <c r="B32" s="25" t="s">
        <v>58</v>
      </c>
      <c r="C32" s="97">
        <v>0.54575654668446394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34.087879999999998</v>
      </c>
    </row>
    <row r="38" spans="1:5" ht="15" customHeight="1" x14ac:dyDescent="0.25">
      <c r="B38" s="11" t="s">
        <v>63</v>
      </c>
      <c r="C38" s="43">
        <v>43.391629999999999</v>
      </c>
      <c r="D38" s="12"/>
      <c r="E38" s="13"/>
    </row>
    <row r="39" spans="1:5" ht="15" customHeight="1" x14ac:dyDescent="0.25">
      <c r="B39" s="11" t="s">
        <v>64</v>
      </c>
      <c r="C39" s="43">
        <v>55.65748</v>
      </c>
      <c r="D39" s="12"/>
      <c r="E39" s="12"/>
    </row>
    <row r="40" spans="1:5" ht="15" customHeight="1" x14ac:dyDescent="0.25">
      <c r="B40" s="11" t="s">
        <v>65</v>
      </c>
      <c r="C40" s="98">
        <v>6.2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1.77188E-2</v>
      </c>
      <c r="D45" s="12"/>
    </row>
    <row r="46" spans="1:5" ht="15.75" customHeight="1" x14ac:dyDescent="0.25">
      <c r="B46" s="11" t="s">
        <v>70</v>
      </c>
      <c r="C46" s="45">
        <v>0.1052503</v>
      </c>
      <c r="D46" s="12"/>
    </row>
    <row r="47" spans="1:5" ht="15.75" customHeight="1" x14ac:dyDescent="0.25">
      <c r="B47" s="11" t="s">
        <v>71</v>
      </c>
      <c r="C47" s="45">
        <v>0.40861540000000002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5.4080000000000004</v>
      </c>
      <c r="D51" s="12"/>
    </row>
    <row r="52" spans="1:4" ht="15" customHeight="1" x14ac:dyDescent="0.25">
      <c r="B52" s="11" t="s">
        <v>75</v>
      </c>
      <c r="C52" s="98">
        <v>5.4080000000000004</v>
      </c>
    </row>
    <row r="53" spans="1:4" ht="15.75" customHeight="1" x14ac:dyDescent="0.25">
      <c r="B53" s="11" t="s">
        <v>76</v>
      </c>
      <c r="C53" s="98">
        <v>8.9960000000000004</v>
      </c>
    </row>
    <row r="54" spans="1:4" ht="15.75" customHeight="1" x14ac:dyDescent="0.25">
      <c r="B54" s="11" t="s">
        <v>77</v>
      </c>
      <c r="C54" s="98">
        <v>9.8539999999999992</v>
      </c>
    </row>
    <row r="55" spans="1:4" ht="15.75" customHeight="1" x14ac:dyDescent="0.25">
      <c r="B55" s="11" t="s">
        <v>78</v>
      </c>
      <c r="C55" s="98">
        <v>6.7773333333333339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0.48581400000000002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Ev36GNNKBwvcscUUMuCZC6tagUIbDuphC20F0i9yNgj3pg7+t/Gjfxd9ahS4Gwnuz+4GopBa6kTIwTlbVna2A==" saltValue="a02nZS2d2Nm6WNc/IcE/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xpKD7J5tPKlrbTnOm/FKw+Kaaww4yfeVSQHWdienWg1Aicx80wX9Me1nlUTAYqEbWdKE2p09aRTN+0xeivXag==" saltValue="Fw2AmwZ9aAs2WvfcOCBu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1.9534098046590211E-2</v>
      </c>
    </row>
    <row r="4" spans="1:8" ht="15.75" customHeight="1" x14ac:dyDescent="0.25">
      <c r="B4" s="19" t="s">
        <v>97</v>
      </c>
      <c r="C4" s="99">
        <v>6.1386493861350512E-2</v>
      </c>
    </row>
    <row r="5" spans="1:8" ht="15.75" customHeight="1" x14ac:dyDescent="0.25">
      <c r="B5" s="19" t="s">
        <v>98</v>
      </c>
      <c r="C5" s="99">
        <v>8.0232691976730747E-2</v>
      </c>
    </row>
    <row r="6" spans="1:8" ht="15.75" customHeight="1" x14ac:dyDescent="0.25">
      <c r="B6" s="19" t="s">
        <v>99</v>
      </c>
      <c r="C6" s="99">
        <v>0.1940574805942524</v>
      </c>
    </row>
    <row r="7" spans="1:8" ht="15.75" customHeight="1" x14ac:dyDescent="0.25">
      <c r="B7" s="19" t="s">
        <v>100</v>
      </c>
      <c r="C7" s="99">
        <v>0.38271406172859451</v>
      </c>
    </row>
    <row r="8" spans="1:8" ht="15.75" customHeight="1" x14ac:dyDescent="0.25">
      <c r="B8" s="19" t="s">
        <v>101</v>
      </c>
      <c r="C8" s="99">
        <v>5.6656994334300581E-3</v>
      </c>
    </row>
    <row r="9" spans="1:8" ht="15.75" customHeight="1" x14ac:dyDescent="0.25">
      <c r="B9" s="19" t="s">
        <v>102</v>
      </c>
      <c r="C9" s="99">
        <v>5.6122894387710467E-2</v>
      </c>
    </row>
    <row r="10" spans="1:8" ht="15.75" customHeight="1" x14ac:dyDescent="0.25">
      <c r="B10" s="19" t="s">
        <v>103</v>
      </c>
      <c r="C10" s="99">
        <v>0.20028657997134119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106</v>
      </c>
      <c r="C15" s="99">
        <v>0.34578053216219262</v>
      </c>
      <c r="D15" s="99">
        <v>0.34578053216219262</v>
      </c>
      <c r="E15" s="99">
        <v>0.34578053216219262</v>
      </c>
      <c r="F15" s="99">
        <v>0.34578053216219262</v>
      </c>
    </row>
    <row r="16" spans="1:8" ht="15.75" customHeight="1" x14ac:dyDescent="0.25">
      <c r="B16" s="19" t="s">
        <v>107</v>
      </c>
      <c r="C16" s="99">
        <v>3.4655738467156229E-2</v>
      </c>
      <c r="D16" s="99">
        <v>3.4655738467156229E-2</v>
      </c>
      <c r="E16" s="99">
        <v>3.4655738467156229E-2</v>
      </c>
      <c r="F16" s="99">
        <v>3.4655738467156229E-2</v>
      </c>
    </row>
    <row r="17" spans="1:8" ht="15.75" customHeight="1" x14ac:dyDescent="0.25">
      <c r="B17" s="19" t="s">
        <v>108</v>
      </c>
      <c r="C17" s="99">
        <v>1.1276825226316831E-2</v>
      </c>
      <c r="D17" s="99">
        <v>1.1276825226316831E-2</v>
      </c>
      <c r="E17" s="99">
        <v>1.1276825226316831E-2</v>
      </c>
      <c r="F17" s="99">
        <v>1.1276825226316831E-2</v>
      </c>
    </row>
    <row r="18" spans="1:8" ht="15.75" customHeight="1" x14ac:dyDescent="0.25">
      <c r="B18" s="19" t="s">
        <v>109</v>
      </c>
      <c r="C18" s="99">
        <v>1.698333737350857E-3</v>
      </c>
      <c r="D18" s="99">
        <v>1.698333737350857E-3</v>
      </c>
      <c r="E18" s="99">
        <v>1.698333737350857E-3</v>
      </c>
      <c r="F18" s="99">
        <v>1.698333737350857E-3</v>
      </c>
    </row>
    <row r="19" spans="1:8" ht="15.75" customHeight="1" x14ac:dyDescent="0.25">
      <c r="B19" s="19" t="s">
        <v>110</v>
      </c>
      <c r="C19" s="99">
        <v>2.5823030204128981E-2</v>
      </c>
      <c r="D19" s="99">
        <v>2.5823030204128981E-2</v>
      </c>
      <c r="E19" s="99">
        <v>2.5823030204128981E-2</v>
      </c>
      <c r="F19" s="99">
        <v>2.5823030204128981E-2</v>
      </c>
    </row>
    <row r="20" spans="1:8" ht="15.75" customHeight="1" x14ac:dyDescent="0.25">
      <c r="B20" s="19" t="s">
        <v>111</v>
      </c>
      <c r="C20" s="99">
        <v>3.3022044559235918E-3</v>
      </c>
      <c r="D20" s="99">
        <v>3.3022044559235918E-3</v>
      </c>
      <c r="E20" s="99">
        <v>3.3022044559235918E-3</v>
      </c>
      <c r="F20" s="99">
        <v>3.3022044559235918E-3</v>
      </c>
    </row>
    <row r="21" spans="1:8" ht="15.75" customHeight="1" x14ac:dyDescent="0.25">
      <c r="B21" s="19" t="s">
        <v>112</v>
      </c>
      <c r="C21" s="99">
        <v>0.2312457864158497</v>
      </c>
      <c r="D21" s="99">
        <v>0.2312457864158497</v>
      </c>
      <c r="E21" s="99">
        <v>0.2312457864158497</v>
      </c>
      <c r="F21" s="99">
        <v>0.2312457864158497</v>
      </c>
    </row>
    <row r="22" spans="1:8" ht="15.75" customHeight="1" x14ac:dyDescent="0.25">
      <c r="B22" s="19" t="s">
        <v>113</v>
      </c>
      <c r="C22" s="99">
        <v>0.1980801693176206</v>
      </c>
      <c r="D22" s="99">
        <v>0.1980801693176206</v>
      </c>
      <c r="E22" s="99">
        <v>0.1980801693176206</v>
      </c>
      <c r="F22" s="99">
        <v>0.1980801693176206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5.6316962999999998E-2</v>
      </c>
    </row>
    <row r="27" spans="1:8" ht="15.75" customHeight="1" x14ac:dyDescent="0.25">
      <c r="B27" s="19" t="s">
        <v>120</v>
      </c>
      <c r="C27" s="99">
        <v>9.746111E-3</v>
      </c>
    </row>
    <row r="28" spans="1:8" ht="15.75" customHeight="1" x14ac:dyDescent="0.25">
      <c r="B28" s="19" t="s">
        <v>121</v>
      </c>
      <c r="C28" s="99">
        <v>0.40384162200000001</v>
      </c>
    </row>
    <row r="29" spans="1:8" ht="15.75" customHeight="1" x14ac:dyDescent="0.25">
      <c r="B29" s="19" t="s">
        <v>122</v>
      </c>
      <c r="C29" s="99">
        <v>0.15108449600000001</v>
      </c>
    </row>
    <row r="30" spans="1:8" ht="15.75" customHeight="1" x14ac:dyDescent="0.25">
      <c r="B30" s="19" t="s">
        <v>2</v>
      </c>
      <c r="C30" s="99">
        <v>5.3471453999999988E-2</v>
      </c>
    </row>
    <row r="31" spans="1:8" ht="15.75" customHeight="1" x14ac:dyDescent="0.25">
      <c r="B31" s="19" t="s">
        <v>123</v>
      </c>
      <c r="C31" s="99">
        <v>2.1151507E-2</v>
      </c>
    </row>
    <row r="32" spans="1:8" ht="15.75" customHeight="1" x14ac:dyDescent="0.25">
      <c r="B32" s="19" t="s">
        <v>124</v>
      </c>
      <c r="C32" s="99">
        <v>7.030825000000001E-3</v>
      </c>
    </row>
    <row r="33" spans="2:3" ht="15.75" customHeight="1" x14ac:dyDescent="0.25">
      <c r="B33" s="19" t="s">
        <v>125</v>
      </c>
      <c r="C33" s="99">
        <v>0.17616351399999999</v>
      </c>
    </row>
    <row r="34" spans="2:3" ht="15.75" customHeight="1" x14ac:dyDescent="0.25">
      <c r="B34" s="19" t="s">
        <v>126</v>
      </c>
      <c r="C34" s="99">
        <v>0.12119350800000001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k7ZaBRdq7xlQInr1WVhDe7SF4Vtcr/Ibb9ELRwCrOgGh1choOXYSS5gufSRZ6vZK+aq3KZ4MF1slsBzdN9WscA==" saltValue="wYutfltWcXQPYOZ+9Dbl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1UFt/SlDutWBUvgSOpY9ZopL2wICjwE6GxjI0UlixUGwXbUhe694biJPweMKdNQLBOCM6Z6BBT/tkUihsq5KQ==" saltValue="ai+6w+i/Pl7cEEhkWat1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j8TZskzpii0eYakYaocpGNaUW0BsHA6RYcnPURNdYcWRJiRKaWkT99BlDMv4WxembdiwkqIanciIHcOJja9++g==" saltValue="xFpmi7TkrHKfgKzTBuzm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k438i+/dt1sCYCxX394Mq0FVmYaBHOZqUpw9t0Ks++IDnqXjlQLxKYqUBNDL8ixG/V6EbN029QyvQdMPd/wjg==" saltValue="agFCMoZIz9KP5L+w4gmY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355.77782639264802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0.39456000000000002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5.3419999999999995E-2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2.2956430786622462E-2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94009.684729999994</v>
      </c>
      <c r="C22" s="107">
        <v>93793.063160000005</v>
      </c>
      <c r="D22" s="107">
        <v>93619.879589999997</v>
      </c>
      <c r="E22" s="107">
        <v>93002.658559999996</v>
      </c>
      <c r="F22" s="107">
        <v>92072.362380000006</v>
      </c>
      <c r="G22" s="107">
        <v>90934.833880000006</v>
      </c>
      <c r="H22" s="107">
        <v>89533.178140000004</v>
      </c>
      <c r="I22" s="107">
        <v>87597.276540000006</v>
      </c>
      <c r="J22" s="107">
        <v>84803.133549999999</v>
      </c>
      <c r="K22" s="107">
        <v>80890.356390000001</v>
      </c>
      <c r="L22" s="107">
        <v>75378.861269999994</v>
      </c>
      <c r="M22" s="107">
        <v>67914.972120000006</v>
      </c>
      <c r="N22" s="107">
        <v>58238.404139999999</v>
      </c>
      <c r="O22" s="107">
        <v>46723.694889999999</v>
      </c>
    </row>
  </sheetData>
  <sheetProtection algorithmName="SHA-512" hashValue="eJwnwRhYacbXIOPU1Ral7t3zUmBW0rptPdpFc4pX6uW23OgSJZuUHq3UWeYMe9PTCjvnuKszIvUehR6WSroa1g==" saltValue="SrLrujR1J1RqWF4HyRe3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Ds9mlnyYdvzhGWKEdtKeSMN6AClwMB14kgSObY23MjKX/dvqygyM+UnYo0exRIFhewP+SA6F5lTjK9N1wLPFA==" saltValue="/i4EBY1+gvWqolKI1dHq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5kJXtjmoV86vOVUhofAL7wan94G9HqRuU1s/vMysfCv+TGw9IqvkRqIzAo9wOJ8dMrrI7kEabRD8Q+STLbBQg==" saltValue="rjTmi105CNNF6a4RPzvJ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12.644775143090762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6.7892599999999997E-2</v>
      </c>
      <c r="C10" s="96">
        <v>0.95</v>
      </c>
      <c r="D10" s="56">
        <v>17.330280382167182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17.330280382167182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17.330280382167182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17.330280382167182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6.7892599999999997E-2</v>
      </c>
      <c r="C14" s="96">
        <v>0.95</v>
      </c>
      <c r="D14" s="56">
        <v>17.330280382167182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17.330280382167182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3.8198900000000001E-2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6.5675947999999998E-2</v>
      </c>
      <c r="C17" s="96">
        <v>0.95</v>
      </c>
      <c r="D17" s="56">
        <v>2.5391114745162171E-2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0.27200000000000002</v>
      </c>
      <c r="C18" s="96">
        <v>0.95</v>
      </c>
      <c r="D18" s="56">
        <v>12.644775143090762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0.41937809999999998</v>
      </c>
      <c r="C19" s="96">
        <v>0.95</v>
      </c>
      <c r="D19" s="56">
        <v>1.4029197158578659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12.644775143090762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0.2491554</v>
      </c>
      <c r="C23" s="96">
        <v>0.95</v>
      </c>
      <c r="D23" s="56">
        <v>5.6396812437985204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0.34541283892014002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0.46226600000000001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0.220586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9.2499999999999999E-2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0.57999999999999996</v>
      </c>
      <c r="C32" s="96">
        <v>0.95</v>
      </c>
      <c r="D32" s="56">
        <v>0.76173344235486506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0.48214689999999999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0.30872719999999998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8.1247000000000003E-3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0.23417370000000001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7.0999999999999994E-2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7vBJGEKVfIcsiS5/P5XK7Ic+yCiUtko3EDLKrKOToJjmOV4WQZvP7/ks2pYSUFuRLSnuzU7M5DpnukCLMisCZQ==" saltValue="AgCUh1dPNc5mKwmDabk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/oeDuk6YTCOEl916oIUjOwXVwNMRg6+RUmt7LxccUXrNMt9hmcLuqX+HgS84W1dJFzmhR6tjiljvj+oY5HWdg==" saltValue="XzhK8LugqnQc47DfLC8y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8QQrg8N+SO7BdhXqp3NKcGD0lQPhMltXKlNDgxuq4Cxf4A0lvr0pbGZYCU6/XEGmFRd3TldBCP0XRfFhYpl0g==" saltValue="N5/iK1EOueqLfihShECD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5.4080000000000004</v>
      </c>
      <c r="C2" s="21">
        <f>'Données pop de l''année de ref'!C52</f>
        <v>5.4080000000000004</v>
      </c>
      <c r="D2" s="21">
        <f>'Données pop de l''année de ref'!C53</f>
        <v>8.9960000000000004</v>
      </c>
      <c r="E2" s="21">
        <f>'Données pop de l''année de ref'!C54</f>
        <v>9.8539999999999992</v>
      </c>
      <c r="F2" s="21">
        <f>'Données pop de l''année de ref'!C55</f>
        <v>6.7773333333333339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AjuCO3nBI+TTtlpg8NGoKCpa2uoHtDBCsll7J4mLBEm8KKDkLPrzJ6R29XKFd66uPo6A29M5aSoqovN0/IrGAg==" saltValue="4S0qG6EzzoFz077Goj7U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mmfadh8OLmvRkIdiNQ0Hyko+jOKb0QEhd+MGmRgrQ7N4Q3lQTDnMnhzAegC1+7XbdramlP5pZ5f/4nSh5BJQg==" saltValue="4BL7SaT8AH7An/9M1eodQ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Ajuru1kZ6yo8v7s0U1SEZMPJo6e0c8Zd1NICc/784H2c2tSbCrzqDY8frhlYXjGm0okNlH7lLsJaszMj+DSZg==" saltValue="iwquNjpCa4I3fFV8rGtC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Y3vCjqniBlhRX0ykG57qmrZj11y9zHVtRkv74rUAaDoegDIg/HmIjZNeQOg/YcshCobtGPbmlHS2t/z0CPQNg==" saltValue="KqnSXgnbgPN+PTADr+Ak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djiiN4aIutck6vf8/J4bhOw7xK3iPh70GSQyXQrKbkrqoTJSgxP7cEj9VEIaa6KRiOne9W/z8nbMhMyH1ljJw==" saltValue="brM3DgrK/ouTxAi0SRJr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pCwmezBKuGqtscp1Lg1/kSXwedxYwzUVVL9ttjdnLI9S/+9E0R+Ve9M7uRWzv0bVMIRLPWOkK3KtNrqHzTNLA==" saltValue="R9W2eRatZGcQEVVmM5wh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tY1z+CcRuRLWQatuTDnI2vAB8b11oOTWNFnKJeS3u1RxS3rgoS1SQeH8Ac8I4IdVKljVmGsGtqxlwKZJMxPEg==" saltValue="aS02Yvwdn7U098ETlFlY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pr4wXJcVeN0ToTHax7hqXk+gNf730Gd2mVFSDfeQ1ij5j3cdZw8TqFBE5OVL4/2HTLfzTrj2eAi6SyoeXgmyQ==" saltValue="9vzm5SyjiyWAGnO0xfAA+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KvOjAHeE7sb962AAYGXcl5ZRXq8Cze8OtwwABeYq4TyE0KpcVSkNORnMUNXV/L+U0pH23usnLFglKbOGxGDnQ==" saltValue="nhoo9yhkTWoi9Kek94cM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Umja3aSDSf/us+iOOnbVqhYOfDJ5ajT/+kH9d372KizB3b5Scl54DAD++snRgl9U3UVm1kcapijtZ3QBicXDA==" saltValue="cAH4ST1TA2Q6mHlWG6qb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FDayGZxH7x7lWpfoxAMkaUisc7dKzBwUDJ7drG+VDKy4AjdKVWHFWExetmxVtML14Dk9QAk1on4xTC6Z8UYbA==" saltValue="MSYfdbHuTCPpjv2orH8r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V/c88u80emwHJNkA3wONFW8nMidEG1OMqK5gOQsVo0M5nDpVFz6T++K8kETf7L9j8+VVNRpf98z6QEY+jBgAg==" saltValue="mgQdmRO4lHlwvY3Gw7Ms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KQ/gRSdE08cV1e6FwZaUhvXvbMtl+JOmlfuEN1dI98BiV5hxs/j+Y6IzHBSpE2XCAauWRs/1Mb0LSq9o2qfqg==" saltValue="17ipajvcAp2DeXC5C6fI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QQbiIOH79Y6dbnL7hGIlS0DBaFop6XLbyBSzNko7qHjw4XZpL6tcZycouVT5M9ldA1LGQkQdsQRVfzzKp3nHA==" saltValue="1KXNaiDykMnJTJvJF2fB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MAMX9fIYA/dSMmRTw3fejCqmi23mZzwipYiMtgYr6T5UTvnRln1qiR2WYtrzz5AP9fewkpuzjR55voJqrHm4w==" saltValue="6330zrOzCNM7UjPGRPFQ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oboicaQ6ygOHIRVnkL06f14c5eVkTihXklnHbR9sMxgV1aCJxXmH+poTc7MRWt2jV/16RHv96aTjzreOwr7FA==" saltValue="JGr5DNyrP0RWSIkBPMPX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