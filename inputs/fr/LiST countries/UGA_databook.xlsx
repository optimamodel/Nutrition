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3D7661B-EEB8-44A6-961B-B5B1EEE3644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A26" i="2"/>
  <c r="A31" i="2"/>
  <c r="A22" i="2"/>
  <c r="A36" i="2"/>
  <c r="I4" i="2"/>
  <c r="I8" i="2"/>
  <c r="I12" i="2"/>
  <c r="A25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<sst xmlns="http://schemas.openxmlformats.org/spreadsheetml/2006/main" count="2159" uniqueCount="368">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</sst>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8152934.5</v>
      </c>
    </row>
    <row r="8" spans="1:3" ht="15" customHeight="1" x14ac:dyDescent="0.25">
      <c r="B8" s="5" t="s">
        <v>37</v>
      </c>
      <c r="C8" s="44">
        <v>0.20300000000000001</v>
      </c>
    </row>
    <row r="9" spans="1:3" ht="15" customHeight="1" x14ac:dyDescent="0.25">
      <c r="B9" s="5" t="s">
        <v>38</v>
      </c>
      <c r="C9" s="45">
        <v>0.73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0.10879999999999999</v>
      </c>
    </row>
    <row r="24" spans="1:3" ht="15" customHeight="1" x14ac:dyDescent="0.25">
      <c r="B24" s="15" t="s">
        <v>51</v>
      </c>
      <c r="C24" s="45">
        <v>0.53739999999999999</v>
      </c>
    </row>
    <row r="25" spans="1:3" ht="15" customHeight="1" x14ac:dyDescent="0.25">
      <c r="B25" s="15" t="s">
        <v>52</v>
      </c>
      <c r="C25" s="45">
        <v>0.29330000000000001</v>
      </c>
    </row>
    <row r="26" spans="1:3" ht="15" customHeight="1" x14ac:dyDescent="0.25">
      <c r="B26" s="15" t="s">
        <v>53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0.22259625228416199</v>
      </c>
    </row>
    <row r="30" spans="1:3" ht="14.25" customHeight="1" x14ac:dyDescent="0.25">
      <c r="B30" s="25" t="s">
        <v>56</v>
      </c>
      <c r="C30" s="99">
        <v>6.9957740305893898E-2</v>
      </c>
    </row>
    <row r="31" spans="1:3" ht="14.25" customHeight="1" x14ac:dyDescent="0.25">
      <c r="B31" s="25" t="s">
        <v>57</v>
      </c>
      <c r="C31" s="99">
        <v>0.118524449608315</v>
      </c>
    </row>
    <row r="32" spans="1:3" ht="14.25" customHeight="1" x14ac:dyDescent="0.25">
      <c r="B32" s="25" t="s">
        <v>58</v>
      </c>
      <c r="C32" s="99">
        <v>0.58892155780162903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19.007650000000002</v>
      </c>
    </row>
    <row r="38" spans="1:5" ht="15" customHeight="1" x14ac:dyDescent="0.25">
      <c r="B38" s="11" t="s">
        <v>63</v>
      </c>
      <c r="C38" s="43">
        <v>31.167809999999999</v>
      </c>
      <c r="D38" s="12"/>
      <c r="E38" s="13"/>
    </row>
    <row r="39" spans="1:5" ht="15" customHeight="1" x14ac:dyDescent="0.25">
      <c r="B39" s="11" t="s">
        <v>64</v>
      </c>
      <c r="C39" s="43">
        <v>42.12818</v>
      </c>
      <c r="D39" s="12"/>
      <c r="E39" s="12"/>
    </row>
    <row r="40" spans="1:5" ht="15" customHeight="1" x14ac:dyDescent="0.25">
      <c r="B40" s="11" t="s">
        <v>65</v>
      </c>
      <c r="C40" s="100">
        <v>2.84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8.5860999999999993E-3</v>
      </c>
      <c r="D45" s="12"/>
    </row>
    <row r="46" spans="1:5" ht="15.75" customHeight="1" x14ac:dyDescent="0.25">
      <c r="B46" s="11" t="s">
        <v>70</v>
      </c>
      <c r="C46" s="45">
        <v>9.0953300000000001E-2</v>
      </c>
      <c r="D46" s="12"/>
    </row>
    <row r="47" spans="1:5" ht="15.75" customHeight="1" x14ac:dyDescent="0.25">
      <c r="B47" s="11" t="s">
        <v>71</v>
      </c>
      <c r="C47" s="45">
        <v>0.15892729999999999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4.992</v>
      </c>
      <c r="D51" s="12"/>
    </row>
    <row r="52" spans="1:4" ht="15" customHeight="1" x14ac:dyDescent="0.25">
      <c r="B52" s="11" t="s">
        <v>75</v>
      </c>
      <c r="C52" s="100">
        <v>4.992</v>
      </c>
    </row>
    <row r="53" spans="1:4" ht="15.75" customHeight="1" x14ac:dyDescent="0.25">
      <c r="B53" s="11" t="s">
        <v>76</v>
      </c>
      <c r="C53" s="100">
        <v>10.218</v>
      </c>
    </row>
    <row r="54" spans="1:4" ht="15.75" customHeight="1" x14ac:dyDescent="0.25">
      <c r="B54" s="11" t="s">
        <v>77</v>
      </c>
      <c r="C54" s="100">
        <v>8.0340000000000007</v>
      </c>
    </row>
    <row r="55" spans="1:4" ht="15.75" customHeight="1" x14ac:dyDescent="0.25">
      <c r="B55" s="11" t="s">
        <v>78</v>
      </c>
      <c r="C55" s="100">
        <v>3.163333333333334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0.50075199999999997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m0Ip6KfQZNWr4kEpyc+/GjIuUXYy4EFe7K5G2uL6BoT5g9uASW+qvOjzVds5njsZEj/cp1Tu0DR6FKPBkVMww==" saltValue="1Qqs+xXMx8QaIgChFXG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8173066</v>
      </c>
      <c r="C2" s="49">
        <v>1784547</v>
      </c>
      <c r="D2" s="49">
        <v>3559552.5</v>
      </c>
      <c r="E2" s="49">
        <v>5766959.0000000009</v>
      </c>
      <c r="F2" s="49">
        <v>4643116.5</v>
      </c>
      <c r="G2" s="17">
        <f t="shared" ref="G2:G13" si="0">C2+D2+E2+F2</f>
        <v>15754175</v>
      </c>
      <c r="H2" s="17">
        <f t="shared" ref="H2:H13" si="1">(B2 + stillbirth*B2/(1000-stillbirth))/(1-abortion)</f>
        <v>9429934.0943547674</v>
      </c>
      <c r="I2" s="17">
        <f t="shared" ref="I2:I13" si="2">G2-H2</f>
        <v>6324240.9056452326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1722321</v>
      </c>
      <c r="C3" s="50">
        <v>2904957</v>
      </c>
      <c r="D3" s="50">
        <v>4660165</v>
      </c>
      <c r="E3" s="50">
        <v>3025799.5</v>
      </c>
      <c r="F3" s="50">
        <v>1709647</v>
      </c>
      <c r="G3" s="17">
        <f t="shared" si="0"/>
        <v>12300568.5</v>
      </c>
      <c r="H3" s="17">
        <f t="shared" si="1"/>
        <v>1987182.474645769</v>
      </c>
      <c r="I3" s="17">
        <f t="shared" si="2"/>
        <v>10313386.025354231</v>
      </c>
    </row>
    <row r="4" spans="1:9" ht="15.75" customHeight="1" x14ac:dyDescent="0.25">
      <c r="A4" s="5">
        <f t="shared" si="3"/>
        <v>2026</v>
      </c>
      <c r="B4" s="49">
        <v>1734565</v>
      </c>
      <c r="C4" s="50">
        <v>2961247.5</v>
      </c>
      <c r="D4" s="50">
        <v>4771467.5</v>
      </c>
      <c r="E4" s="50">
        <v>3192593</v>
      </c>
      <c r="F4" s="50">
        <v>1788592.9999999998</v>
      </c>
      <c r="G4" s="17">
        <f t="shared" si="0"/>
        <v>12713901</v>
      </c>
      <c r="H4" s="17">
        <f t="shared" si="1"/>
        <v>2001309.3779463517</v>
      </c>
      <c r="I4" s="17">
        <f t="shared" si="2"/>
        <v>10712591.622053649</v>
      </c>
    </row>
    <row r="5" spans="1:9" ht="15.75" customHeight="1" x14ac:dyDescent="0.25">
      <c r="A5" s="5">
        <f t="shared" si="3"/>
        <v>2027</v>
      </c>
      <c r="B5" s="49">
        <v>1746979</v>
      </c>
      <c r="C5" s="50">
        <v>3022468</v>
      </c>
      <c r="D5" s="50">
        <v>4877207</v>
      </c>
      <c r="E5" s="50">
        <v>3356465.5000000005</v>
      </c>
      <c r="F5" s="50">
        <v>1878319</v>
      </c>
      <c r="G5" s="17">
        <f t="shared" si="0"/>
        <v>13134459.5</v>
      </c>
      <c r="H5" s="17">
        <f t="shared" si="1"/>
        <v>2015632.4241382361</v>
      </c>
      <c r="I5" s="17">
        <f t="shared" si="2"/>
        <v>11118827.075861763</v>
      </c>
    </row>
    <row r="6" spans="1:9" ht="15.75" customHeight="1" x14ac:dyDescent="0.25">
      <c r="A6" s="5">
        <f t="shared" si="3"/>
        <v>2028</v>
      </c>
      <c r="B6" s="49">
        <v>1755617</v>
      </c>
      <c r="C6" s="50">
        <v>3084683.5</v>
      </c>
      <c r="D6" s="50">
        <v>4979074.0000000009</v>
      </c>
      <c r="E6" s="50">
        <v>3516698.5000000005</v>
      </c>
      <c r="F6" s="50">
        <v>1979790.5</v>
      </c>
      <c r="G6" s="17">
        <f t="shared" si="0"/>
        <v>13560246.500000002</v>
      </c>
      <c r="H6" s="17">
        <f t="shared" si="1"/>
        <v>2025598.790579794</v>
      </c>
      <c r="I6" s="17">
        <f t="shared" si="2"/>
        <v>11534647.709420208</v>
      </c>
    </row>
    <row r="7" spans="1:9" ht="15.75" customHeight="1" x14ac:dyDescent="0.25">
      <c r="A7" s="5">
        <f t="shared" si="3"/>
        <v>2029</v>
      </c>
      <c r="B7" s="49">
        <v>1763999</v>
      </c>
      <c r="C7" s="50">
        <v>3145178</v>
      </c>
      <c r="D7" s="50">
        <v>5076901</v>
      </c>
      <c r="E7" s="50">
        <v>3674772</v>
      </c>
      <c r="F7" s="50">
        <v>2092215.5000000002</v>
      </c>
      <c r="G7" s="17">
        <f t="shared" si="0"/>
        <v>13989066.5</v>
      </c>
      <c r="H7" s="17">
        <f t="shared" si="1"/>
        <v>2035269.7889026855</v>
      </c>
      <c r="I7" s="17">
        <f t="shared" si="2"/>
        <v>11953796.711097315</v>
      </c>
    </row>
    <row r="8" spans="1:9" ht="15.75" customHeight="1" x14ac:dyDescent="0.25">
      <c r="A8" s="5">
        <f t="shared" si="3"/>
        <v>2030</v>
      </c>
      <c r="B8" s="49">
        <v>1768048</v>
      </c>
      <c r="C8" s="50">
        <v>3200709.5</v>
      </c>
      <c r="D8" s="50">
        <v>5174097</v>
      </c>
      <c r="E8" s="50">
        <v>3830609.5000000005</v>
      </c>
      <c r="F8" s="50">
        <v>2213551.5</v>
      </c>
      <c r="G8" s="17">
        <f t="shared" si="0"/>
        <v>14418967.5</v>
      </c>
      <c r="H8" s="17">
        <f t="shared" si="1"/>
        <v>2039941.4510608085</v>
      </c>
      <c r="I8" s="17">
        <f t="shared" si="2"/>
        <v>12379026.048939191</v>
      </c>
    </row>
    <row r="9" spans="1:9" ht="15.75" customHeight="1" x14ac:dyDescent="0.25">
      <c r="A9" s="5">
        <f t="shared" si="3"/>
        <v>2031</v>
      </c>
      <c r="B9" s="49">
        <v>1774307</v>
      </c>
      <c r="C9" s="50">
        <v>3250574.5</v>
      </c>
      <c r="D9" s="50">
        <v>5272361.5</v>
      </c>
      <c r="E9" s="50">
        <v>3983756.0000000005</v>
      </c>
      <c r="F9" s="50">
        <v>2344194.5</v>
      </c>
      <c r="G9" s="17">
        <f t="shared" si="0"/>
        <v>14850886.5</v>
      </c>
      <c r="H9" s="17">
        <f t="shared" si="1"/>
        <v>2047162.9708058548</v>
      </c>
      <c r="I9" s="17">
        <f t="shared" si="2"/>
        <v>12803723.529194145</v>
      </c>
    </row>
    <row r="10" spans="1:9" ht="15.75" customHeight="1" x14ac:dyDescent="0.25">
      <c r="A10" s="5">
        <f t="shared" si="3"/>
        <v>2032</v>
      </c>
      <c r="B10" s="49">
        <v>1777142</v>
      </c>
      <c r="C10" s="50">
        <v>3298205</v>
      </c>
      <c r="D10" s="50">
        <v>5372209.5</v>
      </c>
      <c r="E10" s="50">
        <v>4132426.9999999995</v>
      </c>
      <c r="F10" s="50">
        <v>2483043.5</v>
      </c>
      <c r="G10" s="17">
        <f t="shared" si="0"/>
        <v>15285885</v>
      </c>
      <c r="H10" s="17">
        <f t="shared" si="1"/>
        <v>2050433.9419637404</v>
      </c>
      <c r="I10" s="17">
        <f t="shared" si="2"/>
        <v>13235451.05803626</v>
      </c>
    </row>
    <row r="11" spans="1:9" ht="15.75" customHeight="1" x14ac:dyDescent="0.25">
      <c r="A11" s="5">
        <f t="shared" si="3"/>
        <v>2033</v>
      </c>
      <c r="B11" s="49">
        <v>1775279</v>
      </c>
      <c r="C11" s="50">
        <v>3349835.5</v>
      </c>
      <c r="D11" s="50">
        <v>5472117</v>
      </c>
      <c r="E11" s="50">
        <v>4274846</v>
      </c>
      <c r="F11" s="50">
        <v>2628769</v>
      </c>
      <c r="G11" s="17">
        <f t="shared" si="0"/>
        <v>15725567.5</v>
      </c>
      <c r="H11" s="17">
        <f t="shared" si="1"/>
        <v>2048284.4466314155</v>
      </c>
      <c r="I11" s="17">
        <f t="shared" si="2"/>
        <v>13677283.053368585</v>
      </c>
    </row>
    <row r="12" spans="1:9" ht="15.75" customHeight="1" x14ac:dyDescent="0.25">
      <c r="A12" s="5">
        <f t="shared" si="3"/>
        <v>2034</v>
      </c>
      <c r="B12" s="49">
        <v>1777616</v>
      </c>
      <c r="C12" s="50">
        <v>3411227</v>
      </c>
      <c r="D12" s="50">
        <v>5570642</v>
      </c>
      <c r="E12" s="50">
        <v>4407521</v>
      </c>
      <c r="F12" s="50">
        <v>2781966.0000000005</v>
      </c>
      <c r="G12" s="17">
        <f t="shared" si="0"/>
        <v>16171356</v>
      </c>
      <c r="H12" s="17">
        <f t="shared" si="1"/>
        <v>2050980.8344959584</v>
      </c>
      <c r="I12" s="17">
        <f t="shared" si="2"/>
        <v>14120375.165504042</v>
      </c>
    </row>
    <row r="13" spans="1:9" ht="15.75" customHeight="1" x14ac:dyDescent="0.25">
      <c r="A13" s="5">
        <f t="shared" si="3"/>
        <v>2035</v>
      </c>
      <c r="B13" s="49">
        <v>1781575</v>
      </c>
      <c r="C13" s="50">
        <v>3482031</v>
      </c>
      <c r="D13" s="50">
        <v>5667859.5000000009</v>
      </c>
      <c r="E13" s="50">
        <v>4530098.5</v>
      </c>
      <c r="F13" s="50">
        <v>2942194.9999999995</v>
      </c>
      <c r="G13" s="17">
        <f t="shared" si="0"/>
        <v>16622184</v>
      </c>
      <c r="H13" s="17">
        <f t="shared" si="1"/>
        <v>2055548.656299863</v>
      </c>
      <c r="I13" s="17">
        <f t="shared" si="2"/>
        <v>14566635.343700137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3H/Bs6lDXYcfY39aw+mDBxheW/suZACCkmXeT8S6xvbVCI2lnaO6o7RTRFaFE33LUW94koUTB62cUz6TQwKyw==" saltValue="08HyiavMhKMUn3uMDnhI8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1.0454372387745971E-2</v>
      </c>
    </row>
    <row r="4" spans="1:8" ht="15.75" customHeight="1" x14ac:dyDescent="0.25">
      <c r="B4" s="19" t="s">
        <v>97</v>
      </c>
      <c r="C4" s="101">
        <v>5.7447537664464247E-2</v>
      </c>
    </row>
    <row r="5" spans="1:8" ht="15.75" customHeight="1" x14ac:dyDescent="0.25">
      <c r="B5" s="19" t="s">
        <v>98</v>
      </c>
      <c r="C5" s="101">
        <v>7.8656835258910388E-2</v>
      </c>
    </row>
    <row r="6" spans="1:8" ht="15.75" customHeight="1" x14ac:dyDescent="0.25">
      <c r="B6" s="19" t="s">
        <v>99</v>
      </c>
      <c r="C6" s="101">
        <v>0.24881278132399531</v>
      </c>
    </row>
    <row r="7" spans="1:8" ht="15.75" customHeight="1" x14ac:dyDescent="0.25">
      <c r="B7" s="19" t="s">
        <v>100</v>
      </c>
      <c r="C7" s="101">
        <v>0.41129992498193729</v>
      </c>
    </row>
    <row r="8" spans="1:8" ht="15.75" customHeight="1" x14ac:dyDescent="0.25">
      <c r="B8" s="19" t="s">
        <v>101</v>
      </c>
      <c r="C8" s="101">
        <v>1.509972556784409E-3</v>
      </c>
    </row>
    <row r="9" spans="1:8" ht="15.75" customHeight="1" x14ac:dyDescent="0.25">
      <c r="B9" s="19" t="s">
        <v>102</v>
      </c>
      <c r="C9" s="101">
        <v>7.6515821923355931E-2</v>
      </c>
    </row>
    <row r="10" spans="1:8" ht="15.75" customHeight="1" x14ac:dyDescent="0.25">
      <c r="B10" s="19" t="s">
        <v>103</v>
      </c>
      <c r="C10" s="101">
        <v>0.11530275390280641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106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107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108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109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110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111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112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113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8.465819899999999E-2</v>
      </c>
    </row>
    <row r="27" spans="1:8" ht="15.75" customHeight="1" x14ac:dyDescent="0.25">
      <c r="B27" s="19" t="s">
        <v>120</v>
      </c>
      <c r="C27" s="101">
        <v>8.3993499999999999E-3</v>
      </c>
    </row>
    <row r="28" spans="1:8" ht="15.75" customHeight="1" x14ac:dyDescent="0.25">
      <c r="B28" s="19" t="s">
        <v>121</v>
      </c>
      <c r="C28" s="101">
        <v>0.14948149299999999</v>
      </c>
    </row>
    <row r="29" spans="1:8" ht="15.75" customHeight="1" x14ac:dyDescent="0.25">
      <c r="B29" s="19" t="s">
        <v>122</v>
      </c>
      <c r="C29" s="101">
        <v>0.16164467800000001</v>
      </c>
    </row>
    <row r="30" spans="1:8" ht="15.75" customHeight="1" x14ac:dyDescent="0.25">
      <c r="B30" s="19" t="s">
        <v>2</v>
      </c>
      <c r="C30" s="101">
        <v>0.100545357</v>
      </c>
    </row>
    <row r="31" spans="1:8" ht="15.75" customHeight="1" x14ac:dyDescent="0.25">
      <c r="B31" s="19" t="s">
        <v>123</v>
      </c>
      <c r="C31" s="101">
        <v>0.10497287399999999</v>
      </c>
    </row>
    <row r="32" spans="1:8" ht="15.75" customHeight="1" x14ac:dyDescent="0.25">
      <c r="B32" s="19" t="s">
        <v>124</v>
      </c>
      <c r="C32" s="101">
        <v>1.7941111999999999E-2</v>
      </c>
    </row>
    <row r="33" spans="2:3" ht="15.75" customHeight="1" x14ac:dyDescent="0.25">
      <c r="B33" s="19" t="s">
        <v>125</v>
      </c>
      <c r="C33" s="101">
        <v>8.1330947000000015E-2</v>
      </c>
    </row>
    <row r="34" spans="2:3" ht="15.75" customHeight="1" x14ac:dyDescent="0.25">
      <c r="B34" s="19" t="s">
        <v>126</v>
      </c>
      <c r="C34" s="101">
        <v>0.29102599000000001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7sGlOQYddhdL0vUYe9At+avapkArL+3xLuRlTkZ6FwLP7R2dIV8/pS2hokaCdCV4sNJXkZq1GaGwn2LoAw6GGA==" saltValue="FPXTXpH67wLBymGK+f7qu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132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133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137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138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hGH+E2v+FRXgauw3dFEUdCEppzNQ7GHPrKZQ3a20Zql26gq7kUc9PSHCAkWrtSI3+NBZpvY44m68rKQ8b+0yQ==" saltValue="g344SPTbOsUjU6MMPp8B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hzLwJ3uKeRcK9zTySy4OCPMGkRudQbxb96uIUB+BZtlsOyi6U/U3WLSsezOgdp2c0VP492OHRVGMaXO7ksEW2A==" saltValue="oXDUjVCMik5EF3k44O7c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dZFj54yOzUYtLVV4MdiQt/0pxWTlDmNkfi74vHwPwt0fUG6eHh3IF28eR57BD/A5eqsaYEpqAp3l2GoUffJ4w==" saltValue="BIr0thP4ku1z17HgLvXr4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964.39586947645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0.39256999999999997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0.68444999999999989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1.5094316499999998E-2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95463.978789999994</v>
      </c>
      <c r="C22" s="109">
        <v>94644.600479999994</v>
      </c>
      <c r="D22" s="109">
        <v>94127.057509999999</v>
      </c>
      <c r="E22" s="109">
        <v>93507.416930000007</v>
      </c>
      <c r="F22" s="109">
        <v>92720.027900000001</v>
      </c>
      <c r="G22" s="109">
        <v>91727.476999999999</v>
      </c>
      <c r="H22" s="109">
        <v>90398.948910000006</v>
      </c>
      <c r="I22" s="109">
        <v>88630.066300000006</v>
      </c>
      <c r="J22" s="109">
        <v>86228.513179999994</v>
      </c>
      <c r="K22" s="109">
        <v>83097.817949999997</v>
      </c>
      <c r="L22" s="109">
        <v>78799.270019999996</v>
      </c>
      <c r="M22" s="109">
        <v>73242.03211</v>
      </c>
      <c r="N22" s="109">
        <v>65760.368690000003</v>
      </c>
      <c r="O22" s="109">
        <v>56228.337090000001</v>
      </c>
    </row>
  </sheetData>
  <sheetProtection algorithmName="SHA-512" hashValue="Yre8Dg3Evnx5msQjccMEx5HdONP2C7zPdfzYBkznxE+4v1VxmIMoG0HgBiQh0LzsZqronbXGVd0cb5G2myjHNA==" saltValue="QSAAu7upI4BzzMMr6xjT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9IjWJ9S7Tcyddqi7ORQIBuctVnq7KcX/nohuL17zk5XfTbILDomMM72uKRcYgpfuRLsovnIIMLyB8faDyy7hRw==" saltValue="LyJEdbTTANTy0BhN/njH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n3xDZ43flLMV3b6haB3PWRDh9rkkOzYIVkbq0jcyozB7mERLBKawKQTmx58PtMj0L8/sqkgBME9b+CmxMWTpZQ==" saltValue="bJ+6YIe85mVcuNaSH03p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8.76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0.20312891796129737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0.2257797</v>
      </c>
      <c r="C10" s="98">
        <v>0.95</v>
      </c>
      <c r="D10" s="56">
        <v>13.48044806079821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13.48044806079821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13.48044806079821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13.48044806079821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0.23350000000000001</v>
      </c>
      <c r="C14" s="98">
        <v>0.95</v>
      </c>
      <c r="D14" s="56">
        <v>2.678762605614609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13.48044806079821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0.74299999999999999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3.8644699999999997E-2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6.0000000000000001E-3</v>
      </c>
      <c r="C18" s="98">
        <v>0.95</v>
      </c>
      <c r="D18" s="56">
        <v>8.7599345870809486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0.61310370000000003</v>
      </c>
      <c r="C19" s="98">
        <v>0.95</v>
      </c>
      <c r="D19" s="56">
        <v>1.4452504614591219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8.76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0.84200000000000008</v>
      </c>
      <c r="C23" s="98">
        <v>0.95</v>
      </c>
      <c r="D23" s="56">
        <v>4.4240020217934282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0.40880527835160002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3.3008449168710823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0.46719699999999997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0.25735599999999997</v>
      </c>
      <c r="C29" s="98">
        <v>0.95</v>
      </c>
      <c r="D29" s="56">
        <v>85.490303613946011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61.846785225718193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2.75E-2</v>
      </c>
      <c r="C31" s="98">
        <v>0.95</v>
      </c>
      <c r="D31" s="56">
        <v>110.71795584627964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0.61599999999999999</v>
      </c>
      <c r="C32" s="98">
        <v>0.95</v>
      </c>
      <c r="D32" s="56">
        <v>0.20312891796129737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0.30904199999999998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0.76286109999999996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6.5722000000000003E-3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0.23402229999999999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0.40267940000000002</v>
      </c>
      <c r="C38" s="98">
        <v>0.95</v>
      </c>
      <c r="D38" s="56">
        <v>1.1426001635322978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/shFFANEO/GrpI9vfb5a4SiEi8lffSYCcebIGrZ8qjQdY1UH/jbAQhKceuOlsRgvnnYuTTKnl9Ijk/nf+TFWqQ==" saltValue="jzAbIl5wP+NvheeIwndl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XKyV+mDqYjbbXiYjVJtS+cJPbMeFhppvewE1TPwCvrfBmWuYA3LQ0goVwJn409uh7L09+SB/ReT7ca2n1iQQw==" saltValue="FIFap2WJVCTQ6XBGBS9Z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8K46o215Wk1Vw+vztE3rEztWliBeSC3apd19OPxIawcuwL1KmUY/S4tzy2TP2ZOsX/6iNYmwWQ4QfhzoFSEDQ==" saltValue="y3hTUKYnF7ATpKjNDThC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4.992</v>
      </c>
      <c r="C2" s="21">
        <f>'Données pop de l''année de ref'!C52</f>
        <v>4.992</v>
      </c>
      <c r="D2" s="21">
        <f>'Données pop de l''année de ref'!C53</f>
        <v>10.218</v>
      </c>
      <c r="E2" s="21">
        <f>'Données pop de l''année de ref'!C54</f>
        <v>8.0340000000000007</v>
      </c>
      <c r="F2" s="21">
        <f>'Données pop de l''année de ref'!C55</f>
        <v>3.163333333333334</v>
      </c>
    </row>
    <row r="3" spans="1:6" ht="15.75" customHeight="1" x14ac:dyDescent="0.25">
      <c r="A3" s="3" t="s">
        <v>238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237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WgopIF5W+Q9gmq9BEHABjZWMDT53NxzNTtMFqbkqZvCVKWqWJKz81AjnQGc+JkJyLhvaTitPC5ND7AKgO7XCfQ==" saltValue="BQajyhTac+q/JJHd61+m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i0Og9ny5zc/KW7hRP/8lix9xbQQjNebv+kO3XR8tCST/Jj0+0ZkQXcv+WCKRInnfclJ3TQAvKJFkCBOI9M2IA==" saltValue="Sdfuqe7VCIPEZcylQDjD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oMUaPxpiwW9med7oOOvoYmus5afCnJfj1o8m5a28DTewhoJraw3bzESEM5Hw+btFTZcRMx/ry4RQGy5tXInWw==" saltValue="Da60G36UBTGRCh5n3SE8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xocAC1VvKeeybl4Ic8B0RB2zxB5tlniXF3qO+p/9c/ePxkCVY3MPIMUfaGpMWa2wd3jM2b1aZW+jggi7As8dQ==" saltValue="+GTCGMy7YsRLWc/SlAvq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vuwHDaHPCGZiRSaJOix0JESPEY57bB992I5lzM+Wbt3LGwWWdef2D9g5EbJYjQShe633vMhljvhI+8Xj0oy0A==" saltValue="0jQs5H2T7Ap0HOtxv1Ut8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YrC2YuXTe6duKJf5ux3KV/pFhWrfPhb0vamSJOuxug89o8PhIyXgUz6qu1EMS5HOW4dS9jbHKSrnd9/imj7Ug==" saltValue="ZAEJdwjtvVXXlZgXPEtQ8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z6kcaG6GlwtAC87t1GBN/2mSv+kqqbeYKqACYNjx9bupgO8TMwD57kMvix6x3ZhJUBGZgKBeWOkwlHsdr5m0dw==" saltValue="KyFp3+ZFRPe7jTdmWvuz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kKoU0AS+qyhoEKyNQmoJdOylQZv0luA2WThlY0TFLlqWf8dz9pNos/75MI/1bNhqdUTCAfK+9wxRbhq300LOA==" saltValue="BGPm//Oux1C1wY//hb4eD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01a216uygxd6LBPu6CJWxIrOA9mGRHFKLTB98CRB+B33JHyts4mY1ubbiWWFxtwyAWW1MDJOgrpfZytlp2SlQ==" saltValue="F+l8Mg4nsSEcBm4l/fDN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9xQOs1/vYj0xLRB5/Zd0Xn3boWvow9W4tkJHjXJ5e7tbuoJHchlsgQJHq1tb8YNFzSpv9KNvoNjBek8B9Lnnlw==" saltValue="TzFm5QOiSYyBDEDmCsZ2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2Exdvrrb0S5RW3i90J0nTsezA1M7gwLAUV2yK0zycZZyr0Z1YTOPkOLribHi4SJijOYmmUzRRS2uSerTiUyGQ==" saltValue="G2EWjm9YMm414ai7msdt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/5PzLlj1OB9GO/lQW8H/9jXT38Zr7l+ggsmcANaii31OCoqAtBGFGdOQ83DndvmrRc+hmaM6zPrNmdCUu956A==" saltValue="NusOzb4usL34UQRLjvdX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W9jUEBFTOC40Nj1WikXTiVQMiwheP8X8TdsNfUhsB2R/DOyESJq4UFMqXRjHID/clrQjXOYxyexWJczvwX4WQ==" saltValue="zGw9C4PekZe398/zS1PR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hzvdInuE3Y4PhyKlJBhQGQ7a0Bbgmn9ic0BYKDxI6HYwLGVZTARXmdRYxTo7A8NBhfUJzIFWTdDRu7sznj7yQ==" saltValue="ZwrWZZ8LpakRlI3/NjsV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4Tbub8FdV1BmbGWgZoO9qW6l9BGrdCIbGp5KRnfTCwOO6AHpaSVirETRmKWeM2uPEeWAQRQWDQfBvPFcPXrWg==" saltValue="M3VoPIYItaLgPUMY344N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bzcCtl4g9gzRo3hR0Nq24x9jGFnMbr8j4XA+H9SVzdlScwpogZXmaEquuGWYuaRbTM4ZCULCMwfoXvpTTQKVxg==" saltValue="aUK+pTuCDUtywxOLUpkE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