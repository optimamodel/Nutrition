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B98D380-7D52-4F6B-8F93-84F808ED7EF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A24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1" i="2" l="1"/>
  <c r="A36" i="2"/>
  <c r="I9" i="2"/>
  <c r="I13" i="2"/>
  <c r="A37" i="2"/>
  <c r="A26" i="2"/>
  <c r="I39" i="2"/>
  <c r="I7" i="2"/>
  <c r="A34" i="2"/>
  <c r="A40" i="2"/>
  <c r="I2" i="2"/>
  <c r="I6" i="2"/>
  <c r="A19" i="2"/>
  <c r="A35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<sst xmlns="http://schemas.openxmlformats.org/spreadsheetml/2006/main" count="2169" uniqueCount="369">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</sst>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8152934.5</v>
      </c>
    </row>
    <row r="8" spans="1:3" ht="15" customHeight="1" x14ac:dyDescent="0.25">
      <c r="B8" s="5" t="s">
        <v>37</v>
      </c>
      <c r="C8" s="44">
        <v>0.20300000000000001</v>
      </c>
    </row>
    <row r="9" spans="1:3" ht="15" customHeight="1" x14ac:dyDescent="0.25">
      <c r="B9" s="5" t="s">
        <v>38</v>
      </c>
      <c r="C9" s="45">
        <v>0.73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0.10879999999999999</v>
      </c>
    </row>
    <row r="24" spans="1:3" ht="15" customHeight="1" x14ac:dyDescent="0.25">
      <c r="B24" s="15" t="s">
        <v>51</v>
      </c>
      <c r="C24" s="45">
        <v>0.53739999999999999</v>
      </c>
    </row>
    <row r="25" spans="1:3" ht="15" customHeight="1" x14ac:dyDescent="0.25">
      <c r="B25" s="15" t="s">
        <v>52</v>
      </c>
      <c r="C25" s="45">
        <v>0.29330000000000001</v>
      </c>
    </row>
    <row r="26" spans="1:3" ht="15" customHeight="1" x14ac:dyDescent="0.25">
      <c r="B26" s="15" t="s">
        <v>53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0.22259625228416199</v>
      </c>
    </row>
    <row r="30" spans="1:3" ht="14.25" customHeight="1" x14ac:dyDescent="0.25">
      <c r="B30" s="25" t="s">
        <v>56</v>
      </c>
      <c r="C30" s="97">
        <v>6.9957740305893898E-2</v>
      </c>
    </row>
    <row r="31" spans="1:3" ht="14.25" customHeight="1" x14ac:dyDescent="0.25">
      <c r="B31" s="25" t="s">
        <v>57</v>
      </c>
      <c r="C31" s="97">
        <v>0.118524449608315</v>
      </c>
    </row>
    <row r="32" spans="1:3" ht="14.25" customHeight="1" x14ac:dyDescent="0.25">
      <c r="B32" s="25" t="s">
        <v>58</v>
      </c>
      <c r="C32" s="97">
        <v>0.58892155780162903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19.007650000000002</v>
      </c>
    </row>
    <row r="38" spans="1:5" ht="15" customHeight="1" x14ac:dyDescent="0.25">
      <c r="B38" s="11" t="s">
        <v>63</v>
      </c>
      <c r="C38" s="43">
        <v>31.167809999999999</v>
      </c>
      <c r="D38" s="12"/>
      <c r="E38" s="13"/>
    </row>
    <row r="39" spans="1:5" ht="15" customHeight="1" x14ac:dyDescent="0.25">
      <c r="B39" s="11" t="s">
        <v>64</v>
      </c>
      <c r="C39" s="43">
        <v>42.12818</v>
      </c>
      <c r="D39" s="12"/>
      <c r="E39" s="12"/>
    </row>
    <row r="40" spans="1:5" ht="15" customHeight="1" x14ac:dyDescent="0.25">
      <c r="B40" s="11" t="s">
        <v>65</v>
      </c>
      <c r="C40" s="98">
        <v>2.84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71</v>
      </c>
      <c r="C47" s="45">
        <v>0.15892729999999999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4.992</v>
      </c>
      <c r="D51" s="12"/>
    </row>
    <row r="52" spans="1:4" ht="15" customHeight="1" x14ac:dyDescent="0.25">
      <c r="B52" s="11" t="s">
        <v>75</v>
      </c>
      <c r="C52" s="98">
        <v>4.992</v>
      </c>
    </row>
    <row r="53" spans="1:4" ht="15.75" customHeight="1" x14ac:dyDescent="0.25">
      <c r="B53" s="11" t="s">
        <v>76</v>
      </c>
      <c r="C53" s="98">
        <v>10.218</v>
      </c>
    </row>
    <row r="54" spans="1:4" ht="15.75" customHeight="1" x14ac:dyDescent="0.25">
      <c r="B54" s="11" t="s">
        <v>77</v>
      </c>
      <c r="C54" s="98">
        <v>8.0340000000000007</v>
      </c>
    </row>
    <row r="55" spans="1:4" ht="15.75" customHeight="1" x14ac:dyDescent="0.25">
      <c r="B55" s="11" t="s">
        <v>78</v>
      </c>
      <c r="C55" s="98">
        <v>3.163333333333334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0.50075199999999997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uQ+XdDwPv/tr9Tsim3w/YloYVb8cAmj808zrUyvLvhX8Ee0Beb90YFlqtEej7CCnWvySA0sFogqllAnMc6Zjw==" saltValue="qGi40nKO2ZEcYAmgAVrn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lCwq5xgVJ/Fh50pR6jONq+QvrYQxY2ElEGfXO+nDKjBHJ5wIJUXWjMB/kYtxYF8LvnNOYViJJDT1J3V4qIHoQ==" saltValue="Mle6lWIPUOujhpcMHdA7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1.0454372387745971E-2</v>
      </c>
    </row>
    <row r="4" spans="1:8" ht="15.75" customHeight="1" x14ac:dyDescent="0.25">
      <c r="B4" s="19" t="s">
        <v>97</v>
      </c>
      <c r="C4" s="99">
        <v>5.7447537664464247E-2</v>
      </c>
    </row>
    <row r="5" spans="1:8" ht="15.75" customHeight="1" x14ac:dyDescent="0.25">
      <c r="B5" s="19" t="s">
        <v>98</v>
      </c>
      <c r="C5" s="99">
        <v>7.8656835258910388E-2</v>
      </c>
    </row>
    <row r="6" spans="1:8" ht="15.75" customHeight="1" x14ac:dyDescent="0.25">
      <c r="B6" s="19" t="s">
        <v>99</v>
      </c>
      <c r="C6" s="99">
        <v>0.24881278132399531</v>
      </c>
    </row>
    <row r="7" spans="1:8" ht="15.75" customHeight="1" x14ac:dyDescent="0.25">
      <c r="B7" s="19" t="s">
        <v>100</v>
      </c>
      <c r="C7" s="99">
        <v>0.41129992498193729</v>
      </c>
    </row>
    <row r="8" spans="1:8" ht="15.75" customHeight="1" x14ac:dyDescent="0.25">
      <c r="B8" s="19" t="s">
        <v>101</v>
      </c>
      <c r="C8" s="99">
        <v>1.509972556784409E-3</v>
      </c>
    </row>
    <row r="9" spans="1:8" ht="15.75" customHeight="1" x14ac:dyDescent="0.25">
      <c r="B9" s="19" t="s">
        <v>102</v>
      </c>
      <c r="C9" s="99">
        <v>7.6515821923355931E-2</v>
      </c>
    </row>
    <row r="10" spans="1:8" ht="15.75" customHeight="1" x14ac:dyDescent="0.25">
      <c r="B10" s="19" t="s">
        <v>103</v>
      </c>
      <c r="C10" s="99">
        <v>0.11530275390280641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106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107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108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109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110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111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112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113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8.465819899999999E-2</v>
      </c>
    </row>
    <row r="27" spans="1:8" ht="15.75" customHeight="1" x14ac:dyDescent="0.25">
      <c r="B27" s="19" t="s">
        <v>120</v>
      </c>
      <c r="C27" s="99">
        <v>8.3993499999999999E-3</v>
      </c>
    </row>
    <row r="28" spans="1:8" ht="15.75" customHeight="1" x14ac:dyDescent="0.25">
      <c r="B28" s="19" t="s">
        <v>121</v>
      </c>
      <c r="C28" s="99">
        <v>0.14948149299999999</v>
      </c>
    </row>
    <row r="29" spans="1:8" ht="15.75" customHeight="1" x14ac:dyDescent="0.25">
      <c r="B29" s="19" t="s">
        <v>122</v>
      </c>
      <c r="C29" s="99">
        <v>0.16164467800000001</v>
      </c>
    </row>
    <row r="30" spans="1:8" ht="15.75" customHeight="1" x14ac:dyDescent="0.25">
      <c r="B30" s="19" t="s">
        <v>2</v>
      </c>
      <c r="C30" s="99">
        <v>0.100545357</v>
      </c>
    </row>
    <row r="31" spans="1:8" ht="15.75" customHeight="1" x14ac:dyDescent="0.25">
      <c r="B31" s="19" t="s">
        <v>123</v>
      </c>
      <c r="C31" s="99">
        <v>0.10497287399999999</v>
      </c>
    </row>
    <row r="32" spans="1:8" ht="15.75" customHeight="1" x14ac:dyDescent="0.25">
      <c r="B32" s="19" t="s">
        <v>124</v>
      </c>
      <c r="C32" s="99">
        <v>1.7941111999999999E-2</v>
      </c>
    </row>
    <row r="33" spans="2:3" ht="15.75" customHeight="1" x14ac:dyDescent="0.25">
      <c r="B33" s="19" t="s">
        <v>125</v>
      </c>
      <c r="C33" s="99">
        <v>8.1330947000000015E-2</v>
      </c>
    </row>
    <row r="34" spans="2:3" ht="15.75" customHeight="1" x14ac:dyDescent="0.25">
      <c r="B34" s="19" t="s">
        <v>126</v>
      </c>
      <c r="C34" s="99">
        <v>0.29102599000000001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NitV59KnY146jiLOBVottpXwoT/lc8TsXfrzcC8bBW10ob1xBPD7/k3NHlP2YwQ2NXKZJC48H9bR/evH3iT/5Q==" saltValue="Bjz9FxgUJAsaUEufcFAs4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132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133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137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frYBytGrmHMA6IYO+FCozB1GQfmqw8+TBwGJmP8DRl+w8zs3r/GmeK4YG17EOW+oC/mWUpYXV2Sge9cgmrrTw==" saltValue="O2eCRS1HjlM5XFbOqghS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twc+8B6eTtj4JIGveTS9C4ihBWQKKtKI1opsmIuCt0EBEm0HyZeuvS/1WpqfF+Z/2tM+vZjikPZTu91EzPFtYQ==" saltValue="urvYlWyYWwrmNdbMRFEP1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+GN0h4t23gheEq0T2hj6ALxCMXCRhyHuCFGey63I2DA+1BjBPNWWJa7xwzDBKedoouprSHmz/qd+iR84dfO1Q==" saltValue="J1stvqi4VbknCUqsc6mM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algorithmName="SHA-512" hashValue="WB5N0eGWTZ51PTDufLvJqFQU+oC2sGxXvoT3bqaqf5Z3/4RGrwGtcRMgVBCcEuGcl+k6D0hDoeoStRu4BLnAtA==" saltValue="+8xibhV15iBkZMI5h1Vc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1HKyFmvBYZRBaD1aOENare+lXROfVkDN7e/7Pnu7y0y07P0tuMpbvT25cmcK46kGtXgDJjr0UpUyR2+no4q9FQ==" saltValue="EkFirmlYEpOmneo5OpDX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KWMzdOatyjNrXlW2PeMIqx+Ng7vCYjw17al6FU2uZn6R3ux5cJV4a5wNHsBQEXtoLUV/wCLcpIaHnd6hqFrAg==" saltValue="Bfj6UtKT2g7x1uQ5uNA6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8.76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0.20312891796129737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0.2257797</v>
      </c>
      <c r="C10" s="96">
        <v>0.95</v>
      </c>
      <c r="D10" s="56">
        <v>13.48044806079821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13.48044806079821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13.48044806079821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13.48044806079821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0.23350000000000001</v>
      </c>
      <c r="C14" s="96">
        <v>0.95</v>
      </c>
      <c r="D14" s="56">
        <v>2.678762605614609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13.48044806079821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0.74299999999999999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3.8644699999999997E-2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6.0000000000000001E-3</v>
      </c>
      <c r="C18" s="96">
        <v>0.95</v>
      </c>
      <c r="D18" s="56">
        <v>8.7599345870809486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0.61310370000000003</v>
      </c>
      <c r="C19" s="96">
        <v>0.95</v>
      </c>
      <c r="D19" s="56">
        <v>1.4452504614591219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8.76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0.84200000000000008</v>
      </c>
      <c r="C23" s="96">
        <v>0.95</v>
      </c>
      <c r="D23" s="56">
        <v>4.4240020217934282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0.40880527835160002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3.3008449168710823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0.46719699999999997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0.25735599999999997</v>
      </c>
      <c r="C29" s="96">
        <v>0.95</v>
      </c>
      <c r="D29" s="56">
        <v>85.490303613946011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61.846785225718193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2.75E-2</v>
      </c>
      <c r="C31" s="96">
        <v>0.95</v>
      </c>
      <c r="D31" s="56">
        <v>110.71795584627964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0.61599999999999999</v>
      </c>
      <c r="C32" s="96">
        <v>0.95</v>
      </c>
      <c r="D32" s="56">
        <v>0.20312891796129737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0.30904199999999998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0.76286109999999996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6.5722000000000003E-3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0.23402229999999999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0.40267940000000002</v>
      </c>
      <c r="C38" s="96">
        <v>0.95</v>
      </c>
      <c r="D38" s="56">
        <v>1.1426001635322978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L1fe7DatoJdv41C4lNz7ofZp0kqit34KntIpW74A3kw59P/geVnAiT56nNpf+tuIy68EWU+xORSOmg+H+VnjPw==" saltValue="L67Z6X1/TDySsiI4OzP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i06DD3pYxN22MoeBr9hW7iZD/Y/lVTA8RO7sZTqK7AI0tRye7xYKzT/iziXrmr/47B0Wy2PeDGH/vv+TLcWDA==" saltValue="ZQyI3JZ16WB6XmUnWEez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t9X60WRxnM92/6x+io1FV3pPWx3A94uJGa+dE5D6ofri25N0Gerk6B9yjjp28EsIIme6eAJ1CHjYZ9MnSI9iA==" saltValue="vyajtqGCPM2cezDKO8p1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4.992</v>
      </c>
      <c r="C2" s="21">
        <f>'Données pop de l''année de ref'!C52</f>
        <v>4.992</v>
      </c>
      <c r="D2" s="21">
        <f>'Données pop de l''année de ref'!C53</f>
        <v>10.218</v>
      </c>
      <c r="E2" s="21">
        <f>'Données pop de l''année de ref'!C54</f>
        <v>8.0340000000000007</v>
      </c>
      <c r="F2" s="21">
        <f>'Données pop de l''année de ref'!C55</f>
        <v>3.163333333333334</v>
      </c>
    </row>
    <row r="3" spans="1:6" ht="15.75" customHeight="1" x14ac:dyDescent="0.25">
      <c r="A3" s="3" t="s">
        <v>238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237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2kyYxhEkJV+oK9MFeTI1lEUsfjkvPEiuDYENBDGLk0WudpUi/IetN8i9CJae9z6jQq04uqVwr+JitT7vskn4Eg==" saltValue="aE8sEPkCBysXEkerwKQn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YYUtl7BiFu8ECzyXCMTw80nJEkC50ML9UHn9QBO7TzrKssP1l7hSvGxjhy6//8O3P40pqlnyrpDrGP2WYZqEg==" saltValue="o8axj1UiFk+37rpUxw2/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uPKTUSRAgnyz2NV0yionwQtKeUHUkTtM88kHqFg/RfCouQVXRI6PCGRgoWvNm96Q6nGDeFrzmvxarz1TvOQxA==" saltValue="z+8ToHPXwRRnXK2jO/9H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b1S2hBnao2KfXn24PPvpx95afrQzXEz+b9G9bM+igUzTCf68m5RLppEnzfltjkik628wvZuDVH6AawAtHLi9A==" saltValue="+wLB/S0zWInQIF853FxG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ISY2b59pOMYHV1kmdcQy3LQwJWmmjkLKzBgj1hGAihrf07xRi8Psj3wsaXxY/J5N87BSmdz5r6LQWPT9dUzuw==" saltValue="8aAY8eOmNVuv62o9R0wp4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8e7cCrmjjDUrwpyliHF9xhovLIjdqbyUmar2/NY26WKOKKltfw2/ed1k5ZsPry8tJNvLCWBNXdoicpiOLCGjw==" saltValue="ot8hTvuRw1DmHfWDKf6T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XZyOSE8fWL51yivEI3/5KAMfr0tQlo7i/1mXUHlyhY5JMA0izSR8W9kt+YRi/MXJGBmUoNbTEWqXVCuWBFYUQ==" saltValue="IGr4D8LM8D5R5uGlJEGP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imwkv0btOOBsTuyIrZamWLzA7H+pB4K3iO+4CX4W701BFwFEOq9aQHNVM++Cm65sUoXyi6XOI5U0hpHIaAGZw==" saltValue="y88S2VHnX8X4qVw55bcpY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V7DJpK74Mg1D/1Gsqxg0p7ILhwsYB5V+/v3TKuQnSLpDDscasg2pmSuFCL2q0Zafyhxeiq3kRaWNlbJVGkZqg==" saltValue="43i562dV9iVZ9000QOe9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9cKlZK1tbGJGmlmuBNdoO2zc8E1kUUlx+247DibyUmyO2MOK4XRidswCbRcAOwkP4LhOSvjiCdN4TCfE8ntdg==" saltValue="vkbBk9LOqs0FahOaK4R7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VwuTkq6FQTBRpvh/js9FYmB+VKgBu5r0mnyEzsoYQNK6V4K5zhefbboY0gRHOvVusmdbMq6lTGiF8cUx7mpSQ==" saltValue="bWpzCFN4kt8VBpOP+T1l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ivHeH5b1eE5Fk1xwE7lgwjL9N6ZwqxJyjzigSftNitzJ07YClm/g6bUUiU7AWrkj5Mf8oi/w+Sxx3RyoNCKng==" saltValue="aTmwh8enNwW4Rfl+b3e5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UhqlNWdYlW4LnUUfeI1d5Mc5V1KB0l0n5p/hr7BXKcPemsmU2vfdYkixstAxB503rI0FIZ7Q21ACwh+C0zguA==" saltValue="GbHdljT8sddUHD+M8qog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bIiYW7SZAzZWnv7Dkn8/lcx8cKn8NV/pXn5An1z0RJlbUeRlzF+u2zFZ0kFmGrBWE0JQ7DZ5etRDp//Tt/nPA==" saltValue="dkhyVyv3sH8dmShdxKdC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+9HP2np7gJWLDaCl1VFHVAZTO4YGT+NTDbl+69YfXKMOQzTQ+KkZVakh89A9a518tKthWkAh4fq5R1/qZKMkw==" saltValue="Vssxdr+eJTp/ZYj8bdrO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Gy8jMoSBWzHmxUD/UOAxVNWdesxEgPLGo2HLlWjdxRvxBmtYAL6oa95RK8FgAIF0xVIMbrUA9UU4GPEJ/Aogw==" saltValue="Am2RYev1Zdo3WcW8xViS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