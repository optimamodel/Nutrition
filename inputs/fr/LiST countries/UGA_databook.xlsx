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C1CF271-91F7-404C-A731-3CDA7938C67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7" i="2" l="1"/>
  <c r="I13" i="2"/>
  <c r="A40" i="2"/>
  <c r="A23" i="2"/>
  <c r="A24" i="2"/>
  <c r="A25" i="2"/>
  <c r="I3" i="2"/>
  <c r="I6" i="2"/>
  <c r="I12" i="2"/>
  <c r="A35" i="2"/>
  <c r="A36" i="2"/>
  <c r="I9" i="2"/>
  <c r="I4" i="2"/>
  <c r="I2" i="2"/>
  <c r="I8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<sst xmlns="http://schemas.openxmlformats.org/spreadsheetml/2006/main" count="2169" uniqueCount="369">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</sst>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8152934.5</v>
      </c>
    </row>
    <row r="8" spans="1:3" ht="15" customHeight="1" x14ac:dyDescent="0.25">
      <c r="B8" s="5" t="s">
        <v>37</v>
      </c>
      <c r="C8" s="44">
        <v>0.20300000000000001</v>
      </c>
    </row>
    <row r="9" spans="1:3" ht="15" customHeight="1" x14ac:dyDescent="0.25">
      <c r="B9" s="5" t="s">
        <v>38</v>
      </c>
      <c r="C9" s="45">
        <v>0.73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0.10879999999999999</v>
      </c>
    </row>
    <row r="24" spans="1:3" ht="15" customHeight="1" x14ac:dyDescent="0.25">
      <c r="B24" s="15" t="s">
        <v>51</v>
      </c>
      <c r="C24" s="45">
        <v>0.53739999999999999</v>
      </c>
    </row>
    <row r="25" spans="1:3" ht="15" customHeight="1" x14ac:dyDescent="0.25">
      <c r="B25" s="15" t="s">
        <v>52</v>
      </c>
      <c r="C25" s="45">
        <v>0.29330000000000001</v>
      </c>
    </row>
    <row r="26" spans="1:3" ht="15" customHeight="1" x14ac:dyDescent="0.25">
      <c r="B26" s="15" t="s">
        <v>53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0.22259625228416199</v>
      </c>
    </row>
    <row r="30" spans="1:3" ht="14.25" customHeight="1" x14ac:dyDescent="0.25">
      <c r="B30" s="25" t="s">
        <v>56</v>
      </c>
      <c r="C30" s="97">
        <v>6.9957740305893898E-2</v>
      </c>
    </row>
    <row r="31" spans="1:3" ht="14.25" customHeight="1" x14ac:dyDescent="0.25">
      <c r="B31" s="25" t="s">
        <v>57</v>
      </c>
      <c r="C31" s="97">
        <v>0.118524449608315</v>
      </c>
    </row>
    <row r="32" spans="1:3" ht="14.25" customHeight="1" x14ac:dyDescent="0.25">
      <c r="B32" s="25" t="s">
        <v>58</v>
      </c>
      <c r="C32" s="97">
        <v>0.58892155780162903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19.007650000000002</v>
      </c>
    </row>
    <row r="38" spans="1:5" ht="15" customHeight="1" x14ac:dyDescent="0.25">
      <c r="B38" s="11" t="s">
        <v>63</v>
      </c>
      <c r="C38" s="43">
        <v>31.167809999999999</v>
      </c>
      <c r="D38" s="12"/>
      <c r="E38" s="13"/>
    </row>
    <row r="39" spans="1:5" ht="15" customHeight="1" x14ac:dyDescent="0.25">
      <c r="B39" s="11" t="s">
        <v>64</v>
      </c>
      <c r="C39" s="43">
        <v>42.12818</v>
      </c>
      <c r="D39" s="12"/>
      <c r="E39" s="12"/>
    </row>
    <row r="40" spans="1:5" ht="15" customHeight="1" x14ac:dyDescent="0.25">
      <c r="B40" s="11" t="s">
        <v>65</v>
      </c>
      <c r="C40" s="98">
        <v>2.84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8.5860999999999993E-3</v>
      </c>
      <c r="D45" s="12"/>
    </row>
    <row r="46" spans="1:5" ht="15.75" customHeight="1" x14ac:dyDescent="0.25">
      <c r="B46" s="11" t="s">
        <v>70</v>
      </c>
      <c r="C46" s="45">
        <v>9.0953300000000001E-2</v>
      </c>
      <c r="D46" s="12"/>
    </row>
    <row r="47" spans="1:5" ht="15.75" customHeight="1" x14ac:dyDescent="0.25">
      <c r="B47" s="11" t="s">
        <v>71</v>
      </c>
      <c r="C47" s="45">
        <v>0.15892729999999999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4.992</v>
      </c>
      <c r="D51" s="12"/>
    </row>
    <row r="52" spans="1:4" ht="15" customHeight="1" x14ac:dyDescent="0.25">
      <c r="B52" s="11" t="s">
        <v>75</v>
      </c>
      <c r="C52" s="98">
        <v>4.992</v>
      </c>
    </row>
    <row r="53" spans="1:4" ht="15.75" customHeight="1" x14ac:dyDescent="0.25">
      <c r="B53" s="11" t="s">
        <v>76</v>
      </c>
      <c r="C53" s="98">
        <v>10.218</v>
      </c>
    </row>
    <row r="54" spans="1:4" ht="15.75" customHeight="1" x14ac:dyDescent="0.25">
      <c r="B54" s="11" t="s">
        <v>77</v>
      </c>
      <c r="C54" s="98">
        <v>8.0340000000000007</v>
      </c>
    </row>
    <row r="55" spans="1:4" ht="15.75" customHeight="1" x14ac:dyDescent="0.25">
      <c r="B55" s="11" t="s">
        <v>78</v>
      </c>
      <c r="C55" s="98">
        <v>3.163333333333334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0.50075199999999997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Z/u6aelFFtRNDodvc5RWRd2lQIEWB5rw+s6KJIkuUrRReNb5i1PUCos9r9ImpLP9TZtq7scqqj7QBYRiUMCRg==" saltValue="LlcdhyYndgcmgE0rwJhy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1722321</v>
      </c>
      <c r="C2" s="49">
        <v>2904957</v>
      </c>
      <c r="D2" s="49">
        <v>4660165</v>
      </c>
      <c r="E2" s="49">
        <v>3025799.5</v>
      </c>
      <c r="F2" s="49">
        <v>1709647</v>
      </c>
      <c r="G2" s="17">
        <f t="shared" ref="G2:G13" si="0">C2+D2+E2+F2</f>
        <v>12300568.5</v>
      </c>
      <c r="H2" s="17">
        <f t="shared" ref="H2:H13" si="1">(B2 + stillbirth*B2/(1000-stillbirth))/(1-abortion)</f>
        <v>1987182.474645769</v>
      </c>
      <c r="I2" s="17">
        <f t="shared" ref="I2:I13" si="2">G2-H2</f>
        <v>10313386.025354231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1734565</v>
      </c>
      <c r="C3" s="50">
        <v>2961247.5</v>
      </c>
      <c r="D3" s="50">
        <v>4771467.5</v>
      </c>
      <c r="E3" s="50">
        <v>3192593</v>
      </c>
      <c r="F3" s="50">
        <v>1788593</v>
      </c>
      <c r="G3" s="17">
        <f t="shared" si="0"/>
        <v>12713901</v>
      </c>
      <c r="H3" s="17">
        <f t="shared" si="1"/>
        <v>2001309.3779463517</v>
      </c>
      <c r="I3" s="17">
        <f t="shared" si="2"/>
        <v>10712591.622053649</v>
      </c>
    </row>
    <row r="4" spans="1:9" ht="15.75" customHeight="1" x14ac:dyDescent="0.25">
      <c r="A4" s="5">
        <f t="shared" si="3"/>
        <v>2026</v>
      </c>
      <c r="B4" s="49">
        <v>1746979</v>
      </c>
      <c r="C4" s="50">
        <v>3022468</v>
      </c>
      <c r="D4" s="50">
        <v>4877207</v>
      </c>
      <c r="E4" s="50">
        <v>3356465.5</v>
      </c>
      <c r="F4" s="50">
        <v>1878319</v>
      </c>
      <c r="G4" s="17">
        <f t="shared" si="0"/>
        <v>13134459.5</v>
      </c>
      <c r="H4" s="17">
        <f t="shared" si="1"/>
        <v>2015632.4241382361</v>
      </c>
      <c r="I4" s="17">
        <f t="shared" si="2"/>
        <v>11118827.075861763</v>
      </c>
    </row>
    <row r="5" spans="1:9" ht="15.75" customHeight="1" x14ac:dyDescent="0.25">
      <c r="A5" s="5">
        <f t="shared" si="3"/>
        <v>2027</v>
      </c>
      <c r="B5" s="49">
        <v>1755617</v>
      </c>
      <c r="C5" s="50">
        <v>3084683.5</v>
      </c>
      <c r="D5" s="50">
        <v>4979074.0000000009</v>
      </c>
      <c r="E5" s="50">
        <v>3516698.5</v>
      </c>
      <c r="F5" s="50">
        <v>1979790.5</v>
      </c>
      <c r="G5" s="17">
        <f t="shared" si="0"/>
        <v>13560246.5</v>
      </c>
      <c r="H5" s="17">
        <f t="shared" si="1"/>
        <v>2025598.790579794</v>
      </c>
      <c r="I5" s="17">
        <f t="shared" si="2"/>
        <v>11534647.709420206</v>
      </c>
    </row>
    <row r="6" spans="1:9" ht="15.75" customHeight="1" x14ac:dyDescent="0.25">
      <c r="A6" s="5">
        <f t="shared" si="3"/>
        <v>2028</v>
      </c>
      <c r="B6" s="49">
        <v>1763999</v>
      </c>
      <c r="C6" s="50">
        <v>3145178</v>
      </c>
      <c r="D6" s="50">
        <v>5076901</v>
      </c>
      <c r="E6" s="50">
        <v>3674772</v>
      </c>
      <c r="F6" s="50">
        <v>2092215.5</v>
      </c>
      <c r="G6" s="17">
        <f t="shared" si="0"/>
        <v>13989066.5</v>
      </c>
      <c r="H6" s="17">
        <f t="shared" si="1"/>
        <v>2035269.7889026855</v>
      </c>
      <c r="I6" s="17">
        <f t="shared" si="2"/>
        <v>11953796.711097315</v>
      </c>
    </row>
    <row r="7" spans="1:9" ht="15.75" customHeight="1" x14ac:dyDescent="0.25">
      <c r="A7" s="5">
        <f t="shared" si="3"/>
        <v>2029</v>
      </c>
      <c r="B7" s="49">
        <v>1768048</v>
      </c>
      <c r="C7" s="50">
        <v>3200709.5</v>
      </c>
      <c r="D7" s="50">
        <v>5174097</v>
      </c>
      <c r="E7" s="50">
        <v>3830609.5</v>
      </c>
      <c r="F7" s="50">
        <v>2213551.5</v>
      </c>
      <c r="G7" s="17">
        <f t="shared" si="0"/>
        <v>14418967.5</v>
      </c>
      <c r="H7" s="17">
        <f t="shared" si="1"/>
        <v>2039941.4510608085</v>
      </c>
      <c r="I7" s="17">
        <f t="shared" si="2"/>
        <v>12379026.048939191</v>
      </c>
    </row>
    <row r="8" spans="1:9" ht="15.75" customHeight="1" x14ac:dyDescent="0.25">
      <c r="A8" s="5">
        <f t="shared" si="3"/>
        <v>2030</v>
      </c>
      <c r="B8" s="49">
        <v>1774307</v>
      </c>
      <c r="C8" s="50">
        <v>3250574.5</v>
      </c>
      <c r="D8" s="50">
        <v>5272361.5</v>
      </c>
      <c r="E8" s="50">
        <v>3983756</v>
      </c>
      <c r="F8" s="50">
        <v>2344194.5</v>
      </c>
      <c r="G8" s="17">
        <f t="shared" si="0"/>
        <v>14850886.5</v>
      </c>
      <c r="H8" s="17">
        <f t="shared" si="1"/>
        <v>2047162.9708058548</v>
      </c>
      <c r="I8" s="17">
        <f t="shared" si="2"/>
        <v>12803723.529194145</v>
      </c>
    </row>
    <row r="9" spans="1:9" ht="15.75" customHeight="1" x14ac:dyDescent="0.25">
      <c r="A9" s="5">
        <f t="shared" si="3"/>
        <v>2031</v>
      </c>
      <c r="B9" s="49">
        <v>1777142</v>
      </c>
      <c r="C9" s="50">
        <v>3298205</v>
      </c>
      <c r="D9" s="50">
        <v>5372209.5</v>
      </c>
      <c r="E9" s="50">
        <v>4132427</v>
      </c>
      <c r="F9" s="50">
        <v>2483043.5</v>
      </c>
      <c r="G9" s="17">
        <f t="shared" si="0"/>
        <v>15285885</v>
      </c>
      <c r="H9" s="17">
        <f t="shared" si="1"/>
        <v>2050433.9419637404</v>
      </c>
      <c r="I9" s="17">
        <f t="shared" si="2"/>
        <v>13235451.05803626</v>
      </c>
    </row>
    <row r="10" spans="1:9" ht="15.75" customHeight="1" x14ac:dyDescent="0.25">
      <c r="A10" s="5">
        <f t="shared" si="3"/>
        <v>2032</v>
      </c>
      <c r="B10" s="49">
        <v>1775279</v>
      </c>
      <c r="C10" s="50">
        <v>3349835.5</v>
      </c>
      <c r="D10" s="50">
        <v>5472117</v>
      </c>
      <c r="E10" s="50">
        <v>4274846</v>
      </c>
      <c r="F10" s="50">
        <v>2628769</v>
      </c>
      <c r="G10" s="17">
        <f t="shared" si="0"/>
        <v>15725567.5</v>
      </c>
      <c r="H10" s="17">
        <f t="shared" si="1"/>
        <v>2048284.4466314155</v>
      </c>
      <c r="I10" s="17">
        <f t="shared" si="2"/>
        <v>13677283.053368585</v>
      </c>
    </row>
    <row r="11" spans="1:9" ht="15.75" customHeight="1" x14ac:dyDescent="0.25">
      <c r="A11" s="5">
        <f t="shared" si="3"/>
        <v>2033</v>
      </c>
      <c r="B11" s="49">
        <v>1777616</v>
      </c>
      <c r="C11" s="50">
        <v>3411227</v>
      </c>
      <c r="D11" s="50">
        <v>5570642</v>
      </c>
      <c r="E11" s="50">
        <v>4407521</v>
      </c>
      <c r="F11" s="50">
        <v>2781966</v>
      </c>
      <c r="G11" s="17">
        <f t="shared" si="0"/>
        <v>16171356</v>
      </c>
      <c r="H11" s="17">
        <f t="shared" si="1"/>
        <v>2050980.8344959584</v>
      </c>
      <c r="I11" s="17">
        <f t="shared" si="2"/>
        <v>14120375.165504042</v>
      </c>
    </row>
    <row r="12" spans="1:9" ht="15.75" customHeight="1" x14ac:dyDescent="0.25">
      <c r="A12" s="5">
        <f t="shared" si="3"/>
        <v>2034</v>
      </c>
      <c r="B12" s="49">
        <v>1781575</v>
      </c>
      <c r="C12" s="50">
        <v>3482031</v>
      </c>
      <c r="D12" s="50">
        <v>5667859.5000000009</v>
      </c>
      <c r="E12" s="50">
        <v>4530098.5</v>
      </c>
      <c r="F12" s="50">
        <v>2942195</v>
      </c>
      <c r="G12" s="17">
        <f t="shared" si="0"/>
        <v>16622184</v>
      </c>
      <c r="H12" s="17">
        <f t="shared" si="1"/>
        <v>2055548.656299863</v>
      </c>
      <c r="I12" s="17">
        <f t="shared" si="2"/>
        <v>14566635.343700137</v>
      </c>
    </row>
    <row r="13" spans="1:9" ht="15.75" customHeight="1" x14ac:dyDescent="0.25">
      <c r="A13" s="5">
        <f t="shared" si="3"/>
        <v>2035</v>
      </c>
      <c r="B13" s="49">
        <v>1784547</v>
      </c>
      <c r="C13" s="50">
        <v>3559552.5</v>
      </c>
      <c r="D13" s="50">
        <v>5766959.0000000009</v>
      </c>
      <c r="E13" s="50">
        <v>4643116.5</v>
      </c>
      <c r="F13" s="50">
        <v>3107072</v>
      </c>
      <c r="G13" s="17">
        <f t="shared" si="0"/>
        <v>17076700</v>
      </c>
      <c r="H13" s="17">
        <f t="shared" si="1"/>
        <v>2058977.6955525037</v>
      </c>
      <c r="I13" s="17">
        <f t="shared" si="2"/>
        <v>15017722.304447496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PFZs+CWPndlZ9uRfCzLtsXDtWjIJf4OmOoHOUxwg37v6NwQICL16XCxgiV2YDxvXsTVGcQoQ1mcCnJ/9z//ew==" saltValue="8HEViqQwLRMD8+3+1SZ9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1.0454372387745971E-2</v>
      </c>
    </row>
    <row r="4" spans="1:8" ht="15.75" customHeight="1" x14ac:dyDescent="0.25">
      <c r="B4" s="19" t="s">
        <v>97</v>
      </c>
      <c r="C4" s="99">
        <v>5.7447537664464247E-2</v>
      </c>
    </row>
    <row r="5" spans="1:8" ht="15.75" customHeight="1" x14ac:dyDescent="0.25">
      <c r="B5" s="19" t="s">
        <v>98</v>
      </c>
      <c r="C5" s="99">
        <v>7.8656835258910388E-2</v>
      </c>
    </row>
    <row r="6" spans="1:8" ht="15.75" customHeight="1" x14ac:dyDescent="0.25">
      <c r="B6" s="19" t="s">
        <v>99</v>
      </c>
      <c r="C6" s="99">
        <v>0.24881278132399531</v>
      </c>
    </row>
    <row r="7" spans="1:8" ht="15.75" customHeight="1" x14ac:dyDescent="0.25">
      <c r="B7" s="19" t="s">
        <v>100</v>
      </c>
      <c r="C7" s="99">
        <v>0.41129992498193729</v>
      </c>
    </row>
    <row r="8" spans="1:8" ht="15.75" customHeight="1" x14ac:dyDescent="0.25">
      <c r="B8" s="19" t="s">
        <v>101</v>
      </c>
      <c r="C8" s="99">
        <v>1.509972556784409E-3</v>
      </c>
    </row>
    <row r="9" spans="1:8" ht="15.75" customHeight="1" x14ac:dyDescent="0.25">
      <c r="B9" s="19" t="s">
        <v>102</v>
      </c>
      <c r="C9" s="99">
        <v>7.6515821923355931E-2</v>
      </c>
    </row>
    <row r="10" spans="1:8" ht="15.75" customHeight="1" x14ac:dyDescent="0.25">
      <c r="B10" s="19" t="s">
        <v>103</v>
      </c>
      <c r="C10" s="99">
        <v>0.11530275390280641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106</v>
      </c>
      <c r="C15" s="99">
        <v>0.15892959747947849</v>
      </c>
      <c r="D15" s="99">
        <v>0.15892959747947849</v>
      </c>
      <c r="E15" s="99">
        <v>0.15892959747947849</v>
      </c>
      <c r="F15" s="99">
        <v>0.15892959747947849</v>
      </c>
    </row>
    <row r="16" spans="1:8" ht="15.75" customHeight="1" x14ac:dyDescent="0.25">
      <c r="B16" s="19" t="s">
        <v>107</v>
      </c>
      <c r="C16" s="99">
        <v>3.1766896862756487E-2</v>
      </c>
      <c r="D16" s="99">
        <v>3.1766896862756487E-2</v>
      </c>
      <c r="E16" s="99">
        <v>3.1766896862756487E-2</v>
      </c>
      <c r="F16" s="99">
        <v>3.1766896862756487E-2</v>
      </c>
    </row>
    <row r="17" spans="1:8" ht="15.75" customHeight="1" x14ac:dyDescent="0.25">
      <c r="B17" s="19" t="s">
        <v>108</v>
      </c>
      <c r="C17" s="99">
        <v>7.9758861633680775E-3</v>
      </c>
      <c r="D17" s="99">
        <v>7.9758861633680775E-3</v>
      </c>
      <c r="E17" s="99">
        <v>7.9758861633680775E-3</v>
      </c>
      <c r="F17" s="99">
        <v>7.9758861633680775E-3</v>
      </c>
    </row>
    <row r="18" spans="1:8" ht="15.75" customHeight="1" x14ac:dyDescent="0.25">
      <c r="B18" s="19" t="s">
        <v>109</v>
      </c>
      <c r="C18" s="99">
        <v>0.2244074142638485</v>
      </c>
      <c r="D18" s="99">
        <v>0.2244074142638485</v>
      </c>
      <c r="E18" s="99">
        <v>0.2244074142638485</v>
      </c>
      <c r="F18" s="99">
        <v>0.2244074142638485</v>
      </c>
    </row>
    <row r="19" spans="1:8" ht="15.75" customHeight="1" x14ac:dyDescent="0.25">
      <c r="B19" s="19" t="s">
        <v>110</v>
      </c>
      <c r="C19" s="99">
        <v>4.7191213219728113E-2</v>
      </c>
      <c r="D19" s="99">
        <v>4.7191213219728113E-2</v>
      </c>
      <c r="E19" s="99">
        <v>4.7191213219728113E-2</v>
      </c>
      <c r="F19" s="99">
        <v>4.7191213219728113E-2</v>
      </c>
    </row>
    <row r="20" spans="1:8" ht="15.75" customHeight="1" x14ac:dyDescent="0.25">
      <c r="B20" s="19" t="s">
        <v>111</v>
      </c>
      <c r="C20" s="99">
        <v>0.10703010014399091</v>
      </c>
      <c r="D20" s="99">
        <v>0.10703010014399091</v>
      </c>
      <c r="E20" s="99">
        <v>0.10703010014399091</v>
      </c>
      <c r="F20" s="99">
        <v>0.10703010014399091</v>
      </c>
    </row>
    <row r="21" spans="1:8" ht="15.75" customHeight="1" x14ac:dyDescent="0.25">
      <c r="B21" s="19" t="s">
        <v>112</v>
      </c>
      <c r="C21" s="99">
        <v>0.104515186544913</v>
      </c>
      <c r="D21" s="99">
        <v>0.104515186544913</v>
      </c>
      <c r="E21" s="99">
        <v>0.104515186544913</v>
      </c>
      <c r="F21" s="99">
        <v>0.104515186544913</v>
      </c>
    </row>
    <row r="22" spans="1:8" ht="15.75" customHeight="1" x14ac:dyDescent="0.25">
      <c r="B22" s="19" t="s">
        <v>113</v>
      </c>
      <c r="C22" s="99">
        <v>0.21971343883680561</v>
      </c>
      <c r="D22" s="99">
        <v>0.21971343883680561</v>
      </c>
      <c r="E22" s="99">
        <v>0.21971343883680561</v>
      </c>
      <c r="F22" s="99">
        <v>0.21971343883680561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8.465819899999999E-2</v>
      </c>
    </row>
    <row r="27" spans="1:8" ht="15.75" customHeight="1" x14ac:dyDescent="0.25">
      <c r="B27" s="19" t="s">
        <v>120</v>
      </c>
      <c r="C27" s="99">
        <v>8.3993499999999999E-3</v>
      </c>
    </row>
    <row r="28" spans="1:8" ht="15.75" customHeight="1" x14ac:dyDescent="0.25">
      <c r="B28" s="19" t="s">
        <v>121</v>
      </c>
      <c r="C28" s="99">
        <v>0.14948149299999999</v>
      </c>
    </row>
    <row r="29" spans="1:8" ht="15.75" customHeight="1" x14ac:dyDescent="0.25">
      <c r="B29" s="19" t="s">
        <v>122</v>
      </c>
      <c r="C29" s="99">
        <v>0.16164467800000001</v>
      </c>
    </row>
    <row r="30" spans="1:8" ht="15.75" customHeight="1" x14ac:dyDescent="0.25">
      <c r="B30" s="19" t="s">
        <v>2</v>
      </c>
      <c r="C30" s="99">
        <v>0.100545357</v>
      </c>
    </row>
    <row r="31" spans="1:8" ht="15.75" customHeight="1" x14ac:dyDescent="0.25">
      <c r="B31" s="19" t="s">
        <v>123</v>
      </c>
      <c r="C31" s="99">
        <v>0.10497287399999999</v>
      </c>
    </row>
    <row r="32" spans="1:8" ht="15.75" customHeight="1" x14ac:dyDescent="0.25">
      <c r="B32" s="19" t="s">
        <v>124</v>
      </c>
      <c r="C32" s="99">
        <v>1.7941111999999999E-2</v>
      </c>
    </row>
    <row r="33" spans="2:3" ht="15.75" customHeight="1" x14ac:dyDescent="0.25">
      <c r="B33" s="19" t="s">
        <v>125</v>
      </c>
      <c r="C33" s="99">
        <v>8.1330947000000015E-2</v>
      </c>
    </row>
    <row r="34" spans="2:3" ht="15.75" customHeight="1" x14ac:dyDescent="0.25">
      <c r="B34" s="19" t="s">
        <v>126</v>
      </c>
      <c r="C34" s="99">
        <v>0.29102599000000001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Hs2HaE71kP9+Eb6dq+C/TdJXzlbSsS1Bg/CBGR3aYuhmO49mKegdqZfoV5fi8j/l1BiC07jvV8i+rae9qFxPQQ==" saltValue="7Kr9DYeiAB39q7emBd/h/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132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133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137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138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Rytg3N1rAJSgyhBDvKZFBl5NkXFK+uPMTnhh8k82+Lq8kqhyWpTHzoiXPd2kcjlSfFnI3+aEVExpfpz/VK5iw==" saltValue="pHxhoW7j9C2eXkBXNCYq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YC5AtG+Q4nyotn//XitCDdbHNBZ8QhsbIK3+zyh29VK7/SbmVOmkDX0pHFDdytH+W+24Bjsz5MqUZOjqT2JbYg==" saltValue="Kib0HuCpYmj9Er13ol9g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VGCs5B85QNfYKuBiajsZlb1ZXQiuB44Ayhm8VAX4i9ebYJl2Pb2gI7XgRJDbzat6fs1Vf3/g7EBAnubfRVbpw==" saltValue="eLh3HqYvYW8P5Lu0kOLBG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964.39586947645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0.39256999999999997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0.68444999999999989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1.5094316499999998E-2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95463.978789999994</v>
      </c>
      <c r="C22" s="107">
        <v>94644.600479999994</v>
      </c>
      <c r="D22" s="107">
        <v>94127.057509999999</v>
      </c>
      <c r="E22" s="107">
        <v>93507.416930000007</v>
      </c>
      <c r="F22" s="107">
        <v>92720.027900000001</v>
      </c>
      <c r="G22" s="107">
        <v>91727.476999999999</v>
      </c>
      <c r="H22" s="107">
        <v>90398.948910000006</v>
      </c>
      <c r="I22" s="107">
        <v>88630.066300000006</v>
      </c>
      <c r="J22" s="107">
        <v>86228.513179999994</v>
      </c>
      <c r="K22" s="107">
        <v>83097.817949999997</v>
      </c>
      <c r="L22" s="107">
        <v>78799.270019999996</v>
      </c>
      <c r="M22" s="107">
        <v>73242.03211</v>
      </c>
      <c r="N22" s="107">
        <v>65760.368690000003</v>
      </c>
      <c r="O22" s="107">
        <v>56228.337090000001</v>
      </c>
    </row>
  </sheetData>
  <sheetProtection algorithmName="SHA-512" hashValue="Hw2XXP4Mwf5vGbbKZXBczqf4nn40gg96n88st795NNXUGVy6ggTfU/rh+AoejecZo0qX3elDGi9/hi9xk6Exog==" saltValue="PwHzHXaG75frXPN77Uw0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LrxK+ZTYGgDJXDLEy5e6cAGy9IvM1UvcZmimLsBZZ71ayHW4221mXHlN4VWbX8rIkAvOUXuHspSfPXC5BYpMw==" saltValue="MTHqlDJk+WJxjPr2dtRn4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PbkJowLRY4NJs4xUYc+Y1/1mPJuG1O075X06K8fbMK1k4T52uS47ROsRByyOYADa+gfR5HImtnR607P9Rg2iwg==" saltValue="C9dx4SCyshMzwnM3ggFw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8.76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0.20312891796129737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0.2257797</v>
      </c>
      <c r="C10" s="96">
        <v>0.95</v>
      </c>
      <c r="D10" s="56">
        <v>13.48044806079821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13.48044806079821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13.48044806079821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13.48044806079821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0.23350000000000001</v>
      </c>
      <c r="C14" s="96">
        <v>0.95</v>
      </c>
      <c r="D14" s="56">
        <v>2.678762605614609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13.48044806079821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0.74299999999999999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3.8644699999999997E-2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6.0000000000000001E-3</v>
      </c>
      <c r="C18" s="96">
        <v>0.95</v>
      </c>
      <c r="D18" s="56">
        <v>8.7599345870809486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0.61310370000000003</v>
      </c>
      <c r="C19" s="96">
        <v>0.95</v>
      </c>
      <c r="D19" s="56">
        <v>1.4452504614591219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8.76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0.84200000000000008</v>
      </c>
      <c r="C23" s="96">
        <v>0.95</v>
      </c>
      <c r="D23" s="56">
        <v>4.4240020217934282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0.40880527835160002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3.3008449168710823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0.46719699999999997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0.25735599999999997</v>
      </c>
      <c r="C29" s="96">
        <v>0.95</v>
      </c>
      <c r="D29" s="56">
        <v>85.490303613946011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61.846785225718193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2.75E-2</v>
      </c>
      <c r="C31" s="96">
        <v>0.95</v>
      </c>
      <c r="D31" s="56">
        <v>110.71795584627964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0.61599999999999999</v>
      </c>
      <c r="C32" s="96">
        <v>0.95</v>
      </c>
      <c r="D32" s="56">
        <v>0.20312891796129737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0.30904199999999998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0.76286109999999996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6.5722000000000003E-3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0.23402229999999999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0.40267940000000002</v>
      </c>
      <c r="C38" s="96">
        <v>0.95</v>
      </c>
      <c r="D38" s="56">
        <v>1.1426001635322978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Chx2LUVjTdxGZaKqrgQwwyrfJNEGiViqFavLNJKGeBGJMyfxITH+AQWacMOBgichZsP9HYSHkJenyWc7sYAmSw==" saltValue="12yfou4LUv0POQ0ttk++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4qBXIufU30A7EdVNFfcS2T5MTbZuv6ro7miClFptCDPJWIVSNfrApB4O+UHF6CXevIyafDa63xWoKiQqZkT/w==" saltValue="h0BPfRF0YME5A/48S0Dr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1TaOBOkBf4wR98BYoFcfou3Zbm9Crw7lzLRwurYTZ9N+wHjiwF2YilShz2fttWq8IiqCz3r5AaqR3dYVqWE1Q==" saltValue="h3XlcUuC7BRrlULFXPC/Q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4.992</v>
      </c>
      <c r="C2" s="21">
        <f>'Données pop de l''année de ref'!C52</f>
        <v>4.992</v>
      </c>
      <c r="D2" s="21">
        <f>'Données pop de l''année de ref'!C53</f>
        <v>10.218</v>
      </c>
      <c r="E2" s="21">
        <f>'Données pop de l''année de ref'!C54</f>
        <v>8.0340000000000007</v>
      </c>
      <c r="F2" s="21">
        <f>'Données pop de l''année de ref'!C55</f>
        <v>3.163333333333334</v>
      </c>
    </row>
    <row r="3" spans="1:6" ht="15.75" customHeight="1" x14ac:dyDescent="0.25">
      <c r="A3" s="3" t="s">
        <v>238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237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HISvpw9jtum/++KtD8+S33LEzXG/QbE68ocJc6gj+RbJK+ia5l8kxTEvhk4zvYMe4QKhP3REeMZFBmP/1rrMrg==" saltValue="h98d8dderGmmAVlYC30NX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lFML0AELwxUtT4sWsPnKCEUN3ETeP6vTZ5qBCRjv5Au8Lt623h4SGwILf33vka0w4/8msRZ74qetKkenFHFRg==" saltValue="JUkRuuTa3iPscHOlt44JR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M/5i2O0SUKvfsb38JNV67qBVo/EWrh9HiZzTZGpJXjPzhXTMXAvIW7D0OgcW3tRMGxLSH2P7N2zBXYLfFB2GlA==" saltValue="CaSAU/MsyaX4RBH+HOyv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m+OU8U6ZiPSGAEPeogLFSJmto4HGfXppDQ3PNPMfPxyqBbNKOI9eaaCg17b5cr1+292hPvOv9P7kt7qPgXf8A==" saltValue="WohggQGK/vVOlHIrONjPO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E7J+YKhDlvJFgEc0h6Xhk3taSp6ZKbYtrUWRPaH1PTKCi1Lu8fIIoC7lBWEsqxkwcYNoMOw4WY3s0W4w97KCA==" saltValue="G0jaVQf2jm7xiH/D55Zv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NwDEJt25VcergM98Zc3hzYgYUsyt80fwJEYazyXZlUj1TMe3bvtNsVptnDcRFPCENFQSD8gaitToys0DIJuC2g==" saltValue="tIoTVChcFsJB26nOD4E+5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Ipsie5xUswIyC/CHGUfDoqv/1qbEF2NYY+YBjFxQoHgxVGk0VktJy2rcN0RZG22oet7/qIc5CQBIOVo15MX4A==" saltValue="BzWO67Cb/H8q/qgQzuGW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bIa3EnVthhgEOdLYNTA1egXbSEJiU028Z/gvdQgTVsW7K9id5iQmstbRQ5E2IJj5FmWpX1cG5xkjQw3G/YqRw==" saltValue="Lk72vPZRajHS0hZ9d5on5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acFvC0lpP+Jv2gojmRY1cI+mo8xAo2CDlQ0y7F6KxtraSxlDjlL7ppnkn6VhNqPwWNuxm5RpotNF8sAEwAC68A==" saltValue="JKB7w7zDkhFUk1XDCSRU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FSivcIGt0yFYiBw2G+5aOBHtoLhTdiMypfZvAmrwCMQ/gMGYqKkj3XTHf2zJnkbnrTvYqVkOdZqwqVhqxtjtg==" saltValue="ZzpuC31atG6GpFu9ZpyJ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ar19hzDQWQsAK3R4ZN8CLoqb1C9bywsmDQUEr2GETRerpzDqPlIpWFAATEGtsh2j+xSxBVfQwimm2XFeWIS9w==" saltValue="Vk9FxVJZxPNUDY/f/kk2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uEwVVcGMHPdvysVKdOgRP+sZ0Uy4tc3UToZHJa7MN/Fbs00B2N2vGALMGlo/qkBQWPrw5PT/vgxYKz1lWaA8g==" saltValue="mm9ZUo4ULc0Cec0Uqwtf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mMWNw/33qGjALZf8dkVgHEM+jIIG28FTrdHp5vDiE+jWjDCOiPMnt26O9afyZBzjHe+WgYEuahmgejFd1QLXQ==" saltValue="vFMmEOi5wWDtdWfIm94O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B6QN3ZKYUi7RFRetxVOzUyVGiPtzOprp9CA5Nsfyg/IuHboJ/fqxj7/96g+4kqjCsZTKqGDci+8/BTDfm2pyg==" saltValue="IFHRsKUqH9noKnK6hRX17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3tW9vHrQsMHfacfwSD0zunzL/FP/kUhcEO2tbrLy10uQs3NBXlXYQlC54tNOqjBbdpBnt1CHmbJ7KwAiZlkTbw==" saltValue="0cajxOBF1FBv4cnvHcFB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l1mr5qp8QARBd7JXnIV6QXJ0fe8/vgft7acCW4N6RQQiexMxloD9/wClgIvkT5HEHiPDlOKR4sfSKRHCXhs/A==" saltValue="jQEW2BLfFKDxrF/N8cSu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