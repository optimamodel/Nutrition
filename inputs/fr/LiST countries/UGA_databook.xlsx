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CD513011-CEA6-4F56-A194-B8B5B5637A45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H38" i="2"/>
  <c r="G38" i="2"/>
  <c r="I38" i="2" s="1"/>
  <c r="A31" i="2"/>
  <c r="A23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I5" i="2" s="1"/>
  <c r="H4" i="2"/>
  <c r="G4" i="2"/>
  <c r="I4" i="2" s="1"/>
  <c r="H3" i="2"/>
  <c r="G3" i="2"/>
  <c r="I3" i="2" s="1"/>
  <c r="H2" i="2"/>
  <c r="G2" i="2"/>
  <c r="A2" i="2"/>
  <c r="A40" i="2" s="1"/>
  <c r="C33" i="1"/>
  <c r="C20" i="1"/>
  <c r="I2" i="2" l="1"/>
  <c r="I6" i="2"/>
  <c r="I10" i="2"/>
  <c r="A15" i="2"/>
  <c r="A16" i="2"/>
  <c r="A32" i="2"/>
  <c r="A24" i="2"/>
  <c r="A17" i="2"/>
  <c r="A25" i="2"/>
  <c r="A33" i="2"/>
  <c r="A34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26" i="2"/>
  <c r="A39" i="2"/>
  <c r="A19" i="2"/>
  <c r="A27" i="2"/>
  <c r="A35" i="2"/>
  <c r="A18" i="2"/>
  <c r="A20" i="2"/>
  <c r="A28" i="2"/>
  <c r="A36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<sst xmlns="http://schemas.openxmlformats.org/spreadsheetml/2006/main" count="2101" uniqueCount="337">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</sst>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8263459.6875</v>
      </c>
    </row>
    <row r="8" spans="1:3" ht="15" customHeight="1" x14ac:dyDescent="0.25">
      <c r="B8" s="5" t="s">
        <v>19</v>
      </c>
      <c r="C8" s="44">
        <v>0.41699999999999998</v>
      </c>
    </row>
    <row r="9" spans="1:3" ht="15" customHeight="1" x14ac:dyDescent="0.25">
      <c r="B9" s="5" t="s">
        <v>20</v>
      </c>
      <c r="C9" s="45">
        <v>0.73</v>
      </c>
    </row>
    <row r="10" spans="1:3" ht="15" customHeight="1" x14ac:dyDescent="0.25">
      <c r="B10" s="5" t="s">
        <v>21</v>
      </c>
      <c r="C10" s="45">
        <v>0.32603321079999997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0.501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0.10879999999999999</v>
      </c>
    </row>
    <row r="24" spans="1:3" ht="15" customHeight="1" x14ac:dyDescent="0.25">
      <c r="B24" s="15" t="s">
        <v>33</v>
      </c>
      <c r="C24" s="45">
        <v>0.53739999999999999</v>
      </c>
    </row>
    <row r="25" spans="1:3" ht="15" customHeight="1" x14ac:dyDescent="0.25">
      <c r="B25" s="15" t="s">
        <v>34</v>
      </c>
      <c r="C25" s="45">
        <v>0.29330000000000001</v>
      </c>
    </row>
    <row r="26" spans="1:3" ht="15" customHeight="1" x14ac:dyDescent="0.25">
      <c r="B26" s="15" t="s">
        <v>35</v>
      </c>
      <c r="C26" s="45">
        <v>6.0499999999999998E-2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0.22259625228416199</v>
      </c>
    </row>
    <row r="30" spans="1:3" ht="14.25" customHeight="1" x14ac:dyDescent="0.25">
      <c r="B30" s="25" t="s">
        <v>38</v>
      </c>
      <c r="C30" s="99">
        <v>6.9957740305893898E-2</v>
      </c>
    </row>
    <row r="31" spans="1:3" ht="14.25" customHeight="1" x14ac:dyDescent="0.25">
      <c r="B31" s="25" t="s">
        <v>39</v>
      </c>
      <c r="C31" s="99">
        <v>0.118524449608315</v>
      </c>
    </row>
    <row r="32" spans="1:3" ht="14.25" customHeight="1" x14ac:dyDescent="0.25">
      <c r="B32" s="25" t="s">
        <v>40</v>
      </c>
      <c r="C32" s="99">
        <v>0.58892155780162903</v>
      </c>
    </row>
    <row r="33" spans="1:5" ht="13" customHeight="1" x14ac:dyDescent="0.25">
      <c r="B33" s="27" t="s">
        <v>41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19.007650000000002</v>
      </c>
    </row>
    <row r="38" spans="1:5" ht="15" customHeight="1" x14ac:dyDescent="0.25">
      <c r="B38" s="11" t="s">
        <v>45</v>
      </c>
      <c r="C38" s="43">
        <v>31.167809999999999</v>
      </c>
      <c r="D38" s="12"/>
      <c r="E38" s="13"/>
    </row>
    <row r="39" spans="1:5" ht="15" customHeight="1" x14ac:dyDescent="0.25">
      <c r="B39" s="11" t="s">
        <v>46</v>
      </c>
      <c r="C39" s="43">
        <v>42.12818</v>
      </c>
      <c r="D39" s="12"/>
      <c r="E39" s="12"/>
    </row>
    <row r="40" spans="1:5" ht="15" customHeight="1" x14ac:dyDescent="0.25">
      <c r="B40" s="11" t="s">
        <v>47</v>
      </c>
      <c r="C40" s="100">
        <v>2.84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15.09651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8.5860999999999993E-3</v>
      </c>
      <c r="D45" s="12"/>
    </row>
    <row r="46" spans="1:5" ht="15.75" customHeight="1" x14ac:dyDescent="0.25">
      <c r="B46" s="11" t="s">
        <v>52</v>
      </c>
      <c r="C46" s="45">
        <v>9.0953300000000001E-2</v>
      </c>
      <c r="D46" s="12"/>
    </row>
    <row r="47" spans="1:5" ht="15.75" customHeight="1" x14ac:dyDescent="0.25">
      <c r="B47" s="11" t="s">
        <v>53</v>
      </c>
      <c r="C47" s="45">
        <v>0.15892729999999999</v>
      </c>
      <c r="D47" s="12"/>
      <c r="E47" s="13"/>
    </row>
    <row r="48" spans="1:5" ht="15" customHeight="1" x14ac:dyDescent="0.25">
      <c r="B48" s="11" t="s">
        <v>54</v>
      </c>
      <c r="C48" s="46">
        <v>0.74153329999999995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0.50075199999999997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w+05kNfYU0c/2yFDJnPH2z6k5Je5byLG15dNKHZflY7oq49SYpKpBPQEV0F3MyJxWIprfvST15HbaoayjCDhCg==" saltValue="qUxO++yIXi+B4BNpPS6b3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1737582</v>
      </c>
      <c r="C2" s="49">
        <v>3553211</v>
      </c>
      <c r="D2" s="49">
        <v>4693966.5</v>
      </c>
      <c r="E2" s="49">
        <v>3025619</v>
      </c>
      <c r="F2" s="49">
        <v>1473895.5</v>
      </c>
      <c r="G2" s="17">
        <f t="shared" ref="G2:G13" si="0">C2+D2+E2+F2</f>
        <v>12746692</v>
      </c>
      <c r="H2" s="17">
        <f t="shared" ref="H2:H13" si="1">(B2 + stillbirth*B2/(1000-stillbirth))/(1-abortion)</f>
        <v>2004790.3373761019</v>
      </c>
      <c r="I2" s="17">
        <f t="shared" ref="I2:I13" si="2">G2-H2</f>
        <v>10741901.662623897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1749115</v>
      </c>
      <c r="C3" s="50">
        <v>3629597</v>
      </c>
      <c r="D3" s="50">
        <v>4820530</v>
      </c>
      <c r="E3" s="50">
        <v>3177005</v>
      </c>
      <c r="F3" s="50">
        <v>1532516.5</v>
      </c>
      <c r="G3" s="17">
        <f t="shared" si="0"/>
        <v>13159648.5</v>
      </c>
      <c r="H3" s="17">
        <f t="shared" si="1"/>
        <v>2018096.9018783574</v>
      </c>
      <c r="I3" s="17">
        <f t="shared" si="2"/>
        <v>11141551.598121643</v>
      </c>
    </row>
    <row r="4" spans="1:9" ht="15.75" customHeight="1" x14ac:dyDescent="0.25">
      <c r="A4" s="5">
        <f t="shared" si="3"/>
        <v>2026</v>
      </c>
      <c r="B4" s="49">
        <v>1759703</v>
      </c>
      <c r="C4" s="50">
        <v>3707641</v>
      </c>
      <c r="D4" s="50">
        <v>4949977</v>
      </c>
      <c r="E4" s="50">
        <v>3327171.5</v>
      </c>
      <c r="F4" s="50">
        <v>1600432</v>
      </c>
      <c r="G4" s="17">
        <f t="shared" si="0"/>
        <v>13585221.5</v>
      </c>
      <c r="H4" s="17">
        <f t="shared" si="1"/>
        <v>2030313.142661318</v>
      </c>
      <c r="I4" s="17">
        <f t="shared" si="2"/>
        <v>11554908.357338682</v>
      </c>
    </row>
    <row r="5" spans="1:9" ht="15.75" customHeight="1" x14ac:dyDescent="0.25">
      <c r="A5" s="5">
        <f t="shared" si="3"/>
        <v>2027</v>
      </c>
      <c r="B5" s="49">
        <v>1768718</v>
      </c>
      <c r="C5" s="50">
        <v>3785655</v>
      </c>
      <c r="D5" s="50">
        <v>5083774</v>
      </c>
      <c r="E5" s="50">
        <v>3475196</v>
      </c>
      <c r="F5" s="50">
        <v>1679592</v>
      </c>
      <c r="G5" s="17">
        <f t="shared" si="0"/>
        <v>14024217</v>
      </c>
      <c r="H5" s="17">
        <f t="shared" si="1"/>
        <v>2040714.4848088804</v>
      </c>
      <c r="I5" s="17">
        <f t="shared" si="2"/>
        <v>11983502.515191119</v>
      </c>
    </row>
    <row r="6" spans="1:9" ht="15.75" customHeight="1" x14ac:dyDescent="0.25">
      <c r="A6" s="5">
        <f t="shared" si="3"/>
        <v>2028</v>
      </c>
      <c r="B6" s="49">
        <v>1783220</v>
      </c>
      <c r="C6" s="50">
        <v>3862387.5</v>
      </c>
      <c r="D6" s="50">
        <v>5219198</v>
      </c>
      <c r="E6" s="50">
        <v>3621839</v>
      </c>
      <c r="F6" s="50">
        <v>1769830</v>
      </c>
      <c r="G6" s="17">
        <f t="shared" si="0"/>
        <v>14473254.5</v>
      </c>
      <c r="H6" s="17">
        <f t="shared" si="1"/>
        <v>2057446.627218636</v>
      </c>
      <c r="I6" s="17">
        <f t="shared" si="2"/>
        <v>12415807.872781364</v>
      </c>
    </row>
    <row r="7" spans="1:9" ht="15.75" customHeight="1" x14ac:dyDescent="0.25">
      <c r="A7" s="5">
        <f t="shared" si="3"/>
        <v>2029</v>
      </c>
      <c r="B7" s="49">
        <v>1789966</v>
      </c>
      <c r="C7" s="50">
        <v>3935620.5</v>
      </c>
      <c r="D7" s="50">
        <v>5356225</v>
      </c>
      <c r="E7" s="50">
        <v>3767394</v>
      </c>
      <c r="F7" s="50">
        <v>1869604</v>
      </c>
      <c r="G7" s="17">
        <f t="shared" si="0"/>
        <v>14928843.5</v>
      </c>
      <c r="H7" s="17">
        <f t="shared" si="1"/>
        <v>2065230.0386581763</v>
      </c>
      <c r="I7" s="17">
        <f t="shared" si="2"/>
        <v>12863613.461341824</v>
      </c>
    </row>
    <row r="8" spans="1:9" ht="15.75" customHeight="1" x14ac:dyDescent="0.25">
      <c r="A8" s="5">
        <f t="shared" si="3"/>
        <v>2030</v>
      </c>
      <c r="B8" s="49">
        <v>1797092</v>
      </c>
      <c r="C8" s="50">
        <v>4003942</v>
      </c>
      <c r="D8" s="50">
        <v>5495358</v>
      </c>
      <c r="E8" s="50">
        <v>3912559</v>
      </c>
      <c r="F8" s="50">
        <v>1977956.5</v>
      </c>
      <c r="G8" s="17">
        <f t="shared" si="0"/>
        <v>15389815.5</v>
      </c>
      <c r="H8" s="17">
        <f t="shared" si="1"/>
        <v>2073451.8871488615</v>
      </c>
      <c r="I8" s="17">
        <f t="shared" si="2"/>
        <v>13316363.612851139</v>
      </c>
    </row>
    <row r="9" spans="1:9" ht="15.75" customHeight="1" x14ac:dyDescent="0.25">
      <c r="A9" s="5">
        <f t="shared" si="3"/>
        <v>2031</v>
      </c>
      <c r="B9" s="49">
        <v>1796738</v>
      </c>
      <c r="C9" s="50">
        <v>4072992.5</v>
      </c>
      <c r="D9" s="50">
        <v>5635081.4999999991</v>
      </c>
      <c r="E9" s="50">
        <v>4057325.5</v>
      </c>
      <c r="F9" s="50">
        <v>2094491</v>
      </c>
      <c r="G9" s="17">
        <f t="shared" si="0"/>
        <v>15859890.5</v>
      </c>
      <c r="H9" s="17">
        <f t="shared" si="1"/>
        <v>2073043.4484222685</v>
      </c>
      <c r="I9" s="17">
        <f t="shared" si="2"/>
        <v>13786847.051577732</v>
      </c>
    </row>
    <row r="10" spans="1:9" ht="15.75" customHeight="1" x14ac:dyDescent="0.25">
      <c r="A10" s="5">
        <f t="shared" si="3"/>
        <v>2032</v>
      </c>
      <c r="B10" s="49">
        <v>1813939</v>
      </c>
      <c r="C10" s="50">
        <v>4148952.5</v>
      </c>
      <c r="D10" s="50">
        <v>5773410</v>
      </c>
      <c r="E10" s="50">
        <v>4201227</v>
      </c>
      <c r="F10" s="50">
        <v>2217594.5</v>
      </c>
      <c r="G10" s="17">
        <f t="shared" si="0"/>
        <v>16341184</v>
      </c>
      <c r="H10" s="17">
        <f t="shared" si="1"/>
        <v>2092889.6476768684</v>
      </c>
      <c r="I10" s="17">
        <f t="shared" si="2"/>
        <v>14248294.352323132</v>
      </c>
    </row>
    <row r="11" spans="1:9" ht="15.75" customHeight="1" x14ac:dyDescent="0.25">
      <c r="A11" s="5">
        <f t="shared" si="3"/>
        <v>2033</v>
      </c>
      <c r="B11" s="49">
        <v>1815250</v>
      </c>
      <c r="C11" s="50">
        <v>4233026</v>
      </c>
      <c r="D11" s="50">
        <v>5909656</v>
      </c>
      <c r="E11" s="50">
        <v>4342379.5</v>
      </c>
      <c r="F11" s="50">
        <v>2347225</v>
      </c>
      <c r="G11" s="17">
        <f t="shared" si="0"/>
        <v>16832286.5</v>
      </c>
      <c r="H11" s="17">
        <f t="shared" si="1"/>
        <v>2094402.2555033192</v>
      </c>
      <c r="I11" s="17">
        <f t="shared" si="2"/>
        <v>14737884.244496681</v>
      </c>
    </row>
    <row r="12" spans="1:9" ht="15.75" customHeight="1" x14ac:dyDescent="0.25">
      <c r="A12" s="5">
        <f t="shared" si="3"/>
        <v>2034</v>
      </c>
      <c r="B12" s="49">
        <v>1824012</v>
      </c>
      <c r="C12" s="50">
        <v>4325458.5</v>
      </c>
      <c r="D12" s="50">
        <v>6041503</v>
      </c>
      <c r="E12" s="50">
        <v>4482670.5</v>
      </c>
      <c r="F12" s="50">
        <v>2482625.5</v>
      </c>
      <c r="G12" s="17">
        <f t="shared" si="0"/>
        <v>17332257.5</v>
      </c>
      <c r="H12" s="17">
        <f t="shared" si="1"/>
        <v>2104511.6908773561</v>
      </c>
      <c r="I12" s="17">
        <f t="shared" si="2"/>
        <v>15227745.809122644</v>
      </c>
    </row>
    <row r="13" spans="1:9" ht="15.75" customHeight="1" x14ac:dyDescent="0.25">
      <c r="A13" s="5">
        <f t="shared" si="3"/>
        <v>2035</v>
      </c>
      <c r="B13" s="49">
        <v>1839574</v>
      </c>
      <c r="C13" s="50">
        <v>4424637.5000000009</v>
      </c>
      <c r="D13" s="50">
        <v>6169714</v>
      </c>
      <c r="E13" s="50">
        <v>4621649.5</v>
      </c>
      <c r="F13" s="50">
        <v>2620269</v>
      </c>
      <c r="G13" s="17">
        <f t="shared" si="0"/>
        <v>17836270</v>
      </c>
      <c r="H13" s="17">
        <f t="shared" si="1"/>
        <v>2122466.8419034639</v>
      </c>
      <c r="I13" s="17">
        <f t="shared" si="2"/>
        <v>15713803.158096537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+iWGtJoK1bM5ysvaq6mZDdATweMRZAqX0DSAvYyRXgItzaT78zQHGyt1Gkp3tE2FVfgoX6PzxKHtq7d4yor0eQ==" saltValue="Kd2vGs4u9zE2D2912uSmB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1.0454372387745971E-2</v>
      </c>
    </row>
    <row r="4" spans="1:8" ht="15.75" customHeight="1" x14ac:dyDescent="0.25">
      <c r="B4" s="19" t="s">
        <v>79</v>
      </c>
      <c r="C4" s="101">
        <v>5.7447537664464247E-2</v>
      </c>
    </row>
    <row r="5" spans="1:8" ht="15.75" customHeight="1" x14ac:dyDescent="0.25">
      <c r="B5" s="19" t="s">
        <v>80</v>
      </c>
      <c r="C5" s="101">
        <v>7.8656835258910388E-2</v>
      </c>
    </row>
    <row r="6" spans="1:8" ht="15.75" customHeight="1" x14ac:dyDescent="0.25">
      <c r="B6" s="19" t="s">
        <v>81</v>
      </c>
      <c r="C6" s="101">
        <v>0.24881278132399531</v>
      </c>
    </row>
    <row r="7" spans="1:8" ht="15.75" customHeight="1" x14ac:dyDescent="0.25">
      <c r="B7" s="19" t="s">
        <v>82</v>
      </c>
      <c r="C7" s="101">
        <v>0.41129992498193729</v>
      </c>
    </row>
    <row r="8" spans="1:8" ht="15.75" customHeight="1" x14ac:dyDescent="0.25">
      <c r="B8" s="19" t="s">
        <v>83</v>
      </c>
      <c r="C8" s="101">
        <v>1.509972556784409E-3</v>
      </c>
    </row>
    <row r="9" spans="1:8" ht="15.75" customHeight="1" x14ac:dyDescent="0.25">
      <c r="B9" s="19" t="s">
        <v>84</v>
      </c>
      <c r="C9" s="101">
        <v>7.6515821923355931E-2</v>
      </c>
    </row>
    <row r="10" spans="1:8" ht="15.75" customHeight="1" x14ac:dyDescent="0.25">
      <c r="B10" s="19" t="s">
        <v>85</v>
      </c>
      <c r="C10" s="101">
        <v>0.11530275390280641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9.8470266485110883E-2</v>
      </c>
      <c r="D14" s="55">
        <v>9.8470266485110883E-2</v>
      </c>
      <c r="E14" s="55">
        <v>9.8470266485110883E-2</v>
      </c>
      <c r="F14" s="55">
        <v>9.8470266485110883E-2</v>
      </c>
    </row>
    <row r="15" spans="1:8" ht="15.75" customHeight="1" x14ac:dyDescent="0.25">
      <c r="B15" s="19" t="s">
        <v>88</v>
      </c>
      <c r="C15" s="101">
        <v>0.15892959747947849</v>
      </c>
      <c r="D15" s="101">
        <v>0.15892959747947849</v>
      </c>
      <c r="E15" s="101">
        <v>0.15892959747947849</v>
      </c>
      <c r="F15" s="101">
        <v>0.15892959747947849</v>
      </c>
    </row>
    <row r="16" spans="1:8" ht="15.75" customHeight="1" x14ac:dyDescent="0.25">
      <c r="B16" s="19" t="s">
        <v>89</v>
      </c>
      <c r="C16" s="101">
        <v>3.1766896862756487E-2</v>
      </c>
      <c r="D16" s="101">
        <v>3.1766896862756487E-2</v>
      </c>
      <c r="E16" s="101">
        <v>3.1766896862756487E-2</v>
      </c>
      <c r="F16" s="101">
        <v>3.1766896862756487E-2</v>
      </c>
    </row>
    <row r="17" spans="1:8" ht="15.75" customHeight="1" x14ac:dyDescent="0.25">
      <c r="B17" s="19" t="s">
        <v>90</v>
      </c>
      <c r="C17" s="101">
        <v>7.9758861633680775E-3</v>
      </c>
      <c r="D17" s="101">
        <v>7.9758861633680775E-3</v>
      </c>
      <c r="E17" s="101">
        <v>7.9758861633680775E-3</v>
      </c>
      <c r="F17" s="101">
        <v>7.9758861633680775E-3</v>
      </c>
    </row>
    <row r="18" spans="1:8" ht="15.75" customHeight="1" x14ac:dyDescent="0.25">
      <c r="B18" s="19" t="s">
        <v>91</v>
      </c>
      <c r="C18" s="101">
        <v>0.2244074142638485</v>
      </c>
      <c r="D18" s="101">
        <v>0.2244074142638485</v>
      </c>
      <c r="E18" s="101">
        <v>0.2244074142638485</v>
      </c>
      <c r="F18" s="101">
        <v>0.2244074142638485</v>
      </c>
    </row>
    <row r="19" spans="1:8" ht="15.75" customHeight="1" x14ac:dyDescent="0.25">
      <c r="B19" s="19" t="s">
        <v>92</v>
      </c>
      <c r="C19" s="101">
        <v>4.7191213219728113E-2</v>
      </c>
      <c r="D19" s="101">
        <v>4.7191213219728113E-2</v>
      </c>
      <c r="E19" s="101">
        <v>4.7191213219728113E-2</v>
      </c>
      <c r="F19" s="101">
        <v>4.7191213219728113E-2</v>
      </c>
    </row>
    <row r="20" spans="1:8" ht="15.75" customHeight="1" x14ac:dyDescent="0.25">
      <c r="B20" s="19" t="s">
        <v>93</v>
      </c>
      <c r="C20" s="101">
        <v>0.10703010014399091</v>
      </c>
      <c r="D20" s="101">
        <v>0.10703010014399091</v>
      </c>
      <c r="E20" s="101">
        <v>0.10703010014399091</v>
      </c>
      <c r="F20" s="101">
        <v>0.10703010014399091</v>
      </c>
    </row>
    <row r="21" spans="1:8" ht="15.75" customHeight="1" x14ac:dyDescent="0.25">
      <c r="B21" s="19" t="s">
        <v>94</v>
      </c>
      <c r="C21" s="101">
        <v>0.104515186544913</v>
      </c>
      <c r="D21" s="101">
        <v>0.104515186544913</v>
      </c>
      <c r="E21" s="101">
        <v>0.104515186544913</v>
      </c>
      <c r="F21" s="101">
        <v>0.104515186544913</v>
      </c>
    </row>
    <row r="22" spans="1:8" ht="15.75" customHeight="1" x14ac:dyDescent="0.25">
      <c r="B22" s="19" t="s">
        <v>95</v>
      </c>
      <c r="C22" s="101">
        <v>0.21971343883680561</v>
      </c>
      <c r="D22" s="101">
        <v>0.21971343883680561</v>
      </c>
      <c r="E22" s="101">
        <v>0.21971343883680561</v>
      </c>
      <c r="F22" s="101">
        <v>0.21971343883680561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8.465819899999999E-2</v>
      </c>
    </row>
    <row r="27" spans="1:8" ht="15.75" customHeight="1" x14ac:dyDescent="0.25">
      <c r="B27" s="19" t="s">
        <v>102</v>
      </c>
      <c r="C27" s="101">
        <v>8.3993499999999999E-3</v>
      </c>
    </row>
    <row r="28" spans="1:8" ht="15.75" customHeight="1" x14ac:dyDescent="0.25">
      <c r="B28" s="19" t="s">
        <v>103</v>
      </c>
      <c r="C28" s="101">
        <v>0.14948149299999999</v>
      </c>
    </row>
    <row r="29" spans="1:8" ht="15.75" customHeight="1" x14ac:dyDescent="0.25">
      <c r="B29" s="19" t="s">
        <v>104</v>
      </c>
      <c r="C29" s="101">
        <v>0.16164467800000001</v>
      </c>
    </row>
    <row r="30" spans="1:8" ht="15.75" customHeight="1" x14ac:dyDescent="0.25">
      <c r="B30" s="19" t="s">
        <v>2</v>
      </c>
      <c r="C30" s="101">
        <v>0.100545357</v>
      </c>
    </row>
    <row r="31" spans="1:8" ht="15.75" customHeight="1" x14ac:dyDescent="0.25">
      <c r="B31" s="19" t="s">
        <v>105</v>
      </c>
      <c r="C31" s="101">
        <v>0.10497287399999999</v>
      </c>
    </row>
    <row r="32" spans="1:8" ht="15.75" customHeight="1" x14ac:dyDescent="0.25">
      <c r="B32" s="19" t="s">
        <v>106</v>
      </c>
      <c r="C32" s="101">
        <v>1.7941111999999999E-2</v>
      </c>
    </row>
    <row r="33" spans="2:3" ht="15.75" customHeight="1" x14ac:dyDescent="0.25">
      <c r="B33" s="19" t="s">
        <v>107</v>
      </c>
      <c r="C33" s="101">
        <v>8.1330947000000015E-2</v>
      </c>
    </row>
    <row r="34" spans="2:3" ht="15.75" customHeight="1" x14ac:dyDescent="0.25">
      <c r="B34" s="19" t="s">
        <v>108</v>
      </c>
      <c r="C34" s="101">
        <v>0.29102599000000001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c0Oh4QpohiL9cU/H6QKd6jnV5w8+7QN6/zQX9Qxq3TImfFLx42JyaOD9YOib9b9phueeAoamBUVboID7ThH3LQ==" saltValue="a4xvIzBJl0rRZo3ED3UGz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0.57136451874849459</v>
      </c>
      <c r="D2" s="52">
        <f>IFERROR(1-_xlfn.NORM.DIST(_xlfn.NORM.INV(SUM(D4:D5), 0, 1) + 1, 0, 1, TRUE), "")</f>
        <v>0.57136451874849459</v>
      </c>
      <c r="E2" s="52">
        <f>IFERROR(1-_xlfn.NORM.DIST(_xlfn.NORM.INV(SUM(E4:E5), 0, 1) + 1, 0, 1, TRUE), "")</f>
        <v>0.49433250015080032</v>
      </c>
      <c r="F2" s="52">
        <f>IFERROR(1-_xlfn.NORM.DIST(_xlfn.NORM.INV(SUM(F4:F5), 0, 1) + 1, 0, 1, TRUE), "")</f>
        <v>0.26369695897581602</v>
      </c>
      <c r="G2" s="52">
        <f>IFERROR(1-_xlfn.NORM.DIST(_xlfn.NORM.INV(SUM(G4:G5), 0, 1) + 1, 0, 1, TRUE), "")</f>
        <v>0.30446012633115127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0.30960538125150538</v>
      </c>
      <c r="D3" s="52">
        <f>IFERROR(_xlfn.NORM.DIST(_xlfn.NORM.INV(SUM(D4:D5), 0, 1) + 1, 0, 1, TRUE) - SUM(D4:D5), "")</f>
        <v>0.30960538125150538</v>
      </c>
      <c r="E3" s="52">
        <f>IFERROR(_xlfn.NORM.DIST(_xlfn.NORM.INV(SUM(E4:E5), 0, 1) + 1, 0, 1, TRUE) - SUM(E4:E5), "")</f>
        <v>0.34355019984919966</v>
      </c>
      <c r="F3" s="52">
        <f>IFERROR(_xlfn.NORM.DIST(_xlfn.NORM.INV(SUM(F4:F5), 0, 1) + 1, 0, 1, TRUE) - SUM(F4:F5), "")</f>
        <v>0.37987044102418399</v>
      </c>
      <c r="G3" s="52">
        <f>IFERROR(_xlfn.NORM.DIST(_xlfn.NORM.INV(SUM(G4:G5), 0, 1) + 1, 0, 1, TRUE) - SUM(G4:G5), "")</f>
        <v>0.38290117366884874</v>
      </c>
    </row>
    <row r="4" spans="1:15" ht="15.75" customHeight="1" x14ac:dyDescent="0.25">
      <c r="B4" s="5" t="s">
        <v>114</v>
      </c>
      <c r="C4" s="45">
        <v>6.6479299999999991E-2</v>
      </c>
      <c r="D4" s="53">
        <v>6.6479299999999991E-2</v>
      </c>
      <c r="E4" s="53">
        <v>0.10856789999999999</v>
      </c>
      <c r="F4" s="53">
        <v>0.25645580000000001</v>
      </c>
      <c r="G4" s="53">
        <v>0.20781269999999999</v>
      </c>
    </row>
    <row r="5" spans="1:15" ht="15.75" customHeight="1" x14ac:dyDescent="0.25">
      <c r="B5" s="5" t="s">
        <v>115</v>
      </c>
      <c r="C5" s="45">
        <v>5.2550800000000002E-2</v>
      </c>
      <c r="D5" s="53">
        <v>5.2550800000000002E-2</v>
      </c>
      <c r="E5" s="53">
        <v>5.3549399999999997E-2</v>
      </c>
      <c r="F5" s="53">
        <v>9.9976800000000005E-2</v>
      </c>
      <c r="G5" s="53">
        <v>0.104826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0.66632997723076803</v>
      </c>
      <c r="D8" s="52">
        <f>IFERROR(1-_xlfn.NORM.DIST(_xlfn.NORM.INV(SUM(D10:D11), 0, 1) + 1, 0, 1, TRUE), "")</f>
        <v>0.66632997723076803</v>
      </c>
      <c r="E8" s="52">
        <f>IFERROR(1-_xlfn.NORM.DIST(_xlfn.NORM.INV(SUM(E10:E11), 0, 1) + 1, 0, 1, TRUE), "")</f>
        <v>0.63871667577331825</v>
      </c>
      <c r="F8" s="52">
        <f>IFERROR(1-_xlfn.NORM.DIST(_xlfn.NORM.INV(SUM(F10:F11), 0, 1) + 1, 0, 1, TRUE), "")</f>
        <v>0.77464917691048696</v>
      </c>
      <c r="G8" s="52">
        <f>IFERROR(1-_xlfn.NORM.DIST(_xlfn.NORM.INV(SUM(G10:G11), 0, 1) + 1, 0, 1, TRUE), "")</f>
        <v>0.85977586844204978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0.25728302276923198</v>
      </c>
      <c r="D9" s="52">
        <f>IFERROR(_xlfn.NORM.DIST(_xlfn.NORM.INV(SUM(D10:D11), 0, 1) + 1, 0, 1, TRUE) - SUM(D10:D11), "")</f>
        <v>0.25728302276923198</v>
      </c>
      <c r="E9" s="52">
        <f>IFERROR(_xlfn.NORM.DIST(_xlfn.NORM.INV(SUM(E10:E11), 0, 1) + 1, 0, 1, TRUE) - SUM(E10:E11), "")</f>
        <v>0.27357942422668174</v>
      </c>
      <c r="F9" s="52">
        <f>IFERROR(_xlfn.NORM.DIST(_xlfn.NORM.INV(SUM(F10:F11), 0, 1) + 1, 0, 1, TRUE) - SUM(F10:F11), "")</f>
        <v>0.18565662308951303</v>
      </c>
      <c r="G9" s="52">
        <f>IFERROR(_xlfn.NORM.DIST(_xlfn.NORM.INV(SUM(G10:G11), 0, 1) + 1, 0, 1, TRUE) - SUM(G10:G11), "")</f>
        <v>0.12142983155795027</v>
      </c>
    </row>
    <row r="10" spans="1:15" ht="15.75" customHeight="1" x14ac:dyDescent="0.25">
      <c r="B10" s="5" t="s">
        <v>119</v>
      </c>
      <c r="C10" s="45">
        <v>3.0151500000000001E-2</v>
      </c>
      <c r="D10" s="53">
        <v>3.0151500000000001E-2</v>
      </c>
      <c r="E10" s="53">
        <v>5.5620599999999999E-2</v>
      </c>
      <c r="F10" s="53">
        <v>2.6669499999999999E-2</v>
      </c>
      <c r="G10" s="53">
        <v>1.3421600000000001E-2</v>
      </c>
    </row>
    <row r="11" spans="1:15" ht="15.75" customHeight="1" x14ac:dyDescent="0.25">
      <c r="B11" s="5" t="s">
        <v>120</v>
      </c>
      <c r="C11" s="45">
        <v>4.6235499999999999E-2</v>
      </c>
      <c r="D11" s="53">
        <v>4.6235499999999999E-2</v>
      </c>
      <c r="E11" s="53">
        <v>3.2083300000000002E-2</v>
      </c>
      <c r="F11" s="53">
        <v>1.30247E-2</v>
      </c>
      <c r="G11" s="53">
        <v>5.3727000000000002E-3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0.61790281525000001</v>
      </c>
      <c r="D14" s="54">
        <v>0.60589571573699996</v>
      </c>
      <c r="E14" s="54">
        <v>0.60589571573699996</v>
      </c>
      <c r="F14" s="54">
        <v>0.48655756599299999</v>
      </c>
      <c r="G14" s="54">
        <v>0.48655756599299999</v>
      </c>
      <c r="H14" s="45">
        <v>0.34300000000000003</v>
      </c>
      <c r="I14" s="55">
        <v>0.34300000000000003</v>
      </c>
      <c r="J14" s="55">
        <v>0.34300000000000003</v>
      </c>
      <c r="K14" s="55">
        <v>0.34300000000000003</v>
      </c>
      <c r="L14" s="45">
        <v>0.27800000000000002</v>
      </c>
      <c r="M14" s="55">
        <v>0.27800000000000002</v>
      </c>
      <c r="N14" s="55">
        <v>0.27800000000000002</v>
      </c>
      <c r="O14" s="55">
        <v>0.27800000000000002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0.30941607054206799</v>
      </c>
      <c r="D15" s="52">
        <f t="shared" si="0"/>
        <v>0.30340349144673417</v>
      </c>
      <c r="E15" s="52">
        <f t="shared" si="0"/>
        <v>0.30340349144673417</v>
      </c>
      <c r="F15" s="52">
        <f t="shared" si="0"/>
        <v>0.24364467428612671</v>
      </c>
      <c r="G15" s="52">
        <f t="shared" si="0"/>
        <v>0.24364467428612671</v>
      </c>
      <c r="H15" s="52">
        <f t="shared" si="0"/>
        <v>0.171757936</v>
      </c>
      <c r="I15" s="52">
        <f t="shared" si="0"/>
        <v>0.171757936</v>
      </c>
      <c r="J15" s="52">
        <f t="shared" si="0"/>
        <v>0.171757936</v>
      </c>
      <c r="K15" s="52">
        <f t="shared" si="0"/>
        <v>0.171757936</v>
      </c>
      <c r="L15" s="52">
        <f t="shared" si="0"/>
        <v>0.139209056</v>
      </c>
      <c r="M15" s="52">
        <f t="shared" si="0"/>
        <v>0.139209056</v>
      </c>
      <c r="N15" s="52">
        <f t="shared" si="0"/>
        <v>0.139209056</v>
      </c>
      <c r="O15" s="52">
        <f t="shared" si="0"/>
        <v>0.139209056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a0HmxkFdNV5mW5YLhNPOmCNgzch+Wghi+KoqMJkuY/1myMeIok+YSTqDshaWnBEEPt9TgZBs4j408U0DneYj9Q==" saltValue="Udni0C243/rh2jdniNwp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0.82565319999999998</v>
      </c>
      <c r="D2" s="53">
        <v>0.61310370000000003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0.1080069</v>
      </c>
      <c r="D3" s="53">
        <v>0.14213190000000001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4.8775399999999997E-2</v>
      </c>
      <c r="D4" s="53">
        <v>0.22090190000000001</v>
      </c>
      <c r="E4" s="53">
        <v>0.95953670000000002</v>
      </c>
      <c r="F4" s="53">
        <v>0.66894530000000008</v>
      </c>
      <c r="G4" s="53">
        <v>0</v>
      </c>
    </row>
    <row r="5" spans="1:7" x14ac:dyDescent="0.25">
      <c r="B5" s="3" t="s">
        <v>132</v>
      </c>
      <c r="C5" s="52">
        <v>1.75645E-2</v>
      </c>
      <c r="D5" s="52">
        <v>2.3862499999999998E-2</v>
      </c>
      <c r="E5" s="52">
        <f>1-SUM(E2:E4)</f>
        <v>4.046329999999998E-2</v>
      </c>
      <c r="F5" s="52">
        <f>1-SUM(F2:F4)</f>
        <v>0.33105469999999992</v>
      </c>
      <c r="G5" s="52">
        <f>1-SUM(G2:G4)</f>
        <v>1</v>
      </c>
    </row>
  </sheetData>
  <sheetProtection algorithmName="SHA-512" hashValue="ZcYdKKOkQxpj+xGroxXzRJN8tsh+DqBuOgYQMNGJUQGk0ZXHJLeFCRpDOC2jIuXhv6aIXOv1Kj34bMTfXG2tDA==" saltValue="ZqNuxUfNrx9YSFGH8NGVW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HeoRhFHsweRrdoa9FiN2Hxk77HeGDNWU4Orcuq4g7yJfjrpOp28jjVqgtFMowJvw5uN1qKuibxtDGaG61gs23Q==" saltValue="tDpszumjCdOIp4YbfRd02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WfUxHqFrROmRcFLA6TzA6zjjSp4B/kvnzpwc8rCq6fZNwmWKMYX42hbWx9ipG3BYA4WOgn1mdCUk9Vb7jRqWFg==" saltValue="3mUUL1zCucq6WlgYspzsl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/gW1xpvfxQ9JCMizLu7MOdXpVtleT65oJZpU28yGTRj05Js+xT0KJdyVadEPWVWwUZygZWUhXDpWzNU7wLJy+w==" saltValue="ce3HSiEp+6KsBYnf1TnIx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RzSoQ2V/JehpcuES60zJW8/0owm3Z7zTgZfgnmsbsfSNqFe6CMrMZ+g21gvRVFfTSvO2pmuqQ9+4yMzFY2XwXw==" saltValue="FdIH69K0N1skOh1GtB52I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65.60734264525216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19.75203299904819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8.7599089402191606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0.24096472301132851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0.10284547803181469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0.5</v>
      </c>
      <c r="C9" s="98">
        <v>0.95</v>
      </c>
      <c r="D9" s="56">
        <v>0.13284207579109411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0.2257797</v>
      </c>
      <c r="C10" s="98">
        <v>0.95</v>
      </c>
      <c r="D10" s="56">
        <v>13.48044806079821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13.48044806079821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13.48044806079821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13.48044806079821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0.2257797</v>
      </c>
      <c r="C14" s="98">
        <v>0.95</v>
      </c>
      <c r="D14" s="56">
        <v>13.48044806079821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13.48044806079821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0.74299999999999999</v>
      </c>
      <c r="C16" s="98">
        <v>0.95</v>
      </c>
      <c r="D16" s="56">
        <v>2.503642449664842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3.8644699999999997E-2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6.0000000000000001E-3</v>
      </c>
      <c r="C18" s="98">
        <v>0.95</v>
      </c>
      <c r="D18" s="56">
        <v>8.7599089402191606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0.61310370000000003</v>
      </c>
      <c r="C19" s="98">
        <v>0.95</v>
      </c>
      <c r="D19" s="56">
        <v>8.7599089402191606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7.4846345450640612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22.971512023357811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0.84200000000000008</v>
      </c>
      <c r="C23" s="98">
        <v>0.95</v>
      </c>
      <c r="D23" s="56">
        <v>4.4240020217934282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0.40880527835160002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0.2257797</v>
      </c>
      <c r="C26" s="98">
        <v>0.95</v>
      </c>
      <c r="D26" s="56">
        <v>3.4665816434934871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13.803307962555669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0.46719699999999997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0.25735599999999997</v>
      </c>
      <c r="C29" s="98">
        <v>0.95</v>
      </c>
      <c r="D29" s="56">
        <v>85.490303613946011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2.75E-2</v>
      </c>
      <c r="C31" s="98">
        <v>0.95</v>
      </c>
      <c r="D31" s="56">
        <v>180.94215297303569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0.38</v>
      </c>
      <c r="C32" s="98">
        <v>0.95</v>
      </c>
      <c r="D32" s="56">
        <v>0.10284547803181469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0.30904199999999998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0.76286109999999996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6.5722000000000003E-3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0.23402229999999999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0.40267940000000002</v>
      </c>
      <c r="C38" s="98">
        <v>0.95</v>
      </c>
      <c r="D38" s="56">
        <v>2.4488574538288082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201</v>
      </c>
      <c r="F39" s="98">
        <v>1</v>
      </c>
      <c r="G39" s="98">
        <v>1</v>
      </c>
    </row>
  </sheetData>
  <sheetProtection algorithmName="SHA-512" hashValue="xD4pRU1RZ2u10rx7moC4E4IAAA6R4FgIHaqGxr/YSAa1yrxWAnoYDMAitPIXev7X8+59KiJqYxkLxW4WIkmdqw==" saltValue="ZEsyaAhk5WrXLi+OnYTv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sYkPQhzdt01eZGj7U2dz10l53PrTb+WRK+HLm3ozM87pz78vBk/EP24HyWxTh7cWG9jzJoDVYPWuCSa22v+d0Q==" saltValue="jmot3YRd+yZ88ehM5z2TR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DgKGp1x5fVJsgaugCa+CfGga/3/c9WHr+D7Q3LVYThJ76LAigYBg4v/+Yxp9l6d+NAjbPVsQqIjKeeMWGOftng==" saltValue="1Mw16EMzkhuLbsGSp8TcX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7.8393900000000002E-2</v>
      </c>
      <c r="C3" s="21">
        <f>frac_mam_1_5months * 2.6</f>
        <v>7.8393900000000002E-2</v>
      </c>
      <c r="D3" s="21">
        <f>frac_mam_6_11months * 2.6</f>
        <v>0.14461356</v>
      </c>
      <c r="E3" s="21">
        <f>frac_mam_12_23months * 2.6</f>
        <v>6.9340700000000005E-2</v>
      </c>
      <c r="F3" s="21">
        <f>frac_mam_24_59months * 2.6</f>
        <v>3.4896160000000002E-2</v>
      </c>
    </row>
    <row r="4" spans="1:6" ht="15.75" customHeight="1" x14ac:dyDescent="0.25">
      <c r="A4" s="3" t="s">
        <v>208</v>
      </c>
      <c r="B4" s="21">
        <f>frac_sam_1month * 2.6</f>
        <v>0.12021229999999999</v>
      </c>
      <c r="C4" s="21">
        <f>frac_sam_1_5months * 2.6</f>
        <v>0.12021229999999999</v>
      </c>
      <c r="D4" s="21">
        <f>frac_sam_6_11months * 2.6</f>
        <v>8.3416580000000004E-2</v>
      </c>
      <c r="E4" s="21">
        <f>frac_sam_12_23months * 2.6</f>
        <v>3.386422E-2</v>
      </c>
      <c r="F4" s="21">
        <f>frac_sam_24_59months * 2.6</f>
        <v>1.396902E-2</v>
      </c>
    </row>
  </sheetData>
  <sheetProtection algorithmName="SHA-512" hashValue="8EXjVhQKh0t/HF+MDeqhlt+MaB468wY49BJNIBASitU3iyAvhmq3VaVWNM3c0ZbnSEAP2LVYEI7PGOMm7vyxJQ==" saltValue="fWMpgcIvmt4xAkiL68pWa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0.41699999999999998</v>
      </c>
      <c r="E2" s="60">
        <f>food_insecure</f>
        <v>0.41699999999999998</v>
      </c>
      <c r="F2" s="60">
        <f>food_insecure</f>
        <v>0.41699999999999998</v>
      </c>
      <c r="G2" s="60">
        <f>food_insecure</f>
        <v>0.41699999999999998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0.41699999999999998</v>
      </c>
      <c r="F5" s="60">
        <f>food_insecure</f>
        <v>0.41699999999999998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0.41699999999999998</v>
      </c>
      <c r="F8" s="60">
        <f>food_insecure</f>
        <v>0.41699999999999998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0.41699999999999998</v>
      </c>
      <c r="F9" s="60">
        <f>food_insecure</f>
        <v>0.41699999999999998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0.41699999999999998</v>
      </c>
      <c r="I15" s="60">
        <f>food_insecure</f>
        <v>0.41699999999999998</v>
      </c>
      <c r="J15" s="60">
        <f>food_insecure</f>
        <v>0.41699999999999998</v>
      </c>
      <c r="K15" s="60">
        <f>food_insecure</f>
        <v>0.41699999999999998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0.73</v>
      </c>
      <c r="I19" s="60">
        <f>frac_malaria_risk</f>
        <v>0.73</v>
      </c>
      <c r="J19" s="60">
        <f>frac_malaria_risk</f>
        <v>0.73</v>
      </c>
      <c r="K19" s="60">
        <f>frac_malaria_risk</f>
        <v>0.73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0.501</v>
      </c>
      <c r="M24" s="60">
        <f>famplan_unmet_need</f>
        <v>0.501</v>
      </c>
      <c r="N24" s="60">
        <f>famplan_unmet_need</f>
        <v>0.501</v>
      </c>
      <c r="O24" s="60">
        <f>famplan_unmet_need</f>
        <v>0.501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0.38926299843824402</v>
      </c>
      <c r="M25" s="60">
        <f>(1-food_insecure)*(0.49)+food_insecure*(0.7)</f>
        <v>0.57756999999999992</v>
      </c>
      <c r="N25" s="60">
        <f>(1-food_insecure)*(0.49)+food_insecure*(0.7)</f>
        <v>0.57756999999999992</v>
      </c>
      <c r="O25" s="60">
        <f>(1-food_insecure)*(0.49)+food_insecure*(0.7)</f>
        <v>0.57756999999999992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0.16682699933067599</v>
      </c>
      <c r="M26" s="60">
        <f>(1-food_insecure)*(0.21)+food_insecure*(0.3)</f>
        <v>0.24752999999999997</v>
      </c>
      <c r="N26" s="60">
        <f>(1-food_insecure)*(0.21)+food_insecure*(0.3)</f>
        <v>0.24752999999999997</v>
      </c>
      <c r="O26" s="60">
        <f>(1-food_insecure)*(0.21)+food_insecure*(0.3)</f>
        <v>0.24752999999999997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0.11787679143108</v>
      </c>
      <c r="M27" s="60">
        <f>(1-food_insecure)*(0.3)</f>
        <v>0.17489999999999997</v>
      </c>
      <c r="N27" s="60">
        <f>(1-food_insecure)*(0.3)</f>
        <v>0.17489999999999997</v>
      </c>
      <c r="O27" s="60">
        <f>(1-food_insecure)*(0.3)</f>
        <v>0.17489999999999997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0.73</v>
      </c>
      <c r="D34" s="60">
        <f t="shared" si="3"/>
        <v>0.73</v>
      </c>
      <c r="E34" s="60">
        <f t="shared" si="3"/>
        <v>0.73</v>
      </c>
      <c r="F34" s="60">
        <f t="shared" si="3"/>
        <v>0.73</v>
      </c>
      <c r="G34" s="60">
        <f t="shared" si="3"/>
        <v>0.73</v>
      </c>
      <c r="H34" s="60">
        <f t="shared" si="3"/>
        <v>0.73</v>
      </c>
      <c r="I34" s="60">
        <f t="shared" si="3"/>
        <v>0.73</v>
      </c>
      <c r="J34" s="60">
        <f t="shared" si="3"/>
        <v>0.73</v>
      </c>
      <c r="K34" s="60">
        <f t="shared" si="3"/>
        <v>0.73</v>
      </c>
      <c r="L34" s="60">
        <f t="shared" si="3"/>
        <v>0.73</v>
      </c>
      <c r="M34" s="60">
        <f t="shared" si="3"/>
        <v>0.73</v>
      </c>
      <c r="N34" s="60">
        <f t="shared" si="3"/>
        <v>0.73</v>
      </c>
      <c r="O34" s="60">
        <f t="shared" si="3"/>
        <v>0.73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vptI9vy2HO/Vm4FFSYsHUgzvmIB9SBgLI9VdBQ6ZyqeZIY710GWWP9568WjKVVcO7hGl/kUhd2fQFijCksG4pA==" saltValue="704Hy3LGxtCf4fPIEW9k8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p0xBZGyJt2zRfbb2kk0ULQuJk6Vd0PPExrlRBV0KSkc5hfw4CF5WzUdctU8GzDsYUnsASKLLiqEpVRKYlxUSRQ==" saltValue="wKC4fll8vbapdhyOJZAmz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dUkWv6X+ENakuaUwVarnjm21KC/ad/36aHJkhYpMcd6KJBwmX0A7cvlGCnuv/dF4yVsXRdAWPmQFuHN8qZT2w==" saltValue="3z8E3QyK3QIRq91IhI9yh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0wAM3F4Du068nnF9r7U5e9gx06ZqTO+GeLr/RIhYX49xWJHAnhWj6F4elpenwqOTV5fT+BqBHpbxq36IJGip6g==" saltValue="drhiDvPP7FjhN8yX+brdN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tEGPsR43CEEM2FwiauPzavbedo4C0mNvXdppkyvd5g0aAuq0y6dYp3ea1EUe04T3J4ELtIo9DPdazWp1KMwLZw==" saltValue="SKjD8DZCr+ym+vZ5iZc3e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3UbabQyijEhZL9y9ntJHNcA4k/dAdbSKGMqmFCxsE1nPz53D29a7hsL8KAbo0diIRpFjew32gy0aFyHFxkaasg==" saltValue="TXNsD0EG1CsrN4WSV/oj3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HCLvu2gqqBb52WRocVWLdxRAgN6UKlaUz/36JPa/OCejdcSX+/+EHOQk877zC5WpiZtcYaMp5kk8N1w02CxhCQ==" saltValue="9Ky0kBw1w3CjSaCINIDQi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WtEMVNFvMkvU9mWjmaG3M5JUpEIpQYknmFkBE8dlj/e0jytU3/W08r9QFpJGeO7rnSHe+4wIw+WZofS9zQh6NA==" saltValue="zgQ/k5ULpT9oRXhZyQUM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YZS9TSNiL49GzPuLLGlX5Nj6edtHsGONRiW7EmF1f4HjobZv9NtppYUWrJDy8UfruWemImwTjOkb1PDt7t8zw==" saltValue="hBwWC8Tq5rL6aDoAHViD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2+GgsDgq2Wk7Di502X9MnA5cmL3a/m/fgFHbAviq2j7HsWiD8Upgz1FPk/Dbo+uOxdI24DWMucHB5x+XWZb9ng==" saltValue="SE5Qvjt1JNCnHCaHCWT+3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sNtcppv06YoZwpibLHxDXu1B/ZvWAOh61N69sSMigLB+ICglax5qi8Sv+eN1gxT+dYnq2rg/Q140fdW60GBRtg==" saltValue="zFgbqmKWSsI0NPCGkYyS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JX0q0YTfvxOJiY81OJfcFNSozo6+gXaipM4A3wQg83AafywCA4+Pe/EszVuJm8mzJlPJuzDIhAbzz2o91wJaTg==" saltValue="oDTPt9wa5G/2DL69lZfT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9wZ3PI8v8nFEahrRxDiZl/2hmRQq9rHibZmkYk+Qm7gF5t4QypZqkii3asGvY+SKo5AgOrIyoDYcg+2pvuy6eg==" saltValue="ULsPmGFBVu7k2OHvRBEFU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0.10684792072846172</v>
      </c>
      <c r="G18" s="90">
        <f>MIN(MAX(1-0.89/(1-frac_sam_12_23months+(frac_sam_12_23months*0.89)),0),1)</f>
        <v>0.1087230523654158</v>
      </c>
      <c r="H18" s="90">
        <f>MIN(MAX(1-0.89/(1-frac_sam_24_59months+(frac_sam_24_59months*0.89)),0),1)</f>
        <v>0.10947370162924175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0.10452122264277375</v>
      </c>
      <c r="G20" s="90">
        <f>MIN(MAX(1-0.89/(1-frac_mam_12_23months+(frac_mam_12_23months*0.89)),0),1)</f>
        <v>0.10738137383043067</v>
      </c>
      <c r="H20" s="90">
        <f>MIN(MAX(1-0.89/(1-frac_mam_24_59months+(frac_mam_24_59months*0.89)),0),1)</f>
        <v>0.10868408257108986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9.6822733928193516E-3</v>
      </c>
      <c r="G73" s="90">
        <f>MIN(MAX(1-0.99/(1-frac_sam_12_23months+(frac_sam_12_23months*0.99)),0),1)</f>
        <v>9.8710386731740707E-3</v>
      </c>
      <c r="H73" s="90">
        <f>MIN(MAX(1-0.99/(1-frac_sam_24_59months+(frac_sam_24_59months*0.99)),0),1)</f>
        <v>9.9468074121217276E-3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9.4490496180917871E-3</v>
      </c>
      <c r="G75" s="90">
        <f>MIN(MAX(1-0.99/(1-frac_mam_12_23months+(frac_mam_12_23months*0.99)),0),1)</f>
        <v>9.735901516254919E-3</v>
      </c>
      <c r="H75" s="90">
        <f>MIN(MAX(1-0.99/(1-frac_mam_24_59months+(frac_mam_24_59months*0.99)),0),1)</f>
        <v>9.8671083238107693E-3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0.1948335204573779</v>
      </c>
      <c r="G128" s="90">
        <f>MIN(MAX(1-0.8/(1-frac_sam_12_23months+(frac_sam_12_23months*0.8)),0),1)</f>
        <v>0.19791060525204518</v>
      </c>
      <c r="H128" s="90">
        <f>MIN(MAX(1-0.8/(1-frac_sam_24_59months+(frac_sam_24_59months*0.8)),0),1)</f>
        <v>0.19913944329740074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0.1910005935224145</v>
      </c>
      <c r="G130" s="90">
        <f>MIN(MAX(1-0.8/(1-frac_mam_12_23months+(frac_mam_12_23months*0.8)),0),1)</f>
        <v>0.19570999755596374</v>
      </c>
      <c r="H130" s="90">
        <f>MIN(MAX(1-0.8/(1-frac_mam_24_59months+(frac_mam_24_59months*0.8)),0),1)</f>
        <v>0.19784676402560908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sZcLxu2Mlnn/MPNhBNKavTQI9Hb5pJ48Z3C6Mvlq90Yl6kOxeUKex+sTPS97l+j6E8eG0pBBCptDSixwiKkveg==" saltValue="Ir5RSyV/9aZ/6jvkbWZ3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Z7xwsNC5aI8PlxqBWtt3gc0ET5QESjeoN3nr7eKgqY/sQ4GGPHgO05eeHM1L0NqSSCozqitn+/WsqNPYdapiRg==" saltValue="RnDYOMKlFYQ19tud6SNw4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2024-08-06T09:55:16Z</dcterms:modified>
</cp:coreProperties>
</file>