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FA0FF699-63CD-488C-9956-5BCEE866980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I39" i="2"/>
  <c r="H39" i="2"/>
  <c r="G39" i="2"/>
  <c r="H38" i="2"/>
  <c r="G38" i="2"/>
  <c r="I38" i="2" s="1"/>
  <c r="A34" i="2"/>
  <c r="A24" i="2"/>
  <c r="I13" i="2"/>
  <c r="H13" i="2"/>
  <c r="G13" i="2"/>
  <c r="H12" i="2"/>
  <c r="G12" i="2"/>
  <c r="H11" i="2"/>
  <c r="I11" i="2" s="1"/>
  <c r="G11" i="2"/>
  <c r="H10" i="2"/>
  <c r="G10" i="2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I3" i="2"/>
  <c r="H3" i="2"/>
  <c r="G3" i="2"/>
  <c r="H2" i="2"/>
  <c r="G2" i="2"/>
  <c r="I2" i="2" s="1"/>
  <c r="A2" i="2"/>
  <c r="A40" i="2" s="1"/>
  <c r="C33" i="1"/>
  <c r="C20" i="1"/>
  <c r="A35" i="2" l="1"/>
  <c r="A27" i="2"/>
  <c r="A3" i="2"/>
  <c r="I12" i="2"/>
  <c r="A18" i="2"/>
  <c r="A29" i="2"/>
  <c r="A15" i="2"/>
  <c r="A25" i="2"/>
  <c r="A17" i="2"/>
  <c r="A19" i="2"/>
  <c r="A39" i="2"/>
  <c r="A21" i="2"/>
  <c r="A32" i="2"/>
  <c r="A16" i="2"/>
  <c r="A26" i="2"/>
  <c r="A37" i="2"/>
  <c r="A31" i="2"/>
  <c r="I10" i="2"/>
  <c r="A23" i="2"/>
  <c r="A33" i="2"/>
  <c r="A20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<sst xmlns="http://schemas.openxmlformats.org/spreadsheetml/2006/main" count="2101" uniqueCount="337">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</sst>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6538.6036987304706</v>
      </c>
    </row>
    <row r="8" spans="1:3" ht="15" customHeight="1" x14ac:dyDescent="0.25">
      <c r="B8" s="5" t="s">
        <v>19</v>
      </c>
      <c r="C8" s="44">
        <v>1.4999999999999999E-2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0.90741958618164109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0.13059999999999999</v>
      </c>
    </row>
    <row r="24" spans="1:3" ht="15" customHeight="1" x14ac:dyDescent="0.25">
      <c r="B24" s="15" t="s">
        <v>33</v>
      </c>
      <c r="C24" s="45">
        <v>0.55969999999999998</v>
      </c>
    </row>
    <row r="25" spans="1:3" ht="15" customHeight="1" x14ac:dyDescent="0.25">
      <c r="B25" s="15" t="s">
        <v>34</v>
      </c>
      <c r="C25" s="45">
        <v>0.28770000000000001</v>
      </c>
    </row>
    <row r="26" spans="1:3" ht="15" customHeight="1" x14ac:dyDescent="0.25">
      <c r="B26" s="15" t="s">
        <v>35</v>
      </c>
      <c r="C26" s="45">
        <v>2.1999999999999999E-2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0.38027698235904311</v>
      </c>
    </row>
    <row r="30" spans="1:3" ht="14.25" customHeight="1" x14ac:dyDescent="0.25">
      <c r="B30" s="25" t="s">
        <v>38</v>
      </c>
      <c r="C30" s="99">
        <v>5.4660418264349912E-2</v>
      </c>
    </row>
    <row r="31" spans="1:3" ht="14.25" customHeight="1" x14ac:dyDescent="0.25">
      <c r="B31" s="25" t="s">
        <v>39</v>
      </c>
      <c r="C31" s="99">
        <v>6.1967733026657798E-2</v>
      </c>
    </row>
    <row r="32" spans="1:3" ht="14.25" customHeight="1" x14ac:dyDescent="0.25">
      <c r="B32" s="25" t="s">
        <v>40</v>
      </c>
      <c r="C32" s="99">
        <v>0.50309486634994893</v>
      </c>
    </row>
    <row r="33" spans="1:5" ht="13" customHeight="1" x14ac:dyDescent="0.25">
      <c r="B33" s="27" t="s">
        <v>41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8.4706399999999995</v>
      </c>
    </row>
    <row r="38" spans="1:5" ht="15" customHeight="1" x14ac:dyDescent="0.25">
      <c r="B38" s="11" t="s">
        <v>45</v>
      </c>
      <c r="C38" s="43">
        <v>12.56386</v>
      </c>
      <c r="D38" s="12"/>
      <c r="E38" s="13"/>
    </row>
    <row r="39" spans="1:5" ht="15" customHeight="1" x14ac:dyDescent="0.25">
      <c r="B39" s="11" t="s">
        <v>46</v>
      </c>
      <c r="C39" s="43">
        <v>13.71026</v>
      </c>
      <c r="D39" s="12"/>
      <c r="E39" s="12"/>
    </row>
    <row r="40" spans="1:5" ht="15" customHeight="1" x14ac:dyDescent="0.25">
      <c r="B40" s="11" t="s">
        <v>47</v>
      </c>
      <c r="C40" s="100">
        <v>0.62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11.914770000000001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7.2014999999999996E-3</v>
      </c>
      <c r="D45" s="12"/>
    </row>
    <row r="46" spans="1:5" ht="15.75" customHeight="1" x14ac:dyDescent="0.25">
      <c r="B46" s="11" t="s">
        <v>52</v>
      </c>
      <c r="C46" s="45">
        <v>7.7378600000000006E-2</v>
      </c>
      <c r="D46" s="12"/>
    </row>
    <row r="47" spans="1:5" ht="15.75" customHeight="1" x14ac:dyDescent="0.25">
      <c r="B47" s="11" t="s">
        <v>53</v>
      </c>
      <c r="C47" s="45">
        <v>7.415250000000001E-2</v>
      </c>
      <c r="D47" s="12"/>
      <c r="E47" s="13"/>
    </row>
    <row r="48" spans="1:5" ht="15" customHeight="1" x14ac:dyDescent="0.25">
      <c r="B48" s="11" t="s">
        <v>54</v>
      </c>
      <c r="C48" s="46">
        <v>0.8412674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0.55246399999999996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u4fOrREHuKvBse4ea2ZIXAmC8RckywdDq3tSwd2l+RwaA4oSIFnG6WR2tU8XeB5MVB8TmGwymTFD0bdIxi31bQ==" saltValue="S7armh3GXNJJTUQWseQ+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1296</v>
      </c>
      <c r="C2" s="49">
        <v>4496</v>
      </c>
      <c r="D2" s="49">
        <v>7473</v>
      </c>
      <c r="E2" s="49">
        <v>7152</v>
      </c>
      <c r="F2" s="49">
        <v>6385.5</v>
      </c>
      <c r="G2" s="17">
        <f t="shared" ref="G2:G13" si="0">C2+D2+E2+F2</f>
        <v>25506.5</v>
      </c>
      <c r="H2" s="17">
        <f t="shared" ref="H2:H13" si="1">(B2 + stillbirth*B2/(1000-stillbirth))/(1-abortion)</f>
        <v>1490.4860714568849</v>
      </c>
      <c r="I2" s="17">
        <f t="shared" ref="I2:I13" si="2">G2-H2</f>
        <v>24016.013928543114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1290</v>
      </c>
      <c r="C3" s="50">
        <v>4566.5</v>
      </c>
      <c r="D3" s="50">
        <v>7345</v>
      </c>
      <c r="E3" s="50">
        <v>7191.5</v>
      </c>
      <c r="F3" s="50">
        <v>6430</v>
      </c>
      <c r="G3" s="17">
        <f t="shared" si="0"/>
        <v>25533</v>
      </c>
      <c r="H3" s="17">
        <f t="shared" si="1"/>
        <v>1483.585672977918</v>
      </c>
      <c r="I3" s="17">
        <f t="shared" si="2"/>
        <v>24049.414327022081</v>
      </c>
    </row>
    <row r="4" spans="1:9" ht="15.75" customHeight="1" x14ac:dyDescent="0.25">
      <c r="A4" s="5">
        <f t="shared" si="3"/>
        <v>2026</v>
      </c>
      <c r="B4" s="49">
        <v>1283</v>
      </c>
      <c r="C4" s="50">
        <v>4634.4999999999991</v>
      </c>
      <c r="D4" s="50">
        <v>7240</v>
      </c>
      <c r="E4" s="50">
        <v>7251</v>
      </c>
      <c r="F4" s="50">
        <v>6442</v>
      </c>
      <c r="G4" s="17">
        <f t="shared" si="0"/>
        <v>25567.5</v>
      </c>
      <c r="H4" s="17">
        <f t="shared" si="1"/>
        <v>1475.5352080857899</v>
      </c>
      <c r="I4" s="17">
        <f t="shared" si="2"/>
        <v>24091.964791914212</v>
      </c>
    </row>
    <row r="5" spans="1:9" ht="15.75" customHeight="1" x14ac:dyDescent="0.25">
      <c r="A5" s="5">
        <f t="shared" si="3"/>
        <v>2027</v>
      </c>
      <c r="B5" s="49">
        <v>1278</v>
      </c>
      <c r="C5" s="50">
        <v>4693</v>
      </c>
      <c r="D5" s="50">
        <v>7171.5</v>
      </c>
      <c r="E5" s="50">
        <v>7312</v>
      </c>
      <c r="F5" s="50">
        <v>6416</v>
      </c>
      <c r="G5" s="17">
        <f t="shared" si="0"/>
        <v>25592.5</v>
      </c>
      <c r="H5" s="17">
        <f t="shared" si="1"/>
        <v>1469.784876019984</v>
      </c>
      <c r="I5" s="17">
        <f t="shared" si="2"/>
        <v>24122.715123980015</v>
      </c>
    </row>
    <row r="6" spans="1:9" ht="15.75" customHeight="1" x14ac:dyDescent="0.25">
      <c r="A6" s="5">
        <f t="shared" si="3"/>
        <v>2028</v>
      </c>
      <c r="B6" s="49">
        <v>1273</v>
      </c>
      <c r="C6" s="50">
        <v>4726.5000000000009</v>
      </c>
      <c r="D6" s="50">
        <v>7147</v>
      </c>
      <c r="E6" s="50">
        <v>7367.5</v>
      </c>
      <c r="F6" s="50">
        <v>6364</v>
      </c>
      <c r="G6" s="17">
        <f t="shared" si="0"/>
        <v>25605</v>
      </c>
      <c r="H6" s="17">
        <f t="shared" si="1"/>
        <v>1464.0345439541779</v>
      </c>
      <c r="I6" s="17">
        <f t="shared" si="2"/>
        <v>24140.965456045822</v>
      </c>
    </row>
    <row r="7" spans="1:9" ht="15.75" customHeight="1" x14ac:dyDescent="0.25">
      <c r="A7" s="5">
        <f t="shared" si="3"/>
        <v>2029</v>
      </c>
      <c r="B7" s="49">
        <v>1269</v>
      </c>
      <c r="C7" s="50">
        <v>4733.0000000000009</v>
      </c>
      <c r="D7" s="50">
        <v>7154.5</v>
      </c>
      <c r="E7" s="50">
        <v>7416</v>
      </c>
      <c r="F7" s="50">
        <v>6299</v>
      </c>
      <c r="G7" s="17">
        <f t="shared" si="0"/>
        <v>25602.5</v>
      </c>
      <c r="H7" s="17">
        <f t="shared" si="1"/>
        <v>1459.4342783015334</v>
      </c>
      <c r="I7" s="17">
        <f t="shared" si="2"/>
        <v>24143.065721698465</v>
      </c>
    </row>
    <row r="8" spans="1:9" ht="15.75" customHeight="1" x14ac:dyDescent="0.25">
      <c r="A8" s="5">
        <f t="shared" si="3"/>
        <v>2030</v>
      </c>
      <c r="B8" s="49">
        <v>1264</v>
      </c>
      <c r="C8" s="50">
        <v>4710</v>
      </c>
      <c r="D8" s="50">
        <v>7171.5</v>
      </c>
      <c r="E8" s="50">
        <v>7450.5</v>
      </c>
      <c r="F8" s="50">
        <v>6225.5</v>
      </c>
      <c r="G8" s="17">
        <f t="shared" si="0"/>
        <v>25557.5</v>
      </c>
      <c r="H8" s="17">
        <f t="shared" si="1"/>
        <v>1453.6839462357273</v>
      </c>
      <c r="I8" s="17">
        <f t="shared" si="2"/>
        <v>24103.816053764273</v>
      </c>
    </row>
    <row r="9" spans="1:9" ht="15.75" customHeight="1" x14ac:dyDescent="0.25">
      <c r="A9" s="5">
        <f t="shared" si="3"/>
        <v>2031</v>
      </c>
      <c r="B9" s="49">
        <v>1260</v>
      </c>
      <c r="C9" s="50">
        <v>4652</v>
      </c>
      <c r="D9" s="50">
        <v>7192</v>
      </c>
      <c r="E9" s="50">
        <v>7435</v>
      </c>
      <c r="F9" s="50">
        <v>6143</v>
      </c>
      <c r="G9" s="17">
        <f t="shared" si="0"/>
        <v>25422</v>
      </c>
      <c r="H9" s="17">
        <f t="shared" si="1"/>
        <v>1449.0836805830827</v>
      </c>
      <c r="I9" s="17">
        <f t="shared" si="2"/>
        <v>23972.916319416916</v>
      </c>
    </row>
    <row r="10" spans="1:9" ht="15.75" customHeight="1" x14ac:dyDescent="0.25">
      <c r="A10" s="5">
        <f t="shared" si="3"/>
        <v>2032</v>
      </c>
      <c r="B10" s="49">
        <v>1250</v>
      </c>
      <c r="C10" s="50">
        <v>4558</v>
      </c>
      <c r="D10" s="50">
        <v>7227.5</v>
      </c>
      <c r="E10" s="50">
        <v>7359</v>
      </c>
      <c r="F10" s="50">
        <v>6087</v>
      </c>
      <c r="G10" s="17">
        <f t="shared" si="0"/>
        <v>25231.5</v>
      </c>
      <c r="H10" s="17">
        <f t="shared" si="1"/>
        <v>1437.5830164514709</v>
      </c>
      <c r="I10" s="17">
        <f t="shared" si="2"/>
        <v>23793.91698354853</v>
      </c>
    </row>
    <row r="11" spans="1:9" ht="15.75" customHeight="1" x14ac:dyDescent="0.25">
      <c r="A11" s="5">
        <f t="shared" si="3"/>
        <v>2033</v>
      </c>
      <c r="B11" s="49">
        <v>1246</v>
      </c>
      <c r="C11" s="50">
        <v>4438.4999999999991</v>
      </c>
      <c r="D11" s="50">
        <v>7284.5</v>
      </c>
      <c r="E11" s="50">
        <v>7246.5</v>
      </c>
      <c r="F11" s="50">
        <v>6078.5</v>
      </c>
      <c r="G11" s="17">
        <f t="shared" si="0"/>
        <v>25048</v>
      </c>
      <c r="H11" s="17">
        <f t="shared" si="1"/>
        <v>1432.9827507988264</v>
      </c>
      <c r="I11" s="17">
        <f t="shared" si="2"/>
        <v>23615.017249201173</v>
      </c>
    </row>
    <row r="12" spans="1:9" ht="15.75" customHeight="1" x14ac:dyDescent="0.25">
      <c r="A12" s="5">
        <f t="shared" si="3"/>
        <v>2034</v>
      </c>
      <c r="B12" s="49">
        <v>1244</v>
      </c>
      <c r="C12" s="50">
        <v>4303.5000000000009</v>
      </c>
      <c r="D12" s="50">
        <v>7355.0000000000009</v>
      </c>
      <c r="E12" s="50">
        <v>7116</v>
      </c>
      <c r="F12" s="50">
        <v>6097.5</v>
      </c>
      <c r="G12" s="17">
        <f t="shared" si="0"/>
        <v>24872</v>
      </c>
      <c r="H12" s="17">
        <f t="shared" si="1"/>
        <v>1430.682617972504</v>
      </c>
      <c r="I12" s="17">
        <f t="shared" si="2"/>
        <v>23441.317382027497</v>
      </c>
    </row>
    <row r="13" spans="1:9" ht="15.75" customHeight="1" x14ac:dyDescent="0.25">
      <c r="A13" s="5">
        <f t="shared" si="3"/>
        <v>2035</v>
      </c>
      <c r="B13" s="49">
        <v>1237</v>
      </c>
      <c r="C13" s="50">
        <v>4158</v>
      </c>
      <c r="D13" s="50">
        <v>7426.5</v>
      </c>
      <c r="E13" s="50">
        <v>6989</v>
      </c>
      <c r="F13" s="50">
        <v>6147</v>
      </c>
      <c r="G13" s="17">
        <f t="shared" si="0"/>
        <v>24720.5</v>
      </c>
      <c r="H13" s="17">
        <f t="shared" si="1"/>
        <v>1422.6321530803757</v>
      </c>
      <c r="I13" s="17">
        <f t="shared" si="2"/>
        <v>23297.867846919624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SpIsncD8kNz6VhOe0dv1RVy1acKAB4Ts69L8KlCJKKgOBszgj6eHReL14MmLSkuxxHMq8xMvRPsiglU2glPhQ==" saltValue="XjM1d/Q/7rXi5S8pCaIO9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0.245679024567902</v>
      </c>
    </row>
    <row r="5" spans="1:8" ht="15.75" customHeight="1" x14ac:dyDescent="0.25">
      <c r="B5" s="19" t="s">
        <v>80</v>
      </c>
      <c r="C5" s="101">
        <v>2.1604902160490141E-2</v>
      </c>
    </row>
    <row r="6" spans="1:8" ht="15.75" customHeight="1" x14ac:dyDescent="0.25">
      <c r="B6" s="19" t="s">
        <v>81</v>
      </c>
      <c r="C6" s="101">
        <v>9.7325109732510948E-2</v>
      </c>
    </row>
    <row r="7" spans="1:8" ht="15.75" customHeight="1" x14ac:dyDescent="0.25">
      <c r="B7" s="19" t="s">
        <v>82</v>
      </c>
      <c r="C7" s="101">
        <v>0.36460903646090392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0.186625518662552</v>
      </c>
    </row>
    <row r="10" spans="1:8" ht="15.75" customHeight="1" x14ac:dyDescent="0.25">
      <c r="B10" s="19" t="s">
        <v>85</v>
      </c>
      <c r="C10" s="101">
        <v>8.4156408415640871E-2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0.27882946584520879</v>
      </c>
      <c r="D14" s="55">
        <v>0.27882946584520879</v>
      </c>
      <c r="E14" s="55">
        <v>0.27882946584520879</v>
      </c>
      <c r="F14" s="55">
        <v>0.27882946584520879</v>
      </c>
    </row>
    <row r="15" spans="1:8" ht="15.75" customHeight="1" x14ac:dyDescent="0.25">
      <c r="B15" s="19" t="s">
        <v>88</v>
      </c>
      <c r="C15" s="101">
        <v>0.44874457216701419</v>
      </c>
      <c r="D15" s="101">
        <v>0.44874457216701419</v>
      </c>
      <c r="E15" s="101">
        <v>0.44874457216701419</v>
      </c>
      <c r="F15" s="101">
        <v>0.44874457216701419</v>
      </c>
    </row>
    <row r="16" spans="1:8" ht="15.75" customHeight="1" x14ac:dyDescent="0.25">
      <c r="B16" s="19" t="s">
        <v>89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0.26107037820752421</v>
      </c>
      <c r="D21" s="101">
        <v>0.26107037820752421</v>
      </c>
      <c r="E21" s="101">
        <v>0.26107037820752421</v>
      </c>
      <c r="F21" s="101">
        <v>0.26107037820752421</v>
      </c>
    </row>
    <row r="22" spans="1:8" ht="15.75" customHeight="1" x14ac:dyDescent="0.25">
      <c r="B22" s="19" t="s">
        <v>95</v>
      </c>
      <c r="C22" s="101">
        <v>1.135558378025292E-2</v>
      </c>
      <c r="D22" s="101">
        <v>1.135558378025292E-2</v>
      </c>
      <c r="E22" s="101">
        <v>1.135558378025292E-2</v>
      </c>
      <c r="F22" s="101">
        <v>1.135558378025292E-2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5.0091695999999998E-2</v>
      </c>
    </row>
    <row r="27" spans="1:8" ht="15.75" customHeight="1" x14ac:dyDescent="0.25">
      <c r="B27" s="19" t="s">
        <v>102</v>
      </c>
      <c r="C27" s="101">
        <v>4.9500180999999997E-2</v>
      </c>
    </row>
    <row r="28" spans="1:8" ht="15.75" customHeight="1" x14ac:dyDescent="0.25">
      <c r="B28" s="19" t="s">
        <v>103</v>
      </c>
      <c r="C28" s="101">
        <v>0.107511299</v>
      </c>
    </row>
    <row r="29" spans="1:8" ht="15.75" customHeight="1" x14ac:dyDescent="0.25">
      <c r="B29" s="19" t="s">
        <v>104</v>
      </c>
      <c r="C29" s="101">
        <v>0.189587958</v>
      </c>
    </row>
    <row r="30" spans="1:8" ht="15.75" customHeight="1" x14ac:dyDescent="0.25">
      <c r="B30" s="19" t="s">
        <v>2</v>
      </c>
      <c r="C30" s="101">
        <v>5.7170368999999999E-2</v>
      </c>
    </row>
    <row r="31" spans="1:8" ht="15.75" customHeight="1" x14ac:dyDescent="0.25">
      <c r="B31" s="19" t="s">
        <v>105</v>
      </c>
      <c r="C31" s="101">
        <v>0.16519774500000001</v>
      </c>
    </row>
    <row r="32" spans="1:8" ht="15.75" customHeight="1" x14ac:dyDescent="0.25">
      <c r="B32" s="19" t="s">
        <v>106</v>
      </c>
      <c r="C32" s="101">
        <v>4.2521530000000002E-2</v>
      </c>
    </row>
    <row r="33" spans="2:3" ht="15.75" customHeight="1" x14ac:dyDescent="0.25">
      <c r="B33" s="19" t="s">
        <v>107</v>
      </c>
      <c r="C33" s="101">
        <v>0.16630512</v>
      </c>
    </row>
    <row r="34" spans="2:3" ht="15.75" customHeight="1" x14ac:dyDescent="0.25">
      <c r="B34" s="19" t="s">
        <v>108</v>
      </c>
      <c r="C34" s="101">
        <v>0.17211410299999999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rNiISRH/YBdibmS21MMjiX9YeUzpCSoOeWdNGpRQX8V3kiz2EDoIwpVYAEPmOOuL6rZsddInzsx75aFtG86J0w==" saltValue="jyXTjZ1EL5Pa9cgQ4P60Z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114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115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119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120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0.39112227900000002</v>
      </c>
      <c r="D14" s="54">
        <v>0.36316351757300003</v>
      </c>
      <c r="E14" s="54">
        <v>0.36316351757300003</v>
      </c>
      <c r="F14" s="54">
        <v>0.27569453613299999</v>
      </c>
      <c r="G14" s="54">
        <v>0.27569453613299999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0.21608097874545598</v>
      </c>
      <c r="D15" s="52">
        <f t="shared" si="0"/>
        <v>0.20063476957244988</v>
      </c>
      <c r="E15" s="52">
        <f t="shared" si="0"/>
        <v>0.20063476957244988</v>
      </c>
      <c r="F15" s="52">
        <f t="shared" si="0"/>
        <v>0.15231130621018169</v>
      </c>
      <c r="G15" s="52">
        <f t="shared" si="0"/>
        <v>0.15231130621018169</v>
      </c>
      <c r="H15" s="52">
        <f t="shared" si="0"/>
        <v>0.15524238400000001</v>
      </c>
      <c r="I15" s="52">
        <f t="shared" si="0"/>
        <v>0.15524238400000001</v>
      </c>
      <c r="J15" s="52">
        <f t="shared" si="0"/>
        <v>0.15524238400000001</v>
      </c>
      <c r="K15" s="52">
        <f t="shared" si="0"/>
        <v>0.15524238400000001</v>
      </c>
      <c r="L15" s="52">
        <f t="shared" si="0"/>
        <v>0.13480121599999997</v>
      </c>
      <c r="M15" s="52">
        <f t="shared" si="0"/>
        <v>0.13480121599999997</v>
      </c>
      <c r="N15" s="52">
        <f t="shared" si="0"/>
        <v>0.13480121599999997</v>
      </c>
      <c r="O15" s="52">
        <f t="shared" si="0"/>
        <v>0.13480121599999997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H00RYA8a7ThAPF6LCnLjRLqV8skqkvPDl5RrQoLRAdp7oIhAPi2vvHY79md7CxoDAdwApgzc/UJQuIsgy2Xfw==" saltValue="wY9QzA7YVOjnCTH/QoIK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132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6Th7SsbgEHrLL+IzSIUcB9c3pGp3VDdv1CDVczlzuX2rCjb6Y57nR1kRmxpgX3L+qdGCXeJPXqMeWHD7V9obFg==" saltValue="eczPVyubRzLwlZrDjaff7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9JrZrzczB2ad4cH98nNMT9ctp/uEp+LjiJ4iXM/xFEVpNk2YnMtJHMrr+B33y4eW7a9aslYaZqIjGD+7OC1b5g==" saltValue="vUXAhSyBeYrYCMaCD7rfa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JJJAUaW9G6t9d09VblrW3JBeuQO/oddNLmAmw+6ywFaFZK2kXF5ANt7QqG82w6jnoupuuo9bmuE6d0Izbo02ww==" saltValue="G/yKbYkQ4oGM9ESg3aoYX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hdkSKTUtxxCATd5DUd6CNMhMvX9cdOFhl0mKMT//tTfYt0foUxJsncIA3/rW47IsHxBk9z30yWd1os3aAlkWDw==" saltValue="ClIdxzS8D5Ib9roh6LAW+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j54nnsaDHnU+krpNypdkhud1ZAusGTRRU4tOEXdREnjKKb0Bmn326dKkijXHRm3MI5I7TV8yXoCJ42D/fDzfsg==" saltValue="zNqLq4ueECSF8Ei4O4WHk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76.288343665672741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40.289382146661893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700.65961955315572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4.0450576957307653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13.4216815904578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13.4216815904578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13.4216815904578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13.4216815904578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13.4216815904578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13.4216815904578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1.1284473903531529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0.43425000000000002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</v>
      </c>
      <c r="C18" s="98">
        <v>0.95</v>
      </c>
      <c r="D18" s="56">
        <v>16.066557124329801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</v>
      </c>
      <c r="C19" s="98">
        <v>0.95</v>
      </c>
      <c r="D19" s="56">
        <v>16.066557124329801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34.565331454239143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23.37624640899082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4.5352765038898664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18.982349980949131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155.3213010716627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0.81553707763180794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2.465064572305748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0.93760060000000001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2.412570092323977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mP2cqVJfMBrgB2ygG0LwjTM4qe9ZyG4PHZxIuqAQNbUHdy6YQizvXzn+Tnq7UxrQGzqhCR9k1f3TBnqlZYaqzQ==" saltValue="zdEuZIL75k3prJNBuQJj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qnwEM8ClBzRiOPntHYHUzXsJBtvm9MYoNVrQ7AQZxyTdL0Ni+TptcJP/512Nywb6KddL5wcfbast5wrC2im55A==" saltValue="rG5nHrP3ZLux64d4grsF2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PJj1CZcwieChDzXkC6/5QO34yYaRMigXdpWJEirboAy+a/9PhODxdUH9u/OFNx2zP3vuR+Ggp6tqjKxR5rKP5Q==" saltValue="BIotwSYhxFBfA9UJ3YuZM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208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60QEGip91WcD+RN4twZJ4NBuC0gXQoEXeMShIhPZiZeosZXaI/AxHTEhVxclusNZ/Cr91WM6d1XfHyPB0gUYcA==" saltValue="j0tNMi/Ka+7SVJWXIxryh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4.5656031074523692E-2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1.9566870460510151E-2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2.7357512283325055E-2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0.90741958618164109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zgZHAmYc6JQcxittjFGDdNl6Lj5iwo/nvtOj02BT2JjdcVv0NahA8K8M9F1pdU+N7XjjHpPSLU/xpw9O91j3Q==" saltValue="FV6VLARqNzJneWeDEa196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sDkUgxAicLV9qs0hi4NM5YpIBYJkMxLHnsQ+JrOqele7Beuf7H5AY0jQJqsow3g2TueA7l9X9NKIXUxw462vzQ==" saltValue="yEVJ1+6zaB7IPwQ8RyD2A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fqBBGVJO35Il0mTUjLt3IvE+FFVLVIkqwiW/E5xkBuLugs41NGWODDxg59XvhgXxXiKcsdJTtaQ8sJ6AWozxQ==" saltValue="c5da9qj6fK91Y5h3xAClP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R0xMP2CeefGvIzXzFIONYnApRigBPioZbREnZUJmRbaumtPrCVRyoW7jn03MfL7KlakupSQTwNzyYkoaYyG1Q==" saltValue="w47hRQcBJ8yKoGyJ9GxuB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qhcqPEUrZ4bqHrdMrGQP0trAeoj0CUMQhdFMxz2C0nHW4Gh/JkhRtNA+MIR6IJgE1EfYLF/SyWMhs3gXa9nr5A==" saltValue="LftaES+L1uERXij05lIrr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0xB2vBtjS9DPva1gLVdwllhjwK/rnfPCDVaFeMGnNipP2y3yUv014jXPc0eZDHs862SCDsWV5CFOq8ljZFX6SA==" saltValue="z2kbYon1U0QzFBSh5kD2Z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I7IUhhuxCtiIKAPuDsnFXCJrij6T1AnvYiS3mRPsuAiyzAB1MZCin/qYEyYbb9Dtt+fn8unpseBRx7X9X9fzQ==" saltValue="VxKP0bjVkQiOdRVfUL5+j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wSsc8i0W9ukRXhHOc73yEAktQhjzKH+paPVtR6N0u2rMjEjrKxapAkTXGGAlBcbRDWXrXkbwH7TuQVnqL0Drg==" saltValue="V+zjoTDto5XXijc2vKxT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XWA/f04crcP/bvT4aE5fMo0/BFswEbvPNGpzkeej/GxeF5Brm/7jpRjq94ym0WXlg80Sm0RMcb6AmdaESvCiQ==" saltValue="UJvcoFjJ5oL0cG9Vu8hW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RH34dBzFOxcE/b7/BeJBr+Kcn0YBlJxBpMcEgBieJ78N0K4K0XjOMTZIMT3o2bypNRJyUuPPl4JYXe5bSjafKw==" saltValue="48O6NTzyiajwHj1dmalQ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8RxgtZjelWxRaWhUZgaUa71gbyXc5xaQJRKOrgBDL3cDx4THXBER6QQ5CqyPcy/1tzbC6NllB7XSxM2rtEeLpg==" saltValue="7bb2vrhXOsVPArgGcs0x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sZZ8gIZXQftIeX6WDy/h00cdel+nVbnHa84/8RsalOni8AoDmMV7qIsB5EtXL2JXXlWvMZjYr1UEMd7eeHFsHw==" saltValue="7Eh5q3kd8B/SY2ZWt0DN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W8Pfn1F98YT3LXlVQsQfhVr3d7XBbbRCUnx0DPV3zn2PhQFXOoa5gOWsdF9TRUqwG9YlFEyypjELrivWDNnzA==" saltValue="GTht9c8Q6oiJKs1eedKWP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0.10893279523983856</v>
      </c>
      <c r="G18" s="90">
        <f>MIN(MAX(1-0.89/(1-frac_sam_12_23months+(frac_sam_12_23months*0.89)),0),1)</f>
        <v>0.1092706246891999</v>
      </c>
      <c r="H18" s="90">
        <f>MIN(MAX(1-0.89/(1-frac_sam_24_59months+(frac_sam_24_59months*0.89)),0),1)</f>
        <v>0.10955189959787226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0.10744200236657098</v>
      </c>
      <c r="G20" s="90">
        <f>MIN(MAX(1-0.89/(1-frac_mam_12_23months+(frac_mam_12_23months*0.89)),0),1)</f>
        <v>0.10830952041594089</v>
      </c>
      <c r="H20" s="90">
        <f>MIN(MAX(1-0.89/(1-frac_mam_24_59months+(frac_mam_24_59months*0.89)),0),1)</f>
        <v>0.10870344317217706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9.8921979322001974E-3</v>
      </c>
      <c r="G73" s="90">
        <f>MIN(MAX(1-0.99/(1-frac_sam_12_23months+(frac_sam_12_23months*0.99)),0),1)</f>
        <v>9.9262978557254078E-3</v>
      </c>
      <c r="H73" s="90">
        <f>MIN(MAX(1-0.99/(1-frac_sam_24_59months+(frac_sam_24_59months*0.99)),0),1)</f>
        <v>9.9547072072605491E-3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9.742000201394041E-3</v>
      </c>
      <c r="G75" s="90">
        <f>MIN(MAX(1-0.99/(1-frac_mam_12_23months+(frac_mam_12_23months*0.99)),0),1)</f>
        <v>9.8293472993712383E-3</v>
      </c>
      <c r="H75" s="90">
        <f>MIN(MAX(1-0.99/(1-frac_mam_24_59months+(frac_mam_24_59months*0.99)),0),1)</f>
        <v>9.8690609233905713E-3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0.19825413228318445</v>
      </c>
      <c r="G128" s="90">
        <f>MIN(MAX(1-0.8/(1-frac_sam_12_23months+(frac_sam_12_23months*0.8)),0),1)</f>
        <v>0.19880716698883183</v>
      </c>
      <c r="H128" s="90">
        <f>MIN(MAX(1-0.8/(1-frac_sam_24_59months+(frac_sam_24_59months*0.8)),0),1)</f>
        <v>0.19926735841604293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0.19580955726063765</v>
      </c>
      <c r="G130" s="90">
        <f>MIN(MAX(1-0.8/(1-frac_mam_12_23months+(frac_mam_12_23months*0.8)),0),1)</f>
        <v>0.19723291392568032</v>
      </c>
      <c r="H130" s="90">
        <f>MIN(MAX(1-0.8/(1-frac_mam_24_59months+(frac_mam_24_59months*0.8)),0),1)</f>
        <v>0.19787848158653454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nhXhUFh9Fw5xPZVxhdy1y7LIT5TsQXHqEJQbStCZZyHdN83STITe6LSoEzOq2UhDYWWGalE+bzmHhXXXrST0tw==" saltValue="/ZDoUtsH4/5ZovZSFg/M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/jvVy3deKJ1PqIdF89LqKOKLi3lLaSCWCIrexwBshijQW0U0GCqd+x1cibSXsi0P2gU9+U6/NyN7NPV2IgCVcg==" saltValue="wKwF/nY17+qqt23eYox41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2024-08-06T09:57:36Z</dcterms:modified>
</cp:coreProperties>
</file>