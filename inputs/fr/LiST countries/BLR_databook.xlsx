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31B71C4-C9C6-4E07-83C8-4520444CECB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3" i="2"/>
  <c r="A32" i="2"/>
  <c r="A29" i="2"/>
  <c r="A28" i="2"/>
  <c r="A27" i="2"/>
  <c r="A26" i="2"/>
  <c r="A24" i="2"/>
  <c r="A23" i="2"/>
  <c r="A20" i="2"/>
  <c r="A19" i="2"/>
  <c r="A18" i="2"/>
  <c r="A17" i="2"/>
  <c r="A15" i="2"/>
  <c r="H13" i="2"/>
  <c r="G13" i="2"/>
  <c r="H12" i="2"/>
  <c r="G12" i="2"/>
  <c r="I12" i="2" s="1"/>
  <c r="H11" i="2"/>
  <c r="G11" i="2"/>
  <c r="H10" i="2"/>
  <c r="G10" i="2"/>
  <c r="I10" i="2" s="1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A3" i="2"/>
  <c r="H2" i="2"/>
  <c r="G2" i="2"/>
  <c r="I2" i="2" s="1"/>
  <c r="A2" i="2"/>
  <c r="A40" i="2" s="1"/>
  <c r="C33" i="1"/>
  <c r="C20" i="1"/>
  <c r="I5" i="2" l="1"/>
  <c r="I9" i="2"/>
  <c r="I13" i="2"/>
  <c r="A21" i="2"/>
  <c r="A31" i="2"/>
  <c r="A39" i="2"/>
  <c r="A16" i="2"/>
  <c r="A25" i="2"/>
  <c r="A34" i="2"/>
  <c r="I40" i="2"/>
  <c r="I3" i="2"/>
  <c r="I7" i="2"/>
  <c r="I11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<sst xmlns="http://schemas.openxmlformats.org/spreadsheetml/2006/main" count="2101" uniqueCount="337">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</sst>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437363.9921875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0.96395172119140593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5.7299999999999997E-2</v>
      </c>
    </row>
    <row r="24" spans="1:3" ht="15" customHeight="1" x14ac:dyDescent="0.25">
      <c r="B24" s="15" t="s">
        <v>33</v>
      </c>
      <c r="C24" s="45">
        <v>0.57350000000000001</v>
      </c>
    </row>
    <row r="25" spans="1:3" ht="15" customHeight="1" x14ac:dyDescent="0.25">
      <c r="B25" s="15" t="s">
        <v>34</v>
      </c>
      <c r="C25" s="45">
        <v>0.35089999999999999</v>
      </c>
    </row>
    <row r="26" spans="1:3" ht="15" customHeight="1" x14ac:dyDescent="0.25">
      <c r="B26" s="15" t="s">
        <v>35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0.87329999999999997</v>
      </c>
    </row>
    <row r="38" spans="1:5" ht="15" customHeight="1" x14ac:dyDescent="0.25">
      <c r="B38" s="11" t="s">
        <v>45</v>
      </c>
      <c r="C38" s="43">
        <v>2.0504600000000002</v>
      </c>
      <c r="D38" s="12"/>
      <c r="E38" s="13"/>
    </row>
    <row r="39" spans="1:5" ht="15" customHeight="1" x14ac:dyDescent="0.25">
      <c r="B39" s="11" t="s">
        <v>46</v>
      </c>
      <c r="C39" s="43">
        <v>2.7249400000000001</v>
      </c>
      <c r="D39" s="12"/>
      <c r="E39" s="12"/>
    </row>
    <row r="40" spans="1:5" ht="15" customHeight="1" x14ac:dyDescent="0.25">
      <c r="B40" s="11" t="s">
        <v>47</v>
      </c>
      <c r="C40" s="100">
        <v>0.01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6.2438000000000007E-3</v>
      </c>
      <c r="D45" s="12"/>
    </row>
    <row r="46" spans="1:5" ht="15.75" customHeight="1" x14ac:dyDescent="0.25">
      <c r="B46" s="11" t="s">
        <v>52</v>
      </c>
      <c r="C46" s="45">
        <v>6.7088499999999995E-2</v>
      </c>
      <c r="D46" s="12"/>
    </row>
    <row r="47" spans="1:5" ht="15.75" customHeight="1" x14ac:dyDescent="0.25">
      <c r="B47" s="11" t="s">
        <v>53</v>
      </c>
      <c r="C47" s="45">
        <v>7.5063599999999994E-2</v>
      </c>
      <c r="D47" s="12"/>
      <c r="E47" s="13"/>
    </row>
    <row r="48" spans="1:5" ht="15" customHeight="1" x14ac:dyDescent="0.25">
      <c r="B48" s="11" t="s">
        <v>54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0.64647999999999994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Wuim5cA9OfNklPGvY1tuP5Gc4pErIJxIZm0SRT5TxG2l8VvpXFLlKM8lKq3wtMwNaqSanVo8LvNLh/ZAdziLRQ==" saltValue="9IPlChWpo7GKqYxEzxta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JXWlCUVFE/mxYqmB+HIzQ9gFEY4IfG6uaebsyb3UFfzX+V1KNOl64bG6abfugnzXQBngkJJ+M0DJ2M1avbPZw==" saltValue="1Po4AOFTmMnzCeHbqf6sn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4.5424600000000009E-2</v>
      </c>
    </row>
    <row r="5" spans="1:8" ht="15.75" customHeight="1" x14ac:dyDescent="0.25">
      <c r="B5" s="19" t="s">
        <v>80</v>
      </c>
      <c r="C5" s="101">
        <v>1.7769299999999998E-2</v>
      </c>
    </row>
    <row r="6" spans="1:8" ht="15.75" customHeight="1" x14ac:dyDescent="0.25">
      <c r="B6" s="19" t="s">
        <v>81</v>
      </c>
      <c r="C6" s="101">
        <v>0.14635760000000009</v>
      </c>
    </row>
    <row r="7" spans="1:8" ht="15.75" customHeight="1" x14ac:dyDescent="0.25">
      <c r="B7" s="19" t="s">
        <v>82</v>
      </c>
      <c r="C7" s="101">
        <v>0.369857399999999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0.31618180000000068</v>
      </c>
    </row>
    <row r="10" spans="1:8" ht="15.75" customHeight="1" x14ac:dyDescent="0.25">
      <c r="B10" s="19" t="s">
        <v>85</v>
      </c>
      <c r="C10" s="101">
        <v>0.10440930000000009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88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89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93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94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95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5.5138011000000001E-2</v>
      </c>
    </row>
    <row r="27" spans="1:8" ht="15.75" customHeight="1" x14ac:dyDescent="0.25">
      <c r="B27" s="19" t="s">
        <v>102</v>
      </c>
      <c r="C27" s="101">
        <v>5.8021491999999987E-2</v>
      </c>
    </row>
    <row r="28" spans="1:8" ht="15.75" customHeight="1" x14ac:dyDescent="0.25">
      <c r="B28" s="19" t="s">
        <v>103</v>
      </c>
      <c r="C28" s="101">
        <v>0.12039119400000001</v>
      </c>
    </row>
    <row r="29" spans="1:8" ht="15.75" customHeight="1" x14ac:dyDescent="0.25">
      <c r="B29" s="19" t="s">
        <v>104</v>
      </c>
      <c r="C29" s="101">
        <v>0.13459314</v>
      </c>
    </row>
    <row r="30" spans="1:8" ht="15.75" customHeight="1" x14ac:dyDescent="0.25">
      <c r="B30" s="19" t="s">
        <v>2</v>
      </c>
      <c r="C30" s="101">
        <v>8.1866218000000004E-2</v>
      </c>
    </row>
    <row r="31" spans="1:8" ht="15.75" customHeight="1" x14ac:dyDescent="0.25">
      <c r="B31" s="19" t="s">
        <v>105</v>
      </c>
      <c r="C31" s="101">
        <v>6.5181787000000005E-2</v>
      </c>
    </row>
    <row r="32" spans="1:8" ht="15.75" customHeight="1" x14ac:dyDescent="0.25">
      <c r="B32" s="19" t="s">
        <v>106</v>
      </c>
      <c r="C32" s="101">
        <v>0.13227402499999999</v>
      </c>
    </row>
    <row r="33" spans="2:3" ht="15.75" customHeight="1" x14ac:dyDescent="0.25">
      <c r="B33" s="19" t="s">
        <v>107</v>
      </c>
      <c r="C33" s="101">
        <v>0.124908043</v>
      </c>
    </row>
    <row r="34" spans="2:3" ht="15.75" customHeight="1" x14ac:dyDescent="0.25">
      <c r="B34" s="19" t="s">
        <v>108</v>
      </c>
      <c r="C34" s="101">
        <v>0.22762609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bn4bRL03kwuDfNnw/QOUQZGwCYzHi7/MVkmpPxQNpglaZwH1llDB4ImqfSCdW4rlfh9pc55J/buMPmJYPzAwJg==" saltValue="TBpagqS3ZQfWDrZqmsnxk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114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115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119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120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kK9waRAI0GgeS0yhUOG6gePtQ3yeDzrnp7qVETArz/cK2F78+NDvXJNCChrJlH2tlhT/SG45+PEYP8tGXDr1w==" saltValue="AFmIXmNJXN3exLN5w9zP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132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Y/VdFm1SK2u7PJGr9+DwvGuJ+6rKBL836ZgWn+IHTZ67wZkgbgJxCfMATfT3KxxPPIgreOKXxe7VCAFEbI63cg==" saltValue="PhnXKWsha1238B85QkIU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6xe2YFP8YKY6BI/UkWA7oEKdVYf5AU/VnprNpqzMOvASTbLwAyC5yUKJ2WHjffvIm7tI+Gts71vLNPFED3Glw==" saltValue="1YVfweFmWb0KYIzXP3TL9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vhCcwSiFHVdmCwOQHCN8hfCwtvx4S8MV2USYF0wIzbqYfp37+PhuKt0Q2xdBDVDew4DnQXtQzZheO0pAbhixQ==" saltValue="7e9l7SamM+DiwtrStMyc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O23rzRGXRuEktL3Bxyh6rHvlpbKy9pH810tjgl3DNf+byJiQIAoNaVzN8vrQTu6tgaOMKpUORjLdyxtVuxNZw==" saltValue="nse/9eOINOB0aLvfosaD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d9ikcsMSQam+HxUWJnGUl/hgmoLpaJb0wOAsWiEE2mdrZGY3y/NQAEAuhO17dkIQ9wYIYJdmzE1kUJJdme/E7Q==" saltValue="XglQl+ygBhjYbM3EWMqj5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63.421848665062683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40.000995134003318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498.94277630498448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13.635817046321829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13.13329457779923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13.13329457779923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13.13329457779923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13.13329457779923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13.13329457779923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13.13329457779923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0.84006037769458042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0.18631239999999999</v>
      </c>
      <c r="C18" s="98">
        <v>0.95</v>
      </c>
      <c r="D18" s="56">
        <v>11.47697383223603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0.18631239999999999</v>
      </c>
      <c r="C19" s="98">
        <v>0.95</v>
      </c>
      <c r="D19" s="56">
        <v>11.47697383223603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134.72675449417599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22.72737563050903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4.355034620978258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0.91739417245447996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18.696975825051741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0.52661570000000002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0.69994709999999993</v>
      </c>
      <c r="C29" s="98">
        <v>0.95</v>
      </c>
      <c r="D29" s="56">
        <v>125.9554584200983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0.8476197124550896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1.8161937938239601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0.44281280000000001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0.31885570000000002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0.97181479999999998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7.3998900000000006E-2</v>
      </c>
      <c r="C38" s="98">
        <v>0.95</v>
      </c>
      <c r="D38" s="56">
        <v>2.018253434489619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9ENzDLKQphGIFWQcSSaW+2I33AISeEdj34Arm0IB8N0msbqiCaY23o7/GrouLW8al3X9nJJqYFcOOtfx165kQw==" saltValue="fvapWWSHSuFStPUI1/RG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FPY5VkQTTYKKovjLJ+j/qB5DuW55mKb1zb6Ww10q2hybKHu8gwg7K07NBkh/f1kFSVcruJyZKoLwuRI37aui6Q==" saltValue="mWGY7mu8YZdMnJ6MNZJI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dsIdXA5Tua/jRq07gMK8/xVkLvyoQkJkKH957B1SgA3mLNdTNgOq6x1DN4FxhYIFG/QcQ1IGquZvlwKZ87LpUA==" saltValue="a6kkz1k3HVdc5c9QzGDY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208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ATHaprup3lZsrfSgWKMwmcBzH3/Eu/j3bBoX+JIy+jMmcJ1vqC0jV8Z86/WfPLkrXpk3sE4zfF/GJdynoFujXA==" saltValue="3SasSK2n6meQkWnkLJKm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YKZdUEqNoLhNzYGnQPlDUxTCxGTHZQSWBMAuLJ/b9VBYxEEgQ9mYjHWSYT7ZSVM41GinCQlutZUjruTDTbgaQ==" saltValue="gb6xSKS8soluRsE61zUR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0DCstTeTTWymwiOrnLxujVAT6q8s1KKC1R6ptjoEahXJNCR53Fnw3wQHvasVGIcG1Bbj67i7G4/HyOTA33Fh9A==" saltValue="NDRKM888sa+bxRONCCr3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ZgBnXK8fmHBacksOBZL5Jdw3GCYmSqJl9aPcruTK+MdSg89Mp6dOnO8U1ADsipqDFE741WAfzyKhzBGb+LCJw==" saltValue="i1AsVlR6LLiy2kGdQFgr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3q3DKMQp0/q7/eekFj0tDHmrNEPV3aDCGKJWeA9v89Yc/IJoqUIUx1oMQcEFigWS/ZP+s9IwIz7phT9KQHhdw==" saltValue="sXzGRJuvwEp6CnzKcE5P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gCimBKPSC8pulslXCR/oqwCJ2gAbzYFztFSZi8rpRULf397DX4q4+v1VGCMdm5GteOGQzL0ZZXJOkyqrhhBGA==" saltValue="0IY5pItSbXeMXs3tH+FJM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1F4Y7eWN9CfcmqltZz8etfKyTbeND7cvl8MibiQ5rpwdVQmTVbL5dBKCUhZdZf/l9DTh5mCFWTr/a/WBkJ2Yw==" saltValue="LudY2C1Ma45zURS6t+y/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qDQeUet8Rrr34JwwCIrigUQggww2iirTbSkFeuZ7a57uFps8Yasgs5lktxSCPyvvSOaltU+Lo/xcxTC2sLybA==" saltValue="Whbh4QU1qrDGHd/hC90M3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2DXGu0gdd/u5UvKlVKp4mIZUvrOk03ilREruDpsrt+HjKbjOBS09k5JkGfC+C4HtX2KCxVqi5I75i7KsVrD0Q==" saltValue="McFTtZDippbbOF8JrYT3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4fSgdY+aqpG1kxvftBhzTauJIPCtcOjvGJY8/Xj9CujaXFIiRI8vYH3EWXcW9ImtoH/R3BCSWNV3cHwEKOC1g==" saltValue="0LEbAfbvWC++m6OluuR+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YS71qyJ+4RRIsZqdb1yIMx0MqA7N0kNkgNwb3VCwev16EnwAboLSkt1TZlEvM9M9pOFmOzPYQvlogxt4GbJwQ==" saltValue="epSAc/8+mC9JQWmLESje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90JDcOatqP/mJ4wbKMjMBaVCBk9sNZlxbEw9M/JSSLhCwlsnaJ5aOwfB6iIZZWaKOu3Q9ETXiMyMuDgE3ivpA==" saltValue="2rAv8NN7xg/k/8AZKooO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81CKFkXUFDItWKQesm1q4GjAe4AESOchFETBXk5Em1kpQFTbP29l53JBGcTOUVGh+14ZHc64MUoIbwrQpBRJQ==" saltValue="jRSKxA2Ls1FcIiSqe+tN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JlCP3nDWRDzhQTbLweFWO6d64QFTd2D7b0300DyptinN4kOpiaVaS0U3QBkesgVWOPpjrVui53Y4mThRe/UHQ==" saltValue="OGL5yRC1WAmRPV/cY6PB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0.10933861534096401</v>
      </c>
      <c r="G18" s="90">
        <f>MIN(MAX(1-0.89/(1-frac_sam_12_23months+(frac_sam_12_23months*0.89)),0),1)</f>
        <v>0.10987468014634305</v>
      </c>
      <c r="H18" s="90">
        <f>MIN(MAX(1-0.89/(1-frac_sam_24_59months+(frac_sam_24_59months*0.89)),0),1)</f>
        <v>0.10942856305634219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0.10896361954724054</v>
      </c>
      <c r="G20" s="90">
        <f>MIN(MAX(1-0.89/(1-frac_mam_12_23months+(frac_mam_12_23months*0.89)),0),1)</f>
        <v>0.10986231172210181</v>
      </c>
      <c r="H20" s="90">
        <f>MIN(MAX(1-0.89/(1-frac_mam_24_59months+(frac_mam_24_59months*0.89)),0),1)</f>
        <v>0.10867493119561333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9.9331635580722777E-3</v>
      </c>
      <c r="G73" s="90">
        <f>MIN(MAX(1-0.99/(1-frac_sam_12_23months+(frac_sam_12_23months*0.99)),0),1)</f>
        <v>9.9873288278217176E-3</v>
      </c>
      <c r="H73" s="90">
        <f>MIN(MAX(1-0.99/(1-frac_sam_24_59months+(frac_sam_24_59months*0.99)),0),1)</f>
        <v>9.9422479512075723E-3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9.8953083101100958E-3</v>
      </c>
      <c r="G75" s="90">
        <f>MIN(MAX(1-0.99/(1-frac_mam_12_23months+(frac_mam_12_23months*0.99)),0),1)</f>
        <v>9.9860784242348233E-3</v>
      </c>
      <c r="H75" s="90">
        <f>MIN(MAX(1-0.99/(1-frac_mam_24_59months+(frac_mam_24_59months*0.99)),0),1)</f>
        <v>9.8661853952237699E-3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0.19891842772600998</v>
      </c>
      <c r="G128" s="90">
        <f>MIN(MAX(1-0.8/(1-frac_sam_12_23months+(frac_sam_12_23months*0.8)),0),1)</f>
        <v>0.19979516356596949</v>
      </c>
      <c r="H128" s="90">
        <f>MIN(MAX(1-0.8/(1-frac_sam_24_59months+(frac_sam_24_59months*0.8)),0),1)</f>
        <v>0.19906559788912137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0.19830460664995908</v>
      </c>
      <c r="G130" s="90">
        <f>MIN(MAX(1-0.8/(1-frac_mam_12_23months+(frac_mam_12_23months*0.8)),0),1)</f>
        <v>0.19977494470544888</v>
      </c>
      <c r="H130" s="90">
        <f>MIN(MAX(1-0.8/(1-frac_mam_24_59months+(frac_mam_24_59months*0.8)),0),1)</f>
        <v>0.19783177136472796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gq8RUQv6M6xX5gX8rsG901qyIl5OM9YH/mw7DBYr8zVviol99zQ7uQZJ9FT837XRfOAjmWq7LollxWqydxRIw==" saltValue="NArHMMVvROZ7MDAWFScx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bsEXTg0hVZnc68arQXbtp6VHQC2YCz4ZZl7qYxT74T4tl2V+M2pwSIl1zUBUlUVkmPvYkjgBMR98w3JE3dwKw==" saltValue="abeCsSdSqMLJXemNrBL9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2024-08-06T08:46:46Z</dcterms:modified>
</cp:coreProperties>
</file>