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38FBD7D9-0398-42EC-9BCF-193F7A44AA8D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4" i="2"/>
  <c r="A31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7" i="2" l="1"/>
  <c r="I13" i="2"/>
  <c r="A23" i="2"/>
  <c r="A24" i="2"/>
  <c r="A25" i="2"/>
  <c r="A26" i="2"/>
  <c r="I4" i="2"/>
  <c r="I6" i="2"/>
  <c r="I12" i="2"/>
  <c r="A35" i="2"/>
  <c r="A36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<sst xmlns="http://schemas.openxmlformats.org/spreadsheetml/2006/main" count="2169" uniqueCount="369">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</sst>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352562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0.96395172119140593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5.7299999999999997E-2</v>
      </c>
    </row>
    <row r="24" spans="1:3" ht="15" customHeight="1" x14ac:dyDescent="0.25">
      <c r="B24" s="15" t="s">
        <v>51</v>
      </c>
      <c r="C24" s="45">
        <v>0.57350000000000001</v>
      </c>
    </row>
    <row r="25" spans="1:3" ht="15" customHeight="1" x14ac:dyDescent="0.25">
      <c r="B25" s="15" t="s">
        <v>52</v>
      </c>
      <c r="C25" s="45">
        <v>0.35089999999999999</v>
      </c>
    </row>
    <row r="26" spans="1:3" ht="15" customHeight="1" x14ac:dyDescent="0.25">
      <c r="B26" s="15" t="s">
        <v>53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0.57290349526853401</v>
      </c>
    </row>
    <row r="30" spans="1:3" ht="14.25" customHeight="1" x14ac:dyDescent="0.25">
      <c r="B30" s="25" t="s">
        <v>56</v>
      </c>
      <c r="C30" s="97">
        <v>2.97816918362898E-2</v>
      </c>
    </row>
    <row r="31" spans="1:3" ht="14.25" customHeight="1" x14ac:dyDescent="0.25">
      <c r="B31" s="25" t="s">
        <v>57</v>
      </c>
      <c r="C31" s="97">
        <v>2.5306962187057899E-2</v>
      </c>
    </row>
    <row r="32" spans="1:3" ht="14.25" customHeight="1" x14ac:dyDescent="0.25">
      <c r="B32" s="25" t="s">
        <v>58</v>
      </c>
      <c r="C32" s="97">
        <v>0.37200785070811798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0.87329999999999997</v>
      </c>
    </row>
    <row r="38" spans="1:5" ht="15" customHeight="1" x14ac:dyDescent="0.25">
      <c r="B38" s="11" t="s">
        <v>63</v>
      </c>
      <c r="C38" s="43">
        <v>2.0504600000000002</v>
      </c>
      <c r="D38" s="12"/>
      <c r="E38" s="13"/>
    </row>
    <row r="39" spans="1:5" ht="15" customHeight="1" x14ac:dyDescent="0.25">
      <c r="B39" s="11" t="s">
        <v>64</v>
      </c>
      <c r="C39" s="43">
        <v>2.7249400000000001</v>
      </c>
      <c r="D39" s="12"/>
      <c r="E39" s="12"/>
    </row>
    <row r="40" spans="1:5" ht="15" customHeight="1" x14ac:dyDescent="0.25">
      <c r="B40" s="11" t="s">
        <v>65</v>
      </c>
      <c r="C40" s="98">
        <v>0.01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6.2438000000000007E-3</v>
      </c>
      <c r="D45" s="12"/>
    </row>
    <row r="46" spans="1:5" ht="15.75" customHeight="1" x14ac:dyDescent="0.25">
      <c r="B46" s="11" t="s">
        <v>70</v>
      </c>
      <c r="C46" s="45">
        <v>6.7088499999999995E-2</v>
      </c>
      <c r="D46" s="12"/>
    </row>
    <row r="47" spans="1:5" ht="15.75" customHeight="1" x14ac:dyDescent="0.25">
      <c r="B47" s="11" t="s">
        <v>71</v>
      </c>
      <c r="C47" s="45">
        <v>7.5063599999999994E-2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0.64647999999999994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pIfGYQZ0O1OZORGoM3dmrq7B35AJ2cko8NNJdEVR/RvSbHfwF87dHevn+1GaW5rQMXt1Av6t0HOfPAfDt6XOGg==" saltValue="2z1SBjtuquirjwIZt0w4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63679</v>
      </c>
      <c r="C2" s="49">
        <v>236353</v>
      </c>
      <c r="D2" s="49">
        <v>431841</v>
      </c>
      <c r="E2" s="49">
        <v>681650</v>
      </c>
      <c r="F2" s="49">
        <v>686857</v>
      </c>
      <c r="G2" s="17">
        <f t="shared" ref="G2:G13" si="0">C2+D2+E2+F2</f>
        <v>2036701</v>
      </c>
      <c r="H2" s="17">
        <f t="shared" ref="H2:H13" si="1">(B2 + stillbirth*B2/(1000-stillbirth))/(1-abortion)</f>
        <v>72520.977190615566</v>
      </c>
      <c r="I2" s="17">
        <f t="shared" ref="I2:I13" si="2">G2-H2</f>
        <v>1964180.0228093844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62332</v>
      </c>
      <c r="C3" s="50">
        <v>246086</v>
      </c>
      <c r="D3" s="50">
        <v>424003</v>
      </c>
      <c r="E3" s="50">
        <v>655613</v>
      </c>
      <c r="F3" s="50">
        <v>694593.00000000012</v>
      </c>
      <c r="G3" s="17">
        <f t="shared" si="0"/>
        <v>2020295</v>
      </c>
      <c r="H3" s="17">
        <f t="shared" si="1"/>
        <v>70986.943109116808</v>
      </c>
      <c r="I3" s="17">
        <f t="shared" si="2"/>
        <v>1949308.0568908833</v>
      </c>
    </row>
    <row r="4" spans="1:9" ht="15.75" customHeight="1" x14ac:dyDescent="0.25">
      <c r="A4" s="5">
        <f t="shared" si="3"/>
        <v>2026</v>
      </c>
      <c r="B4" s="49">
        <v>61280</v>
      </c>
      <c r="C4" s="50">
        <v>254456.5</v>
      </c>
      <c r="D4" s="50">
        <v>421562</v>
      </c>
      <c r="E4" s="50">
        <v>625585.5</v>
      </c>
      <c r="F4" s="50">
        <v>702742.99999999988</v>
      </c>
      <c r="G4" s="17">
        <f t="shared" si="0"/>
        <v>2004347</v>
      </c>
      <c r="H4" s="17">
        <f t="shared" si="1"/>
        <v>69788.870463432555</v>
      </c>
      <c r="I4" s="17">
        <f t="shared" si="2"/>
        <v>1934558.1295365675</v>
      </c>
    </row>
    <row r="5" spans="1:9" ht="15.75" customHeight="1" x14ac:dyDescent="0.25">
      <c r="A5" s="5">
        <f t="shared" si="3"/>
        <v>2027</v>
      </c>
      <c r="B5" s="49">
        <v>60242</v>
      </c>
      <c r="C5" s="50">
        <v>262130</v>
      </c>
      <c r="D5" s="50">
        <v>424700</v>
      </c>
      <c r="E5" s="50">
        <v>593293.5</v>
      </c>
      <c r="F5" s="50">
        <v>710699.00000000012</v>
      </c>
      <c r="G5" s="17">
        <f t="shared" si="0"/>
        <v>1990822.5</v>
      </c>
      <c r="H5" s="17">
        <f t="shared" si="1"/>
        <v>68606.741750295434</v>
      </c>
      <c r="I5" s="17">
        <f t="shared" si="2"/>
        <v>1922215.7582497045</v>
      </c>
    </row>
    <row r="6" spans="1:9" ht="15.75" customHeight="1" x14ac:dyDescent="0.25">
      <c r="A6" s="5">
        <f t="shared" si="3"/>
        <v>2028</v>
      </c>
      <c r="B6" s="49">
        <v>59582</v>
      </c>
      <c r="C6" s="50">
        <v>268723</v>
      </c>
      <c r="D6" s="50">
        <v>431687</v>
      </c>
      <c r="E6" s="50">
        <v>561341</v>
      </c>
      <c r="F6" s="50">
        <v>717058</v>
      </c>
      <c r="G6" s="17">
        <f t="shared" si="0"/>
        <v>1978809</v>
      </c>
      <c r="H6" s="17">
        <f t="shared" si="1"/>
        <v>67855.099215930779</v>
      </c>
      <c r="I6" s="17">
        <f t="shared" si="2"/>
        <v>1910953.9007840692</v>
      </c>
    </row>
    <row r="7" spans="1:9" ht="15.75" customHeight="1" x14ac:dyDescent="0.25">
      <c r="A7" s="5">
        <f t="shared" si="3"/>
        <v>2029</v>
      </c>
      <c r="B7" s="49">
        <v>58971</v>
      </c>
      <c r="C7" s="50">
        <v>273981</v>
      </c>
      <c r="D7" s="50">
        <v>439723.5</v>
      </c>
      <c r="E7" s="50">
        <v>531112.5</v>
      </c>
      <c r="F7" s="50">
        <v>721658</v>
      </c>
      <c r="G7" s="17">
        <f t="shared" si="0"/>
        <v>1966475</v>
      </c>
      <c r="H7" s="17">
        <f t="shared" si="1"/>
        <v>67159.260445481093</v>
      </c>
      <c r="I7" s="17">
        <f t="shared" si="2"/>
        <v>1899315.7395545188</v>
      </c>
    </row>
    <row r="8" spans="1:9" ht="15.75" customHeight="1" x14ac:dyDescent="0.25">
      <c r="A8" s="5">
        <f t="shared" si="3"/>
        <v>2030</v>
      </c>
      <c r="B8" s="49">
        <v>58735</v>
      </c>
      <c r="C8" s="50">
        <v>278929</v>
      </c>
      <c r="D8" s="50">
        <v>447902.5</v>
      </c>
      <c r="E8" s="50">
        <v>504825.00000000006</v>
      </c>
      <c r="F8" s="50">
        <v>721854.49999999988</v>
      </c>
      <c r="G8" s="17">
        <f t="shared" si="0"/>
        <v>1953511</v>
      </c>
      <c r="H8" s="17">
        <f t="shared" si="1"/>
        <v>66890.491296829496</v>
      </c>
      <c r="I8" s="17">
        <f t="shared" si="2"/>
        <v>1886620.5087031706</v>
      </c>
    </row>
    <row r="9" spans="1:9" ht="15.75" customHeight="1" x14ac:dyDescent="0.25">
      <c r="A9" s="5">
        <f t="shared" si="3"/>
        <v>2031</v>
      </c>
      <c r="B9" s="49">
        <v>58780</v>
      </c>
      <c r="C9" s="50">
        <v>283360</v>
      </c>
      <c r="D9" s="50">
        <v>457287.5</v>
      </c>
      <c r="E9" s="50">
        <v>481467.5</v>
      </c>
      <c r="F9" s="50">
        <v>717732</v>
      </c>
      <c r="G9" s="17">
        <f t="shared" si="0"/>
        <v>1939847</v>
      </c>
      <c r="H9" s="17">
        <f t="shared" si="1"/>
        <v>66941.739651445256</v>
      </c>
      <c r="I9" s="17">
        <f t="shared" si="2"/>
        <v>1872905.2603485547</v>
      </c>
    </row>
    <row r="10" spans="1:9" ht="15.75" customHeight="1" x14ac:dyDescent="0.25">
      <c r="A10" s="5">
        <f t="shared" si="3"/>
        <v>2032</v>
      </c>
      <c r="B10" s="49">
        <v>58895</v>
      </c>
      <c r="C10" s="50">
        <v>281703.5</v>
      </c>
      <c r="D10" s="50">
        <v>469905</v>
      </c>
      <c r="E10" s="50">
        <v>459150</v>
      </c>
      <c r="F10" s="50">
        <v>710646</v>
      </c>
      <c r="G10" s="17">
        <f t="shared" si="0"/>
        <v>1921404.5</v>
      </c>
      <c r="H10" s="17">
        <f t="shared" si="1"/>
        <v>67072.707668796676</v>
      </c>
      <c r="I10" s="17">
        <f t="shared" si="2"/>
        <v>1854331.7923312034</v>
      </c>
    </row>
    <row r="11" spans="1:9" ht="15.75" customHeight="1" x14ac:dyDescent="0.25">
      <c r="A11" s="5">
        <f t="shared" si="3"/>
        <v>2033</v>
      </c>
      <c r="B11" s="49">
        <v>59228</v>
      </c>
      <c r="C11" s="50">
        <v>272123</v>
      </c>
      <c r="D11" s="50">
        <v>484962</v>
      </c>
      <c r="E11" s="50">
        <v>440902.5</v>
      </c>
      <c r="F11" s="50">
        <v>695488.49999999988</v>
      </c>
      <c r="G11" s="17">
        <f t="shared" si="0"/>
        <v>1893476</v>
      </c>
      <c r="H11" s="17">
        <f t="shared" si="1"/>
        <v>67451.945492953382</v>
      </c>
      <c r="I11" s="17">
        <f t="shared" si="2"/>
        <v>1826024.0545070467</v>
      </c>
    </row>
    <row r="12" spans="1:9" ht="15.75" customHeight="1" x14ac:dyDescent="0.25">
      <c r="A12" s="5">
        <f t="shared" si="3"/>
        <v>2034</v>
      </c>
      <c r="B12" s="49">
        <v>59889</v>
      </c>
      <c r="C12" s="50">
        <v>258085.50000000003</v>
      </c>
      <c r="D12" s="50">
        <v>500553</v>
      </c>
      <c r="E12" s="50">
        <v>428213.49999999994</v>
      </c>
      <c r="F12" s="50">
        <v>672568</v>
      </c>
      <c r="G12" s="17">
        <f t="shared" si="0"/>
        <v>1859420</v>
      </c>
      <c r="H12" s="17">
        <f t="shared" si="1"/>
        <v>68204.726879642825</v>
      </c>
      <c r="I12" s="17">
        <f t="shared" si="2"/>
        <v>1791215.2731203572</v>
      </c>
    </row>
    <row r="13" spans="1:9" ht="15.75" customHeight="1" x14ac:dyDescent="0.25">
      <c r="A13" s="5">
        <f t="shared" si="3"/>
        <v>2035</v>
      </c>
      <c r="B13" s="49">
        <v>60581</v>
      </c>
      <c r="C13" s="50">
        <v>241119.5</v>
      </c>
      <c r="D13" s="50">
        <v>515323.49999999994</v>
      </c>
      <c r="E13" s="50">
        <v>420467</v>
      </c>
      <c r="F13" s="50">
        <v>646957</v>
      </c>
      <c r="G13" s="17">
        <f t="shared" si="0"/>
        <v>1823867</v>
      </c>
      <c r="H13" s="17">
        <f t="shared" si="1"/>
        <v>68992.812688400911</v>
      </c>
      <c r="I13" s="17">
        <f t="shared" si="2"/>
        <v>1754874.187311599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lFPNMeLsMf3i3ODjHG+vhxOXxDqJjJJzT4wuk8G4S3v52G20rtq7QPlgwWMbBhNv7OVLBEDPTD+3Dcm1iny2Q==" saltValue="B+Bn+qmKr2VsEaecZ0U8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4.5424600000000009E-2</v>
      </c>
    </row>
    <row r="5" spans="1:8" ht="15.75" customHeight="1" x14ac:dyDescent="0.25">
      <c r="B5" s="19" t="s">
        <v>98</v>
      </c>
      <c r="C5" s="99">
        <v>1.7769299999999998E-2</v>
      </c>
    </row>
    <row r="6" spans="1:8" ht="15.75" customHeight="1" x14ac:dyDescent="0.25">
      <c r="B6" s="19" t="s">
        <v>99</v>
      </c>
      <c r="C6" s="99">
        <v>0.14635760000000009</v>
      </c>
    </row>
    <row r="7" spans="1:8" ht="15.75" customHeight="1" x14ac:dyDescent="0.25">
      <c r="B7" s="19" t="s">
        <v>100</v>
      </c>
      <c r="C7" s="99">
        <v>0.369857399999999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0.31618180000000068</v>
      </c>
    </row>
    <row r="10" spans="1:8" ht="15.75" customHeight="1" x14ac:dyDescent="0.25">
      <c r="B10" s="19" t="s">
        <v>103</v>
      </c>
      <c r="C10" s="99">
        <v>0.10440930000000009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106</v>
      </c>
      <c r="C15" s="99">
        <v>8.4127530830723177E-2</v>
      </c>
      <c r="D15" s="99">
        <v>8.4127530830723177E-2</v>
      </c>
      <c r="E15" s="99">
        <v>8.4127530830723177E-2</v>
      </c>
      <c r="F15" s="99">
        <v>8.4127530830723177E-2</v>
      </c>
    </row>
    <row r="16" spans="1:8" ht="15.75" customHeight="1" x14ac:dyDescent="0.25">
      <c r="B16" s="19" t="s">
        <v>107</v>
      </c>
      <c r="C16" s="99">
        <v>2.473115043862726E-2</v>
      </c>
      <c r="D16" s="99">
        <v>2.473115043862726E-2</v>
      </c>
      <c r="E16" s="99">
        <v>2.473115043862726E-2</v>
      </c>
      <c r="F16" s="99">
        <v>2.473115043862726E-2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5.8802966437170853E-2</v>
      </c>
      <c r="D19" s="99">
        <v>5.8802966437170853E-2</v>
      </c>
      <c r="E19" s="99">
        <v>5.8802966437170853E-2</v>
      </c>
      <c r="F19" s="99">
        <v>5.8802966437170853E-2</v>
      </c>
    </row>
    <row r="20" spans="1:8" ht="15.75" customHeight="1" x14ac:dyDescent="0.25">
      <c r="B20" s="19" t="s">
        <v>111</v>
      </c>
      <c r="C20" s="99">
        <v>0.46405541621651591</v>
      </c>
      <c r="D20" s="99">
        <v>0.46405541621651591</v>
      </c>
      <c r="E20" s="99">
        <v>0.46405541621651591</v>
      </c>
      <c r="F20" s="99">
        <v>0.46405541621651591</v>
      </c>
    </row>
    <row r="21" spans="1:8" ht="15.75" customHeight="1" x14ac:dyDescent="0.25">
      <c r="B21" s="19" t="s">
        <v>112</v>
      </c>
      <c r="C21" s="99">
        <v>0.3224494270929934</v>
      </c>
      <c r="D21" s="99">
        <v>0.3224494270929934</v>
      </c>
      <c r="E21" s="99">
        <v>0.3224494270929934</v>
      </c>
      <c r="F21" s="99">
        <v>0.3224494270929934</v>
      </c>
    </row>
    <row r="22" spans="1:8" ht="15.75" customHeight="1" x14ac:dyDescent="0.25">
      <c r="B22" s="19" t="s">
        <v>113</v>
      </c>
      <c r="C22" s="99">
        <v>3.8041514269354551E-2</v>
      </c>
      <c r="D22" s="99">
        <v>3.8041514269354551E-2</v>
      </c>
      <c r="E22" s="99">
        <v>3.8041514269354551E-2</v>
      </c>
      <c r="F22" s="99">
        <v>3.8041514269354551E-2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5.5138011000000001E-2</v>
      </c>
    </row>
    <row r="27" spans="1:8" ht="15.75" customHeight="1" x14ac:dyDescent="0.25">
      <c r="B27" s="19" t="s">
        <v>120</v>
      </c>
      <c r="C27" s="99">
        <v>5.8021491999999987E-2</v>
      </c>
    </row>
    <row r="28" spans="1:8" ht="15.75" customHeight="1" x14ac:dyDescent="0.25">
      <c r="B28" s="19" t="s">
        <v>121</v>
      </c>
      <c r="C28" s="99">
        <v>0.12039119400000001</v>
      </c>
    </row>
    <row r="29" spans="1:8" ht="15.75" customHeight="1" x14ac:dyDescent="0.25">
      <c r="B29" s="19" t="s">
        <v>122</v>
      </c>
      <c r="C29" s="99">
        <v>0.13459314</v>
      </c>
    </row>
    <row r="30" spans="1:8" ht="15.75" customHeight="1" x14ac:dyDescent="0.25">
      <c r="B30" s="19" t="s">
        <v>2</v>
      </c>
      <c r="C30" s="99">
        <v>8.1866218000000004E-2</v>
      </c>
    </row>
    <row r="31" spans="1:8" ht="15.75" customHeight="1" x14ac:dyDescent="0.25">
      <c r="B31" s="19" t="s">
        <v>123</v>
      </c>
      <c r="C31" s="99">
        <v>6.5181787000000005E-2</v>
      </c>
    </row>
    <row r="32" spans="1:8" ht="15.75" customHeight="1" x14ac:dyDescent="0.25">
      <c r="B32" s="19" t="s">
        <v>124</v>
      </c>
      <c r="C32" s="99">
        <v>0.13227402499999999</v>
      </c>
    </row>
    <row r="33" spans="2:3" ht="15.75" customHeight="1" x14ac:dyDescent="0.25">
      <c r="B33" s="19" t="s">
        <v>125</v>
      </c>
      <c r="C33" s="99">
        <v>0.124908043</v>
      </c>
    </row>
    <row r="34" spans="2:3" ht="15.75" customHeight="1" x14ac:dyDescent="0.25">
      <c r="B34" s="19" t="s">
        <v>126</v>
      </c>
      <c r="C34" s="99">
        <v>0.22762609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oIxM4hHSEq859dwc3Nu8R8DFa9323TYkZOkuLRJVdKwqgUIM36XErsRa3kRrYm2ZH0LrT3wL/YXbOMJL2P84ng==" saltValue="pyp14xbTOhMcnp0JOqqE4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132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133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137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138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KsmwSvfp/Pa4a5+Xuzo8FPEb08EC3FjRRNiiHqlSr8tGaQmPd9nb6kJBWs/10MJXD1PxFDqM1G9KADSRiYxQw==" saltValue="Q1qNlWT6mk0ObpfBYDQx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0.16627709999999996</v>
      </c>
      <c r="D5" s="52">
        <f t="shared" si="0"/>
        <v>0.41498370000000007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DPSYyW3y9ZxfaLNA9gZiQi6CAOvzSwuUpJ6UrSy3i1r57wsdnFqgFn7+YwVoHkzRv5l0nwvqN+lEtdl2V6AyYg==" saltValue="qxmJD3h6KYfgEG54tJg0Z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7CozDHIdU6LIj1LottbqRCGAhuN+lZn4fjATAQMm6q/SkVH5YRnI1+qZZJc+bZl2XWgFMdwbnU1Ey9UbHAOag==" saltValue="HIcjGmULmw2IkgKDZvnB7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7888.2637106321199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0.48921999999999999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0.76300000000000001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1.4832583707086648E-2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99634.10888</v>
      </c>
      <c r="C22" s="107">
        <v>99574.881420000005</v>
      </c>
      <c r="D22" s="107">
        <v>99510.070850000004</v>
      </c>
      <c r="E22" s="107">
        <v>99358.659029999995</v>
      </c>
      <c r="F22" s="107">
        <v>99144.489660000007</v>
      </c>
      <c r="G22" s="107">
        <v>98774.183359999995</v>
      </c>
      <c r="H22" s="107">
        <v>98136.74278</v>
      </c>
      <c r="I22" s="107">
        <v>97128.205270000006</v>
      </c>
      <c r="J22" s="107">
        <v>95490.799190000005</v>
      </c>
      <c r="K22" s="107">
        <v>93125.598880000005</v>
      </c>
      <c r="L22" s="107">
        <v>89719.91519</v>
      </c>
      <c r="M22" s="107">
        <v>84778.6443</v>
      </c>
      <c r="N22" s="107">
        <v>77903.954459999994</v>
      </c>
      <c r="O22" s="107">
        <v>68740.061090000003</v>
      </c>
    </row>
  </sheetData>
  <sheetProtection algorithmName="SHA-512" hashValue="CngBFurrWAeoaliTZWU3vIdLzJ34XbvIFPs9nZoyUhAJ1QdOFYluzlyCzG26+Mr8AQjvIxxT/4ycHAYsqwU2lQ==" saltValue="vNKPyPBZbCdtBAzz49yPZ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7IGrJCg2IggQgFnraAjKugIy0rX5CfxeYMYb7Ein7MsJUkMNNTBk9VMOOCOItABBmUoScJkJGyQYXKtuJRbaQ==" saltValue="nQuTafFdh6Wscv2YgLSxF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Aslz5qpJFRc3XbgsrUCCmafq4ZqOAoASdTCk3XcflTBSZULUjCFrE8rl9ChARBs5mxu3fw/FEpb8qc1zT1p8Q==" saltValue="X4yhrTf9IexK0nrizMCnK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13.13329457779923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13.13329457779923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13.13329457779923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13.13329457779923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13.13329457779923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13.13329457779923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0.18631239999999999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0.18631239999999999</v>
      </c>
      <c r="C19" s="96">
        <v>0.95</v>
      </c>
      <c r="D19" s="56">
        <v>11.47697383223603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4.355034620978258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0.91739417245447996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0.52661570000000002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0.69994709999999993</v>
      </c>
      <c r="C29" s="96">
        <v>0.95</v>
      </c>
      <c r="D29" s="56">
        <v>125.9554584200983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0.44281280000000001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0.31885570000000002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0.97181479999999998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7.3998900000000006E-2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1jMBBf5EKqHtGFFM8NhVju52EJzCiIyp1kiKM6+KilrwDTzFDhjvWxrMZetGrhJOO0Iqe8QdLjSQz1rr5t6Htw==" saltValue="KNUhKpXTipED3/MoWpZI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fIcUp3nUYrrtUG6LdxNXCrIFHK3hVkFiq6ARYWZo8zO9ZZ+Dht20R2UAhofVnR7YEA0VMuGNj3dX/+1G1YgyQ==" saltValue="sFQGa8BL9nzBOMlWTl7z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agKULjE9Ye9a1DaP1VAyk7qkFLJa19iqpN9yMDGuFhWFUtsJqLKA2b2sHgtKlbEb3oPp9QTuNC5e+Ro797eHw==" saltValue="YWY86/LV6PO91FMH+hkYD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237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sheetProtection algorithmName="SHA-512" hashValue="fM3Fgv29tGlEZURehr+jR3QanL2yb9n2Sae59blzX8R6lTvE2Jtis9kdYq+JDp9T5aucllvY1unV0tTls/daNA==" saltValue="HDQILfKS4F3y4xqg43do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1.773935800170914E-2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7.6025820007324888E-3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1.0706338806152437E-2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p+GcFrlwB/6tg6IIe7qxZcJAY/2ZIam+M+/MYuS6EHZKicQfcvvcdJrw1L54jmeJEf2CI6SU0Y5Xr/oJC1EkQ==" saltValue="guNlC8Ym249Z3Q+GKVgs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yeoN8CKHCYgOxGWJ3JCGm2B8HfZJKscOO0rrRaU0rL9+npZCl8D5HH2iz+3AanVKpxXNpXN/yqUSozzadPRhOw==" saltValue="7vGppwM0l2Lt2dLB5vpga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08wcT3HBGXM8pQGmbXKjcWSp5EJ8tia/uEZM9xqTbzJV4fxUfUQbkDFws3cp++cDb3atw4wa8FsW67u6kLLvw==" saltValue="6X8vNZrt4nXUnnOdvJGt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OAlqvfutZgu8DGu2NvwYXQOkoebMTln8nSQtTii1Zp40ImEZtkNU5l5foFw3jVnZDUIWGKH+pcVA6mcaB27rw==" saltValue="a/XJBTs83H3FOzwUyCvC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7lZ45VnP3vFO9mJI2GdzVLSTsbk9pQqtlbyvXoC8TTR6R86fHLYBW1ixv406lZmUkwJJrQiKjz0Aw6jjQr8ylg==" saltValue="6tlccZNgzE4YMdgzRlvAt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q2+nO3oBw+wqzCgHER+WTfpe5/QXYmFLGAZnaXSn2NKNaOosBF84EDVjtY1ewbXjc4mgyCE+KSAAWQfEsknZIw==" saltValue="uh39QyJDYdRSV8nxykv4o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e6AHLoOCWQtCOZevtZ62HWmDnIKFjvMBcT0+366dSffpufhOAx8fH5tR9WZ4Q+Z80JOy06u8Y/R/8diGtjXlg==" saltValue="7rqRB1qSR7RcLHChhonA7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8q6TIOkakm7abrRttMczenkKwiH5DBGOKwCdc1hOhz/FZR1R57soTrROWf5SpWowayKZeCbeYGIK4dBYEY+edw==" saltValue="bszbaoNjLAyVjYmIrkZa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mwxfNPxn43slXHyXW+yWdUYE+14MCwjSb5VmFMlEsabbQtYpBK3Y/8YSIjLoWWPoeKTrA1Of0ZIVga4N0BJ9A==" saltValue="pVNwTJbp1j1EzsFTvb/8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aP/hxA+ez9GmOJVZdoXPJPAHQF0I+mAyP/Cw/aikrNk0f8+datCwDSyiNDlAFQBniWfmJV6Q2zGo6rRfJGO4Q==" saltValue="N3VgLnjMDdLqXTFmhpQz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DuW+0IPmVd7RbzIV4NCuOqLnx2SBNfLglZr6vGGyuMv2MrMFvB9L1IMbyFtI0TUdZr1FSSylGf/PdN/NRfMWw==" saltValue="YZB0KfT+UD+TIgb+MV3S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R/JgyFzyp6cm3DIeCx8LtOx7PPPfRnRXgL9KZJJsMKIRfRBA2A48YzUXSVgXPqIWFuLto6exCan9Sjq5O9lAg==" saltValue="RUrCszfkS8Y1Od8fzcQ2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wlUuM0xNQK8EyfSllKHIopwAo39mgGVvZrzhd62fNDCH0kjKIb4A52AW/nnD/CsSYxfq3WNCFLj4sX7jot+Ng==" saltValue="tRQRA7SyZZI6WvXcW7ys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ZziMws5fLuuuqnXAOz+SfRBTUxcMidyP4l03e76P/ceY2DKX2fd5/GT7KVh5JjV03VIE3WhoQ6dACG/iw43hA==" saltValue="TzVLRx7B1CSdk2UGnUE2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D6nQvk1Xr+ds2wDgyypTfmbQtvJTos7r0CzR2IZASBwJl5WmUP+pzlH+2BuDnJCEBJc1dG49vs2kDOqTmP+GQ==" saltValue="YgCLB11vGT80S6TZlJzmb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