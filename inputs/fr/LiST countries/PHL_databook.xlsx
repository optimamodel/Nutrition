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2AEEA6C8-FC34-48B2-9A0B-492DEDB7D5D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1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2" i="2" l="1"/>
  <c r="I8" i="2"/>
  <c r="A23" i="2"/>
  <c r="I6" i="2"/>
  <c r="I12" i="2"/>
  <c r="A35" i="2"/>
  <c r="I38" i="2"/>
  <c r="A19" i="2"/>
  <c r="A22" i="2"/>
  <c r="I39" i="2"/>
  <c r="A24" i="2"/>
  <c r="A40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<sst xmlns="http://schemas.openxmlformats.org/spreadsheetml/2006/main" count="2169" uniqueCount="369">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</sst>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8953366</v>
      </c>
    </row>
    <row r="8" spans="1:3" ht="15" customHeight="1" x14ac:dyDescent="0.25">
      <c r="B8" s="5" t="s">
        <v>37</v>
      </c>
      <c r="C8" s="44">
        <v>0.18099999999999999</v>
      </c>
    </row>
    <row r="9" spans="1:3" ht="15" customHeight="1" x14ac:dyDescent="0.25">
      <c r="B9" s="5" t="s">
        <v>38</v>
      </c>
      <c r="C9" s="45">
        <v>1.24E-2</v>
      </c>
    </row>
    <row r="10" spans="1:3" ht="15" customHeight="1" x14ac:dyDescent="0.25">
      <c r="B10" s="5" t="s">
        <v>39</v>
      </c>
      <c r="C10" s="45">
        <v>0.71330099999999996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0.11020000000000001</v>
      </c>
    </row>
    <row r="24" spans="1:3" ht="15" customHeight="1" x14ac:dyDescent="0.25">
      <c r="B24" s="15" t="s">
        <v>51</v>
      </c>
      <c r="C24" s="45">
        <v>0.46769999999999989</v>
      </c>
    </row>
    <row r="25" spans="1:3" ht="15" customHeight="1" x14ac:dyDescent="0.25">
      <c r="B25" s="15" t="s">
        <v>52</v>
      </c>
      <c r="C25" s="45">
        <v>0.34789999999999999</v>
      </c>
    </row>
    <row r="26" spans="1:3" ht="15" customHeight="1" x14ac:dyDescent="0.25">
      <c r="B26" s="15" t="s">
        <v>53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0.30815858460240297</v>
      </c>
    </row>
    <row r="30" spans="1:3" ht="14.25" customHeight="1" x14ac:dyDescent="0.25">
      <c r="B30" s="25" t="s">
        <v>56</v>
      </c>
      <c r="C30" s="97">
        <v>5.7025809794546099E-2</v>
      </c>
    </row>
    <row r="31" spans="1:3" ht="14.25" customHeight="1" x14ac:dyDescent="0.25">
      <c r="B31" s="25" t="s">
        <v>57</v>
      </c>
      <c r="C31" s="97">
        <v>6.6859128479990607E-2</v>
      </c>
    </row>
    <row r="32" spans="1:3" ht="14.25" customHeight="1" x14ac:dyDescent="0.25">
      <c r="B32" s="25" t="s">
        <v>58</v>
      </c>
      <c r="C32" s="97">
        <v>0.56795647712306097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12.276949999999999</v>
      </c>
    </row>
    <row r="38" spans="1:5" ht="15" customHeight="1" x14ac:dyDescent="0.25">
      <c r="B38" s="11" t="s">
        <v>63</v>
      </c>
      <c r="C38" s="43">
        <v>20.473140000000001</v>
      </c>
      <c r="D38" s="12"/>
      <c r="E38" s="13"/>
    </row>
    <row r="39" spans="1:5" ht="15" customHeight="1" x14ac:dyDescent="0.25">
      <c r="B39" s="11" t="s">
        <v>64</v>
      </c>
      <c r="C39" s="43">
        <v>25.739529999999998</v>
      </c>
      <c r="D39" s="12"/>
      <c r="E39" s="12"/>
    </row>
    <row r="40" spans="1:5" ht="15" customHeight="1" x14ac:dyDescent="0.25">
      <c r="B40" s="11" t="s">
        <v>65</v>
      </c>
      <c r="C40" s="98">
        <v>0.78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6.5569000000000001E-3</v>
      </c>
      <c r="D45" s="12"/>
    </row>
    <row r="46" spans="1:5" ht="15.75" customHeight="1" x14ac:dyDescent="0.25">
      <c r="B46" s="11" t="s">
        <v>70</v>
      </c>
      <c r="C46" s="45">
        <v>7.0453000000000002E-2</v>
      </c>
      <c r="D46" s="12"/>
    </row>
    <row r="47" spans="1:5" ht="15.75" customHeight="1" x14ac:dyDescent="0.25">
      <c r="B47" s="11" t="s">
        <v>71</v>
      </c>
      <c r="C47" s="45">
        <v>7.476569999999999E-2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0.72799999999999998</v>
      </c>
      <c r="D51" s="12"/>
    </row>
    <row r="52" spans="1:4" ht="15" customHeight="1" x14ac:dyDescent="0.25">
      <c r="B52" s="11" t="s">
        <v>75</v>
      </c>
      <c r="C52" s="98">
        <v>0.72799999999999998</v>
      </c>
    </row>
    <row r="53" spans="1:4" ht="15.75" customHeight="1" x14ac:dyDescent="0.25">
      <c r="B53" s="11" t="s">
        <v>76</v>
      </c>
      <c r="C53" s="98">
        <v>2.1579999999999999</v>
      </c>
    </row>
    <row r="54" spans="1:4" ht="15.75" customHeight="1" x14ac:dyDescent="0.25">
      <c r="B54" s="11" t="s">
        <v>77</v>
      </c>
      <c r="C54" s="98">
        <v>2.73</v>
      </c>
    </row>
    <row r="55" spans="1:4" ht="15.75" customHeight="1" x14ac:dyDescent="0.25">
      <c r="B55" s="11" t="s">
        <v>78</v>
      </c>
      <c r="C55" s="98">
        <v>1.196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0.52888299999999999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wUPdD3NGC6GjvHdiJba4+WJMp0E5cG+nlwrV40/U41oNcixCr1bhaV+WzT6yHPmBNn1RN2DA/DIC0o7pbfm6Ew==" saltValue="Ebm5BVwRW+v8RE9SuhAi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m4SOYd12FcPKh/HKrv1/Bk+K9WOMKVDnqLquxJ7CiS9C9J91WX+/ay+sLNegO4yACsa0GtRyDc3s4CSGj5a9w==" saltValue="grRj31bKzOIokef0tGLjN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2.2522621624356761E-3</v>
      </c>
    </row>
    <row r="4" spans="1:8" ht="15.75" customHeight="1" x14ac:dyDescent="0.25">
      <c r="B4" s="19" t="s">
        <v>97</v>
      </c>
      <c r="C4" s="99">
        <v>7.516927467198109E-2</v>
      </c>
    </row>
    <row r="5" spans="1:8" ht="15.75" customHeight="1" x14ac:dyDescent="0.25">
      <c r="B5" s="19" t="s">
        <v>98</v>
      </c>
      <c r="C5" s="99">
        <v>4.8031625672868491E-2</v>
      </c>
    </row>
    <row r="6" spans="1:8" ht="15.75" customHeight="1" x14ac:dyDescent="0.25">
      <c r="B6" s="19" t="s">
        <v>99</v>
      </c>
      <c r="C6" s="99">
        <v>0.17511153307831301</v>
      </c>
    </row>
    <row r="7" spans="1:8" ht="15.75" customHeight="1" x14ac:dyDescent="0.25">
      <c r="B7" s="19" t="s">
        <v>100</v>
      </c>
      <c r="C7" s="99">
        <v>0.4235197891461801</v>
      </c>
    </row>
    <row r="8" spans="1:8" ht="15.75" customHeight="1" x14ac:dyDescent="0.25">
      <c r="B8" s="19" t="s">
        <v>101</v>
      </c>
      <c r="C8" s="99">
        <v>6.3281746576205505E-4</v>
      </c>
    </row>
    <row r="9" spans="1:8" ht="15.75" customHeight="1" x14ac:dyDescent="0.25">
      <c r="B9" s="19" t="s">
        <v>102</v>
      </c>
      <c r="C9" s="99">
        <v>0.14254113413530231</v>
      </c>
    </row>
    <row r="10" spans="1:8" ht="15.75" customHeight="1" x14ac:dyDescent="0.25">
      <c r="B10" s="19" t="s">
        <v>103</v>
      </c>
      <c r="C10" s="99">
        <v>0.13274156366715731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106</v>
      </c>
      <c r="C15" s="99">
        <v>0.22071844109731331</v>
      </c>
      <c r="D15" s="99">
        <v>0.22071844109731331</v>
      </c>
      <c r="E15" s="99">
        <v>0.22071844109731331</v>
      </c>
      <c r="F15" s="99">
        <v>0.22071844109731331</v>
      </c>
    </row>
    <row r="16" spans="1:8" ht="15.75" customHeight="1" x14ac:dyDescent="0.25">
      <c r="B16" s="19" t="s">
        <v>107</v>
      </c>
      <c r="C16" s="99">
        <v>1.298934363653376E-2</v>
      </c>
      <c r="D16" s="99">
        <v>1.298934363653376E-2</v>
      </c>
      <c r="E16" s="99">
        <v>1.298934363653376E-2</v>
      </c>
      <c r="F16" s="99">
        <v>1.298934363653376E-2</v>
      </c>
    </row>
    <row r="17" spans="1:8" ht="15.75" customHeight="1" x14ac:dyDescent="0.25">
      <c r="B17" s="19" t="s">
        <v>108</v>
      </c>
      <c r="C17" s="99">
        <v>5.105588321607641E-2</v>
      </c>
      <c r="D17" s="99">
        <v>5.105588321607641E-2</v>
      </c>
      <c r="E17" s="99">
        <v>5.105588321607641E-2</v>
      </c>
      <c r="F17" s="99">
        <v>5.105588321607641E-2</v>
      </c>
    </row>
    <row r="18" spans="1:8" ht="15.75" customHeight="1" x14ac:dyDescent="0.25">
      <c r="B18" s="19" t="s">
        <v>109</v>
      </c>
      <c r="C18" s="99">
        <v>9.4308994453821612E-4</v>
      </c>
      <c r="D18" s="99">
        <v>9.4308994453821612E-4</v>
      </c>
      <c r="E18" s="99">
        <v>9.4308994453821612E-4</v>
      </c>
      <c r="F18" s="99">
        <v>9.4308994453821612E-4</v>
      </c>
    </row>
    <row r="19" spans="1:8" ht="15.75" customHeight="1" x14ac:dyDescent="0.25">
      <c r="B19" s="19" t="s">
        <v>110</v>
      </c>
      <c r="C19" s="99">
        <v>0.1182494906296471</v>
      </c>
      <c r="D19" s="99">
        <v>0.1182494906296471</v>
      </c>
      <c r="E19" s="99">
        <v>0.1182494906296471</v>
      </c>
      <c r="F19" s="99">
        <v>0.1182494906296471</v>
      </c>
    </row>
    <row r="20" spans="1:8" ht="15.75" customHeight="1" x14ac:dyDescent="0.25">
      <c r="B20" s="19" t="s">
        <v>111</v>
      </c>
      <c r="C20" s="99">
        <v>4.7243820788948647E-3</v>
      </c>
      <c r="D20" s="99">
        <v>4.7243820788948647E-3</v>
      </c>
      <c r="E20" s="99">
        <v>4.7243820788948647E-3</v>
      </c>
      <c r="F20" s="99">
        <v>4.7243820788948647E-3</v>
      </c>
    </row>
    <row r="21" spans="1:8" ht="15.75" customHeight="1" x14ac:dyDescent="0.25">
      <c r="B21" s="19" t="s">
        <v>112</v>
      </c>
      <c r="C21" s="99">
        <v>0.19661169147582239</v>
      </c>
      <c r="D21" s="99">
        <v>0.19661169147582239</v>
      </c>
      <c r="E21" s="99">
        <v>0.19661169147582239</v>
      </c>
      <c r="F21" s="99">
        <v>0.19661169147582239</v>
      </c>
    </row>
    <row r="22" spans="1:8" ht="15.75" customHeight="1" x14ac:dyDescent="0.25">
      <c r="B22" s="19" t="s">
        <v>113</v>
      </c>
      <c r="C22" s="99">
        <v>0.2074795057739027</v>
      </c>
      <c r="D22" s="99">
        <v>0.2074795057739027</v>
      </c>
      <c r="E22" s="99">
        <v>0.2074795057739027</v>
      </c>
      <c r="F22" s="99">
        <v>0.2074795057739027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4.4382244000000001E-2</v>
      </c>
    </row>
    <row r="27" spans="1:8" ht="15.75" customHeight="1" x14ac:dyDescent="0.25">
      <c r="B27" s="19" t="s">
        <v>120</v>
      </c>
      <c r="C27" s="99">
        <v>4.8625891999999997E-2</v>
      </c>
    </row>
    <row r="28" spans="1:8" ht="15.75" customHeight="1" x14ac:dyDescent="0.25">
      <c r="B28" s="19" t="s">
        <v>121</v>
      </c>
      <c r="C28" s="99">
        <v>0.16463160299999999</v>
      </c>
    </row>
    <row r="29" spans="1:8" ht="15.75" customHeight="1" x14ac:dyDescent="0.25">
      <c r="B29" s="19" t="s">
        <v>122</v>
      </c>
      <c r="C29" s="99">
        <v>0.203694557</v>
      </c>
    </row>
    <row r="30" spans="1:8" ht="15.75" customHeight="1" x14ac:dyDescent="0.25">
      <c r="B30" s="19" t="s">
        <v>2</v>
      </c>
      <c r="C30" s="99">
        <v>4.3418417000000001E-2</v>
      </c>
    </row>
    <row r="31" spans="1:8" ht="15.75" customHeight="1" x14ac:dyDescent="0.25">
      <c r="B31" s="19" t="s">
        <v>123</v>
      </c>
      <c r="C31" s="99">
        <v>9.7613213000000004E-2</v>
      </c>
    </row>
    <row r="32" spans="1:8" ht="15.75" customHeight="1" x14ac:dyDescent="0.25">
      <c r="B32" s="19" t="s">
        <v>124</v>
      </c>
      <c r="C32" s="99">
        <v>4.3273035999999987E-2</v>
      </c>
    </row>
    <row r="33" spans="2:3" ht="15.75" customHeight="1" x14ac:dyDescent="0.25">
      <c r="B33" s="19" t="s">
        <v>125</v>
      </c>
      <c r="C33" s="99">
        <v>0.24136084799999999</v>
      </c>
    </row>
    <row r="34" spans="2:3" ht="15.75" customHeight="1" x14ac:dyDescent="0.25">
      <c r="B34" s="19" t="s">
        <v>126</v>
      </c>
      <c r="C34" s="99">
        <v>0.11300019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Iz5Uv8+XVI0FZAH07ITUKOK6d4ejF7iCtHO4L4l2jMsamGavazS90kqNs0jqyUMnKufOjmJEZ1Y8Rmj2+JTN6A==" saltValue="Cgu5NbsALQIoFwfDnXDb0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132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133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137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138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L0CPE8En+dNjMvMthyARjpPL555qBSnh+z4837QWyer2l7ZFXISeY0fjqVlF9U8OHM3I1/XeTm4Z31fS552Fg==" saltValue="Y+dr0rrO3w1aNBvqWwjR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zNnyoDaBa2+8ab1hfkiXssmrhpfU3ne5eklr7MC1uLeomtGWYaSbncj6i0iOkwcgH13beetRnFzo/007rXd4LA==" saltValue="6i5qCa+klGWpsGpFt2zA/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QqbosrZnkQE35cjYLcVzuwQdynW790kUj8qiqCdBb4HYSlCYeuSOWGl2C93iVrZxSFMhXsN2p8rSbtWd/icRA==" saltValue="az2B94aH2xE6V/zUBWb5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3498.5098055874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0.41215000000000002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0.48421999999999998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1.5080177545706877E-2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97100.085890000002</v>
      </c>
      <c r="C22" s="107">
        <v>96901.344920000003</v>
      </c>
      <c r="D22" s="107">
        <v>96709.555869999997</v>
      </c>
      <c r="E22" s="107">
        <v>96369.279760000005</v>
      </c>
      <c r="F22" s="107">
        <v>95870.912200000006</v>
      </c>
      <c r="G22" s="107">
        <v>95225.168890000001</v>
      </c>
      <c r="H22" s="107">
        <v>94297.108859999993</v>
      </c>
      <c r="I22" s="107">
        <v>93192.031099999993</v>
      </c>
      <c r="J22" s="107">
        <v>91448.911810000005</v>
      </c>
      <c r="K22" s="107">
        <v>89084.444099999993</v>
      </c>
      <c r="L22" s="107">
        <v>85563.409249999997</v>
      </c>
      <c r="M22" s="107">
        <v>80866.729829999997</v>
      </c>
      <c r="N22" s="107">
        <v>73753.323820000005</v>
      </c>
      <c r="O22" s="107">
        <v>63295.22537</v>
      </c>
    </row>
  </sheetData>
  <sheetProtection algorithmName="SHA-512" hashValue="BJd8lv1/wrD5tifPtB0bGHU4SBq67w2jGzHhke9F+SzTte8VNsY68JrsiQ7Qs7faSb+NUhYm+Z0uiT2iVjFm3w==" saltValue="6z61tGOJIJ8Asaic4kVsh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lpOxLJaNwVE7KcNWrkKfmHXqdbWOjX4NL16MLwBrwilBAqUrgDoBDDodU5h7lkQFgWMNqgkdguXhiyO3thcoQ==" saltValue="OYluCbsH3ryphFxuXcoX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7Jf1LGwkUEw+HPapahNRABMzcpizNEk8R1SFI5KS6SS78h2QuMh4ttNTTpvJMkQSuKL91TAB6kEKIHkqWazLNw==" saltValue="k9Kd1lBoFdXXvP4e51hp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0.41011202521756179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0.56078709999999998</v>
      </c>
      <c r="C10" s="96">
        <v>0.95</v>
      </c>
      <c r="D10" s="56">
        <v>12.8418784817298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12.8418784817298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12.8418784817298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12.8418784817298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0.56078709999999998</v>
      </c>
      <c r="C14" s="96">
        <v>0.95</v>
      </c>
      <c r="D14" s="56">
        <v>12.8418784817298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12.8418784817298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0.35023333333333301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0.59399999999999997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0.38307210000000003</v>
      </c>
      <c r="C19" s="96">
        <v>0.95</v>
      </c>
      <c r="D19" s="56">
        <v>6.8391836861488278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4.1728995609348631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0.63771593354712008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0.433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0.48636289999999999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0.47222769999999997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1E-3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0.79100000000000004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0.81750919999999994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0.10672520000000001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2.4571099999999998E-2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0.66452529999999999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0.192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IM/xrzbipWPHDw4hydXHdmXt7FAAOND7tvz3ynyA+qKXgF8piMT3Nyk+epBtw9S5TKstVCu7WZgjs9B1XS6iDg==" saltValue="Dp5Howx5r36poLxxohnB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1XmJ1m1nGppcrv1pbfZrpgdMQjKHUupaM7jkJaUSUUsglzurgSa59cXTFjdZLuIqbgxlDzqnUPF/NyredM/xQ==" saltValue="CFSMThChwG7JnIw70GYT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087rqcdImcZM1r77Is//m1ng9y+4+lYSAt6l9JIcWgkYNSqslt4TSvPUMqfgOG0SRT185TxPhhjW4imu69vgA==" saltValue="vfgyr9U5fUwMaom7bjQQ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0.72799999999999998</v>
      </c>
      <c r="C2" s="21">
        <f>'Données pop de l''année de ref'!C52</f>
        <v>0.72799999999999998</v>
      </c>
      <c r="D2" s="21">
        <f>'Données pop de l''année de ref'!C53</f>
        <v>2.1579999999999999</v>
      </c>
      <c r="E2" s="21">
        <f>'Données pop de l''année de ref'!C54</f>
        <v>2.73</v>
      </c>
      <c r="F2" s="21">
        <f>'Données pop de l''année de ref'!C55</f>
        <v>1.196</v>
      </c>
    </row>
    <row r="3" spans="1:6" ht="15.75" customHeight="1" x14ac:dyDescent="0.25">
      <c r="A3" s="3" t="s">
        <v>238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237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auhhbKm8L7ITKshnvTJODEwwXMP8ELkkD9EO62VjMmyudfU8uYwftVsshS/g4zzBvEqWrZ4MMKESMm5my9h8pQ==" saltValue="mrsBRoRJeTIujH+Eq4db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Ilem4x5Lm2pHhh/i6B/YaqNO+XIfjdjkbBICgljH79u9CJ9jBFEI7OuXhb1IpPCr+vOwLpl4WYlc6v4Gx6Wig==" saltValue="w5s/2+qIFbsW+9zNQpEu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ByXfKzJaGed9hdnj2ox7sQhiidpb2/2HxOODrvKAkgQ3q/CY7sDqEtuWiUvM+LZV1qqCQRR8hpQAp3ipZnFQg==" saltValue="sr6uzwwKf1LVimJS9GtJy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rjcfCJLDGyShoT3dMUqleS9Vet3S0OCMLXOsqgZ91h9MywnFFlmm739fw5r+btAnSweb+q60Nk37hn2rDaiYg==" saltValue="ilx3Gi1tynOlj7fpTGkuh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ESHoFVQS2H4SWMdo9jwh7aPi+c43YdlynHz2J5N25anAu4sPnNWRYNRJU4QX+3anUo3tsxJZOZ94Shfr3RbZg==" saltValue="d3pu+xuL2i0HKqK7OfvQ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2+Ixt4tTh1Lj2uu3vnxwmSDyZEqpll04yyNGIuIJJAgkrcL/DW8pN/WNZ3wzCDWm3mSpzl/aTyk3z+jt7GXmDg==" saltValue="BB0TGyMv7IuqrI92wGTG/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0DIXFJjEe6CBFKIX0XcdvOjaE5IzCi8Q56CxN03XTbXaOtwXUeuF9MQVtAxYx/rQ0x2RkHusze/scQM9ZeEzg==" saltValue="C59ud84SSw3j8Awg8BW2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kIirSWl8RTKya8y2VggtR1wF9QWx13IF5gct02EzBgJA5gv1FTQxzL9qY/WHciNv6xmllLMKzTPxQPdAfeD8g==" saltValue="bXlldIX8FA1MeWqP6YXei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426/ZRLlXwn6UMGEVg2O2xTtKNPsYlOsHu8QK74laRlFyapOIZ40wF4TJ6d/uDqineyMDgFuRliCs0wux5ePQ==" saltValue="OyofkxvRNkfC8PuAPfeS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U2bik9GOMT8qMIOTUag5K4yfzSzL+zhoCqCb3lSLLt8yVP9IphXHsXEIsjaruRr5kyDADE1kL8E41tm0Zy7bQ==" saltValue="UIJFr8ahpaq9xKGThV3u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EBs7KdPneNsp92AEOD5m7JJ+x/DLkbR4U+nKNw42siar311a288GNcOeh5y4WRVAqT0NispcliqKb0EMYNxJQ==" saltValue="MW/gAWBhpEwbcBbRHXPD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2lBSlSUaJQg94WLjkuEdO6RZgLI+Azr7dHwXlCgSyX5OTQ72fd58/Yc1/k61wWY8AXqt+CFtkMrQMHfLpjLaw==" saltValue="YxPQ7/eNeEKgrNIJCHlD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SCW0sTMDREjjc5a1ieTyiR7WgG8ag9QgNTXx4NJyowGBOO1wimKAz4OAFxLeRqmoyhxKAqNHq2BcEK4qKzupA==" saltValue="8oOWq+hNE/61KZbihiFU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12/RXVpKrrPx4A1QbbfMbs6YXRMoGC+83dWED+LUBJa6FrSkSv+MDxNMBZqVn6x6E2N7h4KeGW4aMZnhxyBUg==" saltValue="rFr0D7kdb+V2sfJHXurF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cyykBILoyUS2SK0b0hcRl18tJn4NOFb9xT4pb0kQMhWvI7ppekdA0bk6ciknzJCqYUH0gWgIawy9PIktnXt3g==" saltValue="KaQfILFzgvRF4vkNQ63w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sTwc/1CY4LpD8M8zsltgKgBgBs6N8wJKEvMvwx8JGWcTyh7QjgJbYBuCP9EsB7gL6T3hSwJPSOhMyu51Y0qwg==" saltValue="qGEW4+bYGO/1MNpq9mkPu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2026-04-29T07:04:33Z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