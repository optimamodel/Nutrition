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D6CA6D0-F46F-4174-8340-D150167A4E0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4" i="2" l="1"/>
  <c r="A23" i="2"/>
  <c r="A26" i="2"/>
  <c r="A31" i="2"/>
  <c r="A37" i="2"/>
  <c r="I4" i="2"/>
  <c r="I8" i="2"/>
  <c r="I12" i="2"/>
  <c r="A25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<sst xmlns="http://schemas.openxmlformats.org/spreadsheetml/2006/main" count="2159" uniqueCount="368">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</sst>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8953366</v>
      </c>
    </row>
    <row r="8" spans="1:3" ht="15" customHeight="1" x14ac:dyDescent="0.25">
      <c r="B8" s="5" t="s">
        <v>37</v>
      </c>
      <c r="C8" s="44">
        <v>0.18099999999999999</v>
      </c>
    </row>
    <row r="9" spans="1:3" ht="15" customHeight="1" x14ac:dyDescent="0.25">
      <c r="B9" s="5" t="s">
        <v>38</v>
      </c>
      <c r="C9" s="45">
        <v>1.24E-2</v>
      </c>
    </row>
    <row r="10" spans="1:3" ht="15" customHeight="1" x14ac:dyDescent="0.25">
      <c r="B10" s="5" t="s">
        <v>39</v>
      </c>
      <c r="C10" s="45">
        <v>0.71330099999999996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0.11020000000000001</v>
      </c>
    </row>
    <row r="24" spans="1:3" ht="15" customHeight="1" x14ac:dyDescent="0.25">
      <c r="B24" s="15" t="s">
        <v>51</v>
      </c>
      <c r="C24" s="45">
        <v>0.46769999999999989</v>
      </c>
    </row>
    <row r="25" spans="1:3" ht="15" customHeight="1" x14ac:dyDescent="0.25">
      <c r="B25" s="15" t="s">
        <v>52</v>
      </c>
      <c r="C25" s="45">
        <v>0.34789999999999999</v>
      </c>
    </row>
    <row r="26" spans="1:3" ht="15" customHeight="1" x14ac:dyDescent="0.25">
      <c r="B26" s="15" t="s">
        <v>53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0.30815858460240297</v>
      </c>
    </row>
    <row r="30" spans="1:3" ht="14.25" customHeight="1" x14ac:dyDescent="0.25">
      <c r="B30" s="25" t="s">
        <v>56</v>
      </c>
      <c r="C30" s="99">
        <v>5.7025809794546099E-2</v>
      </c>
    </row>
    <row r="31" spans="1:3" ht="14.25" customHeight="1" x14ac:dyDescent="0.25">
      <c r="B31" s="25" t="s">
        <v>57</v>
      </c>
      <c r="C31" s="99">
        <v>6.6859128479990607E-2</v>
      </c>
    </row>
    <row r="32" spans="1:3" ht="14.25" customHeight="1" x14ac:dyDescent="0.25">
      <c r="B32" s="25" t="s">
        <v>58</v>
      </c>
      <c r="C32" s="99">
        <v>0.56795647712306097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12.276949999999999</v>
      </c>
    </row>
    <row r="38" spans="1:5" ht="15" customHeight="1" x14ac:dyDescent="0.25">
      <c r="B38" s="11" t="s">
        <v>63</v>
      </c>
      <c r="C38" s="43">
        <v>20.473140000000001</v>
      </c>
      <c r="D38" s="12"/>
      <c r="E38" s="13"/>
    </row>
    <row r="39" spans="1:5" ht="15" customHeight="1" x14ac:dyDescent="0.25">
      <c r="B39" s="11" t="s">
        <v>64</v>
      </c>
      <c r="C39" s="43">
        <v>25.739529999999998</v>
      </c>
      <c r="D39" s="12"/>
      <c r="E39" s="12"/>
    </row>
    <row r="40" spans="1:5" ht="15" customHeight="1" x14ac:dyDescent="0.25">
      <c r="B40" s="11" t="s">
        <v>65</v>
      </c>
      <c r="C40" s="100">
        <v>0.78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6.5569000000000001E-3</v>
      </c>
      <c r="D45" s="12"/>
    </row>
    <row r="46" spans="1:5" ht="15.75" customHeight="1" x14ac:dyDescent="0.25">
      <c r="B46" s="11" t="s">
        <v>70</v>
      </c>
      <c r="C46" s="45">
        <v>7.0453000000000002E-2</v>
      </c>
      <c r="D46" s="12"/>
    </row>
    <row r="47" spans="1:5" ht="15.75" customHeight="1" x14ac:dyDescent="0.25">
      <c r="B47" s="11" t="s">
        <v>71</v>
      </c>
      <c r="C47" s="45">
        <v>7.476569999999999E-2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0.72799999999999998</v>
      </c>
      <c r="D51" s="12"/>
    </row>
    <row r="52" spans="1:4" ht="15" customHeight="1" x14ac:dyDescent="0.25">
      <c r="B52" s="11" t="s">
        <v>75</v>
      </c>
      <c r="C52" s="100">
        <v>0.72799999999999998</v>
      </c>
    </row>
    <row r="53" spans="1:4" ht="15.75" customHeight="1" x14ac:dyDescent="0.25">
      <c r="B53" s="11" t="s">
        <v>76</v>
      </c>
      <c r="C53" s="100">
        <v>2.1579999999999999</v>
      </c>
    </row>
    <row r="54" spans="1:4" ht="15.75" customHeight="1" x14ac:dyDescent="0.25">
      <c r="B54" s="11" t="s">
        <v>77</v>
      </c>
      <c r="C54" s="100">
        <v>2.73</v>
      </c>
    </row>
    <row r="55" spans="1:4" ht="15.75" customHeight="1" x14ac:dyDescent="0.25">
      <c r="B55" s="11" t="s">
        <v>78</v>
      </c>
      <c r="C55" s="100">
        <v>1.196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0.52888299999999999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6uW4y6yDfuJiSOlAPLSEUV1NhH49fD2Ph/7ztBiXNKBO8WiAMvTHWlVEMcDsWbOPN8Ic6e9tjh39jzSi1pZ4gQ==" saltValue="KIqNJUukiP3w5pbwrOo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h1Xlsky1dNxQ2yY9ALLnavXsgY7ZUC36C8wUz6N4NuKGTIseTj/c/sjXpS57W89fWqGuuo9j+XHVpHp1R9FoQ==" saltValue="mFhm4jb0xz+J2Cv7lUKq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2.2522621624356761E-3</v>
      </c>
    </row>
    <row r="4" spans="1:8" ht="15.75" customHeight="1" x14ac:dyDescent="0.25">
      <c r="B4" s="19" t="s">
        <v>97</v>
      </c>
      <c r="C4" s="101">
        <v>7.516927467198109E-2</v>
      </c>
    </row>
    <row r="5" spans="1:8" ht="15.75" customHeight="1" x14ac:dyDescent="0.25">
      <c r="B5" s="19" t="s">
        <v>98</v>
      </c>
      <c r="C5" s="101">
        <v>4.8031625672868491E-2</v>
      </c>
    </row>
    <row r="6" spans="1:8" ht="15.75" customHeight="1" x14ac:dyDescent="0.25">
      <c r="B6" s="19" t="s">
        <v>99</v>
      </c>
      <c r="C6" s="101">
        <v>0.17511153307831301</v>
      </c>
    </row>
    <row r="7" spans="1:8" ht="15.75" customHeight="1" x14ac:dyDescent="0.25">
      <c r="B7" s="19" t="s">
        <v>100</v>
      </c>
      <c r="C7" s="101">
        <v>0.4235197891461801</v>
      </c>
    </row>
    <row r="8" spans="1:8" ht="15.75" customHeight="1" x14ac:dyDescent="0.25">
      <c r="B8" s="19" t="s">
        <v>101</v>
      </c>
      <c r="C8" s="101">
        <v>6.3281746576205505E-4</v>
      </c>
    </row>
    <row r="9" spans="1:8" ht="15.75" customHeight="1" x14ac:dyDescent="0.25">
      <c r="B9" s="19" t="s">
        <v>102</v>
      </c>
      <c r="C9" s="101">
        <v>0.14254113413530231</v>
      </c>
    </row>
    <row r="10" spans="1:8" ht="15.75" customHeight="1" x14ac:dyDescent="0.25">
      <c r="B10" s="19" t="s">
        <v>103</v>
      </c>
      <c r="C10" s="101">
        <v>0.13274156366715731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106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107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108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109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110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111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112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113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4.4382244000000001E-2</v>
      </c>
    </row>
    <row r="27" spans="1:8" ht="15.75" customHeight="1" x14ac:dyDescent="0.25">
      <c r="B27" s="19" t="s">
        <v>120</v>
      </c>
      <c r="C27" s="101">
        <v>4.8625891999999997E-2</v>
      </c>
    </row>
    <row r="28" spans="1:8" ht="15.75" customHeight="1" x14ac:dyDescent="0.25">
      <c r="B28" s="19" t="s">
        <v>121</v>
      </c>
      <c r="C28" s="101">
        <v>0.16463160299999999</v>
      </c>
    </row>
    <row r="29" spans="1:8" ht="15.75" customHeight="1" x14ac:dyDescent="0.25">
      <c r="B29" s="19" t="s">
        <v>122</v>
      </c>
      <c r="C29" s="101">
        <v>0.203694557</v>
      </c>
    </row>
    <row r="30" spans="1:8" ht="15.75" customHeight="1" x14ac:dyDescent="0.25">
      <c r="B30" s="19" t="s">
        <v>2</v>
      </c>
      <c r="C30" s="101">
        <v>4.3418417000000001E-2</v>
      </c>
    </row>
    <row r="31" spans="1:8" ht="15.75" customHeight="1" x14ac:dyDescent="0.25">
      <c r="B31" s="19" t="s">
        <v>123</v>
      </c>
      <c r="C31" s="101">
        <v>9.7613213000000004E-2</v>
      </c>
    </row>
    <row r="32" spans="1:8" ht="15.75" customHeight="1" x14ac:dyDescent="0.25">
      <c r="B32" s="19" t="s">
        <v>124</v>
      </c>
      <c r="C32" s="101">
        <v>4.3273035999999987E-2</v>
      </c>
    </row>
    <row r="33" spans="2:3" ht="15.75" customHeight="1" x14ac:dyDescent="0.25">
      <c r="B33" s="19" t="s">
        <v>125</v>
      </c>
      <c r="C33" s="101">
        <v>0.24136084799999999</v>
      </c>
    </row>
    <row r="34" spans="2:3" ht="15.75" customHeight="1" x14ac:dyDescent="0.25">
      <c r="B34" s="19" t="s">
        <v>126</v>
      </c>
      <c r="C34" s="101">
        <v>0.11300019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dvvxoT3JA0jEUJSYGacr1PqMmgU2Sr9DMru2rjGdW6mppSFuuaGuPFw60ZOTa97T1Yte9nAsfnE2/N1O4WiCTQ==" saltValue="1yp5biyJqWRRvr49b/66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132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133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137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138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M7bXOO/TeUI+XkGO3N/eHk/8EtsLTsWYMUu3gBwJEl/3rPMbh0nZoIGhdwjsU1saTolnvBXEohoaLXTG1o9sA==" saltValue="vV45H3IWsa8LLreXh/Mz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xsLFThYBCLTpueSdGE8i0mBqpmGJ4iOc48Gs9/sfDiYBamOSa4Rd+3VGumOcxxaRGkfSc3VhkwR1ijSgNpCoRQ==" saltValue="gQ9C/YN2UZ0BtQvnEuD0W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nqnuXFlKMyOr0meOqghnTAmuS822tcd7MuIdzUAqxUTTZ36gPGhhwJZ6ZUgt88W8Uxp2pQwIjjjqThfOCPJJg==" saltValue="1ZpprmlKWD7pwRBTvoaP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3498.5098055874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0.41215000000000002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0.48421999999999998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1.5080177545706877E-2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97100.085890000002</v>
      </c>
      <c r="C22" s="109">
        <v>96901.344920000003</v>
      </c>
      <c r="D22" s="109">
        <v>96709.555869999997</v>
      </c>
      <c r="E22" s="109">
        <v>96369.279760000005</v>
      </c>
      <c r="F22" s="109">
        <v>95870.912200000006</v>
      </c>
      <c r="G22" s="109">
        <v>95225.168890000001</v>
      </c>
      <c r="H22" s="109">
        <v>94297.108859999993</v>
      </c>
      <c r="I22" s="109">
        <v>93192.031099999993</v>
      </c>
      <c r="J22" s="109">
        <v>91448.911810000005</v>
      </c>
      <c r="K22" s="109">
        <v>89084.444099999993</v>
      </c>
      <c r="L22" s="109">
        <v>85563.409249999997</v>
      </c>
      <c r="M22" s="109">
        <v>80866.729829999997</v>
      </c>
      <c r="N22" s="109">
        <v>73753.323820000005</v>
      </c>
      <c r="O22" s="109">
        <v>63295.22537</v>
      </c>
    </row>
  </sheetData>
  <sheetProtection algorithmName="SHA-512" hashValue="RD1/e8HU00b8DbjBUaAJHNWWGqQkqRNtK7qQ65yh4Rgm7rF7NPqsrxZnRQAnSE1eUSlkUn7jc0DYXcdljEpq/w==" saltValue="fSuPOY2xD8X3MxQfi4RPR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Ta1xjwLNeUpSX4eyzWIYmq04gDnEnMl1gFf0VApzmO+zj2gLix03Lc52DV37cOfam7c9JMqSJ3plzK2dEPbiA==" saltValue="wXmLoNc/cn2CZsDdq723Z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Man1mkaVpRGKBuhVxmUWP2Md4+PUJepFMLFqQhJd2EgHUo5MeGjwCMYKAYtN/VZ4ll4VE/i436g5773NUMcUQ==" saltValue="+Qy13JtKvgc0sicAhOzN8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0.41011202521756179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1.812651550310735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0.56078709999999998</v>
      </c>
      <c r="C10" s="98">
        <v>0.95</v>
      </c>
      <c r="D10" s="56">
        <v>12.8418784817298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12.8418784817298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12.8418784817298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12.8418784817298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0.56078709999999998</v>
      </c>
      <c r="C14" s="98">
        <v>0.95</v>
      </c>
      <c r="D14" s="56">
        <v>12.8418784817298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12.8418784817298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0.35023333333333301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0.59399999999999997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0.38307210000000003</v>
      </c>
      <c r="C19" s="98">
        <v>0.95</v>
      </c>
      <c r="D19" s="56">
        <v>6.8391836861488278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4.1728995609348631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0.63771593354712008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0.433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0.48636289999999999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0.47222769999999997</v>
      </c>
      <c r="C29" s="98">
        <v>0.95</v>
      </c>
      <c r="D29" s="56">
        <v>33.321934882307978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53.05041964170676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1E-3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0.79100000000000004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0.81750919999999994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0.10672520000000001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2.4571099999999998E-2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0.66452529999999999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0.192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KTLr+cgWqofwjmYtwwZg9qLl7CWZHUF/RbJ7kP2mqjquF/OnTQyAK8YkKPor0Wo7x80dquFuGEz/ax2JCI822w==" saltValue="MsLnspbzLEg5S74PVyob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s6XLpAstHTm7ycMuJSUCQvftUNRAiYfOK8iWaj5C/CKrbQFclvRiJUowTE3x9kYXrWxWgyq5Rs6i5nu4fNSdg==" saltValue="15Pmus2K2dqtPc1b0c3X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5KeBRPJCEnAj2QbvYf7uejb34yuPiQXtH/nIXnN0uSOewUxvZWDpb53F6wBaz8KWSgJAPMMVihtacNJWq/Q7g==" saltValue="C4IAKBOznk1PIbMyRLHwC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0.72799999999999998</v>
      </c>
      <c r="C2" s="21">
        <f>'Données pop de l''année de ref'!C52</f>
        <v>0.72799999999999998</v>
      </c>
      <c r="D2" s="21">
        <f>'Données pop de l''année de ref'!C53</f>
        <v>2.1579999999999999</v>
      </c>
      <c r="E2" s="21">
        <f>'Données pop de l''année de ref'!C54</f>
        <v>2.73</v>
      </c>
      <c r="F2" s="21">
        <f>'Données pop de l''année de ref'!C55</f>
        <v>1.196</v>
      </c>
    </row>
    <row r="3" spans="1:6" ht="15.75" customHeight="1" x14ac:dyDescent="0.25">
      <c r="A3" s="3" t="s">
        <v>238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237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vmxHOjQS6yipk+UUM7eLFEU5XjCLoVxsN6L9ACExI7EsWAWMHetTVBm8EeFVUlFfNGb1InkHXMmqNOw+6gW6ZA==" saltValue="Tqwvs9QM3ln+UoRVTH7O3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vc41D5kBcg90O0hqC4kdltbbZfSJADl2wc17zBmSa/V6zPg/ddfNv+tY4UAEwo94zPF9CIfBBON1IAQSCyODQ==" saltValue="wcLczBNFTw6GhOk/52bT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hVe7ckiz2YZf66EUycP+UQYVTKVY2ZmXeUscoOLn55a389s8AK00UEbvXroOQfdlqaPWK4Kat2T7lUprUVa6Q==" saltValue="Coh19MpwZt5PQgMzPRlN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vDwrQLt4qMEKEch/iFZcbk8YUf0Za8lHsd0QwEDpFZALHjh4/Ock3EcyA68vid/sRzoO1ivT1uivYZu6il7tQ==" saltValue="395kdUFkt7Aiit/AYOYM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shzoHPk/2jAA+zEjkRsmq6s0zmly2+aegqulzMv6fYxn3CXYs6eP5JX1/QQ8k0F5Cu7UBPIjHw0QwfTkBB2nQ==" saltValue="e22aLSCPe3+Jzdt5+3XTp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+/vaRWa9sLkTC9XvIaf6h7vdYhMsB1CRW17+Nv5Gup8Sis8z1VB/bJ8K5TpVYpOFSoqE39yY5iQU9BThyar4ng==" saltValue="V26T1JUDQWkni2t2QxNXC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O85ZFnAkZH9mr04EY9mje2bwnG52uEfuKmPqMDYznevcE1sfJqaN9RPQbzzOTebUphCPQcEyyVvbQUUgvXOswQ==" saltValue="AwFkaya+HiILU+vcDC+I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d9rnWazX7Ch65wik90D9X3u/Q5NmtkM1jV6j2tljSqp9lESIhAXHbgm2OUvRHdV1p0HsxpSYDqOoq2oSoDXJA==" saltValue="ebobzaASlraerWQbo09OY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geCawHOcAhEzuFwqwpgoVzW4cN93zeNVg/2gEZLTX1mwqnrGzEkb7IjdOZeKAk+BGZSag0ZgjRTTYrpsAJDZw==" saltValue="Lcz2LMC/RAOqZyw9bp6r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2vxYtlns4xgZkktY3qRpTaD3xs3wTLFSpIh5mCDWpKChBDiuLw7AtadoPU48V0hdpQrYfP8u32vyHynKZsURIQ==" saltValue="aajTawUSgMQ3XBcHS5gf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Q7YLHwtXjjyS5GkdGnpiWVZ+wn98vJbESHtpazQMtu4u7Fouy5JCdQutYWSfiuk1+S+v7OIsVe8e/L3P2cQtQ==" saltValue="59BoBQa2wIiDsz92KJ5j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SMWvFpEgQtxqFPlrJY+6ZrBUr06eZpCOAAHG5fjhxEZB/9A5xz9B8xk1Bcaybs3jnvComIJ/hf7lw+cmJSBtA==" saltValue="YMSselx2mIsk5kLb9hh5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hC/TevopT5M7YbMxV3mN8JL+Rsy9epwNL6YMSKfy4JmTyfeTxu+jPWW3lyoh8NW6fp6xfQCZ6f/xNvco3Op1g==" saltValue="yLfYXk+Dmk7g02E9MXGX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KPokxtKlCZIqGlnPJxDJ3pJ4tXewRGGcd1YSzCn2qz37TCrGXZCzbTf/sfuAOiNJKvxq1XzyTtkbB7zko1dgw==" saltValue="ag9xYtVfJsq/zU8xR5qy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9c92XqpzyyHi3Ft2o6egKL++7l5tM4Fg7dFwrzoZ8vomMpat1xCSr3ugt/ZTnqn1Ng9nVjLwfAecxZWVWBLoA==" saltValue="J/ZNt2UJ8MD7Gzvpr85/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5jjUgy0oHD17eIyt6O3wG8h0A/3UluQiaZ8IBleyP6ylF9kYQZpoHi+xrEvEXyqEFgjzX2arGsMmclUrOZbAvQ==" saltValue="t790gqfQFcerb4BzWQwn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