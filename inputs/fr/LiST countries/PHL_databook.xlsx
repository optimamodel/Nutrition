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BAF2A60-9B04-4940-9645-EFA0CFF58B1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<sst xmlns="http://schemas.openxmlformats.org/spreadsheetml/2006/main" count="2169" uniqueCount="369">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</sst>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8953366</v>
      </c>
    </row>
    <row r="8" spans="1:3" ht="15" customHeight="1" x14ac:dyDescent="0.25">
      <c r="B8" s="5" t="s">
        <v>37</v>
      </c>
      <c r="C8" s="44">
        <v>0.18099999999999999</v>
      </c>
    </row>
    <row r="9" spans="1:3" ht="15" customHeight="1" x14ac:dyDescent="0.25">
      <c r="B9" s="5" t="s">
        <v>38</v>
      </c>
      <c r="C9" s="45">
        <v>1.24E-2</v>
      </c>
    </row>
    <row r="10" spans="1:3" ht="15" customHeight="1" x14ac:dyDescent="0.25">
      <c r="B10" s="5" t="s">
        <v>39</v>
      </c>
      <c r="C10" s="45">
        <v>0.71330099999999996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0.11020000000000001</v>
      </c>
    </row>
    <row r="24" spans="1:3" ht="15" customHeight="1" x14ac:dyDescent="0.25">
      <c r="B24" s="15" t="s">
        <v>51</v>
      </c>
      <c r="C24" s="45">
        <v>0.46769999999999989</v>
      </c>
    </row>
    <row r="25" spans="1:3" ht="15" customHeight="1" x14ac:dyDescent="0.25">
      <c r="B25" s="15" t="s">
        <v>52</v>
      </c>
      <c r="C25" s="45">
        <v>0.34789999999999999</v>
      </c>
    </row>
    <row r="26" spans="1:3" ht="15" customHeight="1" x14ac:dyDescent="0.25">
      <c r="B26" s="15" t="s">
        <v>53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0.30815858460240297</v>
      </c>
    </row>
    <row r="30" spans="1:3" ht="14.25" customHeight="1" x14ac:dyDescent="0.25">
      <c r="B30" s="25" t="s">
        <v>56</v>
      </c>
      <c r="C30" s="97">
        <v>5.7025809794546099E-2</v>
      </c>
    </row>
    <row r="31" spans="1:3" ht="14.25" customHeight="1" x14ac:dyDescent="0.25">
      <c r="B31" s="25" t="s">
        <v>57</v>
      </c>
      <c r="C31" s="97">
        <v>6.6859128479990607E-2</v>
      </c>
    </row>
    <row r="32" spans="1:3" ht="14.25" customHeight="1" x14ac:dyDescent="0.25">
      <c r="B32" s="25" t="s">
        <v>58</v>
      </c>
      <c r="C32" s="97">
        <v>0.56795647712306097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12.276949999999999</v>
      </c>
    </row>
    <row r="38" spans="1:5" ht="15" customHeight="1" x14ac:dyDescent="0.25">
      <c r="B38" s="11" t="s">
        <v>63</v>
      </c>
      <c r="C38" s="43">
        <v>20.473140000000001</v>
      </c>
      <c r="D38" s="12"/>
      <c r="E38" s="13"/>
    </row>
    <row r="39" spans="1:5" ht="15" customHeight="1" x14ac:dyDescent="0.25">
      <c r="B39" s="11" t="s">
        <v>64</v>
      </c>
      <c r="C39" s="43">
        <v>25.739529999999998</v>
      </c>
      <c r="D39" s="12"/>
      <c r="E39" s="12"/>
    </row>
    <row r="40" spans="1:5" ht="15" customHeight="1" x14ac:dyDescent="0.25">
      <c r="B40" s="11" t="s">
        <v>65</v>
      </c>
      <c r="C40" s="98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71</v>
      </c>
      <c r="C47" s="45">
        <v>7.476569999999999E-2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0.72799999999999998</v>
      </c>
      <c r="D51" s="12"/>
    </row>
    <row r="52" spans="1:4" ht="15" customHeight="1" x14ac:dyDescent="0.25">
      <c r="B52" s="11" t="s">
        <v>75</v>
      </c>
      <c r="C52" s="98">
        <v>0.72799999999999998</v>
      </c>
    </row>
    <row r="53" spans="1:4" ht="15.75" customHeight="1" x14ac:dyDescent="0.25">
      <c r="B53" s="11" t="s">
        <v>76</v>
      </c>
      <c r="C53" s="98">
        <v>2.1579999999999999</v>
      </c>
    </row>
    <row r="54" spans="1:4" ht="15.75" customHeight="1" x14ac:dyDescent="0.25">
      <c r="B54" s="11" t="s">
        <v>77</v>
      </c>
      <c r="C54" s="98">
        <v>2.73</v>
      </c>
    </row>
    <row r="55" spans="1:4" ht="15.75" customHeight="1" x14ac:dyDescent="0.25">
      <c r="B55" s="11" t="s">
        <v>78</v>
      </c>
      <c r="C55" s="98">
        <v>1.196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0.52888299999999999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IIlQzIOyZVVjcDRT2BNz73HE00Ky4jwsDWQbSGmNy8JoXjkpCAKM7fkTzxVDQPnNiEM/5UABtat/IaX65BITYw==" saltValue="+He92B7FVBiFTwFBLqy1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JB0YGDuUaGspMHPTPJlIhtJv8jCUc3pW1MIrJHvlmuwakHxjCUQyGlawqFE+jldF0WdBFciOm3nrUa0YrnZtg==" saltValue="NJlnfouRRgl9qWP3b0rb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2.2522621624356761E-3</v>
      </c>
    </row>
    <row r="4" spans="1:8" ht="15.75" customHeight="1" x14ac:dyDescent="0.25">
      <c r="B4" s="19" t="s">
        <v>97</v>
      </c>
      <c r="C4" s="99">
        <v>7.516927467198109E-2</v>
      </c>
    </row>
    <row r="5" spans="1:8" ht="15.75" customHeight="1" x14ac:dyDescent="0.25">
      <c r="B5" s="19" t="s">
        <v>98</v>
      </c>
      <c r="C5" s="99">
        <v>4.8031625672868491E-2</v>
      </c>
    </row>
    <row r="6" spans="1:8" ht="15.75" customHeight="1" x14ac:dyDescent="0.25">
      <c r="B6" s="19" t="s">
        <v>99</v>
      </c>
      <c r="C6" s="99">
        <v>0.17511153307831301</v>
      </c>
    </row>
    <row r="7" spans="1:8" ht="15.75" customHeight="1" x14ac:dyDescent="0.25">
      <c r="B7" s="19" t="s">
        <v>100</v>
      </c>
      <c r="C7" s="99">
        <v>0.4235197891461801</v>
      </c>
    </row>
    <row r="8" spans="1:8" ht="15.75" customHeight="1" x14ac:dyDescent="0.25">
      <c r="B8" s="19" t="s">
        <v>101</v>
      </c>
      <c r="C8" s="99">
        <v>6.3281746576205505E-4</v>
      </c>
    </row>
    <row r="9" spans="1:8" ht="15.75" customHeight="1" x14ac:dyDescent="0.25">
      <c r="B9" s="19" t="s">
        <v>102</v>
      </c>
      <c r="C9" s="99">
        <v>0.14254113413530231</v>
      </c>
    </row>
    <row r="10" spans="1:8" ht="15.75" customHeight="1" x14ac:dyDescent="0.25">
      <c r="B10" s="19" t="s">
        <v>103</v>
      </c>
      <c r="C10" s="99">
        <v>0.13274156366715731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106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107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108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109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110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111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112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113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4.4382244000000001E-2</v>
      </c>
    </row>
    <row r="27" spans="1:8" ht="15.75" customHeight="1" x14ac:dyDescent="0.25">
      <c r="B27" s="19" t="s">
        <v>120</v>
      </c>
      <c r="C27" s="99">
        <v>4.8625891999999997E-2</v>
      </c>
    </row>
    <row r="28" spans="1:8" ht="15.75" customHeight="1" x14ac:dyDescent="0.25">
      <c r="B28" s="19" t="s">
        <v>121</v>
      </c>
      <c r="C28" s="99">
        <v>0.16463160299999999</v>
      </c>
    </row>
    <row r="29" spans="1:8" ht="15.75" customHeight="1" x14ac:dyDescent="0.25">
      <c r="B29" s="19" t="s">
        <v>122</v>
      </c>
      <c r="C29" s="99">
        <v>0.203694557</v>
      </c>
    </row>
    <row r="30" spans="1:8" ht="15.75" customHeight="1" x14ac:dyDescent="0.25">
      <c r="B30" s="19" t="s">
        <v>2</v>
      </c>
      <c r="C30" s="99">
        <v>4.3418417000000001E-2</v>
      </c>
    </row>
    <row r="31" spans="1:8" ht="15.75" customHeight="1" x14ac:dyDescent="0.25">
      <c r="B31" s="19" t="s">
        <v>123</v>
      </c>
      <c r="C31" s="99">
        <v>9.7613213000000004E-2</v>
      </c>
    </row>
    <row r="32" spans="1:8" ht="15.75" customHeight="1" x14ac:dyDescent="0.25">
      <c r="B32" s="19" t="s">
        <v>124</v>
      </c>
      <c r="C32" s="99">
        <v>4.3273035999999987E-2</v>
      </c>
    </row>
    <row r="33" spans="2:3" ht="15.75" customHeight="1" x14ac:dyDescent="0.25">
      <c r="B33" s="19" t="s">
        <v>125</v>
      </c>
      <c r="C33" s="99">
        <v>0.24136084799999999</v>
      </c>
    </row>
    <row r="34" spans="2:3" ht="15.75" customHeight="1" x14ac:dyDescent="0.25">
      <c r="B34" s="19" t="s">
        <v>126</v>
      </c>
      <c r="C34" s="99">
        <v>0.11300019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OWRh1IncQdn/1prHiWIGujzlpOk9Q1oVNVGXo2iPe/pYyoXn97Ysdwd1n4jbQGuGEYuO5f9iK8ZtjzD4IjkHQA==" saltValue="RFs1W5xIW0Reol0uTo7M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132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133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137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0pV1UfzyxahyBYeLGKamRA8g68AaJdNLISNS9Z7km72z2PkBSGRlB1Jf8kFI5a9KgrURh0wpWHIKBOHhp/iGA==" saltValue="aotSZA9VpFlhVD/Pec3w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z47k/CnnkjZ377Xy1TQIY7HtgCKIGvJF/il4pOjK8cGCSxbbMbFxsHJylvDdGpBVvnEsp7hZn3B40EoJeTpzw==" saltValue="+vzjE3w1OgBX1Y2zErnw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PvmrqQ/iDiPsJ2Q28jQ1OQiHYICQ730zpiF/LNeAKXkbt66vZR+8Hu/kWdXCokPbS1vCqytTAPNvANI09EiJg==" saltValue="bJWraMkAg/cnociD2h4c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algorithmName="SHA-512" hashValue="cpQKZ/10YqjTYvdMTp1z5jiUpSoGiBAZTTvA1XTHnnvZvixGDB3WjzpdezXX981cZZMChyErIWQ0vkjtOEEwCg==" saltValue="ilE5Qm9lbUav+wJ4n7t8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7USZKNUc1E7pWSOhw2DHn9Wai3zBrVoDnmd29tuKdQryeYd7hrUTEKW9+FmbDUL8voXka82k4QQMHe9e3IPiHA==" saltValue="dtCFvkRPmtBNuoSYZnqv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Kg9hb2tO7AVGICZPXB/cRQCHsQucJxjiMRaCVRLCDvnq+zFernEUttrbnFLyK1Gj3VPKsueRoR6PgJD5hydlQ==" saltValue="85hDp5XYXiuJtG0sOa14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0.41011202521756179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0.56078709999999998</v>
      </c>
      <c r="C10" s="96">
        <v>0.95</v>
      </c>
      <c r="D10" s="56">
        <v>12.8418784817298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12.8418784817298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12.8418784817298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12.8418784817298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0.56078709999999998</v>
      </c>
      <c r="C14" s="96">
        <v>0.95</v>
      </c>
      <c r="D14" s="56">
        <v>12.8418784817298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12.8418784817298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0.35023333333333301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0.59399999999999997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0.38307210000000003</v>
      </c>
      <c r="C19" s="96">
        <v>0.95</v>
      </c>
      <c r="D19" s="56">
        <v>6.8391836861488278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4.1728995609348631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0.63771593354712008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0.433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0.48636289999999999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0.47222769999999997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1E-3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0.79100000000000004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0.81750919999999994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0.10672520000000001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2.4571099999999998E-2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0.66452529999999999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XdTxW5lvmsZkgo58MFHf/ToYap/iEia1hZGTz9d/dZy9eleTvgRbu+px8BZkVJyy8QF2eLJZ0kk/u23GNlfsUA==" saltValue="bKxZTeToeovDIS0BLvAt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ZElthT5Gv8EthSIH7bEA1ltcqBX4vUAdzRwZtbcps3rZ9PaYcql/byDEIlmLkKZNuu9TzamCFvphx6uglsk/Q==" saltValue="SM7Se8+RnB5JXGG3UCRp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glOtWkJ9kvWNZAG+OawKUDfuErmTWiSjGVn6GWgWQg4psJxrM1QaMrcUF3fTgS3pSJRnT75HLYHZIwBAIA4iw==" saltValue="C9+qD6/6SZimgvQROPp9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0.72799999999999998</v>
      </c>
      <c r="C2" s="21">
        <f>'Données pop de l''année de ref'!C52</f>
        <v>0.72799999999999998</v>
      </c>
      <c r="D2" s="21">
        <f>'Données pop de l''année de ref'!C53</f>
        <v>2.1579999999999999</v>
      </c>
      <c r="E2" s="21">
        <f>'Données pop de l''année de ref'!C54</f>
        <v>2.73</v>
      </c>
      <c r="F2" s="21">
        <f>'Données pop de l''année de ref'!C55</f>
        <v>1.196</v>
      </c>
    </row>
    <row r="3" spans="1:6" ht="15.75" customHeight="1" x14ac:dyDescent="0.25">
      <c r="A3" s="3" t="s">
        <v>238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237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dpBwFXg+gNu4SayJ18kLhItTScuNYVi8C7XpuPNTO8zt0dpKyIgw27dgur5xEOfUhVCs1eokDBiXvwrTN3/qdA==" saltValue="IgNr+uebSANp+kx5mNJg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TDh9dz3kHc/1I6qaNnfLP0CaAktQ0pUyn3/NrHw9l/2p3USRhirRzfZ419kZ6f+/JdOqHQb2Re/h5k1jgpJ9Q==" saltValue="6Ih3YfpHSPof7rPGmTWa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dGcsBqk7b6vBoske6/8r5yFI67IRlCuoFDTlk4xmBsSm1o+/uujMaRuNgG57r9Ht+FvlgEaPVZPohCEiQyWSA==" saltValue="z1GWrIhNkURE9yEmKz9s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eA3ZXOXI5o6uwjzXcnEkw9Q5j/Y7oSVEEZyHWrNuA117W1eRM2IAel/ds9i2k0s58xskldAyBj4EAgPTzqYkA==" saltValue="P46fnVsRNPT8Sc6XEPMc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sepX6e0/jSMEwF9RgPrWKOTvQ87jz+APopOn0u4z5NB4N0fYv6RcLXz/28RZ4wXxromjD9Iq/atmvBBHvpkWQ==" saltValue="GXyR5QmLOdf/QKp4QOj/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nyMt4IzZNxd2xLlfmVW6aszMzT7ne5KDXAajboaP6it/zKa8fmuu4rHzDV4XdHYOmiAw10kLEIvpnZ+3ga4DJg==" saltValue="V52PzeycEFY3HExdGlX2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giqlVKGby0vIPbJ1itHO8SFeAjeBoNrSEutZ2gWr4pgegd8/h/NyU78XtA73FZxN0A6lpH1fHVRVNs6nbeTdEg==" saltValue="B0bNZVyx5ERyTcwKDcMC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XbbBBEtqt9S8lrAkErovDiNbb81NHojEG9KwfI6y0b6Kjor/l5WH8iicJaf+EAWRhoalPzHqwhCGWITuavktA==" saltValue="QtByrAOqy7Cq/nfnI6nau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1li1gKewjrxe3m+NFUK59SltZzSIWT4WJpJvuw2WJkShPqroVCPkkrsVmp/rW4fXS8CnHZlCzTj7oklXPvemA==" saltValue="KkMBwDTSmRWO1eWJ0IRg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GVziI90m/t8K0B0seHhtgZsQhirjCTTc/6v6u+eiK49ripeRBLDG7nM7xaYTpE8jT2UQcGeFYRJ7bhiMsO+WIw==" saltValue="Kp/EkU/jr/dki++UYTVV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8vt6KEXzgG+ZbjQEuyGuiRHLBMH1FVDPHxMxEzg6+Y6TYBAinq/CBWN/8gt/ZI2tv4E3ELTIzahuI49v+Q3JA==" saltValue="OHJCV3sSDJCogBNLzNN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MTK5x+vaTgBChnrR9otu7zIU9MOxZ6BsC8b2A1WL311xSMNMpfYG0ptlIhycIugyWv9p6+4bOnoimMqfwYsmQ==" saltValue="Ioukdhps17UtTUKFWBCV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UzUIBbTPqjm4m0Ttdk2XqOex3naE2C1riOu1sfrAMBWDaN0ZzKdSyQFsaVy3r/isdFwIc2rTFpvzW7fKV6uLA==" saltValue="zwsSL/qBjXFXrzShM+S3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cr2bPKJfnjVpqDYTWJje4818TsOuAwgLC2tFueCaQBd5Zl1gXor4kXBONOEeRQPuRUkGuYXaMjBlzbhYJOCJg==" saltValue="xR1HdXWIW13MhHkoI9NH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O/P6Z35suirLUuJSE+LXZbuODGWQ6DsS6DEtG2H+slXj/9Ume0i5oOsBgEM1zX2zluv7siTs/x7vERxcEYYpA==" saltValue="5jkBLnTEZtNAY53XyW4e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RQ3dzL/SKd07HoPjRmOsuX4YImvVClJrdQz8oJy6FdTvJtB5nOsRy9mCS8GGu7uB3X7tc0FLEV1P+aPTYQI/g==" saltValue="jxWCHC35a1BY/gn3UnEd8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