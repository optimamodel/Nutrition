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C:\Users\tharindu.wickram\Desktop\Modeling\Nutrition\inputs\fr\LiST countries\"/>
    </mc:Choice>
  </mc:AlternateContent>
  <xr:revisionPtr revIDLastSave="0" documentId="8_{C6D85D35-5881-48B3-B7F4-6E3561A1EB40}" xr6:coauthVersionLast="47" xr6:coauthVersionMax="47" xr10:uidLastSave="{00000000-0000-0000-0000-000000000000}"/>
  <bookViews>
    <workbookView xWindow="20" yWindow="20" windowWidth="19180" windowHeight="10180" tabRatio="961" xr2:uid="{00000000-000D-0000-FFFF-FFFF00000000}"/>
  </bookViews>
  <sheets>
    <sheet name="Données pop de l'année de ref" sheetId="1" r:id="rId1"/>
    <sheet name="Projections démographiques" sheetId="2" r:id="rId2"/>
    <sheet name="Causes du décès" sheetId="3" r:id="rId3"/>
    <sheet name="Dist. de l'état nutritionnel" sheetId="4" r:id="rId4"/>
    <sheet name="Dist. l'allaitement maternel" sheetId="5" r:id="rId5"/>
    <sheet name="Tendances temporelles" sheetId="6" r:id="rId6"/>
    <sheet name="Perte économique" sheetId="7" r:id="rId7"/>
    <sheet name="Paquets ANJE" sheetId="8" r:id="rId8"/>
    <sheet name="Traitement de la MAS" sheetId="9" r:id="rId9"/>
    <sheet name="Coûts et couvertures des prgms" sheetId="10" r:id="rId10"/>
    <sheet name="Dépendances du programme" sheetId="11" r:id="rId11"/>
    <sheet name="Programmes de référence" sheetId="12" state="hidden" r:id="rId12"/>
    <sheet name="Incidence des conditions" sheetId="13" state="hidden" r:id="rId13"/>
    <sheet name="Programmes-population cible" sheetId="14" state="hidden" r:id="rId14"/>
    <sheet name="Options de la courbe de coût" sheetId="15" state="hidden" r:id="rId15"/>
    <sheet name="Programmes-planification fam." sheetId="16" state="hidden" r:id="rId16"/>
    <sheet name="Programmes - population touchée" sheetId="17" state="hidden" r:id="rId17"/>
    <sheet name="Programme - secteurs à risque" sheetId="18" state="hidden" r:id="rId18"/>
    <sheet name="Population des sect. à risque" sheetId="19" state="hidden" r:id="rId19"/>
    <sheet name="Rapport des cotes ANJE" sheetId="20" state="hidden" r:id="rId20"/>
    <sheet name="Risques des rés. des naissances" sheetId="21" state="hidden" r:id="rId21"/>
    <sheet name="Risques relatifs" sheetId="22" state="hidden" r:id="rId22"/>
    <sheet name="Rapports des cotes" sheetId="23" state="hidden" r:id="rId23"/>
    <sheet name="Programmes-rés. des naissances" sheetId="24" state="hidden" r:id="rId24"/>
    <sheet name="Programmes-anémie" sheetId="25" state="hidden" r:id="rId25"/>
    <sheet name="Programmes-émaciation" sheetId="26" state="hidden" r:id="rId26"/>
    <sheet name="Programmes pour les enfants" sheetId="27" state="hidden" r:id="rId27"/>
    <sheet name="Programmes pour les FE" sheetId="28" state="hidden" r:id="rId28"/>
  </sheets>
  <definedNames>
    <definedName name="abortion" localSheetId="7">'Données pop de l''année de ref'!$C$38</definedName>
    <definedName name="abortion">'Données pop de l''année de ref'!$C$41</definedName>
    <definedName name="comm_deliv">'Traitement de la MAS'!$D$3</definedName>
    <definedName name="diarrhoea_1_5mo">'Données pop de l''année de ref'!$C$52</definedName>
    <definedName name="diarrhoea_12_23mo">'Données pop de l''année de ref'!$C$54</definedName>
    <definedName name="diarrhoea_1mo">'Données pop de l''année de ref'!$C$51</definedName>
    <definedName name="diarrhoea_24_59mo">'Données pop de l''année de ref'!$C$55</definedName>
    <definedName name="diarrhoea_6_11mo">'Données pop de l''année de ref'!$C$53</definedName>
    <definedName name="end_year">'Données pop de l''année de ref'!$C$4</definedName>
    <definedName name="famplan_unmet_need">'Données pop de l''année de ref'!$C$13</definedName>
    <definedName name="food_insecure">'Données pop de l''année de ref'!$C$8</definedName>
    <definedName name="frac_children_health_facility">'Données pop de l''année de ref'!$C$12</definedName>
    <definedName name="frac_diarrhea_severe">'Données pop de l''année de ref'!$C$58</definedName>
    <definedName name="frac_maize">'Données pop de l''année de ref'!$C$19</definedName>
    <definedName name="frac_malaria_risk">'Données pop de l''année de ref'!$C$9</definedName>
    <definedName name="frac_mam_1_5months">'Dist. de l''état nutritionnel'!$D$10</definedName>
    <definedName name="frac_mam_12_23months">'Dist. de l''état nutritionnel'!$F$10</definedName>
    <definedName name="frac_mam_1month">'Dist. de l''état nutritionnel'!$C$10</definedName>
    <definedName name="frac_mam_24_59months">'Dist. de l''état nutritionnel'!$G$10</definedName>
    <definedName name="frac_mam_6_11months">'Dist. de l''état nutritionnel'!$E$10</definedName>
    <definedName name="frac_MAMtoSAM">'Données pop de l''année de ref'!#REF!</definedName>
    <definedName name="frac_other_staples">'Données pop de l''année de ref'!$C$20</definedName>
    <definedName name="frac_PW_health_facility">'Données pop de l''année de ref'!$C$11</definedName>
    <definedName name="frac_rice">'Données pop de l''année de ref'!$C$17</definedName>
    <definedName name="frac_sam_1_5months">'Dist. de l''état nutritionnel'!$D$11</definedName>
    <definedName name="frac_sam_12_23months">'Dist. de l''état nutritionnel'!$F$11</definedName>
    <definedName name="frac_sam_1month">'Dist. de l''état nutritionnel'!$C$11</definedName>
    <definedName name="frac_sam_24_59months">'Dist. de l''état nutritionnel'!$G$11</definedName>
    <definedName name="frac_sam_6_11months">'Dist. de l''état nutritionnel'!$E$11</definedName>
    <definedName name="frac_SAMtoMAM">'Données pop de l''année de ref'!#REF!</definedName>
    <definedName name="frac_subsistence_farming">'Données pop de l''année de ref'!$C$16</definedName>
    <definedName name="frac_wheat">'Données pop de l''année de ref'!$C$18</definedName>
    <definedName name="infant_mortality">'Données pop de l''année de ref'!$C$38</definedName>
    <definedName name="iron_deficiency_anaemia">'Données pop de l''année de ref'!$C$59</definedName>
    <definedName name="manage_mam">'Traitement de la MAS'!$D$2</definedName>
    <definedName name="maternal_mortality">'Données pop de l''année de ref'!$C$40</definedName>
    <definedName name="neonatal_mortality">'Données pop de l''année de ref'!$C$37</definedName>
    <definedName name="Percentage_of_pregnant_women_attending_health_facility">'Données pop de l''année de ref'!$C$11</definedName>
    <definedName name="preterm_AGA">'Données pop de l''année de ref'!$C$46</definedName>
    <definedName name="preterm_SGA">'Données pop de l''année de ref'!$C$45</definedName>
    <definedName name="school_attendance">'Données pop de l''année de ref'!$C$10</definedName>
    <definedName name="start_year">'Données pop de l''année de ref'!$C$3</definedName>
    <definedName name="stillbirth" localSheetId="7">'Données pop de l''année de ref'!$C$39</definedName>
    <definedName name="stillbirth">'Données pop de l''année de ref'!$C$42</definedName>
    <definedName name="term_AGA">'Données pop de l''année de ref'!$C$48</definedName>
    <definedName name="term_SGA">'Données pop de l''année de ref'!$C$47</definedName>
    <definedName name="U5_mortality">'Données pop de l''année de ref'!$C$39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0" l="1"/>
  <c r="A1" i="5"/>
  <c r="A1" i="4"/>
  <c r="A1" i="3"/>
  <c r="G25" i="28"/>
  <c r="F25" i="28"/>
  <c r="E25" i="28"/>
  <c r="D25" i="28"/>
  <c r="G24" i="28"/>
  <c r="F24" i="28"/>
  <c r="E24" i="28"/>
  <c r="D24" i="28"/>
  <c r="G23" i="28"/>
  <c r="F23" i="28"/>
  <c r="E23" i="28"/>
  <c r="D23" i="28"/>
  <c r="G22" i="28"/>
  <c r="F22" i="28"/>
  <c r="E22" i="28"/>
  <c r="D22" i="28"/>
  <c r="G20" i="28"/>
  <c r="F20" i="28"/>
  <c r="E20" i="28"/>
  <c r="D20" i="28"/>
  <c r="G16" i="28"/>
  <c r="F16" i="28"/>
  <c r="E16" i="28"/>
  <c r="D16" i="28"/>
  <c r="G15" i="28"/>
  <c r="F15" i="28"/>
  <c r="E15" i="28"/>
  <c r="D15" i="28"/>
  <c r="G14" i="28"/>
  <c r="F14" i="28"/>
  <c r="E14" i="28"/>
  <c r="D14" i="28"/>
  <c r="G13" i="28"/>
  <c r="F13" i="28"/>
  <c r="E13" i="28"/>
  <c r="D13" i="28"/>
  <c r="G11" i="28"/>
  <c r="F11" i="28"/>
  <c r="E11" i="28"/>
  <c r="D11" i="28"/>
  <c r="H153" i="27"/>
  <c r="G153" i="27"/>
  <c r="F153" i="27"/>
  <c r="E153" i="27"/>
  <c r="D153" i="27"/>
  <c r="F152" i="27"/>
  <c r="H136" i="27"/>
  <c r="G136" i="27"/>
  <c r="F136" i="27"/>
  <c r="E136" i="27"/>
  <c r="H135" i="27"/>
  <c r="G135" i="27"/>
  <c r="F135" i="27"/>
  <c r="E135" i="27"/>
  <c r="H134" i="27"/>
  <c r="G134" i="27"/>
  <c r="F134" i="27"/>
  <c r="E134" i="27"/>
  <c r="H133" i="27"/>
  <c r="G133" i="27"/>
  <c r="F133" i="27"/>
  <c r="E133" i="27"/>
  <c r="H132" i="27"/>
  <c r="G132" i="27"/>
  <c r="F132" i="27"/>
  <c r="E132" i="27"/>
  <c r="H131" i="27"/>
  <c r="G131" i="27"/>
  <c r="F131" i="27"/>
  <c r="E131" i="27"/>
  <c r="H130" i="27"/>
  <c r="G130" i="27"/>
  <c r="F130" i="27"/>
  <c r="E130" i="27"/>
  <c r="D130" i="27"/>
  <c r="E129" i="27"/>
  <c r="D129" i="27"/>
  <c r="H128" i="27"/>
  <c r="G128" i="27"/>
  <c r="F128" i="27"/>
  <c r="E128" i="27"/>
  <c r="D128" i="27"/>
  <c r="H127" i="27"/>
  <c r="G127" i="27"/>
  <c r="F127" i="27"/>
  <c r="E127" i="27"/>
  <c r="D127" i="27"/>
  <c r="H126" i="27"/>
  <c r="E126" i="27"/>
  <c r="D126" i="27"/>
  <c r="H125" i="27"/>
  <c r="G125" i="27"/>
  <c r="F125" i="27"/>
  <c r="E125" i="27"/>
  <c r="D125" i="27"/>
  <c r="H124" i="27"/>
  <c r="E124" i="27"/>
  <c r="D124" i="27"/>
  <c r="E114" i="27"/>
  <c r="D114" i="27"/>
  <c r="E113" i="27"/>
  <c r="D113" i="27"/>
  <c r="F112" i="27"/>
  <c r="E112" i="27"/>
  <c r="D112" i="27"/>
  <c r="H97" i="27"/>
  <c r="H152" i="27" s="1"/>
  <c r="G97" i="27"/>
  <c r="G152" i="27" s="1"/>
  <c r="F97" i="27"/>
  <c r="E97" i="27"/>
  <c r="E152" i="27" s="1"/>
  <c r="D97" i="27"/>
  <c r="D152" i="27" s="1"/>
  <c r="H81" i="27"/>
  <c r="G81" i="27"/>
  <c r="F81" i="27"/>
  <c r="E81" i="27"/>
  <c r="H80" i="27"/>
  <c r="G80" i="27"/>
  <c r="F80" i="27"/>
  <c r="E80" i="27"/>
  <c r="D80" i="27"/>
  <c r="D135" i="27" s="1"/>
  <c r="H79" i="27"/>
  <c r="G79" i="27"/>
  <c r="F79" i="27"/>
  <c r="E79" i="27"/>
  <c r="H78" i="27"/>
  <c r="G78" i="27"/>
  <c r="F78" i="27"/>
  <c r="E78" i="27"/>
  <c r="D78" i="27"/>
  <c r="D133" i="27" s="1"/>
  <c r="H77" i="27"/>
  <c r="G77" i="27"/>
  <c r="F77" i="27"/>
  <c r="E77" i="27"/>
  <c r="H76" i="27"/>
  <c r="G76" i="27"/>
  <c r="F76" i="27"/>
  <c r="E76" i="27"/>
  <c r="D76" i="27"/>
  <c r="D131" i="27" s="1"/>
  <c r="H75" i="27"/>
  <c r="G75" i="27"/>
  <c r="F75" i="27"/>
  <c r="E75" i="27"/>
  <c r="D75" i="27"/>
  <c r="E74" i="27"/>
  <c r="D74" i="27"/>
  <c r="H73" i="27"/>
  <c r="G73" i="27"/>
  <c r="F73" i="27"/>
  <c r="E73" i="27"/>
  <c r="D73" i="27"/>
  <c r="H72" i="27"/>
  <c r="G72" i="27"/>
  <c r="F72" i="27"/>
  <c r="E72" i="27"/>
  <c r="D72" i="27"/>
  <c r="H71" i="27"/>
  <c r="E71" i="27"/>
  <c r="D71" i="27"/>
  <c r="H70" i="27"/>
  <c r="G70" i="27"/>
  <c r="F70" i="27"/>
  <c r="E70" i="27"/>
  <c r="D70" i="27"/>
  <c r="H69" i="27"/>
  <c r="E69" i="27"/>
  <c r="D69" i="27"/>
  <c r="E59" i="27"/>
  <c r="D59" i="27"/>
  <c r="E58" i="27"/>
  <c r="D58" i="27"/>
  <c r="H57" i="27"/>
  <c r="H112" i="27" s="1"/>
  <c r="G57" i="27"/>
  <c r="G112" i="27" s="1"/>
  <c r="F57" i="27"/>
  <c r="E57" i="27"/>
  <c r="D57" i="27"/>
  <c r="H20" i="27"/>
  <c r="G20" i="27"/>
  <c r="F20" i="27"/>
  <c r="H18" i="27"/>
  <c r="G18" i="27"/>
  <c r="F18" i="27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O14" i="25"/>
  <c r="N14" i="25"/>
  <c r="M14" i="25"/>
  <c r="L14" i="25"/>
  <c r="F42" i="24"/>
  <c r="E42" i="24"/>
  <c r="D42" i="24"/>
  <c r="C42" i="24"/>
  <c r="F40" i="24"/>
  <c r="E40" i="24"/>
  <c r="D40" i="24"/>
  <c r="C40" i="24"/>
  <c r="F38" i="24"/>
  <c r="E38" i="24"/>
  <c r="D38" i="24"/>
  <c r="C38" i="24"/>
  <c r="F36" i="24"/>
  <c r="E36" i="24"/>
  <c r="D36" i="24"/>
  <c r="C36" i="24"/>
  <c r="F34" i="24"/>
  <c r="E34" i="24"/>
  <c r="D34" i="24"/>
  <c r="C34" i="24"/>
  <c r="F32" i="24"/>
  <c r="E32" i="24"/>
  <c r="D32" i="24"/>
  <c r="C32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F21" i="24"/>
  <c r="E21" i="24"/>
  <c r="D21" i="24"/>
  <c r="C21" i="24"/>
  <c r="F19" i="24"/>
  <c r="E19" i="24"/>
  <c r="D19" i="24"/>
  <c r="C19" i="24"/>
  <c r="F17" i="24"/>
  <c r="E17" i="24"/>
  <c r="D17" i="24"/>
  <c r="C17" i="24"/>
  <c r="D12" i="24"/>
  <c r="C12" i="24"/>
  <c r="C67" i="23"/>
  <c r="G63" i="23"/>
  <c r="F63" i="23"/>
  <c r="E63" i="23"/>
  <c r="D63" i="23"/>
  <c r="C63" i="23"/>
  <c r="G55" i="23"/>
  <c r="F55" i="23"/>
  <c r="E55" i="23"/>
  <c r="D55" i="23"/>
  <c r="C55" i="23"/>
  <c r="G54" i="23"/>
  <c r="D54" i="23"/>
  <c r="C54" i="23"/>
  <c r="G53" i="23"/>
  <c r="D53" i="23"/>
  <c r="C53" i="23"/>
  <c r="G52" i="23"/>
  <c r="F52" i="23"/>
  <c r="E52" i="23"/>
  <c r="D52" i="23"/>
  <c r="C52" i="23"/>
  <c r="G49" i="23"/>
  <c r="F49" i="23"/>
  <c r="E49" i="23"/>
  <c r="D49" i="23"/>
  <c r="C44" i="23"/>
  <c r="G40" i="23"/>
  <c r="F40" i="23"/>
  <c r="E40" i="23"/>
  <c r="D40" i="23"/>
  <c r="C40" i="23"/>
  <c r="G32" i="23"/>
  <c r="F32" i="23"/>
  <c r="E32" i="23"/>
  <c r="D32" i="23"/>
  <c r="C32" i="23"/>
  <c r="G31" i="23"/>
  <c r="D31" i="23"/>
  <c r="C31" i="23"/>
  <c r="G30" i="23"/>
  <c r="D30" i="23"/>
  <c r="C30" i="23"/>
  <c r="G29" i="23"/>
  <c r="F29" i="23"/>
  <c r="E29" i="23"/>
  <c r="D29" i="23"/>
  <c r="C29" i="23"/>
  <c r="G26" i="23"/>
  <c r="F26" i="23"/>
  <c r="E26" i="23"/>
  <c r="D26" i="23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H120" i="20"/>
  <c r="H119" i="20"/>
  <c r="H118" i="20"/>
  <c r="H117" i="20"/>
  <c r="H116" i="20"/>
  <c r="H115" i="20"/>
  <c r="H114" i="20"/>
  <c r="H113" i="20"/>
  <c r="H112" i="20"/>
  <c r="H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F121" i="20" s="1"/>
  <c r="E68" i="20"/>
  <c r="E121" i="20" s="1"/>
  <c r="D68" i="20"/>
  <c r="D121" i="20" s="1"/>
  <c r="H67" i="20"/>
  <c r="F67" i="20"/>
  <c r="F120" i="20" s="1"/>
  <c r="E67" i="20"/>
  <c r="E120" i="20" s="1"/>
  <c r="D67" i="20"/>
  <c r="D120" i="20" s="1"/>
  <c r="H66" i="20"/>
  <c r="G66" i="20"/>
  <c r="G119" i="20" s="1"/>
  <c r="F66" i="20"/>
  <c r="F119" i="20" s="1"/>
  <c r="E66" i="20"/>
  <c r="E119" i="20" s="1"/>
  <c r="D66" i="20"/>
  <c r="D119" i="20" s="1"/>
  <c r="H65" i="20"/>
  <c r="G65" i="20"/>
  <c r="G118" i="20" s="1"/>
  <c r="E65" i="20"/>
  <c r="E118" i="20" s="1"/>
  <c r="D65" i="20"/>
  <c r="D118" i="20" s="1"/>
  <c r="H64" i="20"/>
  <c r="G64" i="20"/>
  <c r="G117" i="20" s="1"/>
  <c r="E64" i="20"/>
  <c r="E117" i="20" s="1"/>
  <c r="D64" i="20"/>
  <c r="D117" i="20" s="1"/>
  <c r="H63" i="20"/>
  <c r="G63" i="20"/>
  <c r="G116" i="20" s="1"/>
  <c r="F63" i="20"/>
  <c r="F116" i="20" s="1"/>
  <c r="E63" i="20"/>
  <c r="E116" i="20" s="1"/>
  <c r="D63" i="20"/>
  <c r="D116" i="20" s="1"/>
  <c r="H62" i="20"/>
  <c r="G62" i="20"/>
  <c r="G115" i="20" s="1"/>
  <c r="F62" i="20"/>
  <c r="F115" i="20" s="1"/>
  <c r="D62" i="20"/>
  <c r="D115" i="20" s="1"/>
  <c r="H61" i="20"/>
  <c r="G61" i="20"/>
  <c r="G114" i="20" s="1"/>
  <c r="F61" i="20"/>
  <c r="F114" i="20" s="1"/>
  <c r="D61" i="20"/>
  <c r="D114" i="20" s="1"/>
  <c r="H60" i="20"/>
  <c r="G60" i="20"/>
  <c r="G113" i="20" s="1"/>
  <c r="F60" i="20"/>
  <c r="F113" i="20" s="1"/>
  <c r="E60" i="20"/>
  <c r="E113" i="20" s="1"/>
  <c r="D60" i="20"/>
  <c r="D113" i="20" s="1"/>
  <c r="H59" i="20"/>
  <c r="G59" i="20"/>
  <c r="G112" i="20" s="1"/>
  <c r="F59" i="20"/>
  <c r="F112" i="20" s="1"/>
  <c r="E59" i="20"/>
  <c r="E112" i="20" s="1"/>
  <c r="H58" i="20"/>
  <c r="G58" i="20"/>
  <c r="G111" i="20" s="1"/>
  <c r="F58" i="20"/>
  <c r="F111" i="20" s="1"/>
  <c r="E58" i="20"/>
  <c r="E111" i="20" s="1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O32" i="14"/>
  <c r="N32" i="14"/>
  <c r="M32" i="14"/>
  <c r="L32" i="14"/>
  <c r="K32" i="14"/>
  <c r="J32" i="14"/>
  <c r="I32" i="14"/>
  <c r="H32" i="14"/>
  <c r="G32" i="14"/>
  <c r="F32" i="14"/>
  <c r="E32" i="14"/>
  <c r="O31" i="14"/>
  <c r="N31" i="14"/>
  <c r="M31" i="14"/>
  <c r="L31" i="14"/>
  <c r="K31" i="14"/>
  <c r="J31" i="14"/>
  <c r="I31" i="14"/>
  <c r="H31" i="14"/>
  <c r="G31" i="14"/>
  <c r="F31" i="14"/>
  <c r="E31" i="14"/>
  <c r="O30" i="14"/>
  <c r="N30" i="14"/>
  <c r="M30" i="14"/>
  <c r="L30" i="14"/>
  <c r="K30" i="14"/>
  <c r="J30" i="14"/>
  <c r="I30" i="14"/>
  <c r="H30" i="14"/>
  <c r="G30" i="14"/>
  <c r="F30" i="14"/>
  <c r="E30" i="14"/>
  <c r="L28" i="14"/>
  <c r="O27" i="14"/>
  <c r="N27" i="14"/>
  <c r="M27" i="14"/>
  <c r="L27" i="14"/>
  <c r="O26" i="14"/>
  <c r="N26" i="14"/>
  <c r="M26" i="14"/>
  <c r="L26" i="14"/>
  <c r="O25" i="14"/>
  <c r="N25" i="14"/>
  <c r="M25" i="14"/>
  <c r="L25" i="14"/>
  <c r="O24" i="14"/>
  <c r="N24" i="14"/>
  <c r="M24" i="14"/>
  <c r="L24" i="14"/>
  <c r="K22" i="14"/>
  <c r="J22" i="14"/>
  <c r="I22" i="14"/>
  <c r="H22" i="14"/>
  <c r="K19" i="14"/>
  <c r="J19" i="14"/>
  <c r="I19" i="14"/>
  <c r="H19" i="14"/>
  <c r="K18" i="14"/>
  <c r="J18" i="14"/>
  <c r="I18" i="14"/>
  <c r="H18" i="14"/>
  <c r="K17" i="14"/>
  <c r="J17" i="14"/>
  <c r="I17" i="14"/>
  <c r="H17" i="14"/>
  <c r="K15" i="14"/>
  <c r="J15" i="14"/>
  <c r="I15" i="14"/>
  <c r="H15" i="14"/>
  <c r="G12" i="14"/>
  <c r="F12" i="14"/>
  <c r="E12" i="14"/>
  <c r="D12" i="14"/>
  <c r="C12" i="14"/>
  <c r="G10" i="14"/>
  <c r="F10" i="14"/>
  <c r="E10" i="14"/>
  <c r="D10" i="14"/>
  <c r="F9" i="14"/>
  <c r="E9" i="14"/>
  <c r="F8" i="14"/>
  <c r="E8" i="14"/>
  <c r="G7" i="14"/>
  <c r="F7" i="14"/>
  <c r="E7" i="14"/>
  <c r="D7" i="14"/>
  <c r="C7" i="14"/>
  <c r="G6" i="14"/>
  <c r="F6" i="14"/>
  <c r="E6" i="14"/>
  <c r="F5" i="14"/>
  <c r="E5" i="14"/>
  <c r="G2" i="14"/>
  <c r="F2" i="14"/>
  <c r="E2" i="14"/>
  <c r="D2" i="14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C35" i="3"/>
  <c r="F23" i="3"/>
  <c r="E23" i="3"/>
  <c r="D23" i="3"/>
  <c r="C23" i="3"/>
  <c r="C11" i="3"/>
  <c r="H40" i="2"/>
  <c r="G40" i="2"/>
  <c r="I40" i="2" s="1"/>
  <c r="H39" i="2"/>
  <c r="G39" i="2"/>
  <c r="I39" i="2" s="1"/>
  <c r="H38" i="2"/>
  <c r="G38" i="2"/>
  <c r="I38" i="2" s="1"/>
  <c r="H13" i="2"/>
  <c r="G13" i="2"/>
  <c r="I13" i="2" s="1"/>
  <c r="H12" i="2"/>
  <c r="G12" i="2"/>
  <c r="I12" i="2" s="1"/>
  <c r="H11" i="2"/>
  <c r="G11" i="2"/>
  <c r="I11" i="2" s="1"/>
  <c r="H10" i="2"/>
  <c r="G10" i="2"/>
  <c r="I10" i="2" s="1"/>
  <c r="H9" i="2"/>
  <c r="G9" i="2"/>
  <c r="I9" i="2" s="1"/>
  <c r="H8" i="2"/>
  <c r="G8" i="2"/>
  <c r="I8" i="2" s="1"/>
  <c r="H7" i="2"/>
  <c r="G7" i="2"/>
  <c r="I7" i="2" s="1"/>
  <c r="H6" i="2"/>
  <c r="G6" i="2"/>
  <c r="I6" i="2" s="1"/>
  <c r="H5" i="2"/>
  <c r="G5" i="2"/>
  <c r="I5" i="2" s="1"/>
  <c r="H4" i="2"/>
  <c r="G4" i="2"/>
  <c r="I4" i="2" s="1"/>
  <c r="H3" i="2"/>
  <c r="G3" i="2"/>
  <c r="I3" i="2" s="1"/>
  <c r="H2" i="2"/>
  <c r="G2" i="2"/>
  <c r="I2" i="2" s="1"/>
  <c r="A2" i="2"/>
  <c r="A40" i="2" s="1"/>
  <c r="C33" i="1"/>
  <c r="C20" i="1"/>
  <c r="A15" i="2" l="1"/>
  <c r="A17" i="2"/>
  <c r="A23" i="2"/>
  <c r="A25" i="2"/>
  <c r="A31" i="2"/>
  <c r="A33" i="2"/>
  <c r="A16" i="2"/>
  <c r="A24" i="2"/>
  <c r="A32" i="2"/>
  <c r="A3" i="2"/>
  <c r="A5" i="2"/>
  <c r="A18" i="2"/>
  <c r="A26" i="2"/>
  <c r="A34" i="2"/>
  <c r="A39" i="2"/>
  <c r="A19" i="2"/>
  <c r="A27" i="2"/>
  <c r="A35" i="2"/>
  <c r="A20" i="2"/>
  <c r="A28" i="2"/>
  <c r="A36" i="2"/>
  <c r="A21" i="2"/>
  <c r="A29" i="2"/>
  <c r="A37" i="2"/>
  <c r="A4" i="2"/>
  <c r="A6" i="2"/>
  <c r="A7" i="2" s="1"/>
  <c r="A8" i="2" s="1"/>
  <c r="A9" i="2" s="1"/>
  <c r="A10" i="2" s="1"/>
  <c r="A11" i="2" s="1"/>
  <c r="A12" i="2" s="1"/>
  <c r="A13" i="2" s="1"/>
  <c r="A14" i="2"/>
  <c r="A22" i="2"/>
  <c r="A30" i="2"/>
  <c r="A3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600-000001000000}">
      <text>
        <r>
          <rPr>
            <sz val="10"/>
            <color rgb="FF000000"/>
            <rFont val="Arial"/>
          </rPr>
          <t>Nick Scott:
Placeholder only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</rPr>
          <t>Nick Scott:
Cost per person per year, or per pregnancy</t>
        </r>
      </text>
    </comment>
    <comment ref="B2" authorId="0" shapeId="0" xr:uid="{00000000-0006-0000-0900-000002000000}">
      <text>
        <r>
          <rPr>
            <sz val="10"/>
            <color rgb="FF000000"/>
            <rFont val="Arial"/>
          </rPr>
          <t>Nick Scott:
LiST</t>
        </r>
      </text>
    </comment>
    <comment ref="D2" authorId="0" shapeId="0" xr:uid="{00000000-0006-0000-0900-000003000000}">
      <text>
        <r>
          <rPr>
            <sz val="10"/>
            <color rgb="FF000000"/>
            <rFont val="Arial"/>
          </rPr>
          <t>Nick Scott:
All unit cost estimates are placeholders, derived from Scott et al. BMC medicine, 18(1), 1-19.
If unknown, set to 99 .</t>
        </r>
      </text>
    </comment>
    <comment ref="B3" authorId="0" shapeId="0" xr:uid="{00000000-0006-0000-0900-000004000000}">
      <text>
        <r>
          <rPr>
            <sz val="10"/>
            <color rgb="FF000000"/>
            <rFont val="Arial"/>
          </rPr>
          <t>Nick Scott:
LiST</t>
        </r>
      </text>
    </comment>
    <comment ref="B4" authorId="0" shapeId="0" xr:uid="{00000000-0006-0000-0900-000005000000}">
      <text>
        <r>
          <rPr>
            <sz val="10"/>
            <color rgb="FF000000"/>
            <rFont val="Arial"/>
          </rPr>
          <t>Nick Scott:
Missing</t>
        </r>
      </text>
    </comment>
    <comment ref="B5" authorId="0" shapeId="0" xr:uid="{00000000-0006-0000-0900-000006000000}">
      <text>
        <r>
          <rPr>
            <sz val="10"/>
            <color rgb="FF000000"/>
            <rFont val="Arial"/>
          </rPr>
          <t>Nick Scott:
Missing</t>
        </r>
      </text>
    </comment>
    <comment ref="B6" authorId="0" shapeId="0" xr:uid="{00000000-0006-0000-0900-000007000000}">
      <text>
        <r>
          <rPr>
            <sz val="10"/>
            <color rgb="FF000000"/>
            <rFont val="Arial"/>
          </rPr>
          <t>Nick Scott:
Missing</t>
        </r>
      </text>
    </comment>
    <comment ref="B7" authorId="0" shapeId="0" xr:uid="{00000000-0006-0000-0900-000008000000}">
      <text>
        <r>
          <rPr>
            <sz val="10"/>
            <color rgb="FF000000"/>
            <rFont val="Arial"/>
          </rPr>
          <t>Nick Scott:
Missing</t>
        </r>
      </text>
    </comment>
    <comment ref="B8" authorId="0" shapeId="0" xr:uid="{00000000-0006-0000-0900-000009000000}">
      <text>
        <r>
          <rPr>
            <sz val="10"/>
            <color rgb="FF000000"/>
            <rFont val="Arial"/>
          </rPr>
          <t>Nick Scott:
Missing</t>
        </r>
      </text>
    </comment>
    <comment ref="B9" authorId="0" shapeId="0" xr:uid="{00000000-0006-0000-0900-00000A000000}">
      <text>
        <r>
          <rPr>
            <sz val="10"/>
            <color rgb="FF000000"/>
            <rFont val="Arial"/>
          </rPr>
          <t>Nick Scott:
Missing</t>
        </r>
      </text>
    </comment>
    <comment ref="B10" authorId="0" shapeId="0" xr:uid="{00000000-0006-0000-0900-00000B000000}">
      <text>
        <r>
          <rPr>
            <sz val="10"/>
            <color rgb="FF000000"/>
            <rFont val="Arial"/>
          </rPr>
          <t>Nick Scott:
LiST</t>
        </r>
      </text>
    </comment>
    <comment ref="B11" authorId="0" shapeId="0" xr:uid="{00000000-0006-0000-0900-00000C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2" authorId="0" shapeId="0" xr:uid="{00000000-0006-0000-0900-00000D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3" authorId="0" shapeId="0" xr:uid="{00000000-0006-0000-0900-00000E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4" authorId="0" shapeId="0" xr:uid="{00000000-0006-0000-0900-00000F000000}">
      <text>
        <r>
          <rPr>
            <sz val="10"/>
            <color rgb="FF000000"/>
            <rFont val="Arial"/>
          </rPr>
          <t>Nick Scott:
LiST</t>
        </r>
      </text>
    </comment>
    <comment ref="B15" authorId="0" shapeId="0" xr:uid="{00000000-0006-0000-0900-000010000000}">
      <text>
        <r>
          <rPr>
            <sz val="10"/>
            <color rgb="FF000000"/>
            <rFont val="Arial"/>
          </rPr>
          <t>Nick Scott:
More data required to divide "IFAS for pregnant women (community)" further. Community intervention assumed to represent all modalities as a placeholder</t>
        </r>
      </text>
    </comment>
    <comment ref="B16" authorId="0" shapeId="0" xr:uid="{00000000-0006-0000-0900-000011000000}">
      <text>
        <r>
          <rPr>
            <sz val="10"/>
            <color rgb="FF000000"/>
            <rFont val="Arial"/>
          </rPr>
          <t>Nick Scott:
LiST</t>
        </r>
      </text>
    </comment>
    <comment ref="B17" authorId="0" shapeId="0" xr:uid="{00000000-0006-0000-0900-000012000000}">
      <text>
        <r>
          <rPr>
            <sz val="10"/>
            <color rgb="FF000000"/>
            <rFont val="Arial"/>
          </rPr>
          <t>Nick Scott:
LiST, "Iron fortification"</t>
        </r>
      </text>
    </comment>
    <comment ref="B18" authorId="0" shapeId="0" xr:uid="{00000000-0006-0000-0900-000013000000}">
      <text>
        <r>
          <rPr>
            <sz val="10"/>
            <color rgb="FF000000"/>
            <rFont val="Arial"/>
          </rPr>
          <t>Nick Scott:
LiST; breastfeeding promotion</t>
        </r>
      </text>
    </comment>
    <comment ref="B19" authorId="0" shapeId="0" xr:uid="{00000000-0006-0000-0900-000014000000}">
      <text>
        <r>
          <rPr>
            <sz val="10"/>
            <color rgb="FF000000"/>
            <rFont val="Arial"/>
          </rPr>
          <t>Nick Scott:
LiST; complementary feeding education</t>
        </r>
      </text>
    </comment>
    <comment ref="B20" authorId="0" shapeId="0" xr:uid="{00000000-0006-0000-0900-000015000000}">
      <text>
        <r>
          <rPr>
            <sz val="10"/>
            <color rgb="FF000000"/>
            <rFont val="Arial"/>
          </rPr>
          <t>Nick Scott:
Not being used</t>
        </r>
      </text>
    </comment>
    <comment ref="B21" authorId="0" shapeId="0" xr:uid="{00000000-0006-0000-0900-000016000000}">
      <text>
        <r>
          <rPr>
            <sz val="10"/>
            <color rgb="FF000000"/>
            <rFont val="Arial"/>
          </rPr>
          <t>Nick Scott:
LiST</t>
        </r>
      </text>
    </comment>
    <comment ref="B22" authorId="0" shapeId="0" xr:uid="{00000000-0006-0000-0900-000017000000}">
      <text>
        <r>
          <rPr>
            <sz val="10"/>
            <color rgb="FF000000"/>
            <rFont val="Arial"/>
          </rPr>
          <t>Nick Scott:
Missing</t>
        </r>
      </text>
    </comment>
    <comment ref="B24" authorId="0" shapeId="0" xr:uid="{00000000-0006-0000-0900-000018000000}">
      <text>
        <r>
          <rPr>
            <sz val="10"/>
            <color rgb="FF000000"/>
            <rFont val="Arial"/>
          </rPr>
          <t>Nick Scott:
LiST</t>
        </r>
      </text>
    </comment>
    <comment ref="B25" authorId="0" shapeId="0" xr:uid="{00000000-0006-0000-0900-000019000000}">
      <text>
        <r>
          <rPr>
            <sz val="10"/>
            <color rgb="FF000000"/>
            <rFont val="Arial"/>
          </rPr>
          <t>Nick Scott:
Not being used</t>
        </r>
      </text>
    </comment>
    <comment ref="B26" authorId="0" shapeId="0" xr:uid="{00000000-0006-0000-0900-00001A000000}">
      <text>
        <r>
          <rPr>
            <sz val="10"/>
            <color rgb="FF000000"/>
            <rFont val="Arial"/>
          </rPr>
          <t>Nick Scott:
LiST</t>
        </r>
      </text>
    </comment>
    <comment ref="B27" authorId="0" shapeId="0" xr:uid="{00000000-0006-0000-0900-00001B000000}">
      <text>
        <r>
          <rPr>
            <sz val="10"/>
            <color rgb="FF000000"/>
            <rFont val="Arial"/>
          </rPr>
          <t>Nick Scott:
LiST</t>
        </r>
      </text>
    </comment>
    <comment ref="B28" authorId="0" shapeId="0" xr:uid="{00000000-0006-0000-0900-00001C000000}">
      <text>
        <r>
          <rPr>
            <sz val="10"/>
            <color rgb="FF000000"/>
            <rFont val="Arial"/>
          </rPr>
          <t>Nick Scott:
LiST</t>
        </r>
      </text>
    </comment>
    <comment ref="D28" authorId="0" shapeId="0" xr:uid="{00000000-0006-0000-0900-00001D000000}">
      <text>
        <r>
          <rPr>
            <sz val="10"/>
            <color rgb="FF000000"/>
            <rFont val="Arial"/>
          </rPr>
          <t>Nick Scott:
Cost per treatment</t>
        </r>
      </text>
    </comment>
    <comment ref="B29" authorId="0" shapeId="0" xr:uid="{00000000-0006-0000-0900-00001E000000}">
      <text>
        <r>
          <rPr>
            <sz val="10"/>
            <color rgb="FF000000"/>
            <rFont val="Arial"/>
          </rPr>
          <t>Nick Scott:
LiST</t>
        </r>
      </text>
    </comment>
    <comment ref="B30" authorId="0" shapeId="0" xr:uid="{00000000-0006-0000-0900-00001F000000}">
      <text>
        <r>
          <rPr>
            <sz val="10"/>
            <color rgb="FF000000"/>
            <rFont val="Arial"/>
          </rPr>
          <t>Nick Scott:
Missing</t>
        </r>
      </text>
    </comment>
    <comment ref="D30" authorId="0" shapeId="0" xr:uid="{00000000-0006-0000-0900-000020000000}">
      <text>
        <r>
          <rPr>
            <sz val="10"/>
            <color rgb="FF000000"/>
            <rFont val="Arial"/>
          </rPr>
          <t>Nick Scott:
Unknown</t>
        </r>
      </text>
    </comment>
    <comment ref="B31" authorId="0" shapeId="0" xr:uid="{00000000-0006-0000-0900-000021000000}">
      <text>
        <r>
          <rPr>
            <sz val="10"/>
            <color rgb="FF000000"/>
            <rFont val="Arial"/>
          </rPr>
          <t>Nick Scott:
LiST</t>
        </r>
      </text>
    </comment>
    <comment ref="D31" authorId="0" shapeId="0" xr:uid="{00000000-0006-0000-0900-000022000000}">
      <text>
        <r>
          <rPr>
            <sz val="10"/>
            <color rgb="FF000000"/>
            <rFont val="Arial"/>
          </rPr>
          <t>Nick Scott:
Cost per treatment</t>
        </r>
      </text>
    </comment>
    <comment ref="B32" authorId="0" shapeId="0" xr:uid="{00000000-0006-0000-0900-000023000000}">
      <text>
        <r>
          <rPr>
            <sz val="10"/>
            <color rgb="FF000000"/>
            <rFont val="Arial"/>
          </rPr>
          <t>Nick Scott:
LiST</t>
        </r>
      </text>
    </comment>
    <comment ref="B33" authorId="0" shapeId="0" xr:uid="{00000000-0006-0000-0900-000024000000}">
      <text>
        <r>
          <rPr>
            <sz val="10"/>
            <color rgb="FF000000"/>
            <rFont val="Arial"/>
          </rPr>
          <t>Nick Scott:
LiST</t>
        </r>
      </text>
    </comment>
    <comment ref="D33" authorId="0" shapeId="0" xr:uid="{00000000-0006-0000-0900-000025000000}">
      <text>
        <r>
          <rPr>
            <sz val="10"/>
            <color rgb="FF000000"/>
            <rFont val="Arial"/>
          </rPr>
          <t>Nick Scott:
Unknown</t>
        </r>
      </text>
    </comment>
    <comment ref="B34" authorId="0" shapeId="0" xr:uid="{00000000-0006-0000-0900-000026000000}">
      <text>
        <r>
          <rPr>
            <sz val="10"/>
            <color rgb="FF000000"/>
            <rFont val="Arial"/>
          </rPr>
          <t>Nick Scott:
LiST</t>
        </r>
      </text>
    </comment>
    <comment ref="D34" authorId="0" shapeId="0" xr:uid="{00000000-0006-0000-0900-000027000000}">
      <text>
        <r>
          <rPr>
            <sz val="10"/>
            <color rgb="FF000000"/>
            <rFont val="Arial"/>
          </rPr>
          <t>Nick Scott:
Unknown</t>
        </r>
      </text>
    </comment>
    <comment ref="B35" authorId="0" shapeId="0" xr:uid="{00000000-0006-0000-0900-000028000000}">
      <text>
        <r>
          <rPr>
            <sz val="10"/>
            <color rgb="FF000000"/>
            <rFont val="Arial"/>
          </rPr>
          <t>Nick Scott:
Not being used</t>
        </r>
      </text>
    </comment>
    <comment ref="D35" authorId="0" shapeId="0" xr:uid="{00000000-0006-0000-0900-000029000000}">
      <text>
        <r>
          <rPr>
            <sz val="10"/>
            <color rgb="FF000000"/>
            <rFont val="Arial"/>
          </rPr>
          <t>Nick Scott:
Unknown</t>
        </r>
      </text>
    </comment>
    <comment ref="B36" authorId="0" shapeId="0" xr:uid="{00000000-0006-0000-0900-00002A000000}">
      <text>
        <r>
          <rPr>
            <sz val="10"/>
            <color rgb="FF000000"/>
            <rFont val="Arial"/>
          </rPr>
          <t>Nick Scott:
LiST</t>
        </r>
      </text>
    </comment>
    <comment ref="D36" authorId="0" shapeId="0" xr:uid="{00000000-0006-0000-0900-00002B000000}">
      <text>
        <r>
          <rPr>
            <sz val="10"/>
            <color rgb="FF000000"/>
            <rFont val="Arial"/>
          </rPr>
          <t>Nick Scott:
Unknown</t>
        </r>
      </text>
    </comment>
    <comment ref="B37" authorId="0" shapeId="0" xr:uid="{00000000-0006-0000-0900-00002C000000}">
      <text>
        <r>
          <rPr>
            <sz val="10"/>
            <color rgb="FF000000"/>
            <rFont val="Arial"/>
          </rPr>
          <t>Nick Scott:
LiST</t>
        </r>
      </text>
    </comment>
    <comment ref="D37" authorId="0" shapeId="0" xr:uid="{00000000-0006-0000-0900-00002D000000}">
      <text>
        <r>
          <rPr>
            <sz val="10"/>
            <color rgb="FF000000"/>
            <rFont val="Arial"/>
          </rPr>
          <t>Nick Scott:
Unknown</t>
        </r>
      </text>
    </comment>
    <comment ref="B38" authorId="0" shapeId="0" xr:uid="{00000000-0006-0000-0900-00002E000000}">
      <text>
        <r>
          <rPr>
            <sz val="10"/>
            <color rgb="FF000000"/>
            <rFont val="Arial"/>
          </rPr>
          <t>Nick Scott:
LiST</t>
        </r>
      </text>
    </comment>
    <comment ref="D38" authorId="0" shapeId="0" xr:uid="{00000000-0006-0000-0900-00002F000000}">
      <text>
        <r>
          <rPr>
            <sz val="10"/>
            <color rgb="FF000000"/>
            <rFont val="Arial"/>
          </rPr>
          <t>Nick Scott:
Cost per treatment</t>
        </r>
      </text>
    </comment>
    <comment ref="B39" authorId="0" shapeId="0" xr:uid="{00000000-0006-0000-0900-000030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F28" authorId="1" shapeId="0" xr:uid="{00000000-0006-0000-1300-000009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F29" authorId="1" shapeId="0" xr:uid="{00000000-0006-0000-1300-00000A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1" authorId="1" shapeId="0" xr:uid="{00000000-0006-0000-1300-00000B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2" authorId="1" shapeId="0" xr:uid="{00000000-0006-0000-1300-00000C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A36" authorId="0" shapeId="0" xr:uid="{00000000-0006-0000-1300-00000D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A89" authorId="0" shapeId="0" xr:uid="{00000000-0006-0000-1300-000016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A125" authorId="1" shapeId="0" xr:uid="{00000000-0006-0000-1300-00001F000000}">
      <text>
        <r>
          <rPr>
            <sz val="10"/>
            <color rgb="FF000000"/>
            <rFont val="Arial"/>
          </rPr>
          <t>Tharindu Wickramaarachchi:
Upper boundary for the impact means that the point estimate of the OR should be lower</t>
        </r>
      </text>
    </comment>
    <comment ref="A142" authorId="0" shapeId="0" xr:uid="{00000000-0006-0000-1300-000020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</rPr>
          <t>Tharindu Wickramaarachchi:
All the values should be greater than 1 and above the point estimate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00000000-0006-0000-1600-000001000000}">
      <text>
        <r>
          <rPr>
            <sz val="10"/>
            <color rgb="FF000000"/>
            <rFont val="Arial"/>
          </rPr>
          <t>Nick Scott:
Checkley et al. Int J Epidemiol 2008.
The adjusted odds of stunting increased by 1.13 for every five episodes (95% CI 1.07-1.19)</t>
        </r>
      </text>
    </comment>
    <comment ref="B6" authorId="0" shapeId="0" xr:uid="{00000000-0006-0000-1600-000002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E6" authorId="1" shapeId="0" xr:uid="{00000000-0006-0000-1600-000003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F6" authorId="1" shapeId="0" xr:uid="{00000000-0006-0000-1600-000004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B7" authorId="0" shapeId="0" xr:uid="{00000000-0006-0000-1600-000005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7" authorId="1" shapeId="0" xr:uid="{00000000-0006-0000-1600-000006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F7" authorId="1" shapeId="0" xr:uid="{00000000-0006-0000-1600-000007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8" authorId="1" shapeId="0" xr:uid="{00000000-0006-0000-1600-000008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F8" authorId="1" shapeId="0" xr:uid="{00000000-0006-0000-1600-000009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9" authorId="0" shapeId="0" xr:uid="{00000000-0006-0000-1600-00000A000000}">
      <text>
        <r>
          <rPr>
            <sz val="10"/>
            <color rgb="FF000000"/>
            <rFont val="Arial"/>
          </rPr>
          <t xml:space="preserve">Nick Scott:
No statistically significant effect
Imdad et al 2023, RR prevalence of stunting 1.00 (0.94-1.07) 
Lassi et al 2020, incidence of stunting after 6 months RR 0.82 (0.65-1.03) 
Lassi et al 2020, LAZ 6 months SMD 0.06 (-0.07 to 0.19) 
Tam et al 2020, RR 1.00 (0.89-1.14)
</t>
        </r>
      </text>
    </comment>
    <comment ref="C12" authorId="0" shapeId="0" xr:uid="{00000000-0006-0000-1600-00000B000000}">
      <text>
        <r>
          <rPr>
            <sz val="10"/>
            <color rgb="FF000000"/>
            <rFont val="Arial"/>
          </rPr>
          <t>Nick Scott:
Impact on &lt;1 month not considered to avoid double counting with the mortality benefits for this age group</t>
        </r>
      </text>
    </comment>
    <comment ref="D12" authorId="1" shapeId="0" xr:uid="{00000000-0006-0000-1600-00000C000000}">
      <text>
        <r>
          <rPr>
            <sz val="10"/>
            <color rgb="FF000000"/>
            <rFont val="Arial"/>
          </rPr>
          <t>Tharindu Wickramaarachchi:
OR = 1.39 (1.11-1.74) for exclusive breastfeeding in children 1-6 months [Boundy et al. 2016, Pediatrics[66]]</t>
        </r>
      </text>
    </comment>
    <comment ref="C15" authorId="0" shapeId="0" xr:uid="{00000000-0006-0000-1600-00000D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16" authorId="0" shapeId="0" xr:uid="{00000000-0006-0000-1600-00000E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27" authorId="0" shapeId="0" xr:uid="{00000000-0006-0000-1600-00000F000000}">
      <text>
        <r>
          <rPr>
            <sz val="10"/>
            <color rgb="FF000000"/>
            <rFont val="Arial"/>
          </rPr>
          <t>Nick Scott:
Checkley et al. Int J Epidemiol 2008.
The adjusted odds of stunting increased by 1.13 for every five episodes (95% CI 1.07-1.19)</t>
        </r>
      </text>
    </comment>
    <comment ref="A28" authorId="1" shapeId="0" xr:uid="{00000000-0006-0000-1600-000010000000}">
      <text>
        <r>
          <rPr>
            <sz val="10"/>
            <color rgb="FF000000"/>
            <rFont val="Arial"/>
          </rPr>
          <t>Tharindu Wickramaarachchi:
Lower boundary means less effective compared with point estimate. Therefore, these ORs&lt;1 should be increased.</t>
        </r>
      </text>
    </comment>
    <comment ref="B29" authorId="0" shapeId="0" xr:uid="{00000000-0006-0000-1600-000011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30" authorId="0" shapeId="0" xr:uid="{00000000-0006-0000-1600-000012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30" authorId="1" shapeId="0" xr:uid="{00000000-0006-0000-1600-000013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31" authorId="1" shapeId="0" xr:uid="{00000000-0006-0000-1600-000014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A34" authorId="1" shapeId="0" xr:uid="{00000000-0006-0000-1600-000015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C35" authorId="0" shapeId="0" xr:uid="{00000000-0006-0000-1600-000016000000}">
      <text>
        <r>
          <rPr>
            <sz val="10"/>
            <color rgb="FF000000"/>
            <rFont val="Arial"/>
          </rPr>
          <t>Nick Scott:
Impact on &lt;1 month not considered to avoid double counting with the mortality benefits for this age group</t>
        </r>
      </text>
    </comment>
    <comment ref="A37" authorId="1" shapeId="0" xr:uid="{00000000-0006-0000-1600-000017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C38" authorId="0" shapeId="0" xr:uid="{00000000-0006-0000-1600-000018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39" authorId="0" shapeId="0" xr:uid="{00000000-0006-0000-1600-000019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B44" authorId="1" shapeId="0" xr:uid="{00000000-0006-0000-1600-00001A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C50" authorId="0" shapeId="0" xr:uid="{00000000-0006-0000-1600-00001B000000}">
      <text>
        <r>
          <rPr>
            <sz val="10"/>
            <color rgb="FF000000"/>
            <rFont val="Arial"/>
          </rPr>
          <t>Nick Scott:
Checkley et al. Int J Epidemiol 2008.
The adjusted odds of stunting increased by 1.13 for every five episodes (95% CI 1.07-1.19)</t>
        </r>
      </text>
    </comment>
    <comment ref="A51" authorId="1" shapeId="0" xr:uid="{00000000-0006-0000-1600-00001C000000}">
      <text>
        <r>
          <rPr>
            <sz val="10"/>
            <color rgb="FF000000"/>
            <rFont val="Arial"/>
          </rPr>
          <t>Tharindu Wickramaarachchi:
ORs which point estimate = 1 should stay the same, ORs with point estimate &lt;1 should be decreased as we expect higher impact</t>
        </r>
      </text>
    </comment>
    <comment ref="B52" authorId="0" shapeId="0" xr:uid="{00000000-0006-0000-1600-00001D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53" authorId="0" shapeId="0" xr:uid="{00000000-0006-0000-1600-00001E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53" authorId="1" shapeId="0" xr:uid="{00000000-0006-0000-1600-00001F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54" authorId="1" shapeId="0" xr:uid="{00000000-0006-0000-1600-000020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C58" authorId="0" shapeId="0" xr:uid="{00000000-0006-0000-1600-000021000000}">
      <text>
        <r>
          <rPr>
            <sz val="10"/>
            <color rgb="FF000000"/>
            <rFont val="Arial"/>
          </rPr>
          <t>Nick Scott:
Impact on &lt;1 month not considered to avoid double counting with the mortality benefits for this age group</t>
        </r>
      </text>
    </comment>
    <comment ref="C61" authorId="0" shapeId="0" xr:uid="{00000000-0006-0000-1600-000022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62" authorId="0" shapeId="0" xr:uid="{00000000-0006-0000-1600-000023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C2" authorId="0" shapeId="0" xr:uid="{00000000-0006-0000-1700-000001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D2" authorId="0" shapeId="0" xr:uid="{00000000-0006-0000-1700-000002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C4" authorId="0" shapeId="0" xr:uid="{00000000-0006-0000-1700-000003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4" authorId="0" shapeId="0" xr:uid="{00000000-0006-0000-1700-000004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6" authorId="0" shapeId="0" xr:uid="{00000000-0006-0000-1700-000005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6" authorId="0" shapeId="0" xr:uid="{00000000-0006-0000-1700-000006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8" authorId="0" shapeId="0" xr:uid="{00000000-0006-0000-1700-000007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8" authorId="0" shapeId="0" xr:uid="{00000000-0006-0000-1700-000008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0" authorId="0" shapeId="0" xr:uid="{00000000-0006-0000-1700-000009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10" authorId="0" shapeId="0" xr:uid="{00000000-0006-0000-1700-00000A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2" authorId="0" shapeId="0" xr:uid="{00000000-0006-0000-1700-00000B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D12" authorId="0" shapeId="0" xr:uid="{00000000-0006-0000-1700-00000C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C17" authorId="0" shapeId="0" xr:uid="{00000000-0006-0000-1700-00000D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17" authorId="0" shapeId="0" xr:uid="{00000000-0006-0000-1700-00000E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19" authorId="0" shapeId="0" xr:uid="{00000000-0006-0000-1700-00000F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19" authorId="0" shapeId="0" xr:uid="{00000000-0006-0000-1700-000010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1" authorId="0" shapeId="0" xr:uid="{00000000-0006-0000-1700-000011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21" authorId="0" shapeId="0" xr:uid="{00000000-0006-0000-1700-000012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3" authorId="0" shapeId="0" xr:uid="{00000000-0006-0000-1700-000013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3" authorId="0" shapeId="0" xr:uid="{00000000-0006-0000-1700-000014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5" authorId="0" shapeId="0" xr:uid="{00000000-0006-0000-1700-000015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5" authorId="0" shapeId="0" xr:uid="{00000000-0006-0000-1700-000016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7" authorId="0" shapeId="0" xr:uid="{00000000-0006-0000-1700-000017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27" authorId="0" shapeId="0" xr:uid="{00000000-0006-0000-1700-000018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C32" authorId="0" shapeId="0" xr:uid="{00000000-0006-0000-1700-000019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32" authorId="0" shapeId="0" xr:uid="{00000000-0006-0000-1700-00001A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34" authorId="0" shapeId="0" xr:uid="{00000000-0006-0000-1700-00001B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4" authorId="0" shapeId="0" xr:uid="{00000000-0006-0000-1700-00001C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6" authorId="0" shapeId="0" xr:uid="{00000000-0006-0000-1700-00001D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6" authorId="0" shapeId="0" xr:uid="{00000000-0006-0000-1700-00001E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8" authorId="0" shapeId="0" xr:uid="{00000000-0006-0000-1700-00001F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38" authorId="0" shapeId="0" xr:uid="{00000000-0006-0000-1700-000020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0" authorId="0" shapeId="0" xr:uid="{00000000-0006-0000-1700-000021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40" authorId="0" shapeId="0" xr:uid="{00000000-0006-0000-1700-000022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2" authorId="0" shapeId="0" xr:uid="{00000000-0006-0000-1700-000023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42" authorId="0" shapeId="0" xr:uid="{00000000-0006-0000-1700-000024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D3" authorId="0" shapeId="0" xr:uid="{00000000-0006-0000-1800-000002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E3" authorId="0" shapeId="0" xr:uid="{00000000-0006-0000-1800-000003000000}">
      <text>
        <r>
          <rPr>
            <sz val="10"/>
            <color rgb="FF000000"/>
            <rFont val="Arial"/>
          </rPr>
          <t>Tharindu Wickramaarachchi:
Zhao et al 2019, 6-12 months, RR 0.92 (0.87-0.99 )</t>
        </r>
      </text>
    </comment>
    <comment ref="H4" authorId="0" shapeId="0" xr:uid="{00000000-0006-0000-1800-000004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5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6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7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8" authorId="0" shapeId="0" xr:uid="{00000000-0006-0000-1800-00000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8" authorId="0" shapeId="0" xr:uid="{00000000-0006-0000-1800-00000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8" authorId="0" shapeId="0" xr:uid="{00000000-0006-0000-1800-00000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9" authorId="0" shapeId="0" xr:uid="{00000000-0006-0000-1800-00000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9" authorId="0" shapeId="0" xr:uid="{00000000-0006-0000-1800-00000D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9" authorId="0" shapeId="0" xr:uid="{00000000-0006-0000-1800-00000E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9" authorId="0" shapeId="0" xr:uid="{00000000-0006-0000-1800-00000F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10" authorId="0" shapeId="0" xr:uid="{00000000-0006-0000-1800-000010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10" authorId="0" shapeId="0" xr:uid="{00000000-0006-0000-1800-000011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10" authorId="0" shapeId="0" xr:uid="{00000000-0006-0000-1800-000012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10" authorId="0" shapeId="0" xr:uid="{00000000-0006-0000-1800-000013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E11" authorId="1" shapeId="0" xr:uid="{00000000-0006-0000-1800-000014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F11" authorId="1" shapeId="0" xr:uid="{00000000-0006-0000-1800-000015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C12" authorId="0" shapeId="0" xr:uid="{00000000-0006-0000-1800-00001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2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2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3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13" authorId="0" shapeId="0" xr:uid="{00000000-0006-0000-1800-000024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13" authorId="0" shapeId="0" xr:uid="{00000000-0006-0000-1800-000025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L14" authorId="1" shapeId="0" xr:uid="{00000000-0006-0000-1800-000026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7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8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9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A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B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C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F18" authorId="0" shapeId="0" xr:uid="{00000000-0006-0000-1800-00002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G18" authorId="0" shapeId="0" xr:uid="{00000000-0006-0000-1800-00002E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H18" authorId="0" shapeId="0" xr:uid="{00000000-0006-0000-1800-00002F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I18" authorId="0" shapeId="0" xr:uid="{00000000-0006-0000-1800-000030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J18" authorId="0" shapeId="0" xr:uid="{00000000-0006-0000-1800-000031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K18" authorId="0" shapeId="0" xr:uid="{00000000-0006-0000-1800-000032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L18" authorId="0" shapeId="0" xr:uid="{00000000-0006-0000-1800-00003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M18" authorId="0" shapeId="0" xr:uid="{00000000-0006-0000-1800-000034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N18" authorId="0" shapeId="0" xr:uid="{00000000-0006-0000-1800-000035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O18" authorId="0" shapeId="0" xr:uid="{00000000-0006-0000-1800-000036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19" authorId="0" shapeId="0" xr:uid="{00000000-0006-0000-1800-000037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20" authorId="0" shapeId="0" xr:uid="{00000000-0006-0000-1800-000038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F20" authorId="0" shapeId="0" xr:uid="{00000000-0006-0000-1800-000039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G20" authorId="0" shapeId="0" xr:uid="{00000000-0006-0000-1800-00003A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H20" authorId="0" shapeId="0" xr:uid="{00000000-0006-0000-1800-00003B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I20" authorId="0" shapeId="0" xr:uid="{00000000-0006-0000-1800-00003C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J20" authorId="0" shapeId="0" xr:uid="{00000000-0006-0000-1800-00003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K20" authorId="0" shapeId="0" xr:uid="{00000000-0006-0000-1800-00003E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L20" authorId="0" shapeId="0" xr:uid="{00000000-0006-0000-1800-00003F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M20" authorId="0" shapeId="0" xr:uid="{00000000-0006-0000-1800-000040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N20" authorId="0" shapeId="0" xr:uid="{00000000-0006-0000-1800-000041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O20" authorId="0" shapeId="0" xr:uid="{00000000-0006-0000-1800-000042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21" authorId="0" shapeId="0" xr:uid="{00000000-0006-0000-1800-00004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A25" authorId="0" shapeId="0" xr:uid="{00000000-0006-0000-1800-000044000000}">
      <text>
        <r>
          <rPr>
            <sz val="10"/>
            <color rgb="FF000000"/>
            <rFont val="Arial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5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D26" authorId="0" shapeId="0" xr:uid="{00000000-0006-0000-1800-000046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E26" authorId="0" shapeId="0" xr:uid="{00000000-0006-0000-1800-000047000000}">
      <text>
        <r>
          <rPr>
            <sz val="10"/>
            <color rgb="FF000000"/>
            <rFont val="Arial"/>
          </rPr>
          <t>Tharindu Wickramaarachchi:
Zhao et al 2019, 6-12 months, RR 0.92 (0.87-0.99 )</t>
        </r>
      </text>
    </comment>
    <comment ref="H27" authorId="0" shapeId="0" xr:uid="{00000000-0006-0000-1800-000048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9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A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B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1" authorId="0" shapeId="0" xr:uid="{00000000-0006-0000-1800-00004D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1" authorId="0" shapeId="0" xr:uid="{00000000-0006-0000-1800-00004E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1" authorId="0" shapeId="0" xr:uid="{00000000-0006-0000-1800-00004F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2" authorId="0" shapeId="0" xr:uid="{00000000-0006-0000-1800-000050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2" authorId="0" shapeId="0" xr:uid="{00000000-0006-0000-1800-000051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2" authorId="0" shapeId="0" xr:uid="{00000000-0006-0000-1800-000052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2" authorId="0" shapeId="0" xr:uid="{00000000-0006-0000-1800-000053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3" authorId="0" shapeId="0" xr:uid="{00000000-0006-0000-1800-000054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33" authorId="0" shapeId="0" xr:uid="{00000000-0006-0000-1800-000055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33" authorId="0" shapeId="0" xr:uid="{00000000-0006-0000-1800-000056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33" authorId="0" shapeId="0" xr:uid="{00000000-0006-0000-1800-000057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35" authorId="0" shapeId="0" xr:uid="{00000000-0006-0000-1800-00005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6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6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6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6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5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36" authorId="0" shapeId="0" xr:uid="{00000000-0006-0000-1800-000066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36" authorId="0" shapeId="0" xr:uid="{00000000-0006-0000-1800-000067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38" authorId="0" shapeId="0" xr:uid="{00000000-0006-0000-1800-000068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9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A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2" authorId="0" shapeId="0" xr:uid="{00000000-0006-0000-1800-00006B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3" authorId="0" shapeId="0" xr:uid="{00000000-0006-0000-1800-00006C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4" authorId="0" shapeId="0" xr:uid="{00000000-0006-0000-1800-00006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C49" authorId="0" shapeId="0" xr:uid="{00000000-0006-0000-1800-00006E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D49" authorId="0" shapeId="0" xr:uid="{00000000-0006-0000-1800-00006F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E49" authorId="0" shapeId="0" xr:uid="{00000000-0006-0000-1800-000070000000}">
      <text>
        <r>
          <rPr>
            <sz val="10"/>
            <color rgb="FF000000"/>
            <rFont val="Arial"/>
          </rPr>
          <t>Tharindu Wickramaarachchi:
Zhao et al 2019, 6-12 months, RR 0.92 (0.87-0.99 )</t>
        </r>
      </text>
    </comment>
    <comment ref="H50" authorId="0" shapeId="0" xr:uid="{00000000-0006-0000-1800-00007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7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7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74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75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6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7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8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9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A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B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C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D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E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F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8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81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4" authorId="0" shapeId="0" xr:uid="{00000000-0006-0000-1800-000082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4" authorId="0" shapeId="0" xr:uid="{00000000-0006-0000-1800-000083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4" authorId="0" shapeId="0" xr:uid="{00000000-0006-0000-1800-000084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5" authorId="0" shapeId="0" xr:uid="{00000000-0006-0000-1800-000085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5" authorId="0" shapeId="0" xr:uid="{00000000-0006-0000-1800-00008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5" authorId="0" shapeId="0" xr:uid="{00000000-0006-0000-1800-00008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5" authorId="0" shapeId="0" xr:uid="{00000000-0006-0000-1800-00008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6" authorId="0" shapeId="0" xr:uid="{00000000-0006-0000-1800-000089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56" authorId="0" shapeId="0" xr:uid="{00000000-0006-0000-1800-00008A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56" authorId="0" shapeId="0" xr:uid="{00000000-0006-0000-1800-00008B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56" authorId="0" shapeId="0" xr:uid="{00000000-0006-0000-1800-00008C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58" authorId="0" shapeId="0" xr:uid="{00000000-0006-0000-1800-00008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9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9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9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9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9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9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A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59" authorId="0" shapeId="0" xr:uid="{00000000-0006-0000-1800-00009B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59" authorId="0" shapeId="0" xr:uid="{00000000-0006-0000-1800-00009C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61" authorId="0" shapeId="0" xr:uid="{00000000-0006-0000-1800-00009D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E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F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5" authorId="0" shapeId="0" xr:uid="{00000000-0006-0000-1800-0000A0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6" authorId="0" shapeId="0" xr:uid="{00000000-0006-0000-1800-0000A1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7" authorId="0" shapeId="0" xr:uid="{00000000-0006-0000-1800-0000A2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0000000-0006-0000-1A00-000001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3" authorId="0" shapeId="0" xr:uid="{00000000-0006-0000-1A00-000002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3" authorId="0" shapeId="0" xr:uid="{00000000-0006-0000-1A00-000003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4" authorId="0" shapeId="0" xr:uid="{00000000-0006-0000-1A00-000004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4" authorId="0" shapeId="0" xr:uid="{00000000-0006-0000-1A00-000005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4" authorId="0" shapeId="0" xr:uid="{00000000-0006-0000-1A00-000006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" authorId="1" shapeId="0" xr:uid="{00000000-0006-0000-1A00-000007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" authorId="1" shapeId="0" xr:uid="{00000000-0006-0000-1A00-000008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8" authorId="1" shapeId="0" xr:uid="{00000000-0006-0000-1A00-000009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8" authorId="1" shapeId="0" xr:uid="{00000000-0006-0000-1A00-00000A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0" authorId="1" shapeId="0" xr:uid="{00000000-0006-0000-1A00-00000B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0" authorId="1" shapeId="0" xr:uid="{00000000-0006-0000-1A00-00000C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" authorId="1" shapeId="0" xr:uid="{00000000-0006-0000-1A00-00000D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" authorId="1" shapeId="0" xr:uid="{00000000-0006-0000-1A00-00000E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4" authorId="0" shapeId="0" xr:uid="{00000000-0006-0000-1A00-00000F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4" authorId="0" shapeId="0" xr:uid="{00000000-0006-0000-1A00-000010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6" authorId="0" shapeId="0" xr:uid="{00000000-0006-0000-1A00-000011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6" authorId="0" shapeId="0" xr:uid="{00000000-0006-0000-1A00-000012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8" authorId="1" shapeId="0" xr:uid="{00000000-0006-0000-1A00-000013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20" authorId="1" shapeId="0" xr:uid="{00000000-0006-0000-1A00-000014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22" authorId="0" shapeId="0" xr:uid="{00000000-0006-0000-1A00-000015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00000000-0006-0000-1A00-000016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00000000-0006-0000-1A00-000017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1" shapeId="0" xr:uid="{00000000-0006-0000-1A00-000018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28" authorId="1" shapeId="0" xr:uid="{00000000-0006-0000-1A00-000019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28" authorId="1" shapeId="0" xr:uid="{00000000-0006-0000-1A00-00001A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28" authorId="1" shapeId="0" xr:uid="{00000000-0006-0000-1A00-00001B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28" authorId="1" shapeId="0" xr:uid="{00000000-0006-0000-1A00-00001C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3" authorId="0" shapeId="0" xr:uid="{00000000-0006-0000-1A00-00001D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E43" authorId="0" shapeId="0" xr:uid="{00000000-0006-0000-1A00-00001E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F43" authorId="0" shapeId="0" xr:uid="{00000000-0006-0000-1A00-00001F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G43" authorId="0" shapeId="0" xr:uid="{00000000-0006-0000-1A00-000020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H43" authorId="0" shapeId="0" xr:uid="{00000000-0006-0000-1A00-000021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D44" authorId="0" shapeId="0" xr:uid="{00000000-0006-0000-1A00-00002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44" authorId="0" shapeId="0" xr:uid="{00000000-0006-0000-1A00-00002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44" authorId="0" shapeId="0" xr:uid="{00000000-0006-0000-1A00-00002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44" authorId="0" shapeId="0" xr:uid="{00000000-0006-0000-1A00-00002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44" authorId="0" shapeId="0" xr:uid="{00000000-0006-0000-1A00-000026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47" authorId="0" shapeId="0" xr:uid="{00000000-0006-0000-1A00-00002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47" authorId="0" shapeId="0" xr:uid="{00000000-0006-0000-1A00-00002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47" authorId="0" shapeId="0" xr:uid="{00000000-0006-0000-1A00-00002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47" authorId="0" shapeId="0" xr:uid="{00000000-0006-0000-1A00-00002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47" authorId="0" shapeId="0" xr:uid="{00000000-0006-0000-1A00-00002B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49" authorId="0" shapeId="0" xr:uid="{00000000-0006-0000-1A00-00002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00000000-0006-0000-1A00-00002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00000000-0006-0000-1A00-00002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00000000-0006-0000-1A00-00002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00000000-0006-0000-1A00-000030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00000000-0006-0000-1A00-00003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51" authorId="0" shapeId="0" xr:uid="{00000000-0006-0000-1A00-00003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51" authorId="0" shapeId="0" xr:uid="{00000000-0006-0000-1A00-00003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51" authorId="0" shapeId="0" xr:uid="{00000000-0006-0000-1A00-00003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51" authorId="0" shapeId="0" xr:uid="{00000000-0006-0000-1A00-000035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53" authorId="1" shapeId="0" xr:uid="{00000000-0006-0000-1A00-000036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58" authorId="0" shapeId="0" xr:uid="{00000000-0006-0000-1A00-000037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58" authorId="0" shapeId="0" xr:uid="{00000000-0006-0000-1A00-00003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58" authorId="0" shapeId="0" xr:uid="{00000000-0006-0000-1A00-000039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59" authorId="0" shapeId="0" xr:uid="{00000000-0006-0000-1A00-00003A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59" authorId="0" shapeId="0" xr:uid="{00000000-0006-0000-1A00-00003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59" authorId="0" shapeId="0" xr:uid="{00000000-0006-0000-1A00-00003C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1" authorId="1" shapeId="0" xr:uid="{00000000-0006-0000-1A00-00003D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1" authorId="1" shapeId="0" xr:uid="{00000000-0006-0000-1A00-00003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3" authorId="1" shapeId="0" xr:uid="{00000000-0006-0000-1A00-00003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3" authorId="1" shapeId="0" xr:uid="{00000000-0006-0000-1A00-000040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5" authorId="1" shapeId="0" xr:uid="{00000000-0006-0000-1A00-000041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5" authorId="1" shapeId="0" xr:uid="{00000000-0006-0000-1A00-00004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7" authorId="1" shapeId="0" xr:uid="{00000000-0006-0000-1A00-00004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7" authorId="1" shapeId="0" xr:uid="{00000000-0006-0000-1A00-000044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9" authorId="0" shapeId="0" xr:uid="{00000000-0006-0000-1A00-000045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69" authorId="0" shapeId="0" xr:uid="{00000000-0006-0000-1A00-000046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71" authorId="0" shapeId="0" xr:uid="{00000000-0006-0000-1A00-000047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71" authorId="0" shapeId="0" xr:uid="{00000000-0006-0000-1A00-000048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73" authorId="1" shapeId="0" xr:uid="{00000000-0006-0000-1A00-000049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5" authorId="1" shapeId="0" xr:uid="{00000000-0006-0000-1A00-00004A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77" authorId="0" shapeId="0" xr:uid="{00000000-0006-0000-1A00-00004B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00000000-0006-0000-1A00-00004C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00000000-0006-0000-1A00-00004D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1" shapeId="0" xr:uid="{00000000-0006-0000-1A00-00004E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3" authorId="1" shapeId="0" xr:uid="{00000000-0006-0000-1A00-00004F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3" authorId="1" shapeId="0" xr:uid="{00000000-0006-0000-1A00-000050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3" authorId="1" shapeId="0" xr:uid="{00000000-0006-0000-1A00-000051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3" authorId="1" shapeId="0" xr:uid="{00000000-0006-0000-1A00-000052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99" authorId="0" shapeId="0" xr:uid="{00000000-0006-0000-1A00-00005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99" authorId="0" shapeId="0" xr:uid="{00000000-0006-0000-1A00-00005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99" authorId="0" shapeId="0" xr:uid="{00000000-0006-0000-1A00-00005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99" authorId="0" shapeId="0" xr:uid="{00000000-0006-0000-1A00-000056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99" authorId="0" shapeId="0" xr:uid="{00000000-0006-0000-1A00-000057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02" authorId="0" shapeId="0" xr:uid="{00000000-0006-0000-1A00-00005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02" authorId="0" shapeId="0" xr:uid="{00000000-0006-0000-1A00-00005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02" authorId="0" shapeId="0" xr:uid="{00000000-0006-0000-1A00-00005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02" authorId="0" shapeId="0" xr:uid="{00000000-0006-0000-1A00-00005B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02" authorId="0" shapeId="0" xr:uid="{00000000-0006-0000-1A00-00005C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04" authorId="0" shapeId="0" xr:uid="{00000000-0006-0000-1A00-00005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00000000-0006-0000-1A00-00005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00000000-0006-0000-1A00-00005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00000000-0006-0000-1A00-000060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00000000-0006-0000-1A00-000061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00000000-0006-0000-1A00-00006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06" authorId="0" shapeId="0" xr:uid="{00000000-0006-0000-1A00-00006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06" authorId="0" shapeId="0" xr:uid="{00000000-0006-0000-1A00-00006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06" authorId="0" shapeId="0" xr:uid="{00000000-0006-0000-1A00-000065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06" authorId="0" shapeId="0" xr:uid="{00000000-0006-0000-1A00-000066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08" authorId="1" shapeId="0" xr:uid="{00000000-0006-0000-1A00-000067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113" authorId="0" shapeId="0" xr:uid="{00000000-0006-0000-1A00-00006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113" authorId="0" shapeId="0" xr:uid="{00000000-0006-0000-1A00-000069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113" authorId="0" shapeId="0" xr:uid="{00000000-0006-0000-1A00-00006A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114" authorId="0" shapeId="0" xr:uid="{00000000-0006-0000-1A00-00006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114" authorId="0" shapeId="0" xr:uid="{00000000-0006-0000-1A00-00006C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114" authorId="0" shapeId="0" xr:uid="{00000000-0006-0000-1A00-00006D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116" authorId="1" shapeId="0" xr:uid="{00000000-0006-0000-1A00-00006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6" authorId="1" shapeId="0" xr:uid="{00000000-0006-0000-1A00-00006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18" authorId="1" shapeId="0" xr:uid="{00000000-0006-0000-1A00-000070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8" authorId="1" shapeId="0" xr:uid="{00000000-0006-0000-1A00-000071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20" authorId="1" shapeId="0" xr:uid="{00000000-0006-0000-1A00-00007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0" authorId="1" shapeId="0" xr:uid="{00000000-0006-0000-1A00-00007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2" authorId="1" shapeId="0" xr:uid="{00000000-0006-0000-1A00-000074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2" authorId="1" shapeId="0" xr:uid="{00000000-0006-0000-1A00-000075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4" authorId="0" shapeId="0" xr:uid="{00000000-0006-0000-1A00-000076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24" authorId="0" shapeId="0" xr:uid="{00000000-0006-0000-1A00-000077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26" authorId="0" shapeId="0" xr:uid="{00000000-0006-0000-1A00-000078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26" authorId="0" shapeId="0" xr:uid="{00000000-0006-0000-1A00-000079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28" authorId="1" shapeId="0" xr:uid="{00000000-0006-0000-1A00-00007A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0" authorId="1" shapeId="0" xr:uid="{00000000-0006-0000-1A00-00007B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2" authorId="0" shapeId="0" xr:uid="{00000000-0006-0000-1A00-00007C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00000000-0006-0000-1A00-00007D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00000000-0006-0000-1A00-00007E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8" authorId="1" shapeId="0" xr:uid="{00000000-0006-0000-1A00-00007F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38" authorId="1" shapeId="0" xr:uid="{00000000-0006-0000-1A00-000080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38" authorId="1" shapeId="0" xr:uid="{00000000-0006-0000-1A00-000081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38" authorId="1" shapeId="0" xr:uid="{00000000-0006-0000-1A00-000082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38" authorId="1" shapeId="0" xr:uid="{00000000-0006-0000-1A00-000083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54" authorId="0" shapeId="0" xr:uid="{00000000-0006-0000-1A00-00008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154" authorId="0" shapeId="0" xr:uid="{00000000-0006-0000-1A00-00008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154" authorId="0" shapeId="0" xr:uid="{00000000-0006-0000-1A00-000086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154" authorId="0" shapeId="0" xr:uid="{00000000-0006-0000-1A00-000087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154" authorId="0" shapeId="0" xr:uid="{00000000-0006-0000-1A00-000088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57" authorId="0" shapeId="0" xr:uid="{00000000-0006-0000-1A00-00008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57" authorId="0" shapeId="0" xr:uid="{00000000-0006-0000-1A00-00008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57" authorId="0" shapeId="0" xr:uid="{00000000-0006-0000-1A00-00008B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57" authorId="0" shapeId="0" xr:uid="{00000000-0006-0000-1A00-00008C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57" authorId="0" shapeId="0" xr:uid="{00000000-0006-0000-1A00-00008D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59" authorId="0" shapeId="0" xr:uid="{00000000-0006-0000-1A00-00008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00000000-0006-0000-1A00-00008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00000000-0006-0000-1A00-000090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00000000-0006-0000-1A00-000091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00000000-0006-0000-1A00-000092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00000000-0006-0000-1A00-00009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61" authorId="0" shapeId="0" xr:uid="{00000000-0006-0000-1A00-00009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61" authorId="0" shapeId="0" xr:uid="{00000000-0006-0000-1A00-000095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61" authorId="0" shapeId="0" xr:uid="{00000000-0006-0000-1A00-000096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61" authorId="0" shapeId="0" xr:uid="{00000000-0006-0000-1A00-000097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63" authorId="1" shapeId="0" xr:uid="{00000000-0006-0000-1A00-000098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2" authorId="0" shapeId="0" xr:uid="{00000000-0006-0000-1B00-000001000000}">
      <text>
        <r>
          <rPr>
            <sz val="10"/>
            <color rgb="FF000000"/>
            <rFont val="Arial"/>
          </rPr>
          <t>Nick Scott:
Note: Ca supplementation impacts preterm birth, not curretly captured in the model Hofmeyr et al 2023, RR 0.76 (0.60-0.97), all women</t>
        </r>
      </text>
    </comment>
    <comment ref="D3" authorId="1" shapeId="0" xr:uid="{00000000-0006-0000-1B00-000002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E3" authorId="1" shapeId="0" xr:uid="{00000000-0006-0000-1B00-000003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F3" authorId="1" shapeId="0" xr:uid="{00000000-0006-0000-1B00-000004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G3" authorId="1" shapeId="0" xr:uid="{00000000-0006-0000-1B00-000005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D5" authorId="1" shapeId="0" xr:uid="{00000000-0006-0000-1B00-000006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5" authorId="1" shapeId="0" xr:uid="{00000000-0006-0000-1B00-000007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5" authorId="1" shapeId="0" xr:uid="{00000000-0006-0000-1B00-000008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5" authorId="1" shapeId="0" xr:uid="{00000000-0006-0000-1B00-000009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7" authorId="1" shapeId="0" xr:uid="{00000000-0006-0000-1B00-00000A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7" authorId="1" shapeId="0" xr:uid="{00000000-0006-0000-1B00-00000B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7" authorId="1" shapeId="0" xr:uid="{00000000-0006-0000-1B00-00000C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7" authorId="1" shapeId="0" xr:uid="{00000000-0006-0000-1B00-00000D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12" authorId="1" shapeId="0" xr:uid="{00000000-0006-0000-1B00-00000E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12" authorId="1" shapeId="0" xr:uid="{00000000-0006-0000-1B00-00000F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12" authorId="1" shapeId="0" xr:uid="{00000000-0006-0000-1B00-000010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12" authorId="1" shapeId="0" xr:uid="{00000000-0006-0000-1B00-00001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21" authorId="1" shapeId="0" xr:uid="{00000000-0006-0000-1B00-00001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21" authorId="1" shapeId="0" xr:uid="{00000000-0006-0000-1B00-00001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21" authorId="1" shapeId="0" xr:uid="{00000000-0006-0000-1B00-00001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21" authorId="1" shapeId="0" xr:uid="{00000000-0006-0000-1B00-000015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<sst xmlns="http://schemas.openxmlformats.org/spreadsheetml/2006/main" count="2101" uniqueCount="337">
  <si>
    <t>Field</t>
  </si>
  <si>
    <t>Causes</t>
  </si>
  <si>
    <t>Sepsis</t>
  </si>
  <si>
    <t>Population</t>
  </si>
  <si>
    <t>Type</t>
  </si>
  <si>
    <t>x</t>
  </si>
  <si>
    <t>Extension</t>
  </si>
  <si>
    <t>Condition</t>
  </si>
  <si>
    <t>Distribution</t>
  </si>
  <si>
    <t>Implant</t>
  </si>
  <si>
    <t>Normal</t>
  </si>
  <si>
    <t>N/A</t>
  </si>
  <si>
    <t>Outcome</t>
  </si>
  <si>
    <t>Données de l'année de référence</t>
  </si>
  <si>
    <t>Années de projection</t>
  </si>
  <si>
    <t>Année de référence (première année de la projection)</t>
  </si>
  <si>
    <t>Année finale</t>
  </si>
  <si>
    <t>Données démographiques</t>
  </si>
  <si>
    <t>Population des enfants de moins de 5 ans</t>
  </si>
  <si>
    <t>Pourcentage de la population en situation d'insécurité alimentaire (pauvre par défaut)</t>
  </si>
  <si>
    <t>Pourcentage de la population exposé au risque de paludisme</t>
  </si>
  <si>
    <t>Fréquentation scolaire (pourcentage des femmes de 15 à 19 ans)</t>
  </si>
  <si>
    <t>Pourcentage des femmes enceintes fréquentant un établissement de santé</t>
  </si>
  <si>
    <t>Pourcentage des enfants fréquentant un établissement de santé</t>
  </si>
  <si>
    <t>Besoin non satisfait pour la planification familiale</t>
  </si>
  <si>
    <t>Alimentation</t>
  </si>
  <si>
    <t>Fraction de l'agriculture de subsistance</t>
  </si>
  <si>
    <t>Fraction qui mange du riz comme denrée de base principale</t>
  </si>
  <si>
    <t>Fraction qui mange du blé comme denrée de base principale</t>
  </si>
  <si>
    <t>Fraction qui mange du maïs comme denrée de base principale</t>
  </si>
  <si>
    <t>Fraction qui consomme d'autres denrées de base comme denrée de base principale</t>
  </si>
  <si>
    <t>Répartition par âge des femmes enceintes</t>
  </si>
  <si>
    <t>Pourcentage des femmes enceintes âgées de 15 à 19 ans</t>
  </si>
  <si>
    <t>Pourcentage des femmes enceintes âgées de 20 à 29 ans</t>
  </si>
  <si>
    <t>Pourcentage des femmes enceintes âgées de 30 à 39 ans</t>
  </si>
  <si>
    <t>Pourcentage des femmes enceintes âgées de 40 à 49 ans</t>
  </si>
  <si>
    <t>Espacement des naissances</t>
  </si>
  <si>
    <t>Première naissance</t>
  </si>
  <si>
    <t>moins de 18 mois</t>
  </si>
  <si>
    <t>18 à 23 mois</t>
  </si>
  <si>
    <t>24 mois ou plus</t>
  </si>
  <si>
    <t>Total (doit être 100%)</t>
  </si>
  <si>
    <t>Mortalité et facteurs de risque de l'année de référence</t>
  </si>
  <si>
    <t>Mortalité</t>
  </si>
  <si>
    <t>Mortalité néonatale (pour 1 000 naissances vivantes)</t>
  </si>
  <si>
    <t>Mortalité infantile (pour 1 000 naissances vivantes)</t>
  </si>
  <si>
    <t>Mortalité des moins de 5 ans (pour 1 000 naissances vivantes)</t>
  </si>
  <si>
    <t>Mortalité maternelle (pour 1 000 naissances vivantes)</t>
  </si>
  <si>
    <t>Fraction des grossesses se terminant par un avortement spontané</t>
  </si>
  <si>
    <t>Mortinatalité (pour 1 000 naissances totales)</t>
  </si>
  <si>
    <t>Distribution des résultats des naissances</t>
  </si>
  <si>
    <t>SGA prématuré</t>
  </si>
  <si>
    <t>AGA prématuré</t>
  </si>
  <si>
    <t>SGA à terme</t>
  </si>
  <si>
    <t>AGA à terme</t>
  </si>
  <si>
    <t>Incidence de la diarrhée</t>
  </si>
  <si>
    <t>Nombre moyen d'épisodes par an: &lt;1 mois</t>
  </si>
  <si>
    <t>Nombre moyen d'épisodes par an: 1-5 mois</t>
  </si>
  <si>
    <t>Nombre moyen d'épisodes par an: 6-11 mois</t>
  </si>
  <si>
    <t>Nombre moyen d'épisodes par an: 12-23 mois</t>
  </si>
  <si>
    <t>Nombre moyen d'épisodes par an: 24-59 mois</t>
  </si>
  <si>
    <t>Autres risques</t>
  </si>
  <si>
    <t>Pourcentage de la diarrhée qui est aiguë</t>
  </si>
  <si>
    <t>Pourcentage de l'anémie qui est ferriprive</t>
  </si>
  <si>
    <t>Prévalence de la pré-éclampsie</t>
  </si>
  <si>
    <t>Prévalence de l'éclampsie</t>
  </si>
  <si>
    <t>Données</t>
  </si>
  <si>
    <t>Insuffisance pondérale à la naissance</t>
  </si>
  <si>
    <t>Nombre de naissances</t>
  </si>
  <si>
    <t>FAP: 15-19 ans</t>
  </si>
  <si>
    <t>FAP: 20-29 ans</t>
  </si>
  <si>
    <t>FAP: 30-39 ans</t>
  </si>
  <si>
    <t>FAP: 40-49 ans</t>
  </si>
  <si>
    <t>Total FAP</t>
  </si>
  <si>
    <t>Estimation des femmes enceintes</t>
  </si>
  <si>
    <t>FAP non enceintes</t>
  </si>
  <si>
    <t>année</t>
  </si>
  <si>
    <t>Néonatal</t>
  </si>
  <si>
    <t>Diarrhée néonatale</t>
  </si>
  <si>
    <t>Sepsis néonatal</t>
  </si>
  <si>
    <t>Pneumonie néonatale</t>
  </si>
  <si>
    <t>Asphyxie néonatale</t>
  </si>
  <si>
    <t>Prématurité néonatale</t>
  </si>
  <si>
    <t>Tétanos néonatal</t>
  </si>
  <si>
    <t>Anomalies congénitales néonatales</t>
  </si>
  <si>
    <t>Autres pathologies néonatales</t>
  </si>
  <si>
    <t>Enfants</t>
  </si>
  <si>
    <t>Diarrhée</t>
  </si>
  <si>
    <t>Pneumonie</t>
  </si>
  <si>
    <t>Méningite</t>
  </si>
  <si>
    <t>Rougeole</t>
  </si>
  <si>
    <t>Paludisme</t>
  </si>
  <si>
    <t>Coqueluche</t>
  </si>
  <si>
    <t>SIDA</t>
  </si>
  <si>
    <t>Blessure</t>
  </si>
  <si>
    <t>Autre</t>
  </si>
  <si>
    <t>1-5 mois</t>
  </si>
  <si>
    <t>6-11 mois</t>
  </si>
  <si>
    <t>12-23 mois</t>
  </si>
  <si>
    <t>24-59 mois</t>
  </si>
  <si>
    <t>Femmes enceintes</t>
  </si>
  <si>
    <t>Hémorragie antepartum</t>
  </si>
  <si>
    <t>Hémorragie intra-partum</t>
  </si>
  <si>
    <t>Hémorragie du post-partum</t>
  </si>
  <si>
    <t>Troubles hypertensifs</t>
  </si>
  <si>
    <t>Avortement</t>
  </si>
  <si>
    <t>Embolie</t>
  </si>
  <si>
    <t>Autres causes directes</t>
  </si>
  <si>
    <t>Causes indirectes</t>
  </si>
  <si>
    <t>&lt;1 mois</t>
  </si>
  <si>
    <t>État</t>
  </si>
  <si>
    <t>Retard de croissance (taille-pour-âge)</t>
  </si>
  <si>
    <t>Normal (score HAZ &gt; -1)</t>
  </si>
  <si>
    <t>Léger (score HAZ entre -2 et -1)</t>
  </si>
  <si>
    <t>Modéré (score HAZ entre -3 et -2)</t>
  </si>
  <si>
    <t>Élevé (score HAZ &lt; -3)</t>
  </si>
  <si>
    <t>Émaciation (poids-pour-taille)</t>
  </si>
  <si>
    <t>Normal (score WHZ &gt; -1)</t>
  </si>
  <si>
    <t>Léger (score WHZ entre -2 et -1)</t>
  </si>
  <si>
    <t>MM (score WHZ entre -3 et -2)</t>
  </si>
  <si>
    <t>MAS (score WHZ &lt; -3)</t>
  </si>
  <si>
    <t>Anémie</t>
  </si>
  <si>
    <t>FE: 15-19 ans</t>
  </si>
  <si>
    <t>FE: 20-29 ans</t>
  </si>
  <si>
    <t>FE: 30-39 ans</t>
  </si>
  <si>
    <t>FE: 40-49 ans</t>
  </si>
  <si>
    <t>Prévalence de l'anémie</t>
  </si>
  <si>
    <t>Prévalence de l'anémie ferriprive</t>
  </si>
  <si>
    <t>Allaitement maternel</t>
  </si>
  <si>
    <t>Exclusif</t>
  </si>
  <si>
    <t>Prédominant</t>
  </si>
  <si>
    <t>Partiel</t>
  </si>
  <si>
    <t>Aucun</t>
  </si>
  <si>
    <t>Risque</t>
  </si>
  <si>
    <t>Prévalence du retard de croissance (%)</t>
  </si>
  <si>
    <t>Prévalence de l'émaciation (%)</t>
  </si>
  <si>
    <t>Prévalence de l'anémie (%)</t>
  </si>
  <si>
    <t>Femmes en âge de procréer</t>
  </si>
  <si>
    <t>Prévalence de l'allaitement maternel adapté à l'âge des enfants</t>
  </si>
  <si>
    <t>Enfants âgés de 0 à 5 mois</t>
  </si>
  <si>
    <t>Enfants âgés de 6 à 23 mois</t>
  </si>
  <si>
    <t>Moins de cinq ans (décès pour 1 000 naissances)</t>
  </si>
  <si>
    <t>Maternelle (décès pour 1 000 naissances)</t>
  </si>
  <si>
    <t>Enfants âgés de 0 à 59 mois</t>
  </si>
  <si>
    <t>Coût</t>
  </si>
  <si>
    <t>Épisode d'émaciation d'un enfant</t>
  </si>
  <si>
    <t>Décès d'enfant</t>
  </si>
  <si>
    <t>Décès maternel</t>
  </si>
  <si>
    <t>Enfant anémique (par an)</t>
  </si>
  <si>
    <t>Femme enceinte anémique (par grossesse)</t>
  </si>
  <si>
    <t>Enfant souffrant d'un retard de croissance qui aura 5 ans (au cours de sa vie)</t>
  </si>
  <si>
    <t>Paquet ANJE</t>
  </si>
  <si>
    <t>Population cible</t>
  </si>
  <si>
    <t>Établissement de santé</t>
  </si>
  <si>
    <t>Communautaire</t>
  </si>
  <si>
    <t>Médias de masse</t>
  </si>
  <si>
    <t>Tous</t>
  </si>
  <si>
    <t>ANJE 1</t>
  </si>
  <si>
    <t>ANJE 2</t>
  </si>
  <si>
    <t>ANJE 3</t>
  </si>
  <si>
    <t>Programme</t>
  </si>
  <si>
    <t>Traitement de la MAS</t>
  </si>
  <si>
    <t>Défaut</t>
  </si>
  <si>
    <t>Ajouter une extension</t>
  </si>
  <si>
    <t>Mode de livraison</t>
  </si>
  <si>
    <t>Gestion de la MAM</t>
  </si>
  <si>
    <t>Couverture à saturation de la population cible</t>
  </si>
  <si>
    <t>Relation coût-couverture</t>
  </si>
  <si>
    <t>Supplémentation équilibrée en énergie et en protéines</t>
  </si>
  <si>
    <t>Supplémentation en calcium</t>
  </si>
  <si>
    <t>Transferts monétaires</t>
  </si>
  <si>
    <t>Clampage tardif du cordon</t>
  </si>
  <si>
    <t>Planification familiale</t>
  </si>
  <si>
    <t>Enrichissement du maïs en FAF</t>
  </si>
  <si>
    <t>Enrichissement du riz en FAF</t>
  </si>
  <si>
    <t>Enrichissement en FAF de la farine de blé</t>
  </si>
  <si>
    <t>SFAF (communautaire)</t>
  </si>
  <si>
    <t>SFAF (établissement de santé)</t>
  </si>
  <si>
    <t>SFAF (détaillant)</t>
  </si>
  <si>
    <t>SFAF (école)</t>
  </si>
  <si>
    <t>SFAF pour les femmes enceintes (communautaire)</t>
  </si>
  <si>
    <t>SFAF pour les femmes enceintes (établissement de santé)</t>
  </si>
  <si>
    <t>TPIg</t>
  </si>
  <si>
    <t>Enrichissement du sel en fer et en iode</t>
  </si>
  <si>
    <t>Soins maternals kangourou</t>
  </si>
  <si>
    <t>Supplémentation en nutriments à base de lipides</t>
  </si>
  <si>
    <t>Moustiquaires imprégnées d'insecticide de longue durée</t>
  </si>
  <si>
    <t>Mg pour l'éclampsie</t>
  </si>
  <si>
    <t>Mg pour la pré-éclampsie</t>
  </si>
  <si>
    <t>Poudres de micronutriments</t>
  </si>
  <si>
    <t>Supplémentation en micronutriments multiples</t>
  </si>
  <si>
    <t>Sels de réhydratation orale</t>
  </si>
  <si>
    <t>Fourniture publique d'aliments complémentaires</t>
  </si>
  <si>
    <t>Supplémentation en vitamine A</t>
  </si>
  <si>
    <t>WASH: lavage des mains</t>
  </si>
  <si>
    <t>WASH: Élimination hygiénique</t>
  </si>
  <si>
    <t>WASH: Amélioration de l'assainissement</t>
  </si>
  <si>
    <t>WASH: Source d'eau améliorée</t>
  </si>
  <si>
    <t>WASH: Eau courante</t>
  </si>
  <si>
    <t>SRO+Zn pour le traitement de la diarrhée</t>
  </si>
  <si>
    <t>Supplémentation en zinc</t>
  </si>
  <si>
    <t>Linéaire (coût marginal constant) [par défaut].</t>
  </si>
  <si>
    <t>Coût à l'unité (US$)</t>
  </si>
  <si>
    <t>Augmentation maximale par an</t>
  </si>
  <si>
    <t>Réduction maximale par an</t>
  </si>
  <si>
    <t>Petite quantité de supplémentation en nutriments à base de lipides</t>
  </si>
  <si>
    <t>Dépendance d'exclusion</t>
  </si>
  <si>
    <t>Dépendance de seuil</t>
  </si>
  <si>
    <t>MAS</t>
  </si>
  <si>
    <t>MM</t>
  </si>
  <si>
    <t>Population générale</t>
  </si>
  <si>
    <t>Groupe général de la population</t>
  </si>
  <si>
    <t>Courbe avec coût marginal croissant</t>
  </si>
  <si>
    <t>Courbe avec coût marginal décroissant</t>
  </si>
  <si>
    <t>En forme de S (coût marginal décroissant puis croissant)</t>
  </si>
  <si>
    <t>Efficacité</t>
  </si>
  <si>
    <t>Méthode</t>
  </si>
  <si>
    <t>Préservatif</t>
  </si>
  <si>
    <t>Stérilisation masculine</t>
  </si>
  <si>
    <t>Stérilisation féminine</t>
  </si>
  <si>
    <t>Injection Depo Provera</t>
  </si>
  <si>
    <t>Pilule</t>
  </si>
  <si>
    <t>Retrait</t>
  </si>
  <si>
    <t>Sensibilisation à la fertilité</t>
  </si>
  <si>
    <t>DIU</t>
  </si>
  <si>
    <t>Coût proportionnel</t>
  </si>
  <si>
    <t>Retard de croissance</t>
  </si>
  <si>
    <t>Prévention de l'émaciation</t>
  </si>
  <si>
    <t>Traitement de l'émaciation</t>
  </si>
  <si>
    <t>Résultats des naissances</t>
  </si>
  <si>
    <t>Tranche d'âge</t>
  </si>
  <si>
    <t>Comportement</t>
  </si>
  <si>
    <t>Rapport des cotes pour l'allaitement maternelle correct</t>
  </si>
  <si>
    <t>Rapport des cotes pour le retard de croissance</t>
  </si>
  <si>
    <t>Rapport des cotes pour l'alimentation complémentaire</t>
  </si>
  <si>
    <t>Bornes inférieures</t>
  </si>
  <si>
    <t>Rapport des cotes pour l'allaitement maternelle correct - inférieur</t>
  </si>
  <si>
    <t>Rapport des cotes pour le retard de croissance - inférieur</t>
  </si>
  <si>
    <t>Rapport des cotes pour l'alimentation complémentaire correct - inférieur</t>
  </si>
  <si>
    <t>Bornes supérieures</t>
  </si>
  <si>
    <t>Rapport des cotes pour l'allaitement maternelle correct - supérieur</t>
  </si>
  <si>
    <t>Rapport des cotes pour le retard de croissance - supérieur</t>
  </si>
  <si>
    <t>Rapport des cotes pour l'alimentation complémentaire correct - supérieur</t>
  </si>
  <si>
    <t>Facteurs de risque maternels contribuant aux résultats des naissances</t>
  </si>
  <si>
    <t>Risque relatif par espacement des naissances</t>
  </si>
  <si>
    <t>Risques pour les enfants touchés par chaque résultat des naissances</t>
  </si>
  <si>
    <t>Rapport des cotes pour des conditions</t>
  </si>
  <si>
    <t>Émaciation (score-HAZ &lt; -2)</t>
  </si>
  <si>
    <t>Risques relatifs des causes du décès néonatales</t>
  </si>
  <si>
    <t>Rapport des cotes pour les femmes avec l'anémie maternelle</t>
  </si>
  <si>
    <t>Risque relatif par espacement des naissances - inférieur</t>
  </si>
  <si>
    <t>Rapport des cotes pour des conditions - inférieur</t>
  </si>
  <si>
    <t>Risques relatifs des causes du décès néonatales - inférieur</t>
  </si>
  <si>
    <t>Risque relatif par espacement des naissances - supérieur</t>
  </si>
  <si>
    <t>Rapport des cotes pour des conditions - supérieur</t>
  </si>
  <si>
    <t>Risques relatifs des causes du décès néonatales - supérieur</t>
  </si>
  <si>
    <t>Retard de croissance (HAZ-score &lt; -2)-i</t>
  </si>
  <si>
    <t>MM (score WHZ entre -3 et -2)-i</t>
  </si>
  <si>
    <t>MAS (score WHZ &lt; -3)-i</t>
  </si>
  <si>
    <t>Retard de croissance (HAZ-score &lt; -2)-s</t>
  </si>
  <si>
    <t>MM (score WHZ entre -3 et -2)-s</t>
  </si>
  <si>
    <t>MAS (score WHZ &lt; -3)-s</t>
  </si>
  <si>
    <t>Rapports des cotes pour les femmes avec l'anémie maternelle - inférieur</t>
  </si>
  <si>
    <t>Rapports des cotes pour les femmes avec l'anémie maternelle - supérieur</t>
  </si>
  <si>
    <t>Risque relatif des causes du décès par la distribution de la taille-pour-âge (retard de croissance)</t>
  </si>
  <si>
    <t>Cause du décès</t>
  </si>
  <si>
    <t>Niveau HAZ</t>
  </si>
  <si>
    <t>Léger</t>
  </si>
  <si>
    <t>Modéré</t>
  </si>
  <si>
    <t>Élevé</t>
  </si>
  <si>
    <t>Niveau WHZ</t>
  </si>
  <si>
    <t>Risque relatif des causes du décès par condition anémique</t>
  </si>
  <si>
    <t>Condition anémique</t>
  </si>
  <si>
    <t>Pas anémique</t>
  </si>
  <si>
    <t>Anémique</t>
  </si>
  <si>
    <t>Risque relatif des causes du décès par mode d'allaitement maternel</t>
  </si>
  <si>
    <t>Mode d'allaitement maternel</t>
  </si>
  <si>
    <t>Risques relatifs de la diarrhée par mode d'allaitement maternel</t>
  </si>
  <si>
    <t>Risque relatif des causes du décès par la distribution du poids-pour-taille (émaciation)</t>
  </si>
  <si>
    <t>Émaciation</t>
  </si>
  <si>
    <t>Compte tenu du retard de croissance antérieur (HAZ &lt; -2 dans la tranche d’âge précédente)</t>
  </si>
  <si>
    <t>Diarrhée (par épisode supplémentaire)</t>
  </si>
  <si>
    <t>Par programme</t>
  </si>
  <si>
    <t>Rapports des cotes supplémentaires</t>
  </si>
  <si>
    <t>Pour MAS par épisode supplémentaire de la diarrhée</t>
  </si>
  <si>
    <t>Pour l'anémie par épisode supplémentaire de la diarrhée aiguë</t>
  </si>
  <si>
    <t>Rapport des cotes pour l'allaitement maternel correct par programme</t>
  </si>
  <si>
    <t>Pour MM par épisode supplémentaire de la diarrhée</t>
  </si>
  <si>
    <t>Rapports des cotes pour l'espacement des naissances optimal par programme</t>
  </si>
  <si>
    <t>Compte tenu du retard de croissance antérieur (HAZ &lt; -2 dans la tranche d’âge précédente) - inférieur</t>
  </si>
  <si>
    <t>Diarrhée (par épisode supplémentaire) - inférieur</t>
  </si>
  <si>
    <t>Par programme - inférieur</t>
  </si>
  <si>
    <t>Fourniture publique d'aliments complémentaires - inférieur</t>
  </si>
  <si>
    <t>Supplémentation en nutriments à base de lipids - inférieur</t>
  </si>
  <si>
    <t>Supplémentation en zinc - inférieur</t>
  </si>
  <si>
    <t>Rapport des cotes pour l'allaitement correct par programme - inférieur</t>
  </si>
  <si>
    <t>Soins maternals kangourou - inférieur</t>
  </si>
  <si>
    <t>Pour MAS par épisode supplémentaire de la diarrhée - inférieur</t>
  </si>
  <si>
    <t>Pour MM par épisode supplémentaire de la diarrhée - inférieur</t>
  </si>
  <si>
    <t>Pour l'anémie par épisode supplémentaire de la diarrhée aiguë - inférieur</t>
  </si>
  <si>
    <t>Rapports des cotes pour l'espacement des naissances optimal par programme - inférieur</t>
  </si>
  <si>
    <t>Planification familiale - inférieur</t>
  </si>
  <si>
    <t>Compte tenu du retard de croissance antérieur (HAZ &lt; -2 dans la tranche d’âge précédente) - supérieur</t>
  </si>
  <si>
    <t>Diarrhée (par épisode supplémentaire) - supérieur</t>
  </si>
  <si>
    <t>Par programme - supérieur</t>
  </si>
  <si>
    <t>Fourniture publique d'aliments complémentaires - supérieur</t>
  </si>
  <si>
    <t>Supplémentation en nutriments à base de lipids - supérieur</t>
  </si>
  <si>
    <t>Supplémentation en zinc - supérieur</t>
  </si>
  <si>
    <t>Rapport des cotes pour l'allaitement correct par programme - supérieur</t>
  </si>
  <si>
    <t>Soins maternals kangourou - supérieur</t>
  </si>
  <si>
    <t>Pour MAS par épisode supplémentaire de la diarrhée - supérieur</t>
  </si>
  <si>
    <t>Pour MM par épisode supplémentaire de la diarrhée - supérieur</t>
  </si>
  <si>
    <t>Pour l'anémie par épisode supplémentaire de la diarrhée aiguë - supérieur</t>
  </si>
  <si>
    <t>Rapports des cotes pour l'espacement des naissances optimal par programme - supérieur</t>
  </si>
  <si>
    <t>Planification familiale - supérieur</t>
  </si>
  <si>
    <t>Petite quantité de supplémentation en nutriments à base de lipids - inférieur</t>
  </si>
  <si>
    <t>Petite quantité de supplémentation en nutriments à base de lipids - supérieur</t>
  </si>
  <si>
    <t>efficacité</t>
  </si>
  <si>
    <t>fraction touchée</t>
  </si>
  <si>
    <t>Risques relatifs de l'anémie en recevant l'intervention</t>
  </si>
  <si>
    <t>Rapports des cotes de l'anémie en étant couverte par l'intervention</t>
  </si>
  <si>
    <t>Risques relatifs de l'anémie en recevant l'intervention - inférieur</t>
  </si>
  <si>
    <t>Risques relatifs de l'anémie en recevant l'intervention - supérieur</t>
  </si>
  <si>
    <t>Rapport des cotes pour l'anémie en étant couvert par l'intervention - inférieur</t>
  </si>
  <si>
    <t>Rapport des cotes pour l'anémie en étant couvert par l'intervention - supérieur</t>
  </si>
  <si>
    <t>Rapport des cotes de la MAS en étant couvert par le programme</t>
  </si>
  <si>
    <t>Rapport des cotes de la MM en étant couvert par le programme</t>
  </si>
  <si>
    <t>Rapport des cotes de la MAS en étant couvert par le programme - inférieur</t>
  </si>
  <si>
    <t>Rapport des cotes de la MM en étant couvert par le programme - inférieur</t>
  </si>
  <si>
    <t>Rapport des cotes de la MAS en étant couvert par le programme - supérieur</t>
  </si>
  <si>
    <t>Rapport des cotes de la MM en étant couvert par le programme - supérieur</t>
  </si>
  <si>
    <t>Borne inférieure</t>
  </si>
  <si>
    <t>Borne supérieure</t>
  </si>
  <si>
    <t>Condition ciblée</t>
  </si>
  <si>
    <t>Fraction touchée</t>
  </si>
  <si>
    <t>Efficacité à prévenir une mort</t>
  </si>
  <si>
    <t>Efficacité à prévenir un 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</si>
</sst>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* #,##0_);_(* \(#,##0\);_(* &quot;-&quot;??_);_(@_)"/>
    <numFmt numFmtId="165" formatCode="0.000"/>
    <numFmt numFmtId="166" formatCode="0.0%"/>
    <numFmt numFmtId="167" formatCode="0.0"/>
    <numFmt numFmtId="168" formatCode="#,##0.0"/>
  </numFmts>
  <fonts count="19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</cellStyleXfs>
  <cellXfs count="105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43" fontId="4" fillId="0" borderId="0" xfId="0" applyNumberFormat="1" applyFont="1"/>
    <xf numFmtId="164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4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5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6" fontId="4" fillId="2" borderId="1" xfId="0" applyNumberFormat="1" applyFont="1" applyFill="1" applyBorder="1" applyAlignment="1">
      <alignment horizontal="right"/>
    </xf>
    <xf numFmtId="166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6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6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6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4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6" fontId="8" fillId="3" borderId="1" xfId="0" applyNumberFormat="1" applyFont="1" applyFill="1" applyBorder="1" applyAlignment="1" applyProtection="1">
      <alignment horizontal="right"/>
      <protection locked="0"/>
    </xf>
    <xf numFmtId="166" fontId="4" fillId="2" borderId="1" xfId="0" applyNumberFormat="1" applyFont="1" applyFill="1" applyBorder="1" applyAlignment="1" applyProtection="1">
      <alignment horizontal="right"/>
      <protection locked="0"/>
    </xf>
    <xf numFmtId="166" fontId="0" fillId="2" borderId="1" xfId="0" applyNumberFormat="1" applyFill="1" applyBorder="1" applyProtection="1">
      <protection locked="0"/>
    </xf>
    <xf numFmtId="166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5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8" fontId="4" fillId="2" borderId="1" xfId="0" applyNumberFormat="1" applyFont="1" applyFill="1" applyBorder="1" applyProtection="1">
      <protection locked="0"/>
    </xf>
    <xf numFmtId="166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6">
    <cellStyle name="Comma 2" xfId="5" xr:uid="{00000000-0005-0000-0000-000007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5000000}"/>
    <cellStyle name="Normal 3" xfId="4" xr:uid="{00000000-0005-0000-0000-000006000000}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600"/>
  </sheetPr>
  <dimension ref="A1:E63"/>
  <sheetViews>
    <sheetView tabSelected="1" zoomScaleNormal="100" workbookViewId="0">
      <selection activeCell="C11" sqref="C11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3" width="14.453125" style="8" customWidth="1"/>
    <col min="4" max="16384" width="14.453125" style="8"/>
  </cols>
  <sheetData>
    <row r="1" spans="1:3" ht="15.9" customHeight="1" x14ac:dyDescent="0.3">
      <c r="A1" s="1" t="s">
        <v>13</v>
      </c>
      <c r="B1" s="29" t="s">
        <v>0</v>
      </c>
      <c r="C1" s="29" t="s">
        <v>66</v>
      </c>
    </row>
    <row r="2" spans="1:3" ht="15.9" customHeight="1" x14ac:dyDescent="0.3">
      <c r="A2" s="8" t="s">
        <v>14</v>
      </c>
      <c r="B2" s="29"/>
      <c r="C2" s="29"/>
    </row>
    <row r="3" spans="1:3" ht="15.9" customHeight="1" x14ac:dyDescent="0.3">
      <c r="A3" s="1"/>
      <c r="B3" s="5" t="s">
        <v>15</v>
      </c>
      <c r="C3" s="41">
        <v>2024</v>
      </c>
    </row>
    <row r="4" spans="1:3" ht="15.9" customHeight="1" x14ac:dyDescent="0.3">
      <c r="A4" s="1"/>
      <c r="B4" s="5" t="s">
        <v>16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17</v>
      </c>
    </row>
    <row r="7" spans="1:3" ht="15" customHeight="1" x14ac:dyDescent="0.25">
      <c r="B7" s="11" t="s">
        <v>18</v>
      </c>
      <c r="C7" s="43">
        <v>976081.4765625</v>
      </c>
    </row>
    <row r="8" spans="1:3" ht="15" customHeight="1" x14ac:dyDescent="0.25">
      <c r="B8" s="5" t="s">
        <v>19</v>
      </c>
      <c r="C8" s="44">
        <v>4.0000000000000001E-3</v>
      </c>
    </row>
    <row r="9" spans="1:3" ht="15" customHeight="1" x14ac:dyDescent="0.25">
      <c r="B9" s="5" t="s">
        <v>20</v>
      </c>
      <c r="C9" s="45">
        <v>0.01</v>
      </c>
    </row>
    <row r="10" spans="1:3" ht="15" customHeight="1" x14ac:dyDescent="0.25">
      <c r="B10" s="5" t="s">
        <v>21</v>
      </c>
      <c r="C10" s="45">
        <v>0.74188087463378904</v>
      </c>
    </row>
    <row r="11" spans="1:3" ht="15" customHeight="1" x14ac:dyDescent="0.25">
      <c r="B11" s="5" t="s">
        <v>22</v>
      </c>
      <c r="C11" s="45">
        <v>1</v>
      </c>
    </row>
    <row r="12" spans="1:3" ht="15" customHeight="1" x14ac:dyDescent="0.25">
      <c r="B12" s="5" t="s">
        <v>23</v>
      </c>
      <c r="C12" s="45">
        <v>1</v>
      </c>
    </row>
    <row r="13" spans="1:3" ht="15" customHeight="1" x14ac:dyDescent="0.25">
      <c r="B13" s="5" t="s">
        <v>24</v>
      </c>
      <c r="C13" s="45">
        <v>0.159</v>
      </c>
    </row>
    <row r="14" spans="1:3" ht="15" customHeight="1" x14ac:dyDescent="0.25">
      <c r="B14" s="8"/>
    </row>
    <row r="15" spans="1:3" ht="15" customHeight="1" x14ac:dyDescent="0.3">
      <c r="A15" s="8" t="s">
        <v>25</v>
      </c>
      <c r="B15" s="14"/>
      <c r="C15" s="3"/>
    </row>
    <row r="16" spans="1:3" ht="15" customHeight="1" x14ac:dyDescent="0.25">
      <c r="B16" s="5" t="s">
        <v>26</v>
      </c>
      <c r="C16" s="45">
        <v>0.1</v>
      </c>
    </row>
    <row r="17" spans="1:3" ht="15" customHeight="1" x14ac:dyDescent="0.25">
      <c r="B17" s="5" t="s">
        <v>27</v>
      </c>
      <c r="C17" s="45">
        <v>0.01</v>
      </c>
    </row>
    <row r="18" spans="1:3" ht="15" customHeight="1" x14ac:dyDescent="0.25">
      <c r="B18" s="5" t="s">
        <v>28</v>
      </c>
      <c r="C18" s="45">
        <v>0.98</v>
      </c>
    </row>
    <row r="19" spans="1:3" ht="15" customHeight="1" x14ac:dyDescent="0.25">
      <c r="B19" s="5" t="s">
        <v>29</v>
      </c>
      <c r="C19" s="45">
        <v>0.01</v>
      </c>
    </row>
    <row r="20" spans="1:3" ht="15" customHeight="1" x14ac:dyDescent="0.25">
      <c r="B20" s="5" t="s">
        <v>30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31</v>
      </c>
    </row>
    <row r="23" spans="1:3" ht="15" customHeight="1" x14ac:dyDescent="0.25">
      <c r="B23" s="15" t="s">
        <v>32</v>
      </c>
      <c r="C23" s="45">
        <v>0.19980000000000001</v>
      </c>
    </row>
    <row r="24" spans="1:3" ht="15" customHeight="1" x14ac:dyDescent="0.25">
      <c r="B24" s="15" t="s">
        <v>33</v>
      </c>
      <c r="C24" s="45">
        <v>0.54990000000000006</v>
      </c>
    </row>
    <row r="25" spans="1:3" ht="15" customHeight="1" x14ac:dyDescent="0.25">
      <c r="B25" s="15" t="s">
        <v>34</v>
      </c>
      <c r="C25" s="45">
        <v>0.2286</v>
      </c>
    </row>
    <row r="26" spans="1:3" ht="15" customHeight="1" x14ac:dyDescent="0.25">
      <c r="B26" s="15" t="s">
        <v>35</v>
      </c>
      <c r="C26" s="45">
        <v>2.1700000000000001E-2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36</v>
      </c>
      <c r="B28" s="15"/>
      <c r="C28" s="15"/>
    </row>
    <row r="29" spans="1:3" ht="14.25" customHeight="1" x14ac:dyDescent="0.25">
      <c r="B29" s="25" t="s">
        <v>37</v>
      </c>
      <c r="C29" s="45">
        <v>0.38027698235904311</v>
      </c>
    </row>
    <row r="30" spans="1:3" ht="14.25" customHeight="1" x14ac:dyDescent="0.25">
      <c r="B30" s="25" t="s">
        <v>38</v>
      </c>
      <c r="C30" s="99">
        <v>5.4660418264349912E-2</v>
      </c>
    </row>
    <row r="31" spans="1:3" ht="14.25" customHeight="1" x14ac:dyDescent="0.25">
      <c r="B31" s="25" t="s">
        <v>39</v>
      </c>
      <c r="C31" s="99">
        <v>6.1967733026657798E-2</v>
      </c>
    </row>
    <row r="32" spans="1:3" ht="14.25" customHeight="1" x14ac:dyDescent="0.25">
      <c r="B32" s="25" t="s">
        <v>40</v>
      </c>
      <c r="C32" s="99">
        <v>0.50309486634994893</v>
      </c>
    </row>
    <row r="33" spans="1:5" ht="13" customHeight="1" x14ac:dyDescent="0.25">
      <c r="B33" s="27" t="s">
        <v>41</v>
      </c>
      <c r="C33" s="48">
        <f>SUM(C29:C32)</f>
        <v>0.99999999999999978</v>
      </c>
    </row>
    <row r="34" spans="1:5" ht="15" customHeight="1" x14ac:dyDescent="0.25"/>
    <row r="35" spans="1:5" ht="15" customHeight="1" x14ac:dyDescent="0.3">
      <c r="A35" s="4" t="s">
        <v>42</v>
      </c>
    </row>
    <row r="36" spans="1:5" ht="15" customHeight="1" x14ac:dyDescent="0.25">
      <c r="A36" s="8" t="s">
        <v>43</v>
      </c>
      <c r="B36" s="5"/>
    </row>
    <row r="37" spans="1:5" ht="15" customHeight="1" x14ac:dyDescent="0.25">
      <c r="B37" s="11" t="s">
        <v>44</v>
      </c>
      <c r="C37" s="43">
        <v>22.94744</v>
      </c>
    </row>
    <row r="38" spans="1:5" ht="15" customHeight="1" x14ac:dyDescent="0.25">
      <c r="B38" s="11" t="s">
        <v>45</v>
      </c>
      <c r="C38" s="43">
        <v>27.293320000000001</v>
      </c>
      <c r="D38" s="12"/>
      <c r="E38" s="13"/>
    </row>
    <row r="39" spans="1:5" ht="15" customHeight="1" x14ac:dyDescent="0.25">
      <c r="B39" s="11" t="s">
        <v>46</v>
      </c>
      <c r="C39" s="43">
        <v>33.002879999999998</v>
      </c>
      <c r="D39" s="12"/>
      <c r="E39" s="12"/>
    </row>
    <row r="40" spans="1:5" ht="15" customHeight="1" x14ac:dyDescent="0.25">
      <c r="B40" s="11" t="s">
        <v>47</v>
      </c>
      <c r="C40" s="100">
        <v>1.07</v>
      </c>
    </row>
    <row r="41" spans="1:5" ht="15" customHeight="1" x14ac:dyDescent="0.25">
      <c r="B41" s="11" t="s">
        <v>48</v>
      </c>
      <c r="C41" s="45">
        <v>0.12</v>
      </c>
    </row>
    <row r="42" spans="1:5" ht="15" customHeight="1" x14ac:dyDescent="0.25">
      <c r="B42" s="11" t="s">
        <v>49</v>
      </c>
      <c r="C42" s="43">
        <v>12.713279999999999</v>
      </c>
    </row>
    <row r="43" spans="1:5" ht="15.75" customHeight="1" x14ac:dyDescent="0.25">
      <c r="D43" s="12"/>
    </row>
    <row r="44" spans="1:5" ht="15.75" customHeight="1" x14ac:dyDescent="0.25">
      <c r="A44" s="8" t="s">
        <v>50</v>
      </c>
      <c r="D44" s="12"/>
    </row>
    <row r="45" spans="1:5" ht="15.75" customHeight="1" x14ac:dyDescent="0.25">
      <c r="B45" s="11" t="s">
        <v>51</v>
      </c>
      <c r="C45" s="45">
        <v>7.1934E-3</v>
      </c>
      <c r="D45" s="12"/>
    </row>
    <row r="46" spans="1:5" ht="15.75" customHeight="1" x14ac:dyDescent="0.25">
      <c r="B46" s="11" t="s">
        <v>52</v>
      </c>
      <c r="C46" s="45">
        <v>7.7292600000000003E-2</v>
      </c>
      <c r="D46" s="12"/>
    </row>
    <row r="47" spans="1:5" ht="15.75" customHeight="1" x14ac:dyDescent="0.25">
      <c r="B47" s="11" t="s">
        <v>53</v>
      </c>
      <c r="C47" s="45">
        <v>7.4160100000000007E-2</v>
      </c>
      <c r="D47" s="12"/>
      <c r="E47" s="13"/>
    </row>
    <row r="48" spans="1:5" ht="15" customHeight="1" x14ac:dyDescent="0.25">
      <c r="B48" s="11" t="s">
        <v>54</v>
      </c>
      <c r="C48" s="46">
        <v>0.84135389999999999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55</v>
      </c>
      <c r="D50" s="12"/>
    </row>
    <row r="51" spans="1:4" ht="15.75" customHeight="1" x14ac:dyDescent="0.25">
      <c r="B51" s="11" t="s">
        <v>56</v>
      </c>
      <c r="C51" s="100">
        <v>3.2</v>
      </c>
      <c r="D51" s="12"/>
    </row>
    <row r="52" spans="1:4" ht="15" customHeight="1" x14ac:dyDescent="0.25">
      <c r="B52" s="11" t="s">
        <v>57</v>
      </c>
      <c r="C52" s="100">
        <v>3.2</v>
      </c>
    </row>
    <row r="53" spans="1:4" ht="15.75" customHeight="1" x14ac:dyDescent="0.25">
      <c r="B53" s="11" t="s">
        <v>58</v>
      </c>
      <c r="C53" s="100">
        <v>3.2</v>
      </c>
    </row>
    <row r="54" spans="1:4" ht="15.75" customHeight="1" x14ac:dyDescent="0.25">
      <c r="B54" s="11" t="s">
        <v>59</v>
      </c>
      <c r="C54" s="100">
        <v>3.2</v>
      </c>
    </row>
    <row r="55" spans="1:4" ht="15.75" customHeight="1" x14ac:dyDescent="0.25">
      <c r="B55" s="11" t="s">
        <v>60</v>
      </c>
      <c r="C55" s="100">
        <v>3.2</v>
      </c>
    </row>
    <row r="57" spans="1:4" ht="15.75" customHeight="1" x14ac:dyDescent="0.25">
      <c r="A57" s="8" t="s">
        <v>61</v>
      </c>
    </row>
    <row r="58" spans="1:4" ht="15.75" customHeight="1" x14ac:dyDescent="0.25">
      <c r="B58" s="5" t="s">
        <v>62</v>
      </c>
      <c r="C58" s="45">
        <v>1.9375E-2</v>
      </c>
    </row>
    <row r="59" spans="1:4" ht="15.75" customHeight="1" x14ac:dyDescent="0.25">
      <c r="B59" s="11" t="s">
        <v>63</v>
      </c>
      <c r="C59" s="45">
        <v>0.54774599999999996</v>
      </c>
    </row>
    <row r="60" spans="1:4" ht="15.75" customHeight="1" x14ac:dyDescent="0.25">
      <c r="B60" s="11" t="s">
        <v>64</v>
      </c>
      <c r="C60" s="45">
        <v>4.5999999999999999E-2</v>
      </c>
    </row>
    <row r="61" spans="1:4" ht="15.75" customHeight="1" x14ac:dyDescent="0.25">
      <c r="B61" s="11" t="s">
        <v>65</v>
      </c>
      <c r="C61" s="45">
        <v>1.4E-2</v>
      </c>
    </row>
    <row r="62" spans="1:4" ht="15.75" customHeight="1" x14ac:dyDescent="0.25">
      <c r="B62" s="11" t="s">
        <v>67</v>
      </c>
      <c r="C62" s="44">
        <v>0.11294179</v>
      </c>
    </row>
    <row r="63" spans="1:4" ht="15.75" customHeight="1" x14ac:dyDescent="0.3">
      <c r="A63" s="4"/>
    </row>
  </sheetData>
  <sheetProtection algorithmName="SHA-512" hashValue="lBMTTl6aRBWEFc37gH3U82ptwSaFYDxfcmO4pZCtSYLce1NwUt/Rqqa0cqtfrjLDT5AwHL7gItEO/8S8COAjMA==" saltValue="Gfw6sDLanvzIujU0D5RHa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600"/>
  </sheetPr>
  <dimension ref="A1:I40"/>
  <sheetViews>
    <sheetView zoomScale="85" zoomScaleNormal="85" workbookViewId="0">
      <selection activeCell="B11" sqref="B11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0" width="14.453125" style="8" customWidth="1"/>
    <col min="11" max="16384" width="14.453125" style="8"/>
  </cols>
  <sheetData>
    <row r="1" spans="1:9" s="16" customFormat="1" ht="30" customHeight="1" x14ac:dyDescent="0.3">
      <c r="A1" s="26" t="s">
        <v>76</v>
      </c>
      <c r="B1" s="20" t="s">
        <v>68</v>
      </c>
      <c r="C1" s="18" t="s">
        <v>69</v>
      </c>
      <c r="D1" s="18" t="s">
        <v>70</v>
      </c>
      <c r="E1" s="18" t="s">
        <v>71</v>
      </c>
      <c r="F1" s="18" t="s">
        <v>72</v>
      </c>
      <c r="G1" s="18" t="s">
        <v>73</v>
      </c>
      <c r="H1" s="18" t="s">
        <v>74</v>
      </c>
      <c r="I1" s="18" t="s">
        <v>75</v>
      </c>
    </row>
    <row r="2" spans="1:9" ht="15.75" customHeight="1" x14ac:dyDescent="0.25">
      <c r="A2" s="5">
        <f>start_year</f>
        <v>2024</v>
      </c>
      <c r="B2" s="49">
        <v>199286</v>
      </c>
      <c r="C2" s="49">
        <v>574685.5</v>
      </c>
      <c r="D2" s="49">
        <v>924747.5</v>
      </c>
      <c r="E2" s="49">
        <v>848266.5</v>
      </c>
      <c r="F2" s="49">
        <v>618807</v>
      </c>
      <c r="G2" s="17">
        <f t="shared" ref="G2:G13" si="0">C2+D2+E2+F2</f>
        <v>2966506.5</v>
      </c>
      <c r="H2" s="17">
        <f t="shared" ref="H2:H13" si="1">(B2 + stillbirth*B2/(1000-stillbirth))/(1-abortion)</f>
        <v>229377.50407132352</v>
      </c>
      <c r="I2" s="17">
        <f t="shared" ref="I2:I13" si="2">G2-H2</f>
        <v>2737128.9959286763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196763</v>
      </c>
      <c r="C3" s="50">
        <v>578978.5</v>
      </c>
      <c r="D3" s="50">
        <v>921572.50000000012</v>
      </c>
      <c r="E3" s="50">
        <v>857041.5</v>
      </c>
      <c r="F3" s="50">
        <v>631056.5</v>
      </c>
      <c r="G3" s="17">
        <f t="shared" si="0"/>
        <v>2988649</v>
      </c>
      <c r="H3" s="17">
        <f t="shared" si="1"/>
        <v>226473.53970467483</v>
      </c>
      <c r="I3" s="17">
        <f t="shared" si="2"/>
        <v>2762175.4602953251</v>
      </c>
    </row>
    <row r="4" spans="1:9" ht="15.75" customHeight="1" x14ac:dyDescent="0.25">
      <c r="A4" s="5">
        <f t="shared" si="3"/>
        <v>2026</v>
      </c>
      <c r="B4" s="49">
        <v>195224</v>
      </c>
      <c r="C4" s="50">
        <v>584372.99999999988</v>
      </c>
      <c r="D4" s="50">
        <v>917752</v>
      </c>
      <c r="E4" s="50">
        <v>864820.99999999988</v>
      </c>
      <c r="F4" s="50">
        <v>642427</v>
      </c>
      <c r="G4" s="17">
        <f t="shared" si="0"/>
        <v>3009373</v>
      </c>
      <c r="H4" s="17">
        <f t="shared" si="1"/>
        <v>224702.15597091647</v>
      </c>
      <c r="I4" s="17">
        <f t="shared" si="2"/>
        <v>2784670.8440290834</v>
      </c>
    </row>
    <row r="5" spans="1:9" ht="15.75" customHeight="1" x14ac:dyDescent="0.25">
      <c r="A5" s="5">
        <f t="shared" si="3"/>
        <v>2027</v>
      </c>
      <c r="B5" s="49">
        <v>193545</v>
      </c>
      <c r="C5" s="50">
        <v>590099.5</v>
      </c>
      <c r="D5" s="50">
        <v>914244.5</v>
      </c>
      <c r="E5" s="50">
        <v>870898</v>
      </c>
      <c r="F5" s="50">
        <v>652907</v>
      </c>
      <c r="G5" s="17">
        <f t="shared" si="0"/>
        <v>3028149</v>
      </c>
      <c r="H5" s="17">
        <f t="shared" si="1"/>
        <v>222769.63271621845</v>
      </c>
      <c r="I5" s="17">
        <f t="shared" si="2"/>
        <v>2805379.3672837815</v>
      </c>
    </row>
    <row r="6" spans="1:9" ht="15.75" customHeight="1" x14ac:dyDescent="0.25">
      <c r="A6" s="5">
        <f t="shared" si="3"/>
        <v>2028</v>
      </c>
      <c r="B6" s="49">
        <v>192411</v>
      </c>
      <c r="C6" s="50">
        <v>594292.5</v>
      </c>
      <c r="D6" s="50">
        <v>913481</v>
      </c>
      <c r="E6" s="50">
        <v>874335</v>
      </c>
      <c r="F6" s="50">
        <v>663103</v>
      </c>
      <c r="G6" s="17">
        <f t="shared" si="0"/>
        <v>3045211.5</v>
      </c>
      <c r="H6" s="17">
        <f t="shared" si="1"/>
        <v>221464.40259660702</v>
      </c>
      <c r="I6" s="17">
        <f t="shared" si="2"/>
        <v>2823747.0974033931</v>
      </c>
    </row>
    <row r="7" spans="1:9" ht="15.75" customHeight="1" x14ac:dyDescent="0.25">
      <c r="A7" s="5">
        <f t="shared" si="3"/>
        <v>2029</v>
      </c>
      <c r="B7" s="49">
        <v>190496</v>
      </c>
      <c r="C7" s="50">
        <v>596116</v>
      </c>
      <c r="D7" s="50">
        <v>915194</v>
      </c>
      <c r="E7" s="50">
        <v>875765</v>
      </c>
      <c r="F7" s="50">
        <v>673393.5</v>
      </c>
      <c r="G7" s="17">
        <f t="shared" si="0"/>
        <v>3060468.5</v>
      </c>
      <c r="H7" s="17">
        <f t="shared" si="1"/>
        <v>219260.24414946782</v>
      </c>
      <c r="I7" s="17">
        <f t="shared" si="2"/>
        <v>2841208.2558505321</v>
      </c>
    </row>
    <row r="8" spans="1:9" ht="15.75" customHeight="1" x14ac:dyDescent="0.25">
      <c r="A8" s="5">
        <f t="shared" si="3"/>
        <v>2030</v>
      </c>
      <c r="B8" s="49">
        <v>189213</v>
      </c>
      <c r="C8" s="50">
        <v>596113</v>
      </c>
      <c r="D8" s="50">
        <v>917443.5</v>
      </c>
      <c r="E8" s="50">
        <v>876790.5</v>
      </c>
      <c r="F8" s="50">
        <v>684282.5</v>
      </c>
      <c r="G8" s="17">
        <f t="shared" si="0"/>
        <v>3074629.5</v>
      </c>
      <c r="H8" s="17">
        <f t="shared" si="1"/>
        <v>217783.51553971347</v>
      </c>
      <c r="I8" s="17">
        <f t="shared" si="2"/>
        <v>2856845.9844602863</v>
      </c>
    </row>
    <row r="9" spans="1:9" ht="15.75" customHeight="1" x14ac:dyDescent="0.25">
      <c r="A9" s="5">
        <f t="shared" si="3"/>
        <v>2031</v>
      </c>
      <c r="B9" s="49">
        <v>187724</v>
      </c>
      <c r="C9" s="50">
        <v>595226.50000000012</v>
      </c>
      <c r="D9" s="50">
        <v>919998.5</v>
      </c>
      <c r="E9" s="50">
        <v>877315</v>
      </c>
      <c r="F9" s="50">
        <v>695652.5</v>
      </c>
      <c r="G9" s="17">
        <f t="shared" si="0"/>
        <v>3088192.5</v>
      </c>
      <c r="H9" s="17">
        <f t="shared" si="1"/>
        <v>216069.68163486212</v>
      </c>
      <c r="I9" s="17">
        <f t="shared" si="2"/>
        <v>2872122.818365138</v>
      </c>
    </row>
    <row r="10" spans="1:9" ht="15.75" customHeight="1" x14ac:dyDescent="0.25">
      <c r="A10" s="5">
        <f t="shared" si="3"/>
        <v>2032</v>
      </c>
      <c r="B10" s="49">
        <v>186859</v>
      </c>
      <c r="C10" s="50">
        <v>594289.5</v>
      </c>
      <c r="D10" s="50">
        <v>923004</v>
      </c>
      <c r="E10" s="50">
        <v>876905</v>
      </c>
      <c r="F10" s="50">
        <v>706882.5</v>
      </c>
      <c r="G10" s="17">
        <f t="shared" si="0"/>
        <v>3101081</v>
      </c>
      <c r="H10" s="17">
        <f t="shared" si="1"/>
        <v>215074.06959477055</v>
      </c>
      <c r="I10" s="17">
        <f t="shared" si="2"/>
        <v>2886006.9304052293</v>
      </c>
    </row>
    <row r="11" spans="1:9" ht="15.75" customHeight="1" x14ac:dyDescent="0.25">
      <c r="A11" s="5">
        <f t="shared" si="3"/>
        <v>2033</v>
      </c>
      <c r="B11" s="49">
        <v>185274</v>
      </c>
      <c r="C11" s="50">
        <v>592887.49999999988</v>
      </c>
      <c r="D11" s="50">
        <v>926364.5</v>
      </c>
      <c r="E11" s="50">
        <v>875613</v>
      </c>
      <c r="F11" s="50">
        <v>717156</v>
      </c>
      <c r="G11" s="17">
        <f t="shared" si="0"/>
        <v>3112021</v>
      </c>
      <c r="H11" s="17">
        <f t="shared" si="1"/>
        <v>213249.74001841771</v>
      </c>
      <c r="I11" s="17">
        <f t="shared" si="2"/>
        <v>2898771.2599815824</v>
      </c>
    </row>
    <row r="12" spans="1:9" ht="15.75" customHeight="1" x14ac:dyDescent="0.25">
      <c r="A12" s="5">
        <f t="shared" si="3"/>
        <v>2034</v>
      </c>
      <c r="B12" s="49">
        <v>184479</v>
      </c>
      <c r="C12" s="50">
        <v>590198.5</v>
      </c>
      <c r="D12" s="50">
        <v>930236</v>
      </c>
      <c r="E12" s="50">
        <v>873477.5</v>
      </c>
      <c r="F12" s="50">
        <v>726508</v>
      </c>
      <c r="G12" s="17">
        <f t="shared" si="0"/>
        <v>3120420</v>
      </c>
      <c r="H12" s="17">
        <f t="shared" si="1"/>
        <v>212334.69773879595</v>
      </c>
      <c r="I12" s="17">
        <f t="shared" si="2"/>
        <v>2908085.302261204</v>
      </c>
    </row>
    <row r="13" spans="1:9" ht="15.75" customHeight="1" x14ac:dyDescent="0.25">
      <c r="A13" s="5">
        <f t="shared" si="3"/>
        <v>2035</v>
      </c>
      <c r="B13" s="49">
        <v>183478</v>
      </c>
      <c r="C13" s="50">
        <v>586491.5</v>
      </c>
      <c r="D13" s="50">
        <v>934685</v>
      </c>
      <c r="E13" s="50">
        <v>870904.5</v>
      </c>
      <c r="F13" s="50">
        <v>735640.5</v>
      </c>
      <c r="G13" s="17">
        <f t="shared" si="0"/>
        <v>3127721.5</v>
      </c>
      <c r="H13" s="17">
        <f t="shared" si="1"/>
        <v>211182.55016407726</v>
      </c>
      <c r="I13" s="17">
        <f t="shared" si="2"/>
        <v>2916538.9498359226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nK3WBPArv2ByRhhOO6OsLrCPF9sw4R5m5H+RJAAujRiTGHWEHqhjaGA78fJkAG2fOqMNcG4zo0XBY0h4PtjBBA==" saltValue="5cQ3H5ox8h9t/RJiI8dTjQ==" spinCount="100000" sheet="1" objects="1" scenarios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600"/>
  </sheetPr>
  <dimension ref="A1:H35"/>
  <sheetViews>
    <sheetView topLeftCell="A2" zoomScale="115" zoomScaleNormal="115" workbookViewId="0">
      <selection activeCell="C11" sqref="C11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"Pourcentage des morts de l'année de référence ("&amp;start_year&amp;") imputable à chaque cause"</f>
        <v>Pourcentage des morts de l'année de référence (2024) imputable à chaque cause</v>
      </c>
      <c r="B1" s="29"/>
      <c r="C1" s="29"/>
      <c r="D1" s="29"/>
      <c r="E1" s="29"/>
      <c r="F1" s="29"/>
    </row>
    <row r="2" spans="1:8" ht="27.75" customHeight="1" x14ac:dyDescent="0.3">
      <c r="A2" t="s">
        <v>77</v>
      </c>
      <c r="B2" s="29" t="s">
        <v>1</v>
      </c>
      <c r="C2" s="29" t="s">
        <v>109</v>
      </c>
      <c r="D2" s="29"/>
      <c r="E2" s="29"/>
      <c r="F2" s="29"/>
      <c r="G2" s="29"/>
    </row>
    <row r="3" spans="1:8" ht="15.75" customHeight="1" x14ac:dyDescent="0.25">
      <c r="B3" s="19" t="s">
        <v>78</v>
      </c>
      <c r="C3" s="55">
        <v>6.0485993951400526E-3</v>
      </c>
    </row>
    <row r="4" spans="1:8" ht="15.75" customHeight="1" x14ac:dyDescent="0.25">
      <c r="B4" s="19" t="s">
        <v>79</v>
      </c>
      <c r="C4" s="101">
        <v>4.9121595087840433E-2</v>
      </c>
    </row>
    <row r="5" spans="1:8" ht="15.75" customHeight="1" x14ac:dyDescent="0.25">
      <c r="B5" s="19" t="s">
        <v>80</v>
      </c>
      <c r="C5" s="101">
        <v>5.8054994194500588E-2</v>
      </c>
    </row>
    <row r="6" spans="1:8" ht="15.75" customHeight="1" x14ac:dyDescent="0.25">
      <c r="B6" s="19" t="s">
        <v>81</v>
      </c>
      <c r="C6" s="101">
        <v>0.2258224774177521</v>
      </c>
    </row>
    <row r="7" spans="1:8" ht="15.75" customHeight="1" x14ac:dyDescent="0.25">
      <c r="B7" s="19" t="s">
        <v>82</v>
      </c>
      <c r="C7" s="101">
        <v>0.41603395839660451</v>
      </c>
    </row>
    <row r="8" spans="1:8" ht="15.75" customHeight="1" x14ac:dyDescent="0.25">
      <c r="B8" s="19" t="s">
        <v>83</v>
      </c>
      <c r="C8" s="101">
        <v>7.6059992394000723E-4</v>
      </c>
    </row>
    <row r="9" spans="1:8" ht="15.75" customHeight="1" x14ac:dyDescent="0.25">
      <c r="B9" s="19" t="s">
        <v>84</v>
      </c>
      <c r="C9" s="101">
        <v>0.12002648799735111</v>
      </c>
    </row>
    <row r="10" spans="1:8" ht="15.75" customHeight="1" x14ac:dyDescent="0.25">
      <c r="B10" s="19" t="s">
        <v>85</v>
      </c>
      <c r="C10" s="101">
        <v>0.1241312875868712</v>
      </c>
    </row>
    <row r="11" spans="1:8" ht="15.75" customHeight="1" x14ac:dyDescent="0.25">
      <c r="B11" s="27" t="s">
        <v>41</v>
      </c>
      <c r="C11" s="48">
        <f>SUM(C3:C10)</f>
        <v>1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86</v>
      </c>
      <c r="B13" s="29" t="s">
        <v>1</v>
      </c>
      <c r="C13" s="102" t="s">
        <v>96</v>
      </c>
      <c r="D13" s="102" t="s">
        <v>97</v>
      </c>
      <c r="E13" s="102" t="s">
        <v>98</v>
      </c>
      <c r="F13" s="102" t="s">
        <v>99</v>
      </c>
      <c r="G13" s="19"/>
    </row>
    <row r="14" spans="1:8" ht="15.75" customHeight="1" x14ac:dyDescent="0.25">
      <c r="B14" s="19" t="s">
        <v>87</v>
      </c>
      <c r="C14" s="55">
        <v>0.22912193097089231</v>
      </c>
      <c r="D14" s="55">
        <v>0.22912193097089231</v>
      </c>
      <c r="E14" s="55">
        <v>0.22912193097089231</v>
      </c>
      <c r="F14" s="55">
        <v>0.22912193097089231</v>
      </c>
    </row>
    <row r="15" spans="1:8" ht="15.75" customHeight="1" x14ac:dyDescent="0.25">
      <c r="B15" s="19" t="s">
        <v>88</v>
      </c>
      <c r="C15" s="101">
        <v>0.33937854022706387</v>
      </c>
      <c r="D15" s="101">
        <v>0.33937854022706387</v>
      </c>
      <c r="E15" s="101">
        <v>0.33937854022706387</v>
      </c>
      <c r="F15" s="101">
        <v>0.33937854022706387</v>
      </c>
    </row>
    <row r="16" spans="1:8" ht="15.75" customHeight="1" x14ac:dyDescent="0.25">
      <c r="B16" s="19" t="s">
        <v>89</v>
      </c>
      <c r="C16" s="101">
        <v>2.4245794754319878E-2</v>
      </c>
      <c r="D16" s="101">
        <v>2.4245794754319878E-2</v>
      </c>
      <c r="E16" s="101">
        <v>2.4245794754319878E-2</v>
      </c>
      <c r="F16" s="101">
        <v>2.4245794754319878E-2</v>
      </c>
    </row>
    <row r="17" spans="1:8" ht="15.75" customHeight="1" x14ac:dyDescent="0.25">
      <c r="B17" s="19" t="s">
        <v>90</v>
      </c>
      <c r="C17" s="101">
        <v>0</v>
      </c>
      <c r="D17" s="101">
        <v>0</v>
      </c>
      <c r="E17" s="101">
        <v>0</v>
      </c>
      <c r="F17" s="101">
        <v>0</v>
      </c>
    </row>
    <row r="18" spans="1:8" ht="15.75" customHeight="1" x14ac:dyDescent="0.25">
      <c r="B18" s="19" t="s">
        <v>91</v>
      </c>
      <c r="C18" s="101">
        <v>0</v>
      </c>
      <c r="D18" s="101">
        <v>0</v>
      </c>
      <c r="E18" s="101">
        <v>0</v>
      </c>
      <c r="F18" s="101">
        <v>0</v>
      </c>
    </row>
    <row r="19" spans="1:8" ht="15.75" customHeight="1" x14ac:dyDescent="0.25">
      <c r="B19" s="19" t="s">
        <v>92</v>
      </c>
      <c r="C19" s="101">
        <v>1.9051883133129489E-2</v>
      </c>
      <c r="D19" s="101">
        <v>1.9051883133129489E-2</v>
      </c>
      <c r="E19" s="101">
        <v>1.9051883133129489E-2</v>
      </c>
      <c r="F19" s="101">
        <v>1.9051883133129489E-2</v>
      </c>
    </row>
    <row r="20" spans="1:8" ht="15.75" customHeight="1" x14ac:dyDescent="0.25">
      <c r="B20" s="19" t="s">
        <v>93</v>
      </c>
      <c r="C20" s="101">
        <v>8.1477541633472317E-2</v>
      </c>
      <c r="D20" s="101">
        <v>8.1477541633472317E-2</v>
      </c>
      <c r="E20" s="101">
        <v>8.1477541633472317E-2</v>
      </c>
      <c r="F20" s="101">
        <v>8.1477541633472317E-2</v>
      </c>
    </row>
    <row r="21" spans="1:8" ht="15.75" customHeight="1" x14ac:dyDescent="0.25">
      <c r="B21" s="19" t="s">
        <v>94</v>
      </c>
      <c r="C21" s="101">
        <v>0.2065836120404724</v>
      </c>
      <c r="D21" s="101">
        <v>0.2065836120404724</v>
      </c>
      <c r="E21" s="101">
        <v>0.2065836120404724</v>
      </c>
      <c r="F21" s="101">
        <v>0.2065836120404724</v>
      </c>
    </row>
    <row r="22" spans="1:8" ht="15.75" customHeight="1" x14ac:dyDescent="0.25">
      <c r="B22" s="19" t="s">
        <v>95</v>
      </c>
      <c r="C22" s="101">
        <v>0.1001406972406497</v>
      </c>
      <c r="D22" s="101">
        <v>0.1001406972406497</v>
      </c>
      <c r="E22" s="101">
        <v>0.1001406972406497</v>
      </c>
      <c r="F22" s="101">
        <v>0.1001406972406497</v>
      </c>
    </row>
    <row r="23" spans="1:8" ht="15.75" customHeight="1" x14ac:dyDescent="0.25">
      <c r="B23" s="27" t="s">
        <v>41</v>
      </c>
      <c r="C23" s="48">
        <f>SUM(C14:C22)</f>
        <v>0.99999999999999989</v>
      </c>
      <c r="D23" s="48">
        <f>SUM(D14:D22)</f>
        <v>0.99999999999999989</v>
      </c>
      <c r="E23" s="48">
        <f>SUM(E14:E22)</f>
        <v>0.99999999999999989</v>
      </c>
      <c r="F23" s="48">
        <f>SUM(F14:F22)</f>
        <v>0.99999999999999989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100</v>
      </c>
      <c r="B25" s="29" t="s">
        <v>1</v>
      </c>
      <c r="C25" s="29" t="s">
        <v>100</v>
      </c>
      <c r="D25" s="19"/>
      <c r="E25" s="19"/>
      <c r="F25" s="19"/>
      <c r="G25" s="19"/>
      <c r="H25" s="19"/>
    </row>
    <row r="26" spans="1:8" ht="15.75" customHeight="1" x14ac:dyDescent="0.25">
      <c r="B26" s="19" t="s">
        <v>101</v>
      </c>
      <c r="C26" s="55">
        <v>5.8856121999999997E-2</v>
      </c>
    </row>
    <row r="27" spans="1:8" ht="15.75" customHeight="1" x14ac:dyDescent="0.25">
      <c r="B27" s="19" t="s">
        <v>102</v>
      </c>
      <c r="C27" s="101">
        <v>4.7339935000000007E-2</v>
      </c>
    </row>
    <row r="28" spans="1:8" ht="15.75" customHeight="1" x14ac:dyDescent="0.25">
      <c r="B28" s="19" t="s">
        <v>103</v>
      </c>
      <c r="C28" s="101">
        <v>4.6576617000000001E-2</v>
      </c>
    </row>
    <row r="29" spans="1:8" ht="15.75" customHeight="1" x14ac:dyDescent="0.25">
      <c r="B29" s="19" t="s">
        <v>104</v>
      </c>
      <c r="C29" s="101">
        <v>0.21685436999999999</v>
      </c>
    </row>
    <row r="30" spans="1:8" ht="15.75" customHeight="1" x14ac:dyDescent="0.25">
      <c r="B30" s="19" t="s">
        <v>2</v>
      </c>
      <c r="C30" s="101">
        <v>7.5345098999999999E-2</v>
      </c>
    </row>
    <row r="31" spans="1:8" ht="15.75" customHeight="1" x14ac:dyDescent="0.25">
      <c r="B31" s="19" t="s">
        <v>105</v>
      </c>
      <c r="C31" s="101">
        <v>9.5101964999999997E-2</v>
      </c>
    </row>
    <row r="32" spans="1:8" ht="15.75" customHeight="1" x14ac:dyDescent="0.25">
      <c r="B32" s="19" t="s">
        <v>106</v>
      </c>
      <c r="C32" s="101">
        <v>2.7365589999999999E-2</v>
      </c>
    </row>
    <row r="33" spans="2:3" ht="15.75" customHeight="1" x14ac:dyDescent="0.25">
      <c r="B33" s="19" t="s">
        <v>107</v>
      </c>
      <c r="C33" s="101">
        <v>0.17758110599999999</v>
      </c>
    </row>
    <row r="34" spans="2:3" ht="15.75" customHeight="1" x14ac:dyDescent="0.25">
      <c r="B34" s="19" t="s">
        <v>108</v>
      </c>
      <c r="C34" s="101">
        <v>0.25497919600000002</v>
      </c>
    </row>
    <row r="35" spans="2:3" ht="15.75" customHeight="1" x14ac:dyDescent="0.25">
      <c r="B35" s="27" t="s">
        <v>41</v>
      </c>
      <c r="C35" s="48">
        <f>SUM(C26:C34)</f>
        <v>1</v>
      </c>
    </row>
  </sheetData>
  <sheetProtection algorithmName="SHA-512" hashValue="N5pX3D/s34lvD0xEnYRP/qCOOB9mfgt7KbgmGAS4Oj/dzoN3EN9vsokDgKRXj03p07CHZiSsgslh6XyfJ0HE7A==" saltValue="EkCkGZWhnWrik0TiUbzzqg==" spinCount="100000" sheet="1" objects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600"/>
  </sheetPr>
  <dimension ref="A1:O17"/>
  <sheetViews>
    <sheetView zoomScaleNormal="100" workbookViewId="0">
      <selection activeCell="C2" sqref="C2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"Pourcentage de la population dans chaque catégorie pendant l'année de référence ("&amp;start_year&amp;")"</f>
        <v>Pourcentage de la population dans chaque catégorie pendant l'année de référence (2024)</v>
      </c>
      <c r="B1" s="1" t="s">
        <v>110</v>
      </c>
      <c r="C1" s="11" t="s">
        <v>109</v>
      </c>
      <c r="D1" s="11" t="s">
        <v>96</v>
      </c>
      <c r="E1" s="11" t="s">
        <v>97</v>
      </c>
      <c r="F1" s="11" t="s">
        <v>98</v>
      </c>
      <c r="G1" s="11" t="s">
        <v>99</v>
      </c>
    </row>
    <row r="2" spans="1:15" ht="15.75" customHeight="1" x14ac:dyDescent="0.25">
      <c r="A2" s="3" t="s">
        <v>111</v>
      </c>
      <c r="B2" s="5" t="s">
        <v>112</v>
      </c>
      <c r="C2" s="52">
        <f>IFERROR(1-_xlfn.NORM.DIST(_xlfn.NORM.INV(SUM(C4:C5), 0, 1) + 1, 0, 1, TRUE), "")</f>
        <v>0.56451777559473926</v>
      </c>
      <c r="D2" s="52">
        <f>IFERROR(1-_xlfn.NORM.DIST(_xlfn.NORM.INV(SUM(D4:D5), 0, 1) + 1, 0, 1, TRUE), "")</f>
        <v>0.56451777559473926</v>
      </c>
      <c r="E2" s="52">
        <f>IFERROR(1-_xlfn.NORM.DIST(_xlfn.NORM.INV(SUM(E4:E5), 0, 1) + 1, 0, 1, TRUE), "")</f>
        <v>0.70269768048653758</v>
      </c>
      <c r="F2" s="52">
        <f>IFERROR(1-_xlfn.NORM.DIST(_xlfn.NORM.INV(SUM(F4:F5), 0, 1) + 1, 0, 1, TRUE), "")</f>
        <v>0.62585908305863014</v>
      </c>
      <c r="G2" s="52">
        <f>IFERROR(1-_xlfn.NORM.DIST(_xlfn.NORM.INV(SUM(G4:G5), 0, 1) + 1, 0, 1, TRUE), "")</f>
        <v>0.74035421417892222</v>
      </c>
    </row>
    <row r="3" spans="1:15" ht="15.75" customHeight="1" x14ac:dyDescent="0.25">
      <c r="B3" s="5" t="s">
        <v>113</v>
      </c>
      <c r="C3" s="52">
        <f>IFERROR(_xlfn.NORM.DIST(_xlfn.NORM.INV(SUM(C4:C5), 0, 1) + 1, 0, 1, TRUE) - SUM(C4:C5), "")</f>
        <v>0.31295252440526078</v>
      </c>
      <c r="D3" s="52">
        <f>IFERROR(_xlfn.NORM.DIST(_xlfn.NORM.INV(SUM(D4:D5), 0, 1) + 1, 0, 1, TRUE) - SUM(D4:D5), "")</f>
        <v>0.31295252440526078</v>
      </c>
      <c r="E3" s="52">
        <f>IFERROR(_xlfn.NORM.DIST(_xlfn.NORM.INV(SUM(E4:E5), 0, 1) + 1, 0, 1, TRUE) - SUM(E4:E5), "")</f>
        <v>0.23456271951346241</v>
      </c>
      <c r="F3" s="52">
        <f>IFERROR(_xlfn.NORM.DIST(_xlfn.NORM.INV(SUM(F4:F5), 0, 1) + 1, 0, 1, TRUE) - SUM(F4:F5), "")</f>
        <v>0.28087451694136989</v>
      </c>
      <c r="G3" s="52">
        <f>IFERROR(_xlfn.NORM.DIST(_xlfn.NORM.INV(SUM(G4:G5), 0, 1) + 1, 0, 1, TRUE) - SUM(G4:G5), "")</f>
        <v>0.20960288582107778</v>
      </c>
    </row>
    <row r="4" spans="1:15" ht="15.75" customHeight="1" x14ac:dyDescent="0.25">
      <c r="B4" s="5" t="s">
        <v>114</v>
      </c>
      <c r="C4" s="45">
        <v>8.5166599999999995E-2</v>
      </c>
      <c r="D4" s="53">
        <v>8.5166599999999995E-2</v>
      </c>
      <c r="E4" s="53">
        <v>4.03513E-2</v>
      </c>
      <c r="F4" s="53">
        <v>7.684980000000001E-2</v>
      </c>
      <c r="G4" s="53">
        <v>3.9599099999999998E-2</v>
      </c>
    </row>
    <row r="5" spans="1:15" ht="15.75" customHeight="1" x14ac:dyDescent="0.25">
      <c r="B5" s="5" t="s">
        <v>115</v>
      </c>
      <c r="C5" s="45">
        <v>3.7363100000000003E-2</v>
      </c>
      <c r="D5" s="53">
        <v>3.7363100000000003E-2</v>
      </c>
      <c r="E5" s="53">
        <v>2.23883E-2</v>
      </c>
      <c r="F5" s="53">
        <v>1.64166E-2</v>
      </c>
      <c r="G5" s="53">
        <v>1.04438E-2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116</v>
      </c>
      <c r="B8" s="5" t="s">
        <v>117</v>
      </c>
      <c r="C8" s="52">
        <f>IFERROR(1-_xlfn.NORM.DIST(_xlfn.NORM.INV(SUM(C10:C11), 0, 1) + 1, 0, 1, TRUE), "")</f>
        <v>0.75758766672667432</v>
      </c>
      <c r="D8" s="52">
        <f>IFERROR(1-_xlfn.NORM.DIST(_xlfn.NORM.INV(SUM(D10:D11), 0, 1) + 1, 0, 1, TRUE), "")</f>
        <v>0.75758766672667432</v>
      </c>
      <c r="E8" s="52">
        <f>IFERROR(1-_xlfn.NORM.DIST(_xlfn.NORM.INV(SUM(E10:E11), 0, 1) + 1, 0, 1, TRUE), "")</f>
        <v>0.78507651918548071</v>
      </c>
      <c r="F8" s="52">
        <f>IFERROR(1-_xlfn.NORM.DIST(_xlfn.NORM.INV(SUM(F10:F11), 0, 1) + 1, 0, 1, TRUE), "")</f>
        <v>0.87866206668305002</v>
      </c>
      <c r="G8" s="52">
        <f>IFERROR(1-_xlfn.NORM.DIST(_xlfn.NORM.INV(SUM(G10:G11), 0, 1) + 1, 0, 1, TRUE), "")</f>
        <v>0.86623189282990609</v>
      </c>
    </row>
    <row r="9" spans="1:15" ht="15.75" customHeight="1" x14ac:dyDescent="0.25">
      <c r="B9" s="5" t="s">
        <v>118</v>
      </c>
      <c r="C9" s="52">
        <f>IFERROR(_xlfn.NORM.DIST(_xlfn.NORM.INV(SUM(C10:C11), 0, 1) + 1, 0, 1, TRUE) - SUM(C10:C11), "")</f>
        <v>0.19771163327332564</v>
      </c>
      <c r="D9" s="52">
        <f>IFERROR(_xlfn.NORM.DIST(_xlfn.NORM.INV(SUM(D10:D11), 0, 1) + 1, 0, 1, TRUE) - SUM(D10:D11), "")</f>
        <v>0.19771163327332564</v>
      </c>
      <c r="E9" s="52">
        <f>IFERROR(_xlfn.NORM.DIST(_xlfn.NORM.INV(SUM(E10:E11), 0, 1) + 1, 0, 1, TRUE) - SUM(E10:E11), "")</f>
        <v>0.17815258081451935</v>
      </c>
      <c r="F9" s="52">
        <f>IFERROR(_xlfn.NORM.DIST(_xlfn.NORM.INV(SUM(F10:F11), 0, 1) + 1, 0, 1, TRUE) - SUM(F10:F11), "")</f>
        <v>0.10627093331694996</v>
      </c>
      <c r="G9" s="52">
        <f>IFERROR(_xlfn.NORM.DIST(_xlfn.NORM.INV(SUM(G10:G11), 0, 1) + 1, 0, 1, TRUE) - SUM(G10:G11), "")</f>
        <v>0.11628520717009388</v>
      </c>
    </row>
    <row r="10" spans="1:15" ht="15.75" customHeight="1" x14ac:dyDescent="0.25">
      <c r="B10" s="5" t="s">
        <v>119</v>
      </c>
      <c r="C10" s="45">
        <v>4.1314399999999987E-2</v>
      </c>
      <c r="D10" s="53">
        <v>4.1314399999999987E-2</v>
      </c>
      <c r="E10" s="53">
        <v>2.36829E-2</v>
      </c>
      <c r="F10" s="53">
        <v>1.12078E-2</v>
      </c>
      <c r="G10" s="53">
        <v>1.31965E-2</v>
      </c>
    </row>
    <row r="11" spans="1:15" ht="15.75" customHeight="1" x14ac:dyDescent="0.25">
      <c r="B11" s="5" t="s">
        <v>120</v>
      </c>
      <c r="C11" s="45">
        <v>3.3863000000000001E-3</v>
      </c>
      <c r="D11" s="53">
        <v>3.3863000000000001E-3</v>
      </c>
      <c r="E11" s="53">
        <v>1.3088000000000001E-2</v>
      </c>
      <c r="F11" s="53">
        <v>3.8592000000000001E-3</v>
      </c>
      <c r="G11" s="53">
        <v>4.2864000000000001E-3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121</v>
      </c>
      <c r="C13" s="11" t="s">
        <v>109</v>
      </c>
      <c r="D13" s="11" t="s">
        <v>96</v>
      </c>
      <c r="E13" s="11" t="s">
        <v>97</v>
      </c>
      <c r="F13" s="11" t="s">
        <v>98</v>
      </c>
      <c r="G13" s="11" t="s">
        <v>99</v>
      </c>
      <c r="H13" s="18" t="s">
        <v>122</v>
      </c>
      <c r="I13" s="18" t="s">
        <v>123</v>
      </c>
      <c r="J13" s="18" t="s">
        <v>124</v>
      </c>
      <c r="K13" s="18" t="s">
        <v>125</v>
      </c>
      <c r="L13" s="18" t="s">
        <v>69</v>
      </c>
      <c r="M13" s="18" t="s">
        <v>70</v>
      </c>
      <c r="N13" s="18" t="s">
        <v>71</v>
      </c>
      <c r="O13" s="18" t="s">
        <v>72</v>
      </c>
    </row>
    <row r="14" spans="1:15" ht="15.75" customHeight="1" x14ac:dyDescent="0.25">
      <c r="B14" s="11" t="s">
        <v>126</v>
      </c>
      <c r="C14" s="51">
        <v>0.50174759925000001</v>
      </c>
      <c r="D14" s="54">
        <v>0.46968953879899999</v>
      </c>
      <c r="E14" s="54">
        <v>0.46968953879899999</v>
      </c>
      <c r="F14" s="54">
        <v>0.20441530939300001</v>
      </c>
      <c r="G14" s="54">
        <v>0.20441530939300001</v>
      </c>
      <c r="H14" s="45">
        <v>0.32600000000000001</v>
      </c>
      <c r="I14" s="55">
        <v>0.32600000000000001</v>
      </c>
      <c r="J14" s="55">
        <v>0.32600000000000001</v>
      </c>
      <c r="K14" s="55">
        <v>0.32600000000000001</v>
      </c>
      <c r="L14" s="45">
        <v>0.29599999999999999</v>
      </c>
      <c r="M14" s="55">
        <v>0.29599999999999999</v>
      </c>
      <c r="N14" s="55">
        <v>0.29599999999999999</v>
      </c>
      <c r="O14" s="55">
        <v>0.29599999999999999</v>
      </c>
    </row>
    <row r="15" spans="1:15" ht="15.75" customHeight="1" x14ac:dyDescent="0.25">
      <c r="B15" s="11" t="s">
        <v>127</v>
      </c>
      <c r="C15" s="52">
        <f t="shared" ref="C15:O15" si="0">iron_deficiency_anaemia*C14</f>
        <v>0.27483024049879046</v>
      </c>
      <c r="D15" s="52">
        <f t="shared" si="0"/>
        <v>0.25727056611899701</v>
      </c>
      <c r="E15" s="52">
        <f t="shared" si="0"/>
        <v>0.25727056611899701</v>
      </c>
      <c r="F15" s="52">
        <f t="shared" si="0"/>
        <v>0.11196766805877817</v>
      </c>
      <c r="G15" s="52">
        <f t="shared" si="0"/>
        <v>0.11196766805877817</v>
      </c>
      <c r="H15" s="52">
        <f t="shared" si="0"/>
        <v>0.17856519599999998</v>
      </c>
      <c r="I15" s="52">
        <f t="shared" si="0"/>
        <v>0.17856519599999998</v>
      </c>
      <c r="J15" s="52">
        <f t="shared" si="0"/>
        <v>0.17856519599999998</v>
      </c>
      <c r="K15" s="52">
        <f t="shared" si="0"/>
        <v>0.17856519599999998</v>
      </c>
      <c r="L15" s="52">
        <f t="shared" si="0"/>
        <v>0.16213281599999999</v>
      </c>
      <c r="M15" s="52">
        <f t="shared" si="0"/>
        <v>0.16213281599999999</v>
      </c>
      <c r="N15" s="52">
        <f t="shared" si="0"/>
        <v>0.16213281599999999</v>
      </c>
      <c r="O15" s="52">
        <f t="shared" si="0"/>
        <v>0.16213281599999999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twRvzEXcyH0A4gjoNxuDL8bW82JhtFa+DcUQDj3dqFfIbtSCfaTcPKTzmVfRfSh9BZXGjkDnKENsdkoECq2iWw==" saltValue="L4dWWGR/TvKrGarCCujLF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600"/>
  </sheetPr>
  <dimension ref="A1:G5"/>
  <sheetViews>
    <sheetView zoomScaleNormal="100" workbookViewId="0">
      <selection activeCell="E2" sqref="E2:G4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"Pourcentage des enfants dans chaque catégorie pendant l'année de référence ("&amp;start_year&amp;")"</f>
        <v>Pourcentage des enfants dans chaque catégorie pendant l'année de référence (2024)</v>
      </c>
      <c r="B1" s="1" t="s">
        <v>110</v>
      </c>
      <c r="C1" s="8" t="s">
        <v>109</v>
      </c>
      <c r="D1" s="8" t="s">
        <v>96</v>
      </c>
      <c r="E1" s="8" t="s">
        <v>97</v>
      </c>
      <c r="F1" s="8" t="s">
        <v>98</v>
      </c>
      <c r="G1" s="8" t="s">
        <v>99</v>
      </c>
    </row>
    <row r="2" spans="1:7" x14ac:dyDescent="0.25">
      <c r="A2" s="3" t="s">
        <v>128</v>
      </c>
      <c r="B2" s="3" t="s">
        <v>129</v>
      </c>
      <c r="C2" s="45">
        <v>0.29937930000000001</v>
      </c>
      <c r="D2" s="53">
        <v>0.1093624</v>
      </c>
      <c r="E2" s="53">
        <v>0</v>
      </c>
      <c r="F2" s="53">
        <v>0</v>
      </c>
      <c r="G2" s="53">
        <v>0</v>
      </c>
    </row>
    <row r="3" spans="1:7" x14ac:dyDescent="0.25">
      <c r="B3" s="3" t="s">
        <v>130</v>
      </c>
      <c r="C3" s="53">
        <v>0.1089856</v>
      </c>
      <c r="D3" s="53">
        <v>8.7410599999999991E-2</v>
      </c>
      <c r="E3" s="53">
        <v>0</v>
      </c>
      <c r="F3" s="53">
        <v>0</v>
      </c>
      <c r="G3" s="53">
        <v>0</v>
      </c>
    </row>
    <row r="4" spans="1:7" x14ac:dyDescent="0.25">
      <c r="B4" s="3" t="s">
        <v>131</v>
      </c>
      <c r="C4" s="53">
        <v>0.49956450000000002</v>
      </c>
      <c r="D4" s="53">
        <v>0.55019019999999996</v>
      </c>
      <c r="E4" s="53">
        <v>0.41668080000000002</v>
      </c>
      <c r="F4" s="53">
        <v>0.2156785</v>
      </c>
      <c r="G4" s="53">
        <v>0</v>
      </c>
    </row>
    <row r="5" spans="1:7" x14ac:dyDescent="0.25">
      <c r="B5" s="3" t="s">
        <v>132</v>
      </c>
      <c r="C5" s="52">
        <v>9.2070600000000002E-2</v>
      </c>
      <c r="D5" s="52">
        <v>0.25303680000000001</v>
      </c>
      <c r="E5" s="52">
        <f>1-SUM(E2:E4)</f>
        <v>0.58331920000000004</v>
      </c>
      <c r="F5" s="52">
        <f>1-SUM(F2:F4)</f>
        <v>0.7843215</v>
      </c>
      <c r="G5" s="52">
        <f>1-SUM(G2:G4)</f>
        <v>1</v>
      </c>
    </row>
  </sheetData>
  <sheetProtection algorithmName="SHA-512" hashValue="aGTmsXfNx2fxKAhez7/cwo36Zxt0OZmb5c/I/1vpq02UmvbK5IxMZvi1k0TkL9xcf5aLuPqv+ijqIBEfxnUDUQ==" saltValue="K/+yLYvYoo6cOs5t+HXI5A==" spinCount="100000" sheet="1" objects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7600"/>
  </sheetPr>
  <dimension ref="A1:K14"/>
  <sheetViews>
    <sheetView zoomScale="115" zoomScaleNormal="115" workbookViewId="0">
      <selection activeCell="D26" sqref="D26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customHeight="1" x14ac:dyDescent="0.3">
      <c r="A1" s="4" t="s">
        <v>133</v>
      </c>
      <c r="B1" s="4" t="s">
        <v>3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ht="13.25" customHeight="1" x14ac:dyDescent="0.25">
      <c r="A2" t="s">
        <v>134</v>
      </c>
      <c r="B2" s="9" t="s">
        <v>143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ht="13.25" customHeight="1" x14ac:dyDescent="0.25">
      <c r="B3" s="9"/>
    </row>
    <row r="4" spans="1:11" ht="13.25" customHeight="1" x14ac:dyDescent="0.25">
      <c r="A4" t="s">
        <v>135</v>
      </c>
      <c r="B4" s="9" t="s">
        <v>143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ht="13.25" customHeight="1" x14ac:dyDescent="0.25">
      <c r="B5" s="9"/>
    </row>
    <row r="6" spans="1:11" ht="13.25" customHeight="1" x14ac:dyDescent="0.25">
      <c r="A6" t="s">
        <v>136</v>
      </c>
      <c r="B6" s="9" t="s">
        <v>143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ht="13.25" customHeight="1" x14ac:dyDescent="0.25">
      <c r="B7" s="9" t="s">
        <v>100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ht="13.25" customHeight="1" x14ac:dyDescent="0.25">
      <c r="B8" s="9" t="s">
        <v>137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ht="13.25" customHeight="1" x14ac:dyDescent="0.25">
      <c r="A10" t="s">
        <v>138</v>
      </c>
      <c r="B10" s="11" t="s">
        <v>139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3.25" customHeight="1" x14ac:dyDescent="0.25">
      <c r="B11" s="11" t="s">
        <v>140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ht="13.25" customHeight="1" x14ac:dyDescent="0.25">
      <c r="A13" s="8" t="s">
        <v>43</v>
      </c>
      <c r="B13" s="11" t="s">
        <v>141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3.25" customHeight="1" x14ac:dyDescent="0.25">
      <c r="B14" s="11" t="s">
        <v>142</v>
      </c>
      <c r="C14" s="23"/>
      <c r="D14" s="23"/>
      <c r="E14" s="23"/>
      <c r="F14" s="23"/>
      <c r="G14" s="23"/>
      <c r="H14" s="23"/>
      <c r="I14" s="23"/>
      <c r="J14" s="23"/>
      <c r="K14" s="23"/>
    </row>
  </sheetData>
  <sheetProtection algorithmName="SHA-512" hashValue="jBA1RNeobxOkCAVPIm6lhMTUNPlUtWkn+XRgcdk5Ml6fM6mqLdsmJLjFtKbtwTUL7XZ+EhQ6YPdad9vyHu+Z1g==" saltValue="L7yLvDjs5FG3MpBnuRxTNg==" spinCount="100000" sheet="1" objects="1" scenarios="1"/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7600"/>
  </sheetPr>
  <dimension ref="A1:B7"/>
  <sheetViews>
    <sheetView workbookViewId="0">
      <selection activeCell="B5" sqref="B5"/>
    </sheetView>
  </sheetViews>
  <sheetFormatPr defaultRowHeight="12.5" x14ac:dyDescent="0.25"/>
  <cols>
    <col min="1" max="1" width="36.453125" bestFit="1" customWidth="1"/>
    <col min="2" max="2" width="15.36328125" customWidth="1"/>
  </cols>
  <sheetData>
    <row r="1" spans="1:2" ht="13" customHeight="1" x14ac:dyDescent="0.3">
      <c r="A1" s="4" t="s">
        <v>4</v>
      </c>
      <c r="B1" s="4" t="s">
        <v>144</v>
      </c>
    </row>
    <row r="2" spans="1:2" ht="13.25" customHeight="1" x14ac:dyDescent="0.25">
      <c r="A2" s="8" t="s">
        <v>145</v>
      </c>
      <c r="B2" s="41">
        <v>10</v>
      </c>
    </row>
    <row r="3" spans="1:2" ht="13.25" customHeight="1" x14ac:dyDescent="0.25">
      <c r="A3" s="8" t="s">
        <v>150</v>
      </c>
      <c r="B3" s="41">
        <v>10</v>
      </c>
    </row>
    <row r="4" spans="1:2" ht="13.25" customHeight="1" x14ac:dyDescent="0.25">
      <c r="A4" s="8" t="s">
        <v>146</v>
      </c>
      <c r="B4" s="41">
        <v>10</v>
      </c>
    </row>
    <row r="5" spans="1:2" ht="13.25" customHeight="1" x14ac:dyDescent="0.25">
      <c r="A5" s="8" t="s">
        <v>147</v>
      </c>
      <c r="B5" s="41">
        <v>10</v>
      </c>
    </row>
    <row r="6" spans="1:2" ht="13.25" customHeight="1" x14ac:dyDescent="0.25">
      <c r="A6" s="8" t="s">
        <v>148</v>
      </c>
      <c r="B6" s="41">
        <v>10</v>
      </c>
    </row>
    <row r="7" spans="1:2" ht="13.25" customHeight="1" x14ac:dyDescent="0.25">
      <c r="A7" s="8" t="s">
        <v>149</v>
      </c>
      <c r="B7" s="41">
        <v>10</v>
      </c>
    </row>
  </sheetData>
  <sheetProtection algorithmName="SHA-512" hashValue="6tqXcw208mYg0xbgjI4c5AYCxoGeZV9X17wbqe6Go0F31sAMV+i6b8IbSqIdKeEJuxbxsINoWr3UTtts/N8b1w==" saltValue="R7Cafe8iIJsAoQvMv6d3nQ==" spinCount="100000" sheet="1" objects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7" tint="-0.249977111117893"/>
  </sheetPr>
  <dimension ref="A1:E21"/>
  <sheetViews>
    <sheetView zoomScale="115" zoomScaleNormal="115" workbookViewId="0">
      <selection activeCell="D4" sqref="D4:D6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4" width="11.453125" style="8" customWidth="1"/>
    <col min="5" max="16384" width="11.453125" style="8"/>
  </cols>
  <sheetData>
    <row r="1" spans="1:5" ht="13" customHeight="1" x14ac:dyDescent="0.3">
      <c r="A1" s="35" t="s">
        <v>151</v>
      </c>
      <c r="B1" s="36" t="s">
        <v>152</v>
      </c>
      <c r="C1" s="36" t="s">
        <v>153</v>
      </c>
      <c r="D1" s="36" t="s">
        <v>154</v>
      </c>
      <c r="E1" s="36" t="s">
        <v>155</v>
      </c>
    </row>
    <row r="2" spans="1:5" ht="13" customHeight="1" x14ac:dyDescent="0.3">
      <c r="A2" s="34" t="s">
        <v>157</v>
      </c>
      <c r="B2" s="32" t="s">
        <v>100</v>
      </c>
      <c r="C2" s="47"/>
      <c r="D2" s="47"/>
      <c r="E2" s="38" t="str">
        <f>IF(E$7="","",E$7)</f>
        <v/>
      </c>
    </row>
    <row r="3" spans="1:5" ht="13.25" customHeight="1" x14ac:dyDescent="0.25">
      <c r="B3" s="32" t="s">
        <v>109</v>
      </c>
      <c r="C3" s="47"/>
      <c r="D3" s="47" t="s">
        <v>5</v>
      </c>
      <c r="E3" s="38" t="str">
        <f>IF(E$7="","",E$7)</f>
        <v/>
      </c>
    </row>
    <row r="4" spans="1:5" ht="13.25" customHeight="1" x14ac:dyDescent="0.25">
      <c r="B4" s="32" t="s">
        <v>96</v>
      </c>
      <c r="C4" s="47"/>
      <c r="D4" s="47" t="s">
        <v>5</v>
      </c>
      <c r="E4" s="38" t="str">
        <f>IF(E$7="","",E$7)</f>
        <v/>
      </c>
    </row>
    <row r="5" spans="1:5" ht="13.25" customHeight="1" x14ac:dyDescent="0.25">
      <c r="B5" s="32" t="s">
        <v>97</v>
      </c>
      <c r="C5" s="47"/>
      <c r="D5" s="47" t="s">
        <v>5</v>
      </c>
      <c r="E5" s="38" t="str">
        <f>IF(E$7="","",E$7)</f>
        <v/>
      </c>
    </row>
    <row r="6" spans="1:5" ht="13.25" customHeight="1" x14ac:dyDescent="0.25">
      <c r="B6" s="32" t="s">
        <v>98</v>
      </c>
      <c r="C6" s="47"/>
      <c r="D6" s="47" t="s">
        <v>5</v>
      </c>
      <c r="E6" s="38" t="str">
        <f>IF(E$7="","",E$7)</f>
        <v/>
      </c>
    </row>
    <row r="7" spans="1:5" ht="13.25" customHeight="1" x14ac:dyDescent="0.25">
      <c r="B7" s="32" t="s">
        <v>156</v>
      </c>
      <c r="C7" s="31"/>
      <c r="D7" s="30"/>
      <c r="E7" s="47"/>
    </row>
    <row r="9" spans="1:5" ht="13" customHeight="1" x14ac:dyDescent="0.3">
      <c r="A9" s="34" t="s">
        <v>158</v>
      </c>
      <c r="B9" s="32" t="s">
        <v>100</v>
      </c>
      <c r="C9" s="47"/>
      <c r="D9" s="47"/>
      <c r="E9" s="38" t="str">
        <f>IF(E$7="","",E$7)</f>
        <v/>
      </c>
    </row>
    <row r="10" spans="1:5" ht="13.25" customHeight="1" x14ac:dyDescent="0.25">
      <c r="B10" s="32" t="s">
        <v>109</v>
      </c>
      <c r="C10" s="47"/>
      <c r="D10" s="47"/>
      <c r="E10" s="38" t="str">
        <f>IF(E$7="","",E$7)</f>
        <v/>
      </c>
    </row>
    <row r="11" spans="1:5" ht="13.25" customHeight="1" x14ac:dyDescent="0.25">
      <c r="B11" s="32" t="s">
        <v>96</v>
      </c>
      <c r="C11" s="47"/>
      <c r="D11" s="47"/>
      <c r="E11" s="38" t="str">
        <f>IF(E$7="","",E$7)</f>
        <v/>
      </c>
    </row>
    <row r="12" spans="1:5" ht="13.25" customHeight="1" x14ac:dyDescent="0.25">
      <c r="B12" s="32" t="s">
        <v>97</v>
      </c>
      <c r="C12" s="47"/>
      <c r="D12" s="47" t="s">
        <v>5</v>
      </c>
      <c r="E12" s="38" t="str">
        <f>IF(E$7="","",E$7)</f>
        <v/>
      </c>
    </row>
    <row r="13" spans="1:5" ht="13.25" customHeight="1" x14ac:dyDescent="0.25">
      <c r="B13" s="32" t="s">
        <v>98</v>
      </c>
      <c r="C13" s="47"/>
      <c r="D13" s="47" t="s">
        <v>5</v>
      </c>
      <c r="E13" s="38" t="str">
        <f>IF(E$7="","",E$7)</f>
        <v/>
      </c>
    </row>
    <row r="14" spans="1:5" ht="13.25" customHeight="1" x14ac:dyDescent="0.25">
      <c r="B14" s="32" t="s">
        <v>156</v>
      </c>
      <c r="C14" s="31"/>
      <c r="D14" s="30"/>
      <c r="E14" s="47"/>
    </row>
    <row r="16" spans="1:5" ht="13" customHeight="1" x14ac:dyDescent="0.3">
      <c r="A16" s="34" t="s">
        <v>159</v>
      </c>
      <c r="B16" s="32" t="s">
        <v>100</v>
      </c>
      <c r="C16" s="47"/>
      <c r="D16" s="47" t="s">
        <v>5</v>
      </c>
      <c r="E16" s="38" t="str">
        <f>IF(E$7="","",E$7)</f>
        <v/>
      </c>
    </row>
    <row r="17" spans="2:5" ht="13.25" customHeight="1" x14ac:dyDescent="0.25">
      <c r="B17" s="32" t="s">
        <v>109</v>
      </c>
      <c r="C17" s="47"/>
      <c r="D17" s="47" t="s">
        <v>5</v>
      </c>
      <c r="E17" s="38" t="str">
        <f>IF(E$7="","",E$7)</f>
        <v/>
      </c>
    </row>
    <row r="18" spans="2:5" ht="13.25" customHeight="1" x14ac:dyDescent="0.25">
      <c r="B18" s="32" t="s">
        <v>96</v>
      </c>
      <c r="C18" s="47"/>
      <c r="D18" s="47" t="s">
        <v>5</v>
      </c>
      <c r="E18" s="38" t="str">
        <f>IF(E$7="","",E$7)</f>
        <v/>
      </c>
    </row>
    <row r="19" spans="2:5" x14ac:dyDescent="0.25">
      <c r="B19" s="32" t="s">
        <v>97</v>
      </c>
      <c r="C19" s="47"/>
      <c r="D19" s="47" t="s">
        <v>5</v>
      </c>
      <c r="E19" s="38" t="str">
        <f>IF(E$7="","",E$7)</f>
        <v/>
      </c>
    </row>
    <row r="20" spans="2:5" x14ac:dyDescent="0.25">
      <c r="B20" s="32" t="s">
        <v>98</v>
      </c>
      <c r="C20" s="47"/>
      <c r="D20" s="47" t="s">
        <v>5</v>
      </c>
      <c r="E20" s="38" t="str">
        <f>IF(E$7="","",E$7)</f>
        <v/>
      </c>
    </row>
    <row r="21" spans="2:5" x14ac:dyDescent="0.25">
      <c r="B21" s="32" t="s">
        <v>156</v>
      </c>
      <c r="C21" s="31"/>
      <c r="D21" s="30"/>
      <c r="E21" s="47"/>
    </row>
  </sheetData>
  <sheetProtection algorithmName="SHA-512" hashValue="HoLAChLybSdBeeabQd/AgfvXcMvxGSi9X6gMsQBGDcxkMejWOupr/XKiXeKwHZUIiL/cGRLo1kKxoBuXN52OVQ==" saltValue="uFaR3bnFexrBYMc/tGzwNw==" spinCount="100000" sheet="1" objects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7" tint="-0.249977111117893"/>
  </sheetPr>
  <dimension ref="A1:D3"/>
  <sheetViews>
    <sheetView zoomScale="145" zoomScaleNormal="145" workbookViewId="0">
      <selection activeCell="D2" sqref="D2:D3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customHeight="1" x14ac:dyDescent="0.3">
      <c r="A1" s="39" t="s">
        <v>0</v>
      </c>
      <c r="B1" s="36" t="s">
        <v>162</v>
      </c>
      <c r="C1" s="40" t="s">
        <v>6</v>
      </c>
      <c r="D1" s="40" t="s">
        <v>163</v>
      </c>
    </row>
    <row r="2" spans="1:4" ht="13" customHeight="1" x14ac:dyDescent="0.3">
      <c r="A2" s="40" t="s">
        <v>160</v>
      </c>
      <c r="B2" s="32" t="s">
        <v>161</v>
      </c>
      <c r="C2" s="32" t="s">
        <v>165</v>
      </c>
      <c r="D2" s="47"/>
    </row>
    <row r="3" spans="1:4" ht="13" customHeight="1" x14ac:dyDescent="0.3">
      <c r="A3" s="40" t="s">
        <v>164</v>
      </c>
      <c r="B3" s="32" t="s">
        <v>153</v>
      </c>
      <c r="C3" s="32" t="s">
        <v>154</v>
      </c>
      <c r="D3" s="47"/>
    </row>
  </sheetData>
  <sheetProtection algorithmName="SHA-512" hashValue="LHgYPdnJSCmloyxvEKWklW1PBLilJyfvw+UXJ0glsCwnDxBIeLxvBJFEU/+xf54v1LZ/BTL6cTsZz2pkeAYYDg==" saltValue="JbX99CeY3TpN2AiNb/D7dw==" spinCount="100000" sheet="1" objects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7" tint="-0.249977111117893"/>
  </sheetPr>
  <dimension ref="A1:G39"/>
  <sheetViews>
    <sheetView zoomScale="70" zoomScaleNormal="70" workbookViewId="0">
      <selection activeCell="E32" sqref="E32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8" width="14.453125" style="8" customWidth="1"/>
    <col min="9" max="16384" width="14.453125" style="8"/>
  </cols>
  <sheetData>
    <row r="1" spans="1:7" ht="26" customHeight="1" x14ac:dyDescent="0.3">
      <c r="A1" s="1" t="s">
        <v>160</v>
      </c>
      <c r="B1" s="22" t="str">
        <f>"Couverture de l'année de référence ("&amp;start_year&amp;")"</f>
        <v>Couverture de l'année de référence (2024)</v>
      </c>
      <c r="C1" s="22" t="s">
        <v>166</v>
      </c>
      <c r="D1" s="22" t="s">
        <v>202</v>
      </c>
      <c r="E1" s="22" t="s">
        <v>167</v>
      </c>
      <c r="F1" s="22" t="s">
        <v>203</v>
      </c>
      <c r="G1" s="22" t="s">
        <v>204</v>
      </c>
    </row>
    <row r="2" spans="1:7" ht="15.75" customHeight="1" x14ac:dyDescent="0.25">
      <c r="A2" s="5" t="s">
        <v>168</v>
      </c>
      <c r="B2" s="45">
        <v>0</v>
      </c>
      <c r="C2" s="98">
        <v>0.95</v>
      </c>
      <c r="D2" s="56">
        <v>74.474474607257392</v>
      </c>
      <c r="E2" s="56" t="s">
        <v>201</v>
      </c>
      <c r="F2" s="98">
        <v>1</v>
      </c>
      <c r="G2" s="98">
        <v>1</v>
      </c>
    </row>
    <row r="3" spans="1:7" ht="15.75" customHeight="1" x14ac:dyDescent="0.25">
      <c r="A3" s="5" t="s">
        <v>169</v>
      </c>
      <c r="B3" s="45">
        <v>0</v>
      </c>
      <c r="C3" s="98">
        <v>0.95</v>
      </c>
      <c r="D3" s="56">
        <v>40.248726453010633</v>
      </c>
      <c r="E3" s="56" t="s">
        <v>201</v>
      </c>
      <c r="F3" s="98">
        <v>1</v>
      </c>
      <c r="G3" s="98">
        <v>1</v>
      </c>
    </row>
    <row r="4" spans="1:7" ht="15.75" customHeight="1" x14ac:dyDescent="0.25">
      <c r="A4" s="5" t="s">
        <v>170</v>
      </c>
      <c r="B4" s="98">
        <v>0</v>
      </c>
      <c r="C4" s="98">
        <v>0.95</v>
      </c>
      <c r="D4" s="56">
        <v>672.22235357576801</v>
      </c>
      <c r="E4" s="56" t="s">
        <v>201</v>
      </c>
      <c r="F4" s="98">
        <v>1</v>
      </c>
      <c r="G4" s="98">
        <v>1</v>
      </c>
    </row>
    <row r="5" spans="1:7" ht="15.75" customHeight="1" x14ac:dyDescent="0.25">
      <c r="A5" s="5" t="s">
        <v>171</v>
      </c>
      <c r="B5" s="98">
        <v>0</v>
      </c>
      <c r="C5" s="98">
        <v>0.95</v>
      </c>
      <c r="D5" s="56">
        <v>1.4548957086199481</v>
      </c>
      <c r="E5" s="56" t="s">
        <v>201</v>
      </c>
      <c r="F5" s="98">
        <v>1</v>
      </c>
      <c r="G5" s="98">
        <v>1</v>
      </c>
    </row>
    <row r="6" spans="1:7" ht="15.75" customHeight="1" x14ac:dyDescent="0.25">
      <c r="A6" s="5" t="s">
        <v>172</v>
      </c>
      <c r="B6" s="98">
        <v>0</v>
      </c>
      <c r="C6" s="98">
        <v>0.95</v>
      </c>
      <c r="D6" s="56">
        <v>99.99</v>
      </c>
      <c r="E6" s="56" t="s">
        <v>201</v>
      </c>
      <c r="F6" s="98">
        <v>1</v>
      </c>
      <c r="G6" s="98">
        <v>1</v>
      </c>
    </row>
    <row r="7" spans="1:7" ht="15.75" customHeight="1" x14ac:dyDescent="0.25">
      <c r="A7" s="5" t="s">
        <v>173</v>
      </c>
      <c r="B7" s="98">
        <v>0</v>
      </c>
      <c r="C7" s="98">
        <v>0.95</v>
      </c>
      <c r="D7" s="56">
        <v>99.99</v>
      </c>
      <c r="E7" s="56" t="s">
        <v>201</v>
      </c>
      <c r="F7" s="98">
        <v>1</v>
      </c>
      <c r="G7" s="98">
        <v>1</v>
      </c>
    </row>
    <row r="8" spans="1:7" ht="15.75" customHeight="1" x14ac:dyDescent="0.25">
      <c r="A8" s="5" t="s">
        <v>174</v>
      </c>
      <c r="B8" s="98">
        <v>0</v>
      </c>
      <c r="C8" s="98">
        <v>0.95</v>
      </c>
      <c r="D8" s="56">
        <v>99.99</v>
      </c>
      <c r="E8" s="56" t="s">
        <v>201</v>
      </c>
      <c r="F8" s="98">
        <v>1</v>
      </c>
      <c r="G8" s="98">
        <v>1</v>
      </c>
    </row>
    <row r="9" spans="1:7" ht="15.75" customHeight="1" x14ac:dyDescent="0.25">
      <c r="A9" s="5" t="s">
        <v>175</v>
      </c>
      <c r="B9" s="98">
        <v>0</v>
      </c>
      <c r="C9" s="98">
        <v>0.95</v>
      </c>
      <c r="D9" s="56">
        <v>99.99</v>
      </c>
      <c r="E9" s="56" t="s">
        <v>201</v>
      </c>
      <c r="F9" s="98">
        <v>1</v>
      </c>
      <c r="G9" s="98">
        <v>1</v>
      </c>
    </row>
    <row r="10" spans="1:7" ht="15.75" customHeight="1" x14ac:dyDescent="0.25">
      <c r="A10" s="11" t="s">
        <v>176</v>
      </c>
      <c r="B10" s="45">
        <v>0.81492059999999999</v>
      </c>
      <c r="C10" s="98">
        <v>0.95</v>
      </c>
      <c r="D10" s="56">
        <v>13.38102589680655</v>
      </c>
      <c r="E10" s="56" t="s">
        <v>201</v>
      </c>
      <c r="F10" s="98">
        <v>1</v>
      </c>
      <c r="G10" s="98">
        <v>1</v>
      </c>
    </row>
    <row r="11" spans="1:7" ht="15.75" customHeight="1" x14ac:dyDescent="0.25">
      <c r="A11" s="11" t="s">
        <v>177</v>
      </c>
      <c r="B11" s="98">
        <v>0</v>
      </c>
      <c r="C11" s="98">
        <v>0.95</v>
      </c>
      <c r="D11" s="56">
        <v>13.38102589680655</v>
      </c>
      <c r="E11" s="56" t="s">
        <v>201</v>
      </c>
      <c r="F11" s="98">
        <v>1</v>
      </c>
      <c r="G11" s="98">
        <v>1</v>
      </c>
    </row>
    <row r="12" spans="1:7" ht="15.75" customHeight="1" x14ac:dyDescent="0.25">
      <c r="A12" s="11" t="s">
        <v>178</v>
      </c>
      <c r="B12" s="98">
        <v>0</v>
      </c>
      <c r="C12" s="98">
        <v>0.95</v>
      </c>
      <c r="D12" s="56">
        <v>13.38102589680655</v>
      </c>
      <c r="E12" s="56" t="s">
        <v>201</v>
      </c>
      <c r="F12" s="98">
        <v>1</v>
      </c>
      <c r="G12" s="98">
        <v>1</v>
      </c>
    </row>
    <row r="13" spans="1:7" ht="15.75" customHeight="1" x14ac:dyDescent="0.25">
      <c r="A13" s="11" t="s">
        <v>179</v>
      </c>
      <c r="B13" s="98">
        <v>0</v>
      </c>
      <c r="C13" s="98">
        <v>0.95</v>
      </c>
      <c r="D13" s="56">
        <v>13.38102589680655</v>
      </c>
      <c r="E13" s="56" t="s">
        <v>201</v>
      </c>
      <c r="F13" s="98">
        <v>1</v>
      </c>
      <c r="G13" s="98">
        <v>1</v>
      </c>
    </row>
    <row r="14" spans="1:7" ht="15.75" customHeight="1" x14ac:dyDescent="0.25">
      <c r="A14" s="5" t="s">
        <v>180</v>
      </c>
      <c r="B14" s="45">
        <v>0.81492059999999999</v>
      </c>
      <c r="C14" s="98">
        <v>0.95</v>
      </c>
      <c r="D14" s="56">
        <v>13.38102589680655</v>
      </c>
      <c r="E14" s="56" t="s">
        <v>201</v>
      </c>
      <c r="F14" s="98">
        <v>1</v>
      </c>
      <c r="G14" s="98">
        <v>1</v>
      </c>
    </row>
    <row r="15" spans="1:7" ht="15.75" customHeight="1" x14ac:dyDescent="0.25">
      <c r="A15" s="5" t="s">
        <v>181</v>
      </c>
      <c r="B15" s="98">
        <v>0</v>
      </c>
      <c r="C15" s="98">
        <v>0.95</v>
      </c>
      <c r="D15" s="56">
        <v>13.38102589680655</v>
      </c>
      <c r="E15" s="56" t="s">
        <v>201</v>
      </c>
      <c r="F15" s="98">
        <v>1</v>
      </c>
      <c r="G15" s="98">
        <v>1</v>
      </c>
    </row>
    <row r="16" spans="1:7" ht="15.75" customHeight="1" x14ac:dyDescent="0.25">
      <c r="A16" s="5" t="s">
        <v>182</v>
      </c>
      <c r="B16" s="45">
        <v>0</v>
      </c>
      <c r="C16" s="98">
        <v>0.95</v>
      </c>
      <c r="D16" s="56">
        <v>1.087791696701897</v>
      </c>
      <c r="E16" s="56" t="s">
        <v>201</v>
      </c>
      <c r="F16" s="98">
        <v>1</v>
      </c>
      <c r="G16" s="98">
        <v>1</v>
      </c>
    </row>
    <row r="17" spans="1:7" ht="15.75" customHeight="1" x14ac:dyDescent="0.25">
      <c r="A17" s="5" t="s">
        <v>183</v>
      </c>
      <c r="B17" s="98">
        <v>0</v>
      </c>
      <c r="C17" s="98">
        <v>0.95</v>
      </c>
      <c r="D17" s="56">
        <v>0.1369044839662158</v>
      </c>
      <c r="E17" s="56" t="s">
        <v>201</v>
      </c>
      <c r="F17" s="98">
        <v>1</v>
      </c>
      <c r="G17" s="98">
        <v>1</v>
      </c>
    </row>
    <row r="18" spans="1:7" ht="15.9" customHeight="1" x14ac:dyDescent="0.25">
      <c r="A18" s="5" t="s">
        <v>157</v>
      </c>
      <c r="B18" s="98">
        <v>0.1093624</v>
      </c>
      <c r="C18" s="98">
        <v>0.95</v>
      </c>
      <c r="D18" s="56">
        <v>15.41953529560689</v>
      </c>
      <c r="E18" s="56" t="s">
        <v>201</v>
      </c>
      <c r="F18" s="98">
        <v>1</v>
      </c>
      <c r="G18" s="98">
        <v>1</v>
      </c>
    </row>
    <row r="19" spans="1:7" ht="15.75" customHeight="1" x14ac:dyDescent="0.25">
      <c r="A19" s="5" t="s">
        <v>158</v>
      </c>
      <c r="B19" s="98">
        <v>0.1093624</v>
      </c>
      <c r="C19" s="98">
        <v>0.95</v>
      </c>
      <c r="D19" s="56">
        <v>15.41953529560689</v>
      </c>
      <c r="E19" s="56" t="s">
        <v>201</v>
      </c>
      <c r="F19" s="98">
        <v>1</v>
      </c>
      <c r="G19" s="98">
        <v>1</v>
      </c>
    </row>
    <row r="20" spans="1:7" ht="15.75" customHeight="1" x14ac:dyDescent="0.25">
      <c r="A20" s="5" t="s">
        <v>159</v>
      </c>
      <c r="B20" s="98">
        <v>0</v>
      </c>
      <c r="C20" s="98">
        <v>0.95</v>
      </c>
      <c r="D20" s="56">
        <v>99.99</v>
      </c>
      <c r="E20" s="56" t="s">
        <v>201</v>
      </c>
      <c r="F20" s="98">
        <v>1</v>
      </c>
      <c r="G20" s="98">
        <v>1</v>
      </c>
    </row>
    <row r="21" spans="1:7" ht="15.75" customHeight="1" x14ac:dyDescent="0.25">
      <c r="A21" s="5" t="s">
        <v>184</v>
      </c>
      <c r="B21" s="45">
        <v>0</v>
      </c>
      <c r="C21" s="98">
        <v>0.95</v>
      </c>
      <c r="D21" s="56">
        <v>14.364074593948059</v>
      </c>
      <c r="E21" s="56" t="s">
        <v>201</v>
      </c>
      <c r="F21" s="98">
        <v>1</v>
      </c>
      <c r="G21" s="98">
        <v>1</v>
      </c>
    </row>
    <row r="22" spans="1:7" ht="15.75" customHeight="1" x14ac:dyDescent="0.25">
      <c r="A22" s="5" t="s">
        <v>185</v>
      </c>
      <c r="B22" s="98">
        <v>0</v>
      </c>
      <c r="C22" s="98">
        <v>0.95</v>
      </c>
      <c r="D22" s="56">
        <v>23.284771098275488</v>
      </c>
      <c r="E22" s="56" t="s">
        <v>201</v>
      </c>
      <c r="F22" s="98">
        <v>1</v>
      </c>
      <c r="G22" s="98">
        <v>1</v>
      </c>
    </row>
    <row r="23" spans="1:7" ht="15.75" customHeight="1" x14ac:dyDescent="0.25">
      <c r="A23" s="5" t="s">
        <v>186</v>
      </c>
      <c r="B23" s="98">
        <v>0</v>
      </c>
      <c r="C23" s="98">
        <v>0.95</v>
      </c>
      <c r="D23" s="56">
        <v>4.5098666953578306</v>
      </c>
      <c r="E23" s="56" t="s">
        <v>201</v>
      </c>
      <c r="F23" s="98">
        <v>1</v>
      </c>
      <c r="G23" s="98">
        <v>1</v>
      </c>
    </row>
    <row r="24" spans="1:7" ht="15.75" customHeight="1" x14ac:dyDescent="0.25">
      <c r="A24" s="5" t="s">
        <v>187</v>
      </c>
      <c r="B24" s="45">
        <v>0.90352332409703906</v>
      </c>
      <c r="C24" s="98">
        <v>0.95</v>
      </c>
      <c r="D24" s="56">
        <v>99.99</v>
      </c>
      <c r="E24" s="56" t="s">
        <v>201</v>
      </c>
      <c r="F24" s="98">
        <v>1</v>
      </c>
      <c r="G24" s="98">
        <v>1</v>
      </c>
    </row>
    <row r="25" spans="1:7" ht="15.75" customHeight="1" x14ac:dyDescent="0.25">
      <c r="A25" s="5" t="s">
        <v>188</v>
      </c>
      <c r="B25" s="98">
        <v>0</v>
      </c>
      <c r="C25" s="98">
        <v>0.95</v>
      </c>
      <c r="D25" s="56">
        <v>99.99</v>
      </c>
      <c r="E25" s="56" t="s">
        <v>201</v>
      </c>
      <c r="F25" s="98">
        <v>1</v>
      </c>
      <c r="G25" s="98">
        <v>1</v>
      </c>
    </row>
    <row r="26" spans="1:7" ht="15.75" customHeight="1" x14ac:dyDescent="0.25">
      <c r="A26" s="5" t="s">
        <v>189</v>
      </c>
      <c r="B26" s="45">
        <v>0.81492059999999999</v>
      </c>
      <c r="C26" s="98">
        <v>0.95</v>
      </c>
      <c r="D26" s="56">
        <v>99.99</v>
      </c>
      <c r="E26" s="56" t="s">
        <v>201</v>
      </c>
      <c r="F26" s="98">
        <v>1</v>
      </c>
      <c r="G26" s="98">
        <v>1</v>
      </c>
    </row>
    <row r="27" spans="1:7" ht="15.75" customHeight="1" x14ac:dyDescent="0.25">
      <c r="A27" s="5" t="s">
        <v>190</v>
      </c>
      <c r="B27" s="45">
        <v>0</v>
      </c>
      <c r="C27" s="98">
        <v>0.95</v>
      </c>
      <c r="D27" s="56">
        <v>18.944297777473771</v>
      </c>
      <c r="E27" s="56" t="s">
        <v>201</v>
      </c>
      <c r="F27" s="98">
        <v>1</v>
      </c>
      <c r="G27" s="98">
        <v>1</v>
      </c>
    </row>
    <row r="28" spans="1:7" ht="15.75" customHeight="1" x14ac:dyDescent="0.25">
      <c r="A28" s="5" t="s">
        <v>191</v>
      </c>
      <c r="B28" s="45">
        <v>0.53186440000000001</v>
      </c>
      <c r="C28" s="98">
        <v>0.95</v>
      </c>
      <c r="D28" s="56">
        <v>99.99</v>
      </c>
      <c r="E28" s="56" t="s">
        <v>201</v>
      </c>
      <c r="F28" s="98">
        <v>1</v>
      </c>
      <c r="G28" s="98">
        <v>1</v>
      </c>
    </row>
    <row r="29" spans="1:7" ht="15.75" customHeight="1" x14ac:dyDescent="0.25">
      <c r="A29" s="5" t="s">
        <v>192</v>
      </c>
      <c r="B29" s="45">
        <v>0.51067689999999999</v>
      </c>
      <c r="C29" s="98">
        <v>0.95</v>
      </c>
      <c r="D29" s="56">
        <v>151.1814173381797</v>
      </c>
      <c r="E29" s="56" t="s">
        <v>201</v>
      </c>
      <c r="F29" s="98">
        <v>1</v>
      </c>
      <c r="G29" s="98">
        <v>1</v>
      </c>
    </row>
    <row r="30" spans="1:7" ht="15.75" customHeight="1" x14ac:dyDescent="0.25">
      <c r="A30" s="5" t="s">
        <v>205</v>
      </c>
      <c r="B30" s="98">
        <v>0</v>
      </c>
      <c r="C30" s="98">
        <v>0.95</v>
      </c>
      <c r="D30" s="56">
        <v>99</v>
      </c>
      <c r="E30" s="56" t="s">
        <v>201</v>
      </c>
      <c r="F30" s="98">
        <v>1</v>
      </c>
      <c r="G30" s="98">
        <v>1</v>
      </c>
    </row>
    <row r="31" spans="1:7" ht="15.75" customHeight="1" x14ac:dyDescent="0.25">
      <c r="A31" s="5" t="s">
        <v>161</v>
      </c>
      <c r="B31" s="45">
        <v>0</v>
      </c>
      <c r="C31" s="98">
        <v>0.95</v>
      </c>
      <c r="D31" s="56">
        <v>0.99377439103014453</v>
      </c>
      <c r="E31" s="56" t="s">
        <v>201</v>
      </c>
      <c r="F31" s="98">
        <v>1</v>
      </c>
      <c r="G31" s="98">
        <v>1</v>
      </c>
    </row>
    <row r="32" spans="1:7" ht="15.75" customHeight="1" x14ac:dyDescent="0.25">
      <c r="A32" s="5" t="s">
        <v>193</v>
      </c>
      <c r="B32" s="45">
        <v>0</v>
      </c>
      <c r="C32" s="98">
        <v>0.95</v>
      </c>
      <c r="D32" s="56">
        <v>2.3735892615904222</v>
      </c>
      <c r="E32" s="56" t="s">
        <v>201</v>
      </c>
      <c r="F32" s="98">
        <v>1</v>
      </c>
      <c r="G32" s="98">
        <v>1</v>
      </c>
    </row>
    <row r="33" spans="1:7" ht="15.75" customHeight="1" x14ac:dyDescent="0.25">
      <c r="A33" s="5" t="s">
        <v>194</v>
      </c>
      <c r="B33" s="45">
        <v>0.48324859999999997</v>
      </c>
      <c r="C33" s="98">
        <v>0.95</v>
      </c>
      <c r="D33" s="56">
        <v>99.99</v>
      </c>
      <c r="E33" s="56" t="s">
        <v>201</v>
      </c>
      <c r="F33" s="98">
        <v>1</v>
      </c>
      <c r="G33" s="98">
        <v>1</v>
      </c>
    </row>
    <row r="34" spans="1:7" ht="15.75" customHeight="1" x14ac:dyDescent="0.25">
      <c r="A34" s="5" t="s">
        <v>195</v>
      </c>
      <c r="B34" s="45">
        <v>0.19111349999999999</v>
      </c>
      <c r="C34" s="98">
        <v>0.95</v>
      </c>
      <c r="D34" s="56">
        <v>99.99</v>
      </c>
      <c r="E34" s="56" t="s">
        <v>201</v>
      </c>
      <c r="F34" s="98">
        <v>1</v>
      </c>
      <c r="G34" s="98">
        <v>1</v>
      </c>
    </row>
    <row r="35" spans="1:7" ht="15.75" customHeight="1" x14ac:dyDescent="0.25">
      <c r="A35" s="5" t="s">
        <v>196</v>
      </c>
      <c r="B35" s="98">
        <v>0</v>
      </c>
      <c r="C35" s="98">
        <v>0.95</v>
      </c>
      <c r="D35" s="56">
        <v>99.99</v>
      </c>
      <c r="E35" s="56" t="s">
        <v>201</v>
      </c>
      <c r="F35" s="98">
        <v>1</v>
      </c>
      <c r="G35" s="98">
        <v>1</v>
      </c>
    </row>
    <row r="36" spans="1:7" ht="15.75" customHeight="1" x14ac:dyDescent="0.25">
      <c r="A36" s="5" t="s">
        <v>197</v>
      </c>
      <c r="B36" s="45">
        <v>4.2315E-3</v>
      </c>
      <c r="C36" s="98">
        <v>0.95</v>
      </c>
      <c r="D36" s="56">
        <v>99.99</v>
      </c>
      <c r="E36" s="56" t="s">
        <v>201</v>
      </c>
      <c r="F36" s="98">
        <v>1</v>
      </c>
      <c r="G36" s="98">
        <v>1</v>
      </c>
    </row>
    <row r="37" spans="1:7" ht="15.75" customHeight="1" x14ac:dyDescent="0.25">
      <c r="A37" s="5" t="s">
        <v>198</v>
      </c>
      <c r="B37" s="45">
        <v>0.80348219999999992</v>
      </c>
      <c r="C37" s="98">
        <v>0.95</v>
      </c>
      <c r="D37" s="56">
        <v>99.99</v>
      </c>
      <c r="E37" s="56" t="s">
        <v>201</v>
      </c>
      <c r="F37" s="98">
        <v>1</v>
      </c>
      <c r="G37" s="98">
        <v>1</v>
      </c>
    </row>
    <row r="38" spans="1:7" ht="15.75" customHeight="1" x14ac:dyDescent="0.25">
      <c r="A38" s="5" t="s">
        <v>199</v>
      </c>
      <c r="B38" s="45">
        <v>0</v>
      </c>
      <c r="C38" s="98">
        <v>0.95</v>
      </c>
      <c r="D38" s="56">
        <v>4.9763674348897871</v>
      </c>
      <c r="E38" s="56" t="s">
        <v>201</v>
      </c>
      <c r="F38" s="98">
        <v>1</v>
      </c>
      <c r="G38" s="98">
        <v>1</v>
      </c>
    </row>
    <row r="39" spans="1:7" ht="15.75" customHeight="1" x14ac:dyDescent="0.25">
      <c r="A39" s="5" t="s">
        <v>200</v>
      </c>
      <c r="B39" s="45">
        <v>0</v>
      </c>
      <c r="C39" s="98">
        <v>0.95</v>
      </c>
      <c r="D39" s="56">
        <v>99.99</v>
      </c>
      <c r="E39" s="56" t="s">
        <v>201</v>
      </c>
      <c r="F39" s="98">
        <v>1</v>
      </c>
      <c r="G39" s="98">
        <v>1</v>
      </c>
    </row>
  </sheetData>
  <sheetProtection algorithmName="SHA-512" hashValue="cUDvTObRnZrvWx8Xk5q0D4KhnLVj38vKKDZ3fcFw7VCowo93yvypJyV+xFuKEi5JoNma/biEka04dIqqXYDCmg==" saltValue="AuOLxLoEfZjSlI3oaaJOM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7" tint="-0.249977111117893"/>
  </sheetPr>
  <dimension ref="A1:C20"/>
  <sheetViews>
    <sheetView workbookViewId="0">
      <selection activeCell="B7" sqref="B7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4" width="11.453125" style="8" customWidth="1"/>
    <col min="5" max="16384" width="11.453125" style="8"/>
  </cols>
  <sheetData>
    <row r="1" spans="1:3" ht="13" customHeight="1" x14ac:dyDescent="0.3">
      <c r="A1" s="4" t="s">
        <v>160</v>
      </c>
      <c r="B1" s="4" t="s">
        <v>206</v>
      </c>
      <c r="C1" s="4" t="s">
        <v>207</v>
      </c>
    </row>
    <row r="2" spans="1:3" ht="13.25" customHeight="1" x14ac:dyDescent="0.25">
      <c r="A2" s="57" t="s">
        <v>180</v>
      </c>
      <c r="B2" s="47" t="s">
        <v>190</v>
      </c>
      <c r="C2" s="47"/>
    </row>
    <row r="3" spans="1:3" ht="13.25" customHeight="1" x14ac:dyDescent="0.25">
      <c r="A3" s="57" t="s">
        <v>181</v>
      </c>
      <c r="B3" s="47" t="s">
        <v>190</v>
      </c>
      <c r="C3" s="47"/>
    </row>
    <row r="4" spans="1:3" ht="13.25" customHeight="1" x14ac:dyDescent="0.25">
      <c r="A4" s="57" t="s">
        <v>192</v>
      </c>
      <c r="B4" s="47" t="s">
        <v>185</v>
      </c>
      <c r="C4" s="47"/>
    </row>
    <row r="5" spans="1:3" ht="13.25" customHeight="1" x14ac:dyDescent="0.25">
      <c r="A5" s="57" t="s">
        <v>189</v>
      </c>
      <c r="B5" s="47" t="s">
        <v>185</v>
      </c>
      <c r="C5" s="47"/>
    </row>
    <row r="6" spans="1:3" ht="13.25" customHeight="1" x14ac:dyDescent="0.25">
      <c r="A6" s="57" t="s">
        <v>192</v>
      </c>
      <c r="B6" s="58" t="s">
        <v>205</v>
      </c>
      <c r="C6" s="58"/>
    </row>
    <row r="7" spans="1:3" ht="13.25" customHeight="1" x14ac:dyDescent="0.25">
      <c r="A7" s="57" t="s">
        <v>189</v>
      </c>
      <c r="B7" s="58" t="s">
        <v>205</v>
      </c>
      <c r="C7" s="58"/>
    </row>
    <row r="8" spans="1:3" ht="13.25" customHeight="1" x14ac:dyDescent="0.25">
      <c r="A8" s="57" t="s">
        <v>200</v>
      </c>
      <c r="B8" s="58" t="s">
        <v>205</v>
      </c>
      <c r="C8" s="58"/>
    </row>
    <row r="9" spans="1:3" ht="13.25" customHeight="1" x14ac:dyDescent="0.25">
      <c r="A9" s="57"/>
      <c r="B9" s="58"/>
      <c r="C9" s="58"/>
    </row>
    <row r="10" spans="1:3" ht="13.25" customHeight="1" x14ac:dyDescent="0.25">
      <c r="A10" s="57"/>
      <c r="B10" s="58"/>
      <c r="C10" s="58"/>
    </row>
    <row r="11" spans="1:3" ht="13.25" customHeight="1" x14ac:dyDescent="0.25">
      <c r="A11" s="59"/>
      <c r="B11" s="58"/>
      <c r="C11" s="58"/>
    </row>
    <row r="12" spans="1:3" ht="13.25" customHeight="1" x14ac:dyDescent="0.25">
      <c r="A12" s="59"/>
      <c r="B12" s="58"/>
      <c r="C12" s="58"/>
    </row>
    <row r="13" spans="1:3" ht="13.25" customHeight="1" x14ac:dyDescent="0.25">
      <c r="A13" s="59"/>
      <c r="B13" s="58"/>
      <c r="C13" s="58"/>
    </row>
    <row r="14" spans="1:3" ht="13.25" customHeight="1" x14ac:dyDescent="0.25">
      <c r="A14" s="59"/>
      <c r="B14" s="58"/>
      <c r="C14" s="58"/>
    </row>
    <row r="15" spans="1:3" ht="13.25" customHeight="1" x14ac:dyDescent="0.25">
      <c r="A15" s="59"/>
      <c r="B15" s="58"/>
      <c r="C15" s="58"/>
    </row>
    <row r="16" spans="1:3" ht="13.25" customHeight="1" x14ac:dyDescent="0.25">
      <c r="A16" s="59"/>
      <c r="B16" s="58"/>
      <c r="C16" s="58"/>
    </row>
    <row r="17" spans="1:3" ht="13.25" customHeight="1" x14ac:dyDescent="0.25">
      <c r="A17" s="59"/>
      <c r="B17" s="58"/>
      <c r="C17" s="58"/>
    </row>
    <row r="18" spans="1:3" ht="13.25" customHeight="1" x14ac:dyDescent="0.25">
      <c r="A18" s="59"/>
      <c r="B18" s="58"/>
      <c r="C18" s="58"/>
    </row>
    <row r="19" spans="1:3" ht="13.25" customHeight="1" x14ac:dyDescent="0.25">
      <c r="A19" s="57"/>
      <c r="B19" s="58"/>
      <c r="C19" s="58"/>
    </row>
    <row r="20" spans="1:3" ht="13.25" customHeight="1" x14ac:dyDescent="0.25">
      <c r="A20" s="57"/>
      <c r="B20" s="58"/>
      <c r="C20" s="58"/>
    </row>
  </sheetData>
  <sheetProtection algorithmName="SHA-512" hashValue="fjNWpYcJ9cAy01YcW8vY+qkhRa6rg4yB2tvxvllcxJ+c0/xxS+Fkh+Rklo01eVWCt8mm1hOKkAaEXFYaIqVG6Q==" saltValue="vUvlVrMMT7eStlwvBXocbg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0" tint="-0.249977111117893"/>
  </sheetPr>
  <dimension ref="A1:A19"/>
  <sheetViews>
    <sheetView workbookViewId="0">
      <selection activeCell="A8" sqref="A8"/>
    </sheetView>
  </sheetViews>
  <sheetFormatPr defaultColWidth="11.453125" defaultRowHeight="12.5" x14ac:dyDescent="0.25"/>
  <cols>
    <col min="1" max="1" width="30.08984375" style="8" customWidth="1"/>
    <col min="2" max="2" width="11.453125" style="8" customWidth="1"/>
    <col min="3" max="16384" width="11.453125" style="8"/>
  </cols>
  <sheetData>
    <row r="1" spans="1:1" ht="13" customHeight="1" x14ac:dyDescent="0.3">
      <c r="A1" s="4" t="s">
        <v>160</v>
      </c>
    </row>
    <row r="2" spans="1:1" ht="13.25" customHeight="1" x14ac:dyDescent="0.25">
      <c r="A2" s="33" t="s">
        <v>172</v>
      </c>
    </row>
    <row r="3" spans="1:1" ht="13.25" customHeight="1" x14ac:dyDescent="0.25">
      <c r="A3" s="33" t="s">
        <v>182</v>
      </c>
    </row>
    <row r="4" spans="1:1" ht="13.25" customHeight="1" x14ac:dyDescent="0.25">
      <c r="A4" s="33" t="s">
        <v>186</v>
      </c>
    </row>
    <row r="5" spans="1:1" ht="13.25" customHeight="1" x14ac:dyDescent="0.25">
      <c r="A5" s="33" t="s">
        <v>194</v>
      </c>
    </row>
    <row r="6" spans="1:1" ht="13.25" customHeight="1" x14ac:dyDescent="0.25">
      <c r="A6" s="33" t="s">
        <v>195</v>
      </c>
    </row>
    <row r="7" spans="1:1" ht="13.25" customHeight="1" x14ac:dyDescent="0.25">
      <c r="A7" s="33" t="s">
        <v>196</v>
      </c>
    </row>
    <row r="8" spans="1:1" ht="13.25" customHeight="1" x14ac:dyDescent="0.25">
      <c r="A8" s="33" t="s">
        <v>197</v>
      </c>
    </row>
    <row r="9" spans="1:1" ht="13.25" customHeight="1" x14ac:dyDescent="0.25">
      <c r="A9" s="33" t="s">
        <v>198</v>
      </c>
    </row>
    <row r="10" spans="1:1" ht="13.25" customHeight="1" x14ac:dyDescent="0.25">
      <c r="A10" s="33" t="s">
        <v>161</v>
      </c>
    </row>
    <row r="11" spans="1:1" ht="13.25" customHeight="1" x14ac:dyDescent="0.25">
      <c r="A11" s="33"/>
    </row>
    <row r="12" spans="1:1" ht="13.25" customHeight="1" x14ac:dyDescent="0.25">
      <c r="A12" s="33"/>
    </row>
    <row r="13" spans="1:1" ht="13.25" customHeight="1" x14ac:dyDescent="0.25">
      <c r="A13" s="33"/>
    </row>
    <row r="14" spans="1:1" ht="13.25" customHeight="1" x14ac:dyDescent="0.25">
      <c r="A14" s="33"/>
    </row>
    <row r="15" spans="1:1" ht="13.25" customHeight="1" x14ac:dyDescent="0.25">
      <c r="A15" s="33"/>
    </row>
    <row r="16" spans="1:1" ht="13.25" customHeight="1" x14ac:dyDescent="0.25">
      <c r="A16" s="33"/>
    </row>
    <row r="17" spans="1:1" ht="13.25" customHeight="1" x14ac:dyDescent="0.25">
      <c r="A17" s="33"/>
    </row>
    <row r="18" spans="1:1" ht="13.25" customHeight="1" x14ac:dyDescent="0.25">
      <c r="A18" s="33"/>
    </row>
    <row r="19" spans="1:1" ht="13.25" customHeight="1" x14ac:dyDescent="0.25">
      <c r="A19" s="33"/>
    </row>
  </sheetData>
  <sheetProtection algorithmName="SHA-512" hashValue="U8oRrpSpZWsipsjt4K9sngUm49ykOaVVy0kO0BUMRnfd9c2vcSCQfbYYdYu3uZafs6JkLfy0cLrfNrUufK/H0A==" saltValue="w9rqfiIzYo7sgTlbNeFL+A==" spinCount="100000" sheet="1" objects="1" scenarios="1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7</v>
      </c>
      <c r="B1" t="s">
        <v>109</v>
      </c>
      <c r="C1" t="s">
        <v>96</v>
      </c>
      <c r="D1" t="s">
        <v>97</v>
      </c>
      <c r="E1" t="s">
        <v>98</v>
      </c>
      <c r="F1" t="s">
        <v>99</v>
      </c>
    </row>
    <row r="2" spans="1:6" ht="15.75" customHeight="1" x14ac:dyDescent="0.25">
      <c r="A2" s="3" t="s">
        <v>87</v>
      </c>
      <c r="B2" s="21">
        <f>'Données pop de l''année de ref'!C51</f>
        <v>3.2</v>
      </c>
      <c r="C2" s="21">
        <f>'Données pop de l''année de ref'!C52</f>
        <v>3.2</v>
      </c>
      <c r="D2" s="21">
        <f>'Données pop de l''année de ref'!C53</f>
        <v>3.2</v>
      </c>
      <c r="E2" s="21">
        <f>'Données pop de l''année de ref'!C54</f>
        <v>3.2</v>
      </c>
      <c r="F2" s="21">
        <f>'Données pop de l''année de ref'!C55</f>
        <v>3.2</v>
      </c>
    </row>
    <row r="3" spans="1:6" ht="15.75" customHeight="1" x14ac:dyDescent="0.25">
      <c r="A3" s="3" t="s">
        <v>209</v>
      </c>
      <c r="B3" s="21">
        <f>frac_mam_1month * 2.6</f>
        <v>0.10741743999999998</v>
      </c>
      <c r="C3" s="21">
        <f>frac_mam_1_5months * 2.6</f>
        <v>0.10741743999999998</v>
      </c>
      <c r="D3" s="21">
        <f>frac_mam_6_11months * 2.6</f>
        <v>6.1575540000000005E-2</v>
      </c>
      <c r="E3" s="21">
        <f>frac_mam_12_23months * 2.6</f>
        <v>2.9140280000000001E-2</v>
      </c>
      <c r="F3" s="21">
        <f>frac_mam_24_59months * 2.6</f>
        <v>3.4310899999999998E-2</v>
      </c>
    </row>
    <row r="4" spans="1:6" ht="15.75" customHeight="1" x14ac:dyDescent="0.25">
      <c r="A4" s="3" t="s">
        <v>208</v>
      </c>
      <c r="B4" s="21">
        <f>frac_sam_1month * 2.6</f>
        <v>8.8043800000000005E-3</v>
      </c>
      <c r="C4" s="21">
        <f>frac_sam_1_5months * 2.6</f>
        <v>8.8043800000000005E-3</v>
      </c>
      <c r="D4" s="21">
        <f>frac_sam_6_11months * 2.6</f>
        <v>3.4028800000000005E-2</v>
      </c>
      <c r="E4" s="21">
        <f>frac_sam_12_23months * 2.6</f>
        <v>1.003392E-2</v>
      </c>
      <c r="F4" s="21">
        <f>frac_sam_24_59months * 2.6</f>
        <v>1.1144640000000001E-2</v>
      </c>
    </row>
  </sheetData>
  <sheetProtection algorithmName="SHA-512" hashValue="8SSMIKG+t2r7yYEjJtke2zNqMQmG+BOtmq6jvePaY28Zyki7MKVII4Yf6H1IfBR8y3ZG8H9jQf0iV/8qzOAi8g==" saltValue="3aAYzSJUbSKOz8PVfV3Pwg==" spinCount="100000" sheet="1" objects="1" scenarios="1"/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0" tint="-0.249977111117893"/>
  </sheetPr>
  <dimension ref="A1:O40"/>
  <sheetViews>
    <sheetView zoomScale="85" zoomScaleNormal="118" workbookViewId="0">
      <selection activeCell="C9" sqref="C9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211</v>
      </c>
      <c r="B1" s="1" t="s">
        <v>160</v>
      </c>
      <c r="C1" s="4" t="s">
        <v>109</v>
      </c>
      <c r="D1" s="4" t="s">
        <v>96</v>
      </c>
      <c r="E1" s="4" t="s">
        <v>97</v>
      </c>
      <c r="F1" s="4" t="s">
        <v>98</v>
      </c>
      <c r="G1" s="4" t="s">
        <v>99</v>
      </c>
      <c r="H1" s="4" t="s">
        <v>122</v>
      </c>
      <c r="I1" s="4" t="s">
        <v>123</v>
      </c>
      <c r="J1" s="4" t="s">
        <v>124</v>
      </c>
      <c r="K1" s="4" t="s">
        <v>125</v>
      </c>
      <c r="L1" s="4" t="s">
        <v>69</v>
      </c>
      <c r="M1" s="4" t="s">
        <v>70</v>
      </c>
      <c r="N1" s="4" t="s">
        <v>71</v>
      </c>
      <c r="O1" s="4" t="s">
        <v>72</v>
      </c>
    </row>
    <row r="2" spans="1:15" ht="15.75" customHeight="1" x14ac:dyDescent="0.3">
      <c r="A2" s="4" t="s">
        <v>86</v>
      </c>
      <c r="B2" s="5" t="s">
        <v>170</v>
      </c>
      <c r="C2" s="60">
        <v>0</v>
      </c>
      <c r="D2" s="60">
        <f>food_insecure</f>
        <v>4.0000000000000001E-3</v>
      </c>
      <c r="E2" s="60">
        <f>food_insecure</f>
        <v>4.0000000000000001E-3</v>
      </c>
      <c r="F2" s="60">
        <f>food_insecure</f>
        <v>4.0000000000000001E-3</v>
      </c>
      <c r="G2" s="60">
        <f>food_insecure</f>
        <v>4.0000000000000001E-3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171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184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185</v>
      </c>
      <c r="C5" s="60">
        <v>0</v>
      </c>
      <c r="D5" s="60">
        <v>0</v>
      </c>
      <c r="E5" s="60">
        <f>food_insecure</f>
        <v>4.0000000000000001E-3</v>
      </c>
      <c r="F5" s="60">
        <f>food_insecure</f>
        <v>4.0000000000000001E-3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189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191</v>
      </c>
      <c r="C7" s="60">
        <f>diarrhoea_1mo*frac_diarrhea_severe</f>
        <v>6.2E-2</v>
      </c>
      <c r="D7" s="60">
        <f>diarrhoea_1_5mo*frac_diarrhea_severe</f>
        <v>6.2E-2</v>
      </c>
      <c r="E7" s="60">
        <f>diarrhoea_6_11mo*frac_diarrhea_severe</f>
        <v>6.2E-2</v>
      </c>
      <c r="F7" s="60">
        <f>diarrhoea_12_23mo*frac_diarrhea_severe</f>
        <v>6.2E-2</v>
      </c>
      <c r="G7" s="60">
        <f>diarrhoea_24_59mo*frac_diarrhea_severe</f>
        <v>6.2E-2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192</v>
      </c>
      <c r="C8" s="60">
        <v>0</v>
      </c>
      <c r="D8" s="60">
        <v>0</v>
      </c>
      <c r="E8" s="60">
        <f>food_insecure</f>
        <v>4.0000000000000001E-3</v>
      </c>
      <c r="F8" s="60">
        <f>food_insecure</f>
        <v>4.0000000000000001E-3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205</v>
      </c>
      <c r="C9" s="60">
        <v>0</v>
      </c>
      <c r="D9" s="60">
        <v>0</v>
      </c>
      <c r="E9" s="60">
        <f>food_insecure</f>
        <v>4.0000000000000001E-3</v>
      </c>
      <c r="F9" s="60">
        <f>food_insecure</f>
        <v>4.0000000000000001E-3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161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193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199</v>
      </c>
      <c r="C12" s="60">
        <f>diarrhoea_1mo*frac_diarrhea_severe</f>
        <v>6.2E-2</v>
      </c>
      <c r="D12" s="60">
        <f>diarrhoea_1_5mo*frac_diarrhea_severe</f>
        <v>6.2E-2</v>
      </c>
      <c r="E12" s="60">
        <f>diarrhoea_6_11mo*frac_diarrhea_severe</f>
        <v>6.2E-2</v>
      </c>
      <c r="F12" s="60">
        <f>diarrhoea_12_23mo*frac_diarrhea_severe</f>
        <v>6.2E-2</v>
      </c>
      <c r="G12" s="60">
        <f>diarrhoea_24_59mo*frac_diarrhea_severe</f>
        <v>6.2E-2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200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100</v>
      </c>
      <c r="B15" s="9" t="s">
        <v>168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>food_insecure</f>
        <v>4.0000000000000001E-3</v>
      </c>
      <c r="I15" s="60">
        <f>food_insecure</f>
        <v>4.0000000000000001E-3</v>
      </c>
      <c r="J15" s="60">
        <f>food_insecure</f>
        <v>4.0000000000000001E-3</v>
      </c>
      <c r="K15" s="60">
        <f>food_insecure</f>
        <v>4.0000000000000001E-3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169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v>1</v>
      </c>
      <c r="I16" s="60">
        <v>1</v>
      </c>
      <c r="J16" s="60">
        <v>1</v>
      </c>
      <c r="K16" s="60">
        <v>1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180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181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182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0.01</v>
      </c>
      <c r="I19" s="60">
        <f>frac_malaria_risk</f>
        <v>0.01</v>
      </c>
      <c r="J19" s="60">
        <f>frac_malaria_risk</f>
        <v>0.01</v>
      </c>
      <c r="K19" s="60">
        <f>frac_malaria_risk</f>
        <v>0.01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187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188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190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75</v>
      </c>
      <c r="B24" s="11" t="s">
        <v>172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0.159</v>
      </c>
      <c r="M24" s="60">
        <f>famplan_unmet_need</f>
        <v>0.159</v>
      </c>
      <c r="N24" s="60">
        <f>famplan_unmet_need</f>
        <v>0.159</v>
      </c>
      <c r="O24" s="60">
        <f>famplan_unmet_need</f>
        <v>0.159</v>
      </c>
    </row>
    <row r="25" spans="1:15" ht="15.75" customHeight="1" x14ac:dyDescent="0.25">
      <c r="B25" s="11" t="s">
        <v>176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0.12669519149475097</v>
      </c>
      <c r="M25" s="60">
        <f>(1-food_insecure)*(0.49)+food_insecure*(0.7)</f>
        <v>0.49084</v>
      </c>
      <c r="N25" s="60">
        <f>(1-food_insecure)*(0.49)+food_insecure*(0.7)</f>
        <v>0.49084</v>
      </c>
      <c r="O25" s="60">
        <f>(1-food_insecure)*(0.49)+food_insecure*(0.7)</f>
        <v>0.49084</v>
      </c>
    </row>
    <row r="26" spans="1:15" ht="15.75" customHeight="1" x14ac:dyDescent="0.25">
      <c r="B26" s="11" t="s">
        <v>177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5.4297939212036128E-2</v>
      </c>
      <c r="M26" s="60">
        <f>(1-food_insecure)*(0.21)+food_insecure*(0.3)</f>
        <v>0.21035999999999999</v>
      </c>
      <c r="N26" s="60">
        <f>(1-food_insecure)*(0.21)+food_insecure*(0.3)</f>
        <v>0.21035999999999999</v>
      </c>
      <c r="O26" s="60">
        <f>(1-food_insecure)*(0.21)+food_insecure*(0.3)</f>
        <v>0.21035999999999999</v>
      </c>
    </row>
    <row r="27" spans="1:15" ht="15.75" customHeight="1" x14ac:dyDescent="0.25">
      <c r="B27" s="11" t="s">
        <v>178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7.7125994659423838E-2</v>
      </c>
      <c r="M27" s="60">
        <f>(1-food_insecure)*(0.3)</f>
        <v>0.29880000000000001</v>
      </c>
      <c r="N27" s="60">
        <f>(1-food_insecure)*(0.3)</f>
        <v>0.29880000000000001</v>
      </c>
      <c r="O27" s="60">
        <f>(1-food_insecure)*(0.3)</f>
        <v>0.29880000000000001</v>
      </c>
    </row>
    <row r="28" spans="1:15" ht="15.75" customHeight="1" x14ac:dyDescent="0.25">
      <c r="B28" s="11" t="s">
        <v>179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0.74188087463378904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210</v>
      </c>
      <c r="B30" s="5" t="s">
        <v>173</v>
      </c>
      <c r="C30" s="60">
        <v>0</v>
      </c>
      <c r="D30" s="60">
        <v>0</v>
      </c>
      <c r="E30" s="60">
        <f t="shared" ref="E30:O30" si="0">frac_maize</f>
        <v>0.01</v>
      </c>
      <c r="F30" s="60">
        <f t="shared" si="0"/>
        <v>0.01</v>
      </c>
      <c r="G30" s="60">
        <f t="shared" si="0"/>
        <v>0.01</v>
      </c>
      <c r="H30" s="60">
        <f t="shared" si="0"/>
        <v>0.01</v>
      </c>
      <c r="I30" s="60">
        <f t="shared" si="0"/>
        <v>0.01</v>
      </c>
      <c r="J30" s="60">
        <f t="shared" si="0"/>
        <v>0.01</v>
      </c>
      <c r="K30" s="60">
        <f t="shared" si="0"/>
        <v>0.01</v>
      </c>
      <c r="L30" s="60">
        <f t="shared" si="0"/>
        <v>0.01</v>
      </c>
      <c r="M30" s="60">
        <f t="shared" si="0"/>
        <v>0.01</v>
      </c>
      <c r="N30" s="60">
        <f t="shared" si="0"/>
        <v>0.01</v>
      </c>
      <c r="O30" s="60">
        <f t="shared" si="0"/>
        <v>0.01</v>
      </c>
    </row>
    <row r="31" spans="1:15" ht="15.75" customHeight="1" x14ac:dyDescent="0.25">
      <c r="B31" s="5" t="s">
        <v>174</v>
      </c>
      <c r="C31" s="60">
        <v>0</v>
      </c>
      <c r="D31" s="60">
        <v>0</v>
      </c>
      <c r="E31" s="60">
        <f t="shared" ref="E31:O31" si="1">frac_rice</f>
        <v>0.01</v>
      </c>
      <c r="F31" s="60">
        <f t="shared" si="1"/>
        <v>0.01</v>
      </c>
      <c r="G31" s="60">
        <f t="shared" si="1"/>
        <v>0.01</v>
      </c>
      <c r="H31" s="60">
        <f t="shared" si="1"/>
        <v>0.01</v>
      </c>
      <c r="I31" s="60">
        <f t="shared" si="1"/>
        <v>0.01</v>
      </c>
      <c r="J31" s="60">
        <f t="shared" si="1"/>
        <v>0.01</v>
      </c>
      <c r="K31" s="60">
        <f t="shared" si="1"/>
        <v>0.01</v>
      </c>
      <c r="L31" s="60">
        <f t="shared" si="1"/>
        <v>0.01</v>
      </c>
      <c r="M31" s="60">
        <f t="shared" si="1"/>
        <v>0.01</v>
      </c>
      <c r="N31" s="60">
        <f t="shared" si="1"/>
        <v>0.01</v>
      </c>
      <c r="O31" s="60">
        <f t="shared" si="1"/>
        <v>0.01</v>
      </c>
    </row>
    <row r="32" spans="1:15" ht="15.75" customHeight="1" x14ac:dyDescent="0.25">
      <c r="B32" s="5" t="s">
        <v>175</v>
      </c>
      <c r="C32" s="60">
        <v>0</v>
      </c>
      <c r="D32" s="60">
        <v>0</v>
      </c>
      <c r="E32" s="60">
        <f t="shared" ref="E32:O32" si="2">frac_wheat</f>
        <v>0.98</v>
      </c>
      <c r="F32" s="60">
        <f t="shared" si="2"/>
        <v>0.98</v>
      </c>
      <c r="G32" s="60">
        <f t="shared" si="2"/>
        <v>0.98</v>
      </c>
      <c r="H32" s="60">
        <f t="shared" si="2"/>
        <v>0.98</v>
      </c>
      <c r="I32" s="60">
        <f t="shared" si="2"/>
        <v>0.98</v>
      </c>
      <c r="J32" s="60">
        <f t="shared" si="2"/>
        <v>0.98</v>
      </c>
      <c r="K32" s="60">
        <f t="shared" si="2"/>
        <v>0.98</v>
      </c>
      <c r="L32" s="60">
        <f t="shared" si="2"/>
        <v>0.98</v>
      </c>
      <c r="M32" s="60">
        <f t="shared" si="2"/>
        <v>0.98</v>
      </c>
      <c r="N32" s="60">
        <f t="shared" si="2"/>
        <v>0.98</v>
      </c>
      <c r="O32" s="60">
        <f t="shared" si="2"/>
        <v>0.98</v>
      </c>
    </row>
    <row r="33" spans="2:15" ht="15.75" customHeight="1" x14ac:dyDescent="0.25">
      <c r="B33" s="5" t="s">
        <v>183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186</v>
      </c>
      <c r="C34" s="60">
        <f t="shared" ref="C34:O34" si="3">frac_malaria_risk</f>
        <v>0.01</v>
      </c>
      <c r="D34" s="60">
        <f t="shared" si="3"/>
        <v>0.01</v>
      </c>
      <c r="E34" s="60">
        <f t="shared" si="3"/>
        <v>0.01</v>
      </c>
      <c r="F34" s="60">
        <f t="shared" si="3"/>
        <v>0.01</v>
      </c>
      <c r="G34" s="60">
        <f t="shared" si="3"/>
        <v>0.01</v>
      </c>
      <c r="H34" s="60">
        <f t="shared" si="3"/>
        <v>0.01</v>
      </c>
      <c r="I34" s="60">
        <f t="shared" si="3"/>
        <v>0.01</v>
      </c>
      <c r="J34" s="60">
        <f t="shared" si="3"/>
        <v>0.01</v>
      </c>
      <c r="K34" s="60">
        <f t="shared" si="3"/>
        <v>0.01</v>
      </c>
      <c r="L34" s="60">
        <f t="shared" si="3"/>
        <v>0.01</v>
      </c>
      <c r="M34" s="60">
        <f t="shared" si="3"/>
        <v>0.01</v>
      </c>
      <c r="N34" s="60">
        <f t="shared" si="3"/>
        <v>0.01</v>
      </c>
      <c r="O34" s="60">
        <f t="shared" si="3"/>
        <v>0.01</v>
      </c>
    </row>
    <row r="35" spans="2:15" ht="15.75" customHeight="1" x14ac:dyDescent="0.25">
      <c r="B35" s="9" t="s">
        <v>194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195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196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197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198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v16MqoTXTm44hyB2Tk3f67Qn1leG0CEtU2hJNHlxhhnRWhSiH4xe1yxlssI5QiHxhmbWGEYRVbTkw98K5sbdSA==" saltValue="Pn6xhOdXs9aJWUnppMBwJQ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201</v>
      </c>
    </row>
    <row r="2" spans="1:1" x14ac:dyDescent="0.25">
      <c r="A2" s="8" t="s">
        <v>212</v>
      </c>
    </row>
    <row r="3" spans="1:1" x14ac:dyDescent="0.25">
      <c r="A3" s="8" t="s">
        <v>213</v>
      </c>
    </row>
    <row r="4" spans="1:1" x14ac:dyDescent="0.25">
      <c r="A4" s="8" t="s">
        <v>214</v>
      </c>
    </row>
  </sheetData>
  <sheetProtection algorithmName="SHA-512" hashValue="+Q5fg2thpUsaTL0L9l4jN7gAwloRhni5eDDEcCkg9mf1uMEj6zSqy3X8GqchbhGzEhR4dgh+WvqUtD4hB+XjFA==" saltValue="s7O8JQSK5CDr1+msvmcZQg==" spinCount="100000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6" width="11.453125" style="8" customWidth="1"/>
    <col min="7" max="16384" width="11.453125" style="8"/>
  </cols>
  <sheetData>
    <row r="1" spans="1:5" ht="13" customHeight="1" x14ac:dyDescent="0.3">
      <c r="A1" s="4" t="s">
        <v>216</v>
      </c>
      <c r="B1" s="4" t="s">
        <v>215</v>
      </c>
      <c r="C1" s="4" t="s">
        <v>8</v>
      </c>
      <c r="D1" s="4" t="s">
        <v>144</v>
      </c>
      <c r="E1" s="4" t="s">
        <v>225</v>
      </c>
    </row>
    <row r="2" spans="1:5" ht="14" customHeight="1" x14ac:dyDescent="0.3">
      <c r="A2" s="28" t="s">
        <v>217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218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219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220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9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221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222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223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224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sheetProtection algorithmName="SHA-512" hashValue="iOs48wdbMRo9S1hfGmJUxWv42FSBoYJztWCn3X1JWYp2X5ghRYcmollxCkKQs3LEXiGqPvxZ20Ikc1O/EhU33Q==" saltValue="YfmxeWb7LAZJraSLZ7fJtA==" spinCount="100000" sheet="1" objects="1" scenario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0" tint="-0.249977111117893"/>
  </sheetPr>
  <dimension ref="A1:P42"/>
  <sheetViews>
    <sheetView topLeftCell="A16" workbookViewId="0">
      <selection activeCell="C12" sqref="C12"/>
    </sheetView>
  </sheetViews>
  <sheetFormatPr defaultColWidth="16.08984375" defaultRowHeight="15.75" customHeight="1" x14ac:dyDescent="0.35"/>
  <cols>
    <col min="1" max="1" width="22.179687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6" width="16.08984375" style="37" customWidth="1"/>
    <col min="17" max="16384" width="16.08984375" style="37"/>
  </cols>
  <sheetData>
    <row r="1" spans="1:15" ht="15.75" customHeight="1" x14ac:dyDescent="0.35">
      <c r="A1" s="4" t="s">
        <v>211</v>
      </c>
      <c r="B1" s="1" t="s">
        <v>160</v>
      </c>
      <c r="C1" s="4" t="s">
        <v>109</v>
      </c>
      <c r="D1" s="4" t="s">
        <v>96</v>
      </c>
      <c r="E1" s="4" t="s">
        <v>97</v>
      </c>
      <c r="F1" s="4" t="s">
        <v>98</v>
      </c>
      <c r="G1" s="4" t="s">
        <v>99</v>
      </c>
      <c r="H1" s="4" t="s">
        <v>122</v>
      </c>
      <c r="I1" s="4" t="s">
        <v>123</v>
      </c>
      <c r="J1" s="4" t="s">
        <v>124</v>
      </c>
      <c r="K1" s="4" t="s">
        <v>125</v>
      </c>
      <c r="L1" s="4" t="s">
        <v>69</v>
      </c>
      <c r="M1" s="4" t="s">
        <v>70</v>
      </c>
      <c r="N1" s="4" t="s">
        <v>71</v>
      </c>
      <c r="O1" s="4" t="s">
        <v>72</v>
      </c>
    </row>
    <row r="2" spans="1:15" ht="15.75" customHeight="1" x14ac:dyDescent="0.35">
      <c r="A2" s="4" t="s">
        <v>86</v>
      </c>
      <c r="B2" s="5" t="s">
        <v>170</v>
      </c>
      <c r="C2" s="87">
        <v>0</v>
      </c>
      <c r="D2" s="87">
        <v>1</v>
      </c>
      <c r="E2" s="87">
        <v>1</v>
      </c>
      <c r="F2" s="87">
        <v>1</v>
      </c>
      <c r="G2" s="87">
        <v>1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171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157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158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159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184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185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189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191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192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205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161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193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199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200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100</v>
      </c>
      <c r="B18" s="5" t="s">
        <v>168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169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180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181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182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187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188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190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" customHeight="1" x14ac:dyDescent="0.35">
      <c r="A27" s="4" t="s">
        <v>75</v>
      </c>
      <c r="B27" s="5" t="s">
        <v>172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176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177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178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179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210</v>
      </c>
      <c r="B33" s="5" t="s">
        <v>173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174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175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183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186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194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195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196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197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198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tPprxXtiDH6JMi72hV5yWwH3bdk4b8TDUnKH4canoZMpBHNRdNmEOMdHsPqyw34+cyoMIyAYZx42+sdQ9WmLuQ==" saltValue="CS/vBorIVvhvwA/ESSABOA==" spinCount="100000" sheet="1" objects="1" scenarios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0" tint="-0.249977111117893"/>
  </sheetPr>
  <dimension ref="A1:K39"/>
  <sheetViews>
    <sheetView workbookViewId="0">
      <selection activeCell="D14" sqref="D14"/>
    </sheetView>
  </sheetViews>
  <sheetFormatPr defaultColWidth="12.81640625" defaultRowHeight="12.5" x14ac:dyDescent="0.25"/>
  <cols>
    <col min="1" max="1" width="58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160</v>
      </c>
      <c r="B1" s="8" t="s">
        <v>226</v>
      </c>
      <c r="C1" s="8" t="s">
        <v>121</v>
      </c>
      <c r="D1" s="8" t="s">
        <v>227</v>
      </c>
      <c r="E1" s="8" t="s">
        <v>228</v>
      </c>
      <c r="F1" s="8" t="s">
        <v>128</v>
      </c>
      <c r="G1" s="8" t="s">
        <v>87</v>
      </c>
      <c r="H1" s="8" t="s">
        <v>43</v>
      </c>
      <c r="I1" s="8" t="s">
        <v>229</v>
      </c>
      <c r="J1" s="8" t="s">
        <v>36</v>
      </c>
      <c r="K1" s="8" t="s">
        <v>68</v>
      </c>
    </row>
    <row r="2" spans="1:11" ht="13.25" customHeight="1" x14ac:dyDescent="0.25">
      <c r="A2" s="5" t="s">
        <v>168</v>
      </c>
      <c r="B2" s="87"/>
      <c r="C2" s="87"/>
      <c r="D2" s="87"/>
      <c r="E2" s="87"/>
      <c r="F2" s="87"/>
      <c r="G2" s="87"/>
      <c r="H2" s="87"/>
      <c r="I2" s="87" t="s">
        <v>5</v>
      </c>
      <c r="J2" s="87"/>
      <c r="K2" s="87"/>
    </row>
    <row r="3" spans="1:11" ht="13.25" customHeight="1" x14ac:dyDescent="0.25">
      <c r="A3" s="5" t="s">
        <v>169</v>
      </c>
      <c r="B3" s="87"/>
      <c r="C3" s="87"/>
      <c r="D3" s="87"/>
      <c r="E3" s="87"/>
      <c r="F3" s="87"/>
      <c r="G3" s="87"/>
      <c r="H3" s="87" t="s">
        <v>5</v>
      </c>
      <c r="I3" s="87"/>
      <c r="J3" s="87"/>
      <c r="K3" s="87"/>
    </row>
    <row r="4" spans="1:11" ht="13.25" customHeight="1" x14ac:dyDescent="0.25">
      <c r="A4" s="5" t="s">
        <v>170</v>
      </c>
      <c r="B4" s="87"/>
      <c r="C4" s="87"/>
      <c r="D4" s="87" t="s">
        <v>5</v>
      </c>
      <c r="E4" s="87"/>
      <c r="F4" s="87"/>
      <c r="G4" s="87"/>
      <c r="H4" s="87"/>
      <c r="I4" s="87"/>
      <c r="J4" s="87"/>
      <c r="K4" s="87"/>
    </row>
    <row r="5" spans="1:11" ht="13.25" customHeight="1" x14ac:dyDescent="0.25">
      <c r="A5" s="5" t="s">
        <v>171</v>
      </c>
      <c r="B5" s="87"/>
      <c r="C5" s="87" t="s">
        <v>5</v>
      </c>
      <c r="D5" s="87"/>
      <c r="E5" s="87"/>
      <c r="F5" s="87"/>
      <c r="G5" s="87"/>
      <c r="H5" s="87"/>
      <c r="I5" s="87"/>
      <c r="J5" s="87"/>
      <c r="K5" s="87"/>
    </row>
    <row r="6" spans="1:11" ht="13.25" customHeight="1" x14ac:dyDescent="0.25">
      <c r="A6" s="5" t="s">
        <v>172</v>
      </c>
      <c r="B6" s="87"/>
      <c r="C6" s="87"/>
      <c r="D6" s="87"/>
      <c r="E6" s="87"/>
      <c r="F6" s="87"/>
      <c r="G6" s="87"/>
      <c r="H6" s="87"/>
      <c r="I6" s="87"/>
      <c r="J6" s="87" t="s">
        <v>5</v>
      </c>
      <c r="K6" s="87" t="s">
        <v>5</v>
      </c>
    </row>
    <row r="7" spans="1:11" ht="13.25" customHeight="1" x14ac:dyDescent="0.25">
      <c r="A7" s="5" t="s">
        <v>173</v>
      </c>
      <c r="B7" s="87"/>
      <c r="C7" s="87" t="s">
        <v>5</v>
      </c>
      <c r="D7" s="87"/>
      <c r="E7" s="87"/>
      <c r="F7" s="87"/>
      <c r="G7" s="87"/>
      <c r="H7" s="87" t="s">
        <v>5</v>
      </c>
      <c r="I7" s="87"/>
      <c r="J7" s="87"/>
      <c r="K7" s="87"/>
    </row>
    <row r="8" spans="1:11" ht="13.25" customHeight="1" x14ac:dyDescent="0.25">
      <c r="A8" s="5" t="s">
        <v>174</v>
      </c>
      <c r="B8" s="87"/>
      <c r="C8" s="87" t="s">
        <v>5</v>
      </c>
      <c r="D8" s="87"/>
      <c r="E8" s="87"/>
      <c r="F8" s="87"/>
      <c r="G8" s="87"/>
      <c r="H8" s="87" t="s">
        <v>5</v>
      </c>
      <c r="I8" s="87"/>
      <c r="J8" s="87"/>
      <c r="K8" s="87"/>
    </row>
    <row r="9" spans="1:11" ht="13.25" customHeight="1" x14ac:dyDescent="0.25">
      <c r="A9" s="5" t="s">
        <v>175</v>
      </c>
      <c r="B9" s="87"/>
      <c r="C9" s="87" t="s">
        <v>5</v>
      </c>
      <c r="D9" s="87"/>
      <c r="E9" s="87"/>
      <c r="F9" s="87"/>
      <c r="G9" s="87"/>
      <c r="H9" s="87" t="s">
        <v>5</v>
      </c>
      <c r="I9" s="87"/>
      <c r="J9" s="87"/>
      <c r="K9" s="87"/>
    </row>
    <row r="10" spans="1:11" ht="13.25" customHeight="1" x14ac:dyDescent="0.25">
      <c r="A10" s="11" t="s">
        <v>176</v>
      </c>
      <c r="B10" s="87"/>
      <c r="C10" s="87" t="s">
        <v>5</v>
      </c>
      <c r="D10" s="87"/>
      <c r="E10" s="87"/>
      <c r="F10" s="87"/>
      <c r="G10" s="87"/>
      <c r="H10" s="87"/>
      <c r="I10" s="87"/>
      <c r="J10" s="87"/>
      <c r="K10" s="87"/>
    </row>
    <row r="11" spans="1:11" ht="13.25" customHeight="1" x14ac:dyDescent="0.25">
      <c r="A11" s="11" t="s">
        <v>177</v>
      </c>
      <c r="B11" s="87"/>
      <c r="C11" s="87" t="s">
        <v>5</v>
      </c>
      <c r="D11" s="87"/>
      <c r="E11" s="87"/>
      <c r="F11" s="87"/>
      <c r="G11" s="87"/>
      <c r="H11" s="87"/>
      <c r="I11" s="87"/>
      <c r="J11" s="87"/>
      <c r="K11" s="87"/>
    </row>
    <row r="12" spans="1:11" ht="13.25" customHeight="1" x14ac:dyDescent="0.25">
      <c r="A12" s="11" t="s">
        <v>178</v>
      </c>
      <c r="B12" s="87"/>
      <c r="C12" s="87" t="s">
        <v>5</v>
      </c>
      <c r="D12" s="87"/>
      <c r="E12" s="87"/>
      <c r="F12" s="87"/>
      <c r="G12" s="87"/>
      <c r="H12" s="87"/>
      <c r="I12" s="87"/>
      <c r="J12" s="87"/>
      <c r="K12" s="87"/>
    </row>
    <row r="13" spans="1:11" ht="13.25" customHeight="1" x14ac:dyDescent="0.25">
      <c r="A13" s="11" t="s">
        <v>179</v>
      </c>
      <c r="B13" s="87"/>
      <c r="C13" s="87" t="s">
        <v>5</v>
      </c>
      <c r="D13" s="87"/>
      <c r="E13" s="87"/>
      <c r="F13" s="87"/>
      <c r="G13" s="87"/>
      <c r="H13" s="87"/>
      <c r="I13" s="87"/>
      <c r="J13" s="87"/>
      <c r="K13" s="87"/>
    </row>
    <row r="14" spans="1:11" ht="13.25" customHeight="1" x14ac:dyDescent="0.25">
      <c r="A14" s="5" t="s">
        <v>180</v>
      </c>
      <c r="B14" s="87"/>
      <c r="C14" s="87" t="s">
        <v>5</v>
      </c>
      <c r="D14" s="87"/>
      <c r="E14" s="87"/>
      <c r="F14" s="87"/>
      <c r="G14" s="87"/>
      <c r="H14" s="87"/>
      <c r="I14" s="87" t="s">
        <v>5</v>
      </c>
      <c r="J14" s="87"/>
      <c r="K14" s="87"/>
    </row>
    <row r="15" spans="1:11" ht="13.25" customHeight="1" x14ac:dyDescent="0.25">
      <c r="A15" s="5" t="s">
        <v>181</v>
      </c>
      <c r="B15" s="87"/>
      <c r="C15" s="87" t="s">
        <v>5</v>
      </c>
      <c r="D15" s="87"/>
      <c r="E15" s="87"/>
      <c r="F15" s="87"/>
      <c r="G15" s="87"/>
      <c r="H15" s="87"/>
      <c r="I15" s="87" t="s">
        <v>5</v>
      </c>
      <c r="J15" s="87"/>
      <c r="K15" s="87"/>
    </row>
    <row r="16" spans="1:11" ht="13.25" customHeight="1" x14ac:dyDescent="0.25">
      <c r="A16" s="5" t="s">
        <v>182</v>
      </c>
      <c r="B16" s="87"/>
      <c r="C16" s="87" t="s">
        <v>5</v>
      </c>
      <c r="D16" s="87"/>
      <c r="E16" s="87"/>
      <c r="F16" s="87"/>
      <c r="G16" s="87"/>
      <c r="H16" s="87" t="s">
        <v>5</v>
      </c>
      <c r="I16" s="87" t="s">
        <v>5</v>
      </c>
      <c r="J16" s="87"/>
      <c r="K16" s="87"/>
    </row>
    <row r="17" spans="1:11" ht="13.25" customHeight="1" x14ac:dyDescent="0.25">
      <c r="A17" s="5" t="s">
        <v>183</v>
      </c>
      <c r="B17" s="87"/>
      <c r="C17" s="87" t="s">
        <v>5</v>
      </c>
      <c r="D17" s="87"/>
      <c r="E17" s="87"/>
      <c r="F17" s="87"/>
      <c r="G17" s="87"/>
      <c r="H17" s="87"/>
      <c r="I17" s="87"/>
      <c r="J17" s="87"/>
      <c r="K17" s="87"/>
    </row>
    <row r="18" spans="1:11" ht="13.25" customHeight="1" x14ac:dyDescent="0.25">
      <c r="A18" s="5" t="s">
        <v>157</v>
      </c>
      <c r="B18" s="87" t="s">
        <v>5</v>
      </c>
      <c r="C18" s="87"/>
      <c r="D18" s="87"/>
      <c r="E18" s="87"/>
      <c r="F18" s="87" t="s">
        <v>5</v>
      </c>
      <c r="G18" s="87"/>
      <c r="H18" s="87"/>
      <c r="I18" s="87"/>
      <c r="J18" s="87"/>
      <c r="K18" s="87"/>
    </row>
    <row r="19" spans="1:11" ht="13.25" customHeight="1" x14ac:dyDescent="0.25">
      <c r="A19" s="5" t="s">
        <v>158</v>
      </c>
      <c r="B19" s="87" t="s">
        <v>5</v>
      </c>
      <c r="C19" s="87"/>
      <c r="D19" s="87"/>
      <c r="E19" s="87"/>
      <c r="F19" s="87" t="s">
        <v>5</v>
      </c>
      <c r="G19" s="87"/>
      <c r="H19" s="87"/>
      <c r="I19" s="87"/>
      <c r="J19" s="87"/>
      <c r="K19" s="87"/>
    </row>
    <row r="20" spans="1:11" ht="13.25" customHeight="1" x14ac:dyDescent="0.25">
      <c r="A20" s="5" t="s">
        <v>159</v>
      </c>
      <c r="B20" s="87" t="s">
        <v>5</v>
      </c>
      <c r="C20" s="87"/>
      <c r="D20" s="87"/>
      <c r="E20" s="87"/>
      <c r="F20" s="87" t="s">
        <v>5</v>
      </c>
      <c r="G20" s="87"/>
      <c r="H20" s="87"/>
      <c r="I20" s="87"/>
      <c r="J20" s="87"/>
      <c r="K20" s="87"/>
    </row>
    <row r="21" spans="1:11" ht="13.25" customHeight="1" x14ac:dyDescent="0.25">
      <c r="A21" s="5" t="s">
        <v>184</v>
      </c>
      <c r="B21" s="87"/>
      <c r="C21" s="87"/>
      <c r="D21" s="87"/>
      <c r="E21" s="87"/>
      <c r="F21" s="87"/>
      <c r="G21" s="87"/>
      <c r="H21" s="87" t="s">
        <v>5</v>
      </c>
      <c r="I21" s="87" t="s">
        <v>5</v>
      </c>
      <c r="J21" s="87"/>
      <c r="K21" s="87"/>
    </row>
    <row r="22" spans="1:11" x14ac:dyDescent="0.25">
      <c r="A22" s="5" t="s">
        <v>185</v>
      </c>
      <c r="B22" s="87" t="s">
        <v>5</v>
      </c>
      <c r="C22" s="87" t="s">
        <v>5</v>
      </c>
      <c r="D22" s="87" t="s">
        <v>5</v>
      </c>
      <c r="E22" s="87"/>
      <c r="F22" s="87"/>
      <c r="G22" s="87"/>
      <c r="H22" s="87"/>
      <c r="I22" s="87"/>
      <c r="J22" s="87"/>
      <c r="K22" s="87"/>
    </row>
    <row r="23" spans="1:11" x14ac:dyDescent="0.25">
      <c r="A23" s="5" t="s">
        <v>186</v>
      </c>
      <c r="B23" s="87"/>
      <c r="C23" s="87" t="s">
        <v>5</v>
      </c>
      <c r="D23" s="87"/>
      <c r="E23" s="87"/>
      <c r="F23" s="87"/>
      <c r="G23" s="87"/>
      <c r="H23" s="87"/>
      <c r="I23" s="87" t="s">
        <v>5</v>
      </c>
      <c r="J23" s="87"/>
      <c r="K23" s="87"/>
    </row>
    <row r="24" spans="1:11" x14ac:dyDescent="0.25">
      <c r="A24" s="5" t="s">
        <v>187</v>
      </c>
      <c r="B24" s="87"/>
      <c r="C24" s="87"/>
      <c r="D24" s="87"/>
      <c r="E24" s="87"/>
      <c r="F24" s="87"/>
      <c r="G24" s="87"/>
      <c r="H24" s="87" t="s">
        <v>5</v>
      </c>
      <c r="I24" s="87"/>
      <c r="J24" s="87"/>
      <c r="K24" s="87"/>
    </row>
    <row r="25" spans="1:11" x14ac:dyDescent="0.25">
      <c r="A25" s="5" t="s">
        <v>188</v>
      </c>
      <c r="B25" s="87"/>
      <c r="C25" s="87"/>
      <c r="D25" s="87"/>
      <c r="E25" s="87"/>
      <c r="F25" s="87"/>
      <c r="G25" s="87"/>
      <c r="H25" s="87" t="s">
        <v>5</v>
      </c>
      <c r="I25" s="87"/>
      <c r="J25" s="87"/>
      <c r="K25" s="87"/>
    </row>
    <row r="26" spans="1:11" x14ac:dyDescent="0.25">
      <c r="A26" s="5" t="s">
        <v>189</v>
      </c>
      <c r="B26" s="87"/>
      <c r="C26" s="87" t="s">
        <v>5</v>
      </c>
      <c r="D26" s="87"/>
      <c r="E26" s="87"/>
      <c r="F26" s="87"/>
      <c r="G26" s="87"/>
      <c r="H26" s="87"/>
      <c r="I26" s="87"/>
      <c r="J26" s="87"/>
      <c r="K26" s="87"/>
    </row>
    <row r="27" spans="1:11" x14ac:dyDescent="0.25">
      <c r="A27" s="5" t="s">
        <v>190</v>
      </c>
      <c r="B27" s="87"/>
      <c r="C27" s="87" t="s">
        <v>5</v>
      </c>
      <c r="D27" s="87"/>
      <c r="E27" s="87"/>
      <c r="F27" s="87"/>
      <c r="G27" s="87"/>
      <c r="H27" s="87"/>
      <c r="I27" s="87" t="s">
        <v>5</v>
      </c>
      <c r="J27" s="87"/>
      <c r="K27" s="87"/>
    </row>
    <row r="28" spans="1:11" x14ac:dyDescent="0.25">
      <c r="A28" s="5" t="s">
        <v>191</v>
      </c>
      <c r="B28" s="87"/>
      <c r="C28" s="87"/>
      <c r="D28" s="87"/>
      <c r="E28" s="87"/>
      <c r="F28" s="87"/>
      <c r="G28" s="87"/>
      <c r="H28" s="87" t="s">
        <v>5</v>
      </c>
      <c r="I28" s="87"/>
      <c r="J28" s="87"/>
      <c r="K28" s="87"/>
    </row>
    <row r="29" spans="1:11" x14ac:dyDescent="0.25">
      <c r="A29" s="5" t="s">
        <v>192</v>
      </c>
      <c r="B29" s="87" t="s">
        <v>5</v>
      </c>
      <c r="C29" s="87"/>
      <c r="D29" s="87" t="s">
        <v>5</v>
      </c>
      <c r="E29" s="87"/>
      <c r="F29" s="87"/>
      <c r="G29" s="87"/>
      <c r="H29" s="87"/>
      <c r="I29" s="87"/>
      <c r="J29" s="87"/>
      <c r="K29" s="87"/>
    </row>
    <row r="30" spans="1:11" x14ac:dyDescent="0.25">
      <c r="A30" s="5" t="s">
        <v>205</v>
      </c>
      <c r="B30" s="87" t="s">
        <v>5</v>
      </c>
      <c r="C30" s="87" t="s">
        <v>5</v>
      </c>
      <c r="D30" s="87" t="s">
        <v>5</v>
      </c>
      <c r="E30" s="87"/>
      <c r="F30" s="87"/>
      <c r="G30" s="87"/>
      <c r="H30" s="87"/>
      <c r="I30" s="87"/>
      <c r="J30" s="87"/>
      <c r="K30" s="87"/>
    </row>
    <row r="31" spans="1:11" x14ac:dyDescent="0.25">
      <c r="A31" s="5" t="s">
        <v>161</v>
      </c>
      <c r="B31" s="87"/>
      <c r="C31" s="87"/>
      <c r="D31" s="87"/>
      <c r="E31" s="87" t="s">
        <v>5</v>
      </c>
      <c r="F31" s="87"/>
      <c r="G31" s="87"/>
      <c r="H31" s="87"/>
      <c r="I31" s="87"/>
      <c r="J31" s="87"/>
      <c r="K31" s="87"/>
    </row>
    <row r="32" spans="1:11" x14ac:dyDescent="0.25">
      <c r="A32" s="5" t="s">
        <v>193</v>
      </c>
      <c r="B32" s="87"/>
      <c r="C32" s="87"/>
      <c r="D32" s="87"/>
      <c r="E32" s="87"/>
      <c r="F32" s="87"/>
      <c r="G32" s="87" t="s">
        <v>5</v>
      </c>
      <c r="H32" s="87" t="s">
        <v>5</v>
      </c>
      <c r="I32" s="87"/>
      <c r="J32" s="87"/>
      <c r="K32" s="87"/>
    </row>
    <row r="33" spans="1:11" x14ac:dyDescent="0.25">
      <c r="A33" s="5" t="s">
        <v>194</v>
      </c>
      <c r="B33" s="87"/>
      <c r="C33" s="87"/>
      <c r="D33" s="87"/>
      <c r="E33" s="87"/>
      <c r="F33" s="87"/>
      <c r="G33" s="87" t="s">
        <v>5</v>
      </c>
      <c r="H33" s="87" t="s">
        <v>5</v>
      </c>
      <c r="I33" s="87"/>
      <c r="J33" s="87"/>
      <c r="K33" s="87"/>
    </row>
    <row r="34" spans="1:11" x14ac:dyDescent="0.25">
      <c r="A34" s="5" t="s">
        <v>195</v>
      </c>
      <c r="B34" s="87"/>
      <c r="C34" s="87"/>
      <c r="D34" s="87"/>
      <c r="E34" s="87"/>
      <c r="F34" s="87"/>
      <c r="G34" s="87" t="s">
        <v>5</v>
      </c>
      <c r="H34" s="87" t="s">
        <v>5</v>
      </c>
      <c r="I34" s="87"/>
      <c r="J34" s="87"/>
      <c r="K34" s="87"/>
    </row>
    <row r="35" spans="1:11" x14ac:dyDescent="0.25">
      <c r="A35" s="5" t="s">
        <v>196</v>
      </c>
      <c r="B35" s="87"/>
      <c r="C35" s="87"/>
      <c r="D35" s="87"/>
      <c r="E35" s="87"/>
      <c r="F35" s="87"/>
      <c r="G35" s="87" t="s">
        <v>5</v>
      </c>
      <c r="H35" s="87" t="s">
        <v>5</v>
      </c>
      <c r="I35" s="87"/>
      <c r="J35" s="87"/>
      <c r="K35" s="87"/>
    </row>
    <row r="36" spans="1:11" x14ac:dyDescent="0.25">
      <c r="A36" s="5" t="s">
        <v>197</v>
      </c>
      <c r="B36" s="87"/>
      <c r="C36" s="87"/>
      <c r="D36" s="87"/>
      <c r="E36" s="87"/>
      <c r="F36" s="87"/>
      <c r="G36" s="87" t="s">
        <v>5</v>
      </c>
      <c r="H36" s="87" t="s">
        <v>5</v>
      </c>
      <c r="I36" s="87"/>
      <c r="J36" s="87"/>
      <c r="K36" s="87"/>
    </row>
    <row r="37" spans="1:11" x14ac:dyDescent="0.25">
      <c r="A37" s="5" t="s">
        <v>198</v>
      </c>
      <c r="B37" s="87"/>
      <c r="C37" s="87"/>
      <c r="D37" s="87"/>
      <c r="E37" s="87"/>
      <c r="F37" s="87"/>
      <c r="G37" s="87" t="s">
        <v>5</v>
      </c>
      <c r="H37" s="87" t="s">
        <v>5</v>
      </c>
      <c r="I37" s="87"/>
      <c r="J37" s="87"/>
      <c r="K37" s="87"/>
    </row>
    <row r="38" spans="1:11" x14ac:dyDescent="0.25">
      <c r="A38" s="5" t="s">
        <v>199</v>
      </c>
      <c r="B38" s="87"/>
      <c r="C38" s="87"/>
      <c r="D38" s="87"/>
      <c r="E38" s="87"/>
      <c r="F38" s="87"/>
      <c r="G38" s="87"/>
      <c r="H38" s="87" t="s">
        <v>5</v>
      </c>
      <c r="I38" s="87"/>
      <c r="J38" s="87"/>
      <c r="K38" s="87"/>
    </row>
    <row r="39" spans="1:11" x14ac:dyDescent="0.25">
      <c r="A39" s="5" t="s">
        <v>200</v>
      </c>
      <c r="B39" s="87" t="s">
        <v>5</v>
      </c>
      <c r="C39" s="87"/>
      <c r="D39" s="87"/>
      <c r="E39" s="87"/>
      <c r="F39" s="87"/>
      <c r="G39" s="87" t="s">
        <v>5</v>
      </c>
      <c r="H39" s="87" t="s">
        <v>5</v>
      </c>
      <c r="I39" s="87"/>
      <c r="J39" s="87"/>
      <c r="K39" s="87"/>
    </row>
  </sheetData>
  <sheetProtection algorithmName="SHA-512" hashValue="5y3NprPa3FNwLwQa/3mlajGwDewStzTp8kYcn1X0OlkoNED5l7+lfhqqPoSsPCNA/pGbwR82k8ZFr3z1tTC4FA==" saltValue="q+/ti1ChSMrsc6I75IlnGg==" spinCount="100000" sheet="1" objects="1" scenarios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0" tint="-0.249977111117893"/>
  </sheetPr>
  <dimension ref="A1:K14"/>
  <sheetViews>
    <sheetView workbookViewId="0">
      <selection activeCell="F8" sqref="F8"/>
    </sheetView>
  </sheetViews>
  <sheetFormatPr defaultColWidth="12.81640625" defaultRowHeight="12.5" x14ac:dyDescent="0.25"/>
  <cols>
    <col min="1" max="1" width="16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230</v>
      </c>
      <c r="B1" s="8" t="s">
        <v>226</v>
      </c>
      <c r="C1" s="8" t="s">
        <v>121</v>
      </c>
      <c r="D1" s="8" t="s">
        <v>227</v>
      </c>
      <c r="E1" s="8" t="s">
        <v>228</v>
      </c>
      <c r="F1" s="8" t="s">
        <v>128</v>
      </c>
      <c r="G1" s="8" t="s">
        <v>87</v>
      </c>
      <c r="H1" s="8" t="s">
        <v>43</v>
      </c>
      <c r="I1" s="8" t="s">
        <v>229</v>
      </c>
      <c r="J1" s="8" t="s">
        <v>36</v>
      </c>
      <c r="K1" s="8" t="s">
        <v>68</v>
      </c>
    </row>
    <row r="2" spans="1:11" ht="13.25" customHeight="1" x14ac:dyDescent="0.25">
      <c r="A2" s="8" t="s">
        <v>109</v>
      </c>
      <c r="B2" s="87" t="s">
        <v>5</v>
      </c>
      <c r="C2" s="87" t="s">
        <v>5</v>
      </c>
      <c r="D2" s="87" t="s">
        <v>5</v>
      </c>
      <c r="E2" s="87" t="s">
        <v>5</v>
      </c>
      <c r="F2" s="87" t="s">
        <v>5</v>
      </c>
      <c r="G2" s="87" t="s">
        <v>5</v>
      </c>
      <c r="H2" s="87" t="s">
        <v>5</v>
      </c>
      <c r="I2" s="87"/>
      <c r="J2" s="87"/>
      <c r="K2" s="87"/>
    </row>
    <row r="3" spans="1:11" ht="13.25" customHeight="1" x14ac:dyDescent="0.25">
      <c r="A3" s="8" t="s">
        <v>96</v>
      </c>
      <c r="B3" s="87" t="s">
        <v>5</v>
      </c>
      <c r="C3" s="87" t="s">
        <v>5</v>
      </c>
      <c r="D3" s="87" t="s">
        <v>5</v>
      </c>
      <c r="E3" s="87" t="s">
        <v>5</v>
      </c>
      <c r="F3" s="87" t="s">
        <v>5</v>
      </c>
      <c r="G3" s="87" t="s">
        <v>5</v>
      </c>
      <c r="H3" s="87" t="s">
        <v>5</v>
      </c>
      <c r="I3" s="87"/>
      <c r="J3" s="87"/>
      <c r="K3" s="87"/>
    </row>
    <row r="4" spans="1:11" ht="13.25" customHeight="1" x14ac:dyDescent="0.25">
      <c r="A4" s="8" t="s">
        <v>97</v>
      </c>
      <c r="B4" s="87" t="s">
        <v>5</v>
      </c>
      <c r="C4" s="87" t="s">
        <v>5</v>
      </c>
      <c r="D4" s="87" t="s">
        <v>5</v>
      </c>
      <c r="E4" s="87" t="s">
        <v>5</v>
      </c>
      <c r="F4" s="87" t="s">
        <v>5</v>
      </c>
      <c r="G4" s="87" t="s">
        <v>5</v>
      </c>
      <c r="H4" s="87" t="s">
        <v>5</v>
      </c>
      <c r="I4" s="87"/>
      <c r="J4" s="87"/>
      <c r="K4" s="87"/>
    </row>
    <row r="5" spans="1:11" ht="13.25" customHeight="1" x14ac:dyDescent="0.25">
      <c r="A5" s="8" t="s">
        <v>98</v>
      </c>
      <c r="B5" s="87" t="s">
        <v>5</v>
      </c>
      <c r="C5" s="87" t="s">
        <v>5</v>
      </c>
      <c r="D5" s="87" t="s">
        <v>5</v>
      </c>
      <c r="E5" s="87" t="s">
        <v>5</v>
      </c>
      <c r="F5" s="87" t="s">
        <v>5</v>
      </c>
      <c r="G5" s="87" t="s">
        <v>5</v>
      </c>
      <c r="H5" s="87" t="s">
        <v>5</v>
      </c>
      <c r="I5" s="87"/>
      <c r="J5" s="87"/>
      <c r="K5" s="87"/>
    </row>
    <row r="6" spans="1:11" ht="13.25" customHeight="1" x14ac:dyDescent="0.25">
      <c r="A6" s="8" t="s">
        <v>99</v>
      </c>
      <c r="B6" s="87" t="s">
        <v>5</v>
      </c>
      <c r="C6" s="87" t="s">
        <v>5</v>
      </c>
      <c r="D6" s="87" t="s">
        <v>5</v>
      </c>
      <c r="E6" s="87" t="s">
        <v>5</v>
      </c>
      <c r="F6" s="87" t="s">
        <v>5</v>
      </c>
      <c r="G6" s="87" t="s">
        <v>5</v>
      </c>
      <c r="H6" s="87" t="s">
        <v>5</v>
      </c>
      <c r="I6" s="87"/>
      <c r="J6" s="87"/>
      <c r="K6" s="87"/>
    </row>
    <row r="7" spans="1:11" ht="13.25" customHeight="1" x14ac:dyDescent="0.25">
      <c r="A7" s="8" t="s">
        <v>122</v>
      </c>
      <c r="B7" s="87"/>
      <c r="C7" s="87" t="s">
        <v>5</v>
      </c>
      <c r="D7" s="87"/>
      <c r="E7" s="87"/>
      <c r="F7" s="87"/>
      <c r="G7" s="87"/>
      <c r="H7" s="87" t="s">
        <v>5</v>
      </c>
      <c r="I7" s="87" t="s">
        <v>5</v>
      </c>
      <c r="J7" s="87"/>
      <c r="K7" s="87"/>
    </row>
    <row r="8" spans="1:11" ht="13.25" customHeight="1" x14ac:dyDescent="0.25">
      <c r="A8" s="8" t="s">
        <v>123</v>
      </c>
      <c r="B8" s="87"/>
      <c r="C8" s="87" t="s">
        <v>5</v>
      </c>
      <c r="D8" s="87"/>
      <c r="E8" s="87"/>
      <c r="F8" s="87"/>
      <c r="G8" s="87"/>
      <c r="H8" s="87" t="s">
        <v>5</v>
      </c>
      <c r="I8" s="87" t="s">
        <v>5</v>
      </c>
      <c r="J8" s="87"/>
      <c r="K8" s="87"/>
    </row>
    <row r="9" spans="1:11" ht="13.25" customHeight="1" x14ac:dyDescent="0.25">
      <c r="A9" s="8" t="s">
        <v>124</v>
      </c>
      <c r="B9" s="87"/>
      <c r="C9" s="87" t="s">
        <v>5</v>
      </c>
      <c r="D9" s="87"/>
      <c r="E9" s="87"/>
      <c r="F9" s="87"/>
      <c r="G9" s="87"/>
      <c r="H9" s="87" t="s">
        <v>5</v>
      </c>
      <c r="I9" s="87" t="s">
        <v>5</v>
      </c>
      <c r="J9" s="87"/>
      <c r="K9" s="87"/>
    </row>
    <row r="10" spans="1:11" ht="13.25" customHeight="1" x14ac:dyDescent="0.25">
      <c r="A10" s="8" t="s">
        <v>125</v>
      </c>
      <c r="B10" s="87"/>
      <c r="C10" s="87" t="s">
        <v>5</v>
      </c>
      <c r="D10" s="87"/>
      <c r="E10" s="87"/>
      <c r="F10" s="87"/>
      <c r="G10" s="87"/>
      <c r="H10" s="87" t="s">
        <v>5</v>
      </c>
      <c r="I10" s="87" t="s">
        <v>5</v>
      </c>
      <c r="J10" s="87"/>
      <c r="K10" s="87"/>
    </row>
    <row r="11" spans="1:11" ht="13.25" customHeight="1" x14ac:dyDescent="0.25">
      <c r="A11" s="8" t="s">
        <v>69</v>
      </c>
      <c r="B11" s="87"/>
      <c r="C11" s="87" t="s">
        <v>5</v>
      </c>
      <c r="D11" s="87"/>
      <c r="E11" s="87"/>
      <c r="F11" s="87"/>
      <c r="G11" s="87"/>
      <c r="H11" s="87"/>
      <c r="I11" s="87"/>
      <c r="J11" s="87" t="s">
        <v>5</v>
      </c>
      <c r="K11" s="87" t="s">
        <v>5</v>
      </c>
    </row>
    <row r="12" spans="1:11" ht="13.25" customHeight="1" x14ac:dyDescent="0.25">
      <c r="A12" s="8" t="s">
        <v>70</v>
      </c>
      <c r="B12" s="87"/>
      <c r="C12" s="87" t="s">
        <v>5</v>
      </c>
      <c r="D12" s="87"/>
      <c r="E12" s="87"/>
      <c r="F12" s="87"/>
      <c r="G12" s="87"/>
      <c r="H12" s="87"/>
      <c r="I12" s="87"/>
      <c r="J12" s="87"/>
      <c r="K12" s="87" t="s">
        <v>5</v>
      </c>
    </row>
    <row r="13" spans="1:11" ht="13.25" customHeight="1" x14ac:dyDescent="0.25">
      <c r="A13" s="8" t="s">
        <v>71</v>
      </c>
      <c r="B13" s="87"/>
      <c r="C13" s="87" t="s">
        <v>5</v>
      </c>
      <c r="D13" s="87"/>
      <c r="E13" s="87"/>
      <c r="F13" s="87"/>
      <c r="G13" s="87"/>
      <c r="H13" s="87"/>
      <c r="I13" s="87"/>
      <c r="J13" s="87"/>
      <c r="K13" s="87" t="s">
        <v>5</v>
      </c>
    </row>
    <row r="14" spans="1:11" ht="13.25" customHeight="1" x14ac:dyDescent="0.25">
      <c r="A14" s="8" t="s">
        <v>72</v>
      </c>
      <c r="B14" s="87"/>
      <c r="C14" s="87" t="s">
        <v>5</v>
      </c>
      <c r="D14" s="87"/>
      <c r="E14" s="87"/>
      <c r="F14" s="87"/>
      <c r="G14" s="87"/>
      <c r="H14" s="87"/>
      <c r="I14" s="87"/>
      <c r="J14" s="87"/>
      <c r="K14" s="87" t="s">
        <v>5</v>
      </c>
    </row>
  </sheetData>
  <sheetProtection algorithmName="SHA-512" hashValue="e6kPXQexq7G4G6DuKc0ibysIHHzlhJ0A1EzeZ3OUEeGQ7H2N9wQsTAWUvETMUynU36d40pSEpWl1HUFZPS/oXw==" saltValue="pVSYJCRZkwFKgXahrbR5JA==" spinCount="100000" sheet="1" objects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0" tint="-0.249977111117893"/>
  </sheetPr>
  <dimension ref="A1:J157"/>
  <sheetViews>
    <sheetView topLeftCell="A127" zoomScale="85" zoomScaleNormal="85" workbookViewId="0">
      <selection activeCell="D8" sqref="D8"/>
    </sheetView>
  </sheetViews>
  <sheetFormatPr defaultColWidth="12.816406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4" width="12.81640625" style="8" customWidth="1"/>
    <col min="5" max="16384" width="12.81640625" style="8"/>
  </cols>
  <sheetData>
    <row r="1" spans="1:10" ht="13" customHeight="1" x14ac:dyDescent="0.3">
      <c r="A1" s="4" t="s">
        <v>231</v>
      </c>
      <c r="B1" s="4" t="s">
        <v>152</v>
      </c>
      <c r="C1" s="4" t="s">
        <v>164</v>
      </c>
      <c r="D1" s="4" t="s">
        <v>109</v>
      </c>
      <c r="E1" s="4" t="s">
        <v>96</v>
      </c>
      <c r="F1" s="4" t="s">
        <v>97</v>
      </c>
      <c r="G1" s="4" t="s">
        <v>98</v>
      </c>
      <c r="H1" s="4" t="s">
        <v>99</v>
      </c>
    </row>
    <row r="2" spans="1:10" ht="13" customHeight="1" x14ac:dyDescent="0.3">
      <c r="A2" s="4" t="s">
        <v>232</v>
      </c>
      <c r="B2" s="103" t="s">
        <v>100</v>
      </c>
      <c r="C2" s="8" t="s">
        <v>153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ht="13.25" customHeight="1" x14ac:dyDescent="0.25">
      <c r="B3" s="104"/>
      <c r="C3" s="8" t="s">
        <v>154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ht="13.25" customHeight="1" x14ac:dyDescent="0.25">
      <c r="B4" s="104"/>
      <c r="C4" s="8" t="s">
        <v>155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ht="13.25" customHeight="1" x14ac:dyDescent="0.25">
      <c r="B5" s="103" t="s">
        <v>109</v>
      </c>
      <c r="C5" s="8" t="s">
        <v>153</v>
      </c>
      <c r="D5" s="88">
        <v>2.17</v>
      </c>
      <c r="E5" s="88">
        <v>1</v>
      </c>
      <c r="F5" s="88">
        <v>1</v>
      </c>
      <c r="G5" s="88">
        <v>1</v>
      </c>
      <c r="H5" s="88">
        <v>1</v>
      </c>
    </row>
    <row r="6" spans="1:10" ht="13.25" customHeight="1" x14ac:dyDescent="0.25">
      <c r="B6" s="104"/>
      <c r="C6" s="8" t="s">
        <v>154</v>
      </c>
      <c r="D6" s="88">
        <v>2.17</v>
      </c>
      <c r="E6" s="88">
        <v>1</v>
      </c>
      <c r="F6" s="88">
        <v>1</v>
      </c>
      <c r="G6" s="88">
        <v>1</v>
      </c>
      <c r="H6" s="88">
        <v>1</v>
      </c>
    </row>
    <row r="7" spans="1:10" ht="13.25" customHeight="1" x14ac:dyDescent="0.25">
      <c r="B7" s="104"/>
      <c r="C7" s="8" t="s">
        <v>155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ht="13.25" customHeight="1" x14ac:dyDescent="0.25">
      <c r="B8" s="103" t="s">
        <v>96</v>
      </c>
      <c r="C8" s="8" t="s">
        <v>153</v>
      </c>
      <c r="D8" s="88">
        <v>1</v>
      </c>
      <c r="E8" s="88">
        <v>2.48</v>
      </c>
      <c r="F8" s="88">
        <v>1</v>
      </c>
      <c r="G8" s="88">
        <v>1</v>
      </c>
      <c r="H8" s="88">
        <v>1</v>
      </c>
    </row>
    <row r="9" spans="1:10" ht="13.25" customHeight="1" x14ac:dyDescent="0.25">
      <c r="B9" s="104"/>
      <c r="C9" s="8" t="s">
        <v>154</v>
      </c>
      <c r="D9" s="88">
        <v>1</v>
      </c>
      <c r="E9" s="88">
        <v>2.48</v>
      </c>
      <c r="F9" s="88">
        <v>1</v>
      </c>
      <c r="G9" s="88">
        <v>1</v>
      </c>
      <c r="H9" s="88">
        <v>1</v>
      </c>
    </row>
    <row r="10" spans="1:10" ht="13.25" customHeight="1" x14ac:dyDescent="0.25">
      <c r="B10" s="104"/>
      <c r="C10" s="8" t="s">
        <v>155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ht="13.25" customHeight="1" x14ac:dyDescent="0.25">
      <c r="B11" s="103" t="s">
        <v>97</v>
      </c>
      <c r="C11" s="8" t="s">
        <v>153</v>
      </c>
      <c r="D11" s="88">
        <v>1</v>
      </c>
      <c r="E11" s="88">
        <v>1</v>
      </c>
      <c r="F11" s="88">
        <v>1.82</v>
      </c>
      <c r="G11" s="88">
        <v>1</v>
      </c>
      <c r="H11" s="88">
        <v>1</v>
      </c>
    </row>
    <row r="12" spans="1:10" ht="13.25" customHeight="1" x14ac:dyDescent="0.25">
      <c r="B12" s="104"/>
      <c r="C12" s="8" t="s">
        <v>154</v>
      </c>
      <c r="D12" s="88">
        <v>1</v>
      </c>
      <c r="E12" s="88">
        <v>1</v>
      </c>
      <c r="F12" s="88">
        <v>1.82</v>
      </c>
      <c r="G12" s="88">
        <v>1</v>
      </c>
      <c r="H12" s="88">
        <v>1</v>
      </c>
    </row>
    <row r="13" spans="1:10" ht="13.25" customHeight="1" x14ac:dyDescent="0.25">
      <c r="B13" s="104"/>
      <c r="C13" s="8" t="s">
        <v>155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ht="13.25" customHeight="1" x14ac:dyDescent="0.25">
      <c r="B14" s="103" t="s">
        <v>98</v>
      </c>
      <c r="C14" s="8" t="s">
        <v>153</v>
      </c>
      <c r="D14" s="88">
        <v>1</v>
      </c>
      <c r="E14" s="88">
        <v>1</v>
      </c>
      <c r="F14" s="88">
        <v>1</v>
      </c>
      <c r="G14" s="88">
        <v>1.82</v>
      </c>
      <c r="H14" s="88">
        <v>1</v>
      </c>
    </row>
    <row r="15" spans="1:10" ht="13.25" customHeight="1" x14ac:dyDescent="0.25">
      <c r="B15" s="104"/>
      <c r="C15" s="8" t="s">
        <v>154</v>
      </c>
      <c r="D15" s="88">
        <v>1</v>
      </c>
      <c r="E15" s="88">
        <v>1</v>
      </c>
      <c r="F15" s="88">
        <v>1</v>
      </c>
      <c r="G15" s="88">
        <v>1.82</v>
      </c>
      <c r="H15" s="88">
        <v>1</v>
      </c>
    </row>
    <row r="16" spans="1:10" ht="13.25" customHeight="1" x14ac:dyDescent="0.25">
      <c r="B16" s="104"/>
      <c r="C16" s="8" t="s">
        <v>155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customHeight="1" x14ac:dyDescent="0.25">
      <c r="B17" s="65" t="s">
        <v>156</v>
      </c>
      <c r="C17" s="8" t="s">
        <v>155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ht="13.25" customHeight="1" x14ac:dyDescent="0.25">
      <c r="D18" s="86"/>
      <c r="E18" s="86"/>
      <c r="F18" s="86"/>
      <c r="G18" s="86"/>
      <c r="H18" s="86"/>
    </row>
    <row r="19" spans="1:8" ht="13" customHeight="1" x14ac:dyDescent="0.3">
      <c r="A19" s="4" t="s">
        <v>233</v>
      </c>
      <c r="B19" s="103" t="s">
        <v>100</v>
      </c>
      <c r="C19" s="8" t="s">
        <v>153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ht="13.25" customHeight="1" x14ac:dyDescent="0.25">
      <c r="B20" s="104"/>
      <c r="C20" s="8" t="s">
        <v>154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ht="13.25" customHeight="1" x14ac:dyDescent="0.25">
      <c r="B21" s="104"/>
      <c r="C21" s="8" t="s">
        <v>155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ht="13.25" customHeight="1" x14ac:dyDescent="0.25">
      <c r="B22" s="103" t="s">
        <v>109</v>
      </c>
      <c r="C22" s="8" t="s">
        <v>153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ht="13.25" customHeight="1" x14ac:dyDescent="0.25">
      <c r="B23" s="104"/>
      <c r="C23" s="8" t="s">
        <v>154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ht="13.25" customHeight="1" x14ac:dyDescent="0.25">
      <c r="B24" s="104"/>
      <c r="C24" s="8" t="s">
        <v>155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ht="13.25" customHeight="1" x14ac:dyDescent="0.25">
      <c r="B25" s="103" t="s">
        <v>96</v>
      </c>
      <c r="C25" s="8" t="s">
        <v>153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ht="13.25" customHeight="1" x14ac:dyDescent="0.25">
      <c r="B26" s="104"/>
      <c r="C26" s="8" t="s">
        <v>154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ht="13.25" customHeight="1" x14ac:dyDescent="0.25">
      <c r="B27" s="104"/>
      <c r="C27" s="8" t="s">
        <v>155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ht="13.25" customHeight="1" x14ac:dyDescent="0.25">
      <c r="B28" s="103" t="s">
        <v>97</v>
      </c>
      <c r="C28" s="8" t="s">
        <v>153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ht="13.25" customHeight="1" x14ac:dyDescent="0.25">
      <c r="B29" s="104"/>
      <c r="C29" s="8" t="s">
        <v>154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ht="13.25" customHeight="1" x14ac:dyDescent="0.25">
      <c r="B30" s="104"/>
      <c r="C30" s="8" t="s">
        <v>155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ht="13.25" customHeight="1" x14ac:dyDescent="0.25">
      <c r="B31" s="103" t="s">
        <v>98</v>
      </c>
      <c r="C31" s="8" t="s">
        <v>153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ht="13.25" customHeight="1" x14ac:dyDescent="0.25">
      <c r="B32" s="104"/>
      <c r="C32" s="8" t="s">
        <v>154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ht="13.25" customHeight="1" x14ac:dyDescent="0.25">
      <c r="B33" s="104"/>
      <c r="C33" s="8" t="s">
        <v>155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customHeight="1" x14ac:dyDescent="0.25">
      <c r="B34" s="65" t="s">
        <v>156</v>
      </c>
      <c r="C34" s="8" t="s">
        <v>155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ht="13.25" customHeight="1" x14ac:dyDescent="0.25">
      <c r="D35" s="86"/>
      <c r="E35" s="86"/>
      <c r="F35" s="86"/>
      <c r="G35" s="86"/>
      <c r="H35" s="86"/>
    </row>
    <row r="36" spans="1:8" ht="13" customHeight="1" x14ac:dyDescent="0.3">
      <c r="A36" s="66" t="s">
        <v>234</v>
      </c>
      <c r="B36" s="103" t="s">
        <v>100</v>
      </c>
      <c r="C36" s="8" t="s">
        <v>153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ht="13.25" customHeight="1" x14ac:dyDescent="0.25">
      <c r="B37" s="104"/>
      <c r="C37" s="8" t="s">
        <v>154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ht="13.25" customHeight="1" x14ac:dyDescent="0.25">
      <c r="B38" s="104"/>
      <c r="C38" s="8" t="s">
        <v>155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ht="13.25" customHeight="1" x14ac:dyDescent="0.25">
      <c r="B39" s="103" t="s">
        <v>109</v>
      </c>
      <c r="C39" s="8" t="s">
        <v>153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ht="13.25" customHeight="1" x14ac:dyDescent="0.25">
      <c r="B40" s="104"/>
      <c r="C40" s="8" t="s">
        <v>154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ht="13.25" customHeight="1" x14ac:dyDescent="0.25">
      <c r="B41" s="104"/>
      <c r="C41" s="8" t="s">
        <v>155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ht="13.25" customHeight="1" x14ac:dyDescent="0.25">
      <c r="B42" s="103" t="s">
        <v>96</v>
      </c>
      <c r="C42" s="8" t="s">
        <v>153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ht="13.25" customHeight="1" x14ac:dyDescent="0.25">
      <c r="B43" s="104"/>
      <c r="C43" s="8" t="s">
        <v>154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ht="13.25" customHeight="1" x14ac:dyDescent="0.25">
      <c r="B44" s="104"/>
      <c r="C44" s="8" t="s">
        <v>155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ht="13.25" customHeight="1" x14ac:dyDescent="0.25">
      <c r="B45" s="103" t="s">
        <v>97</v>
      </c>
      <c r="C45" s="8" t="s">
        <v>153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ht="13.25" customHeight="1" x14ac:dyDescent="0.25">
      <c r="B46" s="104"/>
      <c r="C46" s="8" t="s">
        <v>154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ht="13.25" customHeight="1" x14ac:dyDescent="0.25">
      <c r="B47" s="104"/>
      <c r="C47" s="8" t="s">
        <v>155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ht="13.25" customHeight="1" x14ac:dyDescent="0.25">
      <c r="B48" s="103" t="s">
        <v>98</v>
      </c>
      <c r="C48" s="8" t="s">
        <v>153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ht="13.25" customHeight="1" x14ac:dyDescent="0.25">
      <c r="B49" s="104"/>
      <c r="C49" s="8" t="s">
        <v>154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ht="13.25" customHeight="1" x14ac:dyDescent="0.25">
      <c r="B50" s="104"/>
      <c r="C50" s="8" t="s">
        <v>155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customHeight="1" x14ac:dyDescent="0.25">
      <c r="B51" s="65" t="s">
        <v>156</v>
      </c>
      <c r="C51" s="8" t="s">
        <v>155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customHeight="1" x14ac:dyDescent="0.3">
      <c r="A53" s="92" t="s">
        <v>235</v>
      </c>
      <c r="B53" s="92"/>
      <c r="C53" s="92"/>
      <c r="D53" s="92"/>
      <c r="E53" s="92"/>
      <c r="F53" s="92"/>
      <c r="G53" s="92"/>
      <c r="H53" s="92"/>
    </row>
    <row r="54" spans="1:8" ht="13" customHeight="1" x14ac:dyDescent="0.3">
      <c r="A54" s="4" t="s">
        <v>231</v>
      </c>
      <c r="B54" s="4" t="s">
        <v>152</v>
      </c>
      <c r="C54" s="4" t="s">
        <v>164</v>
      </c>
      <c r="D54" s="4" t="s">
        <v>109</v>
      </c>
      <c r="E54" s="4" t="s">
        <v>96</v>
      </c>
      <c r="F54" s="4" t="s">
        <v>97</v>
      </c>
      <c r="G54" s="4" t="s">
        <v>98</v>
      </c>
      <c r="H54" s="4" t="s">
        <v>99</v>
      </c>
    </row>
    <row r="55" spans="1:8" ht="13" customHeight="1" x14ac:dyDescent="0.3">
      <c r="A55" s="4" t="s">
        <v>236</v>
      </c>
      <c r="B55" s="103" t="s">
        <v>100</v>
      </c>
      <c r="C55" s="8" t="s">
        <v>153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ht="13.25" customHeight="1" x14ac:dyDescent="0.25">
      <c r="B56" s="104"/>
      <c r="C56" s="8" t="s">
        <v>154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ht="13.25" customHeight="1" x14ac:dyDescent="0.25">
      <c r="B57" s="104"/>
      <c r="C57" s="8" t="s">
        <v>155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ht="13.25" customHeight="1" x14ac:dyDescent="0.25">
      <c r="B58" s="103" t="s">
        <v>109</v>
      </c>
      <c r="C58" s="8" t="s">
        <v>153</v>
      </c>
      <c r="D58" s="88">
        <v>1.84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ht="13.25" customHeight="1" x14ac:dyDescent="0.25">
      <c r="B59" s="104"/>
      <c r="C59" s="8" t="s">
        <v>154</v>
      </c>
      <c r="D59" s="88">
        <v>1.84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ht="13.25" customHeight="1" x14ac:dyDescent="0.25">
      <c r="B60" s="104"/>
      <c r="C60" s="8" t="s">
        <v>155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ht="13.25" customHeight="1" x14ac:dyDescent="0.25">
      <c r="B61" s="103" t="s">
        <v>96</v>
      </c>
      <c r="C61" s="8" t="s">
        <v>153</v>
      </c>
      <c r="D61" s="88">
        <f t="shared" si="2"/>
        <v>1</v>
      </c>
      <c r="E61" s="88">
        <v>1.99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ht="13.25" customHeight="1" x14ac:dyDescent="0.25">
      <c r="B62" s="104"/>
      <c r="C62" s="8" t="s">
        <v>154</v>
      </c>
      <c r="D62" s="88">
        <f t="shared" si="2"/>
        <v>1</v>
      </c>
      <c r="E62" s="88">
        <v>1.99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ht="13.25" customHeight="1" x14ac:dyDescent="0.25">
      <c r="B63" s="104"/>
      <c r="C63" s="8" t="s">
        <v>155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ht="13.25" customHeight="1" x14ac:dyDescent="0.25">
      <c r="B64" s="103" t="s">
        <v>97</v>
      </c>
      <c r="C64" s="8" t="s">
        <v>153</v>
      </c>
      <c r="D64" s="88">
        <f t="shared" si="2"/>
        <v>1</v>
      </c>
      <c r="E64" s="88">
        <f t="shared" si="4"/>
        <v>1</v>
      </c>
      <c r="F64" s="88">
        <v>1.36</v>
      </c>
      <c r="G64" s="88">
        <f t="shared" ref="G64:H66" si="5">IF(G11=1,1,G11*0.9)</f>
        <v>1</v>
      </c>
      <c r="H64" s="88">
        <f t="shared" si="5"/>
        <v>1</v>
      </c>
    </row>
    <row r="65" spans="1:8" ht="13.25" customHeight="1" x14ac:dyDescent="0.25">
      <c r="B65" s="104"/>
      <c r="C65" s="8" t="s">
        <v>154</v>
      </c>
      <c r="D65" s="88">
        <f t="shared" si="2"/>
        <v>1</v>
      </c>
      <c r="E65" s="88">
        <f t="shared" si="4"/>
        <v>1</v>
      </c>
      <c r="F65" s="88">
        <v>1.36</v>
      </c>
      <c r="G65" s="88">
        <f t="shared" si="5"/>
        <v>1</v>
      </c>
      <c r="H65" s="88">
        <f t="shared" si="5"/>
        <v>1</v>
      </c>
    </row>
    <row r="66" spans="1:8" ht="13.25" customHeight="1" x14ac:dyDescent="0.25">
      <c r="B66" s="104"/>
      <c r="C66" s="8" t="s">
        <v>155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ht="13.25" customHeight="1" x14ac:dyDescent="0.25">
      <c r="B67" s="103" t="s">
        <v>98</v>
      </c>
      <c r="C67" s="8" t="s">
        <v>153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1.36</v>
      </c>
      <c r="H67" s="88">
        <f>IF(H14=1,1,H14*0.9)</f>
        <v>1</v>
      </c>
    </row>
    <row r="68" spans="1:8" ht="13.25" customHeight="1" x14ac:dyDescent="0.25">
      <c r="B68" s="104"/>
      <c r="C68" s="8" t="s">
        <v>154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1.36</v>
      </c>
      <c r="H68" s="88">
        <f>IF(H15=1,1,H15*0.9)</f>
        <v>1</v>
      </c>
    </row>
    <row r="69" spans="1:8" ht="13.25" customHeight="1" x14ac:dyDescent="0.25">
      <c r="B69" s="104"/>
      <c r="C69" s="8" t="s">
        <v>155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customHeight="1" x14ac:dyDescent="0.25">
      <c r="B70" s="65" t="s">
        <v>156</v>
      </c>
      <c r="C70" s="8" t="s">
        <v>155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ht="13.25" customHeight="1" x14ac:dyDescent="0.25">
      <c r="D71" s="86"/>
      <c r="E71" s="86"/>
      <c r="F71" s="86"/>
      <c r="G71" s="86"/>
      <c r="H71" s="86"/>
    </row>
    <row r="72" spans="1:8" ht="13" customHeight="1" x14ac:dyDescent="0.3">
      <c r="A72" s="4" t="s">
        <v>237</v>
      </c>
      <c r="B72" s="103" t="s">
        <v>100</v>
      </c>
      <c r="C72" s="8" t="s">
        <v>153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ht="13.25" customHeight="1" x14ac:dyDescent="0.25">
      <c r="B73" s="104"/>
      <c r="C73" s="8" t="s">
        <v>154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ht="13.25" customHeight="1" x14ac:dyDescent="0.25">
      <c r="B74" s="104"/>
      <c r="C74" s="8" t="s">
        <v>155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ht="13.25" customHeight="1" x14ac:dyDescent="0.25">
      <c r="B75" s="103" t="s">
        <v>109</v>
      </c>
      <c r="C75" s="8" t="s">
        <v>153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ht="13.25" customHeight="1" x14ac:dyDescent="0.25">
      <c r="B76" s="104"/>
      <c r="C76" s="8" t="s">
        <v>154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ht="13.25" customHeight="1" x14ac:dyDescent="0.25">
      <c r="B77" s="104"/>
      <c r="C77" s="8" t="s">
        <v>155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ht="13.25" customHeight="1" x14ac:dyDescent="0.25">
      <c r="B78" s="103" t="s">
        <v>96</v>
      </c>
      <c r="C78" s="8" t="s">
        <v>153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ht="13.25" customHeight="1" x14ac:dyDescent="0.25">
      <c r="B79" s="104"/>
      <c r="C79" s="8" t="s">
        <v>154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ht="13.25" customHeight="1" x14ac:dyDescent="0.25">
      <c r="B80" s="104"/>
      <c r="C80" s="8" t="s">
        <v>155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ht="13.25" customHeight="1" x14ac:dyDescent="0.25">
      <c r="B81" s="103" t="s">
        <v>97</v>
      </c>
      <c r="C81" s="8" t="s">
        <v>153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ht="13.25" customHeight="1" x14ac:dyDescent="0.25">
      <c r="B82" s="104"/>
      <c r="C82" s="8" t="s">
        <v>154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ht="13.25" customHeight="1" x14ac:dyDescent="0.25">
      <c r="B83" s="104"/>
      <c r="C83" s="8" t="s">
        <v>155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ht="13.25" customHeight="1" x14ac:dyDescent="0.25">
      <c r="B84" s="103" t="s">
        <v>98</v>
      </c>
      <c r="C84" s="8" t="s">
        <v>153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ht="13.25" customHeight="1" x14ac:dyDescent="0.25">
      <c r="B85" s="104"/>
      <c r="C85" s="8" t="s">
        <v>154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ht="13.25" customHeight="1" x14ac:dyDescent="0.25">
      <c r="B86" s="104"/>
      <c r="C86" s="8" t="s">
        <v>155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customHeight="1" x14ac:dyDescent="0.25">
      <c r="B87" s="65" t="s">
        <v>156</v>
      </c>
      <c r="C87" s="8" t="s">
        <v>155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ht="13.25" customHeight="1" x14ac:dyDescent="0.25">
      <c r="D88" s="86"/>
      <c r="E88" s="86"/>
      <c r="F88" s="86"/>
      <c r="G88" s="86"/>
      <c r="H88" s="86"/>
    </row>
    <row r="89" spans="1:8" ht="13" customHeight="1" x14ac:dyDescent="0.3">
      <c r="A89" s="66" t="s">
        <v>238</v>
      </c>
      <c r="B89" s="103" t="s">
        <v>100</v>
      </c>
      <c r="C89" s="8" t="s">
        <v>153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ht="13.25" customHeight="1" x14ac:dyDescent="0.25">
      <c r="B90" s="104"/>
      <c r="C90" s="8" t="s">
        <v>154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ht="13.25" customHeight="1" x14ac:dyDescent="0.25">
      <c r="B91" s="104"/>
      <c r="C91" s="8" t="s">
        <v>155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ht="13.25" customHeight="1" x14ac:dyDescent="0.25">
      <c r="B92" s="103" t="s">
        <v>109</v>
      </c>
      <c r="C92" s="8" t="s">
        <v>153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ht="13.25" customHeight="1" x14ac:dyDescent="0.25">
      <c r="B93" s="104"/>
      <c r="C93" s="8" t="s">
        <v>154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ht="13.25" customHeight="1" x14ac:dyDescent="0.25">
      <c r="B94" s="104"/>
      <c r="C94" s="8" t="s">
        <v>155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ht="13.25" customHeight="1" x14ac:dyDescent="0.25">
      <c r="B95" s="103" t="s">
        <v>96</v>
      </c>
      <c r="C95" s="8" t="s">
        <v>153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ht="13.25" customHeight="1" x14ac:dyDescent="0.25">
      <c r="B96" s="104"/>
      <c r="C96" s="8" t="s">
        <v>154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ht="13.25" customHeight="1" x14ac:dyDescent="0.25">
      <c r="B97" s="104"/>
      <c r="C97" s="8" t="s">
        <v>155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ht="13.25" customHeight="1" x14ac:dyDescent="0.25">
      <c r="B98" s="103" t="s">
        <v>97</v>
      </c>
      <c r="C98" s="8" t="s">
        <v>153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ht="13.25" customHeight="1" x14ac:dyDescent="0.25">
      <c r="B99" s="104"/>
      <c r="C99" s="8" t="s">
        <v>154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ht="13.25" customHeight="1" x14ac:dyDescent="0.25">
      <c r="B100" s="104"/>
      <c r="C100" s="8" t="s">
        <v>155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ht="13.25" customHeight="1" x14ac:dyDescent="0.25">
      <c r="B101" s="103" t="s">
        <v>98</v>
      </c>
      <c r="C101" s="8" t="s">
        <v>153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ht="13.25" customHeight="1" x14ac:dyDescent="0.25">
      <c r="B102" s="104"/>
      <c r="C102" s="8" t="s">
        <v>154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ht="13.25" customHeight="1" x14ac:dyDescent="0.25">
      <c r="B103" s="104"/>
      <c r="C103" s="8" t="s">
        <v>155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customHeight="1" x14ac:dyDescent="0.25">
      <c r="B104" s="65" t="s">
        <v>156</v>
      </c>
      <c r="C104" s="8" t="s">
        <v>155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customHeight="1" x14ac:dyDescent="0.3">
      <c r="A106" s="92" t="s">
        <v>239</v>
      </c>
      <c r="B106" s="92"/>
      <c r="C106" s="92"/>
      <c r="D106" s="92"/>
      <c r="E106" s="92"/>
      <c r="F106" s="92"/>
      <c r="G106" s="92"/>
      <c r="H106" s="92"/>
    </row>
    <row r="107" spans="1:8" ht="13" customHeight="1" x14ac:dyDescent="0.3">
      <c r="A107" s="4" t="s">
        <v>231</v>
      </c>
      <c r="B107" s="4" t="s">
        <v>152</v>
      </c>
      <c r="C107" s="4" t="s">
        <v>164</v>
      </c>
      <c r="D107" s="4" t="s">
        <v>109</v>
      </c>
      <c r="E107" s="4" t="s">
        <v>96</v>
      </c>
      <c r="F107" s="4" t="s">
        <v>97</v>
      </c>
      <c r="G107" s="4" t="s">
        <v>98</v>
      </c>
      <c r="H107" s="4" t="s">
        <v>99</v>
      </c>
    </row>
    <row r="108" spans="1:8" ht="13" customHeight="1" x14ac:dyDescent="0.3">
      <c r="A108" s="4" t="s">
        <v>240</v>
      </c>
      <c r="B108" s="103" t="s">
        <v>100</v>
      </c>
      <c r="C108" s="8" t="s">
        <v>153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ht="13.25" customHeight="1" x14ac:dyDescent="0.25">
      <c r="B109" s="104"/>
      <c r="C109" s="8" t="s">
        <v>154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ht="13.25" customHeight="1" x14ac:dyDescent="0.25">
      <c r="B110" s="104"/>
      <c r="C110" s="8" t="s">
        <v>155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ht="13.25" customHeight="1" x14ac:dyDescent="0.25">
      <c r="B111" s="103" t="s">
        <v>109</v>
      </c>
      <c r="C111" s="8" t="s">
        <v>153</v>
      </c>
      <c r="D111" s="88">
        <v>2.56</v>
      </c>
      <c r="E111" s="88">
        <f t="shared" ref="E111:G113" si="11">IF(E58=1,1,E58*0.9)</f>
        <v>1</v>
      </c>
      <c r="F111" s="88">
        <f t="shared" si="11"/>
        <v>1</v>
      </c>
      <c r="G111" s="88">
        <f t="shared" si="11"/>
        <v>1</v>
      </c>
      <c r="H111" s="88">
        <f t="shared" ref="H111:H123" si="12">IF(H5=1,1,H5*1.05)</f>
        <v>1</v>
      </c>
    </row>
    <row r="112" spans="1:8" ht="13.25" customHeight="1" x14ac:dyDescent="0.25">
      <c r="B112" s="104"/>
      <c r="C112" s="8" t="s">
        <v>154</v>
      </c>
      <c r="D112" s="88">
        <v>2.56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2"/>
        <v>1</v>
      </c>
    </row>
    <row r="113" spans="1:8" ht="13.25" customHeight="1" x14ac:dyDescent="0.25">
      <c r="B113" s="104"/>
      <c r="C113" s="8" t="s">
        <v>155</v>
      </c>
      <c r="D113" s="88">
        <f t="shared" ref="D113:D121" si="13">IF(D60=1,1,D60*0.9)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2"/>
        <v>1</v>
      </c>
    </row>
    <row r="114" spans="1:8" ht="13.25" customHeight="1" x14ac:dyDescent="0.25">
      <c r="B114" s="103" t="s">
        <v>96</v>
      </c>
      <c r="C114" s="8" t="s">
        <v>153</v>
      </c>
      <c r="D114" s="88">
        <f t="shared" si="13"/>
        <v>1</v>
      </c>
      <c r="E114" s="88">
        <v>3.09</v>
      </c>
      <c r="F114" s="88">
        <f t="shared" ref="F114:G116" si="14">IF(F61=1,1,F61*0.9)</f>
        <v>1</v>
      </c>
      <c r="G114" s="88">
        <f t="shared" si="14"/>
        <v>1</v>
      </c>
      <c r="H114" s="88">
        <f t="shared" si="12"/>
        <v>1</v>
      </c>
    </row>
    <row r="115" spans="1:8" ht="13.25" customHeight="1" x14ac:dyDescent="0.25">
      <c r="B115" s="104"/>
      <c r="C115" s="8" t="s">
        <v>154</v>
      </c>
      <c r="D115" s="88">
        <f t="shared" si="13"/>
        <v>1</v>
      </c>
      <c r="E115" s="88">
        <v>3.09</v>
      </c>
      <c r="F115" s="88">
        <f t="shared" si="14"/>
        <v>1</v>
      </c>
      <c r="G115" s="88">
        <f t="shared" si="14"/>
        <v>1</v>
      </c>
      <c r="H115" s="88">
        <f t="shared" si="12"/>
        <v>1</v>
      </c>
    </row>
    <row r="116" spans="1:8" ht="13.25" customHeight="1" x14ac:dyDescent="0.25">
      <c r="B116" s="104"/>
      <c r="C116" s="8" t="s">
        <v>155</v>
      </c>
      <c r="D116" s="88">
        <f t="shared" si="13"/>
        <v>1</v>
      </c>
      <c r="E116" s="88">
        <f t="shared" ref="E116:E121" si="15">IF(E63=1,1,E63*0.9)</f>
        <v>1</v>
      </c>
      <c r="F116" s="88">
        <f t="shared" si="14"/>
        <v>1</v>
      </c>
      <c r="G116" s="88">
        <f t="shared" si="14"/>
        <v>1</v>
      </c>
      <c r="H116" s="88">
        <f t="shared" si="12"/>
        <v>1</v>
      </c>
    </row>
    <row r="117" spans="1:8" ht="13.25" customHeight="1" x14ac:dyDescent="0.25">
      <c r="B117" s="103" t="s">
        <v>97</v>
      </c>
      <c r="C117" s="8" t="s">
        <v>153</v>
      </c>
      <c r="D117" s="88">
        <f t="shared" si="13"/>
        <v>1</v>
      </c>
      <c r="E117" s="88">
        <f t="shared" si="15"/>
        <v>1</v>
      </c>
      <c r="F117" s="88">
        <v>2.4500000000000002</v>
      </c>
      <c r="G117" s="88">
        <f>IF(G64=1,1,G64*0.9)</f>
        <v>1</v>
      </c>
      <c r="H117" s="88">
        <f t="shared" si="12"/>
        <v>1</v>
      </c>
    </row>
    <row r="118" spans="1:8" ht="13.25" customHeight="1" x14ac:dyDescent="0.25">
      <c r="B118" s="104"/>
      <c r="C118" s="8" t="s">
        <v>154</v>
      </c>
      <c r="D118" s="88">
        <f t="shared" si="13"/>
        <v>1</v>
      </c>
      <c r="E118" s="88">
        <f t="shared" si="15"/>
        <v>1</v>
      </c>
      <c r="F118" s="88">
        <v>2.4500000000000002</v>
      </c>
      <c r="G118" s="88">
        <f>IF(G65=1,1,G65*0.9)</f>
        <v>1</v>
      </c>
      <c r="H118" s="88">
        <f t="shared" si="12"/>
        <v>1</v>
      </c>
    </row>
    <row r="119" spans="1:8" ht="13.25" customHeight="1" x14ac:dyDescent="0.25">
      <c r="B119" s="104"/>
      <c r="C119" s="8" t="s">
        <v>155</v>
      </c>
      <c r="D119" s="88">
        <f t="shared" si="13"/>
        <v>1</v>
      </c>
      <c r="E119" s="88">
        <f t="shared" si="15"/>
        <v>1</v>
      </c>
      <c r="F119" s="88">
        <f>IF(F66=1,1,F66*0.9)</f>
        <v>1</v>
      </c>
      <c r="G119" s="88">
        <f>IF(G66=1,1,G66*0.9)</f>
        <v>1</v>
      </c>
      <c r="H119" s="88">
        <f t="shared" si="12"/>
        <v>1</v>
      </c>
    </row>
    <row r="120" spans="1:8" ht="13.25" customHeight="1" x14ac:dyDescent="0.25">
      <c r="B120" s="103" t="s">
        <v>98</v>
      </c>
      <c r="C120" s="8" t="s">
        <v>153</v>
      </c>
      <c r="D120" s="88">
        <f t="shared" si="13"/>
        <v>1</v>
      </c>
      <c r="E120" s="88">
        <f t="shared" si="15"/>
        <v>1</v>
      </c>
      <c r="F120" s="88">
        <f>IF(F67=1,1,F67*0.9)</f>
        <v>1</v>
      </c>
      <c r="G120" s="88">
        <v>2.4500000000000002</v>
      </c>
      <c r="H120" s="88">
        <f t="shared" si="12"/>
        <v>1</v>
      </c>
    </row>
    <row r="121" spans="1:8" ht="13.25" customHeight="1" x14ac:dyDescent="0.25">
      <c r="B121" s="104"/>
      <c r="C121" s="8" t="s">
        <v>154</v>
      </c>
      <c r="D121" s="88">
        <f t="shared" si="13"/>
        <v>1</v>
      </c>
      <c r="E121" s="88">
        <f t="shared" si="15"/>
        <v>1</v>
      </c>
      <c r="F121" s="88">
        <f>IF(F68=1,1,F68*0.9)</f>
        <v>1</v>
      </c>
      <c r="G121" s="88">
        <v>2.4500000000000002</v>
      </c>
      <c r="H121" s="88">
        <f t="shared" si="12"/>
        <v>1</v>
      </c>
    </row>
    <row r="122" spans="1:8" ht="13.25" customHeight="1" x14ac:dyDescent="0.25">
      <c r="B122" s="104"/>
      <c r="C122" s="8" t="s">
        <v>155</v>
      </c>
      <c r="D122" s="88">
        <f t="shared" ref="D122:G123" si="16">IF(D16=1,1,D16*1.05)</f>
        <v>1</v>
      </c>
      <c r="E122" s="88">
        <f t="shared" si="16"/>
        <v>1</v>
      </c>
      <c r="F122" s="88">
        <f t="shared" si="16"/>
        <v>1</v>
      </c>
      <c r="G122" s="88">
        <f t="shared" si="16"/>
        <v>1</v>
      </c>
      <c r="H122" s="88">
        <f t="shared" si="12"/>
        <v>1</v>
      </c>
    </row>
    <row r="123" spans="1:8" ht="13" customHeight="1" x14ac:dyDescent="0.25">
      <c r="B123" s="65" t="s">
        <v>156</v>
      </c>
      <c r="C123" s="8" t="s">
        <v>155</v>
      </c>
      <c r="D123" s="88">
        <f t="shared" si="16"/>
        <v>1.1025</v>
      </c>
      <c r="E123" s="88">
        <f t="shared" si="16"/>
        <v>1.1025</v>
      </c>
      <c r="F123" s="88">
        <f t="shared" si="16"/>
        <v>1.1025</v>
      </c>
      <c r="G123" s="88">
        <f t="shared" si="16"/>
        <v>1.1025</v>
      </c>
      <c r="H123" s="88">
        <f t="shared" si="12"/>
        <v>1</v>
      </c>
    </row>
    <row r="124" spans="1:8" ht="13.25" customHeight="1" x14ac:dyDescent="0.25">
      <c r="D124" s="86"/>
      <c r="E124" s="86"/>
      <c r="F124" s="86"/>
      <c r="G124" s="86"/>
      <c r="H124" s="86"/>
    </row>
    <row r="125" spans="1:8" ht="13" customHeight="1" x14ac:dyDescent="0.3">
      <c r="A125" s="4" t="s">
        <v>241</v>
      </c>
      <c r="B125" s="103" t="s">
        <v>100</v>
      </c>
      <c r="C125" s="8" t="s">
        <v>153</v>
      </c>
      <c r="D125" s="88">
        <f t="shared" ref="D125:H134" si="17">IF(D19=1,1,D19*1.05)</f>
        <v>1</v>
      </c>
      <c r="E125" s="88">
        <f t="shared" si="17"/>
        <v>1</v>
      </c>
      <c r="F125" s="88">
        <f t="shared" si="17"/>
        <v>1</v>
      </c>
      <c r="G125" s="88">
        <f t="shared" si="17"/>
        <v>1</v>
      </c>
      <c r="H125" s="88">
        <f t="shared" si="17"/>
        <v>1</v>
      </c>
    </row>
    <row r="126" spans="1:8" ht="13.25" customHeight="1" x14ac:dyDescent="0.25">
      <c r="B126" s="104"/>
      <c r="C126" s="8" t="s">
        <v>154</v>
      </c>
      <c r="D126" s="88">
        <f t="shared" si="17"/>
        <v>1</v>
      </c>
      <c r="E126" s="88">
        <f t="shared" si="17"/>
        <v>1</v>
      </c>
      <c r="F126" s="88">
        <f t="shared" si="17"/>
        <v>1</v>
      </c>
      <c r="G126" s="88">
        <f t="shared" si="17"/>
        <v>1</v>
      </c>
      <c r="H126" s="88">
        <f t="shared" si="17"/>
        <v>1</v>
      </c>
    </row>
    <row r="127" spans="1:8" ht="13.25" customHeight="1" x14ac:dyDescent="0.25">
      <c r="B127" s="104"/>
      <c r="C127" s="8" t="s">
        <v>155</v>
      </c>
      <c r="D127" s="88">
        <f t="shared" si="17"/>
        <v>1</v>
      </c>
      <c r="E127" s="88">
        <f t="shared" si="17"/>
        <v>1</v>
      </c>
      <c r="F127" s="88">
        <f t="shared" si="17"/>
        <v>1</v>
      </c>
      <c r="G127" s="88">
        <f t="shared" si="17"/>
        <v>1</v>
      </c>
      <c r="H127" s="88">
        <f t="shared" si="17"/>
        <v>1</v>
      </c>
    </row>
    <row r="128" spans="1:8" ht="13.25" customHeight="1" x14ac:dyDescent="0.25">
      <c r="B128" s="103" t="s">
        <v>109</v>
      </c>
      <c r="C128" s="8" t="s">
        <v>153</v>
      </c>
      <c r="D128" s="88">
        <f t="shared" si="17"/>
        <v>1</v>
      </c>
      <c r="E128" s="88">
        <f t="shared" si="17"/>
        <v>1</v>
      </c>
      <c r="F128" s="88">
        <f t="shared" si="17"/>
        <v>1</v>
      </c>
      <c r="G128" s="88">
        <f t="shared" si="17"/>
        <v>1</v>
      </c>
      <c r="H128" s="88">
        <f t="shared" si="17"/>
        <v>1</v>
      </c>
    </row>
    <row r="129" spans="1:8" ht="13.25" customHeight="1" x14ac:dyDescent="0.25">
      <c r="B129" s="104"/>
      <c r="C129" s="8" t="s">
        <v>154</v>
      </c>
      <c r="D129" s="88">
        <f t="shared" si="17"/>
        <v>1</v>
      </c>
      <c r="E129" s="88">
        <f t="shared" si="17"/>
        <v>1</v>
      </c>
      <c r="F129" s="88">
        <f t="shared" si="17"/>
        <v>1</v>
      </c>
      <c r="G129" s="88">
        <f t="shared" si="17"/>
        <v>1</v>
      </c>
      <c r="H129" s="88">
        <f t="shared" si="17"/>
        <v>1</v>
      </c>
    </row>
    <row r="130" spans="1:8" ht="13.25" customHeight="1" x14ac:dyDescent="0.25">
      <c r="B130" s="104"/>
      <c r="C130" s="8" t="s">
        <v>155</v>
      </c>
      <c r="D130" s="88">
        <f t="shared" si="17"/>
        <v>1</v>
      </c>
      <c r="E130" s="88">
        <f t="shared" si="17"/>
        <v>1</v>
      </c>
      <c r="F130" s="88">
        <f t="shared" si="17"/>
        <v>1</v>
      </c>
      <c r="G130" s="88">
        <f t="shared" si="17"/>
        <v>1</v>
      </c>
      <c r="H130" s="88">
        <f t="shared" si="17"/>
        <v>1</v>
      </c>
    </row>
    <row r="131" spans="1:8" ht="13.25" customHeight="1" x14ac:dyDescent="0.25">
      <c r="B131" s="103" t="s">
        <v>96</v>
      </c>
      <c r="C131" s="8" t="s">
        <v>153</v>
      </c>
      <c r="D131" s="88">
        <f t="shared" si="17"/>
        <v>1</v>
      </c>
      <c r="E131" s="88">
        <f t="shared" si="17"/>
        <v>1</v>
      </c>
      <c r="F131" s="88">
        <f t="shared" si="17"/>
        <v>1</v>
      </c>
      <c r="G131" s="88">
        <f t="shared" si="17"/>
        <v>1</v>
      </c>
      <c r="H131" s="88">
        <f t="shared" si="17"/>
        <v>1</v>
      </c>
    </row>
    <row r="132" spans="1:8" ht="13.25" customHeight="1" x14ac:dyDescent="0.25">
      <c r="B132" s="104"/>
      <c r="C132" s="8" t="s">
        <v>154</v>
      </c>
      <c r="D132" s="88">
        <f t="shared" si="17"/>
        <v>1</v>
      </c>
      <c r="E132" s="88">
        <f t="shared" si="17"/>
        <v>1</v>
      </c>
      <c r="F132" s="88">
        <f t="shared" si="17"/>
        <v>1</v>
      </c>
      <c r="G132" s="88">
        <f t="shared" si="17"/>
        <v>1</v>
      </c>
      <c r="H132" s="88">
        <f t="shared" si="17"/>
        <v>1</v>
      </c>
    </row>
    <row r="133" spans="1:8" ht="13.25" customHeight="1" x14ac:dyDescent="0.25">
      <c r="B133" s="104"/>
      <c r="C133" s="8" t="s">
        <v>155</v>
      </c>
      <c r="D133" s="88">
        <f t="shared" si="17"/>
        <v>1</v>
      </c>
      <c r="E133" s="88">
        <f t="shared" si="17"/>
        <v>1</v>
      </c>
      <c r="F133" s="88">
        <f t="shared" si="17"/>
        <v>1</v>
      </c>
      <c r="G133" s="88">
        <f t="shared" si="17"/>
        <v>1</v>
      </c>
      <c r="H133" s="88">
        <f t="shared" si="17"/>
        <v>1</v>
      </c>
    </row>
    <row r="134" spans="1:8" ht="13.25" customHeight="1" x14ac:dyDescent="0.25">
      <c r="B134" s="103" t="s">
        <v>97</v>
      </c>
      <c r="C134" s="8" t="s">
        <v>153</v>
      </c>
      <c r="D134" s="88">
        <f t="shared" si="17"/>
        <v>1</v>
      </c>
      <c r="E134" s="88">
        <f t="shared" si="17"/>
        <v>1</v>
      </c>
      <c r="F134" s="88">
        <f t="shared" si="17"/>
        <v>1</v>
      </c>
      <c r="G134" s="88">
        <f t="shared" si="17"/>
        <v>1</v>
      </c>
      <c r="H134" s="88">
        <f t="shared" si="17"/>
        <v>1</v>
      </c>
    </row>
    <row r="135" spans="1:8" ht="13.25" customHeight="1" x14ac:dyDescent="0.25">
      <c r="B135" s="104"/>
      <c r="C135" s="8" t="s">
        <v>154</v>
      </c>
      <c r="D135" s="88">
        <f t="shared" ref="D135:H140" si="18">IF(D29=1,1,D29*1.05)</f>
        <v>1</v>
      </c>
      <c r="E135" s="88">
        <f t="shared" si="18"/>
        <v>1</v>
      </c>
      <c r="F135" s="88">
        <f t="shared" si="18"/>
        <v>1</v>
      </c>
      <c r="G135" s="88">
        <f t="shared" si="18"/>
        <v>1</v>
      </c>
      <c r="H135" s="88">
        <f t="shared" si="18"/>
        <v>1</v>
      </c>
    </row>
    <row r="136" spans="1:8" ht="13.25" customHeight="1" x14ac:dyDescent="0.25">
      <c r="B136" s="104"/>
      <c r="C136" s="8" t="s">
        <v>155</v>
      </c>
      <c r="D136" s="88">
        <f t="shared" si="18"/>
        <v>1</v>
      </c>
      <c r="E136" s="88">
        <f t="shared" si="18"/>
        <v>1</v>
      </c>
      <c r="F136" s="88">
        <f t="shared" si="18"/>
        <v>1</v>
      </c>
      <c r="G136" s="88">
        <f t="shared" si="18"/>
        <v>1</v>
      </c>
      <c r="H136" s="88">
        <f t="shared" si="18"/>
        <v>1</v>
      </c>
    </row>
    <row r="137" spans="1:8" ht="13.25" customHeight="1" x14ac:dyDescent="0.25">
      <c r="B137" s="103" t="s">
        <v>98</v>
      </c>
      <c r="C137" s="8" t="s">
        <v>153</v>
      </c>
      <c r="D137" s="88">
        <f t="shared" si="18"/>
        <v>1</v>
      </c>
      <c r="E137" s="88">
        <f t="shared" si="18"/>
        <v>1</v>
      </c>
      <c r="F137" s="88">
        <f t="shared" si="18"/>
        <v>1</v>
      </c>
      <c r="G137" s="88">
        <f t="shared" si="18"/>
        <v>1</v>
      </c>
      <c r="H137" s="88">
        <f t="shared" si="18"/>
        <v>1</v>
      </c>
    </row>
    <row r="138" spans="1:8" ht="13.25" customHeight="1" x14ac:dyDescent="0.25">
      <c r="B138" s="104"/>
      <c r="C138" s="8" t="s">
        <v>154</v>
      </c>
      <c r="D138" s="88">
        <f t="shared" si="18"/>
        <v>1</v>
      </c>
      <c r="E138" s="88">
        <f t="shared" si="18"/>
        <v>1</v>
      </c>
      <c r="F138" s="88">
        <f t="shared" si="18"/>
        <v>1</v>
      </c>
      <c r="G138" s="88">
        <f t="shared" si="18"/>
        <v>1</v>
      </c>
      <c r="H138" s="88">
        <f t="shared" si="18"/>
        <v>1</v>
      </c>
    </row>
    <row r="139" spans="1:8" ht="13.25" customHeight="1" x14ac:dyDescent="0.25">
      <c r="B139" s="104"/>
      <c r="C139" s="8" t="s">
        <v>155</v>
      </c>
      <c r="D139" s="88">
        <f t="shared" si="18"/>
        <v>1</v>
      </c>
      <c r="E139" s="88">
        <f t="shared" si="18"/>
        <v>1</v>
      </c>
      <c r="F139" s="88">
        <f t="shared" si="18"/>
        <v>1</v>
      </c>
      <c r="G139" s="88">
        <f t="shared" si="18"/>
        <v>1</v>
      </c>
      <c r="H139" s="88">
        <f t="shared" si="18"/>
        <v>1</v>
      </c>
    </row>
    <row r="140" spans="1:8" ht="13" customHeight="1" x14ac:dyDescent="0.25">
      <c r="B140" s="65" t="s">
        <v>156</v>
      </c>
      <c r="C140" s="8" t="s">
        <v>155</v>
      </c>
      <c r="D140" s="88">
        <f t="shared" si="18"/>
        <v>1</v>
      </c>
      <c r="E140" s="88">
        <f t="shared" si="18"/>
        <v>1</v>
      </c>
      <c r="F140" s="88">
        <f t="shared" si="18"/>
        <v>1</v>
      </c>
      <c r="G140" s="88">
        <f t="shared" si="18"/>
        <v>1</v>
      </c>
      <c r="H140" s="88">
        <f t="shared" si="18"/>
        <v>1</v>
      </c>
    </row>
    <row r="141" spans="1:8" ht="13.25" customHeight="1" x14ac:dyDescent="0.25">
      <c r="D141" s="86"/>
      <c r="E141" s="86"/>
      <c r="F141" s="86"/>
      <c r="G141" s="86"/>
      <c r="H141" s="86"/>
    </row>
    <row r="142" spans="1:8" ht="13" customHeight="1" x14ac:dyDescent="0.3">
      <c r="A142" s="66" t="s">
        <v>242</v>
      </c>
      <c r="B142" s="103" t="s">
        <v>100</v>
      </c>
      <c r="C142" s="8" t="s">
        <v>153</v>
      </c>
      <c r="D142" s="88">
        <f t="shared" ref="D142:H151" si="19">IF(D36=1,1,D36*1.05)</f>
        <v>1</v>
      </c>
      <c r="E142" s="88">
        <f t="shared" si="19"/>
        <v>1</v>
      </c>
      <c r="F142" s="88">
        <f t="shared" si="19"/>
        <v>1</v>
      </c>
      <c r="G142" s="88">
        <f t="shared" si="19"/>
        <v>1</v>
      </c>
      <c r="H142" s="88">
        <f t="shared" si="19"/>
        <v>1</v>
      </c>
    </row>
    <row r="143" spans="1:8" ht="13.25" customHeight="1" x14ac:dyDescent="0.25">
      <c r="B143" s="104"/>
      <c r="C143" s="8" t="s">
        <v>154</v>
      </c>
      <c r="D143" s="88">
        <f t="shared" si="19"/>
        <v>1</v>
      </c>
      <c r="E143" s="88">
        <f t="shared" si="19"/>
        <v>1</v>
      </c>
      <c r="F143" s="88">
        <f t="shared" si="19"/>
        <v>1</v>
      </c>
      <c r="G143" s="88">
        <f t="shared" si="19"/>
        <v>1</v>
      </c>
      <c r="H143" s="88">
        <f t="shared" si="19"/>
        <v>1</v>
      </c>
    </row>
    <row r="144" spans="1:8" ht="13.25" customHeight="1" x14ac:dyDescent="0.25">
      <c r="B144" s="104"/>
      <c r="C144" s="8" t="s">
        <v>155</v>
      </c>
      <c r="D144" s="88">
        <f t="shared" si="19"/>
        <v>1</v>
      </c>
      <c r="E144" s="88">
        <f t="shared" si="19"/>
        <v>1</v>
      </c>
      <c r="F144" s="88">
        <f t="shared" si="19"/>
        <v>1</v>
      </c>
      <c r="G144" s="88">
        <f t="shared" si="19"/>
        <v>1</v>
      </c>
      <c r="H144" s="88">
        <f t="shared" si="19"/>
        <v>1</v>
      </c>
    </row>
    <row r="145" spans="2:8" ht="13.25" customHeight="1" x14ac:dyDescent="0.25">
      <c r="B145" s="103" t="s">
        <v>109</v>
      </c>
      <c r="C145" s="8" t="s">
        <v>153</v>
      </c>
      <c r="D145" s="88">
        <f t="shared" si="19"/>
        <v>1</v>
      </c>
      <c r="E145" s="88">
        <f t="shared" si="19"/>
        <v>1</v>
      </c>
      <c r="F145" s="88">
        <f t="shared" si="19"/>
        <v>1</v>
      </c>
      <c r="G145" s="88">
        <f t="shared" si="19"/>
        <v>1</v>
      </c>
      <c r="H145" s="88">
        <f t="shared" si="19"/>
        <v>1</v>
      </c>
    </row>
    <row r="146" spans="2:8" ht="13.25" customHeight="1" x14ac:dyDescent="0.25">
      <c r="B146" s="104"/>
      <c r="C146" s="8" t="s">
        <v>154</v>
      </c>
      <c r="D146" s="88">
        <f t="shared" si="19"/>
        <v>1</v>
      </c>
      <c r="E146" s="88">
        <f t="shared" si="19"/>
        <v>1</v>
      </c>
      <c r="F146" s="88">
        <f t="shared" si="19"/>
        <v>1</v>
      </c>
      <c r="G146" s="88">
        <f t="shared" si="19"/>
        <v>1</v>
      </c>
      <c r="H146" s="88">
        <f t="shared" si="19"/>
        <v>1</v>
      </c>
    </row>
    <row r="147" spans="2:8" ht="13.25" customHeight="1" x14ac:dyDescent="0.25">
      <c r="B147" s="104"/>
      <c r="C147" s="8" t="s">
        <v>155</v>
      </c>
      <c r="D147" s="88">
        <f t="shared" si="19"/>
        <v>1</v>
      </c>
      <c r="E147" s="88">
        <f t="shared" si="19"/>
        <v>1</v>
      </c>
      <c r="F147" s="88">
        <f t="shared" si="19"/>
        <v>1</v>
      </c>
      <c r="G147" s="88">
        <f t="shared" si="19"/>
        <v>1</v>
      </c>
      <c r="H147" s="88">
        <f t="shared" si="19"/>
        <v>1</v>
      </c>
    </row>
    <row r="148" spans="2:8" ht="13.25" customHeight="1" x14ac:dyDescent="0.25">
      <c r="B148" s="103" t="s">
        <v>96</v>
      </c>
      <c r="C148" s="8" t="s">
        <v>153</v>
      </c>
      <c r="D148" s="88">
        <f t="shared" si="19"/>
        <v>1</v>
      </c>
      <c r="E148" s="88">
        <f t="shared" si="19"/>
        <v>1</v>
      </c>
      <c r="F148" s="88">
        <f t="shared" si="19"/>
        <v>1</v>
      </c>
      <c r="G148" s="88">
        <f t="shared" si="19"/>
        <v>1</v>
      </c>
      <c r="H148" s="88">
        <f t="shared" si="19"/>
        <v>1</v>
      </c>
    </row>
    <row r="149" spans="2:8" ht="13.25" customHeight="1" x14ac:dyDescent="0.25">
      <c r="B149" s="104"/>
      <c r="C149" s="8" t="s">
        <v>154</v>
      </c>
      <c r="D149" s="88">
        <f t="shared" si="19"/>
        <v>1</v>
      </c>
      <c r="E149" s="88">
        <f t="shared" si="19"/>
        <v>1</v>
      </c>
      <c r="F149" s="88">
        <f t="shared" si="19"/>
        <v>1</v>
      </c>
      <c r="G149" s="88">
        <f t="shared" si="19"/>
        <v>1</v>
      </c>
      <c r="H149" s="88">
        <f t="shared" si="19"/>
        <v>1</v>
      </c>
    </row>
    <row r="150" spans="2:8" ht="13.25" customHeight="1" x14ac:dyDescent="0.25">
      <c r="B150" s="104"/>
      <c r="C150" s="8" t="s">
        <v>155</v>
      </c>
      <c r="D150" s="88">
        <f t="shared" si="19"/>
        <v>1</v>
      </c>
      <c r="E150" s="88">
        <f t="shared" si="19"/>
        <v>1</v>
      </c>
      <c r="F150" s="88">
        <f t="shared" si="19"/>
        <v>1</v>
      </c>
      <c r="G150" s="88">
        <f t="shared" si="19"/>
        <v>1</v>
      </c>
      <c r="H150" s="88">
        <f t="shared" si="19"/>
        <v>1</v>
      </c>
    </row>
    <row r="151" spans="2:8" ht="13.25" customHeight="1" x14ac:dyDescent="0.25">
      <c r="B151" s="103" t="s">
        <v>97</v>
      </c>
      <c r="C151" s="8" t="s">
        <v>153</v>
      </c>
      <c r="D151" s="88">
        <f t="shared" si="19"/>
        <v>1</v>
      </c>
      <c r="E151" s="88">
        <f t="shared" si="19"/>
        <v>1</v>
      </c>
      <c r="F151" s="88">
        <f t="shared" si="19"/>
        <v>1</v>
      </c>
      <c r="G151" s="88">
        <f t="shared" si="19"/>
        <v>1</v>
      </c>
      <c r="H151" s="88">
        <f t="shared" si="19"/>
        <v>1</v>
      </c>
    </row>
    <row r="152" spans="2:8" x14ac:dyDescent="0.25">
      <c r="B152" s="104"/>
      <c r="C152" s="8" t="s">
        <v>154</v>
      </c>
      <c r="D152" s="88">
        <f t="shared" ref="D152:H157" si="20">IF(D46=1,1,D46*1.05)</f>
        <v>1</v>
      </c>
      <c r="E152" s="88">
        <f t="shared" si="20"/>
        <v>1</v>
      </c>
      <c r="F152" s="88">
        <f t="shared" si="20"/>
        <v>1</v>
      </c>
      <c r="G152" s="88">
        <f t="shared" si="20"/>
        <v>1</v>
      </c>
      <c r="H152" s="88">
        <f t="shared" si="20"/>
        <v>1</v>
      </c>
    </row>
    <row r="153" spans="2:8" x14ac:dyDescent="0.25">
      <c r="B153" s="104"/>
      <c r="C153" s="8" t="s">
        <v>155</v>
      </c>
      <c r="D153" s="88">
        <f t="shared" si="20"/>
        <v>1</v>
      </c>
      <c r="E153" s="88">
        <f t="shared" si="20"/>
        <v>1</v>
      </c>
      <c r="F153" s="88">
        <f t="shared" si="20"/>
        <v>1</v>
      </c>
      <c r="G153" s="88">
        <f t="shared" si="20"/>
        <v>1</v>
      </c>
      <c r="H153" s="88">
        <f t="shared" si="20"/>
        <v>1</v>
      </c>
    </row>
    <row r="154" spans="2:8" x14ac:dyDescent="0.25">
      <c r="B154" s="103" t="s">
        <v>98</v>
      </c>
      <c r="C154" s="8" t="s">
        <v>153</v>
      </c>
      <c r="D154" s="88">
        <f t="shared" si="20"/>
        <v>1</v>
      </c>
      <c r="E154" s="88">
        <f t="shared" si="20"/>
        <v>1</v>
      </c>
      <c r="F154" s="88">
        <f t="shared" si="20"/>
        <v>1</v>
      </c>
      <c r="G154" s="88">
        <f t="shared" si="20"/>
        <v>1</v>
      </c>
      <c r="H154" s="88">
        <f t="shared" si="20"/>
        <v>1</v>
      </c>
    </row>
    <row r="155" spans="2:8" x14ac:dyDescent="0.25">
      <c r="B155" s="104"/>
      <c r="C155" s="8" t="s">
        <v>154</v>
      </c>
      <c r="D155" s="88">
        <f t="shared" si="20"/>
        <v>1</v>
      </c>
      <c r="E155" s="88">
        <f t="shared" si="20"/>
        <v>1</v>
      </c>
      <c r="F155" s="88">
        <f t="shared" si="20"/>
        <v>1</v>
      </c>
      <c r="G155" s="88">
        <f t="shared" si="20"/>
        <v>1</v>
      </c>
      <c r="H155" s="88">
        <f t="shared" si="20"/>
        <v>1</v>
      </c>
    </row>
    <row r="156" spans="2:8" x14ac:dyDescent="0.25">
      <c r="B156" s="104"/>
      <c r="C156" s="8" t="s">
        <v>155</v>
      </c>
      <c r="D156" s="88">
        <f t="shared" si="20"/>
        <v>1</v>
      </c>
      <c r="E156" s="88">
        <f t="shared" si="20"/>
        <v>1</v>
      </c>
      <c r="F156" s="88">
        <f t="shared" si="20"/>
        <v>1</v>
      </c>
      <c r="G156" s="88">
        <f t="shared" si="20"/>
        <v>1</v>
      </c>
      <c r="H156" s="88">
        <f t="shared" si="20"/>
        <v>1</v>
      </c>
    </row>
    <row r="157" spans="2:8" ht="13" customHeight="1" x14ac:dyDescent="0.25">
      <c r="B157" s="65" t="s">
        <v>156</v>
      </c>
      <c r="C157" s="8" t="s">
        <v>155</v>
      </c>
      <c r="D157" s="88">
        <f t="shared" si="20"/>
        <v>1</v>
      </c>
      <c r="E157" s="88">
        <f t="shared" si="20"/>
        <v>1</v>
      </c>
      <c r="F157" s="88">
        <f t="shared" si="20"/>
        <v>1</v>
      </c>
      <c r="G157" s="88">
        <f t="shared" si="20"/>
        <v>1</v>
      </c>
      <c r="H157" s="88">
        <f t="shared" si="20"/>
        <v>1</v>
      </c>
    </row>
  </sheetData>
  <sheetProtection algorithmName="SHA-512" hashValue="XGB7VI80xglPkqfV45MZpWVDpO+prvFl2vZDwLwyZuKBmjHqjYxxMdQ5p2yCiP9Z6zKQ7O/vHFyNRJgOlEK6TQ==" saltValue="XNcIINbaNy9c0Bq+SJ4wSw==" spinCount="100000" sheet="1" objects="1" scenarios="1" selectLockedCells="1"/>
  <mergeCells count="45">
    <mergeCell ref="B145:B147"/>
    <mergeCell ref="B148:B150"/>
    <mergeCell ref="B151:B153"/>
    <mergeCell ref="B154:B156"/>
    <mergeCell ref="B128:B130"/>
    <mergeCell ref="B131:B133"/>
    <mergeCell ref="B134:B136"/>
    <mergeCell ref="B137:B139"/>
    <mergeCell ref="B142:B144"/>
    <mergeCell ref="B111:B113"/>
    <mergeCell ref="B114:B116"/>
    <mergeCell ref="B117:B119"/>
    <mergeCell ref="B120:B122"/>
    <mergeCell ref="B125:B127"/>
    <mergeCell ref="B108:B110"/>
    <mergeCell ref="B89:B91"/>
    <mergeCell ref="B92:B94"/>
    <mergeCell ref="B95:B97"/>
    <mergeCell ref="B98:B100"/>
    <mergeCell ref="B101:B103"/>
    <mergeCell ref="B72:B74"/>
    <mergeCell ref="B75:B77"/>
    <mergeCell ref="B78:B80"/>
    <mergeCell ref="B81:B83"/>
    <mergeCell ref="B84:B86"/>
    <mergeCell ref="B55:B57"/>
    <mergeCell ref="B58:B60"/>
    <mergeCell ref="B61:B63"/>
    <mergeCell ref="B64:B66"/>
    <mergeCell ref="B67:B69"/>
    <mergeCell ref="B42:B44"/>
    <mergeCell ref="B45:B47"/>
    <mergeCell ref="B48:B50"/>
    <mergeCell ref="B22:B24"/>
    <mergeCell ref="B25:B27"/>
    <mergeCell ref="B28:B30"/>
    <mergeCell ref="B31:B33"/>
    <mergeCell ref="B36:B38"/>
    <mergeCell ref="B39:B41"/>
    <mergeCell ref="B19:B21"/>
    <mergeCell ref="B2:B4"/>
    <mergeCell ref="B5:B7"/>
    <mergeCell ref="B8:B10"/>
    <mergeCell ref="B11:B13"/>
    <mergeCell ref="B14:B16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0" tint="-0.249977111117893"/>
  </sheetPr>
  <dimension ref="A1:F79"/>
  <sheetViews>
    <sheetView topLeftCell="A42" zoomScale="85" zoomScaleNormal="85" workbookViewId="0">
      <selection activeCell="C9" sqref="C9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7" width="16.08984375" style="8" customWidth="1"/>
    <col min="8" max="16384" width="16.08984375" style="8"/>
  </cols>
  <sheetData>
    <row r="1" spans="1:6" s="68" customFormat="1" ht="18.75" customHeight="1" x14ac:dyDescent="0.3">
      <c r="A1" s="67" t="s">
        <v>243</v>
      </c>
    </row>
    <row r="2" spans="1:6" ht="15.75" customHeight="1" x14ac:dyDescent="0.3">
      <c r="B2" s="69"/>
      <c r="C2" s="26" t="s">
        <v>54</v>
      </c>
      <c r="D2" s="70" t="s">
        <v>53</v>
      </c>
      <c r="E2" s="70" t="s">
        <v>52</v>
      </c>
      <c r="F2" s="70" t="s">
        <v>51</v>
      </c>
    </row>
    <row r="3" spans="1:6" ht="15.75" customHeight="1" x14ac:dyDescent="0.3">
      <c r="A3" s="4" t="s">
        <v>244</v>
      </c>
      <c r="B3" s="14"/>
      <c r="C3" s="71"/>
      <c r="D3" s="72"/>
      <c r="E3" s="72"/>
      <c r="F3" s="72"/>
    </row>
    <row r="4" spans="1:6" ht="15.75" customHeight="1" x14ac:dyDescent="0.25">
      <c r="B4" s="5" t="s">
        <v>37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38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39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40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249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245</v>
      </c>
      <c r="C11" s="74"/>
      <c r="D11" s="75"/>
      <c r="E11" s="75"/>
      <c r="F11" s="75"/>
    </row>
    <row r="12" spans="1:6" ht="15.75" customHeight="1" x14ac:dyDescent="0.3">
      <c r="A12" s="4" t="s">
        <v>246</v>
      </c>
      <c r="C12" s="73"/>
      <c r="D12" s="64"/>
      <c r="E12" s="64"/>
      <c r="F12" s="64"/>
    </row>
    <row r="13" spans="1:6" ht="15.75" customHeight="1" x14ac:dyDescent="0.25">
      <c r="B13" s="11" t="s">
        <v>247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119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120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248</v>
      </c>
      <c r="B17" s="14"/>
      <c r="C17" s="77"/>
      <c r="D17" s="78"/>
      <c r="E17" s="78"/>
      <c r="F17" s="78"/>
    </row>
    <row r="18" spans="1:6" ht="15.75" customHeight="1" x14ac:dyDescent="0.25">
      <c r="B18" s="5" t="s">
        <v>78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79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80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81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82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83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84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85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235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243</v>
      </c>
    </row>
    <row r="29" spans="1:6" ht="15.75" customHeight="1" x14ac:dyDescent="0.3">
      <c r="B29" s="69"/>
      <c r="C29" s="26" t="s">
        <v>54</v>
      </c>
      <c r="D29" s="70" t="s">
        <v>53</v>
      </c>
      <c r="E29" s="70" t="s">
        <v>52</v>
      </c>
      <c r="F29" s="70" t="s">
        <v>51</v>
      </c>
    </row>
    <row r="30" spans="1:6" ht="15.75" customHeight="1" x14ac:dyDescent="0.3">
      <c r="A30" s="4" t="s">
        <v>250</v>
      </c>
      <c r="B30" s="14"/>
      <c r="C30" s="71"/>
      <c r="D30" s="72"/>
      <c r="E30" s="72"/>
      <c r="F30" s="72"/>
    </row>
    <row r="31" spans="1:6" ht="15.75" customHeight="1" x14ac:dyDescent="0.25">
      <c r="B31" s="5" t="s">
        <v>37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38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39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40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262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245</v>
      </c>
      <c r="B38" s="68"/>
      <c r="C38" s="74"/>
      <c r="D38" s="75"/>
      <c r="E38" s="75"/>
      <c r="F38" s="75"/>
    </row>
    <row r="39" spans="1:6" ht="15.75" customHeight="1" x14ac:dyDescent="0.3">
      <c r="A39" s="4" t="s">
        <v>251</v>
      </c>
      <c r="C39" s="73"/>
      <c r="D39" s="64"/>
      <c r="E39" s="64"/>
      <c r="F39" s="64"/>
    </row>
    <row r="40" spans="1:6" ht="15.75" customHeight="1" x14ac:dyDescent="0.25">
      <c r="B40" s="11" t="s">
        <v>256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257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258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252</v>
      </c>
      <c r="B44" s="14"/>
      <c r="C44" s="77"/>
      <c r="D44" s="78"/>
      <c r="E44" s="78"/>
      <c r="F44" s="78"/>
    </row>
    <row r="45" spans="1:6" ht="15.75" customHeight="1" x14ac:dyDescent="0.25">
      <c r="B45" s="5" t="s">
        <v>78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79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80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81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82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83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84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85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239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243</v>
      </c>
    </row>
    <row r="56" spans="1:6" ht="15.75" customHeight="1" x14ac:dyDescent="0.3">
      <c r="B56" s="69"/>
      <c r="C56" s="26" t="s">
        <v>54</v>
      </c>
      <c r="D56" s="70" t="s">
        <v>53</v>
      </c>
      <c r="E56" s="70" t="s">
        <v>52</v>
      </c>
      <c r="F56" s="70" t="s">
        <v>51</v>
      </c>
    </row>
    <row r="57" spans="1:6" ht="15.75" customHeight="1" x14ac:dyDescent="0.3">
      <c r="A57" s="4" t="s">
        <v>253</v>
      </c>
      <c r="B57" s="14"/>
      <c r="C57" s="71"/>
      <c r="D57" s="72"/>
      <c r="E57" s="72"/>
      <c r="F57" s="72"/>
    </row>
    <row r="58" spans="1:6" ht="15.75" customHeight="1" x14ac:dyDescent="0.25">
      <c r="B58" s="5" t="s">
        <v>37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38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39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40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263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245</v>
      </c>
      <c r="B65" s="68"/>
      <c r="C65" s="74"/>
      <c r="D65" s="75"/>
      <c r="E65" s="75"/>
      <c r="F65" s="75"/>
    </row>
    <row r="66" spans="1:6" ht="15.75" customHeight="1" x14ac:dyDescent="0.3">
      <c r="A66" s="4" t="s">
        <v>254</v>
      </c>
      <c r="C66" s="73"/>
      <c r="D66" s="64"/>
      <c r="E66" s="64"/>
      <c r="F66" s="64"/>
    </row>
    <row r="67" spans="1:6" ht="15.75" customHeight="1" x14ac:dyDescent="0.25">
      <c r="B67" s="11" t="s">
        <v>259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260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261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255</v>
      </c>
      <c r="B71" s="14"/>
      <c r="C71" s="77"/>
      <c r="D71" s="78"/>
      <c r="E71" s="78"/>
      <c r="F71" s="78"/>
    </row>
    <row r="72" spans="1:6" ht="15.75" customHeight="1" x14ac:dyDescent="0.25">
      <c r="B72" s="5" t="s">
        <v>78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79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80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81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82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83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84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85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cJPGCYTDFPRZMaeYg8ebDi1nr7YZ4ghGDDaPw/gwThWd1rq43hJDBrbQoFxp5IjQS7Nj1kFi4md3O7FhQxOJ+g==" saltValue="BhCnZMs6vQb68ruLIy29n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0" tint="-0.249977111117893"/>
  </sheetPr>
  <dimension ref="A1:P328"/>
  <sheetViews>
    <sheetView zoomScaleNormal="100" workbookViewId="0">
      <selection activeCell="D8" sqref="D8"/>
    </sheetView>
  </sheetViews>
  <sheetFormatPr defaultColWidth="12.81640625" defaultRowHeight="12.5" x14ac:dyDescent="0.25"/>
  <cols>
    <col min="1" max="1" width="27.1796875" style="8" customWidth="1"/>
    <col min="2" max="2" width="26.90625" style="8" customWidth="1"/>
    <col min="3" max="3" width="18.36328125" style="8" customWidth="1"/>
    <col min="4" max="8" width="14.81640625" style="8" customWidth="1"/>
    <col min="9" max="12" width="15.36328125" style="8" bestFit="1" customWidth="1"/>
    <col min="13" max="16" width="16.90625" style="8" bestFit="1" customWidth="1"/>
    <col min="17" max="17" width="12.81640625" style="8" customWidth="1"/>
    <col min="18" max="16384" width="12.81640625" style="8"/>
  </cols>
  <sheetData>
    <row r="1" spans="1:16" s="68" customFormat="1" ht="13" customHeight="1" x14ac:dyDescent="0.3">
      <c r="A1" s="67" t="s">
        <v>264</v>
      </c>
    </row>
    <row r="2" spans="1:16" ht="13" customHeight="1" x14ac:dyDescent="0.3">
      <c r="A2" s="39" t="s">
        <v>226</v>
      </c>
      <c r="B2" s="1" t="s">
        <v>265</v>
      </c>
      <c r="C2" s="1" t="s">
        <v>266</v>
      </c>
      <c r="D2" s="70" t="s">
        <v>109</v>
      </c>
      <c r="E2" s="70" t="s">
        <v>96</v>
      </c>
      <c r="F2" s="70" t="s">
        <v>97</v>
      </c>
      <c r="G2" s="70" t="s">
        <v>98</v>
      </c>
      <c r="H2" s="70" t="s">
        <v>99</v>
      </c>
      <c r="I2" s="79"/>
      <c r="J2" s="79"/>
      <c r="K2" s="79"/>
      <c r="L2" s="79"/>
      <c r="M2" s="79"/>
      <c r="N2" s="79"/>
      <c r="O2" s="79"/>
      <c r="P2" s="79"/>
    </row>
    <row r="3" spans="1:16" ht="13" customHeight="1" x14ac:dyDescent="0.3">
      <c r="A3" s="4"/>
      <c r="B3" s="8" t="s">
        <v>87</v>
      </c>
      <c r="C3" s="3" t="s">
        <v>10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267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268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269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88</v>
      </c>
      <c r="C7" s="3" t="s">
        <v>10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267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268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269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90</v>
      </c>
      <c r="C11" s="3" t="s">
        <v>10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267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268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269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91</v>
      </c>
      <c r="C15" s="3" t="s">
        <v>10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267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268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269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89</v>
      </c>
      <c r="C19" s="3" t="s">
        <v>10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267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268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269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95</v>
      </c>
      <c r="C23" s="3" t="s">
        <v>10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267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268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269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customHeight="1" x14ac:dyDescent="0.3">
      <c r="A28" s="67" t="s">
        <v>278</v>
      </c>
    </row>
    <row r="29" spans="1:16" ht="13" customHeight="1" x14ac:dyDescent="0.3">
      <c r="A29" s="39" t="s">
        <v>279</v>
      </c>
      <c r="B29" s="4" t="s">
        <v>265</v>
      </c>
      <c r="C29" s="4" t="s">
        <v>270</v>
      </c>
      <c r="D29" s="70" t="s">
        <v>109</v>
      </c>
      <c r="E29" s="70" t="s">
        <v>96</v>
      </c>
      <c r="F29" s="70" t="s">
        <v>97</v>
      </c>
      <c r="G29" s="70" t="s">
        <v>98</v>
      </c>
      <c r="H29" s="70" t="s">
        <v>99</v>
      </c>
      <c r="I29" s="79"/>
      <c r="J29" s="79"/>
      <c r="K29" s="79"/>
      <c r="L29" s="79"/>
      <c r="M29" s="79"/>
      <c r="N29" s="79"/>
      <c r="O29" s="79"/>
      <c r="P29" s="79"/>
    </row>
    <row r="30" spans="1:16" ht="13" customHeight="1" x14ac:dyDescent="0.3">
      <c r="A30" s="4"/>
      <c r="B30" s="8" t="s">
        <v>87</v>
      </c>
      <c r="C30" s="3" t="s">
        <v>10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267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209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208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88</v>
      </c>
      <c r="C34" s="3" t="s">
        <v>10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267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209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208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90</v>
      </c>
      <c r="C38" s="3" t="s">
        <v>10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267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209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208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91</v>
      </c>
      <c r="C42" s="3" t="s">
        <v>10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267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209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208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89</v>
      </c>
      <c r="C46" s="3" t="s">
        <v>10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267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209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208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95</v>
      </c>
      <c r="C50" s="3" t="s">
        <v>10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267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209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208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customHeight="1" x14ac:dyDescent="0.3">
      <c r="A55" s="67" t="s">
        <v>271</v>
      </c>
    </row>
    <row r="56" spans="1:16" ht="26" customHeight="1" x14ac:dyDescent="0.3">
      <c r="A56" s="39" t="s">
        <v>121</v>
      </c>
      <c r="B56" s="4" t="s">
        <v>265</v>
      </c>
      <c r="C56" s="69" t="s">
        <v>272</v>
      </c>
      <c r="D56" s="70" t="s">
        <v>122</v>
      </c>
      <c r="E56" s="70" t="s">
        <v>123</v>
      </c>
      <c r="F56" s="70" t="s">
        <v>124</v>
      </c>
      <c r="G56" s="70" t="s">
        <v>125</v>
      </c>
      <c r="H56" s="79"/>
      <c r="M56" s="79"/>
      <c r="N56" s="79"/>
      <c r="O56" s="79"/>
      <c r="P56" s="79"/>
    </row>
    <row r="57" spans="1:16" ht="13" customHeight="1" x14ac:dyDescent="0.3">
      <c r="A57" s="4"/>
      <c r="B57" s="8" t="s">
        <v>101</v>
      </c>
      <c r="C57" s="3" t="s">
        <v>273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274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102</v>
      </c>
      <c r="C59" s="3" t="s">
        <v>273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274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103</v>
      </c>
      <c r="C61" s="3" t="s">
        <v>273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274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customHeight="1" x14ac:dyDescent="0.3">
      <c r="A64" s="67" t="s">
        <v>275</v>
      </c>
    </row>
    <row r="65" spans="1:16" ht="26" customHeight="1" x14ac:dyDescent="0.3">
      <c r="A65" s="39" t="s">
        <v>128</v>
      </c>
      <c r="B65" s="4" t="s">
        <v>265</v>
      </c>
      <c r="C65" s="69" t="s">
        <v>276</v>
      </c>
      <c r="D65" s="70" t="s">
        <v>109</v>
      </c>
      <c r="E65" s="70" t="s">
        <v>96</v>
      </c>
      <c r="F65" s="70" t="s">
        <v>97</v>
      </c>
      <c r="G65" s="70" t="s">
        <v>98</v>
      </c>
      <c r="H65" s="81" t="s">
        <v>99</v>
      </c>
      <c r="I65" s="79"/>
      <c r="J65" s="79"/>
      <c r="K65" s="79"/>
      <c r="L65" s="79"/>
      <c r="M65" s="79"/>
      <c r="N65" s="79"/>
      <c r="O65" s="79"/>
      <c r="P65" s="79"/>
    </row>
    <row r="66" spans="1:16" ht="13" customHeight="1" x14ac:dyDescent="0.3">
      <c r="A66" s="82"/>
      <c r="B66" s="8" t="s">
        <v>78</v>
      </c>
      <c r="C66" s="3" t="s">
        <v>129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130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131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132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79</v>
      </c>
      <c r="C70" s="3" t="s">
        <v>129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130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131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132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80</v>
      </c>
      <c r="C74" s="3" t="s">
        <v>129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130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131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132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82</v>
      </c>
      <c r="C78" s="3" t="s">
        <v>129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130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131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132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87</v>
      </c>
      <c r="C82" s="3" t="s">
        <v>129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130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131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132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88</v>
      </c>
      <c r="C86" s="3" t="s">
        <v>129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130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131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132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90</v>
      </c>
      <c r="C90" s="3" t="s">
        <v>129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130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131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132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89</v>
      </c>
      <c r="C94" s="3" t="s">
        <v>129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130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131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132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92</v>
      </c>
      <c r="C98" s="3" t="s">
        <v>129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130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131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132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customHeight="1" x14ac:dyDescent="0.3">
      <c r="A103" s="67" t="s">
        <v>277</v>
      </c>
    </row>
    <row r="104" spans="1:16" ht="26" customHeight="1" x14ac:dyDescent="0.3">
      <c r="A104" s="39" t="s">
        <v>87</v>
      </c>
      <c r="B104" s="82" t="s">
        <v>132</v>
      </c>
      <c r="C104" s="69" t="s">
        <v>276</v>
      </c>
      <c r="D104" s="70" t="s">
        <v>109</v>
      </c>
      <c r="E104" s="70" t="s">
        <v>96</v>
      </c>
      <c r="F104" s="70" t="s">
        <v>97</v>
      </c>
      <c r="G104" s="70" t="s">
        <v>98</v>
      </c>
      <c r="H104" s="81" t="s">
        <v>99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customHeight="1" x14ac:dyDescent="0.3">
      <c r="A105" s="4"/>
      <c r="C105" s="3" t="s">
        <v>129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130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131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132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customHeight="1" x14ac:dyDescent="0.3">
      <c r="A110" s="92" t="s">
        <v>235</v>
      </c>
      <c r="H110" s="92"/>
    </row>
    <row r="111" spans="1:16" ht="13" customHeight="1" x14ac:dyDescent="0.3">
      <c r="A111" s="67" t="s">
        <v>264</v>
      </c>
      <c r="B111" s="68"/>
      <c r="C111" s="68"/>
      <c r="D111" s="68"/>
      <c r="E111" s="68"/>
      <c r="F111" s="68"/>
      <c r="G111" s="68"/>
      <c r="H111" s="68"/>
    </row>
    <row r="112" spans="1:16" ht="13" customHeight="1" x14ac:dyDescent="0.3">
      <c r="A112" s="39" t="s">
        <v>226</v>
      </c>
      <c r="B112" s="1" t="s">
        <v>265</v>
      </c>
      <c r="C112" s="1" t="s">
        <v>266</v>
      </c>
      <c r="D112" s="70" t="s">
        <v>109</v>
      </c>
      <c r="E112" s="70" t="s">
        <v>96</v>
      </c>
      <c r="F112" s="70" t="s">
        <v>97</v>
      </c>
      <c r="G112" s="70" t="s">
        <v>98</v>
      </c>
      <c r="H112" s="70" t="s">
        <v>99</v>
      </c>
    </row>
    <row r="113" spans="1:8" ht="13" customHeight="1" x14ac:dyDescent="0.3">
      <c r="A113" s="4"/>
      <c r="B113" s="8" t="s">
        <v>87</v>
      </c>
      <c r="C113" s="3" t="s">
        <v>10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267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268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269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88</v>
      </c>
      <c r="C117" s="3" t="s">
        <v>10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267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268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269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90</v>
      </c>
      <c r="C121" s="3" t="s">
        <v>10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267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268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269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91</v>
      </c>
      <c r="C125" s="3" t="s">
        <v>10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267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268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269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89</v>
      </c>
      <c r="C129" s="3" t="s">
        <v>10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267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268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269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95</v>
      </c>
      <c r="C133" s="3" t="s">
        <v>10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267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268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269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customHeight="1" x14ac:dyDescent="0.3">
      <c r="A138" s="67" t="s">
        <v>278</v>
      </c>
      <c r="B138" s="68"/>
      <c r="C138" s="68"/>
      <c r="D138" s="68"/>
      <c r="E138" s="68"/>
      <c r="F138" s="68"/>
      <c r="G138" s="68"/>
      <c r="H138" s="68"/>
    </row>
    <row r="139" spans="1:8" ht="13" customHeight="1" x14ac:dyDescent="0.3">
      <c r="A139" s="39" t="s">
        <v>279</v>
      </c>
      <c r="B139" s="4" t="s">
        <v>265</v>
      </c>
      <c r="C139" s="4" t="s">
        <v>270</v>
      </c>
      <c r="D139" s="70" t="s">
        <v>109</v>
      </c>
      <c r="E139" s="70" t="s">
        <v>96</v>
      </c>
      <c r="F139" s="70" t="s">
        <v>97</v>
      </c>
      <c r="G139" s="70" t="s">
        <v>98</v>
      </c>
      <c r="H139" s="70" t="s">
        <v>99</v>
      </c>
    </row>
    <row r="140" spans="1:8" ht="13" customHeight="1" x14ac:dyDescent="0.3">
      <c r="A140" s="4"/>
      <c r="B140" s="8" t="s">
        <v>87</v>
      </c>
      <c r="C140" s="3" t="s">
        <v>10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267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209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208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88</v>
      </c>
      <c r="C144" s="3" t="s">
        <v>10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267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209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208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90</v>
      </c>
      <c r="C148" s="3" t="s">
        <v>10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267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209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208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91</v>
      </c>
      <c r="C152" s="3" t="s">
        <v>10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267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209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208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89</v>
      </c>
      <c r="C156" s="3" t="s">
        <v>10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267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209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208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95</v>
      </c>
      <c r="C160" s="3" t="s">
        <v>10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267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209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208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customHeight="1" x14ac:dyDescent="0.3">
      <c r="A165" s="67" t="s">
        <v>271</v>
      </c>
      <c r="B165" s="68"/>
      <c r="C165" s="68"/>
      <c r="D165" s="68"/>
      <c r="E165" s="68"/>
      <c r="F165" s="68"/>
      <c r="G165" s="68"/>
      <c r="H165" s="68"/>
    </row>
    <row r="166" spans="1:8" ht="26" customHeight="1" x14ac:dyDescent="0.3">
      <c r="A166" s="39" t="s">
        <v>121</v>
      </c>
      <c r="B166" s="4" t="s">
        <v>265</v>
      </c>
      <c r="C166" s="69" t="s">
        <v>272</v>
      </c>
      <c r="D166" s="70" t="s">
        <v>122</v>
      </c>
      <c r="E166" s="70" t="s">
        <v>123</v>
      </c>
      <c r="F166" s="70" t="s">
        <v>124</v>
      </c>
      <c r="G166" s="70" t="s">
        <v>125</v>
      </c>
      <c r="H166" s="79"/>
    </row>
    <row r="167" spans="1:8" ht="13" customHeight="1" x14ac:dyDescent="0.3">
      <c r="A167" s="4"/>
      <c r="B167" s="8" t="s">
        <v>101</v>
      </c>
      <c r="C167" s="3" t="s">
        <v>273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274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102</v>
      </c>
      <c r="C169" s="3" t="s">
        <v>273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274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103</v>
      </c>
      <c r="C171" s="3" t="s">
        <v>273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274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customHeight="1" x14ac:dyDescent="0.3">
      <c r="A174" s="67" t="s">
        <v>275</v>
      </c>
      <c r="B174" s="68"/>
      <c r="C174" s="68"/>
      <c r="D174" s="68"/>
      <c r="E174" s="68"/>
      <c r="F174" s="68"/>
      <c r="G174" s="68"/>
      <c r="H174" s="68"/>
    </row>
    <row r="175" spans="1:8" ht="26" customHeight="1" x14ac:dyDescent="0.3">
      <c r="A175" s="39" t="s">
        <v>128</v>
      </c>
      <c r="B175" s="4" t="s">
        <v>265</v>
      </c>
      <c r="C175" s="69" t="s">
        <v>276</v>
      </c>
      <c r="D175" s="70" t="s">
        <v>109</v>
      </c>
      <c r="E175" s="70" t="s">
        <v>96</v>
      </c>
      <c r="F175" s="70" t="s">
        <v>97</v>
      </c>
      <c r="G175" s="70" t="s">
        <v>98</v>
      </c>
      <c r="H175" s="81" t="s">
        <v>99</v>
      </c>
    </row>
    <row r="176" spans="1:8" ht="13" customHeight="1" x14ac:dyDescent="0.3">
      <c r="A176" s="82"/>
      <c r="B176" s="8" t="s">
        <v>78</v>
      </c>
      <c r="C176" s="3" t="s">
        <v>129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130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131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132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79</v>
      </c>
      <c r="C180" s="3" t="s">
        <v>129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130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131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132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80</v>
      </c>
      <c r="C184" s="3" t="s">
        <v>129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130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131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132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82</v>
      </c>
      <c r="C188" s="3" t="s">
        <v>129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130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131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132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87</v>
      </c>
      <c r="C192" s="3" t="s">
        <v>129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130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131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132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88</v>
      </c>
      <c r="C196" s="3" t="s">
        <v>129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130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131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132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90</v>
      </c>
      <c r="C200" s="3" t="s">
        <v>129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130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131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132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89</v>
      </c>
      <c r="C204" s="3" t="s">
        <v>129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130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131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132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92</v>
      </c>
      <c r="C208" s="3" t="s">
        <v>129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130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131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132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customHeight="1" x14ac:dyDescent="0.3">
      <c r="A213" s="67" t="s">
        <v>277</v>
      </c>
      <c r="B213" s="68"/>
      <c r="C213" s="68"/>
      <c r="D213" s="68"/>
      <c r="E213" s="68"/>
      <c r="F213" s="68"/>
      <c r="G213" s="68"/>
      <c r="H213" s="68"/>
    </row>
    <row r="214" spans="1:9" ht="26" customHeight="1" x14ac:dyDescent="0.3">
      <c r="A214" s="39" t="s">
        <v>87</v>
      </c>
      <c r="B214" s="82" t="s">
        <v>132</v>
      </c>
      <c r="C214" s="69" t="s">
        <v>276</v>
      </c>
      <c r="D214" s="70" t="s">
        <v>109</v>
      </c>
      <c r="E214" s="70" t="s">
        <v>96</v>
      </c>
      <c r="F214" s="70" t="s">
        <v>97</v>
      </c>
      <c r="G214" s="70" t="s">
        <v>98</v>
      </c>
      <c r="H214" s="81" t="s">
        <v>99</v>
      </c>
    </row>
    <row r="215" spans="1:9" ht="13" customHeight="1" x14ac:dyDescent="0.3">
      <c r="A215" s="4"/>
      <c r="C215" s="3" t="s">
        <v>129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130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131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132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customHeight="1" x14ac:dyDescent="0.3">
      <c r="A220" s="92" t="s">
        <v>239</v>
      </c>
      <c r="H220" s="92"/>
    </row>
    <row r="221" spans="1:9" ht="13" customHeight="1" x14ac:dyDescent="0.3">
      <c r="A221" s="67" t="s">
        <v>264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customHeight="1" x14ac:dyDescent="0.3">
      <c r="A222" s="39" t="s">
        <v>226</v>
      </c>
      <c r="B222" s="1" t="s">
        <v>265</v>
      </c>
      <c r="C222" s="1" t="s">
        <v>266</v>
      </c>
      <c r="D222" s="70" t="s">
        <v>109</v>
      </c>
      <c r="E222" s="70" t="s">
        <v>96</v>
      </c>
      <c r="F222" s="70" t="s">
        <v>97</v>
      </c>
      <c r="G222" s="70" t="s">
        <v>98</v>
      </c>
      <c r="H222" s="70" t="s">
        <v>99</v>
      </c>
      <c r="I222" s="79"/>
    </row>
    <row r="223" spans="1:9" ht="13" customHeight="1" x14ac:dyDescent="0.3">
      <c r="A223" s="4"/>
      <c r="B223" s="8" t="s">
        <v>87</v>
      </c>
      <c r="C223" s="3" t="s">
        <v>10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267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268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269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88</v>
      </c>
      <c r="C227" s="3" t="s">
        <v>10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267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268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269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90</v>
      </c>
      <c r="C231" s="3" t="s">
        <v>10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267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268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269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91</v>
      </c>
      <c r="C235" s="3" t="s">
        <v>10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267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268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269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89</v>
      </c>
      <c r="C239" s="3" t="s">
        <v>10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267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268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269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95</v>
      </c>
      <c r="C243" s="3" t="s">
        <v>10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267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268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269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customHeight="1" x14ac:dyDescent="0.3">
      <c r="A248" s="67" t="s">
        <v>278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customHeight="1" x14ac:dyDescent="0.3">
      <c r="A249" s="39" t="s">
        <v>279</v>
      </c>
      <c r="B249" s="4" t="s">
        <v>265</v>
      </c>
      <c r="C249" s="4" t="s">
        <v>270</v>
      </c>
      <c r="D249" s="70" t="s">
        <v>109</v>
      </c>
      <c r="E249" s="70" t="s">
        <v>96</v>
      </c>
      <c r="F249" s="70" t="s">
        <v>97</v>
      </c>
      <c r="G249" s="70" t="s">
        <v>98</v>
      </c>
      <c r="H249" s="70" t="s">
        <v>99</v>
      </c>
      <c r="I249" s="79"/>
    </row>
    <row r="250" spans="1:9" ht="13" customHeight="1" x14ac:dyDescent="0.3">
      <c r="A250" s="4"/>
      <c r="B250" s="8" t="s">
        <v>87</v>
      </c>
      <c r="C250" s="3" t="s">
        <v>10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267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209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208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88</v>
      </c>
      <c r="C254" s="3" t="s">
        <v>10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267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209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208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90</v>
      </c>
      <c r="C258" s="3" t="s">
        <v>10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267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209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208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91</v>
      </c>
      <c r="C262" s="3" t="s">
        <v>10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267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209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208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89</v>
      </c>
      <c r="C266" s="3" t="s">
        <v>10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267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209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208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95</v>
      </c>
      <c r="C270" s="3" t="s">
        <v>10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267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209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208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customHeight="1" x14ac:dyDescent="0.3">
      <c r="A275" s="67" t="s">
        <v>271</v>
      </c>
      <c r="B275" s="68"/>
      <c r="C275" s="68"/>
      <c r="D275" s="68"/>
      <c r="E275" s="68"/>
      <c r="F275" s="68"/>
      <c r="G275" s="68"/>
      <c r="H275" s="68"/>
      <c r="I275" s="68"/>
    </row>
    <row r="276" spans="1:9" ht="26" customHeight="1" x14ac:dyDescent="0.3">
      <c r="A276" s="39" t="s">
        <v>121</v>
      </c>
      <c r="B276" s="4" t="s">
        <v>265</v>
      </c>
      <c r="C276" s="69" t="s">
        <v>272</v>
      </c>
      <c r="D276" s="70" t="s">
        <v>122</v>
      </c>
      <c r="E276" s="70" t="s">
        <v>123</v>
      </c>
      <c r="F276" s="70" t="s">
        <v>124</v>
      </c>
      <c r="G276" s="70" t="s">
        <v>125</v>
      </c>
      <c r="H276" s="79"/>
    </row>
    <row r="277" spans="1:9" ht="13" customHeight="1" x14ac:dyDescent="0.3">
      <c r="A277" s="4"/>
      <c r="B277" s="8" t="s">
        <v>101</v>
      </c>
      <c r="C277" s="3" t="s">
        <v>273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274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102</v>
      </c>
      <c r="C279" s="3" t="s">
        <v>273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274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103</v>
      </c>
      <c r="C281" s="3" t="s">
        <v>273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274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customHeight="1" x14ac:dyDescent="0.3">
      <c r="A284" s="67" t="s">
        <v>275</v>
      </c>
      <c r="B284" s="68"/>
      <c r="C284" s="68"/>
      <c r="D284" s="68"/>
      <c r="E284" s="68"/>
      <c r="F284" s="68"/>
      <c r="G284" s="68"/>
      <c r="H284" s="68"/>
      <c r="I284" s="68"/>
    </row>
    <row r="285" spans="1:9" ht="26" customHeight="1" x14ac:dyDescent="0.3">
      <c r="A285" s="39" t="s">
        <v>128</v>
      </c>
      <c r="B285" s="4" t="s">
        <v>265</v>
      </c>
      <c r="C285" s="69" t="s">
        <v>276</v>
      </c>
      <c r="D285" s="70" t="s">
        <v>109</v>
      </c>
      <c r="E285" s="70" t="s">
        <v>96</v>
      </c>
      <c r="F285" s="70" t="s">
        <v>97</v>
      </c>
      <c r="G285" s="70" t="s">
        <v>98</v>
      </c>
      <c r="H285" s="81" t="s">
        <v>99</v>
      </c>
      <c r="I285" s="79"/>
    </row>
    <row r="286" spans="1:9" ht="13" customHeight="1" x14ac:dyDescent="0.3">
      <c r="A286" s="82"/>
      <c r="B286" s="8" t="s">
        <v>78</v>
      </c>
      <c r="C286" s="3" t="s">
        <v>129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130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131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132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79</v>
      </c>
      <c r="C290" s="3" t="s">
        <v>129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130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131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132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80</v>
      </c>
      <c r="C294" s="3" t="s">
        <v>129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130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131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132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82</v>
      </c>
      <c r="C298" s="3" t="s">
        <v>129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130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131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132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87</v>
      </c>
      <c r="C302" s="3" t="s">
        <v>129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130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131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132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88</v>
      </c>
      <c r="C306" s="3" t="s">
        <v>129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130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131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132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90</v>
      </c>
      <c r="C310" s="3" t="s">
        <v>129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130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131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132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89</v>
      </c>
      <c r="C314" s="3" t="s">
        <v>129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130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131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132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92</v>
      </c>
      <c r="C318" s="3" t="s">
        <v>129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130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131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132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customHeight="1" x14ac:dyDescent="0.3">
      <c r="A323" s="67" t="s">
        <v>277</v>
      </c>
      <c r="B323" s="68"/>
      <c r="C323" s="68"/>
      <c r="D323" s="68"/>
      <c r="E323" s="68"/>
      <c r="F323" s="68"/>
      <c r="G323" s="68"/>
      <c r="H323" s="68"/>
      <c r="I323" s="68"/>
    </row>
    <row r="324" spans="1:9" ht="26" customHeight="1" x14ac:dyDescent="0.3">
      <c r="A324" s="39" t="s">
        <v>87</v>
      </c>
      <c r="B324" s="82" t="s">
        <v>132</v>
      </c>
      <c r="C324" s="69" t="s">
        <v>276</v>
      </c>
      <c r="D324" s="70" t="s">
        <v>109</v>
      </c>
      <c r="E324" s="70" t="s">
        <v>96</v>
      </c>
      <c r="F324" s="70" t="s">
        <v>97</v>
      </c>
      <c r="G324" s="70" t="s">
        <v>98</v>
      </c>
      <c r="H324" s="81" t="s">
        <v>99</v>
      </c>
      <c r="I324" s="79"/>
    </row>
    <row r="325" spans="1:9" ht="13" customHeight="1" x14ac:dyDescent="0.3">
      <c r="A325" s="4"/>
      <c r="C325" s="3" t="s">
        <v>129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130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131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132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I+HaekLso/9giiLcGSb+RbiRVG5o86IF4tomIlBBM65BGzkQ+XuwGyCr1bUKbRGsiiCBA7fuA5iqD4uGIu/O3Q==" saltValue="0DPSRLv3m1eUUFYYNHfgm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0" tint="-0.249977111117893"/>
  </sheetPr>
  <dimension ref="A1:G67"/>
  <sheetViews>
    <sheetView topLeftCell="A35" zoomScale="70" zoomScaleNormal="70" workbookViewId="0">
      <selection activeCell="C8" sqref="C8"/>
    </sheetView>
  </sheetViews>
  <sheetFormatPr defaultColWidth="12.81640625" defaultRowHeight="12.5" x14ac:dyDescent="0.25"/>
  <cols>
    <col min="1" max="1" width="44.90625" style="8" customWidth="1"/>
    <col min="2" max="2" width="44.453125" style="8" customWidth="1"/>
    <col min="3" max="3" width="17.81640625" style="8" customWidth="1"/>
    <col min="4" max="4" width="17.54296875" style="8" customWidth="1"/>
    <col min="5" max="5" width="17.1796875" style="8" customWidth="1"/>
    <col min="6" max="6" width="15" style="8" customWidth="1"/>
    <col min="7" max="7" width="13.6328125" style="8" customWidth="1"/>
    <col min="8" max="8" width="12.81640625" style="8" customWidth="1"/>
    <col min="9" max="16384" width="12.81640625" style="8"/>
  </cols>
  <sheetData>
    <row r="1" spans="1:7" s="68" customFormat="1" ht="14.25" customHeight="1" x14ac:dyDescent="0.3">
      <c r="A1" s="67" t="s">
        <v>233</v>
      </c>
    </row>
    <row r="2" spans="1:7" ht="14.25" customHeight="1" x14ac:dyDescent="0.3">
      <c r="A2" s="82" t="s">
        <v>7</v>
      </c>
      <c r="B2" s="1"/>
      <c r="C2" s="4" t="s">
        <v>109</v>
      </c>
      <c r="D2" s="4" t="s">
        <v>96</v>
      </c>
      <c r="E2" s="4" t="s">
        <v>97</v>
      </c>
      <c r="F2" s="4" t="s">
        <v>98</v>
      </c>
      <c r="G2" s="4" t="s">
        <v>99</v>
      </c>
    </row>
    <row r="3" spans="1:7" ht="14.25" customHeight="1" x14ac:dyDescent="0.25">
      <c r="B3" s="11" t="s">
        <v>280</v>
      </c>
      <c r="C3" s="90" t="s">
        <v>11</v>
      </c>
      <c r="D3" s="90">
        <v>45</v>
      </c>
      <c r="E3" s="90">
        <v>361.6</v>
      </c>
      <c r="F3" s="90">
        <v>174.7</v>
      </c>
      <c r="G3" s="90">
        <v>174.7</v>
      </c>
    </row>
    <row r="4" spans="1:7" ht="14.25" customHeight="1" x14ac:dyDescent="0.3">
      <c r="A4" s="4"/>
      <c r="B4" s="5" t="s">
        <v>281</v>
      </c>
      <c r="C4" s="90">
        <v>1.0249999999999999</v>
      </c>
      <c r="D4" s="90">
        <v>1.0249999999999999</v>
      </c>
      <c r="E4" s="90">
        <v>1.0249999999999999</v>
      </c>
      <c r="F4" s="90">
        <v>1.0249999999999999</v>
      </c>
      <c r="G4" s="90">
        <v>1.0249999999999999</v>
      </c>
    </row>
    <row r="5" spans="1:7" ht="14.25" customHeight="1" x14ac:dyDescent="0.3">
      <c r="A5" s="14" t="s">
        <v>282</v>
      </c>
    </row>
    <row r="6" spans="1:7" ht="14.25" customHeight="1" x14ac:dyDescent="0.25">
      <c r="B6" s="5" t="s">
        <v>192</v>
      </c>
      <c r="C6" s="90">
        <v>1</v>
      </c>
      <c r="D6" s="90">
        <v>1</v>
      </c>
      <c r="E6" s="90">
        <v>0.89</v>
      </c>
      <c r="F6" s="90">
        <v>0.89</v>
      </c>
      <c r="G6" s="90">
        <v>1</v>
      </c>
    </row>
    <row r="7" spans="1:7" ht="14.25" customHeight="1" x14ac:dyDescent="0.25">
      <c r="B7" s="5" t="s">
        <v>185</v>
      </c>
      <c r="C7" s="90">
        <v>1</v>
      </c>
      <c r="D7" s="90">
        <v>1</v>
      </c>
      <c r="E7" s="90">
        <v>0.88</v>
      </c>
      <c r="F7" s="90">
        <v>0.88</v>
      </c>
      <c r="G7" s="90">
        <v>1</v>
      </c>
    </row>
    <row r="8" spans="1:7" ht="14.25" customHeight="1" x14ac:dyDescent="0.25">
      <c r="B8" s="5" t="s">
        <v>205</v>
      </c>
      <c r="C8" s="90">
        <v>1</v>
      </c>
      <c r="D8" s="90">
        <v>1</v>
      </c>
      <c r="E8" s="90">
        <v>0.88</v>
      </c>
      <c r="F8" s="90">
        <v>0.88</v>
      </c>
      <c r="G8" s="90">
        <v>1</v>
      </c>
    </row>
    <row r="9" spans="1:7" ht="14.25" customHeight="1" x14ac:dyDescent="0.25">
      <c r="B9" s="5" t="s">
        <v>200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</row>
    <row r="10" spans="1:7" ht="14.25" customHeight="1" x14ac:dyDescent="0.25">
      <c r="B10" s="5"/>
      <c r="C10" s="5"/>
      <c r="D10" s="5"/>
      <c r="E10" s="5"/>
      <c r="F10" s="5"/>
      <c r="G10" s="5"/>
    </row>
    <row r="11" spans="1:7" s="68" customFormat="1" ht="14.25" customHeight="1" x14ac:dyDescent="0.3">
      <c r="A11" s="67" t="s">
        <v>286</v>
      </c>
    </row>
    <row r="12" spans="1:7" ht="14.25" customHeight="1" x14ac:dyDescent="0.3">
      <c r="A12" s="14"/>
      <c r="B12" s="11" t="s">
        <v>184</v>
      </c>
      <c r="C12" s="90">
        <v>1</v>
      </c>
      <c r="D12" s="90">
        <v>1.39</v>
      </c>
      <c r="E12" s="90">
        <v>1</v>
      </c>
      <c r="F12" s="90">
        <v>1</v>
      </c>
      <c r="G12" s="90">
        <v>1</v>
      </c>
    </row>
    <row r="13" spans="1:7" ht="14.25" customHeight="1" x14ac:dyDescent="0.3">
      <c r="A13" s="14"/>
      <c r="B13" s="11"/>
    </row>
    <row r="14" spans="1:7" s="68" customFormat="1" ht="14.25" customHeight="1" x14ac:dyDescent="0.3">
      <c r="A14" s="67" t="s">
        <v>283</v>
      </c>
    </row>
    <row r="15" spans="1:7" ht="14.25" customHeight="1" x14ac:dyDescent="0.3">
      <c r="A15" s="82" t="s">
        <v>279</v>
      </c>
      <c r="B15" s="5" t="s">
        <v>284</v>
      </c>
      <c r="C15" s="90">
        <v>1.024</v>
      </c>
      <c r="D15" s="90">
        <v>1.024</v>
      </c>
      <c r="E15" s="90">
        <v>1.024</v>
      </c>
      <c r="F15" s="90">
        <v>1.024</v>
      </c>
      <c r="G15" s="90">
        <v>1.024</v>
      </c>
    </row>
    <row r="16" spans="1:7" ht="14.25" customHeight="1" x14ac:dyDescent="0.3">
      <c r="A16" s="4"/>
      <c r="B16" s="5" t="s">
        <v>287</v>
      </c>
      <c r="C16" s="90">
        <v>1.024</v>
      </c>
      <c r="D16" s="90">
        <v>1.024</v>
      </c>
      <c r="E16" s="90">
        <v>1.024</v>
      </c>
      <c r="F16" s="90">
        <v>1.024</v>
      </c>
      <c r="G16" s="90">
        <v>1.024</v>
      </c>
    </row>
    <row r="17" spans="1:7" ht="14.25" customHeight="1" x14ac:dyDescent="0.3">
      <c r="A17" s="82" t="s">
        <v>121</v>
      </c>
      <c r="B17" s="11" t="s">
        <v>285</v>
      </c>
      <c r="C17" s="90">
        <v>1</v>
      </c>
      <c r="D17" s="90">
        <v>1</v>
      </c>
      <c r="E17" s="90">
        <v>1</v>
      </c>
      <c r="F17" s="90">
        <v>1</v>
      </c>
      <c r="G17" s="90">
        <v>1</v>
      </c>
    </row>
    <row r="18" spans="1:7" ht="14.25" customHeight="1" x14ac:dyDescent="0.25"/>
    <row r="19" spans="1:7" s="68" customFormat="1" ht="14.25" customHeight="1" x14ac:dyDescent="0.3">
      <c r="A19" s="67" t="s">
        <v>288</v>
      </c>
    </row>
    <row r="20" spans="1:7" s="14" customFormat="1" ht="14.25" customHeight="1" x14ac:dyDescent="0.3">
      <c r="C20" s="4" t="s">
        <v>69</v>
      </c>
      <c r="D20" s="4" t="s">
        <v>70</v>
      </c>
      <c r="E20" s="4" t="s">
        <v>71</v>
      </c>
      <c r="F20" s="4" t="s">
        <v>72</v>
      </c>
    </row>
    <row r="21" spans="1:7" x14ac:dyDescent="0.25">
      <c r="B21" s="11" t="s">
        <v>172</v>
      </c>
      <c r="C21" s="90">
        <v>1.52</v>
      </c>
      <c r="D21" s="90">
        <v>1</v>
      </c>
      <c r="E21" s="90">
        <v>1</v>
      </c>
      <c r="F21" s="90">
        <v>1</v>
      </c>
    </row>
    <row r="23" spans="1:7" s="92" customFormat="1" ht="13" customHeight="1" x14ac:dyDescent="0.3">
      <c r="A23" s="92" t="s">
        <v>235</v>
      </c>
    </row>
    <row r="24" spans="1:7" ht="13" customHeight="1" x14ac:dyDescent="0.3">
      <c r="A24" s="67" t="s">
        <v>233</v>
      </c>
      <c r="B24" s="68"/>
      <c r="C24" s="68"/>
      <c r="D24" s="68"/>
      <c r="E24" s="68"/>
      <c r="F24" s="68"/>
      <c r="G24" s="68"/>
    </row>
    <row r="25" spans="1:7" ht="13" customHeight="1" x14ac:dyDescent="0.3">
      <c r="A25" s="82" t="s">
        <v>7</v>
      </c>
      <c r="B25" s="1"/>
      <c r="C25" s="4" t="s">
        <v>109</v>
      </c>
      <c r="D25" s="4" t="s">
        <v>96</v>
      </c>
      <c r="E25" s="4" t="s">
        <v>97</v>
      </c>
      <c r="F25" s="4" t="s">
        <v>98</v>
      </c>
      <c r="G25" s="4" t="s">
        <v>99</v>
      </c>
    </row>
    <row r="26" spans="1:7" x14ac:dyDescent="0.25">
      <c r="B26" s="11" t="s">
        <v>289</v>
      </c>
      <c r="C26" s="90" t="s">
        <v>11</v>
      </c>
      <c r="D26" s="90">
        <f>D3*0.9</f>
        <v>40.5</v>
      </c>
      <c r="E26" s="90">
        <f>E3*0.9</f>
        <v>325.44000000000005</v>
      </c>
      <c r="F26" s="90">
        <f>F3*0.9</f>
        <v>157.22999999999999</v>
      </c>
      <c r="G26" s="90">
        <f>G3*0.9</f>
        <v>157.22999999999999</v>
      </c>
    </row>
    <row r="27" spans="1:7" ht="13" customHeight="1" x14ac:dyDescent="0.3">
      <c r="A27" s="4"/>
      <c r="B27" s="5" t="s">
        <v>290</v>
      </c>
      <c r="C27" s="90">
        <v>1.014</v>
      </c>
      <c r="D27" s="90">
        <v>1.014</v>
      </c>
      <c r="E27" s="90">
        <v>1.014</v>
      </c>
      <c r="F27" s="90">
        <v>1.014</v>
      </c>
      <c r="G27" s="90">
        <v>1.014</v>
      </c>
    </row>
    <row r="28" spans="1:7" ht="13" customHeight="1" x14ac:dyDescent="0.3">
      <c r="A28" s="14" t="s">
        <v>291</v>
      </c>
    </row>
    <row r="29" spans="1:7" x14ac:dyDescent="0.25">
      <c r="B29" s="5" t="s">
        <v>292</v>
      </c>
      <c r="C29" s="90">
        <f t="shared" ref="C29:D32" si="0">IF(C6=1,1,C6*0.9)</f>
        <v>1</v>
      </c>
      <c r="D29" s="90">
        <f t="shared" si="0"/>
        <v>1</v>
      </c>
      <c r="E29" s="90">
        <f>E6*0.9</f>
        <v>0.80100000000000005</v>
      </c>
      <c r="F29" s="90">
        <f>F6*0.9</f>
        <v>0.80100000000000005</v>
      </c>
      <c r="G29" s="90">
        <f>IF(G6=1,1,G6*0.9)</f>
        <v>1</v>
      </c>
    </row>
    <row r="30" spans="1:7" x14ac:dyDescent="0.25">
      <c r="B30" s="5" t="s">
        <v>293</v>
      </c>
      <c r="C30" s="90">
        <f t="shared" si="0"/>
        <v>1</v>
      </c>
      <c r="D30" s="90">
        <f t="shared" si="0"/>
        <v>1</v>
      </c>
      <c r="E30" s="90">
        <v>0.85</v>
      </c>
      <c r="F30" s="90">
        <v>0.85</v>
      </c>
      <c r="G30" s="90">
        <f>IF(G7=1,1,G7*0.9)</f>
        <v>1</v>
      </c>
    </row>
    <row r="31" spans="1:7" x14ac:dyDescent="0.25">
      <c r="B31" s="5" t="s">
        <v>315</v>
      </c>
      <c r="C31" s="90">
        <f t="shared" si="0"/>
        <v>1</v>
      </c>
      <c r="D31" s="90">
        <f t="shared" si="0"/>
        <v>1</v>
      </c>
      <c r="E31" s="90">
        <v>0.85</v>
      </c>
      <c r="F31" s="90">
        <v>0.85</v>
      </c>
      <c r="G31" s="90">
        <f>IF(G8=1,1,G8*0.9)</f>
        <v>1</v>
      </c>
    </row>
    <row r="32" spans="1:7" x14ac:dyDescent="0.25">
      <c r="B32" s="5" t="s">
        <v>294</v>
      </c>
      <c r="C32" s="90">
        <f t="shared" si="0"/>
        <v>1</v>
      </c>
      <c r="D32" s="90">
        <f t="shared" si="0"/>
        <v>1</v>
      </c>
      <c r="E32" s="90">
        <f>IF(E9=1,1,E9*0.9)</f>
        <v>1</v>
      </c>
      <c r="F32" s="90">
        <f>IF(F9=1,1,F9*0.9)</f>
        <v>1</v>
      </c>
      <c r="G32" s="90">
        <f>IF(G9=1,1,G9*0.9)</f>
        <v>1</v>
      </c>
    </row>
    <row r="33" spans="1:7" x14ac:dyDescent="0.25">
      <c r="B33" s="5"/>
      <c r="C33" s="5"/>
      <c r="D33" s="5"/>
      <c r="E33" s="5"/>
      <c r="F33" s="5"/>
      <c r="G33" s="5"/>
    </row>
    <row r="34" spans="1:7" ht="13" customHeight="1" x14ac:dyDescent="0.3">
      <c r="A34" s="67" t="s">
        <v>295</v>
      </c>
      <c r="B34" s="68"/>
      <c r="C34" s="68"/>
      <c r="D34" s="68"/>
      <c r="E34" s="68"/>
      <c r="F34" s="68"/>
      <c r="G34" s="68"/>
    </row>
    <row r="35" spans="1:7" ht="13" customHeight="1" x14ac:dyDescent="0.3">
      <c r="A35" s="14"/>
      <c r="B35" s="11" t="s">
        <v>296</v>
      </c>
      <c r="C35" s="90">
        <v>1</v>
      </c>
      <c r="D35" s="90">
        <v>1.1100000000000001</v>
      </c>
      <c r="E35" s="90">
        <v>1</v>
      </c>
      <c r="F35" s="90">
        <v>1</v>
      </c>
      <c r="G35" s="90">
        <v>1</v>
      </c>
    </row>
    <row r="36" spans="1:7" ht="13" customHeight="1" x14ac:dyDescent="0.3">
      <c r="A36" s="14"/>
      <c r="B36" s="11"/>
    </row>
    <row r="37" spans="1:7" ht="13" customHeight="1" x14ac:dyDescent="0.3">
      <c r="A37" s="67" t="s">
        <v>283</v>
      </c>
      <c r="B37" s="68"/>
      <c r="C37" s="68"/>
      <c r="D37" s="68"/>
      <c r="E37" s="68"/>
      <c r="F37" s="68"/>
      <c r="G37" s="68"/>
    </row>
    <row r="38" spans="1:7" ht="13" customHeight="1" x14ac:dyDescent="0.3">
      <c r="A38" s="82" t="s">
        <v>279</v>
      </c>
      <c r="B38" s="5" t="s">
        <v>297</v>
      </c>
      <c r="C38" s="90">
        <v>1.016</v>
      </c>
      <c r="D38" s="90">
        <v>1.016</v>
      </c>
      <c r="E38" s="90">
        <v>1.016</v>
      </c>
      <c r="F38" s="90">
        <v>1.016</v>
      </c>
      <c r="G38" s="90">
        <v>1.016</v>
      </c>
    </row>
    <row r="39" spans="1:7" ht="13" customHeight="1" x14ac:dyDescent="0.3">
      <c r="A39" s="4"/>
      <c r="B39" s="5" t="s">
        <v>298</v>
      </c>
      <c r="C39" s="90">
        <v>1.016</v>
      </c>
      <c r="D39" s="90">
        <v>1.016</v>
      </c>
      <c r="E39" s="90">
        <v>1.016</v>
      </c>
      <c r="F39" s="90">
        <v>1.016</v>
      </c>
      <c r="G39" s="90">
        <v>1.016</v>
      </c>
    </row>
    <row r="40" spans="1:7" ht="13" customHeight="1" x14ac:dyDescent="0.3">
      <c r="A40" s="82" t="s">
        <v>121</v>
      </c>
      <c r="B40" s="11" t="s">
        <v>299</v>
      </c>
      <c r="C40" s="90">
        <f>IF(C17=1,1,C17*0.9)</f>
        <v>1</v>
      </c>
      <c r="D40" s="90">
        <f>IF(D17=1,1,D17*0.9)</f>
        <v>1</v>
      </c>
      <c r="E40" s="90">
        <f>IF(E17=1,1,E17*0.9)</f>
        <v>1</v>
      </c>
      <c r="F40" s="90">
        <f>IF(F17=1,1,F17*0.9)</f>
        <v>1</v>
      </c>
      <c r="G40" s="90">
        <f>IF(G17=1,1,G17*0.9)</f>
        <v>1</v>
      </c>
    </row>
    <row r="42" spans="1:7" ht="13" customHeight="1" x14ac:dyDescent="0.3">
      <c r="A42" s="67" t="s">
        <v>300</v>
      </c>
      <c r="B42" s="68"/>
      <c r="C42" s="68"/>
      <c r="D42" s="68"/>
      <c r="E42" s="68"/>
      <c r="F42" s="68"/>
      <c r="G42" s="68"/>
    </row>
    <row r="43" spans="1:7" ht="13" customHeight="1" x14ac:dyDescent="0.3">
      <c r="A43" s="14"/>
      <c r="B43" s="14"/>
      <c r="C43" s="4" t="s">
        <v>69</v>
      </c>
      <c r="D43" s="4" t="s">
        <v>70</v>
      </c>
      <c r="E43" s="4" t="s">
        <v>71</v>
      </c>
      <c r="F43" s="4" t="s">
        <v>72</v>
      </c>
      <c r="G43" s="14"/>
    </row>
    <row r="44" spans="1:7" x14ac:dyDescent="0.25">
      <c r="B44" s="11" t="s">
        <v>301</v>
      </c>
      <c r="C44" s="90">
        <f>C21*0.9</f>
        <v>1.3680000000000001</v>
      </c>
      <c r="D44" s="90">
        <v>1</v>
      </c>
      <c r="E44" s="90">
        <v>1</v>
      </c>
      <c r="F44" s="90">
        <v>1</v>
      </c>
    </row>
    <row r="46" spans="1:7" s="92" customFormat="1" ht="13" customHeight="1" x14ac:dyDescent="0.3">
      <c r="A46" s="92" t="s">
        <v>239</v>
      </c>
    </row>
    <row r="47" spans="1:7" ht="13" customHeight="1" x14ac:dyDescent="0.3">
      <c r="A47" s="67" t="s">
        <v>233</v>
      </c>
      <c r="B47" s="68"/>
      <c r="C47" s="68"/>
      <c r="D47" s="68"/>
      <c r="E47" s="68"/>
      <c r="F47" s="68"/>
      <c r="G47" s="68"/>
    </row>
    <row r="48" spans="1:7" ht="13" customHeight="1" x14ac:dyDescent="0.3">
      <c r="A48" s="82" t="s">
        <v>7</v>
      </c>
      <c r="B48" s="1"/>
      <c r="C48" s="4" t="s">
        <v>109</v>
      </c>
      <c r="D48" s="4" t="s">
        <v>96</v>
      </c>
      <c r="E48" s="4" t="s">
        <v>97</v>
      </c>
      <c r="F48" s="4" t="s">
        <v>98</v>
      </c>
      <c r="G48" s="4" t="s">
        <v>99</v>
      </c>
    </row>
    <row r="49" spans="1:7" x14ac:dyDescent="0.25">
      <c r="B49" s="11" t="s">
        <v>302</v>
      </c>
      <c r="C49" s="90" t="s">
        <v>11</v>
      </c>
      <c r="D49" s="90">
        <f>D3*1.05</f>
        <v>47.25</v>
      </c>
      <c r="E49" s="90">
        <f>E3*1.05</f>
        <v>379.68000000000006</v>
      </c>
      <c r="F49" s="90">
        <f>F3*1.05</f>
        <v>183.435</v>
      </c>
      <c r="G49" s="90">
        <f>G3*1.05</f>
        <v>183.435</v>
      </c>
    </row>
    <row r="50" spans="1:7" ht="13" customHeight="1" x14ac:dyDescent="0.3">
      <c r="A50" s="4"/>
      <c r="B50" s="5" t="s">
        <v>303</v>
      </c>
      <c r="C50" s="90">
        <v>1.0349999999999999</v>
      </c>
      <c r="D50" s="90">
        <v>1.0349999999999999</v>
      </c>
      <c r="E50" s="90">
        <v>1.0349999999999999</v>
      </c>
      <c r="F50" s="90">
        <v>1.0349999999999999</v>
      </c>
      <c r="G50" s="90">
        <v>1.0349999999999999</v>
      </c>
    </row>
    <row r="51" spans="1:7" ht="13" customHeight="1" x14ac:dyDescent="0.3">
      <c r="A51" s="14" t="s">
        <v>304</v>
      </c>
    </row>
    <row r="52" spans="1:7" x14ac:dyDescent="0.25">
      <c r="B52" s="5" t="s">
        <v>305</v>
      </c>
      <c r="C52" s="90">
        <f t="shared" ref="C52:D55" si="1">IF(C6=1,1,C6*1.1)</f>
        <v>1</v>
      </c>
      <c r="D52" s="90">
        <f t="shared" si="1"/>
        <v>1</v>
      </c>
      <c r="E52" s="90">
        <f>E6*1.05</f>
        <v>0.93450000000000011</v>
      </c>
      <c r="F52" s="90">
        <f>F6*1.05</f>
        <v>0.93450000000000011</v>
      </c>
      <c r="G52" s="90">
        <f>IF(G6=1,1,G6*1.1)</f>
        <v>1</v>
      </c>
    </row>
    <row r="53" spans="1:7" x14ac:dyDescent="0.25">
      <c r="B53" s="5" t="s">
        <v>306</v>
      </c>
      <c r="C53" s="90">
        <f t="shared" si="1"/>
        <v>1</v>
      </c>
      <c r="D53" s="90">
        <f t="shared" si="1"/>
        <v>1</v>
      </c>
      <c r="E53" s="90">
        <v>0.91</v>
      </c>
      <c r="F53" s="90">
        <v>0.91</v>
      </c>
      <c r="G53" s="90">
        <f>IF(G7=1,1,G7*1.1)</f>
        <v>1</v>
      </c>
    </row>
    <row r="54" spans="1:7" x14ac:dyDescent="0.25">
      <c r="B54" s="5" t="s">
        <v>316</v>
      </c>
      <c r="C54" s="90">
        <f t="shared" si="1"/>
        <v>1</v>
      </c>
      <c r="D54" s="90">
        <f t="shared" si="1"/>
        <v>1</v>
      </c>
      <c r="E54" s="90">
        <v>0.91</v>
      </c>
      <c r="F54" s="90">
        <v>0.91</v>
      </c>
      <c r="G54" s="90">
        <f>IF(G8=1,1,G8*1.1)</f>
        <v>1</v>
      </c>
    </row>
    <row r="55" spans="1:7" x14ac:dyDescent="0.25">
      <c r="B55" s="5" t="s">
        <v>307</v>
      </c>
      <c r="C55" s="90">
        <f t="shared" si="1"/>
        <v>1</v>
      </c>
      <c r="D55" s="90">
        <f t="shared" si="1"/>
        <v>1</v>
      </c>
      <c r="E55" s="90">
        <f>IF(E9=1,1,E9*1.1)</f>
        <v>1</v>
      </c>
      <c r="F55" s="90">
        <f>IF(F9=1,1,F9*1.1)</f>
        <v>1</v>
      </c>
      <c r="G55" s="90">
        <f>IF(G9=1,1,G9*1.1)</f>
        <v>1</v>
      </c>
    </row>
    <row r="56" spans="1:7" x14ac:dyDescent="0.25">
      <c r="B56" s="5"/>
      <c r="C56" s="5"/>
      <c r="D56" s="5"/>
      <c r="E56" s="5"/>
      <c r="F56" s="5"/>
      <c r="G56" s="5"/>
    </row>
    <row r="57" spans="1:7" ht="13" customHeight="1" x14ac:dyDescent="0.3">
      <c r="A57" s="67" t="s">
        <v>308</v>
      </c>
      <c r="B57" s="68"/>
      <c r="C57" s="68"/>
      <c r="D57" s="68"/>
      <c r="E57" s="68"/>
      <c r="F57" s="68"/>
      <c r="G57" s="68"/>
    </row>
    <row r="58" spans="1:7" ht="13" customHeight="1" x14ac:dyDescent="0.3">
      <c r="A58" s="14"/>
      <c r="B58" s="11" t="s">
        <v>309</v>
      </c>
      <c r="C58" s="90">
        <v>1</v>
      </c>
      <c r="D58" s="90">
        <v>1.74</v>
      </c>
      <c r="E58" s="90">
        <v>1</v>
      </c>
      <c r="F58" s="90">
        <v>1</v>
      </c>
      <c r="G58" s="90">
        <v>1</v>
      </c>
    </row>
    <row r="59" spans="1:7" ht="13" customHeight="1" x14ac:dyDescent="0.3">
      <c r="A59" s="14"/>
      <c r="B59" s="11"/>
    </row>
    <row r="60" spans="1:7" ht="13" customHeight="1" x14ac:dyDescent="0.3">
      <c r="A60" s="67" t="s">
        <v>283</v>
      </c>
      <c r="B60" s="68"/>
      <c r="C60" s="68"/>
      <c r="D60" s="68"/>
      <c r="E60" s="68"/>
      <c r="F60" s="68"/>
      <c r="G60" s="68"/>
    </row>
    <row r="61" spans="1:7" ht="13" customHeight="1" x14ac:dyDescent="0.3">
      <c r="A61" s="82" t="s">
        <v>279</v>
      </c>
      <c r="B61" s="5" t="s">
        <v>310</v>
      </c>
      <c r="C61" s="90">
        <v>1.0309999999999999</v>
      </c>
      <c r="D61" s="90">
        <v>1.0309999999999999</v>
      </c>
      <c r="E61" s="90">
        <v>1.0309999999999999</v>
      </c>
      <c r="F61" s="90">
        <v>1.0309999999999999</v>
      </c>
      <c r="G61" s="90">
        <v>1.0309999999999999</v>
      </c>
    </row>
    <row r="62" spans="1:7" ht="13" customHeight="1" x14ac:dyDescent="0.3">
      <c r="A62" s="4"/>
      <c r="B62" s="5" t="s">
        <v>311</v>
      </c>
      <c r="C62" s="90">
        <v>1.0309999999999999</v>
      </c>
      <c r="D62" s="90">
        <v>1.0309999999999999</v>
      </c>
      <c r="E62" s="90">
        <v>1.0309999999999999</v>
      </c>
      <c r="F62" s="90">
        <v>1.0309999999999999</v>
      </c>
      <c r="G62" s="90">
        <v>1.0309999999999999</v>
      </c>
    </row>
    <row r="63" spans="1:7" ht="13" customHeight="1" x14ac:dyDescent="0.3">
      <c r="A63" s="82" t="s">
        <v>121</v>
      </c>
      <c r="B63" s="11" t="s">
        <v>312</v>
      </c>
      <c r="C63" s="90">
        <f>IF(C17=1,1,C17*1.1)</f>
        <v>1</v>
      </c>
      <c r="D63" s="90">
        <f>IF(D17=1,1,D17*1.1)</f>
        <v>1</v>
      </c>
      <c r="E63" s="90">
        <f>IF(E17=1,1,E17*1.1)</f>
        <v>1</v>
      </c>
      <c r="F63" s="90">
        <f>IF(F17=1,1,F17*1.1)</f>
        <v>1</v>
      </c>
      <c r="G63" s="90">
        <f>IF(G17=1,1,G17*1.1)</f>
        <v>1</v>
      </c>
    </row>
    <row r="65" spans="1:7" ht="13" customHeight="1" x14ac:dyDescent="0.3">
      <c r="A65" s="67" t="s">
        <v>313</v>
      </c>
      <c r="B65" s="68"/>
      <c r="C65" s="68"/>
      <c r="D65" s="68"/>
      <c r="E65" s="68"/>
      <c r="F65" s="68"/>
      <c r="G65" s="68"/>
    </row>
    <row r="66" spans="1:7" ht="13" customHeight="1" x14ac:dyDescent="0.3">
      <c r="A66" s="14"/>
      <c r="B66" s="14"/>
      <c r="C66" s="4" t="s">
        <v>69</v>
      </c>
      <c r="D66" s="4" t="s">
        <v>70</v>
      </c>
      <c r="E66" s="4" t="s">
        <v>71</v>
      </c>
      <c r="F66" s="4" t="s">
        <v>72</v>
      </c>
      <c r="G66" s="14"/>
    </row>
    <row r="67" spans="1:7" x14ac:dyDescent="0.25">
      <c r="B67" s="11" t="s">
        <v>314</v>
      </c>
      <c r="C67" s="90">
        <f>C21*1.1</f>
        <v>1.6720000000000002</v>
      </c>
      <c r="D67" s="90">
        <v>1</v>
      </c>
      <c r="E67" s="90">
        <v>1</v>
      </c>
      <c r="F67" s="90">
        <v>1</v>
      </c>
    </row>
  </sheetData>
  <sheetProtection algorithmName="SHA-512" hashValue="1RR4g6bolia04WQbp+u/SN8j7hd/8LTU9rNg+FC1yqH4p0EnuUrCNJPZjp1kvInDw81d7Qs6R57EEUSkrFHXEA==" saltValue="+PKui5pjAkIBhf4N/tx6k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0" tint="-0.249977111117893"/>
  </sheetPr>
  <dimension ref="A1:F43"/>
  <sheetViews>
    <sheetView zoomScale="70" zoomScaleNormal="70" workbookViewId="0">
      <selection activeCell="C8" sqref="C8"/>
    </sheetView>
  </sheetViews>
  <sheetFormatPr defaultColWidth="16.08984375" defaultRowHeight="15.75" customHeight="1" x14ac:dyDescent="0.25"/>
  <cols>
    <col min="1" max="1" width="52.1796875" style="8" customWidth="1"/>
    <col min="2" max="6" width="16.08984375" style="8" customWidth="1"/>
    <col min="7" max="7" width="17.1796875" style="8" customWidth="1"/>
    <col min="8" max="9" width="16.08984375" style="8" customWidth="1"/>
    <col min="10" max="16384" width="16.08984375" style="8"/>
  </cols>
  <sheetData>
    <row r="1" spans="1:6" ht="15.75" customHeight="1" x14ac:dyDescent="0.3">
      <c r="A1" s="1" t="s">
        <v>160</v>
      </c>
      <c r="B1" s="4"/>
      <c r="C1" s="4" t="s">
        <v>51</v>
      </c>
      <c r="D1" s="4" t="s">
        <v>53</v>
      </c>
      <c r="E1" s="4" t="s">
        <v>52</v>
      </c>
      <c r="F1" s="1" t="s">
        <v>54</v>
      </c>
    </row>
    <row r="2" spans="1:6" ht="15.75" customHeight="1" x14ac:dyDescent="0.25">
      <c r="A2" s="5" t="s">
        <v>168</v>
      </c>
      <c r="B2" s="5" t="s">
        <v>317</v>
      </c>
      <c r="C2" s="90">
        <v>0.28999999999999998</v>
      </c>
      <c r="D2" s="90">
        <v>0.28999999999999998</v>
      </c>
      <c r="E2" s="90">
        <v>0</v>
      </c>
      <c r="F2" s="90">
        <v>0</v>
      </c>
    </row>
    <row r="3" spans="1:6" ht="15.75" customHeight="1" x14ac:dyDescent="0.25">
      <c r="A3" s="5"/>
      <c r="B3" s="5" t="s">
        <v>318</v>
      </c>
      <c r="C3" s="90">
        <v>1</v>
      </c>
      <c r="D3" s="90">
        <v>1</v>
      </c>
      <c r="E3" s="90">
        <v>1</v>
      </c>
      <c r="F3" s="90">
        <v>1</v>
      </c>
    </row>
    <row r="4" spans="1:6" ht="15.75" customHeight="1" x14ac:dyDescent="0.25">
      <c r="A4" s="5" t="s">
        <v>180</v>
      </c>
      <c r="B4" s="5" t="s">
        <v>317</v>
      </c>
      <c r="C4" s="90">
        <v>0.61</v>
      </c>
      <c r="D4" s="90">
        <v>0.61</v>
      </c>
      <c r="E4" s="90">
        <v>0</v>
      </c>
      <c r="F4" s="90">
        <v>0</v>
      </c>
    </row>
    <row r="5" spans="1:6" ht="15.75" customHeight="1" x14ac:dyDescent="0.25">
      <c r="A5" s="5"/>
      <c r="B5" s="5" t="s">
        <v>318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5" t="s">
        <v>181</v>
      </c>
      <c r="B6" s="5" t="s">
        <v>317</v>
      </c>
      <c r="C6" s="90">
        <v>0.61</v>
      </c>
      <c r="D6" s="90">
        <v>0.61</v>
      </c>
      <c r="E6" s="90">
        <v>0</v>
      </c>
      <c r="F6" s="90">
        <v>0</v>
      </c>
    </row>
    <row r="7" spans="1:6" ht="15.75" customHeight="1" x14ac:dyDescent="0.25">
      <c r="A7" s="5"/>
      <c r="B7" s="5" t="s">
        <v>318</v>
      </c>
      <c r="C7" s="90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A8" s="5" t="s">
        <v>182</v>
      </c>
      <c r="B8" s="5" t="s">
        <v>317</v>
      </c>
      <c r="C8" s="90">
        <v>0.35</v>
      </c>
      <c r="D8" s="90">
        <v>0.35</v>
      </c>
      <c r="E8" s="90">
        <v>0</v>
      </c>
      <c r="F8" s="90">
        <v>0</v>
      </c>
    </row>
    <row r="9" spans="1:6" ht="15.75" customHeight="1" x14ac:dyDescent="0.25">
      <c r="A9" s="5"/>
      <c r="B9" s="5" t="s">
        <v>318</v>
      </c>
      <c r="C9" s="90">
        <v>1</v>
      </c>
      <c r="D9" s="90">
        <v>1</v>
      </c>
      <c r="E9" s="90">
        <v>0</v>
      </c>
      <c r="F9" s="90">
        <v>0</v>
      </c>
    </row>
    <row r="10" spans="1:6" ht="15.75" customHeight="1" x14ac:dyDescent="0.25">
      <c r="A10" s="5" t="s">
        <v>186</v>
      </c>
      <c r="B10" s="5" t="s">
        <v>317</v>
      </c>
      <c r="C10" s="90">
        <v>0.35</v>
      </c>
      <c r="D10" s="90">
        <v>0.35</v>
      </c>
      <c r="E10" s="90">
        <v>0</v>
      </c>
      <c r="F10" s="90">
        <v>0</v>
      </c>
    </row>
    <row r="11" spans="1:6" ht="15.75" customHeight="1" x14ac:dyDescent="0.25">
      <c r="A11" s="5"/>
      <c r="B11" s="5" t="s">
        <v>318</v>
      </c>
      <c r="C11" s="90">
        <v>1</v>
      </c>
      <c r="D11" s="90">
        <v>1</v>
      </c>
      <c r="E11" s="90">
        <v>0</v>
      </c>
      <c r="F11" s="90">
        <v>0</v>
      </c>
    </row>
    <row r="12" spans="1:6" ht="15.75" customHeight="1" x14ac:dyDescent="0.25">
      <c r="A12" s="5" t="s">
        <v>190</v>
      </c>
      <c r="B12" s="5" t="s">
        <v>317</v>
      </c>
      <c r="C12" s="90">
        <f>1-0.93*0.39</f>
        <v>0.63729999999999998</v>
      </c>
      <c r="D12" s="90">
        <f>1-0.93*0.39</f>
        <v>0.63729999999999998</v>
      </c>
      <c r="E12" s="90">
        <v>0</v>
      </c>
      <c r="F12" s="90">
        <v>0</v>
      </c>
    </row>
    <row r="13" spans="1:6" ht="15.75" customHeight="1" x14ac:dyDescent="0.25">
      <c r="A13" s="5"/>
      <c r="B13" s="5" t="s">
        <v>318</v>
      </c>
      <c r="C13" s="90">
        <v>1</v>
      </c>
      <c r="D13" s="90">
        <v>1</v>
      </c>
      <c r="E13" s="90">
        <v>1</v>
      </c>
      <c r="F13" s="90">
        <v>1</v>
      </c>
    </row>
    <row r="15" spans="1:6" s="92" customFormat="1" ht="15.75" customHeight="1" x14ac:dyDescent="0.3">
      <c r="A15" s="92" t="s">
        <v>235</v>
      </c>
    </row>
    <row r="16" spans="1:6" ht="15.75" customHeight="1" x14ac:dyDescent="0.3">
      <c r="A16" s="1" t="s">
        <v>160</v>
      </c>
      <c r="B16" s="4"/>
      <c r="C16" s="4" t="s">
        <v>51</v>
      </c>
      <c r="D16" s="4" t="s">
        <v>53</v>
      </c>
      <c r="E16" s="4" t="s">
        <v>52</v>
      </c>
      <c r="F16" s="1" t="s">
        <v>54</v>
      </c>
    </row>
    <row r="17" spans="1:6" ht="15.75" customHeight="1" x14ac:dyDescent="0.25">
      <c r="A17" s="5" t="s">
        <v>168</v>
      </c>
      <c r="B17" s="5" t="s">
        <v>317</v>
      </c>
      <c r="C17" s="90">
        <f>1-0.94</f>
        <v>6.0000000000000053E-2</v>
      </c>
      <c r="D17" s="90">
        <f>1-0.94</f>
        <v>6.0000000000000053E-2</v>
      </c>
      <c r="E17" s="90">
        <f>E2*0.9</f>
        <v>0</v>
      </c>
      <c r="F17" s="90">
        <f>F2*0.9</f>
        <v>0</v>
      </c>
    </row>
    <row r="18" spans="1:6" ht="15.75" customHeight="1" x14ac:dyDescent="0.25">
      <c r="A18" s="5"/>
      <c r="B18" s="5" t="s">
        <v>318</v>
      </c>
      <c r="C18" s="90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A19" s="5" t="s">
        <v>180</v>
      </c>
      <c r="B19" s="5" t="s">
        <v>317</v>
      </c>
      <c r="C19" s="90">
        <f>1-0.86</f>
        <v>0.14000000000000001</v>
      </c>
      <c r="D19" s="90">
        <f>1-0.86</f>
        <v>0.14000000000000001</v>
      </c>
      <c r="E19" s="90">
        <f>E4*0.9</f>
        <v>0</v>
      </c>
      <c r="F19" s="90">
        <f>F4*0.9</f>
        <v>0</v>
      </c>
    </row>
    <row r="20" spans="1:6" ht="15.75" customHeight="1" x14ac:dyDescent="0.25">
      <c r="A20" s="5"/>
      <c r="B20" s="5" t="s">
        <v>318</v>
      </c>
      <c r="C20" s="90">
        <v>1</v>
      </c>
      <c r="D20" s="90">
        <v>1</v>
      </c>
      <c r="E20" s="90">
        <v>1</v>
      </c>
      <c r="F20" s="90">
        <v>1</v>
      </c>
    </row>
    <row r="21" spans="1:6" ht="15.75" customHeight="1" x14ac:dyDescent="0.25">
      <c r="A21" s="5" t="s">
        <v>181</v>
      </c>
      <c r="B21" s="5" t="s">
        <v>317</v>
      </c>
      <c r="C21" s="90">
        <f>1-0.86</f>
        <v>0.14000000000000001</v>
      </c>
      <c r="D21" s="90">
        <f>1-0.86</f>
        <v>0.14000000000000001</v>
      </c>
      <c r="E21" s="90">
        <f>E6*0.9</f>
        <v>0</v>
      </c>
      <c r="F21" s="90">
        <f>F6*0.9</f>
        <v>0</v>
      </c>
    </row>
    <row r="22" spans="1:6" ht="15.75" customHeight="1" x14ac:dyDescent="0.25">
      <c r="A22" s="5"/>
      <c r="B22" s="5" t="s">
        <v>318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5" t="s">
        <v>182</v>
      </c>
      <c r="B23" s="5" t="s">
        <v>317</v>
      </c>
      <c r="C23" s="90">
        <f>1-0.77</f>
        <v>0.22999999999999998</v>
      </c>
      <c r="D23" s="90">
        <f>1-0.77</f>
        <v>0.22999999999999998</v>
      </c>
      <c r="E23" s="90">
        <f>E10*0.9</f>
        <v>0</v>
      </c>
      <c r="F23" s="90">
        <f>F10*0.9</f>
        <v>0</v>
      </c>
    </row>
    <row r="24" spans="1:6" ht="15.75" customHeight="1" x14ac:dyDescent="0.25">
      <c r="A24" s="5"/>
      <c r="B24" s="5" t="s">
        <v>318</v>
      </c>
      <c r="C24" s="90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A25" s="5" t="s">
        <v>186</v>
      </c>
      <c r="B25" s="5" t="s">
        <v>317</v>
      </c>
      <c r="C25" s="90">
        <f>1-0.77</f>
        <v>0.22999999999999998</v>
      </c>
      <c r="D25" s="90">
        <f>1-0.77</f>
        <v>0.22999999999999998</v>
      </c>
      <c r="E25" s="90">
        <f>E10*0.9</f>
        <v>0</v>
      </c>
      <c r="F25" s="90">
        <f>F10*0.9</f>
        <v>0</v>
      </c>
    </row>
    <row r="26" spans="1:6" ht="15.75" customHeight="1" x14ac:dyDescent="0.25">
      <c r="A26" s="5"/>
      <c r="B26" s="5" t="s">
        <v>318</v>
      </c>
      <c r="C26" s="90">
        <v>1</v>
      </c>
      <c r="D26" s="90">
        <v>1</v>
      </c>
      <c r="E26" s="90">
        <v>1</v>
      </c>
      <c r="F26" s="90">
        <v>1</v>
      </c>
    </row>
    <row r="27" spans="1:6" ht="15.75" customHeight="1" x14ac:dyDescent="0.25">
      <c r="A27" s="5" t="s">
        <v>190</v>
      </c>
      <c r="B27" s="5" t="s">
        <v>317</v>
      </c>
      <c r="C27" s="90">
        <f>1-0.98*0.86</f>
        <v>0.15720000000000001</v>
      </c>
      <c r="D27" s="90">
        <f>1-0.98*0.86</f>
        <v>0.15720000000000001</v>
      </c>
      <c r="E27" s="90">
        <f>E12*0.9</f>
        <v>0</v>
      </c>
      <c r="F27" s="90">
        <f>F12*0.9</f>
        <v>0</v>
      </c>
    </row>
    <row r="28" spans="1:6" ht="15.75" customHeight="1" x14ac:dyDescent="0.25">
      <c r="A28" s="5"/>
      <c r="B28" s="5" t="s">
        <v>318</v>
      </c>
      <c r="C28" s="90">
        <v>1</v>
      </c>
      <c r="D28" s="90">
        <v>1</v>
      </c>
      <c r="E28" s="90">
        <v>1</v>
      </c>
      <c r="F28" s="90">
        <v>1</v>
      </c>
    </row>
    <row r="30" spans="1:6" s="92" customFormat="1" ht="15.75" customHeight="1" x14ac:dyDescent="0.3">
      <c r="A30" s="92" t="s">
        <v>239</v>
      </c>
    </row>
    <row r="31" spans="1:6" ht="15.75" customHeight="1" x14ac:dyDescent="0.3">
      <c r="A31" s="1" t="s">
        <v>160</v>
      </c>
      <c r="B31" s="4"/>
      <c r="C31" s="4" t="s">
        <v>51</v>
      </c>
      <c r="D31" s="4" t="s">
        <v>53</v>
      </c>
      <c r="E31" s="4" t="s">
        <v>52</v>
      </c>
      <c r="F31" s="1" t="s">
        <v>54</v>
      </c>
    </row>
    <row r="32" spans="1:6" ht="15.75" customHeight="1" x14ac:dyDescent="0.25">
      <c r="A32" s="5" t="s">
        <v>168</v>
      </c>
      <c r="B32" s="5" t="s">
        <v>317</v>
      </c>
      <c r="C32" s="90">
        <f>1-0.54</f>
        <v>0.45999999999999996</v>
      </c>
      <c r="D32" s="90">
        <f>1-0.54</f>
        <v>0.45999999999999996</v>
      </c>
      <c r="E32" s="90">
        <f>E2*1.1</f>
        <v>0</v>
      </c>
      <c r="F32" s="90">
        <f>F2*1.1</f>
        <v>0</v>
      </c>
    </row>
    <row r="33" spans="1:6" ht="15.75" customHeight="1" x14ac:dyDescent="0.25">
      <c r="A33" s="5"/>
      <c r="B33" s="5" t="s">
        <v>318</v>
      </c>
      <c r="C33" s="90">
        <v>1</v>
      </c>
      <c r="D33" s="90">
        <v>1</v>
      </c>
      <c r="E33" s="90">
        <v>1</v>
      </c>
      <c r="F33" s="90">
        <v>1</v>
      </c>
    </row>
    <row r="34" spans="1:6" ht="15.75" customHeight="1" x14ac:dyDescent="0.25">
      <c r="A34" s="5" t="s">
        <v>180</v>
      </c>
      <c r="B34" s="5" t="s">
        <v>317</v>
      </c>
      <c r="C34" s="90">
        <f>1-0.17</f>
        <v>0.83</v>
      </c>
      <c r="D34" s="90">
        <f>1-0.17</f>
        <v>0.83</v>
      </c>
      <c r="E34" s="90">
        <f>E4*1.1</f>
        <v>0</v>
      </c>
      <c r="F34" s="90">
        <f>F4*1.1</f>
        <v>0</v>
      </c>
    </row>
    <row r="35" spans="1:6" ht="15.75" customHeight="1" x14ac:dyDescent="0.25">
      <c r="A35" s="5"/>
      <c r="B35" s="5" t="s">
        <v>318</v>
      </c>
      <c r="C35" s="90">
        <v>1</v>
      </c>
      <c r="D35" s="90">
        <v>1</v>
      </c>
      <c r="E35" s="90">
        <v>1</v>
      </c>
      <c r="F35" s="90">
        <v>1</v>
      </c>
    </row>
    <row r="36" spans="1:6" ht="15.75" customHeight="1" x14ac:dyDescent="0.25">
      <c r="A36" s="5" t="s">
        <v>181</v>
      </c>
      <c r="B36" s="5" t="s">
        <v>317</v>
      </c>
      <c r="C36" s="90">
        <f>1-0.17</f>
        <v>0.83</v>
      </c>
      <c r="D36" s="90">
        <f>1-0.17</f>
        <v>0.83</v>
      </c>
      <c r="E36" s="90">
        <f>E6*1.1</f>
        <v>0</v>
      </c>
      <c r="F36" s="90">
        <f>F6*1.1</f>
        <v>0</v>
      </c>
    </row>
    <row r="37" spans="1:6" ht="15.75" customHeight="1" x14ac:dyDescent="0.25">
      <c r="A37" s="5"/>
      <c r="B37" s="5" t="s">
        <v>318</v>
      </c>
      <c r="C37" s="90">
        <v>1</v>
      </c>
      <c r="D37" s="90">
        <v>1</v>
      </c>
      <c r="E37" s="90">
        <v>1</v>
      </c>
      <c r="F37" s="90">
        <v>1</v>
      </c>
    </row>
    <row r="38" spans="1:6" ht="15.75" customHeight="1" x14ac:dyDescent="0.25">
      <c r="A38" s="5" t="s">
        <v>182</v>
      </c>
      <c r="B38" s="5" t="s">
        <v>317</v>
      </c>
      <c r="C38" s="90">
        <f>1-0.55</f>
        <v>0.44999999999999996</v>
      </c>
      <c r="D38" s="90">
        <f>1-0.55</f>
        <v>0.44999999999999996</v>
      </c>
      <c r="E38" s="90">
        <f>E8*1.1</f>
        <v>0</v>
      </c>
      <c r="F38" s="90">
        <f>F8*1.1</f>
        <v>0</v>
      </c>
    </row>
    <row r="39" spans="1:6" ht="15.75" customHeight="1" x14ac:dyDescent="0.25">
      <c r="A39" s="5"/>
      <c r="B39" s="5" t="s">
        <v>318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5" t="s">
        <v>186</v>
      </c>
      <c r="B40" s="5" t="s">
        <v>317</v>
      </c>
      <c r="C40" s="90">
        <f>1-0.55</f>
        <v>0.44999999999999996</v>
      </c>
      <c r="D40" s="90">
        <f>1-0.55</f>
        <v>0.44999999999999996</v>
      </c>
      <c r="E40" s="90">
        <f>E10*1.1</f>
        <v>0</v>
      </c>
      <c r="F40" s="90">
        <f>F10*1.1</f>
        <v>0</v>
      </c>
    </row>
    <row r="41" spans="1:6" ht="15.75" customHeight="1" x14ac:dyDescent="0.25">
      <c r="A41" s="5"/>
      <c r="B41" s="5" t="s">
        <v>318</v>
      </c>
      <c r="C41" s="90">
        <v>1</v>
      </c>
      <c r="D41" s="90">
        <v>1</v>
      </c>
      <c r="E41" s="90">
        <v>1</v>
      </c>
      <c r="F41" s="90">
        <v>1</v>
      </c>
    </row>
    <row r="42" spans="1:6" ht="15.75" customHeight="1" x14ac:dyDescent="0.25">
      <c r="A42" s="5" t="s">
        <v>190</v>
      </c>
      <c r="B42" s="5" t="s">
        <v>317</v>
      </c>
      <c r="C42" s="90">
        <f>1-0.88*0.17</f>
        <v>0.85040000000000004</v>
      </c>
      <c r="D42" s="90">
        <f>1-0.88*0.17</f>
        <v>0.85040000000000004</v>
      </c>
      <c r="E42" s="90">
        <f>E12*1.1</f>
        <v>0</v>
      </c>
      <c r="F42" s="90">
        <f>F12*1.1</f>
        <v>0</v>
      </c>
    </row>
    <row r="43" spans="1:6" ht="15.75" customHeight="1" x14ac:dyDescent="0.25">
      <c r="A43" s="5"/>
      <c r="B43" s="5" t="s">
        <v>318</v>
      </c>
      <c r="C43" s="90">
        <v>1</v>
      </c>
      <c r="D43" s="90">
        <v>1</v>
      </c>
      <c r="E43" s="90">
        <v>1</v>
      </c>
      <c r="F43" s="90">
        <v>1</v>
      </c>
    </row>
  </sheetData>
  <sheetProtection algorithmName="SHA-512" hashValue="/b9RRxp/nbLhS63yEl4uTVWTJJaA+v78oqvYferYdujCZyo+rkwSyGg2DMURM5tblbfTvQxuKU+7P7H4uAraCA==" saltValue="bgYSKgcd480ysGfGaqwjG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0" tint="-0.249977111117893"/>
  </sheetPr>
  <dimension ref="A1:O67"/>
  <sheetViews>
    <sheetView zoomScale="70" zoomScaleNormal="70" workbookViewId="0">
      <selection activeCell="C8" sqref="C8"/>
    </sheetView>
  </sheetViews>
  <sheetFormatPr defaultColWidth="12.816406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6" width="12.81640625" style="8" customWidth="1"/>
    <col min="17" max="16384" width="12.81640625" style="8"/>
  </cols>
  <sheetData>
    <row r="1" spans="1:15" ht="35.25" customHeight="1" x14ac:dyDescent="0.3">
      <c r="A1" s="4"/>
      <c r="B1" s="4"/>
      <c r="C1" s="70" t="s">
        <v>109</v>
      </c>
      <c r="D1" s="70" t="s">
        <v>96</v>
      </c>
      <c r="E1" s="70" t="s">
        <v>97</v>
      </c>
      <c r="F1" s="70" t="s">
        <v>98</v>
      </c>
      <c r="G1" s="70" t="s">
        <v>99</v>
      </c>
      <c r="H1" s="70" t="s">
        <v>69</v>
      </c>
      <c r="I1" s="70" t="s">
        <v>70</v>
      </c>
      <c r="J1" s="70" t="s">
        <v>71</v>
      </c>
      <c r="K1" s="70" t="s">
        <v>72</v>
      </c>
      <c r="L1" s="70" t="s">
        <v>122</v>
      </c>
      <c r="M1" s="70" t="s">
        <v>123</v>
      </c>
      <c r="N1" s="70" t="s">
        <v>124</v>
      </c>
      <c r="O1" s="70" t="s">
        <v>125</v>
      </c>
    </row>
    <row r="2" spans="1:15" ht="13" customHeight="1" x14ac:dyDescent="0.3">
      <c r="A2" s="4" t="s">
        <v>319</v>
      </c>
    </row>
    <row r="3" spans="1:15" x14ac:dyDescent="0.25">
      <c r="B3" s="11" t="s">
        <v>171</v>
      </c>
      <c r="C3" s="90">
        <v>0.92</v>
      </c>
      <c r="D3" s="90">
        <v>0.92</v>
      </c>
      <c r="E3" s="90">
        <v>0.92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176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177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178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179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180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181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182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5" t="s">
        <v>185</v>
      </c>
      <c r="C11" s="90">
        <v>1</v>
      </c>
      <c r="D11" s="90">
        <v>1</v>
      </c>
      <c r="E11" s="90">
        <v>0.69</v>
      </c>
      <c r="F11" s="90">
        <v>0.69</v>
      </c>
      <c r="G11" s="90">
        <v>1</v>
      </c>
      <c r="H11" s="90">
        <v>1</v>
      </c>
      <c r="I11" s="90">
        <v>1</v>
      </c>
      <c r="J11" s="90">
        <v>1</v>
      </c>
      <c r="K11" s="90">
        <v>1</v>
      </c>
      <c r="L11" s="90">
        <v>1</v>
      </c>
      <c r="M11" s="90">
        <v>1</v>
      </c>
      <c r="N11" s="90">
        <v>1</v>
      </c>
      <c r="O11" s="90">
        <v>1</v>
      </c>
    </row>
    <row r="12" spans="1:15" x14ac:dyDescent="0.25">
      <c r="B12" s="11" t="s">
        <v>186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" customHeight="1" x14ac:dyDescent="0.25">
      <c r="B13" s="11" t="s">
        <v>189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190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205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customHeight="1" x14ac:dyDescent="0.3">
      <c r="A17" s="4" t="s">
        <v>320</v>
      </c>
      <c r="B17" s="11"/>
    </row>
    <row r="18" spans="1:15" x14ac:dyDescent="0.25">
      <c r="B18" s="5" t="s">
        <v>173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174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175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183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customHeight="1" x14ac:dyDescent="0.3">
      <c r="A23" s="92" t="s">
        <v>235</v>
      </c>
    </row>
    <row r="24" spans="1:15" ht="26" customHeight="1" x14ac:dyDescent="0.3">
      <c r="A24" s="4"/>
      <c r="B24" s="4"/>
      <c r="C24" s="70" t="s">
        <v>109</v>
      </c>
      <c r="D24" s="70" t="s">
        <v>96</v>
      </c>
      <c r="E24" s="70" t="s">
        <v>97</v>
      </c>
      <c r="F24" s="70" t="s">
        <v>98</v>
      </c>
      <c r="G24" s="70" t="s">
        <v>99</v>
      </c>
      <c r="H24" s="70" t="s">
        <v>69</v>
      </c>
      <c r="I24" s="70" t="s">
        <v>70</v>
      </c>
      <c r="J24" s="70" t="s">
        <v>71</v>
      </c>
      <c r="K24" s="70" t="s">
        <v>72</v>
      </c>
      <c r="L24" s="70" t="s">
        <v>122</v>
      </c>
      <c r="M24" s="70" t="s">
        <v>123</v>
      </c>
      <c r="N24" s="70" t="s">
        <v>124</v>
      </c>
      <c r="O24" s="70" t="s">
        <v>125</v>
      </c>
    </row>
    <row r="25" spans="1:15" ht="13" customHeight="1" x14ac:dyDescent="0.3">
      <c r="A25" s="4" t="s">
        <v>321</v>
      </c>
    </row>
    <row r="26" spans="1:15" x14ac:dyDescent="0.25">
      <c r="B26" s="11" t="s">
        <v>171</v>
      </c>
      <c r="C26" s="90">
        <v>0.87</v>
      </c>
      <c r="D26" s="90">
        <v>0.87</v>
      </c>
      <c r="E26" s="90">
        <v>0.87</v>
      </c>
      <c r="F26" s="90">
        <f t="shared" ref="F26:O26" si="0">IF(F3=1,1,F3*0.9)</f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176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177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178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179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180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181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182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185</v>
      </c>
      <c r="C34" s="90">
        <f>IF(C11=1,1,C11*0.9)</f>
        <v>1</v>
      </c>
      <c r="D34" s="90">
        <f>IF(D11=1,1,D11*0.9)</f>
        <v>1</v>
      </c>
      <c r="E34" s="90">
        <v>0.62</v>
      </c>
      <c r="F34" s="90">
        <v>0.62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186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189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190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205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customHeight="1" x14ac:dyDescent="0.3">
      <c r="A40" s="4" t="s">
        <v>323</v>
      </c>
      <c r="B40" s="11"/>
    </row>
    <row r="41" spans="1:15" x14ac:dyDescent="0.25">
      <c r="B41" s="5" t="s">
        <v>173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174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175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183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customHeight="1" x14ac:dyDescent="0.3">
      <c r="A46" s="92" t="s">
        <v>239</v>
      </c>
    </row>
    <row r="47" spans="1:15" ht="26" customHeight="1" x14ac:dyDescent="0.3">
      <c r="A47" s="4"/>
      <c r="B47" s="4"/>
      <c r="C47" s="70" t="s">
        <v>109</v>
      </c>
      <c r="D47" s="70" t="s">
        <v>96</v>
      </c>
      <c r="E47" s="70" t="s">
        <v>97</v>
      </c>
      <c r="F47" s="70" t="s">
        <v>98</v>
      </c>
      <c r="G47" s="70" t="s">
        <v>99</v>
      </c>
      <c r="H47" s="70" t="s">
        <v>69</v>
      </c>
      <c r="I47" s="70" t="s">
        <v>70</v>
      </c>
      <c r="J47" s="70" t="s">
        <v>71</v>
      </c>
      <c r="K47" s="70" t="s">
        <v>72</v>
      </c>
      <c r="L47" s="70" t="s">
        <v>122</v>
      </c>
      <c r="M47" s="70" t="s">
        <v>123</v>
      </c>
      <c r="N47" s="70" t="s">
        <v>124</v>
      </c>
      <c r="O47" s="70" t="s">
        <v>125</v>
      </c>
    </row>
    <row r="48" spans="1:15" ht="13" customHeight="1" x14ac:dyDescent="0.3">
      <c r="A48" s="4" t="s">
        <v>322</v>
      </c>
    </row>
    <row r="49" spans="1:15" x14ac:dyDescent="0.25">
      <c r="B49" s="11" t="s">
        <v>171</v>
      </c>
      <c r="C49" s="90">
        <v>0.99</v>
      </c>
      <c r="D49" s="90">
        <v>0.99</v>
      </c>
      <c r="E49" s="90">
        <v>0.99</v>
      </c>
      <c r="F49" s="90">
        <f t="shared" ref="F49:O49" si="9">IF(F3=1,1,F3*1.05)</f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176</v>
      </c>
      <c r="C50" s="90">
        <f t="shared" ref="C50:G56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177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178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179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180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181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182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185</v>
      </c>
      <c r="C57" s="90">
        <f>IF(C11=1,1,C11*1.05)</f>
        <v>1</v>
      </c>
      <c r="D57" s="90">
        <f>IF(D11=1,1,D11*1.05)</f>
        <v>1</v>
      </c>
      <c r="E57" s="90">
        <v>0.77</v>
      </c>
      <c r="F57" s="90">
        <v>0.77</v>
      </c>
      <c r="G57" s="90">
        <f>IF(G11=1,1,G11*1.05)</f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186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189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190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205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6">IF(G15=1,1,G15*1.05)</f>
        <v>1</v>
      </c>
      <c r="H61" s="90">
        <f t="shared" si="16"/>
        <v>1</v>
      </c>
      <c r="I61" s="90">
        <f t="shared" si="16"/>
        <v>1</v>
      </c>
      <c r="J61" s="90">
        <f t="shared" si="16"/>
        <v>1</v>
      </c>
      <c r="K61" s="90">
        <f t="shared" si="16"/>
        <v>1</v>
      </c>
      <c r="L61" s="90">
        <f t="shared" si="16"/>
        <v>1</v>
      </c>
      <c r="M61" s="90">
        <f t="shared" si="16"/>
        <v>1</v>
      </c>
      <c r="N61" s="90">
        <f t="shared" si="16"/>
        <v>1</v>
      </c>
      <c r="O61" s="90">
        <f t="shared" si="16"/>
        <v>1</v>
      </c>
    </row>
    <row r="63" spans="1:15" ht="13" customHeight="1" x14ac:dyDescent="0.3">
      <c r="A63" s="4" t="s">
        <v>324</v>
      </c>
      <c r="B63" s="11"/>
    </row>
    <row r="64" spans="1:15" x14ac:dyDescent="0.25">
      <c r="B64" s="5" t="s">
        <v>173</v>
      </c>
      <c r="C64" s="90">
        <f t="shared" ref="C64:D67" si="17">IF(C18=1,1,C18*1.05)</f>
        <v>1</v>
      </c>
      <c r="D64" s="90">
        <f t="shared" si="17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174</v>
      </c>
      <c r="C65" s="90">
        <f t="shared" si="17"/>
        <v>1</v>
      </c>
      <c r="D65" s="90">
        <f t="shared" si="17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175</v>
      </c>
      <c r="C66" s="90">
        <f t="shared" si="17"/>
        <v>1</v>
      </c>
      <c r="D66" s="90">
        <f t="shared" si="17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183</v>
      </c>
      <c r="C67" s="90">
        <f t="shared" si="17"/>
        <v>1</v>
      </c>
      <c r="D67" s="90">
        <f t="shared" si="17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tY6aoetRtqiJMoggYovTv8Lkpgbp/08CKEw4TOoxGN2k6rn5FDRV4cG3TFRkkOBdjvyTA+ppbCP+5VfMNE/Z9A==" saltValue="zMG4cRwtsjQSnjMK6F/6C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0" tint="-0.249977111117893"/>
  </sheetPr>
  <dimension ref="A1:G19"/>
  <sheetViews>
    <sheetView zoomScale="85" zoomScaleNormal="85" workbookViewId="0">
      <selection activeCell="C3" sqref="C3"/>
    </sheetView>
  </sheetViews>
  <sheetFormatPr defaultColWidth="12.81640625" defaultRowHeight="12.5" x14ac:dyDescent="0.25"/>
  <cols>
    <col min="1" max="1" width="21.36328125" style="8" customWidth="1"/>
    <col min="2" max="2" width="27.81640625" style="8" customWidth="1"/>
    <col min="3" max="7" width="15.54296875" style="8" customWidth="1"/>
    <col min="8" max="8" width="12.81640625" style="8" customWidth="1"/>
    <col min="9" max="16384" width="12.81640625" style="8"/>
  </cols>
  <sheetData>
    <row r="1" spans="1:7" ht="13" customHeight="1" x14ac:dyDescent="0.3">
      <c r="A1" s="4"/>
      <c r="B1" s="1"/>
      <c r="C1" s="4" t="s">
        <v>109</v>
      </c>
      <c r="D1" s="4" t="s">
        <v>96</v>
      </c>
      <c r="E1" s="4" t="s">
        <v>97</v>
      </c>
      <c r="F1" s="4" t="s">
        <v>98</v>
      </c>
      <c r="G1" s="4" t="s">
        <v>99</v>
      </c>
    </row>
    <row r="2" spans="1:7" ht="13" customHeight="1" x14ac:dyDescent="0.3">
      <c r="A2" s="4" t="s">
        <v>325</v>
      </c>
    </row>
    <row r="3" spans="1:7" ht="13.25" customHeight="1" x14ac:dyDescent="0.25">
      <c r="B3" s="11" t="s">
        <v>161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customHeight="1" x14ac:dyDescent="0.3">
      <c r="A4" s="4" t="s">
        <v>326</v>
      </c>
      <c r="B4" s="11"/>
      <c r="C4" s="83"/>
      <c r="D4" s="83"/>
      <c r="E4" s="83"/>
      <c r="F4" s="83"/>
      <c r="G4" s="83"/>
    </row>
    <row r="5" spans="1:7" ht="13.25" customHeight="1" x14ac:dyDescent="0.25">
      <c r="B5" s="5" t="s">
        <v>165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customHeight="1" x14ac:dyDescent="0.3">
      <c r="A7" s="92" t="s">
        <v>331</v>
      </c>
    </row>
    <row r="8" spans="1:7" ht="13" customHeight="1" x14ac:dyDescent="0.3">
      <c r="A8" s="4"/>
      <c r="B8" s="1"/>
      <c r="C8" s="4" t="s">
        <v>109</v>
      </c>
      <c r="D8" s="4" t="s">
        <v>96</v>
      </c>
      <c r="E8" s="4" t="s">
        <v>97</v>
      </c>
      <c r="F8" s="4" t="s">
        <v>98</v>
      </c>
      <c r="G8" s="4" t="s">
        <v>99</v>
      </c>
    </row>
    <row r="9" spans="1:7" ht="13" customHeight="1" x14ac:dyDescent="0.3">
      <c r="A9" s="4" t="s">
        <v>327</v>
      </c>
    </row>
    <row r="10" spans="1:7" ht="13.25" customHeight="1" x14ac:dyDescent="0.25">
      <c r="B10" s="11" t="s">
        <v>161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customHeight="1" x14ac:dyDescent="0.3">
      <c r="A11" s="4" t="s">
        <v>328</v>
      </c>
      <c r="B11" s="11"/>
      <c r="C11" s="83"/>
      <c r="D11" s="83"/>
      <c r="E11" s="83"/>
      <c r="F11" s="83"/>
      <c r="G11" s="83"/>
    </row>
    <row r="12" spans="1:7" ht="13.25" customHeight="1" x14ac:dyDescent="0.25">
      <c r="B12" s="5" t="s">
        <v>165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customHeight="1" x14ac:dyDescent="0.3">
      <c r="A14" s="92" t="s">
        <v>332</v>
      </c>
    </row>
    <row r="15" spans="1:7" ht="13" customHeight="1" x14ac:dyDescent="0.3">
      <c r="A15" s="4"/>
      <c r="B15" s="1"/>
      <c r="C15" s="4" t="s">
        <v>109</v>
      </c>
      <c r="D15" s="4" t="s">
        <v>96</v>
      </c>
      <c r="E15" s="4" t="s">
        <v>97</v>
      </c>
      <c r="F15" s="4" t="s">
        <v>98</v>
      </c>
      <c r="G15" s="4" t="s">
        <v>99</v>
      </c>
    </row>
    <row r="16" spans="1:7" ht="13" customHeight="1" x14ac:dyDescent="0.3">
      <c r="A16" s="4" t="s">
        <v>329</v>
      </c>
    </row>
    <row r="17" spans="1:7" ht="13.25" customHeight="1" x14ac:dyDescent="0.25">
      <c r="B17" s="11" t="s">
        <v>161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customHeight="1" x14ac:dyDescent="0.3">
      <c r="A18" s="4" t="s">
        <v>330</v>
      </c>
      <c r="B18" s="11"/>
      <c r="C18" s="83"/>
      <c r="D18" s="83"/>
      <c r="E18" s="83"/>
      <c r="F18" s="83"/>
      <c r="G18" s="83"/>
    </row>
    <row r="19" spans="1:7" ht="13.25" customHeight="1" x14ac:dyDescent="0.25">
      <c r="B19" s="5" t="s">
        <v>165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bDTw0LFO+DnFU726fBzYz/qSBA4INkfR6hh8tt1TIcl1+R0/VuqSr2c/pjySgIjU/LHrDDQ7pyjdaiTSJUk4Zg==" saltValue="k8TxoTjF8YusTnxtGkgeVg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0" tint="-0.249977111117893"/>
  </sheetPr>
  <dimension ref="A1:H163"/>
  <sheetViews>
    <sheetView topLeftCell="A22" zoomScale="80" zoomScaleNormal="80" workbookViewId="0">
      <selection activeCell="D8" sqref="D8"/>
    </sheetView>
  </sheetViews>
  <sheetFormatPr defaultColWidth="12.81640625" defaultRowHeight="12.5" x14ac:dyDescent="0.25"/>
  <cols>
    <col min="1" max="1" width="53" style="5" customWidth="1"/>
    <col min="2" max="2" width="30.54296875" style="5" customWidth="1"/>
    <col min="3" max="3" width="24.81640625" style="5" customWidth="1"/>
    <col min="4" max="4" width="15" style="8" customWidth="1"/>
    <col min="5" max="5" width="13.6328125" style="8" customWidth="1"/>
    <col min="6" max="6" width="14.453125" style="8" customWidth="1"/>
    <col min="7" max="7" width="12.81640625" style="8" customWidth="1"/>
    <col min="8" max="8" width="17.54296875" style="8" customWidth="1"/>
    <col min="9" max="9" width="12.81640625" style="8" customWidth="1"/>
    <col min="10" max="16384" width="12.81640625" style="8"/>
  </cols>
  <sheetData>
    <row r="1" spans="1:8" ht="13" customHeight="1" x14ac:dyDescent="0.3">
      <c r="A1" s="4" t="s">
        <v>160</v>
      </c>
      <c r="B1" s="4" t="s">
        <v>333</v>
      </c>
      <c r="C1" s="82" t="s">
        <v>12</v>
      </c>
      <c r="D1" s="4" t="s">
        <v>109</v>
      </c>
      <c r="E1" s="4" t="s">
        <v>96</v>
      </c>
      <c r="F1" s="4" t="s">
        <v>97</v>
      </c>
      <c r="G1" s="4" t="s">
        <v>98</v>
      </c>
      <c r="H1" s="4" t="s">
        <v>99</v>
      </c>
    </row>
    <row r="2" spans="1:8" ht="13.25" customHeight="1" x14ac:dyDescent="0.25">
      <c r="A2" s="5" t="s">
        <v>193</v>
      </c>
      <c r="B2" s="5" t="s">
        <v>87</v>
      </c>
      <c r="C2" s="5" t="s">
        <v>334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ht="13.25" customHeight="1" x14ac:dyDescent="0.25">
      <c r="C3" s="5" t="s">
        <v>335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ht="13.25" customHeight="1" x14ac:dyDescent="0.25">
      <c r="C4" s="5" t="s">
        <v>336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ht="13.25" customHeight="1" x14ac:dyDescent="0.25">
      <c r="A5" s="5" t="s">
        <v>192</v>
      </c>
      <c r="B5" s="5" t="s">
        <v>208</v>
      </c>
      <c r="C5" s="5" t="s">
        <v>334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ht="13.25" customHeight="1" x14ac:dyDescent="0.25">
      <c r="C6" s="5" t="s">
        <v>336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ht="13.25" customHeight="1" x14ac:dyDescent="0.25">
      <c r="B7" s="5" t="s">
        <v>209</v>
      </c>
      <c r="C7" s="5" t="s">
        <v>334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ht="13.25" customHeight="1" x14ac:dyDescent="0.25">
      <c r="C8" s="5" t="s">
        <v>336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ht="13.25" customHeight="1" x14ac:dyDescent="0.25">
      <c r="A9" s="5" t="s">
        <v>185</v>
      </c>
      <c r="B9" s="5" t="s">
        <v>208</v>
      </c>
      <c r="C9" s="5" t="s">
        <v>334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ht="13.25" customHeight="1" x14ac:dyDescent="0.25">
      <c r="C10" s="5" t="s">
        <v>336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ht="13.25" customHeight="1" x14ac:dyDescent="0.25">
      <c r="B11" s="5" t="s">
        <v>209</v>
      </c>
      <c r="C11" s="5" t="s">
        <v>334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ht="13.25" customHeight="1" x14ac:dyDescent="0.25">
      <c r="C12" s="5" t="s">
        <v>336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ht="13.25" customHeight="1" x14ac:dyDescent="0.25">
      <c r="A13" s="5" t="s">
        <v>205</v>
      </c>
      <c r="B13" s="5" t="s">
        <v>208</v>
      </c>
      <c r="C13" s="5" t="s">
        <v>334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ht="13.25" customHeight="1" x14ac:dyDescent="0.25">
      <c r="C14" s="5" t="s">
        <v>336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ht="13.25" customHeight="1" x14ac:dyDescent="0.25">
      <c r="B15" s="5" t="s">
        <v>209</v>
      </c>
      <c r="C15" s="5" t="s">
        <v>334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ht="13.25" customHeight="1" x14ac:dyDescent="0.25">
      <c r="C16" s="5" t="s">
        <v>336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ht="13.25" customHeight="1" x14ac:dyDescent="0.25">
      <c r="A17" s="5" t="s">
        <v>170</v>
      </c>
      <c r="B17" s="5" t="s">
        <v>208</v>
      </c>
      <c r="C17" s="5" t="s">
        <v>334</v>
      </c>
      <c r="D17" s="90">
        <v>0</v>
      </c>
      <c r="E17" s="90">
        <v>0</v>
      </c>
      <c r="F17" s="90">
        <v>1</v>
      </c>
      <c r="G17" s="90">
        <v>1</v>
      </c>
      <c r="H17" s="90">
        <v>1</v>
      </c>
    </row>
    <row r="18" spans="1:8" ht="13.25" customHeight="1" x14ac:dyDescent="0.25">
      <c r="C18" s="5" t="s">
        <v>336</v>
      </c>
      <c r="D18" s="90">
        <v>0</v>
      </c>
      <c r="E18" s="90">
        <v>0</v>
      </c>
      <c r="F18" s="90">
        <f>MIN(MAX(1-0.89/(1-frac_sam_6_11months+(frac_sam_6_11months*0.89)),0),1)</f>
        <v>0.10871683745654948</v>
      </c>
      <c r="G18" s="90">
        <f>MIN(MAX(1-0.89/(1-frac_sam_12_23months+(frac_sam_12_23months*0.89)),0),1)</f>
        <v>0.10962202386459485</v>
      </c>
      <c r="H18" s="90">
        <f>MIN(MAX(1-0.89/(1-frac_sam_24_59months+(frac_sam_24_59months*0.89)),0),1)</f>
        <v>0.109580163485404</v>
      </c>
    </row>
    <row r="19" spans="1:8" ht="13.25" customHeight="1" x14ac:dyDescent="0.25">
      <c r="B19" s="5" t="s">
        <v>209</v>
      </c>
      <c r="C19" s="5" t="s">
        <v>334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ht="13.25" customHeight="1" x14ac:dyDescent="0.25">
      <c r="C20" s="5" t="s">
        <v>336</v>
      </c>
      <c r="D20" s="90">
        <v>0</v>
      </c>
      <c r="E20" s="90">
        <v>0</v>
      </c>
      <c r="F20" s="90">
        <f>MIN(MAX(1-0.89/(1-frac_mam_6_11months+(frac_mam_6_11months*0.89)),0),1)</f>
        <v>0.10767538819963129</v>
      </c>
      <c r="G20" s="90">
        <f>MIN(MAX(1-0.89/(1-frac_mam_12_23months+(frac_mam_12_23months*0.89)),0),1)</f>
        <v>0.10890140196462339</v>
      </c>
      <c r="H20" s="90">
        <f>MIN(MAX(1-0.89/(1-frac_mam_24_59months+(frac_mam_24_59months*0.89)),0),1)</f>
        <v>0.1087061845280537</v>
      </c>
    </row>
    <row r="21" spans="1:8" ht="13.25" customHeight="1" x14ac:dyDescent="0.25">
      <c r="A21" s="5" t="s">
        <v>175</v>
      </c>
      <c r="B21" s="5" t="s">
        <v>84</v>
      </c>
      <c r="C21" s="5" t="s">
        <v>334</v>
      </c>
      <c r="D21" s="90">
        <v>1</v>
      </c>
      <c r="E21" s="90">
        <v>0</v>
      </c>
      <c r="F21" s="90">
        <v>0</v>
      </c>
      <c r="G21" s="90">
        <v>0</v>
      </c>
      <c r="H21" s="90">
        <v>0</v>
      </c>
    </row>
    <row r="22" spans="1:8" ht="13.25" customHeight="1" x14ac:dyDescent="0.25">
      <c r="C22" s="5" t="s">
        <v>335</v>
      </c>
      <c r="D22" s="90">
        <v>0.13</v>
      </c>
      <c r="E22" s="90">
        <v>0</v>
      </c>
      <c r="F22" s="90">
        <v>0</v>
      </c>
      <c r="G22" s="90">
        <v>0</v>
      </c>
      <c r="H22" s="90">
        <v>0</v>
      </c>
    </row>
    <row r="23" spans="1:8" ht="13.25" customHeight="1" x14ac:dyDescent="0.25">
      <c r="A23" s="5" t="s">
        <v>173</v>
      </c>
      <c r="B23" s="5" t="s">
        <v>84</v>
      </c>
      <c r="C23" s="5" t="s">
        <v>334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ht="13.25" customHeight="1" x14ac:dyDescent="0.25">
      <c r="C24" s="5" t="s">
        <v>335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ht="13.25" customHeight="1" x14ac:dyDescent="0.25">
      <c r="A25" s="5" t="s">
        <v>174</v>
      </c>
      <c r="B25" s="5" t="s">
        <v>84</v>
      </c>
      <c r="C25" s="5" t="s">
        <v>334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ht="13.25" customHeight="1" x14ac:dyDescent="0.25">
      <c r="C26" s="5" t="s">
        <v>335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ht="13.25" customHeight="1" x14ac:dyDescent="0.25">
      <c r="A27" s="5" t="s">
        <v>197</v>
      </c>
      <c r="B27" s="5" t="s">
        <v>87</v>
      </c>
      <c r="C27" s="5" t="s">
        <v>334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</row>
    <row r="28" spans="1:8" ht="13.25" customHeight="1" x14ac:dyDescent="0.25">
      <c r="C28" s="5" t="s">
        <v>335</v>
      </c>
      <c r="D28" s="90">
        <v>0.3</v>
      </c>
      <c r="E28" s="90">
        <v>0.3</v>
      </c>
      <c r="F28" s="90">
        <v>0.3</v>
      </c>
      <c r="G28" s="90">
        <v>0.3</v>
      </c>
      <c r="H28" s="90">
        <v>0.3</v>
      </c>
    </row>
    <row r="29" spans="1:8" ht="13.25" customHeight="1" x14ac:dyDescent="0.25">
      <c r="C29" s="5" t="s">
        <v>336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</row>
    <row r="30" spans="1:8" ht="13.25" customHeight="1" x14ac:dyDescent="0.25">
      <c r="A30" s="5" t="s">
        <v>198</v>
      </c>
      <c r="B30" s="5" t="s">
        <v>87</v>
      </c>
      <c r="C30" s="5" t="s">
        <v>334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</row>
    <row r="31" spans="1:8" ht="13.25" customHeight="1" x14ac:dyDescent="0.25">
      <c r="C31" s="5" t="s">
        <v>335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ht="13.25" customHeight="1" x14ac:dyDescent="0.25">
      <c r="C32" s="5" t="s">
        <v>336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</row>
    <row r="33" spans="1:8" ht="13.25" customHeight="1" x14ac:dyDescent="0.25">
      <c r="A33" s="5" t="s">
        <v>196</v>
      </c>
      <c r="B33" s="5" t="s">
        <v>87</v>
      </c>
      <c r="C33" s="5" t="s">
        <v>334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</row>
    <row r="34" spans="1:8" ht="13.25" customHeight="1" x14ac:dyDescent="0.25">
      <c r="C34" s="5" t="s">
        <v>335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ht="13.25" customHeight="1" x14ac:dyDescent="0.25">
      <c r="C35" s="5" t="s">
        <v>336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</row>
    <row r="36" spans="1:8" ht="13.25" customHeight="1" x14ac:dyDescent="0.25">
      <c r="A36" s="5" t="s">
        <v>195</v>
      </c>
      <c r="B36" s="5" t="s">
        <v>87</v>
      </c>
      <c r="C36" s="5" t="s">
        <v>334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</row>
    <row r="37" spans="1:8" ht="13.25" customHeight="1" x14ac:dyDescent="0.25">
      <c r="C37" s="5" t="s">
        <v>335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ht="13.25" customHeight="1" x14ac:dyDescent="0.25">
      <c r="C38" s="5" t="s">
        <v>336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</row>
    <row r="39" spans="1:8" ht="13.25" customHeight="1" x14ac:dyDescent="0.25">
      <c r="A39" s="5" t="s">
        <v>194</v>
      </c>
      <c r="B39" s="5" t="s">
        <v>87</v>
      </c>
      <c r="C39" s="5" t="s">
        <v>334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</row>
    <row r="40" spans="1:8" ht="13.25" customHeight="1" x14ac:dyDescent="0.25">
      <c r="C40" s="5" t="s">
        <v>335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ht="13.25" customHeight="1" x14ac:dyDescent="0.25">
      <c r="C41" s="5" t="s">
        <v>336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</row>
    <row r="42" spans="1:8" ht="13.25" customHeight="1" x14ac:dyDescent="0.25">
      <c r="A42" s="5" t="s">
        <v>200</v>
      </c>
      <c r="B42" s="5" t="s">
        <v>87</v>
      </c>
      <c r="C42" s="5" t="s">
        <v>334</v>
      </c>
      <c r="D42" s="90">
        <v>0</v>
      </c>
      <c r="E42" s="90">
        <v>1</v>
      </c>
      <c r="F42" s="90">
        <v>1</v>
      </c>
      <c r="G42" s="90">
        <v>1</v>
      </c>
      <c r="H42" s="90">
        <v>1</v>
      </c>
    </row>
    <row r="43" spans="1:8" ht="13.25" customHeight="1" x14ac:dyDescent="0.25">
      <c r="C43" s="5" t="s">
        <v>335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ht="13.25" customHeight="1" x14ac:dyDescent="0.25">
      <c r="C44" s="5" t="s">
        <v>336</v>
      </c>
      <c r="D44" s="90">
        <v>0.09</v>
      </c>
      <c r="E44" s="90">
        <v>0.09</v>
      </c>
      <c r="F44" s="90">
        <v>0.09</v>
      </c>
      <c r="G44" s="90">
        <v>0.09</v>
      </c>
      <c r="H44" s="90">
        <v>0.09</v>
      </c>
    </row>
    <row r="45" spans="1:8" ht="13.25" customHeight="1" x14ac:dyDescent="0.25">
      <c r="B45" s="5" t="s">
        <v>88</v>
      </c>
      <c r="C45" s="5" t="s">
        <v>334</v>
      </c>
      <c r="D45" s="90">
        <v>0</v>
      </c>
      <c r="E45" s="90">
        <v>1</v>
      </c>
      <c r="F45" s="90">
        <v>1</v>
      </c>
      <c r="G45" s="90">
        <v>1</v>
      </c>
      <c r="H45" s="90">
        <v>1</v>
      </c>
    </row>
    <row r="46" spans="1:8" ht="13.25" customHeight="1" x14ac:dyDescent="0.25">
      <c r="C46" s="5" t="s">
        <v>335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</row>
    <row r="47" spans="1:8" ht="13.25" customHeight="1" x14ac:dyDescent="0.25">
      <c r="C47" s="5" t="s">
        <v>336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</row>
    <row r="48" spans="1:8" x14ac:dyDescent="0.25">
      <c r="A48" s="5" t="s">
        <v>191</v>
      </c>
      <c r="B48" s="5" t="s">
        <v>87</v>
      </c>
      <c r="C48" s="5" t="s">
        <v>334</v>
      </c>
      <c r="D48" s="90">
        <v>1</v>
      </c>
      <c r="E48" s="90">
        <v>1</v>
      </c>
      <c r="F48" s="90">
        <v>1</v>
      </c>
      <c r="G48" s="90">
        <v>1</v>
      </c>
      <c r="H48" s="90">
        <v>1</v>
      </c>
    </row>
    <row r="49" spans="1:8" x14ac:dyDescent="0.25">
      <c r="C49" s="5" t="s">
        <v>335</v>
      </c>
      <c r="D49" s="90">
        <v>0.69</v>
      </c>
      <c r="E49" s="90">
        <v>0.69</v>
      </c>
      <c r="F49" s="90">
        <v>0.69</v>
      </c>
      <c r="G49" s="90">
        <v>0.69</v>
      </c>
      <c r="H49" s="90">
        <v>0.69</v>
      </c>
    </row>
    <row r="50" spans="1:8" x14ac:dyDescent="0.25">
      <c r="A50" s="5" t="s">
        <v>199</v>
      </c>
      <c r="B50" s="5" t="s">
        <v>87</v>
      </c>
      <c r="C50" s="5" t="s">
        <v>334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5" t="s">
        <v>335</v>
      </c>
      <c r="D51" s="90">
        <v>0.76</v>
      </c>
      <c r="E51" s="90">
        <v>0.76</v>
      </c>
      <c r="F51" s="90">
        <v>0.76</v>
      </c>
      <c r="G51" s="90">
        <v>0.76</v>
      </c>
      <c r="H51" s="90">
        <v>0.76</v>
      </c>
    </row>
    <row r="52" spans="1:8" x14ac:dyDescent="0.25">
      <c r="A52" s="5" t="s">
        <v>184</v>
      </c>
      <c r="B52" s="5" t="s">
        <v>82</v>
      </c>
      <c r="C52" s="5" t="s">
        <v>334</v>
      </c>
      <c r="D52" s="90">
        <v>1</v>
      </c>
      <c r="E52" s="90">
        <v>0</v>
      </c>
      <c r="F52" s="90">
        <v>0</v>
      </c>
      <c r="G52" s="90">
        <v>0</v>
      </c>
      <c r="H52" s="90">
        <v>0</v>
      </c>
    </row>
    <row r="53" spans="1:8" x14ac:dyDescent="0.25">
      <c r="C53" s="5" t="s">
        <v>335</v>
      </c>
      <c r="D53" s="90">
        <v>0.32</v>
      </c>
      <c r="E53" s="90">
        <v>0</v>
      </c>
      <c r="F53" s="90">
        <v>0</v>
      </c>
      <c r="G53" s="90">
        <v>0</v>
      </c>
      <c r="H53" s="90">
        <v>0</v>
      </c>
    </row>
    <row r="55" spans="1:8" s="93" customFormat="1" ht="13" customHeight="1" x14ac:dyDescent="0.3">
      <c r="A55" s="96" t="s">
        <v>331</v>
      </c>
      <c r="B55" s="97"/>
      <c r="C55" s="97"/>
    </row>
    <row r="56" spans="1:8" ht="13" customHeight="1" x14ac:dyDescent="0.3">
      <c r="A56" s="4" t="s">
        <v>160</v>
      </c>
      <c r="B56" s="4" t="s">
        <v>333</v>
      </c>
      <c r="C56" s="82" t="s">
        <v>12</v>
      </c>
      <c r="D56" s="4" t="s">
        <v>109</v>
      </c>
      <c r="E56" s="4" t="s">
        <v>96</v>
      </c>
      <c r="F56" s="4" t="s">
        <v>97</v>
      </c>
      <c r="G56" s="4" t="s">
        <v>98</v>
      </c>
      <c r="H56" s="4" t="s">
        <v>99</v>
      </c>
    </row>
    <row r="57" spans="1:8" x14ac:dyDescent="0.25">
      <c r="A57" s="5" t="s">
        <v>193</v>
      </c>
      <c r="B57" s="5" t="s">
        <v>87</v>
      </c>
      <c r="C57" s="5" t="s">
        <v>334</v>
      </c>
      <c r="D57" s="90">
        <f>IF($C2="Affected fraction",D2,IF(D2=1,1,D2*0.9))</f>
        <v>0</v>
      </c>
      <c r="E57" s="90">
        <f>IF($C2="Affected fraction",E2,IF(E2=1,1,E2*0.9))</f>
        <v>0</v>
      </c>
      <c r="F57" s="90">
        <f>IF($C2="Affected fraction",F2,IF(F2=1,1,F2*0.9))</f>
        <v>1</v>
      </c>
      <c r="G57" s="90">
        <f>IF($C2="Affected fraction",G2,IF(G2=1,1,G2*0.9))</f>
        <v>1</v>
      </c>
      <c r="H57" s="90">
        <f>IF($C2="Affected fraction",H2,IF(H2=1,1,H2*0.9))</f>
        <v>1</v>
      </c>
    </row>
    <row r="58" spans="1:8" x14ac:dyDescent="0.25">
      <c r="C58" s="5" t="s">
        <v>335</v>
      </c>
      <c r="D58" s="90">
        <f>IF($C3="Affected fraction",D3,IF(D3=1,1,D3*0.9))</f>
        <v>0</v>
      </c>
      <c r="E58" s="90">
        <f>IF($C3="Affected fraction",E3,IF(E3=1,1,E3*0.9))</f>
        <v>0</v>
      </c>
      <c r="F58" s="90">
        <v>0.02</v>
      </c>
      <c r="G58" s="90">
        <v>0.02</v>
      </c>
      <c r="H58" s="90">
        <v>0.02</v>
      </c>
    </row>
    <row r="59" spans="1:8" x14ac:dyDescent="0.25">
      <c r="C59" s="5" t="s">
        <v>336</v>
      </c>
      <c r="D59" s="90">
        <f>IF($C4="Affected fraction",D4,IF(D4=1,1,D4*0.9))</f>
        <v>0</v>
      </c>
      <c r="E59" s="90">
        <f>IF($C4="Affected fraction",E4,IF(E4=1,1,E4*0.9))</f>
        <v>0</v>
      </c>
      <c r="F59" s="90">
        <v>0.13</v>
      </c>
      <c r="G59" s="90">
        <v>0.13</v>
      </c>
      <c r="H59" s="90">
        <v>0.13</v>
      </c>
    </row>
    <row r="60" spans="1:8" x14ac:dyDescent="0.25">
      <c r="A60" s="5" t="s">
        <v>192</v>
      </c>
      <c r="B60" s="5" t="s">
        <v>208</v>
      </c>
      <c r="C60" s="5" t="s">
        <v>334</v>
      </c>
      <c r="D60" s="90">
        <v>0</v>
      </c>
      <c r="E60" s="90">
        <v>0</v>
      </c>
      <c r="F60" s="90">
        <v>1</v>
      </c>
      <c r="G60" s="90">
        <v>1</v>
      </c>
      <c r="H60" s="90">
        <v>0</v>
      </c>
    </row>
    <row r="61" spans="1:8" x14ac:dyDescent="0.25">
      <c r="C61" s="5" t="s">
        <v>336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</row>
    <row r="62" spans="1:8" x14ac:dyDescent="0.25">
      <c r="B62" s="5" t="s">
        <v>209</v>
      </c>
      <c r="C62" s="5" t="s">
        <v>334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5" t="s">
        <v>336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A64" s="5" t="s">
        <v>185</v>
      </c>
      <c r="B64" s="5" t="s">
        <v>208</v>
      </c>
      <c r="C64" s="5" t="s">
        <v>334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5" t="s">
        <v>336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B66" s="5" t="s">
        <v>209</v>
      </c>
      <c r="C66" s="5" t="s">
        <v>334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5" t="s">
        <v>336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A68" s="5" t="s">
        <v>205</v>
      </c>
      <c r="B68" s="5" t="s">
        <v>208</v>
      </c>
      <c r="C68" s="5" t="s">
        <v>334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5" t="s">
        <v>336</v>
      </c>
      <c r="D69" s="90">
        <f t="shared" ref="D69:E76" si="0">IF($C14="Affected fraction",D14,IF(D14=1,1,D14*0.9))</f>
        <v>0</v>
      </c>
      <c r="E69" s="90">
        <f t="shared" si="0"/>
        <v>0</v>
      </c>
      <c r="F69" s="90">
        <v>0.14000000000000001</v>
      </c>
      <c r="G69" s="90">
        <v>0.14000000000000001</v>
      </c>
      <c r="H69" s="90">
        <f>IF($C14="Affected fraction",H14,IF(H14=1,1,H14*0.9))</f>
        <v>0</v>
      </c>
    </row>
    <row r="70" spans="1:8" x14ac:dyDescent="0.25">
      <c r="B70" s="5" t="s">
        <v>209</v>
      </c>
      <c r="C70" s="5" t="s">
        <v>334</v>
      </c>
      <c r="D70" s="90">
        <f t="shared" si="0"/>
        <v>0</v>
      </c>
      <c r="E70" s="90">
        <f t="shared" si="0"/>
        <v>0</v>
      </c>
      <c r="F70" s="90">
        <f>IF($C15="Affected fraction",F15,IF(F15=1,1,F15*0.9))</f>
        <v>1</v>
      </c>
      <c r="G70" s="90">
        <f>IF($C15="Affected fraction",G15,IF(G15=1,1,G15*0.9))</f>
        <v>1</v>
      </c>
      <c r="H70" s="90">
        <f>IF($C15="Affected fraction",H15,IF(H15=1,1,H15*0.9))</f>
        <v>0</v>
      </c>
    </row>
    <row r="71" spans="1:8" x14ac:dyDescent="0.25">
      <c r="C71" s="5" t="s">
        <v>336</v>
      </c>
      <c r="D71" s="90">
        <f t="shared" si="0"/>
        <v>0</v>
      </c>
      <c r="E71" s="90">
        <f t="shared" si="0"/>
        <v>0</v>
      </c>
      <c r="F71" s="90">
        <v>7.0000000000000007E-2</v>
      </c>
      <c r="G71" s="90">
        <v>7.0000000000000007E-2</v>
      </c>
      <c r="H71" s="90">
        <f>IF($C16="Affected fraction",H16,IF(H16=1,1,H16*0.9))</f>
        <v>0</v>
      </c>
    </row>
    <row r="72" spans="1:8" x14ac:dyDescent="0.25">
      <c r="A72" s="5" t="s">
        <v>170</v>
      </c>
      <c r="B72" s="5" t="s">
        <v>208</v>
      </c>
      <c r="C72" s="5" t="s">
        <v>334</v>
      </c>
      <c r="D72" s="90">
        <f t="shared" si="0"/>
        <v>0</v>
      </c>
      <c r="E72" s="90">
        <f t="shared" si="0"/>
        <v>0</v>
      </c>
      <c r="F72" s="90">
        <f>IF($C17="Affected fraction",F17,IF(F17=1,1,F17*0.9))</f>
        <v>1</v>
      </c>
      <c r="G72" s="90">
        <f>IF($C17="Affected fraction",G17,IF(G17=1,1,G17*0.9))</f>
        <v>1</v>
      </c>
      <c r="H72" s="90">
        <f>IF($C17="Affected fraction",H17,IF(H17=1,1,H17*0.9))</f>
        <v>1</v>
      </c>
    </row>
    <row r="73" spans="1:8" x14ac:dyDescent="0.25">
      <c r="C73" s="5" t="s">
        <v>336</v>
      </c>
      <c r="D73" s="90">
        <f t="shared" si="0"/>
        <v>0</v>
      </c>
      <c r="E73" s="90">
        <f t="shared" si="0"/>
        <v>0</v>
      </c>
      <c r="F73" s="90">
        <f>MIN(MAX(1-0.99/(1-frac_sam_6_11months+(frac_sam_6_11months*0.99)),0),1)</f>
        <v>9.8704118395016582E-3</v>
      </c>
      <c r="G73" s="90">
        <f>MIN(MAX(1-0.99/(1-frac_sam_12_23months+(frac_sam_12_23months*0.99)),0),1)</f>
        <v>9.9617924454941109E-3</v>
      </c>
      <c r="H73" s="90">
        <f>MIN(MAX(1-0.99/(1-frac_sam_24_59months+(frac_sam_24_59months*0.99)),0),1)</f>
        <v>9.9575628209728206E-3</v>
      </c>
    </row>
    <row r="74" spans="1:8" x14ac:dyDescent="0.25">
      <c r="B74" s="5" t="s">
        <v>209</v>
      </c>
      <c r="C74" s="5" t="s">
        <v>334</v>
      </c>
      <c r="D74" s="90">
        <f t="shared" si="0"/>
        <v>0</v>
      </c>
      <c r="E74" s="90">
        <f t="shared" si="0"/>
        <v>0</v>
      </c>
      <c r="F74" s="90">
        <v>1</v>
      </c>
      <c r="G74" s="90">
        <v>1</v>
      </c>
      <c r="H74" s="90">
        <v>1</v>
      </c>
    </row>
    <row r="75" spans="1:8" x14ac:dyDescent="0.25">
      <c r="C75" s="5" t="s">
        <v>336</v>
      </c>
      <c r="D75" s="90">
        <f t="shared" si="0"/>
        <v>0</v>
      </c>
      <c r="E75" s="90">
        <f t="shared" si="0"/>
        <v>0</v>
      </c>
      <c r="F75" s="90">
        <f>MIN(MAX(1-0.99/(1-frac_mam_6_11months+(frac_mam_6_11months*0.99)),0),1)</f>
        <v>9.7654837497509472E-3</v>
      </c>
      <c r="G75" s="90">
        <f>MIN(MAX(1-0.99/(1-frac_mam_12_23months+(frac_mam_12_23months*0.99)),0),1)</f>
        <v>9.8890303427427995E-3</v>
      </c>
      <c r="H75" s="90">
        <f>MIN(MAX(1-0.99/(1-frac_mam_24_59months+(frac_mam_24_59months*0.99)),0),1)</f>
        <v>9.8693374071109341E-3</v>
      </c>
    </row>
    <row r="76" spans="1:8" x14ac:dyDescent="0.25">
      <c r="A76" s="5" t="s">
        <v>175</v>
      </c>
      <c r="B76" s="5" t="s">
        <v>84</v>
      </c>
      <c r="C76" s="5" t="s">
        <v>334</v>
      </c>
      <c r="D76" s="90">
        <f t="shared" si="0"/>
        <v>1</v>
      </c>
      <c r="E76" s="90">
        <f t="shared" si="0"/>
        <v>0</v>
      </c>
      <c r="F76" s="90">
        <f t="shared" ref="F76:H81" si="1">IF($C21="Affected fraction",F21,IF(F21=1,1,F21*0.9))</f>
        <v>0</v>
      </c>
      <c r="G76" s="90">
        <f t="shared" si="1"/>
        <v>0</v>
      </c>
      <c r="H76" s="90">
        <f t="shared" si="1"/>
        <v>0</v>
      </c>
    </row>
    <row r="77" spans="1:8" x14ac:dyDescent="0.25">
      <c r="C77" s="5" t="s">
        <v>335</v>
      </c>
      <c r="D77" s="90">
        <v>0.11</v>
      </c>
      <c r="E77" s="90">
        <f>IF($C22="Affected fraction",E22,IF(E22=1,1,E22*0.9))</f>
        <v>0</v>
      </c>
      <c r="F77" s="90">
        <f t="shared" si="1"/>
        <v>0</v>
      </c>
      <c r="G77" s="90">
        <f t="shared" si="1"/>
        <v>0</v>
      </c>
      <c r="H77" s="90">
        <f t="shared" si="1"/>
        <v>0</v>
      </c>
    </row>
    <row r="78" spans="1:8" x14ac:dyDescent="0.25">
      <c r="A78" s="5" t="s">
        <v>173</v>
      </c>
      <c r="B78" s="5" t="s">
        <v>84</v>
      </c>
      <c r="C78" s="5" t="s">
        <v>334</v>
      </c>
      <c r="D78" s="90">
        <f>IF($C23="Affected fraction",D23,IF(D23=1,1,D23*0.9))</f>
        <v>1</v>
      </c>
      <c r="E78" s="90">
        <f>IF($C23="Affected fraction",E23,IF(E23=1,1,E23*0.9))</f>
        <v>0</v>
      </c>
      <c r="F78" s="90">
        <f t="shared" si="1"/>
        <v>0</v>
      </c>
      <c r="G78" s="90">
        <f t="shared" si="1"/>
        <v>0</v>
      </c>
      <c r="H78" s="90">
        <f t="shared" si="1"/>
        <v>0</v>
      </c>
    </row>
    <row r="79" spans="1:8" x14ac:dyDescent="0.25">
      <c r="C79" s="5" t="s">
        <v>335</v>
      </c>
      <c r="D79" s="90">
        <v>0.11</v>
      </c>
      <c r="E79" s="90">
        <f>IF($C24="Affected fraction",E24,IF(E24=1,1,E24*0.9))</f>
        <v>0</v>
      </c>
      <c r="F79" s="90">
        <f t="shared" si="1"/>
        <v>0</v>
      </c>
      <c r="G79" s="90">
        <f t="shared" si="1"/>
        <v>0</v>
      </c>
      <c r="H79" s="90">
        <f t="shared" si="1"/>
        <v>0</v>
      </c>
    </row>
    <row r="80" spans="1:8" x14ac:dyDescent="0.25">
      <c r="A80" s="5" t="s">
        <v>174</v>
      </c>
      <c r="B80" s="5" t="s">
        <v>84</v>
      </c>
      <c r="C80" s="5" t="s">
        <v>334</v>
      </c>
      <c r="D80" s="90">
        <f>IF($C25="Affected fraction",D25,IF(D25=1,1,D25*0.9))</f>
        <v>1</v>
      </c>
      <c r="E80" s="90">
        <f>IF($C25="Affected fraction",E25,IF(E25=1,1,E25*0.9))</f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5" t="s">
        <v>335</v>
      </c>
      <c r="D81" s="90">
        <v>0.11</v>
      </c>
      <c r="E81" s="90">
        <f>IF($C26="Affected fraction",E26,IF(E26=1,1,E26*0.9))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5" t="s">
        <v>197</v>
      </c>
      <c r="B82" s="5" t="s">
        <v>87</v>
      </c>
      <c r="C82" s="5" t="s">
        <v>334</v>
      </c>
      <c r="D82" s="90">
        <v>1</v>
      </c>
      <c r="E82" s="90">
        <v>1</v>
      </c>
      <c r="F82" s="90">
        <v>1</v>
      </c>
      <c r="G82" s="90">
        <v>1</v>
      </c>
      <c r="H82" s="90">
        <v>1</v>
      </c>
    </row>
    <row r="83" spans="1:8" x14ac:dyDescent="0.25">
      <c r="C83" s="5" t="s">
        <v>335</v>
      </c>
      <c r="D83" s="90">
        <v>7.0000000000000007E-2</v>
      </c>
      <c r="E83" s="90">
        <v>7.0000000000000007E-2</v>
      </c>
      <c r="F83" s="90">
        <v>7.0000000000000007E-2</v>
      </c>
      <c r="G83" s="90">
        <v>7.0000000000000007E-2</v>
      </c>
      <c r="H83" s="90">
        <v>7.0000000000000007E-2</v>
      </c>
    </row>
    <row r="84" spans="1:8" x14ac:dyDescent="0.25">
      <c r="C84" s="5" t="s">
        <v>336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</row>
    <row r="85" spans="1:8" x14ac:dyDescent="0.25">
      <c r="A85" s="5" t="s">
        <v>198</v>
      </c>
      <c r="B85" s="5" t="s">
        <v>87</v>
      </c>
      <c r="C85" s="5" t="s">
        <v>334</v>
      </c>
      <c r="D85" s="90">
        <v>1</v>
      </c>
      <c r="E85" s="90">
        <v>1</v>
      </c>
      <c r="F85" s="90">
        <v>1</v>
      </c>
      <c r="G85" s="90">
        <v>1</v>
      </c>
      <c r="H85" s="90">
        <v>1</v>
      </c>
    </row>
    <row r="86" spans="1:8" x14ac:dyDescent="0.25">
      <c r="C86" s="5" t="s">
        <v>335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</row>
    <row r="87" spans="1:8" x14ac:dyDescent="0.25">
      <c r="C87" s="5" t="s">
        <v>336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</row>
    <row r="88" spans="1:8" x14ac:dyDescent="0.25">
      <c r="A88" s="5" t="s">
        <v>196</v>
      </c>
      <c r="B88" s="5" t="s">
        <v>87</v>
      </c>
      <c r="C88" s="5" t="s">
        <v>334</v>
      </c>
      <c r="D88" s="90">
        <v>1</v>
      </c>
      <c r="E88" s="90">
        <v>1</v>
      </c>
      <c r="F88" s="90">
        <v>1</v>
      </c>
      <c r="G88" s="90">
        <v>1</v>
      </c>
      <c r="H88" s="90">
        <v>1</v>
      </c>
    </row>
    <row r="89" spans="1:8" x14ac:dyDescent="0.25">
      <c r="C89" s="5" t="s">
        <v>335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</row>
    <row r="90" spans="1:8" x14ac:dyDescent="0.25">
      <c r="C90" s="5" t="s">
        <v>336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A91" s="5" t="s">
        <v>195</v>
      </c>
      <c r="B91" s="5" t="s">
        <v>87</v>
      </c>
      <c r="C91" s="5" t="s">
        <v>334</v>
      </c>
      <c r="D91" s="90">
        <v>1</v>
      </c>
      <c r="E91" s="90">
        <v>1</v>
      </c>
      <c r="F91" s="90">
        <v>1</v>
      </c>
      <c r="G91" s="90">
        <v>1</v>
      </c>
      <c r="H91" s="90">
        <v>1</v>
      </c>
    </row>
    <row r="92" spans="1:8" x14ac:dyDescent="0.25">
      <c r="C92" s="5" t="s">
        <v>335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</row>
    <row r="93" spans="1:8" x14ac:dyDescent="0.25">
      <c r="C93" s="5" t="s">
        <v>336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A94" s="5" t="s">
        <v>194</v>
      </c>
      <c r="B94" s="5" t="s">
        <v>87</v>
      </c>
      <c r="C94" s="5" t="s">
        <v>334</v>
      </c>
      <c r="D94" s="90">
        <v>1</v>
      </c>
      <c r="E94" s="90">
        <v>1</v>
      </c>
      <c r="F94" s="90">
        <v>1</v>
      </c>
      <c r="G94" s="90">
        <v>1</v>
      </c>
      <c r="H94" s="90">
        <v>1</v>
      </c>
    </row>
    <row r="95" spans="1:8" x14ac:dyDescent="0.25">
      <c r="C95" s="5" t="s">
        <v>335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</row>
    <row r="96" spans="1:8" x14ac:dyDescent="0.25">
      <c r="C96" s="5" t="s">
        <v>336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A97" s="5" t="s">
        <v>200</v>
      </c>
      <c r="B97" s="5" t="s">
        <v>87</v>
      </c>
      <c r="C97" s="5" t="s">
        <v>334</v>
      </c>
      <c r="D97" s="90">
        <f>IF($C42="Affected fraction",D42,IF(D42=1,1,D42*0.9))</f>
        <v>0</v>
      </c>
      <c r="E97" s="90">
        <f>IF($C42="Affected fraction",E42,IF(E42=1,1,E42*0.9))</f>
        <v>1</v>
      </c>
      <c r="F97" s="90">
        <f>IF($C42="Affected fraction",F42,IF(F42=1,1,F42*0.9))</f>
        <v>1</v>
      </c>
      <c r="G97" s="90">
        <f>IF($C42="Affected fraction",G42,IF(G42=1,1,G42*0.9))</f>
        <v>1</v>
      </c>
      <c r="H97" s="90">
        <f>IF($C42="Affected fraction",H42,IF(H42=1,1,H42*0.9))</f>
        <v>1</v>
      </c>
    </row>
    <row r="98" spans="1:8" x14ac:dyDescent="0.25">
      <c r="C98" s="5" t="s">
        <v>335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</row>
    <row r="99" spans="1:8" x14ac:dyDescent="0.25">
      <c r="C99" s="5" t="s">
        <v>336</v>
      </c>
      <c r="D99" s="90">
        <v>7.0000000000000007E-2</v>
      </c>
      <c r="E99" s="90">
        <v>7.0000000000000007E-2</v>
      </c>
      <c r="F99" s="90">
        <v>7.0000000000000007E-2</v>
      </c>
      <c r="G99" s="90">
        <v>7.0000000000000007E-2</v>
      </c>
      <c r="H99" s="90">
        <v>7.0000000000000007E-2</v>
      </c>
    </row>
    <row r="100" spans="1:8" x14ac:dyDescent="0.25">
      <c r="B100" s="5" t="s">
        <v>88</v>
      </c>
      <c r="C100" s="5" t="s">
        <v>334</v>
      </c>
      <c r="D100" s="90">
        <v>0</v>
      </c>
      <c r="E100" s="90">
        <v>1</v>
      </c>
      <c r="F100" s="90">
        <v>1</v>
      </c>
      <c r="G100" s="90">
        <v>1</v>
      </c>
      <c r="H100" s="90">
        <v>1</v>
      </c>
    </row>
    <row r="101" spans="1:8" x14ac:dyDescent="0.25">
      <c r="C101" s="5" t="s">
        <v>335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</row>
    <row r="102" spans="1:8" x14ac:dyDescent="0.25">
      <c r="C102" s="5" t="s">
        <v>336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A103" s="5" t="s">
        <v>191</v>
      </c>
      <c r="B103" s="5" t="s">
        <v>87</v>
      </c>
      <c r="C103" s="5" t="s">
        <v>334</v>
      </c>
      <c r="D103" s="90">
        <v>1</v>
      </c>
      <c r="E103" s="90">
        <v>1</v>
      </c>
      <c r="F103" s="90">
        <v>1</v>
      </c>
      <c r="G103" s="90">
        <v>1</v>
      </c>
      <c r="H103" s="90">
        <v>1</v>
      </c>
    </row>
    <row r="104" spans="1:8" x14ac:dyDescent="0.25">
      <c r="C104" s="5" t="s">
        <v>335</v>
      </c>
      <c r="D104" s="90">
        <v>0.51</v>
      </c>
      <c r="E104" s="90">
        <v>0.51</v>
      </c>
      <c r="F104" s="90">
        <v>0.51</v>
      </c>
      <c r="G104" s="90">
        <v>0.51</v>
      </c>
      <c r="H104" s="90">
        <v>0.51</v>
      </c>
    </row>
    <row r="105" spans="1:8" x14ac:dyDescent="0.25">
      <c r="A105" s="5" t="s">
        <v>199</v>
      </c>
      <c r="B105" s="5" t="s">
        <v>87</v>
      </c>
      <c r="C105" s="5" t="s">
        <v>334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</row>
    <row r="106" spans="1:8" x14ac:dyDescent="0.25">
      <c r="C106" s="5" t="s">
        <v>335</v>
      </c>
      <c r="D106" s="90">
        <v>0.62</v>
      </c>
      <c r="E106" s="90">
        <v>0.62</v>
      </c>
      <c r="F106" s="90">
        <v>0.62</v>
      </c>
      <c r="G106" s="90">
        <v>0.62</v>
      </c>
      <c r="H106" s="90">
        <v>0.62</v>
      </c>
    </row>
    <row r="107" spans="1:8" x14ac:dyDescent="0.25">
      <c r="A107" s="5" t="s">
        <v>184</v>
      </c>
      <c r="B107" s="5" t="s">
        <v>82</v>
      </c>
      <c r="C107" s="5" t="s">
        <v>334</v>
      </c>
      <c r="D107" s="90">
        <v>1</v>
      </c>
      <c r="E107" s="90">
        <v>0</v>
      </c>
      <c r="F107" s="90">
        <v>0</v>
      </c>
      <c r="G107" s="90">
        <v>0</v>
      </c>
      <c r="H107" s="90">
        <v>0</v>
      </c>
    </row>
    <row r="108" spans="1:8" x14ac:dyDescent="0.25">
      <c r="C108" s="5" t="s">
        <v>335</v>
      </c>
      <c r="D108" s="90">
        <v>0.14000000000000001</v>
      </c>
      <c r="E108" s="90">
        <v>0</v>
      </c>
      <c r="F108" s="90">
        <v>0</v>
      </c>
      <c r="G108" s="90">
        <v>0</v>
      </c>
      <c r="H108" s="90">
        <v>0</v>
      </c>
    </row>
    <row r="110" spans="1:8" s="93" customFormat="1" ht="13" customHeight="1" x14ac:dyDescent="0.3">
      <c r="A110" s="96" t="s">
        <v>332</v>
      </c>
      <c r="B110" s="97"/>
      <c r="C110" s="97"/>
    </row>
    <row r="111" spans="1:8" ht="13" customHeight="1" x14ac:dyDescent="0.3">
      <c r="A111" s="4" t="s">
        <v>160</v>
      </c>
      <c r="B111" s="4" t="s">
        <v>333</v>
      </c>
      <c r="C111" s="82" t="s">
        <v>12</v>
      </c>
      <c r="D111" s="4" t="s">
        <v>109</v>
      </c>
      <c r="E111" s="4" t="s">
        <v>96</v>
      </c>
      <c r="F111" s="4" t="s">
        <v>97</v>
      </c>
      <c r="G111" s="4" t="s">
        <v>98</v>
      </c>
      <c r="H111" s="4" t="s">
        <v>99</v>
      </c>
    </row>
    <row r="112" spans="1:8" x14ac:dyDescent="0.25">
      <c r="A112" s="5" t="s">
        <v>193</v>
      </c>
      <c r="B112" s="5" t="s">
        <v>87</v>
      </c>
      <c r="C112" s="5" t="s">
        <v>334</v>
      </c>
      <c r="D112" s="90">
        <f t="shared" ref="D112:E114" si="2">IF($C2="Affected fraction",D2,IF(D2=1,1,D2*1.05))</f>
        <v>0</v>
      </c>
      <c r="E112" s="90">
        <f t="shared" si="2"/>
        <v>0</v>
      </c>
      <c r="F112" s="90">
        <f>IF($C57="Affected fraction",F57,IF(F57=1,1,F57*0.9))</f>
        <v>1</v>
      </c>
      <c r="G112" s="90">
        <f>IF($C57="Affected fraction",G57,IF(G57=1,1,G57*0.9))</f>
        <v>1</v>
      </c>
      <c r="H112" s="90">
        <f>IF($C57="Affected fraction",H57,IF(H57=1,1,H57*0.9))</f>
        <v>1</v>
      </c>
    </row>
    <row r="113" spans="1:8" x14ac:dyDescent="0.25">
      <c r="C113" s="5" t="s">
        <v>335</v>
      </c>
      <c r="D113" s="90">
        <f t="shared" si="2"/>
        <v>0</v>
      </c>
      <c r="E113" s="90">
        <f t="shared" si="2"/>
        <v>0</v>
      </c>
      <c r="F113" s="90">
        <v>0.21</v>
      </c>
      <c r="G113" s="90">
        <v>0.21</v>
      </c>
      <c r="H113" s="90">
        <v>0.21</v>
      </c>
    </row>
    <row r="114" spans="1:8" x14ac:dyDescent="0.25">
      <c r="C114" s="5" t="s">
        <v>336</v>
      </c>
      <c r="D114" s="90">
        <f t="shared" si="2"/>
        <v>0</v>
      </c>
      <c r="E114" s="90">
        <f t="shared" si="2"/>
        <v>0</v>
      </c>
      <c r="F114" s="90">
        <v>0.18</v>
      </c>
      <c r="G114" s="90">
        <v>0.18</v>
      </c>
      <c r="H114" s="90">
        <v>0.18</v>
      </c>
    </row>
    <row r="115" spans="1:8" x14ac:dyDescent="0.25">
      <c r="A115" s="5" t="s">
        <v>192</v>
      </c>
      <c r="B115" s="5" t="s">
        <v>208</v>
      </c>
      <c r="C115" s="5" t="s">
        <v>334</v>
      </c>
      <c r="D115" s="90">
        <v>0</v>
      </c>
      <c r="E115" s="90">
        <v>0</v>
      </c>
      <c r="F115" s="90">
        <v>1</v>
      </c>
      <c r="G115" s="90">
        <v>1</v>
      </c>
      <c r="H115" s="90">
        <v>0</v>
      </c>
    </row>
    <row r="116" spans="1:8" x14ac:dyDescent="0.25">
      <c r="C116" s="5" t="s">
        <v>336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</row>
    <row r="117" spans="1:8" x14ac:dyDescent="0.25">
      <c r="B117" s="5" t="s">
        <v>209</v>
      </c>
      <c r="C117" s="5" t="s">
        <v>334</v>
      </c>
      <c r="D117" s="90">
        <v>0</v>
      </c>
      <c r="E117" s="90">
        <v>0</v>
      </c>
      <c r="F117" s="90">
        <v>1</v>
      </c>
      <c r="G117" s="90">
        <v>1</v>
      </c>
      <c r="H117" s="90">
        <v>0</v>
      </c>
    </row>
    <row r="118" spans="1:8" x14ac:dyDescent="0.25">
      <c r="C118" s="5" t="s">
        <v>336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</row>
    <row r="119" spans="1:8" x14ac:dyDescent="0.25">
      <c r="A119" s="5" t="s">
        <v>185</v>
      </c>
      <c r="B119" s="5" t="s">
        <v>208</v>
      </c>
      <c r="C119" s="5" t="s">
        <v>334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5" t="s">
        <v>336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5" t="s">
        <v>209</v>
      </c>
      <c r="C121" s="5" t="s">
        <v>334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5" t="s">
        <v>336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5" t="s">
        <v>205</v>
      </c>
      <c r="B123" s="5" t="s">
        <v>208</v>
      </c>
      <c r="C123" s="5" t="s">
        <v>334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5" t="s">
        <v>336</v>
      </c>
      <c r="D124" s="90">
        <f t="shared" ref="D124:E130" si="3">IF($C14="Affected fraction",D14,IF(D14=1,1,D14*1.05))</f>
        <v>0</v>
      </c>
      <c r="E124" s="90">
        <f t="shared" si="3"/>
        <v>0</v>
      </c>
      <c r="F124" s="90">
        <v>0.45</v>
      </c>
      <c r="G124" s="90">
        <v>0.45</v>
      </c>
      <c r="H124" s="90">
        <f>IF($C14="Affected fraction",H14,IF(H14=1,1,H14*1.05))</f>
        <v>0</v>
      </c>
    </row>
    <row r="125" spans="1:8" x14ac:dyDescent="0.25">
      <c r="B125" s="5" t="s">
        <v>209</v>
      </c>
      <c r="C125" s="5" t="s">
        <v>334</v>
      </c>
      <c r="D125" s="90">
        <f t="shared" si="3"/>
        <v>0</v>
      </c>
      <c r="E125" s="90">
        <f t="shared" si="3"/>
        <v>0</v>
      </c>
      <c r="F125" s="90">
        <f>IF($C15="Affected fraction",F15,IF(F15=1,1,F15*1.05))</f>
        <v>1</v>
      </c>
      <c r="G125" s="90">
        <f>IF($C15="Affected fraction",G15,IF(G15=1,1,G15*1.05))</f>
        <v>1</v>
      </c>
      <c r="H125" s="90">
        <f>IF($C15="Affected fraction",H15,IF(H15=1,1,H15*1.05))</f>
        <v>0</v>
      </c>
    </row>
    <row r="126" spans="1:8" x14ac:dyDescent="0.25">
      <c r="C126" s="5" t="s">
        <v>336</v>
      </c>
      <c r="D126" s="90">
        <f t="shared" si="3"/>
        <v>0</v>
      </c>
      <c r="E126" s="90">
        <f t="shared" si="3"/>
        <v>0</v>
      </c>
      <c r="F126" s="90">
        <v>0.2</v>
      </c>
      <c r="G126" s="90">
        <v>0.2</v>
      </c>
      <c r="H126" s="90">
        <f>IF($C16="Affected fraction",H16,IF(H16=1,1,H16*1.05))</f>
        <v>0</v>
      </c>
    </row>
    <row r="127" spans="1:8" x14ac:dyDescent="0.25">
      <c r="A127" s="5" t="s">
        <v>170</v>
      </c>
      <c r="B127" s="5" t="s">
        <v>208</v>
      </c>
      <c r="C127" s="5" t="s">
        <v>334</v>
      </c>
      <c r="D127" s="90">
        <f t="shared" si="3"/>
        <v>0</v>
      </c>
      <c r="E127" s="90">
        <f t="shared" si="3"/>
        <v>0</v>
      </c>
      <c r="F127" s="90">
        <f>IF($C17="Affected fraction",F17,IF(F17=1,1,F17*1.05))</f>
        <v>1</v>
      </c>
      <c r="G127" s="90">
        <f>IF($C17="Affected fraction",G17,IF(G17=1,1,G17*1.05))</f>
        <v>1</v>
      </c>
      <c r="H127" s="90">
        <f>IF($C17="Affected fraction",H17,IF(H17=1,1,H17*1.05))</f>
        <v>1</v>
      </c>
    </row>
    <row r="128" spans="1:8" x14ac:dyDescent="0.25">
      <c r="C128" s="5" t="s">
        <v>336</v>
      </c>
      <c r="D128" s="90">
        <f t="shared" si="3"/>
        <v>0</v>
      </c>
      <c r="E128" s="90">
        <f t="shared" si="3"/>
        <v>0</v>
      </c>
      <c r="F128" s="90">
        <f>MIN(MAX(1-0.8/(1-frac_sam_6_11months+(frac_sam_6_11months*0.8)),0),1)</f>
        <v>0.19790042415025566</v>
      </c>
      <c r="G128" s="90">
        <f>MIN(MAX(1-0.8/(1-frac_sam_12_23months+(frac_sam_12_23months*0.8)),0),1)</f>
        <v>0.19938205104227646</v>
      </c>
      <c r="H128" s="90">
        <f>MIN(MAX(1-0.8/(1-frac_sam_24_59months+(frac_sam_24_59months*0.8)),0),1)</f>
        <v>0.19931358755233675</v>
      </c>
    </row>
    <row r="129" spans="1:8" x14ac:dyDescent="0.25">
      <c r="B129" s="5" t="s">
        <v>209</v>
      </c>
      <c r="C129" s="5" t="s">
        <v>334</v>
      </c>
      <c r="D129" s="90">
        <f t="shared" si="3"/>
        <v>0</v>
      </c>
      <c r="E129" s="90">
        <f t="shared" si="3"/>
        <v>0</v>
      </c>
      <c r="F129" s="90">
        <v>1</v>
      </c>
      <c r="G129" s="90">
        <v>1</v>
      </c>
      <c r="H129" s="90">
        <v>1</v>
      </c>
    </row>
    <row r="130" spans="1:8" x14ac:dyDescent="0.25">
      <c r="C130" s="5" t="s">
        <v>336</v>
      </c>
      <c r="D130" s="90">
        <f t="shared" si="3"/>
        <v>0</v>
      </c>
      <c r="E130" s="90">
        <f t="shared" si="3"/>
        <v>0</v>
      </c>
      <c r="F130" s="90">
        <f>MIN(MAX(1-0.8/(1-frac_mam_6_11months+(frac_mam_6_11months*0.8)),0),1)</f>
        <v>0.19619270243047815</v>
      </c>
      <c r="G130" s="90">
        <f>MIN(MAX(1-0.8/(1-frac_mam_12_23months+(frac_mam_12_23months*0.8)),0),1)</f>
        <v>0.19820272329643229</v>
      </c>
      <c r="H130" s="90">
        <f>MIN(MAX(1-0.8/(1-frac_mam_24_59months+(frac_mam_24_59months*0.8)),0),1)</f>
        <v>0.19788297252939679</v>
      </c>
    </row>
    <row r="131" spans="1:8" x14ac:dyDescent="0.25">
      <c r="A131" s="5" t="s">
        <v>175</v>
      </c>
      <c r="B131" s="5" t="s">
        <v>84</v>
      </c>
      <c r="C131" s="5" t="s">
        <v>334</v>
      </c>
      <c r="D131" s="90">
        <f>IF($C76="Affected fraction",D76,IF(D76=1,1,D76*0.9))</f>
        <v>1</v>
      </c>
      <c r="E131" s="90">
        <f t="shared" ref="E131:H136" si="4">IF($C21="Affected fraction",E21,IF(E21=1,1,E21*1.05))</f>
        <v>0</v>
      </c>
      <c r="F131" s="90">
        <f t="shared" si="4"/>
        <v>0</v>
      </c>
      <c r="G131" s="90">
        <f t="shared" si="4"/>
        <v>0</v>
      </c>
      <c r="H131" s="90">
        <f t="shared" si="4"/>
        <v>0</v>
      </c>
    </row>
    <row r="132" spans="1:8" x14ac:dyDescent="0.25">
      <c r="C132" s="5" t="s">
        <v>335</v>
      </c>
      <c r="D132" s="90">
        <v>0.16</v>
      </c>
      <c r="E132" s="90">
        <f t="shared" si="4"/>
        <v>0</v>
      </c>
      <c r="F132" s="90">
        <f t="shared" si="4"/>
        <v>0</v>
      </c>
      <c r="G132" s="90">
        <f t="shared" si="4"/>
        <v>0</v>
      </c>
      <c r="H132" s="90">
        <f t="shared" si="4"/>
        <v>0</v>
      </c>
    </row>
    <row r="133" spans="1:8" x14ac:dyDescent="0.25">
      <c r="A133" s="5" t="s">
        <v>173</v>
      </c>
      <c r="B133" s="5" t="s">
        <v>84</v>
      </c>
      <c r="C133" s="5" t="s">
        <v>334</v>
      </c>
      <c r="D133" s="90">
        <f>IF($C78="Affected fraction",D78,IF(D78=1,1,D78*0.9))</f>
        <v>1</v>
      </c>
      <c r="E133" s="90">
        <f t="shared" si="4"/>
        <v>0</v>
      </c>
      <c r="F133" s="90">
        <f t="shared" si="4"/>
        <v>0</v>
      </c>
      <c r="G133" s="90">
        <f t="shared" si="4"/>
        <v>0</v>
      </c>
      <c r="H133" s="90">
        <f t="shared" si="4"/>
        <v>0</v>
      </c>
    </row>
    <row r="134" spans="1:8" x14ac:dyDescent="0.25">
      <c r="C134" s="5" t="s">
        <v>335</v>
      </c>
      <c r="D134" s="90">
        <v>0.16</v>
      </c>
      <c r="E134" s="90">
        <f t="shared" si="4"/>
        <v>0</v>
      </c>
      <c r="F134" s="90">
        <f t="shared" si="4"/>
        <v>0</v>
      </c>
      <c r="G134" s="90">
        <f t="shared" si="4"/>
        <v>0</v>
      </c>
      <c r="H134" s="90">
        <f t="shared" si="4"/>
        <v>0</v>
      </c>
    </row>
    <row r="135" spans="1:8" x14ac:dyDescent="0.25">
      <c r="A135" s="5" t="s">
        <v>174</v>
      </c>
      <c r="B135" s="5" t="s">
        <v>84</v>
      </c>
      <c r="C135" s="5" t="s">
        <v>334</v>
      </c>
      <c r="D135" s="90">
        <f>IF($C80="Affected fraction",D80,IF(D80=1,1,D80*0.9))</f>
        <v>1</v>
      </c>
      <c r="E135" s="90">
        <f t="shared" si="4"/>
        <v>0</v>
      </c>
      <c r="F135" s="90">
        <f t="shared" si="4"/>
        <v>0</v>
      </c>
      <c r="G135" s="90">
        <f t="shared" si="4"/>
        <v>0</v>
      </c>
      <c r="H135" s="90">
        <f t="shared" si="4"/>
        <v>0</v>
      </c>
    </row>
    <row r="136" spans="1:8" x14ac:dyDescent="0.25">
      <c r="C136" s="5" t="s">
        <v>335</v>
      </c>
      <c r="D136" s="90">
        <v>0.16</v>
      </c>
      <c r="E136" s="90">
        <f t="shared" si="4"/>
        <v>0</v>
      </c>
      <c r="F136" s="90">
        <f t="shared" si="4"/>
        <v>0</v>
      </c>
      <c r="G136" s="90">
        <f t="shared" si="4"/>
        <v>0</v>
      </c>
      <c r="H136" s="90">
        <f t="shared" si="4"/>
        <v>0</v>
      </c>
    </row>
    <row r="137" spans="1:8" x14ac:dyDescent="0.25">
      <c r="A137" s="5" t="s">
        <v>197</v>
      </c>
      <c r="B137" s="5" t="s">
        <v>87</v>
      </c>
      <c r="C137" s="5" t="s">
        <v>334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</row>
    <row r="138" spans="1:8" x14ac:dyDescent="0.25">
      <c r="C138" s="5" t="s">
        <v>335</v>
      </c>
      <c r="D138" s="90">
        <v>0.51</v>
      </c>
      <c r="E138" s="90">
        <v>0.51</v>
      </c>
      <c r="F138" s="90">
        <v>0.51</v>
      </c>
      <c r="G138" s="90">
        <v>0.51</v>
      </c>
      <c r="H138" s="90">
        <v>0.51</v>
      </c>
    </row>
    <row r="139" spans="1:8" x14ac:dyDescent="0.25">
      <c r="C139" s="5" t="s">
        <v>336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</row>
    <row r="140" spans="1:8" x14ac:dyDescent="0.25">
      <c r="A140" s="5" t="s">
        <v>198</v>
      </c>
      <c r="B140" s="5" t="s">
        <v>87</v>
      </c>
      <c r="C140" s="5" t="s">
        <v>334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</row>
    <row r="141" spans="1:8" x14ac:dyDescent="0.25">
      <c r="C141" s="5" t="s">
        <v>335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</row>
    <row r="142" spans="1:8" x14ac:dyDescent="0.25">
      <c r="C142" s="5" t="s">
        <v>336</v>
      </c>
      <c r="D142" s="90">
        <v>0</v>
      </c>
      <c r="E142" s="90">
        <v>0</v>
      </c>
      <c r="F142" s="90">
        <v>0</v>
      </c>
      <c r="G142" s="90">
        <v>0</v>
      </c>
      <c r="H142" s="90">
        <v>0</v>
      </c>
    </row>
    <row r="143" spans="1:8" x14ac:dyDescent="0.25">
      <c r="A143" s="5" t="s">
        <v>196</v>
      </c>
      <c r="B143" s="5" t="s">
        <v>87</v>
      </c>
      <c r="C143" s="5" t="s">
        <v>334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5" t="s">
        <v>335</v>
      </c>
      <c r="D144" s="90">
        <v>0</v>
      </c>
      <c r="E144" s="90">
        <v>0</v>
      </c>
      <c r="F144" s="90">
        <v>0</v>
      </c>
      <c r="G144" s="90">
        <v>0</v>
      </c>
      <c r="H144" s="90">
        <v>0</v>
      </c>
    </row>
    <row r="145" spans="1:8" x14ac:dyDescent="0.25">
      <c r="C145" s="5" t="s">
        <v>336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5" t="s">
        <v>195</v>
      </c>
      <c r="B146" s="5" t="s">
        <v>87</v>
      </c>
      <c r="C146" s="5" t="s">
        <v>334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5" t="s">
        <v>335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5" t="s">
        <v>336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5" t="s">
        <v>194</v>
      </c>
      <c r="B149" s="5" t="s">
        <v>87</v>
      </c>
      <c r="C149" s="5" t="s">
        <v>334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5" t="s">
        <v>335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5" t="s">
        <v>336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5" t="s">
        <v>200</v>
      </c>
      <c r="B152" s="5" t="s">
        <v>87</v>
      </c>
      <c r="C152" s="5" t="s">
        <v>334</v>
      </c>
      <c r="D152" s="90">
        <f t="shared" ref="D152:H153" si="5">IF($C97="Affected fraction",D97,IF(D97=1,1,D97*0.9))</f>
        <v>0</v>
      </c>
      <c r="E152" s="90">
        <f t="shared" si="5"/>
        <v>1</v>
      </c>
      <c r="F152" s="90">
        <f t="shared" si="5"/>
        <v>1</v>
      </c>
      <c r="G152" s="90">
        <f t="shared" si="5"/>
        <v>1</v>
      </c>
      <c r="H152" s="90">
        <f t="shared" si="5"/>
        <v>1</v>
      </c>
    </row>
    <row r="153" spans="1:8" x14ac:dyDescent="0.25">
      <c r="C153" s="5" t="s">
        <v>335</v>
      </c>
      <c r="D153" s="90">
        <f t="shared" si="5"/>
        <v>0</v>
      </c>
      <c r="E153" s="90">
        <f t="shared" si="5"/>
        <v>0</v>
      </c>
      <c r="F153" s="90">
        <f t="shared" si="5"/>
        <v>0</v>
      </c>
      <c r="G153" s="90">
        <f t="shared" si="5"/>
        <v>0</v>
      </c>
      <c r="H153" s="90">
        <f t="shared" si="5"/>
        <v>0</v>
      </c>
    </row>
    <row r="154" spans="1:8" x14ac:dyDescent="0.25">
      <c r="C154" s="5" t="s">
        <v>336</v>
      </c>
      <c r="D154" s="90">
        <v>0.1</v>
      </c>
      <c r="E154" s="90">
        <v>0.1</v>
      </c>
      <c r="F154" s="90">
        <v>0.1</v>
      </c>
      <c r="G154" s="90">
        <v>0.1</v>
      </c>
      <c r="H154" s="90">
        <v>0.1</v>
      </c>
    </row>
    <row r="155" spans="1:8" x14ac:dyDescent="0.25">
      <c r="B155" s="5" t="s">
        <v>88</v>
      </c>
      <c r="C155" s="5" t="s">
        <v>334</v>
      </c>
      <c r="D155" s="90">
        <v>0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5" t="s">
        <v>335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5" t="s">
        <v>336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5" t="s">
        <v>191</v>
      </c>
      <c r="B158" s="5" t="s">
        <v>87</v>
      </c>
      <c r="C158" s="5" t="s">
        <v>334</v>
      </c>
      <c r="D158" s="90">
        <v>1</v>
      </c>
      <c r="E158" s="90">
        <v>1</v>
      </c>
      <c r="F158" s="90">
        <v>1</v>
      </c>
      <c r="G158" s="90">
        <v>1</v>
      </c>
      <c r="H158" s="90">
        <v>1</v>
      </c>
    </row>
    <row r="159" spans="1:8" x14ac:dyDescent="0.25">
      <c r="C159" s="5" t="s">
        <v>335</v>
      </c>
      <c r="D159" s="90">
        <v>0.8</v>
      </c>
      <c r="E159" s="90">
        <v>0.8</v>
      </c>
      <c r="F159" s="90">
        <v>0.8</v>
      </c>
      <c r="G159" s="90">
        <v>0.8</v>
      </c>
      <c r="H159" s="90">
        <v>0.8</v>
      </c>
    </row>
    <row r="160" spans="1:8" x14ac:dyDescent="0.25">
      <c r="A160" s="5" t="s">
        <v>199</v>
      </c>
      <c r="B160" s="5" t="s">
        <v>87</v>
      </c>
      <c r="C160" s="5" t="s">
        <v>334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</row>
    <row r="161" spans="1:8" x14ac:dyDescent="0.25">
      <c r="C161" s="5" t="s">
        <v>335</v>
      </c>
      <c r="D161" s="90">
        <v>0.85</v>
      </c>
      <c r="E161" s="90">
        <v>0.85</v>
      </c>
      <c r="F161" s="90">
        <v>0.85</v>
      </c>
      <c r="G161" s="90">
        <v>0.85</v>
      </c>
      <c r="H161" s="90">
        <v>0.85</v>
      </c>
    </row>
    <row r="162" spans="1:8" x14ac:dyDescent="0.25">
      <c r="A162" s="5" t="s">
        <v>184</v>
      </c>
      <c r="B162" s="5" t="s">
        <v>82</v>
      </c>
      <c r="C162" s="5" t="s">
        <v>334</v>
      </c>
      <c r="D162" s="90">
        <v>1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5" t="s">
        <v>335</v>
      </c>
      <c r="D163" s="90">
        <v>0.47</v>
      </c>
      <c r="E163" s="90">
        <v>0</v>
      </c>
      <c r="F163" s="90">
        <v>0</v>
      </c>
      <c r="G163" s="90">
        <v>0</v>
      </c>
      <c r="H163" s="90">
        <v>0</v>
      </c>
    </row>
  </sheetData>
  <sheetProtection algorithmName="SHA-512" hashValue="vfbnHWEKXq4iyT965154fnauMJ0H2hwm0sekgWYF6xRxoTOVO3RiSWdY6HZzau8ALFbVHLWpQGI/ORspzB6JEQ==" saltValue="PdzAFtU4ykNwuJwa6SrcC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theme="0" tint="-0.249977111117893"/>
  </sheetPr>
  <dimension ref="A1:H25"/>
  <sheetViews>
    <sheetView zoomScale="85" zoomScaleNormal="85" workbookViewId="0">
      <selection activeCell="D11" sqref="D11"/>
    </sheetView>
  </sheetViews>
  <sheetFormatPr defaultColWidth="12.816406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1796875" style="8" customWidth="1"/>
    <col min="8" max="8" width="12.81640625" style="8" customWidth="1"/>
    <col min="9" max="16384" width="12.81640625" style="8"/>
  </cols>
  <sheetData>
    <row r="1" spans="1:8" ht="13" customHeight="1" x14ac:dyDescent="0.3">
      <c r="A1" s="1" t="s">
        <v>160</v>
      </c>
      <c r="B1" s="1" t="s">
        <v>333</v>
      </c>
      <c r="C1" s="1"/>
      <c r="D1" s="4" t="s">
        <v>122</v>
      </c>
      <c r="E1" s="4" t="s">
        <v>123</v>
      </c>
      <c r="F1" s="4" t="s">
        <v>124</v>
      </c>
      <c r="G1" s="4" t="s">
        <v>125</v>
      </c>
      <c r="H1" s="4"/>
    </row>
    <row r="2" spans="1:8" ht="13.25" customHeight="1" x14ac:dyDescent="0.25">
      <c r="A2" s="3" t="s">
        <v>169</v>
      </c>
      <c r="B2" s="8" t="s">
        <v>104</v>
      </c>
      <c r="C2" s="3" t="s">
        <v>334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ht="13.25" customHeight="1" x14ac:dyDescent="0.25">
      <c r="C3" s="8" t="s">
        <v>335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ht="13.25" customHeight="1" x14ac:dyDescent="0.25">
      <c r="A4" s="3" t="s">
        <v>188</v>
      </c>
      <c r="B4" s="8" t="s">
        <v>104</v>
      </c>
      <c r="C4" s="3" t="s">
        <v>334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ht="13.25" customHeight="1" x14ac:dyDescent="0.25">
      <c r="C5" s="8" t="s">
        <v>335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ht="13.25" customHeight="1" x14ac:dyDescent="0.25">
      <c r="A6" s="3" t="s">
        <v>187</v>
      </c>
      <c r="B6" s="8" t="s">
        <v>104</v>
      </c>
      <c r="C6" s="3" t="s">
        <v>334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ht="13.25" customHeight="1" x14ac:dyDescent="0.25">
      <c r="C7" s="8" t="s">
        <v>335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9" spans="1:8" s="92" customFormat="1" ht="13" customHeight="1" x14ac:dyDescent="0.3">
      <c r="A9" s="92" t="s">
        <v>331</v>
      </c>
    </row>
    <row r="10" spans="1:8" ht="13" customHeight="1" x14ac:dyDescent="0.3">
      <c r="A10" s="1" t="s">
        <v>160</v>
      </c>
      <c r="B10" s="1" t="s">
        <v>333</v>
      </c>
      <c r="C10" s="1"/>
      <c r="D10" s="4" t="s">
        <v>122</v>
      </c>
      <c r="E10" s="4" t="s">
        <v>123</v>
      </c>
      <c r="F10" s="4" t="s">
        <v>124</v>
      </c>
      <c r="G10" s="4" t="s">
        <v>125</v>
      </c>
    </row>
    <row r="11" spans="1:8" ht="13.25" customHeight="1" x14ac:dyDescent="0.25">
      <c r="A11" s="3" t="s">
        <v>169</v>
      </c>
      <c r="B11" s="8" t="s">
        <v>104</v>
      </c>
      <c r="C11" s="3" t="s">
        <v>334</v>
      </c>
      <c r="D11" s="90">
        <f>IF($C2="Affected fraction",D2,IF(D2=1,1,D2*0.9))</f>
        <v>1</v>
      </c>
      <c r="E11" s="90">
        <f>IF($C2="Affected fraction",E2,IF(E2=1,1,E2*0.9))</f>
        <v>1</v>
      </c>
      <c r="F11" s="90">
        <f>IF($C2="Affected fraction",F2,IF(F2=1,1,F2*0.9))</f>
        <v>1</v>
      </c>
      <c r="G11" s="90">
        <f>IF($C2="Affected fraction",G2,IF(G2=1,1,G2*0.9))</f>
        <v>1</v>
      </c>
    </row>
    <row r="12" spans="1:8" ht="13.25" customHeight="1" x14ac:dyDescent="0.25">
      <c r="C12" s="8" t="s">
        <v>335</v>
      </c>
      <c r="D12" s="90">
        <v>0</v>
      </c>
      <c r="E12" s="90">
        <v>0</v>
      </c>
      <c r="F12" s="90">
        <v>0</v>
      </c>
      <c r="G12" s="90">
        <v>0</v>
      </c>
    </row>
    <row r="13" spans="1:8" ht="13.25" customHeight="1" x14ac:dyDescent="0.25">
      <c r="A13" s="3" t="s">
        <v>188</v>
      </c>
      <c r="B13" s="8" t="s">
        <v>104</v>
      </c>
      <c r="C13" s="3" t="s">
        <v>334</v>
      </c>
      <c r="D13" s="90">
        <f t="shared" ref="D13:G16" si="0">IF($C4="Affected fraction",D4,IF(D4=1,1,D4*0.9))</f>
        <v>1</v>
      </c>
      <c r="E13" s="90">
        <f t="shared" si="0"/>
        <v>1</v>
      </c>
      <c r="F13" s="90">
        <f t="shared" si="0"/>
        <v>1</v>
      </c>
      <c r="G13" s="90">
        <f t="shared" si="0"/>
        <v>1</v>
      </c>
    </row>
    <row r="14" spans="1:8" ht="13.25" customHeight="1" x14ac:dyDescent="0.25">
      <c r="C14" s="8" t="s">
        <v>335</v>
      </c>
      <c r="D14" s="90">
        <f t="shared" si="0"/>
        <v>0.53100000000000003</v>
      </c>
      <c r="E14" s="90">
        <f t="shared" si="0"/>
        <v>0.53100000000000003</v>
      </c>
      <c r="F14" s="90">
        <f t="shared" si="0"/>
        <v>0.53100000000000003</v>
      </c>
      <c r="G14" s="90">
        <f t="shared" si="0"/>
        <v>0.53100000000000003</v>
      </c>
    </row>
    <row r="15" spans="1:8" ht="13.25" customHeight="1" x14ac:dyDescent="0.25">
      <c r="A15" s="3" t="s">
        <v>187</v>
      </c>
      <c r="B15" s="8" t="s">
        <v>104</v>
      </c>
      <c r="C15" s="3" t="s">
        <v>334</v>
      </c>
      <c r="D15" s="90">
        <f t="shared" si="0"/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ht="13.25" customHeight="1" x14ac:dyDescent="0.25">
      <c r="C16" s="8" t="s">
        <v>335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8" spans="1:7" s="92" customFormat="1" ht="13" customHeight="1" x14ac:dyDescent="0.3">
      <c r="A18" s="92" t="s">
        <v>332</v>
      </c>
    </row>
    <row r="19" spans="1:7" ht="13" customHeight="1" x14ac:dyDescent="0.3">
      <c r="A19" s="1" t="s">
        <v>160</v>
      </c>
      <c r="B19" s="1" t="s">
        <v>333</v>
      </c>
      <c r="C19" s="1"/>
      <c r="D19" s="4" t="s">
        <v>122</v>
      </c>
      <c r="E19" s="4" t="s">
        <v>123</v>
      </c>
      <c r="F19" s="4" t="s">
        <v>124</v>
      </c>
      <c r="G19" s="4" t="s">
        <v>125</v>
      </c>
    </row>
    <row r="20" spans="1:7" ht="13.25" customHeight="1" x14ac:dyDescent="0.25">
      <c r="A20" s="3" t="s">
        <v>169</v>
      </c>
      <c r="B20" s="8" t="s">
        <v>104</v>
      </c>
      <c r="C20" s="3" t="s">
        <v>334</v>
      </c>
      <c r="D20" s="90">
        <f>IF($C2="Affected fraction",D2,IF(D2=1,1,D2*1.05))</f>
        <v>1</v>
      </c>
      <c r="E20" s="90">
        <f>IF($C2="Affected fraction",E2,IF(E2=1,1,E2*1.05))</f>
        <v>1</v>
      </c>
      <c r="F20" s="90">
        <f>IF($C2="Affected fraction",F2,IF(F2=1,1,F2*1.05))</f>
        <v>1</v>
      </c>
      <c r="G20" s="90">
        <f>IF($C2="Affected fraction",G2,IF(G2=1,1,G2*1.05))</f>
        <v>1</v>
      </c>
    </row>
    <row r="21" spans="1:7" ht="13.25" customHeight="1" x14ac:dyDescent="0.25">
      <c r="C21" s="8" t="s">
        <v>335</v>
      </c>
      <c r="D21" s="90">
        <v>0</v>
      </c>
      <c r="E21" s="90">
        <v>0</v>
      </c>
      <c r="F21" s="90">
        <v>0</v>
      </c>
      <c r="G21" s="90">
        <v>0</v>
      </c>
    </row>
    <row r="22" spans="1:7" ht="13.25" customHeight="1" x14ac:dyDescent="0.25">
      <c r="A22" s="3" t="s">
        <v>188</v>
      </c>
      <c r="B22" s="8" t="s">
        <v>104</v>
      </c>
      <c r="C22" s="3" t="s">
        <v>334</v>
      </c>
      <c r="D22" s="90">
        <f>IF($C4="Affected fraction",D4,IF(D4=1,1,D4*1.05))</f>
        <v>1</v>
      </c>
      <c r="E22" s="90">
        <f>IF($C4="Affected fraction",E4,IF(E4=1,1,E4*1.05))</f>
        <v>1</v>
      </c>
      <c r="F22" s="90">
        <f>IF($C4="Affected fraction",F4,IF(F4=1,1,F4*1.05))</f>
        <v>1</v>
      </c>
      <c r="G22" s="90">
        <f>IF($C4="Affected fraction",G4,IF(G4=1,1,G4*1.05))</f>
        <v>1</v>
      </c>
    </row>
    <row r="23" spans="1:7" ht="13.25" customHeight="1" x14ac:dyDescent="0.25">
      <c r="C23" s="8" t="s">
        <v>335</v>
      </c>
      <c r="D23" s="90">
        <f>IF($C5="Affected fraction",D5,IF(D5=1,1,D5*1.1))</f>
        <v>0.64900000000000002</v>
      </c>
      <c r="E23" s="90">
        <f>IF($C5="Affected fraction",E5,IF(E5=1,1,E5*1.1))</f>
        <v>0.64900000000000002</v>
      </c>
      <c r="F23" s="90">
        <f>IF($C5="Affected fraction",F5,IF(F5=1,1,F5*1.1))</f>
        <v>0.64900000000000002</v>
      </c>
      <c r="G23" s="90">
        <f>IF($C5="Affected fraction",G5,IF(G5=1,1,G5*1.1))</f>
        <v>0.64900000000000002</v>
      </c>
    </row>
    <row r="24" spans="1:7" ht="13.25" customHeight="1" x14ac:dyDescent="0.25">
      <c r="A24" s="3" t="s">
        <v>187</v>
      </c>
      <c r="B24" s="8" t="s">
        <v>104</v>
      </c>
      <c r="C24" s="3" t="s">
        <v>334</v>
      </c>
      <c r="D24" s="90">
        <f>IF($C6="Affected fraction",D6,IF(D6=1,1,D6*1.05))</f>
        <v>1</v>
      </c>
      <c r="E24" s="90">
        <f>IF($C6="Affected fraction",E6,IF(E6=1,1,E6*1.05))</f>
        <v>1</v>
      </c>
      <c r="F24" s="90">
        <f>IF($C6="Affected fraction",F6,IF(F6=1,1,F6*1.05))</f>
        <v>1</v>
      </c>
      <c r="G24" s="90">
        <f>IF($C6="Affected fraction",G6,IF(G6=1,1,G6*1.05))</f>
        <v>1</v>
      </c>
    </row>
    <row r="25" spans="1:7" ht="13.25" customHeight="1" x14ac:dyDescent="0.25">
      <c r="C25" s="8" t="s">
        <v>335</v>
      </c>
      <c r="D25" s="90">
        <f>IF($C7="Affected fraction",D7,IF(D7=1,1,D7*1.1))</f>
        <v>0.64900000000000002</v>
      </c>
      <c r="E25" s="90">
        <f>IF($C7="Affected fraction",E7,IF(E7=1,1,E7*1.1))</f>
        <v>0.64900000000000002</v>
      </c>
      <c r="F25" s="90">
        <f>IF($C7="Affected fraction",F7,IF(F7=1,1,F7*1.1))</f>
        <v>0.64900000000000002</v>
      </c>
      <c r="G25" s="90">
        <f>IF($C7="Affected fraction",G7,IF(G7=1,1,G7*1.1))</f>
        <v>0.64900000000000002</v>
      </c>
    </row>
  </sheetData>
  <sheetProtection algorithmName="SHA-512" hashValue="WbXEwhjkMNtrIUdmN4x3SRx8AVyROk2qWrrH6DeEu0KOvXbqbhhKf+4v1y84swuQ8Avi6oYmgqPa3G5RlUKH6A==" saltValue="0swYgu48180iq6PxAkTAdw==" spinCount="100000" sheet="1" objects="1" scenarios="1" selectLockedCells="1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Données pop de l'année de ref</vt:lpstr>
      <vt:lpstr>Projections démographiques</vt:lpstr>
      <vt:lpstr>Causes du décès</vt:lpstr>
      <vt:lpstr>Dist. de l'état nutritionnel</vt:lpstr>
      <vt:lpstr>Dist. l'allaitement maternel</vt:lpstr>
      <vt:lpstr>Tendances temporelles</vt:lpstr>
      <vt:lpstr>Perte économique</vt:lpstr>
      <vt:lpstr>Paquets ANJE</vt:lpstr>
      <vt:lpstr>Traitement de la MAS</vt:lpstr>
      <vt:lpstr>Coûts et couvertures des prgms</vt:lpstr>
      <vt:lpstr>Dépendances du programme</vt:lpstr>
      <vt:lpstr>Programmes de référence</vt:lpstr>
      <vt:lpstr>Incidence des conditions</vt:lpstr>
      <vt:lpstr>Programmes-population cible</vt:lpstr>
      <vt:lpstr>Options de la courbe de coût</vt:lpstr>
      <vt:lpstr>Programmes-planification fam.</vt:lpstr>
      <vt:lpstr>Programmes - population touchée</vt:lpstr>
      <vt:lpstr>Programme - secteurs à risque</vt:lpstr>
      <vt:lpstr>Population des sect. à risque</vt:lpstr>
      <vt:lpstr>Rapport des cotes ANJE</vt:lpstr>
      <vt:lpstr>Risques des rés. des naissances</vt:lpstr>
      <vt:lpstr>Risques relatifs</vt:lpstr>
      <vt:lpstr>Rapports des cotes</vt:lpstr>
      <vt:lpstr>Programmes-rés. des naissances</vt:lpstr>
      <vt:lpstr>Programmes-anémie</vt:lpstr>
      <vt:lpstr>Programmes-émaciation</vt:lpstr>
      <vt:lpstr>Programmes pour les enfants</vt:lpstr>
      <vt:lpstr>Programmes pour les FE</vt:lpstr>
      <vt:lpstr>'Paquets ANJE'!abortion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'Paquets ANJE'!stillbirth</vt:lpstr>
      <vt:lpstr>stillbirth</vt:lpstr>
      <vt:lpstr>term_AGA</vt:lpstr>
      <vt:lpstr>term_SGA</vt:lpstr>
      <vt:lpstr>U5_mortality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Tharindu Wickramaarachchi</dc:creator>
  <cp:keywords>lang=fr</cp:keywords>
  <cp:lastModifiedBy>Tharindu Wickramaarachchi</cp:lastModifiedBy>
  <dcterms:created xsi:type="dcterms:W3CDTF">2017-08-01T10:42:13Z</dcterms:created>
  <dcterms:modified xsi:type="dcterms:W3CDTF">2024-08-06T08:58:12Z</dcterms:modified>
</cp:coreProperties>
</file>