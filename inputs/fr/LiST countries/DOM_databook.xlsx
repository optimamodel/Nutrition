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4C653E53-A3FE-4A0F-AAE4-F0E07D65DCD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I3" i="2"/>
  <c r="I7" i="2"/>
  <c r="I11" i="2"/>
  <c r="A36" i="2"/>
  <c r="A23" i="2"/>
  <c r="A37" i="2"/>
  <c r="A26" i="2"/>
  <c r="I39" i="2"/>
  <c r="I9" i="2"/>
  <c r="I13" i="2"/>
  <c r="A31" i="2"/>
  <c r="A34" i="2"/>
  <c r="A40" i="2"/>
  <c r="I2" i="2"/>
  <c r="I6" i="2"/>
  <c r="A19" i="2"/>
  <c r="A35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<sst xmlns="http://schemas.openxmlformats.org/spreadsheetml/2006/main" count="2169" uniqueCount="369">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</sst>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982050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0.74188087463378904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0.19980000000000001</v>
      </c>
    </row>
    <row r="24" spans="1:3" ht="15" customHeight="1" x14ac:dyDescent="0.25">
      <c r="B24" s="15" t="s">
        <v>51</v>
      </c>
      <c r="C24" s="45">
        <v>0.54990000000000006</v>
      </c>
    </row>
    <row r="25" spans="1:3" ht="15" customHeight="1" x14ac:dyDescent="0.25">
      <c r="B25" s="15" t="s">
        <v>52</v>
      </c>
      <c r="C25" s="45">
        <v>0.2286</v>
      </c>
    </row>
    <row r="26" spans="1:3" ht="15" customHeight="1" x14ac:dyDescent="0.25">
      <c r="B26" s="15" t="s">
        <v>53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7">
        <v>5.4660418264349912E-2</v>
      </c>
    </row>
    <row r="31" spans="1:3" ht="14.25" customHeight="1" x14ac:dyDescent="0.25">
      <c r="B31" s="25" t="s">
        <v>57</v>
      </c>
      <c r="C31" s="97">
        <v>6.1967733026657798E-2</v>
      </c>
    </row>
    <row r="32" spans="1:3" ht="14.25" customHeight="1" x14ac:dyDescent="0.25">
      <c r="B32" s="25" t="s">
        <v>58</v>
      </c>
      <c r="C32" s="97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22.94744</v>
      </c>
    </row>
    <row r="38" spans="1:5" ht="15" customHeight="1" x14ac:dyDescent="0.25">
      <c r="B38" s="11" t="s">
        <v>63</v>
      </c>
      <c r="C38" s="43">
        <v>27.293320000000001</v>
      </c>
      <c r="D38" s="12"/>
      <c r="E38" s="13"/>
    </row>
    <row r="39" spans="1:5" ht="15" customHeight="1" x14ac:dyDescent="0.25">
      <c r="B39" s="11" t="s">
        <v>64</v>
      </c>
      <c r="C39" s="43">
        <v>33.002879999999998</v>
      </c>
      <c r="D39" s="12"/>
      <c r="E39" s="12"/>
    </row>
    <row r="40" spans="1:5" ht="15" customHeight="1" x14ac:dyDescent="0.25">
      <c r="B40" s="11" t="s">
        <v>65</v>
      </c>
      <c r="C40" s="98">
        <v>1.07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7.1934E-3</v>
      </c>
      <c r="D45" s="12"/>
    </row>
    <row r="46" spans="1:5" ht="15.75" customHeight="1" x14ac:dyDescent="0.25">
      <c r="B46" s="11" t="s">
        <v>70</v>
      </c>
      <c r="C46" s="45">
        <v>7.7292600000000003E-2</v>
      </c>
      <c r="D46" s="12"/>
    </row>
    <row r="47" spans="1:5" ht="15.75" customHeight="1" x14ac:dyDescent="0.25">
      <c r="B47" s="11" t="s">
        <v>71</v>
      </c>
      <c r="C47" s="45">
        <v>7.4160100000000007E-2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0.54774599999999996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0.11294179</v>
      </c>
    </row>
    <row r="63" spans="1:4" ht="15.75" customHeight="1" x14ac:dyDescent="0.3">
      <c r="A63" s="4"/>
    </row>
  </sheetData>
  <sheetProtection algorithmName="SHA-512" hashValue="T7/FGjWbM4nroobkePpjkc183FN4J8R/aaTe03dBEfKdaffRqq5TWrwIkjnzj5bOSDPhTfqztQY0IXGSz6Vq+g==" saltValue="iJMnvCXcQsOZOaN8Rpw3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201350</v>
      </c>
      <c r="C2" s="49">
        <v>476390.5</v>
      </c>
      <c r="D2" s="49">
        <v>929745</v>
      </c>
      <c r="E2" s="49">
        <v>840954</v>
      </c>
      <c r="F2" s="49">
        <v>695953</v>
      </c>
      <c r="G2" s="17">
        <f t="shared" ref="G2:G13" si="0">C2+D2+E2+F2</f>
        <v>2943042.5</v>
      </c>
      <c r="H2" s="17">
        <f t="shared" ref="H2:H13" si="1">(B2 + stillbirth*B2/(1000-stillbirth))/(1-abortion)</f>
        <v>231753.16100860565</v>
      </c>
      <c r="I2" s="17">
        <f t="shared" ref="I2:I13" si="2">G2-H2</f>
        <v>2711289.3389913943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199014</v>
      </c>
      <c r="C3" s="50">
        <v>480805</v>
      </c>
      <c r="D3" s="50">
        <v>926135</v>
      </c>
      <c r="E3" s="50">
        <v>850914</v>
      </c>
      <c r="F3" s="50">
        <v>705394</v>
      </c>
      <c r="G3" s="17">
        <f t="shared" si="0"/>
        <v>2963248</v>
      </c>
      <c r="H3" s="17">
        <f t="shared" si="1"/>
        <v>229064.43300206927</v>
      </c>
      <c r="I3" s="17">
        <f t="shared" si="2"/>
        <v>2734183.5669979309</v>
      </c>
    </row>
    <row r="4" spans="1:9" ht="15.75" customHeight="1" x14ac:dyDescent="0.25">
      <c r="A4" s="5">
        <f t="shared" si="3"/>
        <v>2026</v>
      </c>
      <c r="B4" s="49">
        <v>196929</v>
      </c>
      <c r="C4" s="50">
        <v>486799</v>
      </c>
      <c r="D4" s="50">
        <v>921290</v>
      </c>
      <c r="E4" s="50">
        <v>860133.5</v>
      </c>
      <c r="F4" s="50">
        <v>714539.5</v>
      </c>
      <c r="G4" s="17">
        <f t="shared" si="0"/>
        <v>2982762</v>
      </c>
      <c r="H4" s="17">
        <f t="shared" si="1"/>
        <v>226664.60513664616</v>
      </c>
      <c r="I4" s="17">
        <f t="shared" si="2"/>
        <v>2756097.394863354</v>
      </c>
    </row>
    <row r="5" spans="1:9" ht="15.75" customHeight="1" x14ac:dyDescent="0.25">
      <c r="A5" s="5">
        <f t="shared" si="3"/>
        <v>2027</v>
      </c>
      <c r="B5" s="49">
        <v>195149</v>
      </c>
      <c r="C5" s="50">
        <v>492694</v>
      </c>
      <c r="D5" s="50">
        <v>917610</v>
      </c>
      <c r="E5" s="50">
        <v>867241.50000000012</v>
      </c>
      <c r="F5" s="50">
        <v>723951.49999999988</v>
      </c>
      <c r="G5" s="17">
        <f t="shared" si="0"/>
        <v>3001497</v>
      </c>
      <c r="H5" s="17">
        <f t="shared" si="1"/>
        <v>224615.83122755593</v>
      </c>
      <c r="I5" s="17">
        <f t="shared" si="2"/>
        <v>2776881.1687724441</v>
      </c>
    </row>
    <row r="6" spans="1:9" ht="15.75" customHeight="1" x14ac:dyDescent="0.25">
      <c r="A6" s="5">
        <f t="shared" si="3"/>
        <v>2028</v>
      </c>
      <c r="B6" s="49">
        <v>193320</v>
      </c>
      <c r="C6" s="50">
        <v>496339</v>
      </c>
      <c r="D6" s="50">
        <v>917646.50000000012</v>
      </c>
      <c r="E6" s="50">
        <v>871108.5</v>
      </c>
      <c r="F6" s="50">
        <v>734326.5</v>
      </c>
      <c r="G6" s="17">
        <f t="shared" si="0"/>
        <v>3019420.5</v>
      </c>
      <c r="H6" s="17">
        <f t="shared" si="1"/>
        <v>222510.65848613682</v>
      </c>
      <c r="I6" s="17">
        <f t="shared" si="2"/>
        <v>2796909.8415138633</v>
      </c>
    </row>
    <row r="7" spans="1:9" ht="15.75" customHeight="1" x14ac:dyDescent="0.25">
      <c r="A7" s="5">
        <f t="shared" si="3"/>
        <v>2029</v>
      </c>
      <c r="B7" s="49">
        <v>191643</v>
      </c>
      <c r="C7" s="50">
        <v>497057</v>
      </c>
      <c r="D7" s="50">
        <v>919838.50000000012</v>
      </c>
      <c r="E7" s="50">
        <v>873165</v>
      </c>
      <c r="F7" s="50">
        <v>746038.50000000012</v>
      </c>
      <c r="G7" s="17">
        <f t="shared" si="0"/>
        <v>3036099</v>
      </c>
      <c r="H7" s="17">
        <f t="shared" si="1"/>
        <v>220580.43722459505</v>
      </c>
      <c r="I7" s="17">
        <f t="shared" si="2"/>
        <v>2815518.5627754051</v>
      </c>
    </row>
    <row r="8" spans="1:9" ht="15.75" customHeight="1" x14ac:dyDescent="0.25">
      <c r="A8" s="5">
        <f t="shared" si="3"/>
        <v>2030</v>
      </c>
      <c r="B8" s="49">
        <v>189916</v>
      </c>
      <c r="C8" s="50">
        <v>495875</v>
      </c>
      <c r="D8" s="50">
        <v>921390.5</v>
      </c>
      <c r="E8" s="50">
        <v>875742</v>
      </c>
      <c r="F8" s="50">
        <v>758489.49999999988</v>
      </c>
      <c r="G8" s="17">
        <f t="shared" si="0"/>
        <v>3051497</v>
      </c>
      <c r="H8" s="17">
        <f t="shared" si="1"/>
        <v>218592.66613414627</v>
      </c>
      <c r="I8" s="17">
        <f t="shared" si="2"/>
        <v>2832904.333865854</v>
      </c>
    </row>
    <row r="9" spans="1:9" ht="15.75" customHeight="1" x14ac:dyDescent="0.25">
      <c r="A9" s="5">
        <f t="shared" si="3"/>
        <v>2031</v>
      </c>
      <c r="B9" s="49">
        <v>188430</v>
      </c>
      <c r="C9" s="50">
        <v>493999.5</v>
      </c>
      <c r="D9" s="50">
        <v>922244</v>
      </c>
      <c r="E9" s="50">
        <v>878506.5</v>
      </c>
      <c r="F9" s="50">
        <v>771169</v>
      </c>
      <c r="G9" s="17">
        <f t="shared" si="0"/>
        <v>3065919</v>
      </c>
      <c r="H9" s="17">
        <f t="shared" si="1"/>
        <v>216882.28521902938</v>
      </c>
      <c r="I9" s="17">
        <f t="shared" si="2"/>
        <v>2849036.7147809705</v>
      </c>
    </row>
    <row r="10" spans="1:9" ht="15.75" customHeight="1" x14ac:dyDescent="0.25">
      <c r="A10" s="5">
        <f t="shared" si="3"/>
        <v>2032</v>
      </c>
      <c r="B10" s="49">
        <v>186778</v>
      </c>
      <c r="C10" s="50">
        <v>492052</v>
      </c>
      <c r="D10" s="50">
        <v>923694.99999999988</v>
      </c>
      <c r="E10" s="50">
        <v>879980.5</v>
      </c>
      <c r="F10" s="50">
        <v>783824</v>
      </c>
      <c r="G10" s="17">
        <f t="shared" si="0"/>
        <v>3079551.5</v>
      </c>
      <c r="H10" s="17">
        <f t="shared" si="1"/>
        <v>214980.83887194115</v>
      </c>
      <c r="I10" s="17">
        <f t="shared" si="2"/>
        <v>2864570.661128059</v>
      </c>
    </row>
    <row r="11" spans="1:9" ht="15.75" customHeight="1" x14ac:dyDescent="0.25">
      <c r="A11" s="5">
        <f t="shared" si="3"/>
        <v>2033</v>
      </c>
      <c r="B11" s="49">
        <v>185331</v>
      </c>
      <c r="C11" s="50">
        <v>490573.5</v>
      </c>
      <c r="D11" s="50">
        <v>925993.99999999988</v>
      </c>
      <c r="E11" s="50">
        <v>879842.5</v>
      </c>
      <c r="F11" s="50">
        <v>795701.5</v>
      </c>
      <c r="G11" s="17">
        <f t="shared" si="0"/>
        <v>3092111.5</v>
      </c>
      <c r="H11" s="17">
        <f t="shared" si="1"/>
        <v>213315.34682337174</v>
      </c>
      <c r="I11" s="17">
        <f t="shared" si="2"/>
        <v>2878796.1531766281</v>
      </c>
    </row>
    <row r="12" spans="1:9" ht="15.75" customHeight="1" x14ac:dyDescent="0.25">
      <c r="A12" s="5">
        <f t="shared" si="3"/>
        <v>2034</v>
      </c>
      <c r="B12" s="49">
        <v>184238</v>
      </c>
      <c r="C12" s="50">
        <v>489079</v>
      </c>
      <c r="D12" s="50">
        <v>929063</v>
      </c>
      <c r="E12" s="50">
        <v>878381.00000000012</v>
      </c>
      <c r="F12" s="50">
        <v>806566</v>
      </c>
      <c r="G12" s="17">
        <f t="shared" si="0"/>
        <v>3103089</v>
      </c>
      <c r="H12" s="17">
        <f t="shared" si="1"/>
        <v>212057.30756346407</v>
      </c>
      <c r="I12" s="17">
        <f t="shared" si="2"/>
        <v>2891031.6924365358</v>
      </c>
    </row>
    <row r="13" spans="1:9" ht="15.75" customHeight="1" x14ac:dyDescent="0.25">
      <c r="A13" s="5">
        <f t="shared" si="3"/>
        <v>2035</v>
      </c>
      <c r="B13" s="49">
        <v>183175</v>
      </c>
      <c r="C13" s="50">
        <v>486726</v>
      </c>
      <c r="D13" s="50">
        <v>932957.00000000012</v>
      </c>
      <c r="E13" s="50">
        <v>875839.99999999988</v>
      </c>
      <c r="F13" s="50">
        <v>816920.00000000012</v>
      </c>
      <c r="G13" s="17">
        <f t="shared" si="0"/>
        <v>3112443</v>
      </c>
      <c r="H13" s="17">
        <f t="shared" si="1"/>
        <v>210833.79820090064</v>
      </c>
      <c r="I13" s="17">
        <f t="shared" si="2"/>
        <v>2901609.2017990993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N8J0K+d7j9pQX9RDmtWQNbnyYBz/Zo8Q7N3NRVmUA6SMa01zHQBpyVTH2WluShCxwKW6mgzpBO3eKqAhF0OBA==" saltValue="SkWdgFKDFXhbB6piq03DM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6.0485993951400526E-3</v>
      </c>
    </row>
    <row r="4" spans="1:8" ht="15.75" customHeight="1" x14ac:dyDescent="0.25">
      <c r="B4" s="19" t="s">
        <v>97</v>
      </c>
      <c r="C4" s="99">
        <v>4.9121595087840433E-2</v>
      </c>
    </row>
    <row r="5" spans="1:8" ht="15.75" customHeight="1" x14ac:dyDescent="0.25">
      <c r="B5" s="19" t="s">
        <v>98</v>
      </c>
      <c r="C5" s="99">
        <v>5.8054994194500588E-2</v>
      </c>
    </row>
    <row r="6" spans="1:8" ht="15.75" customHeight="1" x14ac:dyDescent="0.25">
      <c r="B6" s="19" t="s">
        <v>99</v>
      </c>
      <c r="C6" s="99">
        <v>0.2258224774177521</v>
      </c>
    </row>
    <row r="7" spans="1:8" ht="15.75" customHeight="1" x14ac:dyDescent="0.25">
      <c r="B7" s="19" t="s">
        <v>100</v>
      </c>
      <c r="C7" s="99">
        <v>0.41603395839660451</v>
      </c>
    </row>
    <row r="8" spans="1:8" ht="15.75" customHeight="1" x14ac:dyDescent="0.25">
      <c r="B8" s="19" t="s">
        <v>101</v>
      </c>
      <c r="C8" s="99">
        <v>7.6059992394000723E-4</v>
      </c>
    </row>
    <row r="9" spans="1:8" ht="15.75" customHeight="1" x14ac:dyDescent="0.25">
      <c r="B9" s="19" t="s">
        <v>102</v>
      </c>
      <c r="C9" s="99">
        <v>0.12002648799735111</v>
      </c>
    </row>
    <row r="10" spans="1:8" ht="15.75" customHeight="1" x14ac:dyDescent="0.25">
      <c r="B10" s="19" t="s">
        <v>103</v>
      </c>
      <c r="C10" s="99">
        <v>0.1241312875868712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106</v>
      </c>
      <c r="C15" s="99">
        <v>0.33937854022706387</v>
      </c>
      <c r="D15" s="99">
        <v>0.33937854022706387</v>
      </c>
      <c r="E15" s="99">
        <v>0.33937854022706387</v>
      </c>
      <c r="F15" s="99">
        <v>0.33937854022706387</v>
      </c>
    </row>
    <row r="16" spans="1:8" ht="15.75" customHeight="1" x14ac:dyDescent="0.25">
      <c r="B16" s="19" t="s">
        <v>107</v>
      </c>
      <c r="C16" s="99">
        <v>2.4245794754319878E-2</v>
      </c>
      <c r="D16" s="99">
        <v>2.4245794754319878E-2</v>
      </c>
      <c r="E16" s="99">
        <v>2.4245794754319878E-2</v>
      </c>
      <c r="F16" s="99">
        <v>2.4245794754319878E-2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1.9051883133129489E-2</v>
      </c>
      <c r="D19" s="99">
        <v>1.9051883133129489E-2</v>
      </c>
      <c r="E19" s="99">
        <v>1.9051883133129489E-2</v>
      </c>
      <c r="F19" s="99">
        <v>1.9051883133129489E-2</v>
      </c>
    </row>
    <row r="20" spans="1:8" ht="15.75" customHeight="1" x14ac:dyDescent="0.25">
      <c r="B20" s="19" t="s">
        <v>111</v>
      </c>
      <c r="C20" s="99">
        <v>8.1477541633472317E-2</v>
      </c>
      <c r="D20" s="99">
        <v>8.1477541633472317E-2</v>
      </c>
      <c r="E20" s="99">
        <v>8.1477541633472317E-2</v>
      </c>
      <c r="F20" s="99">
        <v>8.1477541633472317E-2</v>
      </c>
    </row>
    <row r="21" spans="1:8" ht="15.75" customHeight="1" x14ac:dyDescent="0.25">
      <c r="B21" s="19" t="s">
        <v>112</v>
      </c>
      <c r="C21" s="99">
        <v>0.2065836120404724</v>
      </c>
      <c r="D21" s="99">
        <v>0.2065836120404724</v>
      </c>
      <c r="E21" s="99">
        <v>0.2065836120404724</v>
      </c>
      <c r="F21" s="99">
        <v>0.2065836120404724</v>
      </c>
    </row>
    <row r="22" spans="1:8" ht="15.75" customHeight="1" x14ac:dyDescent="0.25">
      <c r="B22" s="19" t="s">
        <v>113</v>
      </c>
      <c r="C22" s="99">
        <v>0.1001406972406497</v>
      </c>
      <c r="D22" s="99">
        <v>0.1001406972406497</v>
      </c>
      <c r="E22" s="99">
        <v>0.1001406972406497</v>
      </c>
      <c r="F22" s="99">
        <v>0.1001406972406497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5.8856121999999997E-2</v>
      </c>
    </row>
    <row r="27" spans="1:8" ht="15.75" customHeight="1" x14ac:dyDescent="0.25">
      <c r="B27" s="19" t="s">
        <v>120</v>
      </c>
      <c r="C27" s="99">
        <v>4.7339935000000007E-2</v>
      </c>
    </row>
    <row r="28" spans="1:8" ht="15.75" customHeight="1" x14ac:dyDescent="0.25">
      <c r="B28" s="19" t="s">
        <v>121</v>
      </c>
      <c r="C28" s="99">
        <v>4.6576617000000001E-2</v>
      </c>
    </row>
    <row r="29" spans="1:8" ht="15.75" customHeight="1" x14ac:dyDescent="0.25">
      <c r="B29" s="19" t="s">
        <v>122</v>
      </c>
      <c r="C29" s="99">
        <v>0.21685436999999999</v>
      </c>
    </row>
    <row r="30" spans="1:8" ht="15.75" customHeight="1" x14ac:dyDescent="0.25">
      <c r="B30" s="19" t="s">
        <v>2</v>
      </c>
      <c r="C30" s="99">
        <v>7.5345098999999999E-2</v>
      </c>
    </row>
    <row r="31" spans="1:8" ht="15.75" customHeight="1" x14ac:dyDescent="0.25">
      <c r="B31" s="19" t="s">
        <v>123</v>
      </c>
      <c r="C31" s="99">
        <v>9.5101964999999997E-2</v>
      </c>
    </row>
    <row r="32" spans="1:8" ht="15.75" customHeight="1" x14ac:dyDescent="0.25">
      <c r="B32" s="19" t="s">
        <v>124</v>
      </c>
      <c r="C32" s="99">
        <v>2.7365589999999999E-2</v>
      </c>
    </row>
    <row r="33" spans="2:3" ht="15.75" customHeight="1" x14ac:dyDescent="0.25">
      <c r="B33" s="19" t="s">
        <v>125</v>
      </c>
      <c r="C33" s="99">
        <v>0.17758110599999999</v>
      </c>
    </row>
    <row r="34" spans="2:3" ht="15.75" customHeight="1" x14ac:dyDescent="0.25">
      <c r="B34" s="19" t="s">
        <v>126</v>
      </c>
      <c r="C34" s="99">
        <v>0.25497919600000002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0USzIY/QiN+vjdgs8r5pNykpliff/S2L0GWBwQVhQtHsxgSucvsZ6amdGJizMN15P26MV7G0fsFDOmdQRf4ZsA==" saltValue="sbkLgVm35aKO3HLXOxBOb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132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133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137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138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0Wc5hcGU6gSsbJuVGJcmPCAFtk+VEcY8sP57mEry9ZxFooAMGB+Qn1qZgDaFk2p+PWvDnPXjOTuf63y+kiidQ==" saltValue="bYLzAttJh1kY5P30Uf47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9.2070600000000002E-2</v>
      </c>
      <c r="D5" s="52">
        <f t="shared" si="0"/>
        <v>0.25303680000000006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G+6YVzZlL+q9kxQJSKa2OlO1UZsBW4aEC18yYA1lnw6R+PzH0v2Z/gmlFdDYR1R1nQaHvNQg/GmK3vkMM6yXPw==" saltValue="GoHBC37TwtWY1ztT6K9J9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104f4r4emmma3oaP/skPgymjluJcgP2LSCA1UuZ8QdA9RhvPpxVFOh10sm5W2C2gkTosWP35wTMAt92oI0lUg==" saltValue="0aUrjBIY/f4xgYfjBfLaU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1011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0.47381999999999996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0.54799999999999993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1.3737801545026355E-2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97149.937449999998</v>
      </c>
      <c r="C22" s="107">
        <v>97011.622350000005</v>
      </c>
      <c r="D22" s="107">
        <v>96870.89675</v>
      </c>
      <c r="E22" s="107">
        <v>96506.763260000007</v>
      </c>
      <c r="F22" s="107">
        <v>95816.387539999996</v>
      </c>
      <c r="G22" s="107">
        <v>95014.385200000004</v>
      </c>
      <c r="H22" s="107">
        <v>93996.911410000001</v>
      </c>
      <c r="I22" s="107">
        <v>92742.943530000004</v>
      </c>
      <c r="J22" s="107">
        <v>91112.365049999993</v>
      </c>
      <c r="K22" s="107">
        <v>88891.945370000001</v>
      </c>
      <c r="L22" s="107">
        <v>85609.27781</v>
      </c>
      <c r="M22" s="107">
        <v>81496.322450000007</v>
      </c>
      <c r="N22" s="107">
        <v>75174.959220000004</v>
      </c>
      <c r="O22" s="107">
        <v>67728.055529999998</v>
      </c>
    </row>
  </sheetData>
  <sheetProtection algorithmName="SHA-512" hashValue="aWtPJpfaUZtofAYVTYKpV/0a2Q8lIoDCbZUzGBJtmBcg7E+LURL1kwPHr9RkbQJd1ke4jCdRiu8wrbdNNCzqfQ==" saltValue="GnxTJR3YY1DDvEhiwxaP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4xtWOWTP0ikZ/oJFRCeCIfZlI4n/9tCsd9CDyXKgIlg+knQ7uf27GBPd2UxXBRxv7l8vS5JYQXQvvwv0ZM42Uw==" saltValue="m8SQvL8VXwobJ9rSQVCbO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I6m3wj2jjOri/yx3QR4+vl/5AUfKHiTYpeC/sDZiLNMNLJcr1hv8R58moRK9XS4Glmzlen1Zm2wmm79T9Or/lQ==" saltValue="lwl9yMXs/pi6/chRqU0Md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0.81492059999999999</v>
      </c>
      <c r="C10" s="96">
        <v>0.95</v>
      </c>
      <c r="D10" s="56">
        <v>13.38102589680655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13.38102589680655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13.38102589680655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13.38102589680655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0.81492059999999999</v>
      </c>
      <c r="C14" s="96">
        <v>0.95</v>
      </c>
      <c r="D14" s="56">
        <v>13.38102589680655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13.38102589680655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0.1093624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0.1093624</v>
      </c>
      <c r="C19" s="96">
        <v>0.95</v>
      </c>
      <c r="D19" s="56">
        <v>15.41953529560689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4.5098666953578306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0.90352332409703906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0.81492059999999999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0.53186440000000001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0.51067689999999999</v>
      </c>
      <c r="C29" s="96">
        <v>0.95</v>
      </c>
      <c r="D29" s="56">
        <v>151.1814173381797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0.48324859999999997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0.19111349999999999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4.2315E-3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0.80348219999999992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0YxcUyXNgSBVTT/ActiB6gfNBN6oUq350sekt38mRNtHMboh7FO6zWnxKhTMjiZPylMgm5iBGaF7Lsi/y1pWag==" saltValue="UlTwYiHhYNxqBNAs6UfB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5bHSaD4nntHv+DpEj4wrjaq2LrHkQskClqKRNi3AFI/k11YN77G+xz7ExT+b1ZW58mDAyKWV7P1jSZdzEPZKDw==" saltValue="IEymob9W8d1KUokBn+N/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3d+0Ye+1pogK+p7lGnkXOJ3TYlLLp/XcZUQ1jKVj3/GL/X09q0OqCNgAD661MFNMFwNjl32gDlphcQZTuR8kQ==" saltValue="nEx/8jpFu46GYzDa/+hSJ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237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sheetProtection algorithmName="SHA-512" hashValue="lZzgZqychOO2TrSGImba88PtCZE9fLQ+TS2rbzbn/AOqZYCKL7CSQ9K/kP3re3g0rKUuFhJmLh3IpUK+WYKICQ==" saltValue="H0NCfnnnGTWVeOFcYzDkF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0.1270204215927124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5.4437323539733892E-2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7.6661380233764648E-2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F/kutgtp9UVkci9x1nHRGlKI2iF4TO2ZalYyuYWfHdH+nADWucCVjeOs0HmgHRX7TfBKueqRIlOzhcXTLjBDQ==" saltValue="xY2szr3+/4/NRplsGRBf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4AqP3VQrwhJqy7VLcn5pkU/OgTwXWHeZJXRWgjrAdvAmAI16X6QYWcj2FqQLYpAtrK7pnGmraNewZwhPPTpHg==" saltValue="J6V1IPaUNhpQxOtQ+EEeu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Xh4YvwdFBleyaR/35+aFfma43belUvIkobRBcSIE1511DHK6vNTqpmCut9GqupqBcb7H6LsHiJLFsWjxOY4CQ==" saltValue="Ke82z8gdTmQhs0M81txn3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HvC6WXzjRIRjZZ1+50vGgbjq8E+h2MpE7+p16wjok5u0rwggxcUCmeFMzawaDkRU5Yvz0tH4T8WXAv9GQnNrw==" saltValue="yQq1WxEhKWLE53t7AWHaJ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oKrDGrc+1qeDis00T7vQ9fmqTJLZwWhl9QenH2tliahIxMqWWi/DbgTcZbYcGnAi8Yh8KG/47pOLy+YwuqiA2g==" saltValue="I2ClZ7ZvzMMzQ+ohL6SeK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SikJ4YbclgpSISLOazzJqTgWUjtcyBPcc1KRdHeiaXweXFopLADhdnr0efMjRzAkQyWrNBHT6qC+3OmULiFFgg==" saltValue="7NVkHd740xhtZhALlXSS0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U0+ZwqdP4zFtZxx1fMdpEDOwpEFhupxr1LByvSoUQcLEJgIRUyrLV3ab3X98uK/RowW+O40mnE7pX6xWX/dWg==" saltValue="PGO6EbsDT6jrAbSu2x3/N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1F7PqNpIm+aIKfiskjpkL5uwqe+/amdnGnxzBnh/x6dpKJoKtnHKrmqKHcq/xSDHxCOVIpzuuh6Tsy8XcME7qg==" saltValue="OoP0kVP8sMo/ONKk+xOJ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/Xnjc2pGJ7ziACQo/n/akB5KR4fOpRgIxpQ34jUWpvPBARgPoD2iHXVErGtui2SoAb9sCvdSp/PwloQzSp641A==" saltValue="4v39D20fx9Uw1WFq4iSV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EUWRtCLh83V3Md6R58YzvdnriCzCFaQWIE2ktu1YnJd0RtSHzY7Q+yU+4C3WEzLT1WPPhWtpxSgyzVbs05KOw==" saltValue="mVHdidsAiDo0HOMWRjso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jl9qt49z52M4tvszMG3QeRe619+P82JTkfCZ1moGXH6s9dmO6f2gaF//TcmnlwOfRYjXOq2D8nXV/vNIVDSBA==" saltValue="mK+QFfD1ggS9zH6Uxun6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KnA+0UBX6hrrl9uURa5+IIqFkWNY+GzGho63UgpjYEOFPYdkmtGNpCCjZPEhHBQzaTWgIrPcenXo9fDuzBDxg==" saltValue="Y5T6vhbOWIakVRtiZhxw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d63ZcmURDyywVx0DJmbwb0TYFQLsmVtSfvgcVtyT/Ix7JmuT0wsE0gFST6wRAjAb6dtYl9LwxD/PA/s4jJvBQ==" saltValue="Rmo0XnpXfJb+mWkQetnZ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zwW+dUwdRHMAPE+qhfcvGdvujEHJvd81/WuSt2J3WRHUIoX6lhLJTpRkomFtn2+Wmzxk5/19jaoZ/qO5cqjWqg==" saltValue="7nsTxqyOJ6J+o53qBsWy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t5X9/WyLlgL3wOKjp1qcPUQ7BH5jV7N49WbScoWynJjgBjMdgrnfO6LQzAhd2TIIWEEZ10RXqwODsTeOHJF+aA==" saltValue="7bFiAe0DLi4bEDUbe38NU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2025-07-30T02:10:25Z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