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67CC2A70-16A2-406D-BACC-08C75090BCC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31" i="2"/>
  <c r="A37" i="2"/>
  <c r="I38" i="2"/>
  <c r="A26" i="2"/>
  <c r="I39" i="2"/>
  <c r="A34" i="2"/>
  <c r="A40" i="2"/>
  <c r="I2" i="2"/>
  <c r="I6" i="2"/>
  <c r="A19" i="2"/>
  <c r="A35" i="2"/>
  <c r="A22" i="2"/>
  <c r="A36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<sst xmlns="http://schemas.openxmlformats.org/spreadsheetml/2006/main" count="2169" uniqueCount="369">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</sst>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11187258.5</v>
      </c>
    </row>
    <row r="8" spans="1:3" ht="15" customHeight="1" x14ac:dyDescent="0.25">
      <c r="B8" s="5" t="s">
        <v>37</v>
      </c>
      <c r="C8" s="44">
        <v>0.26400000000000001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0.2731307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0.1169</v>
      </c>
    </row>
    <row r="24" spans="1:3" ht="15" customHeight="1" x14ac:dyDescent="0.25">
      <c r="B24" s="15" t="s">
        <v>51</v>
      </c>
      <c r="C24" s="45">
        <v>0.50690000000000002</v>
      </c>
    </row>
    <row r="25" spans="1:3" ht="15" customHeight="1" x14ac:dyDescent="0.25">
      <c r="B25" s="15" t="s">
        <v>52</v>
      </c>
      <c r="C25" s="45">
        <v>0.31080000000000002</v>
      </c>
    </row>
    <row r="26" spans="1:3" ht="15" customHeight="1" x14ac:dyDescent="0.25">
      <c r="B26" s="15" t="s">
        <v>53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0.32097876330389902</v>
      </c>
    </row>
    <row r="30" spans="1:3" ht="14.25" customHeight="1" x14ac:dyDescent="0.25">
      <c r="B30" s="25" t="s">
        <v>56</v>
      </c>
      <c r="C30" s="97">
        <v>0.11435649369624799</v>
      </c>
    </row>
    <row r="31" spans="1:3" ht="14.25" customHeight="1" x14ac:dyDescent="0.25">
      <c r="B31" s="25" t="s">
        <v>57</v>
      </c>
      <c r="C31" s="97">
        <v>0.128931423055959</v>
      </c>
    </row>
    <row r="32" spans="1:3" ht="14.25" customHeight="1" x14ac:dyDescent="0.25">
      <c r="B32" s="25" t="s">
        <v>58</v>
      </c>
      <c r="C32" s="97">
        <v>0.43573331994389503</v>
      </c>
    </row>
    <row r="33" spans="1:5" ht="13.25" customHeight="1" x14ac:dyDescent="0.25">
      <c r="B33" s="27" t="s">
        <v>59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13.569990000000001</v>
      </c>
    </row>
    <row r="38" spans="1:5" ht="15" customHeight="1" x14ac:dyDescent="0.25">
      <c r="B38" s="11" t="s">
        <v>63</v>
      </c>
      <c r="C38" s="43">
        <v>27.63936</v>
      </c>
      <c r="D38" s="12"/>
      <c r="E38" s="13"/>
    </row>
    <row r="39" spans="1:5" ht="15" customHeight="1" x14ac:dyDescent="0.25">
      <c r="B39" s="11" t="s">
        <v>64</v>
      </c>
      <c r="C39" s="43">
        <v>31.419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71</v>
      </c>
      <c r="C47" s="45">
        <v>7.5376799999999994E-2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1.95</v>
      </c>
      <c r="D51" s="12"/>
    </row>
    <row r="52" spans="1:4" ht="15" customHeight="1" x14ac:dyDescent="0.25">
      <c r="B52" s="11" t="s">
        <v>75</v>
      </c>
      <c r="C52" s="98">
        <v>1.95</v>
      </c>
    </row>
    <row r="53" spans="1:4" ht="15.75" customHeight="1" x14ac:dyDescent="0.25">
      <c r="B53" s="11" t="s">
        <v>76</v>
      </c>
      <c r="C53" s="98">
        <v>4.8360000000000003</v>
      </c>
    </row>
    <row r="54" spans="1:4" ht="15.75" customHeight="1" x14ac:dyDescent="0.25">
      <c r="B54" s="11" t="s">
        <v>77</v>
      </c>
      <c r="C54" s="98">
        <v>3.952</v>
      </c>
    </row>
    <row r="55" spans="1:4" ht="15.75" customHeight="1" x14ac:dyDescent="0.25">
      <c r="B55" s="11" t="s">
        <v>78</v>
      </c>
      <c r="C55" s="98">
        <v>1.3606666666666669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0.58725400000000005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zhgpRjaavJLiGL5E0UxgzV+ejhMoncBabKfwCrjhvAWTMQSA87lfkONYJWiib+FJvZB8S4D+E8CEP8Lf0/ctLQ==" saltValue="aF3ypI3MivxXvyNOkeEZ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FsAu0lgat2oRuXO9Cbt2np+v9XtAhLgGuxsvBBRygHzjCBb4HNt5QwFh8Veu/36cIPn3FkuOvMoGSlWyT9TeA==" saltValue="kgs1hBMgcVsz4E+hbbqtH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3.0741955489755001E-3</v>
      </c>
    </row>
    <row r="4" spans="1:8" ht="15.75" customHeight="1" x14ac:dyDescent="0.25">
      <c r="B4" s="19" t="s">
        <v>97</v>
      </c>
      <c r="C4" s="99">
        <v>4.5714087306233192E-2</v>
      </c>
    </row>
    <row r="5" spans="1:8" ht="15.75" customHeight="1" x14ac:dyDescent="0.25">
      <c r="B5" s="19" t="s">
        <v>98</v>
      </c>
      <c r="C5" s="99">
        <v>6.2934905662831719E-2</v>
      </c>
    </row>
    <row r="6" spans="1:8" ht="15.75" customHeight="1" x14ac:dyDescent="0.25">
      <c r="B6" s="19" t="s">
        <v>99</v>
      </c>
      <c r="C6" s="99">
        <v>0.20706367546229029</v>
      </c>
    </row>
    <row r="7" spans="1:8" ht="15.75" customHeight="1" x14ac:dyDescent="0.25">
      <c r="B7" s="19" t="s">
        <v>100</v>
      </c>
      <c r="C7" s="99">
        <v>0.45319363919792882</v>
      </c>
    </row>
    <row r="8" spans="1:8" ht="15.75" customHeight="1" x14ac:dyDescent="0.25">
      <c r="B8" s="19" t="s">
        <v>101</v>
      </c>
      <c r="C8" s="99">
        <v>3.9374278179925862E-4</v>
      </c>
    </row>
    <row r="9" spans="1:8" ht="15.75" customHeight="1" x14ac:dyDescent="0.25">
      <c r="B9" s="19" t="s">
        <v>102</v>
      </c>
      <c r="C9" s="99">
        <v>0.12922187821010439</v>
      </c>
    </row>
    <row r="10" spans="1:8" ht="15.75" customHeight="1" x14ac:dyDescent="0.25">
      <c r="B10" s="19" t="s">
        <v>103</v>
      </c>
      <c r="C10" s="99">
        <v>9.8403875829836771E-2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106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107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111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112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113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5.4573182999999997E-2</v>
      </c>
    </row>
    <row r="27" spans="1:8" ht="15.75" customHeight="1" x14ac:dyDescent="0.25">
      <c r="B27" s="19" t="s">
        <v>120</v>
      </c>
      <c r="C27" s="99">
        <v>5.9409878999999999E-2</v>
      </c>
    </row>
    <row r="28" spans="1:8" ht="15.75" customHeight="1" x14ac:dyDescent="0.25">
      <c r="B28" s="19" t="s">
        <v>121</v>
      </c>
      <c r="C28" s="99">
        <v>0.12098242100000001</v>
      </c>
    </row>
    <row r="29" spans="1:8" ht="15.75" customHeight="1" x14ac:dyDescent="0.25">
      <c r="B29" s="19" t="s">
        <v>122</v>
      </c>
      <c r="C29" s="99">
        <v>0.13495797500000001</v>
      </c>
    </row>
    <row r="30" spans="1:8" ht="15.75" customHeight="1" x14ac:dyDescent="0.25">
      <c r="B30" s="19" t="s">
        <v>2</v>
      </c>
      <c r="C30" s="99">
        <v>8.1454253000000018E-2</v>
      </c>
    </row>
    <row r="31" spans="1:8" ht="15.75" customHeight="1" x14ac:dyDescent="0.25">
      <c r="B31" s="19" t="s">
        <v>123</v>
      </c>
      <c r="C31" s="99">
        <v>6.5903797E-2</v>
      </c>
    </row>
    <row r="32" spans="1:8" ht="15.75" customHeight="1" x14ac:dyDescent="0.25">
      <c r="B32" s="19" t="s">
        <v>124</v>
      </c>
      <c r="C32" s="99">
        <v>0.13216685</v>
      </c>
    </row>
    <row r="33" spans="2:3" ht="15.75" customHeight="1" x14ac:dyDescent="0.25">
      <c r="B33" s="19" t="s">
        <v>125</v>
      </c>
      <c r="C33" s="99">
        <v>0.12743632599999999</v>
      </c>
    </row>
    <row r="34" spans="2:3" ht="15.75" customHeight="1" x14ac:dyDescent="0.25">
      <c r="B34" s="19" t="s">
        <v>126</v>
      </c>
      <c r="C34" s="99">
        <v>0.22311531600000001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in0anTktB2yxmtzEIgGBgRWSHoj0OdY6pyKePR6y2Xsi0yI8AqQp5raPf75JdqlooV7XFiv89VuyVP+Y2HSMg==" saltValue="Ye8InwAsb3yQzLVQ3UG3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132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133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137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jU3IFfx/J0y+0a6mYymrmtmLoFDjmVUy56fqc+wBAOsMc412HVVlgegNhhZJwn0CWRB/dKWQczAR74Jl1rAKg==" saltValue="k+sSsIW4ogntF1+i6cEN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ZzmFtDOJGZnJ7ViYgruM/mTmaGY2VC64e2nMcGxqK8/gb77efBPphblFeVgjoPKfoq2Dwm7+kLGO2UYl3BEXHw==" saltValue="fShwQTHplO1Nctb1Ox4R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YsKNH5eNR82F20lDcsU74MwsXR6PnwUKvRPzWSReMktopBdrn3aC1Lj5Opb+8z0/dulkIXsIo7WSADEID0iYw==" saltValue="uq8MvwP53mKOLZolHChV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1192.76647949219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0.54902000000000006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0.78305000000000002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2.5664287235020775E-2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94933.443270000003</v>
      </c>
      <c r="C22" s="107">
        <v>94177.866850000006</v>
      </c>
      <c r="D22" s="107">
        <v>93852.443669999993</v>
      </c>
      <c r="E22" s="107">
        <v>93332.122340000002</v>
      </c>
      <c r="F22" s="107">
        <v>92616.516900000002</v>
      </c>
      <c r="G22" s="107">
        <v>91691.325100000002</v>
      </c>
      <c r="H22" s="107">
        <v>90462.714840000001</v>
      </c>
      <c r="I22" s="107">
        <v>88820.775750000001</v>
      </c>
      <c r="J22" s="107">
        <v>86592.444430000003</v>
      </c>
      <c r="K22" s="107">
        <v>83689.157200000001</v>
      </c>
      <c r="L22" s="107">
        <v>79765.358919999999</v>
      </c>
      <c r="M22" s="107">
        <v>74677.631829999998</v>
      </c>
      <c r="N22" s="107">
        <v>67594.334990000003</v>
      </c>
      <c r="O22" s="107">
        <v>58414.177989999996</v>
      </c>
    </row>
  </sheetData>
  <sheetProtection algorithmName="SHA-512" hashValue="xxv7woCQL+GwYClR90vo9LaBoDcIg78xJtFA7gd3e1RoZdIOm79FFRopSdLIpY84Cy0nVWX8d18xxTx7la+3tw==" saltValue="ZpnGCrev28XDKzBMFUWp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RjMiT4l8ipUHkYTF4MX0V+x2mvK/GdC8ZmbcP1Xqv6IErNjOaYIVAF2XpZHhbOdBV7BWzpeXceQrzVHz7/jvw==" saltValue="BgcQvdFnDbtgSgsCt2lb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tr+AN4GssjNeUSET0rRpd6yuSZqn1Cv6j8HNXuz4xTyw7azVGIcEXtoeI9iiCCHaBpLDCqarcxFuWpgI/sZSQ==" saltValue="Z3EUxlB7Z4FZ+lt1Jy8j4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12.73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0.46280465114316638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2.19022E-2</v>
      </c>
      <c r="C10" s="96">
        <v>0.95</v>
      </c>
      <c r="D10" s="56">
        <v>14.21292537547621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14.21292537547621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14.21292537547621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14.21292537547621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0.38819999999999999</v>
      </c>
      <c r="C14" s="96">
        <v>0.95</v>
      </c>
      <c r="D14" s="56">
        <v>4.586811392844738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14.21292537547621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2.4996908648836405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0.23</v>
      </c>
      <c r="C18" s="96">
        <v>0.95</v>
      </c>
      <c r="D18" s="56">
        <v>12.729008336227858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0.31436900000000001</v>
      </c>
      <c r="C19" s="96">
        <v>0.95</v>
      </c>
      <c r="D19" s="56">
        <v>2.121285075768927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10.472005904828066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12.73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1.96765E-2</v>
      </c>
      <c r="C23" s="96">
        <v>0.95</v>
      </c>
      <c r="D23" s="56">
        <v>4.6734447573928826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0.63038645218564004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1.4999999999999999E-2</v>
      </c>
      <c r="C26" s="96">
        <v>0.95</v>
      </c>
      <c r="D26" s="56">
        <v>5.6425060784994798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0.61705699999999997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0.22507530000000001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109.20979506773186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0.95</v>
      </c>
      <c r="C32" s="96">
        <v>0.95</v>
      </c>
      <c r="D32" s="56">
        <v>0.48537686696769716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0.72953559999999995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0.52023419999999998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2.6733799999999999E-2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0.65150499999999989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0.19674449999999999</v>
      </c>
      <c r="C38" s="96">
        <v>0.95</v>
      </c>
      <c r="D38" s="56">
        <v>6.7103351858284128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13.111054247697034</v>
      </c>
      <c r="E39" s="56" t="s">
        <v>230</v>
      </c>
      <c r="F39" s="96">
        <v>1</v>
      </c>
      <c r="G39" s="96">
        <v>1</v>
      </c>
    </row>
  </sheetData>
  <sheetProtection algorithmName="SHA-512" hashValue="KoSraem4hvy3L6/vjRPFtb7pxwPchkxrQU9xGbVApHuXJ3uXa/bVxZjFixcaHgBayTrJ1l6zhWnoFNRJS0L2qg==" saltValue="goX+t8Q889dcu/vaEb4V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gfn72thDXnZ62MoBZB9bgkrZW1z66dgl1jmshbz5+RgiNQ4xklR3kDVEwsQFZYoBcHKpusB4oWrGtkBBJiQew==" saltValue="utbz9ElT+AaJ5HbnCmWc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JmyZVI+Jgin0WNYW+VgST0vICsEm/jdWclnaeY96jjE0CyrZHTD97UGHwBJ4bUwuj9liOQywS/3BSNrWxuv3Q==" saltValue="7+a1PMUb7Yg+QVXlGzUGp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1.95</v>
      </c>
      <c r="C2" s="21">
        <f>'Données pop de l''année de ref'!C52</f>
        <v>1.95</v>
      </c>
      <c r="D2" s="21">
        <f>'Données pop de l''année de ref'!C53</f>
        <v>4.8360000000000003</v>
      </c>
      <c r="E2" s="21">
        <f>'Données pop de l''année de ref'!C54</f>
        <v>3.952</v>
      </c>
      <c r="F2" s="21">
        <f>'Données pop de l''année de ref'!C55</f>
        <v>1.3606666666666669</v>
      </c>
    </row>
    <row r="3" spans="1:6" ht="15.75" customHeight="1" x14ac:dyDescent="0.25">
      <c r="A3" s="3" t="s">
        <v>238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H0yLh6pZrjVhHTwIVVw9IorZ1Uh62nowEuKSVgP61dWMh/Az837O7Cv1kEWDoUeXqKJK3dzxLuFAJj50Z9u5iQ==" saltValue="ESg9naoYULi0knZxDdZ7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Bw7BHqujRdNxAuGxFqweKnapRqeMa+QxFBVUWrDbCllJ8gCQOOpOkhQUhGPMoe+njhwAa5UnfkPYCZMwihhCA==" saltValue="p86UxOzvA0JSnzC62rbe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SiOH9oM/gf18i0DVYHYdeAGYtudXa0AVOVFsz8D2lgi2laZA/ayh9bJtUB/iajVRUtUvPLfHSCto4nwr5zxYQ==" saltValue="+25CRgxFCJSlA6aq54puJ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mJDVkUIE5CVF8zeqHDYDJ7Py+qZ7HpMr7o51EFT9f/ma3UEDioWwX8nNUIQXzZigp49TGSJimkgrHd7JZZSmA==" saltValue="rGSxPqfZ1WC3OAZcw7bLI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YY0vpJFf62S6CFXYBSuSPCME9Q4hFxM8xetJeVJYErSUK9KZQQm27X8CRHNRwKVzMuJ8sYY5ECnsyC8iG3uBQ==" saltValue="AFniV77+eIf/F3pf6XoM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0q5j7FTubEuPU0aCCpf45f+6FPr7xxoRJMp8leqJAD7kMnjAAkOSZhr3Bn493QA53UwWLMjtCu/E8G8wKsXAA==" saltValue="0TEJqrJ1dPEWTNcDG4yN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30tI8i7TNDBA5wRw7CUi76jV1RGBdwBXtJIrwJIi3gikP6IPgXuUfBGQ2hSHa0tUXuWQi3wWVugtWqj7M35rIA==" saltValue="9FupXETGTKoXgDkJURoN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dhy0/LPeHqki9JAL9HHx575MZNVwUzqHKzFGUMIh2mp9PxNPp/0v3FFaAQfoeUoF3zXoiX2EFzAE//vzobZWw==" saltValue="GXYTsTCLQarUZjLmGVzLV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W/4vuXMcp4UtjNBu2oB2SIIY0D6a1YhcZkrDHAFdCjVG1FcVRSVijVinPdZdjQ9QP2KAq1E+C0DNo16y0MDjw==" saltValue="slRuFPCuha5zdlSscTAh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moCnX+5fJqwP646TdYfhY8az0TKbWHVI9nhrkunCT9p+S6JvOZFXUz4IoyJznkHXs1E3ohvcVjGwdZ4G8wavg==" saltValue="b0JtLTn2hiklaOgr8+RG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sJkzJAX5faqKwfqo7cuOTxC+Z2MnloiKvWrkptpDI6VUjGSzANzlSRJ7dUNErms6vlo0KGClRdRv4Efc9CAAg==" saltValue="1nuN5dwyWQZohF30onxW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uOtU4JmZvD+5iVso/w4plQtnJsr+hmaJ//us356ez34zmLwKVXrXnlgp/XhuKxDix9buZeq0q237+t5qAr6fA==" saltValue="RiTMx5yusvgaZ/I1dFQA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kNgzUI+SA+G4gi+6Zu2ZDIw8mXbyRJ7xcoLiC5SB9mV9y28zS4h6Ay9Cb6MNtr+Z+WvlHDQEIbiTVWqispavA==" saltValue="pAZ+yse6CAv4lXvvgKar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wfb5CDlyf0XZiXWhTgqe6bkQ3SeyAqF23MKGApT095dE0Jm41beKuLk/rsHxNX4pXBwfkYz8cLz5TDrwCbh3A==" saltValue="MPJnvgXSSEeFrHg2SQaw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WeZ7+cH7W754Qf4Sdg7tQv0s18HLqB4hxOj5K1EGIKlIBG1DPAT6USfwN9Gg/fQY+We6fvc4KTI/KfQzttpDQ==" saltValue="9FDRXq22b3Fb/16uaid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AbmkyglPRcvM6zxUwVVIwY2T2TBDYpN4pTUB+10TZpHl+N7ZBNsvVmN4oCROpywjo9aaiT4i4vy9WS4MtfM2w==" saltValue="mdGEU3sD65Y/WUy5678Qi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